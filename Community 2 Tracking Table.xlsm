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Override PartName="/xl/pivotTables/pivotTable1.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5"/>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Classes" sheetId="8" state="visible" r:id="rId11"/>
    <sheet name="Roster" sheetId="9" state="visible" r:id="rId12"/>
  </sheets>
  <definedNames>
    <definedName function="false" hidden="true" localSheetId="0" name="_xlnm._FilterDatabase" vbProcedure="false">Table!$A$1:$CH$69</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4"/>
  </pivotCaches>
  <extLst>
    <ext xmlns:loext="http://schemas.libreoffice.org/" uri="{7626C862-2A13-11E5-B345-FEFF819CDC9F}">
      <loext:extCalcPr stringRefSyntax="ExcelA1"/>
    </ext>
  </extLst>
</workbook>
</file>

<file path=xl/sharedStrings.xml><?xml version="1.0" encoding="utf-8"?>
<sst xmlns="http://schemas.openxmlformats.org/spreadsheetml/2006/main" count="1992" uniqueCount="741">
  <si>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</si>
  <si>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</si>
  <si>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</si>
  <si>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</si>
  <si>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</si>
  <si>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</si>
  <si>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</si>
  <si>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</si>
  <si>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</si>
  <si>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</si>
  <si>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</si>
  <si>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</si>
  <si>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</si>
  <si>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</si>
  <si>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</si>
  <si>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</si>
  <si>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</si>
  <si>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</si>
  <si>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</si>
  <si>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</si>
  <si>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</si>
  <si>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</si>
  <si>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</si>
  <si>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</si>
  <si>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</si>
  <si>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</si>
  <si>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</si>
  <si>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</si>
  <si>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</si>
  <si>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</si>
  <si>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</si>
  <si>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</si>
  <si>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</si>
  <si>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</si>
  <si>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</si>
  <si>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</si>
  <si>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</si>
  <si>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</si>
  <si>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</si>
  <si>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</si>
  <si>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</si>
  <si>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</si>
  <si>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</si>
  <si>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</si>
  <si>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</si>
  <si>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</si>
  <si>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</si>
  <si>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</si>
  <si>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</si>
  <si>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</si>
  <si>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</si>
  <si>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</si>
  <si>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</si>
  <si>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</si>
  <si>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</si>
  <si>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</si>
  <si>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</si>
  <si>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</si>
  <si>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</si>
  <si>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</si>
  <si>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</si>
  <si>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</si>
  <si>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</si>
  <si>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</si>
  <si>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</si>
  <si>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</si>
  <si>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</si>
  <si>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</si>
  <si>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</si>
  <si>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</si>
  <si>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</si>
  <si>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</si>
  <si>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</si>
  <si>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</si>
  <si>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</si>
  <si>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</si>
  <si>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</si>
  <si>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</si>
  <si>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</si>
  <si>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</si>
  <si>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</si>
  <si>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</si>
  <si>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</si>
  <si>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</si>
  <si>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</si>
  <si>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</si>
  <si>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</si>
  <si>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</si>
  <si>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</si>
  <si>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</si>
  <si>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</si>
  <si>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</si>
  <si>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</si>
  <si>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</si>
  <si>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</si>
  <si>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</si>
  <si>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</si>
  <si>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</si>
  <si>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</si>
  <si>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</si>
  <si>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</si>
  <si>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</si>
  <si>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</si>
  <si>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</si>
  <si>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</si>
  <si>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</si>
  <si>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</si>
  <si>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</si>
  <si>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</si>
  <si>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</si>
  <si>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</si>
  <si>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</si>
  <si>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</si>
  <si>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</si>
  <si>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</si>
  <si>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</si>
  <si>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</si>
  <si>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</si>
  <si>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</si>
  <si>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</si>
  <si>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</si>
  <si>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</si>
  <si>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</si>
  <si>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</si>
  <si>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</si>
  <si>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</si>
  <si>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</si>
  <si>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</si>
  <si>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</si>
  <si>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</si>
  <si>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</si>
  <si>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</si>
  <si>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</si>
  <si>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</si>
  <si>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</si>
  <si>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</si>
  <si>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</si>
  <si>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</si>
  <si>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</si>
  <si>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</si>
  <si>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</si>
  <si>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</si>
  <si>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</si>
  <si>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</si>
  <si>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</si>
  <si>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</si>
  <si>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</si>
  <si>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</si>
  <si>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</si>
  <si>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</si>
  <si>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</si>
  <si>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</si>
  <si>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</si>
  <si>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</si>
  <si>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</si>
  <si>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</si>
  <si>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</si>
  <si>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</si>
  <si>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</si>
  <si>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</si>
  <si>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</si>
  <si>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</si>
  <si>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</si>
  <si>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class_153,class_153_mail</t>
  </si>
  <si>
    <t xml:space="preserve">lbr</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</si>
  <si>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</si>
  <si>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</si>
  <si>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</si>
  <si>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</si>
  <si>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</si>
  <si>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</si>
  <si>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</si>
  <si>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</si>
  <si>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</si>
  <si>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</si>
  <si>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</si>
  <si>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</si>
  <si>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</si>
  <si>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</si>
  <si>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</si>
  <si>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</si>
  <si>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</si>
  <si>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</si>
  <si>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</si>
  <si>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</si>
  <si>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</si>
  <si>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</si>
  <si>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</si>
  <si>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</si>
  <si>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</si>
  <si>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</si>
  <si>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</si>
  <si>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</si>
  <si>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</si>
  <si>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</si>
  <si>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</si>
  <si>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</si>
  <si>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</si>
  <si>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</si>
  <si>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</si>
  <si>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</si>
  <si>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</si>
  <si>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</si>
  <si>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</si>
  <si>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blue_pullman_western</t>
  </si>
  <si>
    <t xml:space="preserve">0,24</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</si>
  <si>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</si>
  <si>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</si>
  <si>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</si>
  <si>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</si>
  <si>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</si>
  <si>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</si>
  <si>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</si>
  <si>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</si>
  <si>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</si>
  <si>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</si>
  <si>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</si>
  <si>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</si>
  <si>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</si>
  <si>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</si>
  <si>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</si>
  <si>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</si>
  <si>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</si>
  <si>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</si>
  <si>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</si>
  <si>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</si>
  <si>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</si>
  <si>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</si>
  <si>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</si>
  <si>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</si>
  <si>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</si>
  <si>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</si>
  <si>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</si>
  <si>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</si>
  <si>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</si>
  <si>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</si>
  <si>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</si>
  <si>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</si>
  <si>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</si>
  <si>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</si>
  <si>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</si>
  <si>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</si>
  <si>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</si>
  <si>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</si>
  <si>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</si>
  <si>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</si>
  <si>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</si>
  <si>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</si>
  <si>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</si>
  <si>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</si>
  <si>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</si>
  <si>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</si>
  <si>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</si>
  <si>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</si>
  <si>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</si>
  <si>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</si>
  <si>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</si>
  <si>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</si>
  <si>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</si>
  <si>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</si>
  <si>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</si>
  <si>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</si>
  <si>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</si>
  <si>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</si>
  <si>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</si>
  <si>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</si>
  <si>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class_151,class_153_mail</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</si>
  <si>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</si>
  <si>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</si>
  <si>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</si>
  <si>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</si>
  <si>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</si>
  <si>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class_151,class_153</t>
  </si>
  <si>
    <t xml:space="preserve">concept_trains</t>
  </si>
  <si>
    <t xml:space="preserve">What if the class 153s were converted for parcels service rather than passenger use? This preceds the later use of the 153 as supplementary bike carriages or ‘active travel’ vehicles.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</si>
  <si>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</si>
  <si>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</si>
  <si>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</si>
  <si>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</si>
  <si>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</si>
  <si>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</si>
  <si>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</si>
  <si>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</si>
  <si>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</si>
  <si>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</si>
  <si>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</si>
  <si>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</si>
  <si>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</si>
  <si>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</si>
  <si>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</si>
  <si>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</si>
  <si>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</si>
  <si>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</si>
  <si>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</si>
  <si>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</si>
  <si>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</si>
  <si>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</si>
  <si>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</si>
  <si>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</si>
  <si>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</si>
  <si>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</si>
  <si>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</si>
  <si>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</si>
  <si>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</si>
  <si>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</si>
  <si>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</si>
  <si>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</si>
  <si>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</si>
  <si>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</si>
  <si>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</si>
  <si>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</si>
  <si>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</si>
  <si>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</si>
  <si>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</si>
  <si>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</si>
  <si>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</si>
  <si>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</si>
  <si>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</si>
  <si>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</si>
  <si>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</si>
  <si>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</si>
  <si>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</si>
  <si>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</si>
  <si>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</si>
  <si>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</si>
  <si>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</si>
  <si>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</si>
  <si>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</si>
  <si>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</si>
  <si>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</si>
  <si>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</si>
  <si>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</si>
  <si>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</si>
  <si>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</si>
  <si>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</si>
  <si>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</si>
  <si>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</si>
  <si>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</si>
  <si>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</si>
  <si>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</si>
  <si>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</si>
  <si>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</si>
  <si>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</si>
  <si>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</si>
  <si>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</si>
  <si>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</si>
  <si>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</si>
  <si>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</si>
  <si>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</si>
  <si>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</si>
  <si>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</si>
  <si>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</si>
  <si>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</si>
  <si>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</si>
  <si>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</si>
  <si>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</si>
  <si>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</si>
  <si>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</si>
  <si>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BREL Class 466 “Networker”</t>
  </si>
  <si>
    <t xml:space="preserve">class_466</t>
  </si>
  <si>
    <t xml:space="preserve">brel_networker,brel_networker_rear</t>
  </si>
  <si>
    <t xml:space="preserve">brel_networker</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</si>
  <si>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</si>
  <si>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</si>
  <si>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</si>
  <si>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</si>
  <si>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</si>
  <si>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</si>
  <si>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</si>
  <si>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</si>
  <si>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</si>
  <si>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</si>
  <si>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</si>
  <si>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</si>
  <si>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</si>
  <si>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</si>
  <si>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</si>
  <si>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</si>
  <si>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</si>
  <si>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</si>
  <si>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</si>
  <si>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</si>
  <si>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</si>
  <si>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</si>
  <si>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</si>
  <si>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</si>
  <si>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</si>
  <si>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</si>
  <si>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</si>
  <si>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</si>
  <si>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</si>
  <si>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</si>
  <si>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</si>
  <si>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</si>
  <si>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</si>
  <si>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</si>
  <si>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</si>
  <si>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</si>
  <si>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</si>
  <si>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</si>
  <si>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</si>
  <si>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</si>
  <si>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</si>
  <si>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</si>
  <si>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</si>
  <si>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</si>
  <si>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</si>
  <si>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</si>
  <si>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</si>
  <si>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</si>
  <si>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</si>
  <si>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</si>
  <si>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</si>
  <si>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</si>
  <si>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</si>
  <si>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</si>
  <si>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</si>
  <si>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</si>
  <si>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</si>
  <si>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</si>
  <si>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</si>
  <si>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</si>
  <si>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</si>
  <si>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</si>
  <si>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</si>
  <si>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</si>
  <si>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</si>
  <si>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</si>
  <si>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</si>
  <si>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</si>
  <si>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</si>
  <si>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</si>
  <si>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</si>
  <si>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</si>
  <si>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</si>
  <si>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</si>
  <si>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</si>
  <si>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</si>
  <si>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</si>
  <si>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</si>
  <si>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</si>
  <si>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</si>
  <si>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</si>
  <si>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</si>
  <si>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</si>
  <si>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</si>
  <si>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</si>
  <si>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</si>
  <si>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</si>
  <si>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</si>
  <si>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</si>
  <si>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</si>
  <si>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</si>
  <si>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</si>
  <si>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</si>
  <si>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</si>
  <si>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</si>
  <si>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</si>
  <si>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</si>
  <si>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</si>
  <si>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</si>
  <si>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</si>
  <si>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</si>
  <si>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</si>
  <si>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</si>
  <si>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</si>
  <si>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</si>
  <si>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</si>
  <si>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</si>
  <si>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</si>
  <si>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</si>
  <si>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</si>
  <si>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</si>
  <si>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</si>
  <si>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</si>
  <si>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</si>
  <si>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</si>
  <si>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</si>
  <si>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</si>
  <si>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</si>
  <si>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</si>
  <si>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</si>
  <si>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</si>
  <si>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</si>
  <si>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</si>
  <si>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</si>
  <si>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</si>
  <si>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</si>
  <si>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</si>
  <si>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</si>
  <si>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</si>
  <si>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</si>
  <si>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</si>
  <si>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</si>
  <si>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</si>
  <si>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</si>
  <si>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</si>
  <si>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</si>
  <si>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</si>
  <si>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</si>
  <si>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</si>
  <si>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</si>
  <si>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</si>
  <si>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</si>
  <si>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</si>
  <si>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</si>
  <si>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</si>
  <si>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</si>
  <si>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</si>
  <si>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</si>
  <si>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</si>
  <si>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</si>
  <si>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</si>
  <si>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</si>
  <si>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</si>
  <si>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</si>
  <si>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</si>
  <si>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</si>
  <si>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</si>
  <si>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</si>
  <si>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</si>
  <si>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</si>
  <si>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</si>
  <si>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</si>
  <si>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</si>
  <si>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</si>
  <si>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</si>
  <si>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</si>
  <si>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</si>
  <si>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</si>
  <si>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</si>
  <si>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</si>
  <si>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</si>
  <si>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</si>
  <si>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</si>
  <si>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</si>
  <si>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</si>
  <si>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</si>
  <si>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</si>
  <si>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</si>
  <si>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</si>
  <si>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</si>
  <si>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</si>
  <si>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</si>
  <si>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</si>
  <si>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</si>
  <si>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</si>
  <si>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</si>
  <si>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</si>
  <si>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Flat Wagon</t>
  </si>
  <si>
    <t xml:space="preserve">Van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</si>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</sst>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font>
    <font>
      <sz val="10"/>
      <name val="Arial"/>
      <family val="0"/>
    </font>
    <font>
      <sz val="10"/>
      <name val="Arial"/>
      <family val="0"/>
    </font>
    <font>
      <sz val="10"/>
      <name val="Arial"/>
      <family val="0"/>
    </font>
    <font>
      <b val="true"/>
      <sz val="11"/>
      <color rgb="FF000000"/>
      <name val="Calibri"/>
      <family val="2"/>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3">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style="thin"/>
      <bottom/>
      <diagonal/>
    </border>
    <border diagonalUp="false" diagonalDown="false">
      <left style="medium"/>
      <right style="thin"/>
      <top/>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cellStyleXfs>
  <cellXfs count="5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0" borderId="0" xfId="0" applyFont="false" applyBorder="false" applyAlignment="false" applyProtection="false">
      <alignment horizontal="general" vertical="bottom" textRotation="0" wrapText="false" indent="0" shrinkToFit="false"/>
      <protection locked="true" hidden="false"/>
    </xf>
    <xf numFmtId="164" fontId="0" fillId="4" borderId="1" xfId="0" applyFont="false" applyBorder="true" applyAlignment="false" applyProtection="false">
      <alignment horizontal="general" vertical="bottom" textRotation="0" wrapText="false" indent="0" shrinkToFit="false"/>
      <protection locked="true" hidden="false"/>
    </xf>
    <xf numFmtId="164" fontId="0" fillId="6" borderId="1" xfId="0" applyFont="false" applyBorder="tru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1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0" applyFont="true" applyBorder="true" applyAlignment="false" applyProtection="false">
      <alignment horizontal="general" vertical="bottom" textRotation="0" wrapText="false" indent="0" shrinkToFit="false"/>
      <protection locked="true" hidden="false"/>
    </xf>
    <xf numFmtId="164" fontId="0" fillId="0" borderId="5" xfId="23" applyFont="true" applyBorder="true" applyAlignment="false" applyProtection="false">
      <alignment horizontal="left" vertical="bottom" textRotation="0" wrapText="false" indent="0" shrinkToFit="false"/>
      <protection locked="true" hidden="false"/>
    </xf>
    <xf numFmtId="164" fontId="0" fillId="0" borderId="6" xfId="23" applyFont="true" applyBorder="true" applyAlignment="false" applyProtection="false">
      <alignment horizontal="left" vertical="bottom" textRotation="0" wrapText="false" indent="0" shrinkToFit="false"/>
      <protection locked="true" hidden="false"/>
    </xf>
    <xf numFmtId="164" fontId="0" fillId="0" borderId="7" xfId="21" applyFont="false" applyBorder="true" applyAlignment="false" applyProtection="false">
      <alignment horizontal="general" vertical="bottom" textRotation="0" wrapText="false" indent="0" shrinkToFit="false"/>
      <protection locked="true" hidden="false"/>
    </xf>
    <xf numFmtId="164" fontId="0" fillId="0" borderId="8" xfId="23" applyFont="true" applyBorder="true" applyAlignment="false" applyProtection="false">
      <alignment horizontal="left" vertical="bottom" textRotation="0" wrapText="false" indent="0" shrinkToFit="false"/>
      <protection locked="true" hidden="false"/>
    </xf>
    <xf numFmtId="164" fontId="0" fillId="0" borderId="9" xfId="23" applyFont="true" applyBorder="true" applyAlignment="false" applyProtection="false">
      <alignment horizontal="left" vertical="bottom" textRotation="0" wrapText="false" indent="0" shrinkToFit="false"/>
      <protection locked="true" hidden="false"/>
    </xf>
    <xf numFmtId="164" fontId="0" fillId="0" borderId="10" xfId="21" applyFont="false" applyBorder="true" applyAlignment="false" applyProtection="false">
      <alignment horizontal="general" vertical="bottom" textRotation="0" wrapText="false" indent="0" shrinkToFit="false"/>
      <protection locked="true" hidden="false"/>
    </xf>
    <xf numFmtId="164" fontId="0" fillId="0" borderId="11" xfId="23" applyFont="true" applyBorder="true" applyAlignment="false" applyProtection="false">
      <alignment horizontal="left" vertical="bottom" textRotation="0" wrapText="false" indent="0" shrinkToFit="false"/>
      <protection locked="true" hidden="false"/>
    </xf>
    <xf numFmtId="164" fontId="0" fillId="0" borderId="12" xfId="23" applyFont="false" applyBorder="true" applyAlignment="false" applyProtection="false">
      <alignment horizontal="left"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orner" xfId="20"/>
    <cellStyle name="Pivot Table Value" xfId="21"/>
    <cellStyle name="Pivot Table Field" xfId="22"/>
    <cellStyle name="Pivot Table Category" xfId="23"/>
    <cellStyle name="Pivot Table Title" xfId="24"/>
    <cellStyle name="Pivot Table Result" xfId="25"/>
  </cellStyles>
  <dxfs count="19">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family val="2"/>
        <color rgb="FF9C0006"/>
        <sz val="11"/>
      </font>
      <fill>
        <patternFill>
          <bgColor rgb="FFFFC7CE"/>
        </patternFill>
      </fill>
    </dxf>
    <dxf>
      <font>
        <name val="Calibri"/>
        <family val="2"/>
        <color rgb="FF9C0006"/>
        <sz val="11"/>
      </font>
      <fill>
        <patternFill>
          <bgColor rgb="FFFFC7CE"/>
        </patternFill>
      </fill>
    </dxf>
    <dxf>
      <font>
        <name val="Calibri"/>
        <family val="2"/>
        <color rgb="FF9C0006"/>
        <sz val="11"/>
      </font>
      <fill>
        <patternFill>
          <bgColor rgb="FFFFC7CE"/>
        </patternFill>
      </fill>
    </dxf>
    <dxf>
      <font>
        <name val="Calibri"/>
        <family val="2"/>
        <color rgb="FF9C0006"/>
        <sz val="11"/>
      </font>
      <fill>
        <patternFill>
          <bgColor rgb="FFFFC7CE"/>
        </patternFill>
      </fill>
    </dxf>
    <dxf>
      <font>
        <name val="Calibri"/>
        <family val="2"/>
        <color rgb="FF9C0006"/>
        <sz val="11"/>
      </font>
      <fill>
        <patternFill>
          <bgColor rgb="FFFFC7CE"/>
        </patternFill>
      </fill>
    </dxf>
    <dxf>
      <font>
        <name val="Calibri"/>
        <family val="2"/>
        <color rgb="FF9C0006"/>
        <sz val="11"/>
      </font>
      <fill>
        <patternFill>
          <bgColor rgb="FFFFC7CE"/>
        </patternFill>
      </fill>
    </dxf>
    <dxf>
      <font>
        <name val="Calibri"/>
        <family val="2"/>
        <color rgb="FF9C0006"/>
        <sz val="11"/>
      </font>
      <fill>
        <patternFill>
          <bgColor rgb="FFFFC7CE"/>
        </patternFill>
      </fill>
    </dxf>
    <dxf>
      <font>
        <name val="Calibri"/>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sharedStrings" Target="sharedStrings.xml"/><Relationship Id="rId14"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84" createdVersion="3">
  <cacheSource type="worksheet">
    <worksheetSource ref="A1:CI92" sheet="Table"/>
  </cacheSource>
  <cacheFields count="87">
    <cacheField name="name" numFmtId="0">
      <sharedItems count="83">
        <s v="“Grainflow” Covered Hopper"/>
        <s v="“Polybulk” Covered Hopper"/>
        <s v="“Presflo” Powder Hopper"/>
        <s v="Alstom Class 458/5 &quot;5JUP&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Grain Hopper"/>
        <s v="BR Mark 3 Driving Trailer"/>
        <s v="BR Mk1 BG (B4 Bogies)"/>
        <s v="BR Mk1 BG (Prototype)"/>
        <s v="BR Mk1 Sleeper"/>
        <s v="BR Mk1 Super BG"/>
        <s v="BR Mk3 Sleeper"/>
        <s v="BREL &quot;APT-S&quot; Trailer Rake (10 cars)"/>
        <s v="BREL &quot;APT-S&quot; Trailer Rake (6 cars)"/>
        <s v="BREL APT-S Driving Motor"/>
        <s v="BREL APT-S/Q Driving Van Trailer"/>
        <s v="BREL Class 210 (3 car)"/>
        <s v="BREL Class 210 (4 car)"/>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66 “Networker”"/>
        <s v="BREL Class 88"/>
        <s v="BREL E-HST"/>
        <s v="CAF Mk5 Sleeper (Berths)"/>
        <s v="CAF Mk5 Sleeper (Club Car)"/>
        <s v="CAF Mk5 Sleeper (Seated)"/>
        <s v="EE Class 37/6 &quot;Tractor&quot;"/>
        <s v="EPS “Nightstar” Generator Car"/>
        <s v="EPS “Nightstar” Generator Car (Alternate Livery)"/>
        <s v="EPS “Nightstar” Sleeper (7 Car)"/>
        <s v="EPS “Nightstar” Sleeper (8 Car)"/>
        <s v="GEC-Alsthom Class 373 &quot;Eurostar&quot;"/>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Hunslet Class 153 &quot;Super Sprinter&quot; "/>
        <s v="LMS Brake Van"/>
        <s v="LMS Grain Hopper"/>
        <s v="LNWR Sleeping Car"/>
        <s v="MC Class 251 &quot;Blue Pullman&quot; "/>
        <s v="Metro-Cammell Class 151"/>
        <s v="Midland Railway Brake Van"/>
        <s v="Midland Railway EMU (1 Car)"/>
        <s v="Midland Railway EMU (2 Car)"/>
        <s v="Midland Railway EMU (3 Car)"/>
        <s v="PCA “Vee” Powder Tanker"/>
        <s v="RCH Salt Wagon"/>
        <s v="Ruston and Hornsby 48DS"/>
        <s v="Ruston and Hornsby 88DS"/>
        <s v="Siemens Class 374 ‘Velaro D’"/>
        <s v="SR “Queen Mary” Brake Van"/>
        <s v="SR “Queen Mary” Brake Van (Alternate)"/>
        <s v="Tyne and Wear Metrocar"/>
        <s v="Windhoff MPV (2 Unit)"/>
        <s v="Windhoff MPV (3 Unit)"/>
        <s v="Windhoff MPV (4 Unit)"/>
        <s v="Windhoff MPV (5 Unit)"/>
        <s v="Windhoff MPV (Single)"/>
      </sharedItems>
    </cacheField>
    <cacheField name="id" numFmtId="0">
      <sharedItems count="84">
        <s v="apt_half_2"/>
        <s v="apt_half_2_rev"/>
        <s v="apt_half_6"/>
        <s v="apt_half_6_rev"/>
        <s v="apt_powercar"/>
        <s v="apt_q_dvt"/>
        <s v="apt_s_10"/>
        <s v="apt_s_6"/>
        <s v="apt_s_dm"/>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lass_151"/>
        <s v="class_153"/>
        <s v="class_201_4car"/>
        <s v="class_201_6car"/>
        <s v="class_205_2car"/>
        <s v="class_205_3car"/>
        <s v="class_210_3car"/>
        <s v="class_210_4car"/>
        <s v="class_302_4car"/>
        <s v="class_302_parcels"/>
        <s v="class_309_2_4car_buf"/>
        <s v="class_309_2car"/>
        <s v="class_309_3_4car"/>
        <s v="class_374_12car"/>
        <s v="class_374_16car"/>
        <s v="class_458_5"/>
        <s v="class_466"/>
        <s v="class_810_aurora"/>
        <s v="eps_class_37_6"/>
        <s v="eurostar_3cap"/>
        <s v="eurostar_nol"/>
        <s v="grainflow"/>
        <s v="jpa_tanker"/>
        <s v="lbscr_cp_emu_2"/>
        <s v="lbscr_cp_emu_3"/>
        <s v="lbscr_cp_emu_4"/>
        <s v="lbscr_cp_emu_5"/>
        <s v="lbscr_cp_emu_6"/>
        <s v="lbscr_cw_emu"/>
        <s v="lbscr_emu_mlv"/>
        <s v="lms_grain_hopper"/>
        <s v="mail_coach_mk1_bg"/>
        <s v="mail_coach_mk1_bg_b4"/>
        <s v="mail_coach_mk1_super_bg"/>
        <s v="metrocar"/>
        <s v="mpv_1car"/>
        <s v="mpv_2car"/>
        <s v="mpv_3car"/>
        <s v="mpv_4car"/>
        <s v="mpv_5car"/>
        <s v="mr_horsham_emu_1car"/>
        <s v="mr_horsham_emu_2car"/>
        <s v="mr_horsham_emu_3car"/>
        <s v="nightstar_rake_7car"/>
        <s v="nightstar_rake_8ca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haredItems>
    </cacheField>
    <cacheField name="numeric_id" numFmtId="0">
      <sharedItems containsSemiMixedTypes="0" containsString="0" containsNumber="1" containsInteger="1" minValue="10" maxValue="11375" count="84">
        <n v="10"/>
        <n v="11"/>
        <n v="12"/>
        <n v="13"/>
        <n v="14"/>
        <n v="15"/>
        <n v="16"/>
        <n v="17"/>
        <n v="18"/>
        <n v="19"/>
        <n v="20"/>
        <n v="21"/>
        <n v="22"/>
        <n v="23"/>
        <n v="25"/>
        <n v="26"/>
        <n v="27"/>
        <n v="32"/>
        <n v="40"/>
        <n v="41"/>
        <n v="96"/>
        <n v="97"/>
        <n v="98"/>
        <n v="99"/>
        <n v="101"/>
        <n v="102"/>
        <n v="103"/>
        <n v="105"/>
        <n v="106"/>
        <n v="107"/>
        <n v="108"/>
        <n v="109"/>
        <n v="110"/>
        <n v="120"/>
        <n v="121"/>
        <n v="122"/>
        <n v="123"/>
        <n v="151"/>
        <n v="153"/>
        <n v="201"/>
        <n v="202"/>
        <n v="205"/>
        <n v="206"/>
        <n v="210"/>
        <n v="211"/>
        <n v="251"/>
        <n v="302"/>
        <n v="303"/>
        <n v="309"/>
        <n v="310"/>
        <n v="311"/>
        <n v="312"/>
        <n v="370"/>
        <n v="371"/>
        <n v="372"/>
        <n v="373"/>
        <n v="374"/>
        <n v="380"/>
        <n v="382"/>
        <n v="384"/>
        <n v="386"/>
        <n v="388"/>
        <n v="390"/>
        <n v="396"/>
        <n v="400"/>
        <n v="401"/>
        <n v="410"/>
        <n v="411"/>
        <n v="419"/>
        <n v="420"/>
        <n v="422"/>
        <n v="424"/>
        <n v="471"/>
        <n v="473"/>
        <n v="484"/>
        <n v="489"/>
        <n v="490"/>
        <n v="579"/>
        <n v="580"/>
        <n v="581"/>
        <n v="582"/>
        <n v="583"/>
        <n v="11374"/>
        <n v="11375"/>
      </sharedItems>
    </cacheField>
    <cacheField name="variant_group" numFmtId="0">
      <sharedItems containsString="0" containsBlank="1" containsNumber="1" containsInteger="1" minValue="10" maxValue="11374" count="19">
        <n v="10"/>
        <n v="14"/>
        <n v="98"/>
        <n v="105"/>
        <n v="108"/>
        <n v="121"/>
        <n v="201"/>
        <n v="205"/>
        <n v="210"/>
        <n v="302"/>
        <n v="310"/>
        <n v="372"/>
        <n v="382"/>
        <n v="386"/>
        <n v="400"/>
        <n v="420"/>
        <n v="580"/>
        <n v="11374"/>
        <m/>
      </sharedItems>
    </cacheField>
    <cacheField name="sort_order" numFmtId="0">
      <sharedItems containsSemiMixedTypes="0" containsString="0" containsNumber="1" containsInteger="1" minValue="10" maxValue="1114" count="72">
        <n v="10"/>
        <n v="11"/>
        <n v="12"/>
        <n v="14"/>
        <n v="19"/>
        <n v="20"/>
        <n v="22"/>
        <n v="24"/>
        <n v="26"/>
        <n v="27"/>
        <n v="28"/>
        <n v="29"/>
        <n v="30"/>
        <n v="32"/>
        <n v="39"/>
        <n v="40"/>
        <n v="41"/>
        <n v="45"/>
        <n v="153"/>
        <n v="155"/>
        <n v="372"/>
        <n v="373"/>
        <n v="374"/>
        <n v="375"/>
        <n v="376"/>
        <n v="382"/>
        <n v="384"/>
        <n v="386"/>
        <n v="388"/>
        <n v="390"/>
        <n v="392"/>
        <n v="394"/>
        <n v="396"/>
        <n v="398"/>
        <n v="400"/>
        <n v="410"/>
        <n v="411"/>
        <n v="413"/>
        <n v="421"/>
        <n v="470"/>
        <n v="472"/>
        <n v="473"/>
        <n v="474"/>
        <n v="475"/>
        <n v="476"/>
        <n v="479"/>
        <n v="480"/>
        <n v="490"/>
        <n v="491"/>
        <n v="500"/>
        <n v="1020"/>
        <n v="1021"/>
        <n v="1025"/>
        <n v="1026"/>
        <n v="1027"/>
        <n v="1029"/>
        <n v="1031"/>
        <n v="1090"/>
        <n v="1091"/>
        <n v="1092"/>
        <n v="1093"/>
        <n v="1101"/>
        <n v="1102"/>
        <n v="1103"/>
        <n v="1104"/>
        <n v="1108"/>
        <n v="1109"/>
        <n v="1110"/>
        <n v="1111"/>
        <n v="1112"/>
        <n v="1113"/>
        <n v="1114"/>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33">
        <n v="1905"/>
        <n v="1907"/>
        <n v="1911"/>
        <n v="1924"/>
        <n v="1925"/>
        <n v="1936"/>
        <n v="1938"/>
        <n v="1955"/>
        <n v="1956"/>
        <n v="1957"/>
        <n v="1959"/>
        <n v="1960"/>
        <n v="1962"/>
        <n v="1966"/>
        <n v="1968"/>
        <n v="1973"/>
        <n v="1975"/>
        <n v="1979"/>
        <n v="1982"/>
        <n v="1985"/>
        <n v="1986"/>
        <n v="1989"/>
        <n v="1991"/>
        <n v="1992"/>
        <n v="1993"/>
        <n v="1994"/>
        <n v="1997"/>
        <n v="1999"/>
        <n v="2007"/>
        <n v="2012"/>
        <n v="2014"/>
        <n v="2018"/>
        <n v="2022"/>
      </sharedItems>
    </cacheField>
    <cacheField name="end_year" numFmtId="0">
      <sharedItems containsString="0" containsBlank="1" containsNumber="1" containsInteger="1" minValue="1950" maxValue="2026" count="26">
        <n v="1950"/>
        <n v="1955"/>
        <n v="1960"/>
        <n v="1962"/>
        <n v="1965"/>
        <n v="1966"/>
        <n v="1969"/>
        <n v="1974"/>
        <n v="1980"/>
        <n v="1981"/>
        <n v="1982"/>
        <n v="1986"/>
        <n v="1989"/>
        <n v="1990"/>
        <n v="1991"/>
        <n v="1994"/>
        <n v="1996"/>
        <n v="1998"/>
        <n v="1999"/>
        <n v="2002"/>
        <n v="2010"/>
        <n v="2012"/>
        <n v="2015"/>
        <n v="2025"/>
        <n v="2026"/>
        <m/>
      </sharedItems>
    </cacheField>
    <cacheField name="service" numFmtId="0">
      <sharedItems containsString="0" containsBlank="1" containsNumber="1" containsInteger="1" minValue="1955" maxValue="2031" count="24">
        <n v="1955"/>
        <n v="1960"/>
        <n v="1961"/>
        <n v="1966"/>
        <n v="1973"/>
        <n v="1982"/>
        <n v="1985"/>
        <n v="1987"/>
        <n v="1988"/>
        <n v="1991"/>
        <n v="1992"/>
        <n v="1994"/>
        <n v="1998"/>
        <n v="2000"/>
        <n v="2002"/>
        <n v="2004"/>
        <n v="2005"/>
        <n v="2006"/>
        <n v="2015"/>
        <n v="2022"/>
        <n v="2025"/>
        <n v="2028"/>
        <n v="2031"/>
        <m/>
      </sharedItems>
    </cacheField>
    <cacheField name="cars" numFmtId="0">
      <sharedItems containsString="0" containsBlank="1" containsNumber="1" containsInteger="1" minValue="1" maxValue="20" count="13">
        <n v="1"/>
        <n v="2"/>
        <n v="3"/>
        <n v="4"/>
        <n v="5"/>
        <n v="6"/>
        <n v="7"/>
        <n v="8"/>
        <n v="10"/>
        <n v="12"/>
        <n v="16"/>
        <n v="20"/>
        <m/>
      </sharedItems>
    </cacheField>
    <cacheField name="power" numFmtId="0">
      <sharedItems containsString="0" containsBlank="1" containsNumber="1" containsInteger="1" minValue="10" maxValue="21000" count="28">
        <n v="10"/>
        <n v="45"/>
        <n v="84"/>
        <n v="100"/>
        <n v="248"/>
        <n v="285"/>
        <n v="360"/>
        <n v="500"/>
        <n v="600"/>
        <n v="710"/>
        <n v="768"/>
        <n v="855"/>
        <n v="1000"/>
        <n v="1128"/>
        <n v="1500"/>
        <n v="1600"/>
        <n v="1750"/>
        <n v="2100"/>
        <n v="2250"/>
        <n v="2750"/>
        <n v="3620"/>
        <n v="4000"/>
        <n v="4800"/>
        <n v="5400"/>
        <n v="15750"/>
        <n v="16400"/>
        <n v="21000"/>
        <m/>
      </sharedItems>
    </cacheField>
    <cacheField name="secondary_power" numFmtId="0">
      <sharedItems containsString="0" containsBlank="1" containsNumber="1" containsInteger="1" minValue="3950" maxValue="4600" count="3">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67">
        <n v="6.4"/>
        <n v="7"/>
        <n v="9.7"/>
        <n v="10.1"/>
        <n v="12.4"/>
        <n v="12.9"/>
        <n v="13.4"/>
        <n v="17"/>
        <n v="19.9"/>
        <n v="20"/>
        <n v="22.7"/>
        <n v="26"/>
        <n v="33"/>
        <n v="34"/>
        <n v="35"/>
        <n v="37.5"/>
        <n v="38.4"/>
        <n v="39"/>
        <n v="40"/>
        <n v="40.5"/>
        <n v="41.2"/>
        <n v="43"/>
        <n v="46.1"/>
        <n v="46.2"/>
        <n v="57.5"/>
        <n v="61"/>
        <n v="62"/>
        <n v="65.6"/>
        <n v="67.5"/>
        <n v="68.5"/>
        <n v="71.5"/>
        <n v="72"/>
        <n v="74"/>
        <n v="76.8"/>
        <n v="77"/>
        <n v="78"/>
        <n v="80"/>
        <n v="97"/>
        <n v="99"/>
        <n v="99.5"/>
        <n v="101"/>
        <n v="102"/>
        <n v="105"/>
        <n v="109"/>
        <n v="118"/>
        <n v="120"/>
        <n v="124"/>
        <n v="127"/>
        <n v="144"/>
        <n v="152"/>
        <n v="157"/>
        <n v="160"/>
        <n v="164.8"/>
        <n v="170"/>
        <n v="171"/>
        <n v="177"/>
        <n v="180"/>
        <n v="200"/>
        <n v="209.6"/>
        <n v="235"/>
        <n v="238"/>
        <n v="258.2"/>
        <n v="340"/>
        <n v="363.4"/>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5" count="4">
        <n v="3"/>
        <n v="4"/>
        <n v="5"/>
        <m/>
      </sharedItems>
    </cacheField>
    <cacheField name="tractive_effort" numFmtId="0">
      <sharedItems containsString="0" containsBlank="1" containsNumber="1" containsInteger="1" minValue="5" maxValue="480" count="26">
        <n v="5"/>
        <n v="15"/>
        <n v="40"/>
        <n v="48"/>
        <n v="55"/>
        <n v="60"/>
        <n v="85"/>
        <n v="92"/>
        <n v="95"/>
        <n v="106"/>
        <n v="130"/>
        <n v="145"/>
        <n v="155"/>
        <n v="180"/>
        <n v="186"/>
        <n v="192"/>
        <n v="195"/>
        <n v="205"/>
        <n v="210"/>
        <n v="220"/>
        <n v="240"/>
        <n v="247"/>
        <n v="267"/>
        <n v="360"/>
        <n v="480"/>
        <m/>
      </sharedItems>
    </cacheField>
    <cacheField name="te_coeff" numFmtId="0">
      <sharedItems containsMixedTypes="1" containsNumber="1" minValue="0.00193648334624322" maxValue="0.352941176470588" count="56">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623376623376623"/>
        <n v="0.0638888888888889"/>
        <n v="0.0700729927007299"/>
        <n v="0.0774193548387097"/>
        <n v="0.0779661016949153"/>
        <n v="0.0828025477707006"/>
        <n v="0.0829787234042553"/>
        <n v="0.0898305084745763"/>
        <n v="0.1"/>
        <n v="0.104838709677419"/>
        <n v="0.107070707070707"/>
        <n v="0.119883040935673"/>
        <n v="0.12"/>
        <n v="0.120588235294118"/>
        <n v="0.128"/>
        <n v="0.1325"/>
        <n v="0.147826086956522"/>
        <n v="0.149484536082474"/>
        <n v="0.153631284916201"/>
        <n v="0.16"/>
        <n v="0.173770491803279"/>
        <n v="0.180555555555556"/>
        <n v="0.202970297029703"/>
        <n v="0.205384615384615"/>
        <n v="0.205627705627706"/>
        <n v="0.211764705882353"/>
        <n v="0.214285714285714"/>
        <n v="0.234567901234568"/>
        <n v="0.235238095238095"/>
        <n v="0.238461538461538"/>
        <n v="0.243243243243243"/>
        <n v="0.251748251748252"/>
        <n v="0.2734375"/>
        <n v="0.280701754385965"/>
        <n v="0.311111111111111"/>
        <n v="0.311764705882353"/>
        <n v="0.352941176470588"/>
        <s v=""/>
      </sharedItems>
    </cacheField>
    <cacheField name="speed" numFmtId="0">
      <sharedItems containsSemiMixedTypes="0" containsString="0" containsNumber="1" containsInteger="1" minValue="12" maxValue="200" count="14">
        <n v="12"/>
        <n v="18"/>
        <n v="45"/>
        <n v="50"/>
        <n v="60"/>
        <n v="75"/>
        <n v="90"/>
        <n v="100"/>
        <n v="110"/>
        <n v="125"/>
        <n v="140"/>
        <n v="155"/>
        <n v="186"/>
        <n v="200"/>
      </sharedItems>
    </cacheField>
    <cacheField name="kmhish_speed" numFmtId="0">
      <sharedItems containsSemiMixedTypes="0" containsString="0" containsNumber="1" containsInteger="1" minValue="19" maxValue="320" count="15">
        <n v="19"/>
        <n v="29"/>
        <n v="72"/>
        <n v="80"/>
        <n v="96"/>
        <n v="120"/>
        <n v="128"/>
        <n v="144"/>
        <n v="160"/>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35">
        <n v="5.5"/>
        <n v="6"/>
        <n v="6.1"/>
        <n v="6.2"/>
        <n v="7.6"/>
        <n v="8"/>
        <n v="8.8"/>
        <n v="10"/>
        <n v="12.8"/>
        <n v="13.9"/>
        <n v="16.2"/>
        <n v="16.36"/>
        <n v="17.37"/>
        <n v="17.79"/>
        <n v="18"/>
        <n v="18.3"/>
        <n v="18.4"/>
        <n v="18.75"/>
        <n v="19.13"/>
        <n v="19.5"/>
        <n v="19.64"/>
        <n v="19.8"/>
        <n v="19.9"/>
        <n v="20.2"/>
        <n v="20.26"/>
        <n v="20.3"/>
        <n v="20.9"/>
        <n v="22"/>
        <n v="22.15"/>
        <n v="22.2"/>
        <n v="23"/>
        <n v="23.2"/>
        <n v="24"/>
        <n v="25.7"/>
        <m/>
      </sharedItems>
    </cacheField>
    <cacheField name="scale_len" numFmtId="0">
      <sharedItems containsSemiMixedTypes="0" containsString="0" containsNumber="1" minValue="6" maxValue="25.7" count="21">
        <n v="6"/>
        <n v="8"/>
        <n v="10"/>
        <n v="12.8"/>
        <n v="13.9"/>
        <n v="16.36"/>
        <n v="17"/>
        <n v="17.5"/>
        <n v="17.79"/>
        <n v="18"/>
        <n v="18.3"/>
        <n v="18.75"/>
        <n v="19.13"/>
        <n v="20"/>
        <n v="20.9"/>
        <n v="21"/>
        <n v="22"/>
        <n v="22.15"/>
        <n v="23"/>
        <n v="23.2"/>
        <n v="25.7"/>
      </sharedItems>
    </cacheField>
    <cacheField name="width" numFmtId="0">
      <sharedItems containsString="0" containsBlank="1" containsNumber="1" minValue="2.4" maxValue="2.92" count="13">
        <n v="2.4"/>
        <n v="2.5"/>
        <n v="2.6"/>
        <n v="2.65"/>
        <n v="2.7"/>
        <n v="2.71"/>
        <n v="2.75"/>
        <n v="2.8"/>
        <n v="2.81"/>
        <n v="2.82"/>
        <n v="2.9"/>
        <n v="2.92"/>
        <m/>
      </sharedItems>
    </cacheField>
    <cacheField name="height" numFmtId="0">
      <sharedItems containsString="0" containsBlank="1" containsNumber="1" minValue="3.16" maxValue="4.3" count="15">
        <n v="3.16"/>
        <n v="3.32"/>
        <n v="3.35"/>
        <n v="3.5"/>
        <n v="3.7"/>
        <n v="3.77"/>
        <n v="3.79"/>
        <n v="3.8"/>
        <n v="3.84"/>
        <n v="3.89"/>
        <n v="3.9"/>
        <n v="3.91"/>
        <n v="3.97"/>
        <n v="4.3"/>
        <m/>
      </sharedItems>
    </cacheField>
    <cacheField name="capacity" numFmtId="0">
      <sharedItems containsSemiMixedTypes="0" containsString="0" containsNumber="1" containsInteger="1" minValue="0" maxValue="80" count="36">
        <n v="0"/>
        <n v="10"/>
        <n v="13"/>
        <n v="18"/>
        <n v="20"/>
        <n v="22"/>
        <n v="24"/>
        <n v="25"/>
        <n v="30"/>
        <n v="33"/>
        <n v="35"/>
        <n v="36"/>
        <n v="37"/>
        <n v="38"/>
        <n v="39"/>
        <n v="40"/>
        <n v="41"/>
        <n v="42"/>
        <n v="44"/>
        <n v="45"/>
        <n v="47"/>
        <n v="48"/>
        <n v="49"/>
        <n v="50"/>
        <n v="51"/>
        <n v="53"/>
        <n v="54"/>
        <n v="56"/>
        <n v="57"/>
        <n v="60"/>
        <n v="64"/>
        <n v="65"/>
        <n v="67"/>
        <n v="72"/>
        <n v="77"/>
        <n v="80"/>
      </sharedItems>
    </cacheField>
    <cacheField name="voxel_size" numFmtId="0">
      <sharedItems count="32">
        <s v="102x37x50"/>
        <s v="102x40x57"/>
        <s v="136x0x0"/>
        <s v="136x37x50"/>
        <s v="136x39x47"/>
        <s v="164x0x0"/>
        <s v="164x0x58"/>
        <s v="164x40x57"/>
        <s v="186x0x58"/>
        <s v="186x37x56"/>
        <s v="186x40x57"/>
        <s v="186x40x58"/>
        <s v="186x42x56"/>
        <s v="198x0x0"/>
        <s v="198x37x56"/>
        <s v="198x40x52"/>
        <s v="198x40x56"/>
        <s v="198x42x56"/>
        <s v="198x42x57"/>
        <s v="198x42x59"/>
        <s v="198x43x56"/>
        <s v="214x0x0"/>
        <s v="214x40x52"/>
        <s v="214x41x56"/>
        <s v="214x42x0"/>
        <s v="214x42x56"/>
        <s v="238x40x55"/>
        <s v="256x43x64"/>
        <s v="60x36x49"/>
        <s v="82x36x49"/>
        <s v="82x37x50"/>
        <s v="82x39x58"/>
      </sharedItems>
    </cacheField>
    <cacheField name="ttd_len" numFmtId="0">
      <sharedItems containsSemiMixedTypes="0" containsString="0" containsNumber="1" containsInteger="1" minValue="4" maxValue="15" count="10">
        <n v="4"/>
        <n v="5"/>
        <n v="6"/>
        <n v="8"/>
        <n v="10"/>
        <n v="11"/>
        <n v="12"/>
        <n v="13"/>
        <n v="14"/>
        <n v="15"/>
      </sharedItems>
    </cacheField>
    <cacheField name="tender" numFmtId="0">
      <sharedItems containsString="0" containsBlank="1" count="1">
        <m/>
      </sharedItems>
    </cacheField>
    <cacheField name="articulated_lengths" numFmtId="0">
      <sharedItems count="10">
        <s v="1,2,1"/>
        <s v="2,1,2"/>
        <s v="2,2,2"/>
        <s v="2,4,2"/>
        <s v="4,2,4"/>
        <s v="4,3,4"/>
        <s v="4,4,4"/>
        <s v="4,5,4"/>
        <s v="4,6,4"/>
        <s v="4,7,4"/>
      </sharedItems>
    </cacheField>
    <cacheField name="effect_unit" numFmtId="0">
      <sharedItems containsBlank="1" containsMixedTypes="1" containsNumber="1" containsInteger="1" minValue="0" maxValue="12" count="14">
        <n v="0"/>
        <n v="1"/>
        <n v="2"/>
        <n v="3"/>
        <n v="4"/>
        <n v="6"/>
        <n v="8"/>
        <n v="12"/>
        <s v="0,11"/>
        <s v="0,17"/>
        <s v="0,24"/>
        <s v="6,30"/>
        <s v="6,42"/>
        <m/>
      </sharedItems>
    </cacheField>
    <cacheField name="manual_lengths" numFmtId="0">
      <sharedItems containsBlank="1" count="6">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6">
        <s v="10,10,8,10,10"/>
        <s v="13,13,11,11,11,11,11,11,11,13,13,11,11,11,11,11,11,11,13,13"/>
        <s v="13,13,11,11,11,11,11,13,13,11,11,11,11,11,13,13"/>
        <s v="15,14,14,14,14,14,14,14,14,14,14,14,14,14,14,15"/>
        <s v="15,14,14,14,14,14,14,14,14,14,14,15"/>
        <m/>
      </sharedItems>
    </cacheField>
    <cacheField name="layout" numFmtId="0">
      <sharedItems containsBlank="1" count="47"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class_151,class_151_mid,class_151_rear"/>
        <s v="class_153"/>
        <s v="class_458,alstom_juniper_mid,alstom_juniper_mid,alstom_juniper_mid,class_458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metrocar_front,metrocar_rear"/>
        <s v="mr_emu_dm"/>
        <s v="mr_emu_dt,mr_emu_dm"/>
        <s v="mr_emu_dt,mr_emu_dm,mr_emu_dt_rev"/>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5">
        <s v="brel_ehst"/>
        <s v="class_810_aurora_rear"/>
        <s v="eurostar_3cap_rear"/>
        <s v="eurostar_nol_rear"/>
        <m/>
      </sharedItems>
    </cacheField>
    <cacheField name="new_sprites" numFmtId="0">
      <sharedItems containsBlank="1" containsMixedTypes="1" containsNumber="1" containsInteger="1" minValue="1" maxValue="1" count="29">
        <n v="1"/>
        <s v="0,0"/>
        <s v="0,0,0,0"/>
        <s v="0,0,0,0,0"/>
        <s v="0,0,0,0,0,0"/>
        <s v="0,0,0,0,0,0,0,0"/>
        <s v="0,0,0,0,0,0,0,0,0,0,0,0"/>
        <s v="0,0,1"/>
        <s v="0,0,1,0,0"/>
        <s v="0,1,0"/>
        <s v="0,1,0,0"/>
        <s v="1,0"/>
        <s v="1,0,0"/>
        <s v="1,0,0,0,0,0,0,0,0,0,0,0,0,0,0,1"/>
        <s v="1,0,0,0,0,0,0,0,0,1"/>
        <s v="1,0,0,0,0,1"/>
        <s v="1,0,1"/>
        <s v="1,1"/>
        <s v="1,1,0,0,0,0,0,1"/>
        <s v="1,1,0,0,0,1"/>
        <s v="1,1,0,0,1"/>
        <s v="1,1,0,1"/>
        <s v="1,1,0,1,1,0,1"/>
        <s v="1,1,1"/>
        <s v="1,1,1,0"/>
        <s v="1,1,1,0,0,0,1,0,0,1,1,1,0,1,0,0,0,0,1,1"/>
        <s v="1,1,1,1"/>
        <s v="1,1,1,1,0,0,0,1,0,1,1,0,0,0,1,1"/>
        <m/>
      </sharedItems>
    </cacheField>
    <cacheField name="reuse_sprites" numFmtId="0">
      <sharedItems containsBlank="1" count="25">
        <s v="apt"/>
        <s v="apt_tbf_rev"/>
        <s v="apt_tbf2_rev"/>
        <s v="blue_pullman"/>
        <s v="br_4cep"/>
        <s v="br_am2"/>
        <s v="br_am2_9"/>
        <s v="br_am9_1"/>
        <s v="br_am9_2"/>
        <s v="br_class_201"/>
        <s v="br_class_205"/>
        <s v="brel_class_210_dmbs"/>
        <s v="brel_class_210_dtso"/>
        <s v="class_151"/>
        <s v="class_458"/>
        <s v="eurostar_e320_front"/>
        <s v="lbscr_emu_dt"/>
        <s v="lbscr_emu_mlv"/>
        <s v="metrocar_front"/>
        <s v="mr_emu_dm"/>
        <s v="mr_emu_dt_rev"/>
        <s v="passenger_coach_nightstar_1e"/>
        <s v="windhoff_mpv_front"/>
        <s v="windhoff_mpv_single"/>
        <m/>
      </sharedItems>
    </cacheField>
    <cacheField name="animated" numFmtId="0">
      <sharedItems containsString="0" containsBlank="1" count="1">
        <m/>
      </sharedItems>
    </cacheField>
    <cacheField name="random_flip_vehicle" numFmtId="0">
      <sharedItems containsBlank="1" count="6">
        <s v="passenger_coach_mk1_sleeper_rev"/>
        <s v="passenger_coach_mk3_sleeper_rev"/>
        <s v="passenger_coach_mk5_sleeper_club_rev"/>
        <s v="passenger_coach_mk5_sleeper_rev"/>
        <s v="passenger_coach_mk5_sleeper_seated_rev"/>
        <m/>
      </sharedItems>
    </cacheField>
    <cacheField name="vehicle_life" numFmtId="0">
      <sharedItems containsSemiMixedTypes="0" containsString="0" containsNumber="1" containsInteger="1" minValue="12" maxValue="60" count="13">
        <n v="12"/>
        <n v="20"/>
        <n v="22"/>
        <n v="25"/>
        <n v="27"/>
        <n v="30"/>
        <n v="32"/>
        <n v="33"/>
        <n v="35"/>
        <n v="40"/>
        <n v="45"/>
        <n v="50"/>
        <n v="60"/>
      </sharedItems>
    </cacheField>
    <cacheField name="lifespan" numFmtId="0">
      <sharedItems containsBlank="1" containsMixedTypes="1" containsNumber="1" containsInteger="1" minValue="16" maxValue="120" count="27">
        <n v="16"/>
        <n v="17"/>
        <n v="21"/>
        <n v="32"/>
        <n v="35"/>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2">
        <n v="-90"/>
        <n v="-65"/>
        <n v="-60"/>
        <n v="-55"/>
        <n v="-50"/>
        <n v="-45"/>
        <n v="-30"/>
        <n v="-25"/>
        <n v="-20"/>
        <n v="-15"/>
        <n v="-14"/>
        <n v="-10"/>
        <n v="0"/>
        <n v="6"/>
        <n v="25"/>
        <n v="35"/>
        <n v="45"/>
        <n v="80"/>
        <n v="90"/>
        <n v="110"/>
        <n v="150"/>
        <m/>
      </sharedItems>
    </cacheField>
    <cacheField name="speed_cost_factor" numFmtId="0">
      <sharedItems containsSemiMixedTypes="0" containsString="0" containsNumber="1" minValue="2.4" maxValue="30" count="13">
        <n v="2.4"/>
        <n v="3.6"/>
        <n v="9"/>
        <n v="10"/>
        <n v="12"/>
        <n v="15"/>
        <n v="16"/>
        <n v="18"/>
        <n v="20"/>
        <n v="22"/>
        <n v="25"/>
        <n v="28"/>
        <n v="30"/>
      </sharedItems>
    </cacheField>
    <cacheField name="power_cost_factor" numFmtId="0">
      <sharedItems containsSemiMixedTypes="0" containsString="0" containsNumber="1" minValue="0" maxValue="20" count="24">
        <n v="0"/>
        <n v="0.05"/>
        <n v="0.225"/>
        <n v="0.42"/>
        <n v="0.5"/>
        <n v="1.24"/>
        <n v="1.425"/>
        <n v="1.8"/>
        <n v="2.5"/>
        <n v="3"/>
        <n v="3.55"/>
        <n v="3.84"/>
        <n v="4.275"/>
        <n v="5"/>
        <n v="5.64"/>
        <n v="7.5"/>
        <n v="8"/>
        <n v="8.75"/>
        <n v="10.5"/>
        <n v="11.25"/>
        <n v="13.75"/>
        <n v="16.5"/>
        <n v="18.1"/>
        <n v="20"/>
      </sharedItems>
    </cacheField>
    <cacheField name="te_cost_factor" numFmtId="0">
      <sharedItems containsSemiMixedTypes="0" containsString="0" containsNumber="1" minValue="0" maxValue="20" count="26">
        <n v="0"/>
        <n v="0.25"/>
        <n v="0.75"/>
        <n v="2"/>
        <n v="2.4"/>
        <n v="2.75"/>
        <n v="3"/>
        <n v="4.25"/>
        <n v="4.6"/>
        <n v="4.75"/>
        <n v="5.3"/>
        <n v="6.5"/>
        <n v="7.25"/>
        <n v="7.75"/>
        <n v="9"/>
        <n v="9.3"/>
        <n v="9.6"/>
        <n v="9.75"/>
        <n v="10.25"/>
        <n v="10.5"/>
        <n v="11"/>
        <n v="12"/>
        <n v="12.35"/>
        <n v="13.35"/>
        <n v="18"/>
        <n v="20"/>
      </sharedItems>
    </cacheField>
    <cacheField name="year_multiplier" numFmtId="0">
      <sharedItems containsSemiMixedTypes="0" containsString="0" containsNumber="1" minValue="0.837333333333333" maxValue="0.993333333333333" count="34">
        <n v="0.837333333333333"/>
        <n v="0.842666666666667"/>
        <n v="0.848"/>
        <n v="0.850666666666667"/>
        <n v="0.857333333333333"/>
        <n v="0.868"/>
        <n v="0.870666666666667"/>
        <n v="0.874666666666667"/>
        <n v="0.876"/>
        <n v="0.877333333333333"/>
        <n v="0.878666666666667"/>
        <n v="0.881333333333333"/>
        <n v="0.885333333333333"/>
        <n v="0.886666666666667"/>
        <n v="0.889333333333333"/>
        <n v="0.890666666666667"/>
        <n v="0.894666666666667"/>
        <n v="0.9"/>
        <n v="0.902666666666667"/>
        <n v="0.909333333333333"/>
        <n v="0.912"/>
        <n v="0.917333333333333"/>
        <n v="0.92"/>
        <n v="0.921333333333333"/>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54">
        <n v="0"/>
        <n v="1.2"/>
        <n v="1.26666666666667"/>
        <n v="1.33333333333333"/>
        <n v="1.4"/>
        <n v="1.5"/>
        <n v="1.66666666666667"/>
        <n v="2"/>
        <n v="2.16666666666667"/>
        <n v="2.4"/>
        <n v="2.6"/>
        <n v="2.66666666666667"/>
        <n v="3"/>
        <n v="3.13333333333333"/>
        <n v="3.2"/>
        <n v="3.33333333333333"/>
        <n v="3.4"/>
        <n v="3.6"/>
        <n v="3.66666666666667"/>
        <n v="3.8"/>
        <n v="4"/>
        <n v="4.8"/>
        <n v="4.93333333333333"/>
        <n v="5"/>
        <n v="5.1"/>
        <n v="5.33333333333333"/>
        <n v="5.46666666666667"/>
        <n v="5.5"/>
        <n v="5.7"/>
        <n v="5.83333333333333"/>
        <n v="6"/>
        <n v="6.4"/>
        <n v="6.66666666666667"/>
        <n v="6.7"/>
        <n v="7.06666666666667"/>
        <n v="7.46666666666667"/>
        <n v="7.6"/>
        <n v="7.7"/>
        <n v="8"/>
        <n v="8.4"/>
        <n v="8.53333333333333"/>
        <n v="8.8"/>
        <n v="9"/>
        <n v="9.33333333333333"/>
        <n v="9.6"/>
        <n v="10"/>
        <n v="10.8333333333333"/>
        <n v="12"/>
        <n v="13.3333333333333"/>
        <n v="16.3333333333333"/>
        <n v="18.6666666666667"/>
        <n v="21.2"/>
        <n v="23.3333333333333"/>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0">
        <n v="0.4"/>
        <n v="0.45"/>
        <n v="0.6"/>
        <n v="0.7"/>
        <n v="1.5"/>
        <n v="1.725"/>
        <n v="2"/>
        <n v="2.3"/>
        <n v="2.4"/>
        <n v="2.5"/>
      </sharedItems>
    </cacheField>
    <cacheField name="cost" numFmtId="0">
      <sharedItems containsSemiMixedTypes="0" containsString="0" containsNumber="1" containsInteger="1" minValue="4" maxValue="251" count="64">
        <n v="4"/>
        <n v="8"/>
        <n v="9"/>
        <n v="10"/>
        <n v="12"/>
        <n v="13"/>
        <n v="14"/>
        <n v="20"/>
        <n v="21"/>
        <n v="25"/>
        <n v="26"/>
        <n v="27"/>
        <n v="28"/>
        <n v="30"/>
        <n v="31"/>
        <n v="34"/>
        <n v="36"/>
        <n v="37"/>
        <n v="38"/>
        <n v="39"/>
        <n v="41"/>
        <n v="42"/>
        <n v="44"/>
        <n v="45"/>
        <n v="46"/>
        <n v="48"/>
        <n v="49"/>
        <n v="50"/>
        <n v="54"/>
        <n v="58"/>
        <n v="61"/>
        <n v="62"/>
        <n v="63"/>
        <n v="64"/>
        <n v="65"/>
        <n v="66"/>
        <n v="67"/>
        <n v="69"/>
        <n v="72"/>
        <n v="73"/>
        <n v="75"/>
        <n v="76"/>
        <n v="78"/>
        <n v="82"/>
        <n v="88"/>
        <n v="93"/>
        <n v="104"/>
        <n v="105"/>
        <n v="111"/>
        <n v="116"/>
        <n v="121"/>
        <n v="127"/>
        <n v="130"/>
        <n v="141"/>
        <n v="157"/>
        <n v="167"/>
        <n v="168"/>
        <n v="170"/>
        <n v="171"/>
        <n v="208"/>
        <n v="213"/>
        <n v="231"/>
        <n v="244"/>
        <n v="251"/>
      </sharedItems>
    </cacheField>
    <cacheField name="running_cost" numFmtId="0">
      <sharedItems containsSemiMixedTypes="0" containsString="0" containsNumber="1" containsInteger="1" minValue="14" maxValue="1284" count="65">
        <n v="14"/>
        <n v="20"/>
        <n v="27"/>
        <n v="28"/>
        <n v="29"/>
        <n v="30"/>
        <n v="31"/>
        <n v="32"/>
        <n v="33"/>
        <n v="35"/>
        <n v="37"/>
        <n v="38"/>
        <n v="43"/>
        <n v="46"/>
        <n v="47"/>
        <n v="48"/>
        <n v="49"/>
        <n v="51"/>
        <n v="54"/>
        <n v="55"/>
        <n v="58"/>
        <n v="61"/>
        <n v="62"/>
        <n v="64"/>
        <n v="65"/>
        <n v="66"/>
        <n v="67"/>
        <n v="69"/>
        <n v="70"/>
        <n v="71"/>
        <n v="73"/>
        <n v="74"/>
        <n v="75"/>
        <n v="76"/>
        <n v="77"/>
        <n v="79"/>
        <n v="82"/>
        <n v="84"/>
        <n v="86"/>
        <n v="88"/>
        <n v="101"/>
        <n v="102"/>
        <n v="103"/>
        <n v="105"/>
        <n v="107"/>
        <n v="109"/>
        <n v="113"/>
        <n v="114"/>
        <n v="118"/>
        <n v="121"/>
        <n v="126"/>
        <n v="154"/>
        <n v="165"/>
        <n v="168"/>
        <n v="175"/>
        <n v="225"/>
        <n v="305"/>
        <n v="318"/>
        <n v="1040"/>
        <n v="1053"/>
        <n v="1190"/>
        <n v="1192"/>
        <n v="1195"/>
        <n v="1197"/>
        <n v="1284"/>
      </sharedItems>
    </cacheField>
    <cacheField name="cost_gbp" numFmtId="0">
      <sharedItems containsSemiMixedTypes="0" containsString="0" containsNumber="1" minValue="500" maxValue="196093.75" count="66">
        <n v="500"/>
        <n v="562.5"/>
        <n v="625"/>
        <n v="812.5"/>
        <n v="875"/>
        <n v="3000"/>
        <n v="3125"/>
        <n v="3625"/>
        <n v="4187.5"/>
        <n v="7937.5"/>
        <n v="8125"/>
        <n v="9375"/>
        <n v="10437.5"/>
        <n v="10500"/>
        <n v="10625"/>
        <n v="10687.5"/>
        <n v="13312.5"/>
        <n v="15625"/>
        <n v="16406.25"/>
        <n v="19531.25"/>
        <n v="20312.5"/>
        <n v="21093.75"/>
        <n v="21875"/>
        <n v="23437.5"/>
        <n v="24218.75"/>
        <n v="26562.5"/>
        <n v="28125"/>
        <n v="28906.25"/>
        <n v="29687.5"/>
        <n v="30468.75"/>
        <n v="32031.25"/>
        <n v="32812.5"/>
        <n v="34375"/>
        <n v="35156.25"/>
        <n v="35937.5"/>
        <n v="37500"/>
        <n v="38281.25"/>
        <n v="39062.5"/>
        <n v="42187.5"/>
        <n v="47656.25"/>
        <n v="48437.5"/>
        <n v="49218.75"/>
        <n v="50000"/>
        <n v="50781.25"/>
        <n v="51562.5"/>
        <n v="52343.75"/>
        <n v="53906.25"/>
        <n v="56250"/>
        <n v="57031.25"/>
        <n v="58593.75"/>
        <n v="59375"/>
        <n v="60937.5"/>
        <n v="64062.5"/>
        <n v="68750"/>
        <n v="72656.25"/>
        <n v="81250"/>
        <n v="82031.25"/>
        <n v="86718.75"/>
        <n v="90625"/>
        <n v="94531.25"/>
        <n v="110156.25"/>
        <n v="122656.25"/>
        <n v="162500"/>
        <n v="180468.75"/>
        <n v="190625"/>
        <n v="196093.75"/>
      </sharedItems>
    </cacheField>
    <cacheField name="run_cost_gbp" numFmtId="0">
      <sharedItems containsSemiMixedTypes="0" containsString="0" containsNumber="1" minValue="76.44" maxValue="25837.5" count="67">
        <n v="76.44"/>
        <n v="81.9"/>
        <n v="84.63"/>
        <n v="87.36"/>
        <n v="90.09"/>
        <n v="95.55"/>
        <n v="101.01"/>
        <n v="103.74"/>
        <n v="286.65"/>
        <n v="311.22"/>
        <n v="343.98"/>
        <n v="1137.5"/>
        <n v="1625"/>
        <n v="2193.75"/>
        <n v="2356.25"/>
        <n v="2681.25"/>
        <n v="2839.2"/>
        <n v="2874.69"/>
        <n v="3087.5"/>
        <n v="3248.7"/>
        <n v="3254.16"/>
        <n v="3262.35"/>
        <n v="3267.81"/>
        <n v="3493.75"/>
        <n v="3505.32"/>
        <n v="3737.5"/>
        <n v="3818.75"/>
        <n v="3900"/>
        <n v="3981.25"/>
        <n v="4143.75"/>
        <n v="4387.5"/>
        <n v="4468.75"/>
        <n v="4712.5"/>
        <n v="4956.25"/>
        <n v="5037.5"/>
        <n v="5200"/>
        <n v="5281.25"/>
        <n v="5362.5"/>
        <n v="5443.75"/>
        <n v="5606.25"/>
        <n v="5687.5"/>
        <n v="5768.75"/>
        <n v="5931.25"/>
        <n v="6012.5"/>
        <n v="6093.75"/>
        <n v="6175"/>
        <n v="6256.25"/>
        <n v="6418.75"/>
        <n v="6662.5"/>
        <n v="6825"/>
        <n v="6987.5"/>
        <n v="7150"/>
        <n v="8206.25"/>
        <n v="8287.5"/>
        <n v="8368.75"/>
        <n v="8693.75"/>
        <n v="8856.25"/>
        <n v="9181.25"/>
        <n v="9587.5"/>
        <n v="9831.25"/>
        <n v="12512.5"/>
        <n v="13406.25"/>
        <n v="13650"/>
        <n v="1421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35">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51"/>
        <s v="class_153"/>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2_4car_buf,class_309_3_4car"/>
        <s v="class_302_4car,class_302_parcels,class_309_2car,class_309_3_4car"/>
        <s v="class_302_4car,class_309_2car,class_309_2_4car_buf,class_309_3_4car"/>
        <s v="class_302_parcels,class_309_2car,class_309_2_4car_buf,class_309_3_4car"/>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6">
        <s v="concept_trains"/>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0">
        <n v="1"/>
        <n v="2"/>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7">
        <s v="Brakevan"/>
        <s v="Container"/>
        <s v="Covered"/>
        <s v="Parcel"/>
        <s v="Passengers"/>
        <s v="Powder"/>
        <m/>
      </sharedItems>
    </cacheField>
    <cacheField name="pax_special" numFmtId="0">
      <sharedItems containsBlank="1" count="4">
        <s v="buffet"/>
        <s v="generator_car"/>
        <s v="nightstar"/>
        <m/>
      </sharedItems>
    </cacheField>
    <cacheField name="default_cargo" numFmtId="0">
      <sharedItems containsBlank="1" count="8">
        <s v="BDMT"/>
        <s v="BRAKE"/>
        <s v="GOOD"/>
        <s v="GRAI"/>
        <s v="MAIL"/>
        <s v="PASS"/>
        <s v="SALT"/>
        <m/>
      </sharedItems>
    </cacheField>
    <cacheField name="era_id" numFmtId="0">
      <sharedItems count="6">
        <s v="big4"/>
        <s v="dsl"/>
        <s v="edw"/>
        <s v="lbr"/>
        <s v="mod"/>
        <s v="prv"/>
      </sharedItems>
    </cacheField>
    <cacheField name="category" numFmtId="0">
      <sharedItems count="13">
        <s v="Carriage"/>
        <s v="Cheap"/>
        <s v="DMU"/>
        <s v="DMU (Express)"/>
        <s v="EMU"/>
        <s v="EMU (Express)"/>
        <s v="Express"/>
        <s v="Express (Electric)"/>
        <s v="Extra"/>
        <s v="Freight"/>
        <s v="Mail Carriage"/>
        <s v="MT (Electric)"/>
        <s v="Tanker"/>
      </sharedItems>
    </cacheField>
    <cacheField name="era_cat" numFmtId="0">
      <sharedItems count="28">
        <s v="big4_Cheap"/>
        <s v="big4_EMU"/>
        <s v="big4_Extra"/>
        <s v="big4_Tanker"/>
        <s v="dsl_DMU"/>
        <s v="dsl_DMU (Express)"/>
        <s v="dsl_EMU"/>
        <s v="dsl_EMU (Express)"/>
        <s v="dsl_Mail Carriage"/>
        <s v="dsl_Tanker"/>
        <s v="edw_Carriage"/>
        <s v="edw_EMU"/>
        <s v="edw_Tanker"/>
        <s v="lbr_Carriage"/>
        <s v="lbr_DMU"/>
        <s v="lbr_EMU"/>
        <s v="lbr_EMU (Express)"/>
        <s v="lbr_Express"/>
        <s v="lbr_Express (Electric)"/>
        <s v="lbr_Freight"/>
        <s v="lbr_Mail Carriage"/>
        <s v="lbr_Tanker"/>
        <s v="mod_Carriage"/>
        <s v="mod_EMU (Express)"/>
        <s v="mod_MT (Electric)"/>
        <s v="mod_Tanker"/>
        <s v="prv_Carriage"/>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25">
        <s v="{BLACK}Length: {GOLD}0.3 tiles{}"/>
        <s v="{BLACK}Length: {GOLD}0.4 tiles{}"/>
        <s v="{BLACK}Length: {GOLD}0.5 tiles{}"/>
        <s v="{BLACK}Length: {GOLD}0.7 tiles{}"/>
        <s v="{BLACK}Length: {GOLD}0.8 tiles{}"/>
        <s v="{BLACK}Length: {GOLD}0.9 tiles{}"/>
        <s v="{BLACK}Length: {GOLD}1.0 tiles{}"/>
        <s v="{BLACK}Length: {GOLD}1.3 tiles{}"/>
        <s v="{BLACK}Length: {GOLD}1.5 tiles{}"/>
        <s v="{BLACK}Length: {GOLD}1.9 tiles{}"/>
        <s v="{BLACK}Length: {GOLD}10.7 tiles{}"/>
        <s v="{BLACK}Length: {GOLD}11.8 tiles{}"/>
        <s v="{BLACK}Length: {GOLD}14.2 tiles{}"/>
        <s v="{BLACK}Length: {GOLD}14.5 tiles{}"/>
        <s v="{BLACK}Length: {GOLD}2.3 tiles{}"/>
        <s v="{BLACK}Length: {GOLD}2.5 tiles{}"/>
        <s v="{BLACK}Length: {GOLD}2.8 tiles{}"/>
        <s v="{BLACK}Length: {GOLD}3.0 tiles{}"/>
        <s v="{BLACK}Length: {GOLD}3.2 tiles{}"/>
        <s v="{BLACK}Length: {GOLD}3.8 tiles{}"/>
        <s v="{BLACK}Length: {GOLD}4.1 tiles{}"/>
        <s v="{BLACK}Length: {GOLD}4.2 tiles{}"/>
        <s v="{BLACK}Length: {GOLD}5.7 tiles{}"/>
        <s v="{BLACK}Length: {GOLD}6.0 tiles{}"/>
        <s v="{BLACK}Length: {GOLD}6.5 tiles{}"/>
      </sharedItems>
    </cacheField>
    <cacheField name="power_text" numFmtId="0">
      <sharedItems count="7">
        <s v=""/>
        <s v="{BLACK}Powered by: {GOLD}25kV AC"/>
        <s v="{BLACK}Powered by: {GOLD}25kV AC / Diesel"/>
        <s v="{BLACK}Powered by: {GOLD}750V DC"/>
        <s v="{BLACK}Powered by: {GOLD}750V DC / Battery"/>
        <s v="{BLACK}Powered by: {GOLD}750V DC / Diesel"/>
        <s v="{BLACK}Powered by: {GOLD}Diesel"/>
      </sharedItems>
    </cacheField>
    <cacheField name="units_text" numFmtId="0">
      <sharedItems containsBlank="1" count="13">
        <s v=""/>
        <s v="{BLACK}Cars: {GOLD}10"/>
        <s v="{BLACK}Cars: {GOLD}12"/>
        <s v="{BLACK}Cars: {GOLD}16"/>
        <s v="{BLACK}Cars: {GOLD}2"/>
        <s v="{BLACK}Cars: {GOLD}20"/>
        <s v="{BLACK}Cars: {GOLD}3"/>
        <s v="{BLACK}Cars: {GOLD}4"/>
        <s v="{BLACK}Cars: {GOLD}5"/>
        <s v="{BLACK}Cars: {GOLD}6"/>
        <s v="{BLACK}Cars: {GOLD}7"/>
        <s v="{BLACK}Cars: {GOLD}8"/>
        <m/>
      </sharedItems>
    </cacheField>
    <cacheField name="bio" numFmtId="0">
      <sharedItems count="69"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riginally to power the “Nightstar” european sleeper services away from electrified lines, this sub-class of 12 locomotives mostly saw use as rescue and freight locomotives with other operator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Class 153 was a conversion of earlier Class 155 units, 35 of which were split in two with small cabs added at the inner ends."/>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haredItems>
    </cacheField>
    <cacheField name="brake_text" numFmtId="0">
      <sharedItems containsBlank="1" count="9">
        <s v=""/>
        <s v="{YELLOW}10% bonus for long distance travel{}"/>
        <s v="{YELLOW}20% bonus for long distance travel{}"/>
        <s v="{YELLOW}20% penalty for long distance travel{}"/>
        <s v="{YELLOW}25% bonus for long distance travel{}"/>
        <s v="{YELLOW}25% long distance bonus for consist{}"/>
        <s v="{YELLOW}50% bonus for long distance travel{}"/>
        <s v="{YELLOW}50% long distance bonus, if combined with generator car or 5000hp+ locomotive{}"/>
        <m/>
      </sharedItems>
    </cacheField>
    <cacheField name="additional_text" numFmtId="0">
      <sharedItems count="83" longText="1">
        <s v="{BLACK}Cars: {GOLD}10{}{BLACK}Length: {GOLD}0.8 tiles{}{YELLOW}20% bonus for long distance travel{}{SILVER}An articulated trailer rake of APT-S Vehicles, intended to run with a Driving Motor and a DVT but also usable in other weird combinations."/>
        <s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Mk1 Sleeper was built in relatively large numbers. The type was not especially popular with passengers, but the service was still an improvement on sleeping in ordinary compartment stock of the time."/>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A suburban Mk1 EMU that mainly operated out of East London on the LT&amp;S line. Here we represent the refurbished condition of these units, which lasted until 1998."/>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Nightstar rolling stock was so power-hungry that a number of Mk3 Sleepers were converted with 450 kVA generator sets for use when away from electrified areas."/>
        <s v="{BLACK}Powered by: {GOLD}Diesel {BLACK}Cars: {GOLD}2{}{BLACK}Length: {GOLD}0.9 tiles{}{SILVER}The Class 153 was a conversion of earlier Class 155 units, 35 of which were split in two with small cabs added at the inner ends."/>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Windhoff MPV units were mainly used for Departmental service, notably in the iconic Rail Head Treatment trains, but trials were made in freight service."/>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Windhoff MPV units were mainly used for Departmental service, notably in the iconic Rail Head Treatment trains, but trials were made in freight servic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5{}{BLACK}Length: {GOLD}3.8 tiles{}{SILVER}The Windhoff MPV units were mainly used for Departmental service, notably in the iconic Rail Head Treatment trains, but trials were made in freight service."/>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84">
  <r>
    <x v="67"/>
    <x v="65"/>
    <x v="0"/>
    <x v="18"/>
    <x v="0"/>
    <x v="0"/>
    <x v="3"/>
    <x v="5"/>
    <x v="2"/>
    <x v="1"/>
    <x v="25"/>
    <x v="0"/>
    <x v="0"/>
    <x v="6"/>
    <x v="2"/>
    <x v="0"/>
    <x v="0"/>
    <x v="0"/>
    <x v="0"/>
    <x v="0"/>
    <x v="0"/>
    <x v="0"/>
    <x v="15"/>
    <x v="0"/>
    <x v="2"/>
    <x v="3"/>
    <x v="32"/>
    <x v="4"/>
    <x v="4"/>
    <x v="0"/>
    <x v="0"/>
    <x v="34"/>
    <x v="6"/>
    <x v="12"/>
    <x v="14"/>
    <x v="17"/>
    <x v="5"/>
    <x v="4"/>
    <x v="0"/>
    <x v="4"/>
    <x v="13"/>
    <x v="5"/>
    <x v="5"/>
    <x v="36"/>
    <x v="4"/>
    <x v="0"/>
    <x v="19"/>
    <x v="0"/>
    <x v="5"/>
    <x v="3"/>
    <x v="17"/>
    <x v="6"/>
    <x v="7"/>
    <x v="4"/>
    <x v="7"/>
    <x v="4"/>
    <x v="32"/>
    <x v="4"/>
    <x v="0"/>
    <x v="5"/>
    <x v="8"/>
    <x v="12"/>
    <x v="18"/>
    <x v="23"/>
    <x v="2"/>
    <x v="1"/>
    <x v="1"/>
    <x v="1"/>
    <x v="33"/>
    <x v="0"/>
    <x v="5"/>
    <x v="4"/>
    <x v="1"/>
    <x v="6"/>
    <x v="3"/>
    <x v="5"/>
    <x v="2"/>
    <x v="4"/>
    <x v="11"/>
    <x v="8"/>
    <x v="3"/>
    <x v="1"/>
    <x v="0"/>
    <x v="68"/>
    <x v="0"/>
    <x v="35"/>
    <x v="1"/>
  </r>
  <r>
    <x v="68"/>
    <x v="66"/>
    <x v="1"/>
    <x v="0"/>
    <x v="1"/>
    <x v="0"/>
    <x v="3"/>
    <x v="5"/>
    <x v="2"/>
    <x v="1"/>
    <x v="25"/>
    <x v="0"/>
    <x v="1"/>
    <x v="6"/>
    <x v="2"/>
    <x v="0"/>
    <x v="0"/>
    <x v="0"/>
    <x v="0"/>
    <x v="0"/>
    <x v="0"/>
    <x v="0"/>
    <x v="29"/>
    <x v="0"/>
    <x v="2"/>
    <x v="3"/>
    <x v="20"/>
    <x v="4"/>
    <x v="4"/>
    <x v="0"/>
    <x v="0"/>
    <x v="34"/>
    <x v="6"/>
    <x v="12"/>
    <x v="14"/>
    <x v="20"/>
    <x v="5"/>
    <x v="4"/>
    <x v="0"/>
    <x v="4"/>
    <x v="13"/>
    <x v="5"/>
    <x v="5"/>
    <x v="37"/>
    <x v="4"/>
    <x v="11"/>
    <x v="20"/>
    <x v="0"/>
    <x v="5"/>
    <x v="3"/>
    <x v="17"/>
    <x v="6"/>
    <x v="7"/>
    <x v="4"/>
    <x v="7"/>
    <x v="4"/>
    <x v="32"/>
    <x v="13"/>
    <x v="0"/>
    <x v="5"/>
    <x v="9"/>
    <x v="13"/>
    <x v="19"/>
    <x v="25"/>
    <x v="2"/>
    <x v="1"/>
    <x v="1"/>
    <x v="1"/>
    <x v="32"/>
    <x v="0"/>
    <x v="5"/>
    <x v="4"/>
    <x v="1"/>
    <x v="6"/>
    <x v="3"/>
    <x v="5"/>
    <x v="2"/>
    <x v="4"/>
    <x v="11"/>
    <x v="8"/>
    <x v="7"/>
    <x v="1"/>
    <x v="4"/>
    <x v="68"/>
    <x v="0"/>
    <x v="44"/>
    <x v="1"/>
  </r>
  <r>
    <x v="69"/>
    <x v="67"/>
    <x v="2"/>
    <x v="0"/>
    <x v="2"/>
    <x v="0"/>
    <x v="3"/>
    <x v="5"/>
    <x v="2"/>
    <x v="1"/>
    <x v="25"/>
    <x v="0"/>
    <x v="2"/>
    <x v="6"/>
    <x v="2"/>
    <x v="0"/>
    <x v="0"/>
    <x v="0"/>
    <x v="0"/>
    <x v="0"/>
    <x v="0"/>
    <x v="0"/>
    <x v="39"/>
    <x v="0"/>
    <x v="2"/>
    <x v="3"/>
    <x v="17"/>
    <x v="4"/>
    <x v="4"/>
    <x v="0"/>
    <x v="0"/>
    <x v="34"/>
    <x v="6"/>
    <x v="12"/>
    <x v="14"/>
    <x v="21"/>
    <x v="5"/>
    <x v="4"/>
    <x v="0"/>
    <x v="4"/>
    <x v="13"/>
    <x v="5"/>
    <x v="5"/>
    <x v="38"/>
    <x v="4"/>
    <x v="7"/>
    <x v="20"/>
    <x v="0"/>
    <x v="5"/>
    <x v="3"/>
    <x v="17"/>
    <x v="6"/>
    <x v="7"/>
    <x v="4"/>
    <x v="7"/>
    <x v="4"/>
    <x v="32"/>
    <x v="21"/>
    <x v="0"/>
    <x v="5"/>
    <x v="12"/>
    <x v="16"/>
    <x v="22"/>
    <x v="28"/>
    <x v="2"/>
    <x v="1"/>
    <x v="1"/>
    <x v="1"/>
    <x v="31"/>
    <x v="0"/>
    <x v="5"/>
    <x v="4"/>
    <x v="1"/>
    <x v="6"/>
    <x v="3"/>
    <x v="5"/>
    <x v="2"/>
    <x v="4"/>
    <x v="11"/>
    <x v="8"/>
    <x v="9"/>
    <x v="1"/>
    <x v="6"/>
    <x v="68"/>
    <x v="0"/>
    <x v="47"/>
    <x v="1"/>
  </r>
  <r>
    <x v="53"/>
    <x v="48"/>
    <x v="4"/>
    <x v="18"/>
    <x v="3"/>
    <x v="0"/>
    <x v="3"/>
    <x v="5"/>
    <x v="2"/>
    <x v="2"/>
    <x v="25"/>
    <x v="0"/>
    <x v="1"/>
    <x v="8"/>
    <x v="2"/>
    <x v="0"/>
    <x v="0"/>
    <x v="0"/>
    <x v="0"/>
    <x v="0"/>
    <x v="0"/>
    <x v="0"/>
    <x v="34"/>
    <x v="0"/>
    <x v="2"/>
    <x v="3"/>
    <x v="18"/>
    <x v="4"/>
    <x v="4"/>
    <x v="0"/>
    <x v="0"/>
    <x v="34"/>
    <x v="7"/>
    <x v="12"/>
    <x v="14"/>
    <x v="21"/>
    <x v="5"/>
    <x v="4"/>
    <x v="0"/>
    <x v="4"/>
    <x v="13"/>
    <x v="5"/>
    <x v="5"/>
    <x v="29"/>
    <x v="4"/>
    <x v="17"/>
    <x v="16"/>
    <x v="0"/>
    <x v="5"/>
    <x v="3"/>
    <x v="13"/>
    <x v="6"/>
    <x v="7"/>
    <x v="4"/>
    <x v="9"/>
    <x v="4"/>
    <x v="31"/>
    <x v="14"/>
    <x v="0"/>
    <x v="5"/>
    <x v="11"/>
    <x v="15"/>
    <x v="21"/>
    <x v="27"/>
    <x v="2"/>
    <x v="1"/>
    <x v="1"/>
    <x v="1"/>
    <x v="30"/>
    <x v="0"/>
    <x v="5"/>
    <x v="4"/>
    <x v="1"/>
    <x v="6"/>
    <x v="3"/>
    <x v="5"/>
    <x v="2"/>
    <x v="4"/>
    <x v="11"/>
    <x v="8"/>
    <x v="7"/>
    <x v="1"/>
    <x v="4"/>
    <x v="48"/>
    <x v="0"/>
    <x v="43"/>
    <x v="1"/>
  </r>
  <r>
    <x v="54"/>
    <x v="49"/>
    <x v="5"/>
    <x v="1"/>
    <x v="3"/>
    <x v="0"/>
    <x v="3"/>
    <x v="5"/>
    <x v="2"/>
    <x v="2"/>
    <x v="25"/>
    <x v="0"/>
    <x v="2"/>
    <x v="8"/>
    <x v="2"/>
    <x v="0"/>
    <x v="0"/>
    <x v="0"/>
    <x v="0"/>
    <x v="0"/>
    <x v="0"/>
    <x v="0"/>
    <x v="41"/>
    <x v="0"/>
    <x v="2"/>
    <x v="3"/>
    <x v="15"/>
    <x v="4"/>
    <x v="4"/>
    <x v="0"/>
    <x v="0"/>
    <x v="34"/>
    <x v="7"/>
    <x v="12"/>
    <x v="14"/>
    <x v="21"/>
    <x v="5"/>
    <x v="4"/>
    <x v="0"/>
    <x v="4"/>
    <x v="13"/>
    <x v="5"/>
    <x v="5"/>
    <x v="30"/>
    <x v="4"/>
    <x v="12"/>
    <x v="16"/>
    <x v="0"/>
    <x v="5"/>
    <x v="3"/>
    <x v="13"/>
    <x v="6"/>
    <x v="7"/>
    <x v="4"/>
    <x v="9"/>
    <x v="4"/>
    <x v="31"/>
    <x v="21"/>
    <x v="0"/>
    <x v="5"/>
    <x v="14"/>
    <x v="17"/>
    <x v="24"/>
    <x v="29"/>
    <x v="2"/>
    <x v="1"/>
    <x v="1"/>
    <x v="1"/>
    <x v="29"/>
    <x v="0"/>
    <x v="5"/>
    <x v="4"/>
    <x v="1"/>
    <x v="6"/>
    <x v="3"/>
    <x v="5"/>
    <x v="2"/>
    <x v="4"/>
    <x v="11"/>
    <x v="8"/>
    <x v="9"/>
    <x v="1"/>
    <x v="6"/>
    <x v="48"/>
    <x v="0"/>
    <x v="46"/>
    <x v="1"/>
  </r>
  <r>
    <x v="55"/>
    <x v="50"/>
    <x v="6"/>
    <x v="1"/>
    <x v="3"/>
    <x v="0"/>
    <x v="3"/>
    <x v="5"/>
    <x v="2"/>
    <x v="2"/>
    <x v="25"/>
    <x v="0"/>
    <x v="3"/>
    <x v="8"/>
    <x v="2"/>
    <x v="0"/>
    <x v="0"/>
    <x v="0"/>
    <x v="0"/>
    <x v="0"/>
    <x v="0"/>
    <x v="0"/>
    <x v="47"/>
    <x v="0"/>
    <x v="2"/>
    <x v="3"/>
    <x v="13"/>
    <x v="4"/>
    <x v="4"/>
    <x v="0"/>
    <x v="0"/>
    <x v="34"/>
    <x v="7"/>
    <x v="12"/>
    <x v="14"/>
    <x v="21"/>
    <x v="5"/>
    <x v="4"/>
    <x v="0"/>
    <x v="4"/>
    <x v="13"/>
    <x v="5"/>
    <x v="5"/>
    <x v="31"/>
    <x v="4"/>
    <x v="2"/>
    <x v="16"/>
    <x v="0"/>
    <x v="5"/>
    <x v="3"/>
    <x v="13"/>
    <x v="6"/>
    <x v="7"/>
    <x v="4"/>
    <x v="9"/>
    <x v="4"/>
    <x v="31"/>
    <x v="31"/>
    <x v="0"/>
    <x v="5"/>
    <x v="15"/>
    <x v="19"/>
    <x v="25"/>
    <x v="31"/>
    <x v="2"/>
    <x v="1"/>
    <x v="1"/>
    <x v="1"/>
    <x v="28"/>
    <x v="0"/>
    <x v="5"/>
    <x v="4"/>
    <x v="1"/>
    <x v="6"/>
    <x v="3"/>
    <x v="5"/>
    <x v="2"/>
    <x v="4"/>
    <x v="11"/>
    <x v="8"/>
    <x v="15"/>
    <x v="1"/>
    <x v="7"/>
    <x v="48"/>
    <x v="0"/>
    <x v="49"/>
    <x v="1"/>
  </r>
  <r>
    <x v="56"/>
    <x v="51"/>
    <x v="7"/>
    <x v="1"/>
    <x v="3"/>
    <x v="0"/>
    <x v="3"/>
    <x v="5"/>
    <x v="2"/>
    <x v="2"/>
    <x v="25"/>
    <x v="0"/>
    <x v="4"/>
    <x v="8"/>
    <x v="2"/>
    <x v="0"/>
    <x v="0"/>
    <x v="0"/>
    <x v="0"/>
    <x v="0"/>
    <x v="0"/>
    <x v="0"/>
    <x v="49"/>
    <x v="0"/>
    <x v="2"/>
    <x v="3"/>
    <x v="10"/>
    <x v="4"/>
    <x v="4"/>
    <x v="0"/>
    <x v="0"/>
    <x v="34"/>
    <x v="7"/>
    <x v="12"/>
    <x v="14"/>
    <x v="21"/>
    <x v="5"/>
    <x v="4"/>
    <x v="0"/>
    <x v="4"/>
    <x v="13"/>
    <x v="5"/>
    <x v="5"/>
    <x v="32"/>
    <x v="4"/>
    <x v="3"/>
    <x v="16"/>
    <x v="0"/>
    <x v="5"/>
    <x v="3"/>
    <x v="13"/>
    <x v="6"/>
    <x v="7"/>
    <x v="4"/>
    <x v="9"/>
    <x v="4"/>
    <x v="31"/>
    <x v="38"/>
    <x v="0"/>
    <x v="5"/>
    <x v="17"/>
    <x v="20"/>
    <x v="27"/>
    <x v="32"/>
    <x v="2"/>
    <x v="1"/>
    <x v="1"/>
    <x v="1"/>
    <x v="27"/>
    <x v="0"/>
    <x v="5"/>
    <x v="4"/>
    <x v="1"/>
    <x v="6"/>
    <x v="3"/>
    <x v="5"/>
    <x v="2"/>
    <x v="4"/>
    <x v="11"/>
    <x v="8"/>
    <x v="18"/>
    <x v="1"/>
    <x v="8"/>
    <x v="48"/>
    <x v="0"/>
    <x v="54"/>
    <x v="1"/>
  </r>
  <r>
    <x v="57"/>
    <x v="52"/>
    <x v="8"/>
    <x v="1"/>
    <x v="3"/>
    <x v="0"/>
    <x v="3"/>
    <x v="5"/>
    <x v="2"/>
    <x v="2"/>
    <x v="25"/>
    <x v="0"/>
    <x v="5"/>
    <x v="8"/>
    <x v="2"/>
    <x v="0"/>
    <x v="0"/>
    <x v="0"/>
    <x v="0"/>
    <x v="0"/>
    <x v="0"/>
    <x v="0"/>
    <x v="55"/>
    <x v="0"/>
    <x v="2"/>
    <x v="3"/>
    <x v="7"/>
    <x v="4"/>
    <x v="4"/>
    <x v="0"/>
    <x v="0"/>
    <x v="34"/>
    <x v="7"/>
    <x v="12"/>
    <x v="14"/>
    <x v="21"/>
    <x v="5"/>
    <x v="4"/>
    <x v="0"/>
    <x v="4"/>
    <x v="13"/>
    <x v="5"/>
    <x v="5"/>
    <x v="33"/>
    <x v="4"/>
    <x v="4"/>
    <x v="16"/>
    <x v="0"/>
    <x v="5"/>
    <x v="3"/>
    <x v="13"/>
    <x v="6"/>
    <x v="7"/>
    <x v="4"/>
    <x v="9"/>
    <x v="4"/>
    <x v="31"/>
    <x v="44"/>
    <x v="0"/>
    <x v="5"/>
    <x v="20"/>
    <x v="21"/>
    <x v="30"/>
    <x v="33"/>
    <x v="2"/>
    <x v="1"/>
    <x v="1"/>
    <x v="1"/>
    <x v="26"/>
    <x v="0"/>
    <x v="5"/>
    <x v="4"/>
    <x v="1"/>
    <x v="6"/>
    <x v="3"/>
    <x v="5"/>
    <x v="2"/>
    <x v="4"/>
    <x v="11"/>
    <x v="8"/>
    <x v="19"/>
    <x v="1"/>
    <x v="9"/>
    <x v="48"/>
    <x v="0"/>
    <x v="55"/>
    <x v="1"/>
  </r>
  <r>
    <x v="58"/>
    <x v="53"/>
    <x v="9"/>
    <x v="18"/>
    <x v="4"/>
    <x v="0"/>
    <x v="3"/>
    <x v="5"/>
    <x v="2"/>
    <x v="4"/>
    <x v="25"/>
    <x v="0"/>
    <x v="4"/>
    <x v="12"/>
    <x v="2"/>
    <x v="0"/>
    <x v="0"/>
    <x v="0"/>
    <x v="0"/>
    <x v="0"/>
    <x v="0"/>
    <x v="0"/>
    <x v="51"/>
    <x v="0"/>
    <x v="2"/>
    <x v="3"/>
    <x v="9"/>
    <x v="4"/>
    <x v="4"/>
    <x v="0"/>
    <x v="0"/>
    <x v="34"/>
    <x v="3"/>
    <x v="12"/>
    <x v="14"/>
    <x v="29"/>
    <x v="2"/>
    <x v="3"/>
    <x v="0"/>
    <x v="3"/>
    <x v="13"/>
    <x v="0"/>
    <x v="0"/>
    <x v="34"/>
    <x v="4"/>
    <x v="8"/>
    <x v="16"/>
    <x v="0"/>
    <x v="5"/>
    <x v="3"/>
    <x v="5"/>
    <x v="6"/>
    <x v="7"/>
    <x v="4"/>
    <x v="13"/>
    <x v="4"/>
    <x v="29"/>
    <x v="45"/>
    <x v="0"/>
    <x v="5"/>
    <x v="23"/>
    <x v="23"/>
    <x v="33"/>
    <x v="35"/>
    <x v="2"/>
    <x v="1"/>
    <x v="1"/>
    <x v="1"/>
    <x v="34"/>
    <x v="0"/>
    <x v="5"/>
    <x v="4"/>
    <x v="1"/>
    <x v="6"/>
    <x v="3"/>
    <x v="5"/>
    <x v="0"/>
    <x v="4"/>
    <x v="1"/>
    <x v="8"/>
    <x v="17"/>
    <x v="1"/>
    <x v="8"/>
    <x v="47"/>
    <x v="0"/>
    <x v="53"/>
    <x v="1"/>
  </r>
  <r>
    <x v="59"/>
    <x v="54"/>
    <x v="3"/>
    <x v="18"/>
    <x v="5"/>
    <x v="0"/>
    <x v="1"/>
    <x v="5"/>
    <x v="2"/>
    <x v="4"/>
    <x v="25"/>
    <x v="0"/>
    <x v="12"/>
    <x v="12"/>
    <x v="2"/>
    <x v="0"/>
    <x v="0"/>
    <x v="0"/>
    <x v="0"/>
    <x v="0"/>
    <x v="0"/>
    <x v="0"/>
    <x v="26"/>
    <x v="0"/>
    <x v="2"/>
    <x v="3"/>
    <x v="21"/>
    <x v="4"/>
    <x v="4"/>
    <x v="0"/>
    <x v="0"/>
    <x v="34"/>
    <x v="3"/>
    <x v="12"/>
    <x v="14"/>
    <x v="29"/>
    <x v="2"/>
    <x v="3"/>
    <x v="0"/>
    <x v="3"/>
    <x v="13"/>
    <x v="5"/>
    <x v="5"/>
    <x v="46"/>
    <x v="4"/>
    <x v="28"/>
    <x v="17"/>
    <x v="0"/>
    <x v="5"/>
    <x v="3"/>
    <x v="5"/>
    <x v="6"/>
    <x v="7"/>
    <x v="4"/>
    <x v="13"/>
    <x v="4"/>
    <x v="29"/>
    <x v="7"/>
    <x v="0"/>
    <x v="7"/>
    <x v="24"/>
    <x v="16"/>
    <x v="34"/>
    <x v="28"/>
    <x v="2"/>
    <x v="1"/>
    <x v="1"/>
    <x v="1"/>
    <x v="34"/>
    <x v="0"/>
    <x v="5"/>
    <x v="4"/>
    <x v="1"/>
    <x v="6"/>
    <x v="3"/>
    <x v="4"/>
    <x v="0"/>
    <x v="4"/>
    <x v="1"/>
    <x v="8"/>
    <x v="2"/>
    <x v="1"/>
    <x v="0"/>
    <x v="54"/>
    <x v="0"/>
    <x v="34"/>
    <x v="1"/>
  </r>
  <r>
    <x v="72"/>
    <x v="81"/>
    <x v="18"/>
    <x v="18"/>
    <x v="15"/>
    <x v="0"/>
    <x v="1"/>
    <x v="2"/>
    <x v="3"/>
    <x v="5"/>
    <x v="2"/>
    <x v="6"/>
    <x v="12"/>
    <x v="1"/>
    <x v="2"/>
    <x v="0"/>
    <x v="0"/>
    <x v="0"/>
    <x v="0"/>
    <x v="0"/>
    <x v="0"/>
    <x v="0"/>
    <x v="1"/>
    <x v="0"/>
    <x v="2"/>
    <x v="1"/>
    <x v="44"/>
    <x v="0"/>
    <x v="0"/>
    <x v="0"/>
    <x v="0"/>
    <x v="0"/>
    <x v="0"/>
    <x v="0"/>
    <x v="1"/>
    <x v="0"/>
    <x v="28"/>
    <x v="0"/>
    <x v="0"/>
    <x v="0"/>
    <x v="13"/>
    <x v="5"/>
    <x v="5"/>
    <x v="46"/>
    <x v="4"/>
    <x v="28"/>
    <x v="24"/>
    <x v="0"/>
    <x v="5"/>
    <x v="12"/>
    <x v="18"/>
    <x v="5"/>
    <x v="10"/>
    <x v="0"/>
    <x v="2"/>
    <x v="2"/>
    <x v="28"/>
    <x v="0"/>
    <x v="2"/>
    <x v="6"/>
    <x v="0"/>
    <x v="1"/>
    <x v="6"/>
    <x v="12"/>
    <x v="2"/>
    <x v="1"/>
    <x v="1"/>
    <x v="1"/>
    <x v="34"/>
    <x v="0"/>
    <x v="5"/>
    <x v="3"/>
    <x v="6"/>
    <x v="6"/>
    <x v="3"/>
    <x v="7"/>
    <x v="0"/>
    <x v="1"/>
    <x v="0"/>
    <x v="2"/>
    <x v="0"/>
    <x v="6"/>
    <x v="0"/>
    <x v="0"/>
    <x v="0"/>
    <x v="63"/>
    <x v="1"/>
  </r>
  <r>
    <x v="73"/>
    <x v="82"/>
    <x v="19"/>
    <x v="18"/>
    <x v="16"/>
    <x v="0"/>
    <x v="1"/>
    <x v="2"/>
    <x v="3"/>
    <x v="6"/>
    <x v="5"/>
    <x v="9"/>
    <x v="12"/>
    <x v="2"/>
    <x v="2"/>
    <x v="0"/>
    <x v="0"/>
    <x v="0"/>
    <x v="0"/>
    <x v="0"/>
    <x v="0"/>
    <x v="0"/>
    <x v="7"/>
    <x v="0"/>
    <x v="2"/>
    <x v="5"/>
    <x v="54"/>
    <x v="1"/>
    <x v="1"/>
    <x v="0"/>
    <x v="0"/>
    <x v="3"/>
    <x v="1"/>
    <x v="0"/>
    <x v="1"/>
    <x v="0"/>
    <x v="29"/>
    <x v="1"/>
    <x v="0"/>
    <x v="1"/>
    <x v="13"/>
    <x v="5"/>
    <x v="5"/>
    <x v="46"/>
    <x v="4"/>
    <x v="28"/>
    <x v="24"/>
    <x v="0"/>
    <x v="5"/>
    <x v="12"/>
    <x v="20"/>
    <x v="5"/>
    <x v="10"/>
    <x v="1"/>
    <x v="3"/>
    <x v="6"/>
    <x v="27"/>
    <x v="0"/>
    <x v="2"/>
    <x v="6"/>
    <x v="4"/>
    <x v="2"/>
    <x v="11"/>
    <x v="13"/>
    <x v="2"/>
    <x v="1"/>
    <x v="1"/>
    <x v="1"/>
    <x v="34"/>
    <x v="0"/>
    <x v="5"/>
    <x v="3"/>
    <x v="6"/>
    <x v="6"/>
    <x v="3"/>
    <x v="7"/>
    <x v="0"/>
    <x v="1"/>
    <x v="0"/>
    <x v="2"/>
    <x v="1"/>
    <x v="6"/>
    <x v="0"/>
    <x v="9"/>
    <x v="0"/>
    <x v="64"/>
    <x v="1"/>
  </r>
  <r>
    <x v="65"/>
    <x v="25"/>
    <x v="37"/>
    <x v="18"/>
    <x v="18"/>
    <x v="0"/>
    <x v="3"/>
    <x v="2"/>
    <x v="3"/>
    <x v="19"/>
    <x v="22"/>
    <x v="20"/>
    <x v="2"/>
    <x v="11"/>
    <x v="2"/>
    <x v="0"/>
    <x v="0"/>
    <x v="0"/>
    <x v="0"/>
    <x v="0"/>
    <x v="0"/>
    <x v="0"/>
    <x v="37"/>
    <x v="0"/>
    <x v="2"/>
    <x v="11"/>
    <x v="35"/>
    <x v="5"/>
    <x v="5"/>
    <x v="0"/>
    <x v="0"/>
    <x v="22"/>
    <x v="13"/>
    <x v="7"/>
    <x v="8"/>
    <x v="34"/>
    <x v="18"/>
    <x v="6"/>
    <x v="0"/>
    <x v="6"/>
    <x v="4"/>
    <x v="5"/>
    <x v="5"/>
    <x v="21"/>
    <x v="4"/>
    <x v="23"/>
    <x v="13"/>
    <x v="0"/>
    <x v="5"/>
    <x v="4"/>
    <x v="12"/>
    <x v="4"/>
    <x v="7"/>
    <x v="5"/>
    <x v="12"/>
    <x v="12"/>
    <x v="13"/>
    <x v="37"/>
    <x v="2"/>
    <x v="4"/>
    <x v="18"/>
    <x v="34"/>
    <x v="28"/>
    <x v="46"/>
    <x v="2"/>
    <x v="1"/>
    <x v="1"/>
    <x v="1"/>
    <x v="13"/>
    <x v="0"/>
    <x v="5"/>
    <x v="2"/>
    <x v="1"/>
    <x v="6"/>
    <x v="3"/>
    <x v="5"/>
    <x v="3"/>
    <x v="2"/>
    <x v="14"/>
    <x v="2"/>
    <x v="14"/>
    <x v="6"/>
    <x v="6"/>
    <x v="3"/>
    <x v="0"/>
    <x v="73"/>
    <x v="1"/>
  </r>
  <r>
    <x v="4"/>
    <x v="27"/>
    <x v="39"/>
    <x v="18"/>
    <x v="5"/>
    <x v="0"/>
    <x v="3"/>
    <x v="2"/>
    <x v="3"/>
    <x v="8"/>
    <x v="12"/>
    <x v="15"/>
    <x v="3"/>
    <x v="12"/>
    <x v="2"/>
    <x v="0"/>
    <x v="0"/>
    <x v="0"/>
    <x v="0"/>
    <x v="0"/>
    <x v="0"/>
    <x v="0"/>
    <x v="56"/>
    <x v="0"/>
    <x v="2"/>
    <x v="6"/>
    <x v="16"/>
    <x v="5"/>
    <x v="5"/>
    <x v="0"/>
    <x v="0"/>
    <x v="12"/>
    <x v="9"/>
    <x v="1"/>
    <x v="5"/>
    <x v="12"/>
    <x v="9"/>
    <x v="5"/>
    <x v="0"/>
    <x v="5"/>
    <x v="8"/>
    <x v="5"/>
    <x v="5"/>
    <x v="14"/>
    <x v="4"/>
    <x v="21"/>
    <x v="9"/>
    <x v="0"/>
    <x v="5"/>
    <x v="10"/>
    <x v="17"/>
    <x v="6"/>
    <x v="9"/>
    <x v="5"/>
    <x v="13"/>
    <x v="7"/>
    <x v="25"/>
    <x v="22"/>
    <x v="2"/>
    <x v="4"/>
    <x v="21"/>
    <x v="32"/>
    <x v="31"/>
    <x v="44"/>
    <x v="2"/>
    <x v="1"/>
    <x v="1"/>
    <x v="1"/>
    <x v="15"/>
    <x v="0"/>
    <x v="5"/>
    <x v="1"/>
    <x v="6"/>
    <x v="6"/>
    <x v="3"/>
    <x v="5"/>
    <x v="1"/>
    <x v="2"/>
    <x v="4"/>
    <x v="2"/>
    <x v="16"/>
    <x v="6"/>
    <x v="7"/>
    <x v="19"/>
    <x v="0"/>
    <x v="77"/>
    <x v="1"/>
  </r>
  <r>
    <x v="5"/>
    <x v="28"/>
    <x v="40"/>
    <x v="6"/>
    <x v="6"/>
    <x v="0"/>
    <x v="3"/>
    <x v="2"/>
    <x v="3"/>
    <x v="8"/>
    <x v="12"/>
    <x v="15"/>
    <x v="5"/>
    <x v="12"/>
    <x v="2"/>
    <x v="0"/>
    <x v="0"/>
    <x v="0"/>
    <x v="0"/>
    <x v="0"/>
    <x v="0"/>
    <x v="0"/>
    <x v="60"/>
    <x v="0"/>
    <x v="2"/>
    <x v="6"/>
    <x v="12"/>
    <x v="5"/>
    <x v="5"/>
    <x v="0"/>
    <x v="0"/>
    <x v="12"/>
    <x v="9"/>
    <x v="1"/>
    <x v="5"/>
    <x v="17"/>
    <x v="9"/>
    <x v="5"/>
    <x v="0"/>
    <x v="5"/>
    <x v="9"/>
    <x v="5"/>
    <x v="5"/>
    <x v="13"/>
    <x v="4"/>
    <x v="4"/>
    <x v="9"/>
    <x v="0"/>
    <x v="5"/>
    <x v="10"/>
    <x v="17"/>
    <x v="6"/>
    <x v="9"/>
    <x v="5"/>
    <x v="13"/>
    <x v="7"/>
    <x v="25"/>
    <x v="39"/>
    <x v="2"/>
    <x v="4"/>
    <x v="25"/>
    <x v="37"/>
    <x v="35"/>
    <x v="49"/>
    <x v="2"/>
    <x v="1"/>
    <x v="1"/>
    <x v="1"/>
    <x v="14"/>
    <x v="0"/>
    <x v="5"/>
    <x v="1"/>
    <x v="6"/>
    <x v="6"/>
    <x v="3"/>
    <x v="5"/>
    <x v="1"/>
    <x v="2"/>
    <x v="4"/>
    <x v="2"/>
    <x v="21"/>
    <x v="6"/>
    <x v="9"/>
    <x v="19"/>
    <x v="0"/>
    <x v="81"/>
    <x v="1"/>
  </r>
  <r>
    <x v="7"/>
    <x v="30"/>
    <x v="41"/>
    <x v="18"/>
    <x v="7"/>
    <x v="0"/>
    <x v="3"/>
    <x v="2"/>
    <x v="3"/>
    <x v="9"/>
    <x v="12"/>
    <x v="15"/>
    <x v="2"/>
    <x v="8"/>
    <x v="2"/>
    <x v="0"/>
    <x v="0"/>
    <x v="0"/>
    <x v="0"/>
    <x v="0"/>
    <x v="0"/>
    <x v="0"/>
    <x v="24"/>
    <x v="0"/>
    <x v="2"/>
    <x v="6"/>
    <x v="34"/>
    <x v="5"/>
    <x v="5"/>
    <x v="0"/>
    <x v="0"/>
    <x v="19"/>
    <x v="13"/>
    <x v="4"/>
    <x v="5"/>
    <x v="24"/>
    <x v="16"/>
    <x v="6"/>
    <x v="0"/>
    <x v="6"/>
    <x v="13"/>
    <x v="5"/>
    <x v="5"/>
    <x v="15"/>
    <x v="4"/>
    <x v="23"/>
    <x v="10"/>
    <x v="0"/>
    <x v="5"/>
    <x v="10"/>
    <x v="16"/>
    <x v="6"/>
    <x v="9"/>
    <x v="5"/>
    <x v="9"/>
    <x v="7"/>
    <x v="24"/>
    <x v="24"/>
    <x v="2"/>
    <x v="4"/>
    <x v="19"/>
    <x v="29"/>
    <x v="29"/>
    <x v="41"/>
    <x v="2"/>
    <x v="1"/>
    <x v="1"/>
    <x v="1"/>
    <x v="16"/>
    <x v="0"/>
    <x v="5"/>
    <x v="1"/>
    <x v="6"/>
    <x v="6"/>
    <x v="3"/>
    <x v="5"/>
    <x v="1"/>
    <x v="2"/>
    <x v="4"/>
    <x v="2"/>
    <x v="14"/>
    <x v="6"/>
    <x v="6"/>
    <x v="20"/>
    <x v="0"/>
    <x v="74"/>
    <x v="1"/>
  </r>
  <r>
    <x v="6"/>
    <x v="29"/>
    <x v="42"/>
    <x v="7"/>
    <x v="8"/>
    <x v="0"/>
    <x v="3"/>
    <x v="2"/>
    <x v="3"/>
    <x v="9"/>
    <x v="12"/>
    <x v="15"/>
    <x v="1"/>
    <x v="8"/>
    <x v="2"/>
    <x v="0"/>
    <x v="0"/>
    <x v="0"/>
    <x v="0"/>
    <x v="0"/>
    <x v="0"/>
    <x v="0"/>
    <x v="24"/>
    <x v="0"/>
    <x v="2"/>
    <x v="6"/>
    <x v="34"/>
    <x v="5"/>
    <x v="5"/>
    <x v="0"/>
    <x v="0"/>
    <x v="19"/>
    <x v="13"/>
    <x v="4"/>
    <x v="5"/>
    <x v="24"/>
    <x v="16"/>
    <x v="6"/>
    <x v="0"/>
    <x v="6"/>
    <x v="13"/>
    <x v="5"/>
    <x v="5"/>
    <x v="16"/>
    <x v="4"/>
    <x v="1"/>
    <x v="10"/>
    <x v="0"/>
    <x v="5"/>
    <x v="10"/>
    <x v="16"/>
    <x v="6"/>
    <x v="9"/>
    <x v="5"/>
    <x v="9"/>
    <x v="7"/>
    <x v="24"/>
    <x v="16"/>
    <x v="2"/>
    <x v="4"/>
    <x v="16"/>
    <x v="26"/>
    <x v="26"/>
    <x v="38"/>
    <x v="2"/>
    <x v="1"/>
    <x v="1"/>
    <x v="1"/>
    <x v="17"/>
    <x v="0"/>
    <x v="5"/>
    <x v="1"/>
    <x v="6"/>
    <x v="6"/>
    <x v="3"/>
    <x v="5"/>
    <x v="1"/>
    <x v="2"/>
    <x v="4"/>
    <x v="2"/>
    <x v="8"/>
    <x v="6"/>
    <x v="4"/>
    <x v="20"/>
    <x v="0"/>
    <x v="71"/>
    <x v="1"/>
  </r>
  <r>
    <x v="29"/>
    <x v="32"/>
    <x v="43"/>
    <x v="18"/>
    <x v="10"/>
    <x v="0"/>
    <x v="3"/>
    <x v="2"/>
    <x v="3"/>
    <x v="18"/>
    <x v="19"/>
    <x v="17"/>
    <x v="3"/>
    <x v="12"/>
    <x v="2"/>
    <x v="0"/>
    <x v="0"/>
    <x v="0"/>
    <x v="0"/>
    <x v="0"/>
    <x v="0"/>
    <x v="0"/>
    <x v="48"/>
    <x v="0"/>
    <x v="2"/>
    <x v="7"/>
    <x v="19"/>
    <x v="6"/>
    <x v="7"/>
    <x v="0"/>
    <x v="0"/>
    <x v="21"/>
    <x v="13"/>
    <x v="1"/>
    <x v="5"/>
    <x v="30"/>
    <x v="14"/>
    <x v="6"/>
    <x v="0"/>
    <x v="6"/>
    <x v="1"/>
    <x v="5"/>
    <x v="5"/>
    <x v="19"/>
    <x v="4"/>
    <x v="26"/>
    <x v="11"/>
    <x v="0"/>
    <x v="5"/>
    <x v="10"/>
    <x v="3"/>
    <x v="8"/>
    <x v="21"/>
    <x v="7"/>
    <x v="13"/>
    <x v="8"/>
    <x v="15"/>
    <x v="40"/>
    <x v="2"/>
    <x v="4"/>
    <x v="36"/>
    <x v="44"/>
    <x v="45"/>
    <x v="55"/>
    <x v="2"/>
    <x v="1"/>
    <x v="1"/>
    <x v="1"/>
    <x v="18"/>
    <x v="0"/>
    <x v="5"/>
    <x v="1"/>
    <x v="6"/>
    <x v="6"/>
    <x v="3"/>
    <x v="5"/>
    <x v="3"/>
    <x v="2"/>
    <x v="14"/>
    <x v="2"/>
    <x v="17"/>
    <x v="6"/>
    <x v="7"/>
    <x v="36"/>
    <x v="0"/>
    <x v="78"/>
    <x v="1"/>
  </r>
  <r>
    <x v="28"/>
    <x v="31"/>
    <x v="44"/>
    <x v="8"/>
    <x v="11"/>
    <x v="0"/>
    <x v="3"/>
    <x v="2"/>
    <x v="3"/>
    <x v="18"/>
    <x v="19"/>
    <x v="17"/>
    <x v="2"/>
    <x v="12"/>
    <x v="2"/>
    <x v="0"/>
    <x v="0"/>
    <x v="0"/>
    <x v="0"/>
    <x v="0"/>
    <x v="0"/>
    <x v="0"/>
    <x v="44"/>
    <x v="0"/>
    <x v="2"/>
    <x v="7"/>
    <x v="22"/>
    <x v="6"/>
    <x v="7"/>
    <x v="0"/>
    <x v="0"/>
    <x v="21"/>
    <x v="13"/>
    <x v="1"/>
    <x v="5"/>
    <x v="32"/>
    <x v="14"/>
    <x v="6"/>
    <x v="0"/>
    <x v="6"/>
    <x v="6"/>
    <x v="5"/>
    <x v="5"/>
    <x v="20"/>
    <x v="4"/>
    <x v="16"/>
    <x v="12"/>
    <x v="0"/>
    <x v="5"/>
    <x v="10"/>
    <x v="3"/>
    <x v="8"/>
    <x v="21"/>
    <x v="7"/>
    <x v="13"/>
    <x v="8"/>
    <x v="15"/>
    <x v="33"/>
    <x v="2"/>
    <x v="4"/>
    <x v="33"/>
    <x v="42"/>
    <x v="42"/>
    <x v="54"/>
    <x v="2"/>
    <x v="1"/>
    <x v="1"/>
    <x v="1"/>
    <x v="19"/>
    <x v="0"/>
    <x v="5"/>
    <x v="1"/>
    <x v="6"/>
    <x v="6"/>
    <x v="3"/>
    <x v="5"/>
    <x v="3"/>
    <x v="2"/>
    <x v="14"/>
    <x v="2"/>
    <x v="14"/>
    <x v="6"/>
    <x v="6"/>
    <x v="37"/>
    <x v="0"/>
    <x v="75"/>
    <x v="1"/>
  </r>
  <r>
    <x v="64"/>
    <x v="9"/>
    <x v="45"/>
    <x v="18"/>
    <x v="9"/>
    <x v="0"/>
    <x v="3"/>
    <x v="2"/>
    <x v="3"/>
    <x v="11"/>
    <x v="25"/>
    <x v="4"/>
    <x v="7"/>
    <x v="12"/>
    <x v="2"/>
    <x v="0"/>
    <x v="0"/>
    <x v="0"/>
    <x v="0"/>
    <x v="0"/>
    <x v="0"/>
    <x v="0"/>
    <x v="62"/>
    <x v="0"/>
    <x v="0"/>
    <x v="12"/>
    <x v="14"/>
    <x v="6"/>
    <x v="7"/>
    <x v="0"/>
    <x v="0"/>
    <x v="24"/>
    <x v="13"/>
    <x v="10"/>
    <x v="5"/>
    <x v="11"/>
    <x v="20"/>
    <x v="6"/>
    <x v="0"/>
    <x v="6"/>
    <x v="10"/>
    <x v="5"/>
    <x v="5"/>
    <x v="6"/>
    <x v="4"/>
    <x v="18"/>
    <x v="3"/>
    <x v="0"/>
    <x v="5"/>
    <x v="2"/>
    <x v="2"/>
    <x v="6"/>
    <x v="9"/>
    <x v="7"/>
    <x v="13"/>
    <x v="13"/>
    <x v="22"/>
    <x v="44"/>
    <x v="2"/>
    <x v="4"/>
    <x v="30"/>
    <x v="40"/>
    <x v="39"/>
    <x v="52"/>
    <x v="2"/>
    <x v="1"/>
    <x v="1"/>
    <x v="1"/>
    <x v="34"/>
    <x v="0"/>
    <x v="3"/>
    <x v="1"/>
    <x v="3"/>
    <x v="6"/>
    <x v="3"/>
    <x v="5"/>
    <x v="1"/>
    <x v="3"/>
    <x v="5"/>
    <x v="2"/>
    <x v="23"/>
    <x v="6"/>
    <x v="11"/>
    <x v="33"/>
    <x v="2"/>
    <x v="82"/>
    <x v="1"/>
  </r>
  <r>
    <x v="8"/>
    <x v="33"/>
    <x v="46"/>
    <x v="18"/>
    <x v="12"/>
    <x v="0"/>
    <x v="3"/>
    <x v="5"/>
    <x v="2"/>
    <x v="10"/>
    <x v="10"/>
    <x v="10"/>
    <x v="3"/>
    <x v="10"/>
    <x v="2"/>
    <x v="0"/>
    <x v="0"/>
    <x v="0"/>
    <x v="0"/>
    <x v="0"/>
    <x v="0"/>
    <x v="0"/>
    <x v="50"/>
    <x v="0"/>
    <x v="2"/>
    <x v="10"/>
    <x v="23"/>
    <x v="5"/>
    <x v="5"/>
    <x v="0"/>
    <x v="0"/>
    <x v="25"/>
    <x v="13"/>
    <x v="9"/>
    <x v="12"/>
    <x v="28"/>
    <x v="19"/>
    <x v="6"/>
    <x v="0"/>
    <x v="6"/>
    <x v="5"/>
    <x v="5"/>
    <x v="5"/>
    <x v="9"/>
    <x v="4"/>
    <x v="26"/>
    <x v="5"/>
    <x v="0"/>
    <x v="5"/>
    <x v="6"/>
    <x v="7"/>
    <x v="6"/>
    <x v="8"/>
    <x v="5"/>
    <x v="11"/>
    <x v="11"/>
    <x v="23"/>
    <x v="36"/>
    <x v="0"/>
    <x v="5"/>
    <x v="28"/>
    <x v="26"/>
    <x v="38"/>
    <x v="38"/>
    <x v="2"/>
    <x v="1"/>
    <x v="1"/>
    <x v="1"/>
    <x v="25"/>
    <x v="0"/>
    <x v="5"/>
    <x v="4"/>
    <x v="1"/>
    <x v="6"/>
    <x v="3"/>
    <x v="5"/>
    <x v="1"/>
    <x v="4"/>
    <x v="6"/>
    <x v="8"/>
    <x v="17"/>
    <x v="1"/>
    <x v="7"/>
    <x v="13"/>
    <x v="0"/>
    <x v="50"/>
    <x v="1"/>
  </r>
  <r>
    <x v="9"/>
    <x v="34"/>
    <x v="47"/>
    <x v="9"/>
    <x v="13"/>
    <x v="0"/>
    <x v="3"/>
    <x v="5"/>
    <x v="2"/>
    <x v="10"/>
    <x v="10"/>
    <x v="10"/>
    <x v="2"/>
    <x v="10"/>
    <x v="2"/>
    <x v="0"/>
    <x v="0"/>
    <x v="0"/>
    <x v="0"/>
    <x v="0"/>
    <x v="0"/>
    <x v="0"/>
    <x v="46"/>
    <x v="0"/>
    <x v="2"/>
    <x v="10"/>
    <x v="27"/>
    <x v="5"/>
    <x v="5"/>
    <x v="0"/>
    <x v="0"/>
    <x v="25"/>
    <x v="13"/>
    <x v="9"/>
    <x v="12"/>
    <x v="28"/>
    <x v="19"/>
    <x v="6"/>
    <x v="0"/>
    <x v="6"/>
    <x v="3"/>
    <x v="5"/>
    <x v="5"/>
    <x v="8"/>
    <x v="4"/>
    <x v="23"/>
    <x v="6"/>
    <x v="0"/>
    <x v="5"/>
    <x v="6"/>
    <x v="7"/>
    <x v="4"/>
    <x v="8"/>
    <x v="5"/>
    <x v="11"/>
    <x v="11"/>
    <x v="23"/>
    <x v="28"/>
    <x v="0"/>
    <x v="5"/>
    <x v="27"/>
    <x v="20"/>
    <x v="37"/>
    <x v="32"/>
    <x v="2"/>
    <x v="1"/>
    <x v="1"/>
    <x v="1"/>
    <x v="24"/>
    <x v="0"/>
    <x v="5"/>
    <x v="4"/>
    <x v="1"/>
    <x v="6"/>
    <x v="3"/>
    <x v="4"/>
    <x v="1"/>
    <x v="4"/>
    <x v="6"/>
    <x v="8"/>
    <x v="14"/>
    <x v="1"/>
    <x v="6"/>
    <x v="8"/>
    <x v="0"/>
    <x v="48"/>
    <x v="1"/>
  </r>
  <r>
    <x v="10"/>
    <x v="36"/>
    <x v="48"/>
    <x v="10"/>
    <x v="14"/>
    <x v="0"/>
    <x v="3"/>
    <x v="5"/>
    <x v="2"/>
    <x v="12"/>
    <x v="13"/>
    <x v="13"/>
    <x v="1"/>
    <x v="13"/>
    <x v="2"/>
    <x v="0"/>
    <x v="0"/>
    <x v="0"/>
    <x v="0"/>
    <x v="0"/>
    <x v="0"/>
    <x v="0"/>
    <x v="40"/>
    <x v="0"/>
    <x v="2"/>
    <x v="17"/>
    <x v="40"/>
    <x v="7"/>
    <x v="8"/>
    <x v="0"/>
    <x v="0"/>
    <x v="25"/>
    <x v="13"/>
    <x v="9"/>
    <x v="12"/>
    <x v="26"/>
    <x v="19"/>
    <x v="6"/>
    <x v="0"/>
    <x v="6"/>
    <x v="5"/>
    <x v="5"/>
    <x v="5"/>
    <x v="10"/>
    <x v="4"/>
    <x v="17"/>
    <x v="7"/>
    <x v="0"/>
    <x v="5"/>
    <x v="8"/>
    <x v="11"/>
    <x v="4"/>
    <x v="4"/>
    <x v="8"/>
    <x v="14"/>
    <x v="18"/>
    <x v="21"/>
    <x v="17"/>
    <x v="0"/>
    <x v="5"/>
    <x v="17"/>
    <x v="31"/>
    <x v="27"/>
    <x v="43"/>
    <x v="2"/>
    <x v="1"/>
    <x v="1"/>
    <x v="1"/>
    <x v="20"/>
    <x v="0"/>
    <x v="5"/>
    <x v="4"/>
    <x v="1"/>
    <x v="4"/>
    <x v="3"/>
    <x v="5"/>
    <x v="1"/>
    <x v="5"/>
    <x v="7"/>
    <x v="8"/>
    <x v="8"/>
    <x v="1"/>
    <x v="4"/>
    <x v="27"/>
    <x v="0"/>
    <x v="45"/>
    <x v="1"/>
  </r>
  <r>
    <x v="11"/>
    <x v="35"/>
    <x v="49"/>
    <x v="18"/>
    <x v="15"/>
    <x v="0"/>
    <x v="3"/>
    <x v="5"/>
    <x v="2"/>
    <x v="12"/>
    <x v="13"/>
    <x v="13"/>
    <x v="3"/>
    <x v="13"/>
    <x v="2"/>
    <x v="0"/>
    <x v="0"/>
    <x v="0"/>
    <x v="0"/>
    <x v="0"/>
    <x v="0"/>
    <x v="0"/>
    <x v="54"/>
    <x v="0"/>
    <x v="2"/>
    <x v="17"/>
    <x v="29"/>
    <x v="7"/>
    <x v="8"/>
    <x v="0"/>
    <x v="0"/>
    <x v="25"/>
    <x v="13"/>
    <x v="9"/>
    <x v="12"/>
    <x v="16"/>
    <x v="19"/>
    <x v="6"/>
    <x v="0"/>
    <x v="6"/>
    <x v="5"/>
    <x v="5"/>
    <x v="5"/>
    <x v="11"/>
    <x v="4"/>
    <x v="24"/>
    <x v="8"/>
    <x v="0"/>
    <x v="5"/>
    <x v="8"/>
    <x v="11"/>
    <x v="11"/>
    <x v="9"/>
    <x v="8"/>
    <x v="14"/>
    <x v="18"/>
    <x v="21"/>
    <x v="26"/>
    <x v="0"/>
    <x v="5"/>
    <x v="40"/>
    <x v="48"/>
    <x v="49"/>
    <x v="58"/>
    <x v="2"/>
    <x v="1"/>
    <x v="1"/>
    <x v="1"/>
    <x v="23"/>
    <x v="0"/>
    <x v="5"/>
    <x v="4"/>
    <x v="1"/>
    <x v="4"/>
    <x v="0"/>
    <x v="5"/>
    <x v="1"/>
    <x v="5"/>
    <x v="7"/>
    <x v="8"/>
    <x v="17"/>
    <x v="1"/>
    <x v="7"/>
    <x v="28"/>
    <x v="5"/>
    <x v="52"/>
    <x v="1"/>
  </r>
  <r>
    <x v="12"/>
    <x v="37"/>
    <x v="50"/>
    <x v="10"/>
    <x v="16"/>
    <x v="0"/>
    <x v="3"/>
    <x v="5"/>
    <x v="2"/>
    <x v="12"/>
    <x v="13"/>
    <x v="13"/>
    <x v="3"/>
    <x v="13"/>
    <x v="2"/>
    <x v="0"/>
    <x v="0"/>
    <x v="0"/>
    <x v="0"/>
    <x v="0"/>
    <x v="0"/>
    <x v="0"/>
    <x v="53"/>
    <x v="0"/>
    <x v="2"/>
    <x v="17"/>
    <x v="31"/>
    <x v="7"/>
    <x v="8"/>
    <x v="0"/>
    <x v="0"/>
    <x v="25"/>
    <x v="13"/>
    <x v="9"/>
    <x v="12"/>
    <x v="25"/>
    <x v="19"/>
    <x v="6"/>
    <x v="0"/>
    <x v="6"/>
    <x v="5"/>
    <x v="5"/>
    <x v="5"/>
    <x v="12"/>
    <x v="4"/>
    <x v="10"/>
    <x v="8"/>
    <x v="0"/>
    <x v="5"/>
    <x v="8"/>
    <x v="11"/>
    <x v="6"/>
    <x v="6"/>
    <x v="8"/>
    <x v="14"/>
    <x v="18"/>
    <x v="21"/>
    <x v="34"/>
    <x v="0"/>
    <x v="5"/>
    <x v="33"/>
    <x v="38"/>
    <x v="42"/>
    <x v="50"/>
    <x v="2"/>
    <x v="1"/>
    <x v="1"/>
    <x v="1"/>
    <x v="21"/>
    <x v="0"/>
    <x v="5"/>
    <x v="4"/>
    <x v="1"/>
    <x v="4"/>
    <x v="3"/>
    <x v="5"/>
    <x v="1"/>
    <x v="5"/>
    <x v="7"/>
    <x v="8"/>
    <x v="17"/>
    <x v="1"/>
    <x v="7"/>
    <x v="29"/>
    <x v="0"/>
    <x v="51"/>
    <x v="1"/>
  </r>
  <r>
    <x v="77"/>
    <x v="59"/>
    <x v="51"/>
    <x v="18"/>
    <x v="17"/>
    <x v="0"/>
    <x v="3"/>
    <x v="5"/>
    <x v="2"/>
    <x v="16"/>
    <x v="20"/>
    <x v="18"/>
    <x v="1"/>
    <x v="4"/>
    <x v="2"/>
    <x v="0"/>
    <x v="0"/>
    <x v="0"/>
    <x v="0"/>
    <x v="0"/>
    <x v="0"/>
    <x v="0"/>
    <x v="18"/>
    <x v="0"/>
    <x v="2"/>
    <x v="2"/>
    <x v="26"/>
    <x v="3"/>
    <x v="3"/>
    <x v="0"/>
    <x v="0"/>
    <x v="9"/>
    <x v="4"/>
    <x v="3"/>
    <x v="0"/>
    <x v="26"/>
    <x v="4"/>
    <x v="3"/>
    <x v="0"/>
    <x v="3"/>
    <x v="2"/>
    <x v="5"/>
    <x v="5"/>
    <x v="35"/>
    <x v="4"/>
    <x v="17"/>
    <x v="18"/>
    <x v="0"/>
    <x v="5"/>
    <x v="10"/>
    <x v="24"/>
    <x v="20"/>
    <x v="11"/>
    <x v="3"/>
    <x v="5"/>
    <x v="3"/>
    <x v="17"/>
    <x v="17"/>
    <x v="0"/>
    <x v="5"/>
    <x v="13"/>
    <x v="13"/>
    <x v="23"/>
    <x v="25"/>
    <x v="2"/>
    <x v="1"/>
    <x v="1"/>
    <x v="1"/>
    <x v="34"/>
    <x v="0"/>
    <x v="5"/>
    <x v="7"/>
    <x v="0"/>
    <x v="4"/>
    <x v="3"/>
    <x v="5"/>
    <x v="3"/>
    <x v="4"/>
    <x v="15"/>
    <x v="8"/>
    <x v="6"/>
    <x v="1"/>
    <x v="4"/>
    <x v="67"/>
    <x v="3"/>
    <x v="42"/>
    <x v="1"/>
  </r>
  <r>
    <x v="13"/>
    <x v="10"/>
    <x v="67"/>
    <x v="18"/>
    <x v="37"/>
    <x v="0"/>
    <x v="3"/>
    <x v="5"/>
    <x v="4"/>
    <x v="8"/>
    <x v="12"/>
    <x v="15"/>
    <x v="3"/>
    <x v="7"/>
    <x v="2"/>
    <x v="0"/>
    <x v="0"/>
    <x v="0"/>
    <x v="0"/>
    <x v="0"/>
    <x v="0"/>
    <x v="0"/>
    <x v="23"/>
    <x v="0"/>
    <x v="2"/>
    <x v="8"/>
    <x v="42"/>
    <x v="6"/>
    <x v="7"/>
    <x v="0"/>
    <x v="0"/>
    <x v="20"/>
    <x v="13"/>
    <x v="4"/>
    <x v="5"/>
    <x v="27"/>
    <x v="16"/>
    <x v="6"/>
    <x v="0"/>
    <x v="6"/>
    <x v="13"/>
    <x v="5"/>
    <x v="5"/>
    <x v="7"/>
    <x v="4"/>
    <x v="26"/>
    <x v="4"/>
    <x v="0"/>
    <x v="5"/>
    <x v="10"/>
    <x v="17"/>
    <x v="6"/>
    <x v="21"/>
    <x v="7"/>
    <x v="8"/>
    <x v="9"/>
    <x v="25"/>
    <x v="35"/>
    <x v="0"/>
    <x v="5"/>
    <x v="39"/>
    <x v="26"/>
    <x v="48"/>
    <x v="38"/>
    <x v="2"/>
    <x v="1"/>
    <x v="1"/>
    <x v="1"/>
    <x v="11"/>
    <x v="0"/>
    <x v="5"/>
    <x v="1"/>
    <x v="6"/>
    <x v="6"/>
    <x v="3"/>
    <x v="5"/>
    <x v="1"/>
    <x v="4"/>
    <x v="6"/>
    <x v="9"/>
    <x v="17"/>
    <x v="3"/>
    <x v="7"/>
    <x v="32"/>
    <x v="0"/>
    <x v="59"/>
    <x v="1"/>
  </r>
  <r>
    <x v="14"/>
    <x v="11"/>
    <x v="68"/>
    <x v="18"/>
    <x v="38"/>
    <x v="0"/>
    <x v="1"/>
    <x v="4"/>
    <x v="0"/>
    <x v="10"/>
    <x v="12"/>
    <x v="15"/>
    <x v="0"/>
    <x v="7"/>
    <x v="2"/>
    <x v="0"/>
    <x v="0"/>
    <x v="0"/>
    <x v="0"/>
    <x v="0"/>
    <x v="0"/>
    <x v="0"/>
    <x v="23"/>
    <x v="0"/>
    <x v="2"/>
    <x v="8"/>
    <x v="42"/>
    <x v="6"/>
    <x v="7"/>
    <x v="0"/>
    <x v="0"/>
    <x v="20"/>
    <x v="13"/>
    <x v="4"/>
    <x v="5"/>
    <x v="13"/>
    <x v="16"/>
    <x v="6"/>
    <x v="0"/>
    <x v="6"/>
    <x v="13"/>
    <x v="5"/>
    <x v="5"/>
    <x v="17"/>
    <x v="4"/>
    <x v="0"/>
    <x v="24"/>
    <x v="0"/>
    <x v="5"/>
    <x v="10"/>
    <x v="14"/>
    <x v="20"/>
    <x v="5"/>
    <x v="7"/>
    <x v="8"/>
    <x v="9"/>
    <x v="23"/>
    <x v="2"/>
    <x v="1"/>
    <x v="9"/>
    <x v="22"/>
    <x v="27"/>
    <x v="32"/>
    <x v="39"/>
    <x v="2"/>
    <x v="1"/>
    <x v="1"/>
    <x v="1"/>
    <x v="10"/>
    <x v="0"/>
    <x v="5"/>
    <x v="1"/>
    <x v="6"/>
    <x v="6"/>
    <x v="3"/>
    <x v="4"/>
    <x v="1"/>
    <x v="4"/>
    <x v="6"/>
    <x v="5"/>
    <x v="4"/>
    <x v="4"/>
    <x v="0"/>
    <x v="39"/>
    <x v="0"/>
    <x v="61"/>
    <x v="1"/>
  </r>
  <r>
    <x v="15"/>
    <x v="14"/>
    <x v="75"/>
    <x v="18"/>
    <x v="48"/>
    <x v="0"/>
    <x v="1"/>
    <x v="5"/>
    <x v="4"/>
    <x v="10"/>
    <x v="12"/>
    <x v="16"/>
    <x v="0"/>
    <x v="7"/>
    <x v="2"/>
    <x v="0"/>
    <x v="0"/>
    <x v="0"/>
    <x v="0"/>
    <x v="0"/>
    <x v="0"/>
    <x v="0"/>
    <x v="19"/>
    <x v="0"/>
    <x v="2"/>
    <x v="8"/>
    <x v="45"/>
    <x v="6"/>
    <x v="7"/>
    <x v="0"/>
    <x v="0"/>
    <x v="20"/>
    <x v="13"/>
    <x v="4"/>
    <x v="5"/>
    <x v="13"/>
    <x v="16"/>
    <x v="6"/>
    <x v="0"/>
    <x v="6"/>
    <x v="13"/>
    <x v="5"/>
    <x v="5"/>
    <x v="18"/>
    <x v="4"/>
    <x v="0"/>
    <x v="24"/>
    <x v="0"/>
    <x v="5"/>
    <x v="10"/>
    <x v="15"/>
    <x v="20"/>
    <x v="5"/>
    <x v="7"/>
    <x v="8"/>
    <x v="9"/>
    <x v="23"/>
    <x v="2"/>
    <x v="0"/>
    <x v="7"/>
    <x v="17"/>
    <x v="24"/>
    <x v="27"/>
    <x v="36"/>
    <x v="0"/>
    <x v="0"/>
    <x v="1"/>
    <x v="1"/>
    <x v="9"/>
    <x v="0"/>
    <x v="5"/>
    <x v="1"/>
    <x v="6"/>
    <x v="6"/>
    <x v="3"/>
    <x v="4"/>
    <x v="1"/>
    <x v="4"/>
    <x v="6"/>
    <x v="9"/>
    <x v="4"/>
    <x v="3"/>
    <x v="0"/>
    <x v="7"/>
    <x v="0"/>
    <x v="57"/>
    <x v="1"/>
  </r>
  <r>
    <x v="60"/>
    <x v="26"/>
    <x v="38"/>
    <x v="18"/>
    <x v="19"/>
    <x v="0"/>
    <x v="3"/>
    <x v="2"/>
    <x v="3"/>
    <x v="22"/>
    <x v="25"/>
    <x v="23"/>
    <x v="0"/>
    <x v="5"/>
    <x v="2"/>
    <x v="0"/>
    <x v="0"/>
    <x v="0"/>
    <x v="0"/>
    <x v="0"/>
    <x v="0"/>
    <x v="0"/>
    <x v="20"/>
    <x v="0"/>
    <x v="2"/>
    <x v="4"/>
    <x v="36"/>
    <x v="5"/>
    <x v="5"/>
    <x v="0"/>
    <x v="0"/>
    <x v="31"/>
    <x v="19"/>
    <x v="4"/>
    <x v="4"/>
    <x v="33"/>
    <x v="26"/>
    <x v="8"/>
    <x v="0"/>
    <x v="8"/>
    <x v="13"/>
    <x v="5"/>
    <x v="5"/>
    <x v="22"/>
    <x v="4"/>
    <x v="0"/>
    <x v="24"/>
    <x v="0"/>
    <x v="5"/>
    <x v="7"/>
    <x v="26"/>
    <x v="6"/>
    <x v="9"/>
    <x v="5"/>
    <x v="6"/>
    <x v="5"/>
    <x v="10"/>
    <x v="9"/>
    <x v="2"/>
    <x v="4"/>
    <x v="10"/>
    <x v="18"/>
    <x v="20"/>
    <x v="30"/>
    <x v="2"/>
    <x v="1"/>
    <x v="1"/>
    <x v="1"/>
    <x v="12"/>
    <x v="0"/>
    <x v="5"/>
    <x v="2"/>
    <x v="1"/>
    <x v="6"/>
    <x v="3"/>
    <x v="5"/>
    <x v="3"/>
    <x v="2"/>
    <x v="14"/>
    <x v="2"/>
    <x v="5"/>
    <x v="6"/>
    <x v="4"/>
    <x v="35"/>
    <x v="0"/>
    <x v="70"/>
    <x v="1"/>
  </r>
  <r>
    <x v="32"/>
    <x v="2"/>
    <x v="52"/>
    <x v="11"/>
    <x v="20"/>
    <x v="0"/>
    <x v="3"/>
    <x v="8"/>
    <x v="3"/>
    <x v="17"/>
    <x v="11"/>
    <x v="8"/>
    <x v="5"/>
    <x v="0"/>
    <x v="2"/>
    <x v="0"/>
    <x v="0"/>
    <x v="0"/>
    <x v="0"/>
    <x v="0"/>
    <x v="0"/>
    <x v="0"/>
    <x v="52"/>
    <x v="0"/>
    <x v="1"/>
    <x v="0"/>
    <x v="2"/>
    <x v="11"/>
    <x v="12"/>
    <x v="0"/>
    <x v="0"/>
    <x v="26"/>
    <x v="14"/>
    <x v="4"/>
    <x v="3"/>
    <x v="18"/>
    <x v="15"/>
    <x v="6"/>
    <x v="0"/>
    <x v="6"/>
    <x v="13"/>
    <x v="5"/>
    <x v="5"/>
    <x v="4"/>
    <x v="4"/>
    <x v="19"/>
    <x v="0"/>
    <x v="0"/>
    <x v="5"/>
    <x v="0"/>
    <x v="1"/>
    <x v="20"/>
    <x v="8"/>
    <x v="12"/>
    <x v="1"/>
    <x v="1"/>
    <x v="16"/>
    <x v="41"/>
    <x v="0"/>
    <x v="7"/>
    <x v="45"/>
    <x v="38"/>
    <x v="54"/>
    <x v="50"/>
    <x v="2"/>
    <x v="1"/>
    <x v="1"/>
    <x v="0"/>
    <x v="0"/>
    <x v="0"/>
    <x v="3"/>
    <x v="6"/>
    <x v="3"/>
    <x v="6"/>
    <x v="3"/>
    <x v="5"/>
    <x v="3"/>
    <x v="5"/>
    <x v="16"/>
    <x v="12"/>
    <x v="5"/>
    <x v="0"/>
    <x v="9"/>
    <x v="2"/>
    <x v="2"/>
    <x v="7"/>
    <x v="1"/>
  </r>
  <r>
    <x v="33"/>
    <x v="3"/>
    <x v="53"/>
    <x v="11"/>
    <x v="21"/>
    <x v="0"/>
    <x v="0"/>
    <x v="8"/>
    <x v="3"/>
    <x v="17"/>
    <x v="11"/>
    <x v="8"/>
    <x v="5"/>
    <x v="0"/>
    <x v="2"/>
    <x v="0"/>
    <x v="0"/>
    <x v="0"/>
    <x v="0"/>
    <x v="0"/>
    <x v="0"/>
    <x v="0"/>
    <x v="52"/>
    <x v="0"/>
    <x v="1"/>
    <x v="0"/>
    <x v="2"/>
    <x v="11"/>
    <x v="12"/>
    <x v="0"/>
    <x v="0"/>
    <x v="26"/>
    <x v="14"/>
    <x v="4"/>
    <x v="3"/>
    <x v="18"/>
    <x v="15"/>
    <x v="6"/>
    <x v="0"/>
    <x v="6"/>
    <x v="13"/>
    <x v="5"/>
    <x v="5"/>
    <x v="2"/>
    <x v="4"/>
    <x v="15"/>
    <x v="2"/>
    <x v="0"/>
    <x v="5"/>
    <x v="0"/>
    <x v="1"/>
    <x v="3"/>
    <x v="8"/>
    <x v="12"/>
    <x v="1"/>
    <x v="1"/>
    <x v="16"/>
    <x v="41"/>
    <x v="0"/>
    <x v="7"/>
    <x v="45"/>
    <x v="25"/>
    <x v="54"/>
    <x v="37"/>
    <x v="2"/>
    <x v="1"/>
    <x v="0"/>
    <x v="0"/>
    <x v="8"/>
    <x v="0"/>
    <x v="3"/>
    <x v="6"/>
    <x v="3"/>
    <x v="6"/>
    <x v="3"/>
    <x v="5"/>
    <x v="3"/>
    <x v="5"/>
    <x v="16"/>
    <x v="12"/>
    <x v="5"/>
    <x v="0"/>
    <x v="9"/>
    <x v="1"/>
    <x v="2"/>
    <x v="6"/>
    <x v="1"/>
  </r>
  <r>
    <x v="30"/>
    <x v="0"/>
    <x v="54"/>
    <x v="18"/>
    <x v="22"/>
    <x v="0"/>
    <x v="3"/>
    <x v="8"/>
    <x v="3"/>
    <x v="17"/>
    <x v="11"/>
    <x v="8"/>
    <x v="1"/>
    <x v="0"/>
    <x v="2"/>
    <x v="0"/>
    <x v="0"/>
    <x v="0"/>
    <x v="0"/>
    <x v="0"/>
    <x v="0"/>
    <x v="0"/>
    <x v="27"/>
    <x v="0"/>
    <x v="1"/>
    <x v="0"/>
    <x v="3"/>
    <x v="11"/>
    <x v="12"/>
    <x v="0"/>
    <x v="0"/>
    <x v="26"/>
    <x v="14"/>
    <x v="4"/>
    <x v="3"/>
    <x v="14"/>
    <x v="15"/>
    <x v="6"/>
    <x v="0"/>
    <x v="6"/>
    <x v="13"/>
    <x v="5"/>
    <x v="5"/>
    <x v="5"/>
    <x v="4"/>
    <x v="1"/>
    <x v="0"/>
    <x v="0"/>
    <x v="5"/>
    <x v="0"/>
    <x v="1"/>
    <x v="1"/>
    <x v="1"/>
    <x v="12"/>
    <x v="1"/>
    <x v="1"/>
    <x v="16"/>
    <x v="10"/>
    <x v="0"/>
    <x v="7"/>
    <x v="14"/>
    <x v="4"/>
    <x v="24"/>
    <x v="14"/>
    <x v="2"/>
    <x v="1"/>
    <x v="1"/>
    <x v="0"/>
    <x v="2"/>
    <x v="0"/>
    <x v="5"/>
    <x v="6"/>
    <x v="1"/>
    <x v="6"/>
    <x v="3"/>
    <x v="5"/>
    <x v="3"/>
    <x v="5"/>
    <x v="16"/>
    <x v="12"/>
    <x v="8"/>
    <x v="0"/>
    <x v="4"/>
    <x v="10"/>
    <x v="0"/>
    <x v="2"/>
    <x v="1"/>
  </r>
  <r>
    <x v="31"/>
    <x v="1"/>
    <x v="55"/>
    <x v="11"/>
    <x v="23"/>
    <x v="0"/>
    <x v="0"/>
    <x v="8"/>
    <x v="3"/>
    <x v="17"/>
    <x v="11"/>
    <x v="8"/>
    <x v="1"/>
    <x v="0"/>
    <x v="2"/>
    <x v="0"/>
    <x v="0"/>
    <x v="0"/>
    <x v="0"/>
    <x v="0"/>
    <x v="0"/>
    <x v="0"/>
    <x v="27"/>
    <x v="0"/>
    <x v="1"/>
    <x v="0"/>
    <x v="3"/>
    <x v="11"/>
    <x v="12"/>
    <x v="0"/>
    <x v="0"/>
    <x v="26"/>
    <x v="14"/>
    <x v="4"/>
    <x v="3"/>
    <x v="14"/>
    <x v="15"/>
    <x v="6"/>
    <x v="0"/>
    <x v="6"/>
    <x v="13"/>
    <x v="5"/>
    <x v="5"/>
    <x v="3"/>
    <x v="4"/>
    <x v="1"/>
    <x v="2"/>
    <x v="0"/>
    <x v="5"/>
    <x v="0"/>
    <x v="1"/>
    <x v="0"/>
    <x v="1"/>
    <x v="12"/>
    <x v="1"/>
    <x v="1"/>
    <x v="16"/>
    <x v="10"/>
    <x v="0"/>
    <x v="7"/>
    <x v="14"/>
    <x v="0"/>
    <x v="24"/>
    <x v="11"/>
    <x v="2"/>
    <x v="1"/>
    <x v="0"/>
    <x v="0"/>
    <x v="7"/>
    <x v="0"/>
    <x v="5"/>
    <x v="6"/>
    <x v="1"/>
    <x v="6"/>
    <x v="3"/>
    <x v="5"/>
    <x v="3"/>
    <x v="5"/>
    <x v="16"/>
    <x v="12"/>
    <x v="8"/>
    <x v="0"/>
    <x v="4"/>
    <x v="11"/>
    <x v="0"/>
    <x v="3"/>
    <x v="1"/>
  </r>
  <r>
    <x v="34"/>
    <x v="4"/>
    <x v="56"/>
    <x v="11"/>
    <x v="24"/>
    <x v="0"/>
    <x v="1"/>
    <x v="5"/>
    <x v="2"/>
    <x v="17"/>
    <x v="11"/>
    <x v="8"/>
    <x v="12"/>
    <x v="21"/>
    <x v="2"/>
    <x v="0"/>
    <x v="0"/>
    <x v="0"/>
    <x v="0"/>
    <x v="0"/>
    <x v="0"/>
    <x v="0"/>
    <x v="28"/>
    <x v="0"/>
    <x v="1"/>
    <x v="18"/>
    <x v="52"/>
    <x v="11"/>
    <x v="12"/>
    <x v="0"/>
    <x v="0"/>
    <x v="26"/>
    <x v="14"/>
    <x v="4"/>
    <x v="3"/>
    <x v="0"/>
    <x v="15"/>
    <x v="6"/>
    <x v="0"/>
    <x v="6"/>
    <x v="13"/>
    <x v="5"/>
    <x v="5"/>
    <x v="46"/>
    <x v="4"/>
    <x v="28"/>
    <x v="24"/>
    <x v="0"/>
    <x v="5"/>
    <x v="0"/>
    <x v="1"/>
    <x v="11"/>
    <x v="0"/>
    <x v="12"/>
    <x v="23"/>
    <x v="19"/>
    <x v="16"/>
    <x v="0"/>
    <x v="0"/>
    <x v="7"/>
    <x v="43"/>
    <x v="51"/>
    <x v="52"/>
    <x v="60"/>
    <x v="1"/>
    <x v="1"/>
    <x v="0"/>
    <x v="0"/>
    <x v="1"/>
    <x v="0"/>
    <x v="5"/>
    <x v="6"/>
    <x v="6"/>
    <x v="6"/>
    <x v="3"/>
    <x v="7"/>
    <x v="3"/>
    <x v="5"/>
    <x v="16"/>
    <x v="8"/>
    <x v="4"/>
    <x v="1"/>
    <x v="0"/>
    <x v="15"/>
    <x v="0"/>
    <x v="37"/>
    <x v="1"/>
  </r>
  <r>
    <x v="26"/>
    <x v="8"/>
    <x v="57"/>
    <x v="12"/>
    <x v="25"/>
    <x v="0"/>
    <x v="1"/>
    <x v="5"/>
    <x v="2"/>
    <x v="20"/>
    <x v="14"/>
    <x v="11"/>
    <x v="12"/>
    <x v="21"/>
    <x v="2"/>
    <x v="0"/>
    <x v="0"/>
    <x v="0"/>
    <x v="0"/>
    <x v="0"/>
    <x v="0"/>
    <x v="0"/>
    <x v="33"/>
    <x v="0"/>
    <x v="1"/>
    <x v="18"/>
    <x v="50"/>
    <x v="10"/>
    <x v="11"/>
    <x v="0"/>
    <x v="0"/>
    <x v="27"/>
    <x v="16"/>
    <x v="4"/>
    <x v="3"/>
    <x v="0"/>
    <x v="22"/>
    <x v="7"/>
    <x v="0"/>
    <x v="7"/>
    <x v="13"/>
    <x v="5"/>
    <x v="5"/>
    <x v="46"/>
    <x v="4"/>
    <x v="28"/>
    <x v="24"/>
    <x v="0"/>
    <x v="5"/>
    <x v="1"/>
    <x v="0"/>
    <x v="2"/>
    <x v="2"/>
    <x v="11"/>
    <x v="23"/>
    <x v="19"/>
    <x v="12"/>
    <x v="0"/>
    <x v="0"/>
    <x v="7"/>
    <x v="46"/>
    <x v="39"/>
    <x v="55"/>
    <x v="51"/>
    <x v="0"/>
    <x v="0"/>
    <x v="1"/>
    <x v="0"/>
    <x v="3"/>
    <x v="0"/>
    <x v="0"/>
    <x v="5"/>
    <x v="6"/>
    <x v="6"/>
    <x v="3"/>
    <x v="7"/>
    <x v="3"/>
    <x v="7"/>
    <x v="18"/>
    <x v="8"/>
    <x v="4"/>
    <x v="1"/>
    <x v="0"/>
    <x v="31"/>
    <x v="0"/>
    <x v="38"/>
    <x v="1"/>
  </r>
  <r>
    <x v="27"/>
    <x v="5"/>
    <x v="58"/>
    <x v="18"/>
    <x v="26"/>
    <x v="0"/>
    <x v="1"/>
    <x v="8"/>
    <x v="3"/>
    <x v="20"/>
    <x v="14"/>
    <x v="11"/>
    <x v="12"/>
    <x v="3"/>
    <x v="2"/>
    <x v="0"/>
    <x v="0"/>
    <x v="0"/>
    <x v="0"/>
    <x v="0"/>
    <x v="0"/>
    <x v="0"/>
    <x v="16"/>
    <x v="0"/>
    <x v="1"/>
    <x v="0"/>
    <x v="5"/>
    <x v="10"/>
    <x v="11"/>
    <x v="0"/>
    <x v="0"/>
    <x v="27"/>
    <x v="16"/>
    <x v="4"/>
    <x v="3"/>
    <x v="11"/>
    <x v="22"/>
    <x v="7"/>
    <x v="0"/>
    <x v="7"/>
    <x v="13"/>
    <x v="5"/>
    <x v="5"/>
    <x v="46"/>
    <x v="4"/>
    <x v="28"/>
    <x v="24"/>
    <x v="0"/>
    <x v="5"/>
    <x v="1"/>
    <x v="0"/>
    <x v="2"/>
    <x v="2"/>
    <x v="11"/>
    <x v="4"/>
    <x v="1"/>
    <x v="12"/>
    <x v="1"/>
    <x v="0"/>
    <x v="7"/>
    <x v="12"/>
    <x v="8"/>
    <x v="22"/>
    <x v="15"/>
    <x v="0"/>
    <x v="0"/>
    <x v="1"/>
    <x v="0"/>
    <x v="6"/>
    <x v="0"/>
    <x v="0"/>
    <x v="5"/>
    <x v="1"/>
    <x v="6"/>
    <x v="3"/>
    <x v="4"/>
    <x v="3"/>
    <x v="7"/>
    <x v="18"/>
    <x v="12"/>
    <x v="4"/>
    <x v="0"/>
    <x v="0"/>
    <x v="30"/>
    <x v="0"/>
    <x v="26"/>
    <x v="1"/>
  </r>
  <r>
    <x v="24"/>
    <x v="6"/>
    <x v="59"/>
    <x v="13"/>
    <x v="27"/>
    <x v="0"/>
    <x v="0"/>
    <x v="8"/>
    <x v="3"/>
    <x v="20"/>
    <x v="14"/>
    <x v="11"/>
    <x v="8"/>
    <x v="0"/>
    <x v="2"/>
    <x v="0"/>
    <x v="0"/>
    <x v="0"/>
    <x v="0"/>
    <x v="0"/>
    <x v="0"/>
    <x v="0"/>
    <x v="61"/>
    <x v="0"/>
    <x v="1"/>
    <x v="0"/>
    <x v="0"/>
    <x v="10"/>
    <x v="11"/>
    <x v="0"/>
    <x v="0"/>
    <x v="26"/>
    <x v="14"/>
    <x v="4"/>
    <x v="3"/>
    <x v="22"/>
    <x v="15"/>
    <x v="6"/>
    <x v="0"/>
    <x v="6"/>
    <x v="13"/>
    <x v="5"/>
    <x v="5"/>
    <x v="0"/>
    <x v="4"/>
    <x v="14"/>
    <x v="1"/>
    <x v="0"/>
    <x v="5"/>
    <x v="1"/>
    <x v="0"/>
    <x v="1"/>
    <x v="1"/>
    <x v="11"/>
    <x v="1"/>
    <x v="1"/>
    <x v="12"/>
    <x v="49"/>
    <x v="0"/>
    <x v="7"/>
    <x v="31"/>
    <x v="17"/>
    <x v="40"/>
    <x v="29"/>
    <x v="2"/>
    <x v="1"/>
    <x v="0"/>
    <x v="0"/>
    <x v="5"/>
    <x v="0"/>
    <x v="4"/>
    <x v="5"/>
    <x v="3"/>
    <x v="6"/>
    <x v="3"/>
    <x v="5"/>
    <x v="3"/>
    <x v="5"/>
    <x v="16"/>
    <x v="12"/>
    <x v="4"/>
    <x v="0"/>
    <x v="1"/>
    <x v="16"/>
    <x v="2"/>
    <x v="0"/>
    <x v="1"/>
  </r>
  <r>
    <x v="25"/>
    <x v="7"/>
    <x v="60"/>
    <x v="18"/>
    <x v="28"/>
    <x v="0"/>
    <x v="0"/>
    <x v="8"/>
    <x v="3"/>
    <x v="20"/>
    <x v="14"/>
    <x v="11"/>
    <x v="5"/>
    <x v="0"/>
    <x v="2"/>
    <x v="0"/>
    <x v="0"/>
    <x v="0"/>
    <x v="0"/>
    <x v="0"/>
    <x v="0"/>
    <x v="0"/>
    <x v="58"/>
    <x v="0"/>
    <x v="1"/>
    <x v="0"/>
    <x v="1"/>
    <x v="10"/>
    <x v="11"/>
    <x v="0"/>
    <x v="0"/>
    <x v="26"/>
    <x v="14"/>
    <x v="4"/>
    <x v="3"/>
    <x v="23"/>
    <x v="15"/>
    <x v="6"/>
    <x v="0"/>
    <x v="6"/>
    <x v="13"/>
    <x v="5"/>
    <x v="5"/>
    <x v="1"/>
    <x v="4"/>
    <x v="4"/>
    <x v="1"/>
    <x v="0"/>
    <x v="5"/>
    <x v="1"/>
    <x v="0"/>
    <x v="1"/>
    <x v="1"/>
    <x v="11"/>
    <x v="1"/>
    <x v="1"/>
    <x v="12"/>
    <x v="45"/>
    <x v="0"/>
    <x v="7"/>
    <x v="23"/>
    <x v="11"/>
    <x v="33"/>
    <x v="18"/>
    <x v="2"/>
    <x v="1"/>
    <x v="0"/>
    <x v="0"/>
    <x v="4"/>
    <x v="0"/>
    <x v="2"/>
    <x v="5"/>
    <x v="3"/>
    <x v="6"/>
    <x v="3"/>
    <x v="5"/>
    <x v="3"/>
    <x v="5"/>
    <x v="16"/>
    <x v="12"/>
    <x v="4"/>
    <x v="0"/>
    <x v="9"/>
    <x v="16"/>
    <x v="2"/>
    <x v="5"/>
    <x v="1"/>
  </r>
  <r>
    <x v="36"/>
    <x v="12"/>
    <x v="69"/>
    <x v="18"/>
    <x v="30"/>
    <x v="0"/>
    <x v="1"/>
    <x v="2"/>
    <x v="3"/>
    <x v="20"/>
    <x v="24"/>
    <x v="22"/>
    <x v="12"/>
    <x v="18"/>
    <x v="2"/>
    <x v="0"/>
    <x v="0"/>
    <x v="0"/>
    <x v="0"/>
    <x v="0"/>
    <x v="0"/>
    <x v="0"/>
    <x v="30"/>
    <x v="0"/>
    <x v="3"/>
    <x v="13"/>
    <x v="49"/>
    <x v="9"/>
    <x v="10"/>
    <x v="0"/>
    <x v="0"/>
    <x v="13"/>
    <x v="8"/>
    <x v="12"/>
    <x v="14"/>
    <x v="0"/>
    <x v="5"/>
    <x v="4"/>
    <x v="0"/>
    <x v="4"/>
    <x v="13"/>
    <x v="5"/>
    <x v="5"/>
    <x v="46"/>
    <x v="4"/>
    <x v="28"/>
    <x v="24"/>
    <x v="0"/>
    <x v="5"/>
    <x v="8"/>
    <x v="14"/>
    <x v="20"/>
    <x v="21"/>
    <x v="10"/>
    <x v="19"/>
    <x v="14"/>
    <x v="12"/>
    <x v="0"/>
    <x v="2"/>
    <x v="6"/>
    <x v="48"/>
    <x v="48"/>
    <x v="57"/>
    <x v="58"/>
    <x v="0"/>
    <x v="0"/>
    <x v="1"/>
    <x v="1"/>
    <x v="34"/>
    <x v="0"/>
    <x v="5"/>
    <x v="1"/>
    <x v="6"/>
    <x v="6"/>
    <x v="3"/>
    <x v="7"/>
    <x v="3"/>
    <x v="6"/>
    <x v="17"/>
    <x v="2"/>
    <x v="4"/>
    <x v="6"/>
    <x v="0"/>
    <x v="66"/>
    <x v="0"/>
    <x v="68"/>
    <x v="1"/>
  </r>
  <r>
    <x v="18"/>
    <x v="17"/>
    <x v="70"/>
    <x v="18"/>
    <x v="31"/>
    <x v="0"/>
    <x v="1"/>
    <x v="8"/>
    <x v="3"/>
    <x v="20"/>
    <x v="14"/>
    <x v="23"/>
    <x v="12"/>
    <x v="3"/>
    <x v="2"/>
    <x v="0"/>
    <x v="0"/>
    <x v="0"/>
    <x v="0"/>
    <x v="0"/>
    <x v="0"/>
    <x v="0"/>
    <x v="14"/>
    <x v="0"/>
    <x v="1"/>
    <x v="0"/>
    <x v="6"/>
    <x v="9"/>
    <x v="10"/>
    <x v="0"/>
    <x v="0"/>
    <x v="30"/>
    <x v="18"/>
    <x v="12"/>
    <x v="14"/>
    <x v="19"/>
    <x v="21"/>
    <x v="7"/>
    <x v="0"/>
    <x v="7"/>
    <x v="13"/>
    <x v="5"/>
    <x v="5"/>
    <x v="46"/>
    <x v="4"/>
    <x v="28"/>
    <x v="24"/>
    <x v="0"/>
    <x v="5"/>
    <x v="4"/>
    <x v="25"/>
    <x v="4"/>
    <x v="2"/>
    <x v="10"/>
    <x v="4"/>
    <x v="1"/>
    <x v="12"/>
    <x v="5"/>
    <x v="0"/>
    <x v="7"/>
    <x v="7"/>
    <x v="15"/>
    <x v="17"/>
    <x v="27"/>
    <x v="0"/>
    <x v="0"/>
    <x v="1"/>
    <x v="1"/>
    <x v="34"/>
    <x v="0"/>
    <x v="0"/>
    <x v="5"/>
    <x v="2"/>
    <x v="4"/>
    <x v="3"/>
    <x v="5"/>
    <x v="3"/>
    <x v="6"/>
    <x v="17"/>
    <x v="12"/>
    <x v="4"/>
    <x v="0"/>
    <x v="0"/>
    <x v="4"/>
    <x v="1"/>
    <x v="27"/>
    <x v="1"/>
  </r>
  <r>
    <x v="37"/>
    <x v="13"/>
    <x v="71"/>
    <x v="15"/>
    <x v="32"/>
    <x v="0"/>
    <x v="1"/>
    <x v="8"/>
    <x v="3"/>
    <x v="20"/>
    <x v="14"/>
    <x v="23"/>
    <x v="12"/>
    <x v="3"/>
    <x v="2"/>
    <x v="0"/>
    <x v="0"/>
    <x v="0"/>
    <x v="0"/>
    <x v="0"/>
    <x v="0"/>
    <x v="0"/>
    <x v="18"/>
    <x v="0"/>
    <x v="3"/>
    <x v="0"/>
    <x v="4"/>
    <x v="9"/>
    <x v="10"/>
    <x v="0"/>
    <x v="0"/>
    <x v="13"/>
    <x v="8"/>
    <x v="12"/>
    <x v="14"/>
    <x v="11"/>
    <x v="5"/>
    <x v="4"/>
    <x v="0"/>
    <x v="4"/>
    <x v="13"/>
    <x v="5"/>
    <x v="5"/>
    <x v="46"/>
    <x v="4"/>
    <x v="28"/>
    <x v="24"/>
    <x v="0"/>
    <x v="5"/>
    <x v="4"/>
    <x v="25"/>
    <x v="4"/>
    <x v="3"/>
    <x v="10"/>
    <x v="4"/>
    <x v="1"/>
    <x v="12"/>
    <x v="1"/>
    <x v="0"/>
    <x v="7"/>
    <x v="9"/>
    <x v="14"/>
    <x v="19"/>
    <x v="26"/>
    <x v="0"/>
    <x v="0"/>
    <x v="1"/>
    <x v="1"/>
    <x v="34"/>
    <x v="0"/>
    <x v="0"/>
    <x v="5"/>
    <x v="6"/>
    <x v="3"/>
    <x v="3"/>
    <x v="4"/>
    <x v="3"/>
    <x v="6"/>
    <x v="17"/>
    <x v="12"/>
    <x v="4"/>
    <x v="0"/>
    <x v="0"/>
    <x v="5"/>
    <x v="0"/>
    <x v="25"/>
    <x v="1"/>
  </r>
  <r>
    <x v="40"/>
    <x v="24"/>
    <x v="63"/>
    <x v="18"/>
    <x v="33"/>
    <x v="0"/>
    <x v="1"/>
    <x v="3"/>
    <x v="2"/>
    <x v="20"/>
    <x v="24"/>
    <x v="22"/>
    <x v="12"/>
    <x v="19"/>
    <x v="2"/>
    <x v="0"/>
    <x v="0"/>
    <x v="0"/>
    <x v="0"/>
    <x v="0"/>
    <x v="0"/>
    <x v="0"/>
    <x v="32"/>
    <x v="0"/>
    <x v="3"/>
    <x v="13"/>
    <x v="48"/>
    <x v="9"/>
    <x v="10"/>
    <x v="0"/>
    <x v="0"/>
    <x v="13"/>
    <x v="8"/>
    <x v="12"/>
    <x v="14"/>
    <x v="0"/>
    <x v="5"/>
    <x v="4"/>
    <x v="0"/>
    <x v="4"/>
    <x v="13"/>
    <x v="5"/>
    <x v="5"/>
    <x v="46"/>
    <x v="0"/>
    <x v="28"/>
    <x v="24"/>
    <x v="0"/>
    <x v="5"/>
    <x v="8"/>
    <x v="14"/>
    <x v="20"/>
    <x v="21"/>
    <x v="10"/>
    <x v="20"/>
    <x v="14"/>
    <x v="12"/>
    <x v="0"/>
    <x v="0"/>
    <x v="8"/>
    <x v="53"/>
    <x v="41"/>
    <x v="60"/>
    <x v="53"/>
    <x v="0"/>
    <x v="0"/>
    <x v="1"/>
    <x v="1"/>
    <x v="34"/>
    <x v="0"/>
    <x v="0"/>
    <x v="1"/>
    <x v="6"/>
    <x v="6"/>
    <x v="3"/>
    <x v="7"/>
    <x v="3"/>
    <x v="7"/>
    <x v="18"/>
    <x v="4"/>
    <x v="4"/>
    <x v="1"/>
    <x v="0"/>
    <x v="12"/>
    <x v="0"/>
    <x v="36"/>
    <x v="1"/>
  </r>
  <r>
    <x v="39"/>
    <x v="23"/>
    <x v="61"/>
    <x v="18"/>
    <x v="29"/>
    <x v="0"/>
    <x v="1"/>
    <x v="5"/>
    <x v="2"/>
    <x v="19"/>
    <x v="18"/>
    <x v="23"/>
    <x v="12"/>
    <x v="23"/>
    <x v="2"/>
    <x v="0"/>
    <x v="0"/>
    <x v="0"/>
    <x v="0"/>
    <x v="0"/>
    <x v="0"/>
    <x v="0"/>
    <x v="43"/>
    <x v="0"/>
    <x v="3"/>
    <x v="22"/>
    <x v="41"/>
    <x v="5"/>
    <x v="6"/>
    <x v="0"/>
    <x v="0"/>
    <x v="18"/>
    <x v="12"/>
    <x v="12"/>
    <x v="11"/>
    <x v="0"/>
    <x v="8"/>
    <x v="5"/>
    <x v="0"/>
    <x v="5"/>
    <x v="13"/>
    <x v="5"/>
    <x v="5"/>
    <x v="46"/>
    <x v="4"/>
    <x v="28"/>
    <x v="24"/>
    <x v="0"/>
    <x v="5"/>
    <x v="5"/>
    <x v="26"/>
    <x v="10"/>
    <x v="11"/>
    <x v="6"/>
    <x v="21"/>
    <x v="23"/>
    <x v="14"/>
    <x v="0"/>
    <x v="0"/>
    <x v="7"/>
    <x v="50"/>
    <x v="46"/>
    <x v="59"/>
    <x v="57"/>
    <x v="2"/>
    <x v="1"/>
    <x v="1"/>
    <x v="1"/>
    <x v="34"/>
    <x v="0"/>
    <x v="0"/>
    <x v="2"/>
    <x v="6"/>
    <x v="6"/>
    <x v="3"/>
    <x v="7"/>
    <x v="3"/>
    <x v="9"/>
    <x v="19"/>
    <x v="8"/>
    <x v="4"/>
    <x v="1"/>
    <x v="12"/>
    <x v="41"/>
    <x v="0"/>
    <x v="39"/>
    <x v="1"/>
  </r>
  <r>
    <x v="35"/>
    <x v="22"/>
    <x v="62"/>
    <x v="18"/>
    <x v="34"/>
    <x v="0"/>
    <x v="1"/>
    <x v="2"/>
    <x v="3"/>
    <x v="19"/>
    <x v="15"/>
    <x v="23"/>
    <x v="12"/>
    <x v="17"/>
    <x v="2"/>
    <x v="0"/>
    <x v="0"/>
    <x v="0"/>
    <x v="0"/>
    <x v="0"/>
    <x v="0"/>
    <x v="0"/>
    <x v="45"/>
    <x v="0"/>
    <x v="3"/>
    <x v="15"/>
    <x v="37"/>
    <x v="5"/>
    <x v="5"/>
    <x v="0"/>
    <x v="0"/>
    <x v="14"/>
    <x v="6"/>
    <x v="12"/>
    <x v="11"/>
    <x v="0"/>
    <x v="6"/>
    <x v="4"/>
    <x v="0"/>
    <x v="4"/>
    <x v="13"/>
    <x v="5"/>
    <x v="5"/>
    <x v="46"/>
    <x v="4"/>
    <x v="28"/>
    <x v="24"/>
    <x v="0"/>
    <x v="5"/>
    <x v="5"/>
    <x v="25"/>
    <x v="10"/>
    <x v="11"/>
    <x v="5"/>
    <x v="18"/>
    <x v="16"/>
    <x v="13"/>
    <x v="0"/>
    <x v="2"/>
    <x v="6"/>
    <x v="42"/>
    <x v="45"/>
    <x v="51"/>
    <x v="56"/>
    <x v="2"/>
    <x v="1"/>
    <x v="1"/>
    <x v="1"/>
    <x v="34"/>
    <x v="0"/>
    <x v="0"/>
    <x v="4"/>
    <x v="6"/>
    <x v="6"/>
    <x v="3"/>
    <x v="7"/>
    <x v="3"/>
    <x v="9"/>
    <x v="19"/>
    <x v="2"/>
    <x v="4"/>
    <x v="6"/>
    <x v="0"/>
    <x v="38"/>
    <x v="0"/>
    <x v="66"/>
    <x v="1"/>
  </r>
  <r>
    <x v="49"/>
    <x v="44"/>
    <x v="64"/>
    <x v="18"/>
    <x v="35"/>
    <x v="0"/>
    <x v="3"/>
    <x v="3"/>
    <x v="1"/>
    <x v="23"/>
    <x v="25"/>
    <x v="23"/>
    <x v="11"/>
    <x v="25"/>
    <x v="1"/>
    <x v="0"/>
    <x v="0"/>
    <x v="0"/>
    <x v="0"/>
    <x v="0"/>
    <x v="0"/>
    <x v="0"/>
    <x v="66"/>
    <x v="0"/>
    <x v="1"/>
    <x v="19"/>
    <x v="8"/>
    <x v="12"/>
    <x v="13"/>
    <x v="0"/>
    <x v="0"/>
    <x v="28"/>
    <x v="17"/>
    <x v="8"/>
    <x v="14"/>
    <x v="10"/>
    <x v="24"/>
    <x v="7"/>
    <x v="0"/>
    <x v="7"/>
    <x v="13"/>
    <x v="1"/>
    <x v="1"/>
    <x v="25"/>
    <x v="2"/>
    <x v="25"/>
    <x v="24"/>
    <x v="0"/>
    <x v="5"/>
    <x v="3"/>
    <x v="25"/>
    <x v="20"/>
    <x v="21"/>
    <x v="12"/>
    <x v="23"/>
    <x v="20"/>
    <x v="9"/>
    <x v="52"/>
    <x v="0"/>
    <x v="8"/>
    <x v="62"/>
    <x v="54"/>
    <x v="64"/>
    <x v="63"/>
    <x v="2"/>
    <x v="1"/>
    <x v="1"/>
    <x v="1"/>
    <x v="34"/>
    <x v="0"/>
    <x v="3"/>
    <x v="9"/>
    <x v="4"/>
    <x v="6"/>
    <x v="3"/>
    <x v="5"/>
    <x v="3"/>
    <x v="5"/>
    <x v="16"/>
    <x v="3"/>
    <x v="13"/>
    <x v="0"/>
    <x v="5"/>
    <x v="14"/>
    <x v="4"/>
    <x v="4"/>
    <x v="1"/>
  </r>
  <r>
    <x v="50"/>
    <x v="45"/>
    <x v="65"/>
    <x v="14"/>
    <x v="36"/>
    <x v="0"/>
    <x v="3"/>
    <x v="3"/>
    <x v="1"/>
    <x v="23"/>
    <x v="25"/>
    <x v="23"/>
    <x v="10"/>
    <x v="25"/>
    <x v="1"/>
    <x v="0"/>
    <x v="0"/>
    <x v="0"/>
    <x v="0"/>
    <x v="0"/>
    <x v="0"/>
    <x v="0"/>
    <x v="65"/>
    <x v="0"/>
    <x v="1"/>
    <x v="19"/>
    <x v="11"/>
    <x v="12"/>
    <x v="13"/>
    <x v="0"/>
    <x v="0"/>
    <x v="28"/>
    <x v="17"/>
    <x v="8"/>
    <x v="14"/>
    <x v="10"/>
    <x v="24"/>
    <x v="7"/>
    <x v="0"/>
    <x v="7"/>
    <x v="13"/>
    <x v="2"/>
    <x v="2"/>
    <x v="28"/>
    <x v="3"/>
    <x v="13"/>
    <x v="24"/>
    <x v="0"/>
    <x v="5"/>
    <x v="3"/>
    <x v="25"/>
    <x v="20"/>
    <x v="21"/>
    <x v="12"/>
    <x v="23"/>
    <x v="20"/>
    <x v="9"/>
    <x v="50"/>
    <x v="0"/>
    <x v="8"/>
    <x v="61"/>
    <x v="52"/>
    <x v="63"/>
    <x v="61"/>
    <x v="2"/>
    <x v="1"/>
    <x v="1"/>
    <x v="1"/>
    <x v="34"/>
    <x v="0"/>
    <x v="3"/>
    <x v="9"/>
    <x v="4"/>
    <x v="6"/>
    <x v="3"/>
    <x v="5"/>
    <x v="3"/>
    <x v="5"/>
    <x v="16"/>
    <x v="3"/>
    <x v="11"/>
    <x v="0"/>
    <x v="3"/>
    <x v="44"/>
    <x v="4"/>
    <x v="1"/>
    <x v="1"/>
  </r>
  <r>
    <x v="38"/>
    <x v="41"/>
    <x v="66"/>
    <x v="18"/>
    <x v="35"/>
    <x v="0"/>
    <x v="3"/>
    <x v="5"/>
    <x v="4"/>
    <x v="24"/>
    <x v="23"/>
    <x v="21"/>
    <x v="1"/>
    <x v="14"/>
    <x v="2"/>
    <x v="0"/>
    <x v="0"/>
    <x v="0"/>
    <x v="0"/>
    <x v="0"/>
    <x v="0"/>
    <x v="0"/>
    <x v="31"/>
    <x v="0"/>
    <x v="2"/>
    <x v="10"/>
    <x v="39"/>
    <x v="5"/>
    <x v="5"/>
    <x v="0"/>
    <x v="0"/>
    <x v="25"/>
    <x v="13"/>
    <x v="9"/>
    <x v="12"/>
    <x v="28"/>
    <x v="19"/>
    <x v="6"/>
    <x v="0"/>
    <x v="6"/>
    <x v="5"/>
    <x v="5"/>
    <x v="5"/>
    <x v="9"/>
    <x v="4"/>
    <x v="26"/>
    <x v="5"/>
    <x v="0"/>
    <x v="5"/>
    <x v="6"/>
    <x v="8"/>
    <x v="6"/>
    <x v="8"/>
    <x v="5"/>
    <x v="15"/>
    <x v="11"/>
    <x v="8"/>
    <x v="19"/>
    <x v="0"/>
    <x v="5"/>
    <x v="26"/>
    <x v="22"/>
    <x v="36"/>
    <x v="34"/>
    <x v="2"/>
    <x v="1"/>
    <x v="1"/>
    <x v="1"/>
    <x v="22"/>
    <x v="0"/>
    <x v="5"/>
    <x v="4"/>
    <x v="1"/>
    <x v="6"/>
    <x v="3"/>
    <x v="5"/>
    <x v="3"/>
    <x v="4"/>
    <x v="15"/>
    <x v="9"/>
    <x v="8"/>
    <x v="3"/>
    <x v="4"/>
    <x v="13"/>
    <x v="0"/>
    <x v="58"/>
    <x v="1"/>
  </r>
  <r>
    <x v="44"/>
    <x v="43"/>
    <x v="72"/>
    <x v="18"/>
    <x v="39"/>
    <x v="0"/>
    <x v="1"/>
    <x v="2"/>
    <x v="3"/>
    <x v="25"/>
    <x v="4"/>
    <x v="23"/>
    <x v="12"/>
    <x v="16"/>
    <x v="2"/>
    <x v="0"/>
    <x v="0"/>
    <x v="0"/>
    <x v="0"/>
    <x v="0"/>
    <x v="0"/>
    <x v="0"/>
    <x v="42"/>
    <x v="0"/>
    <x v="3"/>
    <x v="21"/>
    <x v="46"/>
    <x v="6"/>
    <x v="7"/>
    <x v="0"/>
    <x v="0"/>
    <x v="17"/>
    <x v="11"/>
    <x v="5"/>
    <x v="9"/>
    <x v="0"/>
    <x v="11"/>
    <x v="5"/>
    <x v="0"/>
    <x v="5"/>
    <x v="13"/>
    <x v="5"/>
    <x v="5"/>
    <x v="46"/>
    <x v="4"/>
    <x v="28"/>
    <x v="24"/>
    <x v="0"/>
    <x v="5"/>
    <x v="9"/>
    <x v="25"/>
    <x v="20"/>
    <x v="6"/>
    <x v="7"/>
    <x v="17"/>
    <x v="22"/>
    <x v="7"/>
    <x v="0"/>
    <x v="2"/>
    <x v="6"/>
    <x v="34"/>
    <x v="41"/>
    <x v="43"/>
    <x v="53"/>
    <x v="2"/>
    <x v="1"/>
    <x v="1"/>
    <x v="1"/>
    <x v="34"/>
    <x v="0"/>
    <x v="5"/>
    <x v="0"/>
    <x v="6"/>
    <x v="6"/>
    <x v="3"/>
    <x v="7"/>
    <x v="3"/>
    <x v="9"/>
    <x v="19"/>
    <x v="2"/>
    <x v="3"/>
    <x v="6"/>
    <x v="0"/>
    <x v="26"/>
    <x v="8"/>
    <x v="65"/>
    <x v="1"/>
  </r>
  <r>
    <x v="82"/>
    <x v="60"/>
    <x v="77"/>
    <x v="16"/>
    <x v="44"/>
    <x v="0"/>
    <x v="2"/>
    <x v="2"/>
    <x v="3"/>
    <x v="27"/>
    <x v="25"/>
    <x v="23"/>
    <x v="0"/>
    <x v="9"/>
    <x v="2"/>
    <x v="0"/>
    <x v="0"/>
    <x v="0"/>
    <x v="0"/>
    <x v="0"/>
    <x v="0"/>
    <x v="0"/>
    <x v="13"/>
    <x v="0"/>
    <x v="1"/>
    <x v="9"/>
    <x v="53"/>
    <x v="5"/>
    <x v="5"/>
    <x v="0"/>
    <x v="0"/>
    <x v="23"/>
    <x v="13"/>
    <x v="9"/>
    <x v="12"/>
    <x v="15"/>
    <x v="19"/>
    <x v="6"/>
    <x v="0"/>
    <x v="6"/>
    <x v="0"/>
    <x v="5"/>
    <x v="5"/>
    <x v="45"/>
    <x v="4"/>
    <x v="17"/>
    <x v="23"/>
    <x v="0"/>
    <x v="5"/>
    <x v="8"/>
    <x v="25"/>
    <x v="20"/>
    <x v="21"/>
    <x v="5"/>
    <x v="10"/>
    <x v="10"/>
    <x v="5"/>
    <x v="3"/>
    <x v="2"/>
    <x v="6"/>
    <x v="32"/>
    <x v="28"/>
    <x v="41"/>
    <x v="40"/>
    <x v="2"/>
    <x v="1"/>
    <x v="1"/>
    <x v="1"/>
    <x v="34"/>
    <x v="0"/>
    <x v="5"/>
    <x v="4"/>
    <x v="1"/>
    <x v="1"/>
    <x v="3"/>
    <x v="2"/>
    <x v="5"/>
    <x v="9"/>
    <x v="27"/>
    <x v="2"/>
    <x v="4"/>
    <x v="6"/>
    <x v="0"/>
    <x v="62"/>
    <x v="0"/>
    <x v="67"/>
    <x v="1"/>
  </r>
  <r>
    <x v="78"/>
    <x v="61"/>
    <x v="78"/>
    <x v="18"/>
    <x v="40"/>
    <x v="0"/>
    <x v="2"/>
    <x v="2"/>
    <x v="3"/>
    <x v="27"/>
    <x v="25"/>
    <x v="23"/>
    <x v="1"/>
    <x v="9"/>
    <x v="2"/>
    <x v="0"/>
    <x v="0"/>
    <x v="0"/>
    <x v="0"/>
    <x v="0"/>
    <x v="0"/>
    <x v="0"/>
    <x v="25"/>
    <x v="0"/>
    <x v="1"/>
    <x v="9"/>
    <x v="38"/>
    <x v="5"/>
    <x v="5"/>
    <x v="0"/>
    <x v="0"/>
    <x v="23"/>
    <x v="13"/>
    <x v="9"/>
    <x v="12"/>
    <x v="15"/>
    <x v="19"/>
    <x v="6"/>
    <x v="0"/>
    <x v="6"/>
    <x v="0"/>
    <x v="5"/>
    <x v="5"/>
    <x v="44"/>
    <x v="4"/>
    <x v="17"/>
    <x v="22"/>
    <x v="0"/>
    <x v="5"/>
    <x v="8"/>
    <x v="25"/>
    <x v="20"/>
    <x v="21"/>
    <x v="5"/>
    <x v="10"/>
    <x v="10"/>
    <x v="5"/>
    <x v="11"/>
    <x v="2"/>
    <x v="6"/>
    <x v="35"/>
    <x v="30"/>
    <x v="44"/>
    <x v="42"/>
    <x v="2"/>
    <x v="1"/>
    <x v="1"/>
    <x v="1"/>
    <x v="34"/>
    <x v="0"/>
    <x v="5"/>
    <x v="4"/>
    <x v="1"/>
    <x v="1"/>
    <x v="3"/>
    <x v="2"/>
    <x v="5"/>
    <x v="9"/>
    <x v="27"/>
    <x v="2"/>
    <x v="8"/>
    <x v="6"/>
    <x v="4"/>
    <x v="62"/>
    <x v="0"/>
    <x v="72"/>
    <x v="1"/>
  </r>
  <r>
    <x v="79"/>
    <x v="62"/>
    <x v="79"/>
    <x v="16"/>
    <x v="41"/>
    <x v="0"/>
    <x v="2"/>
    <x v="2"/>
    <x v="3"/>
    <x v="27"/>
    <x v="25"/>
    <x v="23"/>
    <x v="2"/>
    <x v="9"/>
    <x v="2"/>
    <x v="0"/>
    <x v="0"/>
    <x v="0"/>
    <x v="0"/>
    <x v="0"/>
    <x v="0"/>
    <x v="0"/>
    <x v="36"/>
    <x v="0"/>
    <x v="1"/>
    <x v="9"/>
    <x v="33"/>
    <x v="5"/>
    <x v="5"/>
    <x v="0"/>
    <x v="0"/>
    <x v="23"/>
    <x v="13"/>
    <x v="9"/>
    <x v="12"/>
    <x v="15"/>
    <x v="19"/>
    <x v="6"/>
    <x v="0"/>
    <x v="6"/>
    <x v="0"/>
    <x v="5"/>
    <x v="5"/>
    <x v="43"/>
    <x v="4"/>
    <x v="9"/>
    <x v="22"/>
    <x v="0"/>
    <x v="5"/>
    <x v="8"/>
    <x v="25"/>
    <x v="20"/>
    <x v="21"/>
    <x v="5"/>
    <x v="10"/>
    <x v="10"/>
    <x v="5"/>
    <x v="20"/>
    <x v="2"/>
    <x v="6"/>
    <x v="37"/>
    <x v="33"/>
    <x v="46"/>
    <x v="45"/>
    <x v="2"/>
    <x v="1"/>
    <x v="1"/>
    <x v="1"/>
    <x v="34"/>
    <x v="0"/>
    <x v="5"/>
    <x v="4"/>
    <x v="1"/>
    <x v="1"/>
    <x v="3"/>
    <x v="2"/>
    <x v="5"/>
    <x v="9"/>
    <x v="27"/>
    <x v="2"/>
    <x v="14"/>
    <x v="6"/>
    <x v="6"/>
    <x v="62"/>
    <x v="0"/>
    <x v="76"/>
    <x v="1"/>
  </r>
  <r>
    <x v="80"/>
    <x v="63"/>
    <x v="80"/>
    <x v="16"/>
    <x v="42"/>
    <x v="0"/>
    <x v="2"/>
    <x v="2"/>
    <x v="3"/>
    <x v="27"/>
    <x v="25"/>
    <x v="23"/>
    <x v="3"/>
    <x v="9"/>
    <x v="2"/>
    <x v="0"/>
    <x v="0"/>
    <x v="0"/>
    <x v="0"/>
    <x v="0"/>
    <x v="0"/>
    <x v="0"/>
    <x v="38"/>
    <x v="0"/>
    <x v="1"/>
    <x v="9"/>
    <x v="28"/>
    <x v="5"/>
    <x v="5"/>
    <x v="0"/>
    <x v="0"/>
    <x v="23"/>
    <x v="13"/>
    <x v="9"/>
    <x v="12"/>
    <x v="15"/>
    <x v="19"/>
    <x v="6"/>
    <x v="0"/>
    <x v="6"/>
    <x v="0"/>
    <x v="5"/>
    <x v="5"/>
    <x v="42"/>
    <x v="4"/>
    <x v="2"/>
    <x v="22"/>
    <x v="0"/>
    <x v="5"/>
    <x v="8"/>
    <x v="25"/>
    <x v="20"/>
    <x v="21"/>
    <x v="5"/>
    <x v="10"/>
    <x v="10"/>
    <x v="5"/>
    <x v="25"/>
    <x v="2"/>
    <x v="6"/>
    <x v="38"/>
    <x v="35"/>
    <x v="47"/>
    <x v="47"/>
    <x v="2"/>
    <x v="1"/>
    <x v="1"/>
    <x v="1"/>
    <x v="34"/>
    <x v="0"/>
    <x v="5"/>
    <x v="4"/>
    <x v="1"/>
    <x v="1"/>
    <x v="3"/>
    <x v="2"/>
    <x v="5"/>
    <x v="9"/>
    <x v="27"/>
    <x v="2"/>
    <x v="17"/>
    <x v="6"/>
    <x v="7"/>
    <x v="62"/>
    <x v="0"/>
    <x v="79"/>
    <x v="1"/>
  </r>
  <r>
    <x v="81"/>
    <x v="64"/>
    <x v="81"/>
    <x v="16"/>
    <x v="43"/>
    <x v="0"/>
    <x v="2"/>
    <x v="2"/>
    <x v="3"/>
    <x v="27"/>
    <x v="25"/>
    <x v="23"/>
    <x v="4"/>
    <x v="9"/>
    <x v="2"/>
    <x v="0"/>
    <x v="0"/>
    <x v="0"/>
    <x v="0"/>
    <x v="0"/>
    <x v="0"/>
    <x v="0"/>
    <x v="44"/>
    <x v="0"/>
    <x v="1"/>
    <x v="9"/>
    <x v="25"/>
    <x v="5"/>
    <x v="5"/>
    <x v="0"/>
    <x v="0"/>
    <x v="23"/>
    <x v="13"/>
    <x v="9"/>
    <x v="12"/>
    <x v="15"/>
    <x v="19"/>
    <x v="6"/>
    <x v="0"/>
    <x v="6"/>
    <x v="0"/>
    <x v="5"/>
    <x v="5"/>
    <x v="41"/>
    <x v="4"/>
    <x v="3"/>
    <x v="22"/>
    <x v="0"/>
    <x v="5"/>
    <x v="8"/>
    <x v="25"/>
    <x v="20"/>
    <x v="21"/>
    <x v="5"/>
    <x v="10"/>
    <x v="10"/>
    <x v="5"/>
    <x v="32"/>
    <x v="2"/>
    <x v="6"/>
    <x v="40"/>
    <x v="36"/>
    <x v="49"/>
    <x v="48"/>
    <x v="2"/>
    <x v="1"/>
    <x v="1"/>
    <x v="1"/>
    <x v="34"/>
    <x v="0"/>
    <x v="5"/>
    <x v="4"/>
    <x v="1"/>
    <x v="1"/>
    <x v="3"/>
    <x v="2"/>
    <x v="5"/>
    <x v="9"/>
    <x v="27"/>
    <x v="2"/>
    <x v="19"/>
    <x v="6"/>
    <x v="8"/>
    <x v="62"/>
    <x v="0"/>
    <x v="80"/>
    <x v="1"/>
  </r>
  <r>
    <x v="16"/>
    <x v="15"/>
    <x v="73"/>
    <x v="18"/>
    <x v="45"/>
    <x v="0"/>
    <x v="1"/>
    <x v="4"/>
    <x v="3"/>
    <x v="30"/>
    <x v="25"/>
    <x v="23"/>
    <x v="12"/>
    <x v="15"/>
    <x v="2"/>
    <x v="0"/>
    <x v="0"/>
    <x v="0"/>
    <x v="0"/>
    <x v="0"/>
    <x v="0"/>
    <x v="0"/>
    <x v="35"/>
    <x v="0"/>
    <x v="3"/>
    <x v="14"/>
    <x v="47"/>
    <x v="6"/>
    <x v="7"/>
    <x v="0"/>
    <x v="0"/>
    <x v="11"/>
    <x v="5"/>
    <x v="12"/>
    <x v="14"/>
    <x v="0"/>
    <x v="5"/>
    <x v="4"/>
    <x v="0"/>
    <x v="4"/>
    <x v="13"/>
    <x v="5"/>
    <x v="5"/>
    <x v="46"/>
    <x v="4"/>
    <x v="28"/>
    <x v="24"/>
    <x v="0"/>
    <x v="5"/>
    <x v="7"/>
    <x v="25"/>
    <x v="20"/>
    <x v="6"/>
    <x v="7"/>
    <x v="16"/>
    <x v="15"/>
    <x v="2"/>
    <x v="0"/>
    <x v="1"/>
    <x v="9"/>
    <x v="41"/>
    <x v="35"/>
    <x v="50"/>
    <x v="47"/>
    <x v="2"/>
    <x v="1"/>
    <x v="1"/>
    <x v="1"/>
    <x v="34"/>
    <x v="0"/>
    <x v="5"/>
    <x v="8"/>
    <x v="6"/>
    <x v="6"/>
    <x v="3"/>
    <x v="7"/>
    <x v="4"/>
    <x v="11"/>
    <x v="24"/>
    <x v="7"/>
    <x v="3"/>
    <x v="5"/>
    <x v="0"/>
    <x v="63"/>
    <x v="0"/>
    <x v="62"/>
    <x v="1"/>
  </r>
  <r>
    <x v="3"/>
    <x v="40"/>
    <x v="74"/>
    <x v="18"/>
    <x v="46"/>
    <x v="0"/>
    <x v="3"/>
    <x v="5"/>
    <x v="4"/>
    <x v="29"/>
    <x v="25"/>
    <x v="23"/>
    <x v="4"/>
    <x v="20"/>
    <x v="2"/>
    <x v="0"/>
    <x v="0"/>
    <x v="0"/>
    <x v="0"/>
    <x v="0"/>
    <x v="0"/>
    <x v="0"/>
    <x v="57"/>
    <x v="0"/>
    <x v="2"/>
    <x v="20"/>
    <x v="30"/>
    <x v="7"/>
    <x v="8"/>
    <x v="0"/>
    <x v="0"/>
    <x v="34"/>
    <x v="15"/>
    <x v="12"/>
    <x v="14"/>
    <x v="26"/>
    <x v="13"/>
    <x v="6"/>
    <x v="0"/>
    <x v="6"/>
    <x v="13"/>
    <x v="5"/>
    <x v="5"/>
    <x v="23"/>
    <x v="4"/>
    <x v="20"/>
    <x v="14"/>
    <x v="0"/>
    <x v="5"/>
    <x v="4"/>
    <x v="25"/>
    <x v="4"/>
    <x v="6"/>
    <x v="8"/>
    <x v="22"/>
    <x v="21"/>
    <x v="3"/>
    <x v="42"/>
    <x v="0"/>
    <x v="5"/>
    <x v="44"/>
    <x v="42"/>
    <x v="53"/>
    <x v="54"/>
    <x v="2"/>
    <x v="1"/>
    <x v="1"/>
    <x v="1"/>
    <x v="34"/>
    <x v="0"/>
    <x v="5"/>
    <x v="2"/>
    <x v="2"/>
    <x v="6"/>
    <x v="3"/>
    <x v="5"/>
    <x v="4"/>
    <x v="5"/>
    <x v="23"/>
    <x v="9"/>
    <x v="19"/>
    <x v="3"/>
    <x v="8"/>
    <x v="61"/>
    <x v="1"/>
    <x v="60"/>
    <x v="1"/>
  </r>
  <r>
    <x v="74"/>
    <x v="39"/>
    <x v="82"/>
    <x v="18"/>
    <x v="47"/>
    <x v="0"/>
    <x v="3"/>
    <x v="5"/>
    <x v="2"/>
    <x v="30"/>
    <x v="25"/>
    <x v="23"/>
    <x v="10"/>
    <x v="26"/>
    <x v="2"/>
    <x v="0"/>
    <x v="0"/>
    <x v="0"/>
    <x v="0"/>
    <x v="0"/>
    <x v="0"/>
    <x v="0"/>
    <x v="54"/>
    <x v="0"/>
    <x v="2"/>
    <x v="24"/>
    <x v="51"/>
    <x v="13"/>
    <x v="14"/>
    <x v="0"/>
    <x v="0"/>
    <x v="33"/>
    <x v="20"/>
    <x v="11"/>
    <x v="13"/>
    <x v="27"/>
    <x v="27"/>
    <x v="9"/>
    <x v="0"/>
    <x v="9"/>
    <x v="12"/>
    <x v="3"/>
    <x v="3"/>
    <x v="26"/>
    <x v="4"/>
    <x v="27"/>
    <x v="15"/>
    <x v="0"/>
    <x v="5"/>
    <x v="8"/>
    <x v="25"/>
    <x v="11"/>
    <x v="9"/>
    <x v="12"/>
    <x v="23"/>
    <x v="25"/>
    <x v="2"/>
    <x v="53"/>
    <x v="0"/>
    <x v="7"/>
    <x v="63"/>
    <x v="55"/>
    <x v="65"/>
    <x v="64"/>
    <x v="2"/>
    <x v="1"/>
    <x v="1"/>
    <x v="1"/>
    <x v="34"/>
    <x v="0"/>
    <x v="5"/>
    <x v="4"/>
    <x v="1"/>
    <x v="4"/>
    <x v="0"/>
    <x v="5"/>
    <x v="4"/>
    <x v="5"/>
    <x v="23"/>
    <x v="8"/>
    <x v="12"/>
    <x v="1"/>
    <x v="3"/>
    <x v="22"/>
    <x v="5"/>
    <x v="41"/>
    <x v="1"/>
  </r>
  <r>
    <x v="74"/>
    <x v="38"/>
    <x v="83"/>
    <x v="17"/>
    <x v="48"/>
    <x v="0"/>
    <x v="3"/>
    <x v="5"/>
    <x v="2"/>
    <x v="30"/>
    <x v="25"/>
    <x v="23"/>
    <x v="9"/>
    <x v="24"/>
    <x v="2"/>
    <x v="0"/>
    <x v="0"/>
    <x v="0"/>
    <x v="0"/>
    <x v="0"/>
    <x v="0"/>
    <x v="0"/>
    <x v="53"/>
    <x v="0"/>
    <x v="2"/>
    <x v="23"/>
    <x v="43"/>
    <x v="13"/>
    <x v="14"/>
    <x v="0"/>
    <x v="0"/>
    <x v="33"/>
    <x v="20"/>
    <x v="11"/>
    <x v="13"/>
    <x v="25"/>
    <x v="27"/>
    <x v="9"/>
    <x v="0"/>
    <x v="9"/>
    <x v="11"/>
    <x v="4"/>
    <x v="4"/>
    <x v="27"/>
    <x v="4"/>
    <x v="6"/>
    <x v="15"/>
    <x v="0"/>
    <x v="5"/>
    <x v="8"/>
    <x v="25"/>
    <x v="6"/>
    <x v="6"/>
    <x v="12"/>
    <x v="23"/>
    <x v="24"/>
    <x v="2"/>
    <x v="51"/>
    <x v="0"/>
    <x v="7"/>
    <x v="59"/>
    <x v="53"/>
    <x v="62"/>
    <x v="62"/>
    <x v="2"/>
    <x v="1"/>
    <x v="1"/>
    <x v="1"/>
    <x v="34"/>
    <x v="0"/>
    <x v="5"/>
    <x v="4"/>
    <x v="1"/>
    <x v="4"/>
    <x v="3"/>
    <x v="5"/>
    <x v="4"/>
    <x v="5"/>
    <x v="23"/>
    <x v="8"/>
    <x v="10"/>
    <x v="1"/>
    <x v="2"/>
    <x v="6"/>
    <x v="0"/>
    <x v="40"/>
    <x v="1"/>
  </r>
  <r>
    <x v="51"/>
    <x v="42"/>
    <x v="76"/>
    <x v="18"/>
    <x v="49"/>
    <x v="0"/>
    <x v="3"/>
    <x v="4"/>
    <x v="2"/>
    <x v="32"/>
    <x v="25"/>
    <x v="23"/>
    <x v="4"/>
    <x v="22"/>
    <x v="0"/>
    <x v="0"/>
    <x v="0"/>
    <x v="0"/>
    <x v="0"/>
    <x v="0"/>
    <x v="0"/>
    <x v="0"/>
    <x v="59"/>
    <x v="0"/>
    <x v="2"/>
    <x v="16"/>
    <x v="24"/>
    <x v="9"/>
    <x v="10"/>
    <x v="0"/>
    <x v="0"/>
    <x v="32"/>
    <x v="16"/>
    <x v="12"/>
    <x v="14"/>
    <x v="29"/>
    <x v="21"/>
    <x v="7"/>
    <x v="0"/>
    <x v="7"/>
    <x v="7"/>
    <x v="5"/>
    <x v="5"/>
    <x v="24"/>
    <x v="1"/>
    <x v="20"/>
    <x v="24"/>
    <x v="0"/>
    <x v="5"/>
    <x v="5"/>
    <x v="25"/>
    <x v="4"/>
    <x v="6"/>
    <x v="10"/>
    <x v="23"/>
    <x v="17"/>
    <x v="0"/>
    <x v="45"/>
    <x v="1"/>
    <x v="9"/>
    <x v="54"/>
    <x v="49"/>
    <x v="61"/>
    <x v="59"/>
    <x v="2"/>
    <x v="1"/>
    <x v="1"/>
    <x v="1"/>
    <x v="34"/>
    <x v="0"/>
    <x v="1"/>
    <x v="8"/>
    <x v="3"/>
    <x v="6"/>
    <x v="3"/>
    <x v="5"/>
    <x v="4"/>
    <x v="5"/>
    <x v="23"/>
    <x v="6"/>
    <x v="20"/>
    <x v="2"/>
    <x v="8"/>
    <x v="40"/>
    <x v="2"/>
    <x v="56"/>
    <x v="1"/>
  </r>
  <r>
    <x v="71"/>
    <x v="83"/>
    <x v="10"/>
    <x v="18"/>
    <x v="50"/>
    <x v="0"/>
    <x v="4"/>
    <x v="9"/>
    <x v="3"/>
    <x v="1"/>
    <x v="0"/>
    <x v="2"/>
    <x v="12"/>
    <x v="27"/>
    <x v="2"/>
    <x v="0"/>
    <x v="0"/>
    <x v="0"/>
    <x v="0"/>
    <x v="0"/>
    <x v="0"/>
    <x v="0"/>
    <x v="0"/>
    <x v="0"/>
    <x v="0"/>
    <x v="25"/>
    <x v="55"/>
    <x v="3"/>
    <x v="3"/>
    <x v="0"/>
    <x v="0"/>
    <x v="1"/>
    <x v="1"/>
    <x v="1"/>
    <x v="2"/>
    <x v="2"/>
    <x v="30"/>
    <x v="1"/>
    <x v="0"/>
    <x v="1"/>
    <x v="13"/>
    <x v="5"/>
    <x v="5"/>
    <x v="46"/>
    <x v="4"/>
    <x v="28"/>
    <x v="24"/>
    <x v="0"/>
    <x v="5"/>
    <x v="5"/>
    <x v="21"/>
    <x v="7"/>
    <x v="12"/>
    <x v="3"/>
    <x v="0"/>
    <x v="0"/>
    <x v="32"/>
    <x v="8"/>
    <x v="2"/>
    <x v="1"/>
    <x v="1"/>
    <x v="6"/>
    <x v="0"/>
    <x v="2"/>
    <x v="2"/>
    <x v="1"/>
    <x v="1"/>
    <x v="1"/>
    <x v="34"/>
    <x v="0"/>
    <x v="5"/>
    <x v="0"/>
    <x v="1"/>
    <x v="5"/>
    <x v="3"/>
    <x v="6"/>
    <x v="2"/>
    <x v="12"/>
    <x v="12"/>
    <x v="13"/>
    <x v="1"/>
    <x v="0"/>
    <x v="0"/>
    <x v="60"/>
    <x v="0"/>
    <x v="15"/>
    <x v="1"/>
  </r>
  <r>
    <x v="2"/>
    <x v="80"/>
    <x v="14"/>
    <x v="18"/>
    <x v="52"/>
    <x v="0"/>
    <x v="4"/>
    <x v="9"/>
    <x v="3"/>
    <x v="7"/>
    <x v="8"/>
    <x v="7"/>
    <x v="12"/>
    <x v="27"/>
    <x v="2"/>
    <x v="0"/>
    <x v="0"/>
    <x v="0"/>
    <x v="0"/>
    <x v="0"/>
    <x v="0"/>
    <x v="0"/>
    <x v="6"/>
    <x v="0"/>
    <x v="2"/>
    <x v="25"/>
    <x v="55"/>
    <x v="3"/>
    <x v="3"/>
    <x v="0"/>
    <x v="0"/>
    <x v="1"/>
    <x v="1"/>
    <x v="1"/>
    <x v="2"/>
    <x v="4"/>
    <x v="30"/>
    <x v="1"/>
    <x v="0"/>
    <x v="1"/>
    <x v="13"/>
    <x v="5"/>
    <x v="5"/>
    <x v="46"/>
    <x v="4"/>
    <x v="28"/>
    <x v="24"/>
    <x v="0"/>
    <x v="5"/>
    <x v="5"/>
    <x v="6"/>
    <x v="7"/>
    <x v="21"/>
    <x v="3"/>
    <x v="0"/>
    <x v="0"/>
    <x v="26"/>
    <x v="15"/>
    <x v="2"/>
    <x v="1"/>
    <x v="1"/>
    <x v="6"/>
    <x v="0"/>
    <x v="2"/>
    <x v="2"/>
    <x v="1"/>
    <x v="1"/>
    <x v="1"/>
    <x v="34"/>
    <x v="0"/>
    <x v="5"/>
    <x v="0"/>
    <x v="1"/>
    <x v="5"/>
    <x v="3"/>
    <x v="0"/>
    <x v="1"/>
    <x v="12"/>
    <x v="9"/>
    <x v="13"/>
    <x v="1"/>
    <x v="0"/>
    <x v="0"/>
    <x v="58"/>
    <x v="0"/>
    <x v="14"/>
    <x v="0"/>
  </r>
  <r>
    <x v="70"/>
    <x v="78"/>
    <x v="15"/>
    <x v="18"/>
    <x v="53"/>
    <x v="0"/>
    <x v="4"/>
    <x v="9"/>
    <x v="3"/>
    <x v="14"/>
    <x v="21"/>
    <x v="19"/>
    <x v="12"/>
    <x v="27"/>
    <x v="2"/>
    <x v="0"/>
    <x v="0"/>
    <x v="0"/>
    <x v="0"/>
    <x v="0"/>
    <x v="0"/>
    <x v="0"/>
    <x v="4"/>
    <x v="0"/>
    <x v="1"/>
    <x v="25"/>
    <x v="55"/>
    <x v="3"/>
    <x v="3"/>
    <x v="0"/>
    <x v="0"/>
    <x v="5"/>
    <x v="1"/>
    <x v="2"/>
    <x v="10"/>
    <x v="9"/>
    <x v="31"/>
    <x v="1"/>
    <x v="0"/>
    <x v="1"/>
    <x v="13"/>
    <x v="5"/>
    <x v="5"/>
    <x v="46"/>
    <x v="4"/>
    <x v="28"/>
    <x v="24"/>
    <x v="0"/>
    <x v="5"/>
    <x v="5"/>
    <x v="21"/>
    <x v="7"/>
    <x v="21"/>
    <x v="3"/>
    <x v="0"/>
    <x v="0"/>
    <x v="19"/>
    <x v="27"/>
    <x v="2"/>
    <x v="1"/>
    <x v="2"/>
    <x v="7"/>
    <x v="1"/>
    <x v="3"/>
    <x v="2"/>
    <x v="1"/>
    <x v="1"/>
    <x v="1"/>
    <x v="34"/>
    <x v="0"/>
    <x v="5"/>
    <x v="0"/>
    <x v="1"/>
    <x v="5"/>
    <x v="3"/>
    <x v="0"/>
    <x v="1"/>
    <x v="12"/>
    <x v="9"/>
    <x v="13"/>
    <x v="1"/>
    <x v="0"/>
    <x v="0"/>
    <x v="57"/>
    <x v="0"/>
    <x v="13"/>
    <x v="0"/>
  </r>
  <r>
    <x v="52"/>
    <x v="47"/>
    <x v="16"/>
    <x v="18"/>
    <x v="54"/>
    <x v="0"/>
    <x v="4"/>
    <x v="9"/>
    <x v="3"/>
    <x v="28"/>
    <x v="25"/>
    <x v="23"/>
    <x v="12"/>
    <x v="27"/>
    <x v="2"/>
    <x v="0"/>
    <x v="0"/>
    <x v="0"/>
    <x v="0"/>
    <x v="0"/>
    <x v="0"/>
    <x v="0"/>
    <x v="8"/>
    <x v="0"/>
    <x v="2"/>
    <x v="25"/>
    <x v="55"/>
    <x v="5"/>
    <x v="5"/>
    <x v="0"/>
    <x v="0"/>
    <x v="10"/>
    <x v="6"/>
    <x v="4"/>
    <x v="7"/>
    <x v="35"/>
    <x v="7"/>
    <x v="4"/>
    <x v="0"/>
    <x v="4"/>
    <x v="13"/>
    <x v="5"/>
    <x v="5"/>
    <x v="46"/>
    <x v="4"/>
    <x v="28"/>
    <x v="24"/>
    <x v="0"/>
    <x v="5"/>
    <x v="5"/>
    <x v="25"/>
    <x v="20"/>
    <x v="21"/>
    <x v="5"/>
    <x v="0"/>
    <x v="0"/>
    <x v="4"/>
    <x v="48"/>
    <x v="2"/>
    <x v="1"/>
    <x v="6"/>
    <x v="10"/>
    <x v="4"/>
    <x v="6"/>
    <x v="2"/>
    <x v="1"/>
    <x v="1"/>
    <x v="1"/>
    <x v="34"/>
    <x v="0"/>
    <x v="5"/>
    <x v="0"/>
    <x v="1"/>
    <x v="2"/>
    <x v="3"/>
    <x v="0"/>
    <x v="4"/>
    <x v="12"/>
    <x v="25"/>
    <x v="13"/>
    <x v="3"/>
    <x v="0"/>
    <x v="0"/>
    <x v="17"/>
    <x v="0"/>
    <x v="20"/>
    <x v="1"/>
  </r>
  <r>
    <x v="66"/>
    <x v="19"/>
    <x v="20"/>
    <x v="18"/>
    <x v="57"/>
    <x v="0"/>
    <x v="4"/>
    <x v="0"/>
    <x v="3"/>
    <x v="3"/>
    <x v="1"/>
    <x v="2"/>
    <x v="12"/>
    <x v="27"/>
    <x v="2"/>
    <x v="0"/>
    <x v="0"/>
    <x v="0"/>
    <x v="0"/>
    <x v="0"/>
    <x v="0"/>
    <x v="0"/>
    <x v="9"/>
    <x v="0"/>
    <x v="1"/>
    <x v="25"/>
    <x v="55"/>
    <x v="4"/>
    <x v="4"/>
    <x v="0"/>
    <x v="0"/>
    <x v="2"/>
    <x v="1"/>
    <x v="1"/>
    <x v="2"/>
    <x v="0"/>
    <x v="30"/>
    <x v="1"/>
    <x v="0"/>
    <x v="1"/>
    <x v="13"/>
    <x v="5"/>
    <x v="5"/>
    <x v="46"/>
    <x v="4"/>
    <x v="28"/>
    <x v="24"/>
    <x v="0"/>
    <x v="5"/>
    <x v="11"/>
    <x v="10"/>
    <x v="9"/>
    <x v="13"/>
    <x v="4"/>
    <x v="0"/>
    <x v="0"/>
    <x v="30"/>
    <x v="0"/>
    <x v="2"/>
    <x v="0"/>
    <x v="5"/>
    <x v="11"/>
    <x v="3"/>
    <x v="7"/>
    <x v="2"/>
    <x v="1"/>
    <x v="1"/>
    <x v="1"/>
    <x v="34"/>
    <x v="0"/>
    <x v="5"/>
    <x v="0"/>
    <x v="6"/>
    <x v="0"/>
    <x v="3"/>
    <x v="1"/>
    <x v="0"/>
    <x v="8"/>
    <x v="2"/>
    <x v="0"/>
    <x v="1"/>
    <x v="0"/>
    <x v="0"/>
    <x v="65"/>
    <x v="0"/>
    <x v="17"/>
    <x v="1"/>
  </r>
  <r>
    <x v="61"/>
    <x v="18"/>
    <x v="21"/>
    <x v="18"/>
    <x v="58"/>
    <x v="0"/>
    <x v="4"/>
    <x v="0"/>
    <x v="3"/>
    <x v="6"/>
    <x v="6"/>
    <x v="8"/>
    <x v="12"/>
    <x v="27"/>
    <x v="2"/>
    <x v="0"/>
    <x v="0"/>
    <x v="0"/>
    <x v="0"/>
    <x v="0"/>
    <x v="0"/>
    <x v="0"/>
    <x v="9"/>
    <x v="0"/>
    <x v="1"/>
    <x v="25"/>
    <x v="55"/>
    <x v="4"/>
    <x v="4"/>
    <x v="0"/>
    <x v="0"/>
    <x v="7"/>
    <x v="2"/>
    <x v="1"/>
    <x v="2"/>
    <x v="0"/>
    <x v="0"/>
    <x v="2"/>
    <x v="0"/>
    <x v="2"/>
    <x v="13"/>
    <x v="5"/>
    <x v="5"/>
    <x v="46"/>
    <x v="4"/>
    <x v="28"/>
    <x v="24"/>
    <x v="0"/>
    <x v="5"/>
    <x v="11"/>
    <x v="19"/>
    <x v="9"/>
    <x v="13"/>
    <x v="4"/>
    <x v="0"/>
    <x v="0"/>
    <x v="27"/>
    <x v="0"/>
    <x v="2"/>
    <x v="0"/>
    <x v="5"/>
    <x v="10"/>
    <x v="3"/>
    <x v="6"/>
    <x v="2"/>
    <x v="1"/>
    <x v="1"/>
    <x v="1"/>
    <x v="34"/>
    <x v="0"/>
    <x v="5"/>
    <x v="0"/>
    <x v="6"/>
    <x v="0"/>
    <x v="3"/>
    <x v="1"/>
    <x v="0"/>
    <x v="8"/>
    <x v="2"/>
    <x v="0"/>
    <x v="1"/>
    <x v="0"/>
    <x v="0"/>
    <x v="55"/>
    <x v="0"/>
    <x v="12"/>
    <x v="1"/>
  </r>
  <r>
    <x v="62"/>
    <x v="55"/>
    <x v="11"/>
    <x v="18"/>
    <x v="51"/>
    <x v="0"/>
    <x v="4"/>
    <x v="9"/>
    <x v="3"/>
    <x v="5"/>
    <x v="3"/>
    <x v="3"/>
    <x v="12"/>
    <x v="27"/>
    <x v="2"/>
    <x v="0"/>
    <x v="0"/>
    <x v="0"/>
    <x v="0"/>
    <x v="0"/>
    <x v="0"/>
    <x v="0"/>
    <x v="3"/>
    <x v="0"/>
    <x v="1"/>
    <x v="25"/>
    <x v="55"/>
    <x v="2"/>
    <x v="2"/>
    <x v="0"/>
    <x v="0"/>
    <x v="7"/>
    <x v="2"/>
    <x v="1"/>
    <x v="2"/>
    <x v="4"/>
    <x v="0"/>
    <x v="2"/>
    <x v="0"/>
    <x v="2"/>
    <x v="13"/>
    <x v="5"/>
    <x v="5"/>
    <x v="46"/>
    <x v="4"/>
    <x v="28"/>
    <x v="24"/>
    <x v="0"/>
    <x v="5"/>
    <x v="5"/>
    <x v="5"/>
    <x v="7"/>
    <x v="21"/>
    <x v="2"/>
    <x v="0"/>
    <x v="0"/>
    <x v="28"/>
    <x v="15"/>
    <x v="2"/>
    <x v="1"/>
    <x v="1"/>
    <x v="6"/>
    <x v="0"/>
    <x v="2"/>
    <x v="2"/>
    <x v="1"/>
    <x v="1"/>
    <x v="1"/>
    <x v="34"/>
    <x v="0"/>
    <x v="5"/>
    <x v="0"/>
    <x v="1"/>
    <x v="2"/>
    <x v="3"/>
    <x v="3"/>
    <x v="0"/>
    <x v="12"/>
    <x v="3"/>
    <x v="13"/>
    <x v="1"/>
    <x v="0"/>
    <x v="0"/>
    <x v="49"/>
    <x v="0"/>
    <x v="11"/>
    <x v="1"/>
  </r>
  <r>
    <x v="75"/>
    <x v="20"/>
    <x v="22"/>
    <x v="18"/>
    <x v="59"/>
    <x v="0"/>
    <x v="4"/>
    <x v="0"/>
    <x v="3"/>
    <x v="5"/>
    <x v="13"/>
    <x v="12"/>
    <x v="12"/>
    <x v="27"/>
    <x v="2"/>
    <x v="0"/>
    <x v="0"/>
    <x v="0"/>
    <x v="0"/>
    <x v="0"/>
    <x v="0"/>
    <x v="0"/>
    <x v="11"/>
    <x v="0"/>
    <x v="1"/>
    <x v="25"/>
    <x v="55"/>
    <x v="5"/>
    <x v="5"/>
    <x v="0"/>
    <x v="0"/>
    <x v="8"/>
    <x v="3"/>
    <x v="1"/>
    <x v="2"/>
    <x v="0"/>
    <x v="3"/>
    <x v="3"/>
    <x v="0"/>
    <x v="3"/>
    <x v="13"/>
    <x v="5"/>
    <x v="5"/>
    <x v="46"/>
    <x v="4"/>
    <x v="28"/>
    <x v="24"/>
    <x v="0"/>
    <x v="5"/>
    <x v="11"/>
    <x v="23"/>
    <x v="20"/>
    <x v="21"/>
    <x v="5"/>
    <x v="0"/>
    <x v="0"/>
    <x v="28"/>
    <x v="0"/>
    <x v="2"/>
    <x v="0"/>
    <x v="1"/>
    <x v="3"/>
    <x v="0"/>
    <x v="0"/>
    <x v="2"/>
    <x v="1"/>
    <x v="1"/>
    <x v="1"/>
    <x v="34"/>
    <x v="0"/>
    <x v="5"/>
    <x v="0"/>
    <x v="6"/>
    <x v="0"/>
    <x v="3"/>
    <x v="1"/>
    <x v="0"/>
    <x v="8"/>
    <x v="2"/>
    <x v="0"/>
    <x v="2"/>
    <x v="0"/>
    <x v="0"/>
    <x v="45"/>
    <x v="0"/>
    <x v="18"/>
    <x v="1"/>
  </r>
  <r>
    <x v="76"/>
    <x v="21"/>
    <x v="23"/>
    <x v="2"/>
    <x v="60"/>
    <x v="0"/>
    <x v="4"/>
    <x v="0"/>
    <x v="3"/>
    <x v="5"/>
    <x v="13"/>
    <x v="12"/>
    <x v="12"/>
    <x v="27"/>
    <x v="2"/>
    <x v="0"/>
    <x v="0"/>
    <x v="0"/>
    <x v="0"/>
    <x v="0"/>
    <x v="0"/>
    <x v="0"/>
    <x v="11"/>
    <x v="0"/>
    <x v="1"/>
    <x v="25"/>
    <x v="55"/>
    <x v="5"/>
    <x v="5"/>
    <x v="0"/>
    <x v="0"/>
    <x v="8"/>
    <x v="3"/>
    <x v="1"/>
    <x v="2"/>
    <x v="0"/>
    <x v="3"/>
    <x v="3"/>
    <x v="0"/>
    <x v="3"/>
    <x v="13"/>
    <x v="5"/>
    <x v="5"/>
    <x v="46"/>
    <x v="4"/>
    <x v="28"/>
    <x v="24"/>
    <x v="0"/>
    <x v="5"/>
    <x v="11"/>
    <x v="23"/>
    <x v="20"/>
    <x v="21"/>
    <x v="5"/>
    <x v="0"/>
    <x v="0"/>
    <x v="28"/>
    <x v="0"/>
    <x v="2"/>
    <x v="0"/>
    <x v="1"/>
    <x v="3"/>
    <x v="0"/>
    <x v="0"/>
    <x v="2"/>
    <x v="1"/>
    <x v="1"/>
    <x v="1"/>
    <x v="34"/>
    <x v="0"/>
    <x v="5"/>
    <x v="0"/>
    <x v="6"/>
    <x v="6"/>
    <x v="3"/>
    <x v="1"/>
    <x v="0"/>
    <x v="8"/>
    <x v="2"/>
    <x v="0"/>
    <x v="2"/>
    <x v="0"/>
    <x v="0"/>
    <x v="46"/>
    <x v="0"/>
    <x v="19"/>
    <x v="1"/>
  </r>
  <r>
    <x v="17"/>
    <x v="16"/>
    <x v="12"/>
    <x v="18"/>
    <x v="54"/>
    <x v="0"/>
    <x v="4"/>
    <x v="9"/>
    <x v="3"/>
    <x v="7"/>
    <x v="7"/>
    <x v="5"/>
    <x v="12"/>
    <x v="27"/>
    <x v="2"/>
    <x v="0"/>
    <x v="0"/>
    <x v="0"/>
    <x v="0"/>
    <x v="0"/>
    <x v="0"/>
    <x v="0"/>
    <x v="2"/>
    <x v="0"/>
    <x v="1"/>
    <x v="25"/>
    <x v="55"/>
    <x v="4"/>
    <x v="4"/>
    <x v="0"/>
    <x v="0"/>
    <x v="4"/>
    <x v="1"/>
    <x v="1"/>
    <x v="2"/>
    <x v="5"/>
    <x v="30"/>
    <x v="1"/>
    <x v="0"/>
    <x v="1"/>
    <x v="13"/>
    <x v="5"/>
    <x v="5"/>
    <x v="46"/>
    <x v="4"/>
    <x v="28"/>
    <x v="24"/>
    <x v="0"/>
    <x v="5"/>
    <x v="5"/>
    <x v="4"/>
    <x v="7"/>
    <x v="21"/>
    <x v="4"/>
    <x v="0"/>
    <x v="0"/>
    <x v="26"/>
    <x v="18"/>
    <x v="2"/>
    <x v="1"/>
    <x v="2"/>
    <x v="8"/>
    <x v="1"/>
    <x v="4"/>
    <x v="2"/>
    <x v="1"/>
    <x v="1"/>
    <x v="1"/>
    <x v="34"/>
    <x v="0"/>
    <x v="5"/>
    <x v="0"/>
    <x v="1"/>
    <x v="2"/>
    <x v="3"/>
    <x v="3"/>
    <x v="1"/>
    <x v="12"/>
    <x v="9"/>
    <x v="13"/>
    <x v="1"/>
    <x v="0"/>
    <x v="0"/>
    <x v="64"/>
    <x v="0"/>
    <x v="16"/>
    <x v="1"/>
  </r>
  <r>
    <x v="0"/>
    <x v="46"/>
    <x v="13"/>
    <x v="18"/>
    <x v="55"/>
    <x v="0"/>
    <x v="4"/>
    <x v="9"/>
    <x v="3"/>
    <x v="13"/>
    <x v="16"/>
    <x v="14"/>
    <x v="12"/>
    <x v="27"/>
    <x v="2"/>
    <x v="0"/>
    <x v="0"/>
    <x v="0"/>
    <x v="0"/>
    <x v="0"/>
    <x v="0"/>
    <x v="0"/>
    <x v="5"/>
    <x v="0"/>
    <x v="2"/>
    <x v="25"/>
    <x v="55"/>
    <x v="4"/>
    <x v="4"/>
    <x v="0"/>
    <x v="0"/>
    <x v="6"/>
    <x v="2"/>
    <x v="4"/>
    <x v="7"/>
    <x v="11"/>
    <x v="1"/>
    <x v="2"/>
    <x v="0"/>
    <x v="2"/>
    <x v="13"/>
    <x v="5"/>
    <x v="5"/>
    <x v="46"/>
    <x v="4"/>
    <x v="28"/>
    <x v="24"/>
    <x v="0"/>
    <x v="5"/>
    <x v="5"/>
    <x v="9"/>
    <x v="20"/>
    <x v="21"/>
    <x v="4"/>
    <x v="0"/>
    <x v="0"/>
    <x v="20"/>
    <x v="30"/>
    <x v="2"/>
    <x v="1"/>
    <x v="3"/>
    <x v="5"/>
    <x v="2"/>
    <x v="1"/>
    <x v="2"/>
    <x v="1"/>
    <x v="1"/>
    <x v="1"/>
    <x v="34"/>
    <x v="0"/>
    <x v="5"/>
    <x v="0"/>
    <x v="1"/>
    <x v="2"/>
    <x v="3"/>
    <x v="3"/>
    <x v="1"/>
    <x v="12"/>
    <x v="9"/>
    <x v="13"/>
    <x v="1"/>
    <x v="0"/>
    <x v="0"/>
    <x v="34"/>
    <x v="0"/>
    <x v="10"/>
    <x v="1"/>
  </r>
  <r>
    <x v="1"/>
    <x v="79"/>
    <x v="17"/>
    <x v="18"/>
    <x v="56"/>
    <x v="0"/>
    <x v="4"/>
    <x v="9"/>
    <x v="3"/>
    <x v="15"/>
    <x v="25"/>
    <x v="23"/>
    <x v="12"/>
    <x v="27"/>
    <x v="2"/>
    <x v="0"/>
    <x v="0"/>
    <x v="0"/>
    <x v="0"/>
    <x v="0"/>
    <x v="0"/>
    <x v="0"/>
    <x v="10"/>
    <x v="0"/>
    <x v="2"/>
    <x v="25"/>
    <x v="55"/>
    <x v="5"/>
    <x v="5"/>
    <x v="0"/>
    <x v="0"/>
    <x v="15"/>
    <x v="10"/>
    <x v="4"/>
    <x v="7"/>
    <x v="27"/>
    <x v="10"/>
    <x v="5"/>
    <x v="0"/>
    <x v="5"/>
    <x v="13"/>
    <x v="5"/>
    <x v="5"/>
    <x v="46"/>
    <x v="4"/>
    <x v="28"/>
    <x v="24"/>
    <x v="0"/>
    <x v="5"/>
    <x v="5"/>
    <x v="25"/>
    <x v="20"/>
    <x v="21"/>
    <x v="5"/>
    <x v="0"/>
    <x v="0"/>
    <x v="18"/>
    <x v="43"/>
    <x v="2"/>
    <x v="1"/>
    <x v="5"/>
    <x v="9"/>
    <x v="3"/>
    <x v="5"/>
    <x v="2"/>
    <x v="1"/>
    <x v="1"/>
    <x v="1"/>
    <x v="34"/>
    <x v="0"/>
    <x v="5"/>
    <x v="0"/>
    <x v="1"/>
    <x v="2"/>
    <x v="3"/>
    <x v="3"/>
    <x v="3"/>
    <x v="12"/>
    <x v="21"/>
    <x v="13"/>
    <x v="3"/>
    <x v="0"/>
    <x v="0"/>
    <x v="24"/>
    <x v="0"/>
    <x v="23"/>
    <x v="1"/>
  </r>
  <r>
    <x v="63"/>
    <x v="70"/>
    <x v="24"/>
    <x v="18"/>
    <x v="61"/>
    <x v="0"/>
    <x v="4"/>
    <x v="7"/>
    <x v="3"/>
    <x v="0"/>
    <x v="2"/>
    <x v="1"/>
    <x v="12"/>
    <x v="27"/>
    <x v="2"/>
    <x v="0"/>
    <x v="0"/>
    <x v="0"/>
    <x v="0"/>
    <x v="0"/>
    <x v="0"/>
    <x v="0"/>
    <x v="17"/>
    <x v="0"/>
    <x v="1"/>
    <x v="25"/>
    <x v="55"/>
    <x v="6"/>
    <x v="7"/>
    <x v="0"/>
    <x v="0"/>
    <x v="21"/>
    <x v="13"/>
    <x v="9"/>
    <x v="6"/>
    <x v="3"/>
    <x v="17"/>
    <x v="6"/>
    <x v="0"/>
    <x v="6"/>
    <x v="13"/>
    <x v="5"/>
    <x v="5"/>
    <x v="46"/>
    <x v="4"/>
    <x v="28"/>
    <x v="24"/>
    <x v="0"/>
    <x v="5"/>
    <x v="5"/>
    <x v="22"/>
    <x v="17"/>
    <x v="19"/>
    <x v="7"/>
    <x v="0"/>
    <x v="0"/>
    <x v="33"/>
    <x v="12"/>
    <x v="4"/>
    <x v="3"/>
    <x v="52"/>
    <x v="59"/>
    <x v="10"/>
    <x v="17"/>
    <x v="2"/>
    <x v="1"/>
    <x v="1"/>
    <x v="1"/>
    <x v="34"/>
    <x v="0"/>
    <x v="5"/>
    <x v="1"/>
    <x v="5"/>
    <x v="4"/>
    <x v="3"/>
    <x v="5"/>
    <x v="2"/>
    <x v="0"/>
    <x v="10"/>
    <x v="11"/>
    <x v="4"/>
    <x v="0"/>
    <x v="0"/>
    <x v="21"/>
    <x v="6"/>
    <x v="28"/>
    <x v="1"/>
  </r>
  <r>
    <x v="20"/>
    <x v="56"/>
    <x v="30"/>
    <x v="18"/>
    <x v="62"/>
    <x v="0"/>
    <x v="4"/>
    <x v="1"/>
    <x v="3"/>
    <x v="9"/>
    <x v="9"/>
    <x v="14"/>
    <x v="12"/>
    <x v="27"/>
    <x v="2"/>
    <x v="0"/>
    <x v="0"/>
    <x v="0"/>
    <x v="0"/>
    <x v="0"/>
    <x v="0"/>
    <x v="0"/>
    <x v="12"/>
    <x v="0"/>
    <x v="1"/>
    <x v="25"/>
    <x v="55"/>
    <x v="7"/>
    <x v="8"/>
    <x v="0"/>
    <x v="0"/>
    <x v="16"/>
    <x v="9"/>
    <x v="9"/>
    <x v="6"/>
    <x v="31"/>
    <x v="12"/>
    <x v="5"/>
    <x v="0"/>
    <x v="5"/>
    <x v="13"/>
    <x v="5"/>
    <x v="5"/>
    <x v="46"/>
    <x v="4"/>
    <x v="28"/>
    <x v="24"/>
    <x v="0"/>
    <x v="5"/>
    <x v="5"/>
    <x v="14"/>
    <x v="12"/>
    <x v="14"/>
    <x v="8"/>
    <x v="0"/>
    <x v="0"/>
    <x v="24"/>
    <x v="46"/>
    <x v="3"/>
    <x v="2"/>
    <x v="25"/>
    <x v="43"/>
    <x v="5"/>
    <x v="8"/>
    <x v="2"/>
    <x v="1"/>
    <x v="1"/>
    <x v="1"/>
    <x v="34"/>
    <x v="0"/>
    <x v="5"/>
    <x v="0"/>
    <x v="1"/>
    <x v="3"/>
    <x v="3"/>
    <x v="4"/>
    <x v="1"/>
    <x v="10"/>
    <x v="8"/>
    <x v="1"/>
    <x v="3"/>
    <x v="0"/>
    <x v="0"/>
    <x v="59"/>
    <x v="0"/>
    <x v="24"/>
    <x v="1"/>
  </r>
  <r>
    <x v="19"/>
    <x v="57"/>
    <x v="31"/>
    <x v="4"/>
    <x v="69"/>
    <x v="0"/>
    <x v="4"/>
    <x v="1"/>
    <x v="3"/>
    <x v="16"/>
    <x v="17"/>
    <x v="14"/>
    <x v="12"/>
    <x v="27"/>
    <x v="2"/>
    <x v="0"/>
    <x v="0"/>
    <x v="0"/>
    <x v="0"/>
    <x v="0"/>
    <x v="0"/>
    <x v="0"/>
    <x v="12"/>
    <x v="0"/>
    <x v="1"/>
    <x v="25"/>
    <x v="55"/>
    <x v="8"/>
    <x v="9"/>
    <x v="0"/>
    <x v="0"/>
    <x v="16"/>
    <x v="9"/>
    <x v="9"/>
    <x v="6"/>
    <x v="31"/>
    <x v="12"/>
    <x v="5"/>
    <x v="0"/>
    <x v="5"/>
    <x v="13"/>
    <x v="5"/>
    <x v="5"/>
    <x v="46"/>
    <x v="4"/>
    <x v="28"/>
    <x v="24"/>
    <x v="0"/>
    <x v="5"/>
    <x v="5"/>
    <x v="4"/>
    <x v="14"/>
    <x v="15"/>
    <x v="9"/>
    <x v="0"/>
    <x v="0"/>
    <x v="17"/>
    <x v="46"/>
    <x v="3"/>
    <x v="2"/>
    <x v="29"/>
    <x v="50"/>
    <x v="7"/>
    <x v="10"/>
    <x v="2"/>
    <x v="1"/>
    <x v="1"/>
    <x v="1"/>
    <x v="34"/>
    <x v="0"/>
    <x v="5"/>
    <x v="0"/>
    <x v="1"/>
    <x v="3"/>
    <x v="3"/>
    <x v="4"/>
    <x v="3"/>
    <x v="10"/>
    <x v="20"/>
    <x v="1"/>
    <x v="3"/>
    <x v="0"/>
    <x v="0"/>
    <x v="23"/>
    <x v="0"/>
    <x v="22"/>
    <x v="1"/>
  </r>
  <r>
    <x v="22"/>
    <x v="58"/>
    <x v="32"/>
    <x v="4"/>
    <x v="70"/>
    <x v="0"/>
    <x v="4"/>
    <x v="1"/>
    <x v="3"/>
    <x v="21"/>
    <x v="19"/>
    <x v="14"/>
    <x v="12"/>
    <x v="27"/>
    <x v="2"/>
    <x v="0"/>
    <x v="0"/>
    <x v="0"/>
    <x v="0"/>
    <x v="0"/>
    <x v="0"/>
    <x v="0"/>
    <x v="12"/>
    <x v="0"/>
    <x v="2"/>
    <x v="25"/>
    <x v="55"/>
    <x v="7"/>
    <x v="8"/>
    <x v="0"/>
    <x v="0"/>
    <x v="16"/>
    <x v="9"/>
    <x v="9"/>
    <x v="6"/>
    <x v="33"/>
    <x v="12"/>
    <x v="5"/>
    <x v="0"/>
    <x v="5"/>
    <x v="13"/>
    <x v="5"/>
    <x v="5"/>
    <x v="46"/>
    <x v="4"/>
    <x v="28"/>
    <x v="24"/>
    <x v="0"/>
    <x v="5"/>
    <x v="5"/>
    <x v="2"/>
    <x v="13"/>
    <x v="16"/>
    <x v="8"/>
    <x v="0"/>
    <x v="0"/>
    <x v="11"/>
    <x v="47"/>
    <x v="3"/>
    <x v="2"/>
    <x v="36"/>
    <x v="47"/>
    <x v="8"/>
    <x v="9"/>
    <x v="2"/>
    <x v="1"/>
    <x v="1"/>
    <x v="1"/>
    <x v="34"/>
    <x v="0"/>
    <x v="5"/>
    <x v="0"/>
    <x v="1"/>
    <x v="3"/>
    <x v="3"/>
    <x v="4"/>
    <x v="3"/>
    <x v="10"/>
    <x v="20"/>
    <x v="1"/>
    <x v="3"/>
    <x v="0"/>
    <x v="0"/>
    <x v="18"/>
    <x v="0"/>
    <x v="21"/>
    <x v="1"/>
  </r>
  <r>
    <x v="21"/>
    <x v="71"/>
    <x v="25"/>
    <x v="18"/>
    <x v="63"/>
    <x v="0"/>
    <x v="4"/>
    <x v="1"/>
    <x v="3"/>
    <x v="25"/>
    <x v="9"/>
    <x v="7"/>
    <x v="12"/>
    <x v="27"/>
    <x v="2"/>
    <x v="0"/>
    <x v="0"/>
    <x v="0"/>
    <x v="0"/>
    <x v="0"/>
    <x v="0"/>
    <x v="0"/>
    <x v="12"/>
    <x v="0"/>
    <x v="1"/>
    <x v="25"/>
    <x v="55"/>
    <x v="7"/>
    <x v="8"/>
    <x v="0"/>
    <x v="0"/>
    <x v="21"/>
    <x v="13"/>
    <x v="9"/>
    <x v="6"/>
    <x v="5"/>
    <x v="17"/>
    <x v="6"/>
    <x v="0"/>
    <x v="6"/>
    <x v="13"/>
    <x v="5"/>
    <x v="5"/>
    <x v="46"/>
    <x v="4"/>
    <x v="28"/>
    <x v="24"/>
    <x v="0"/>
    <x v="0"/>
    <x v="5"/>
    <x v="0"/>
    <x v="17"/>
    <x v="19"/>
    <x v="8"/>
    <x v="0"/>
    <x v="0"/>
    <x v="7"/>
    <x v="18"/>
    <x v="3"/>
    <x v="2"/>
    <x v="51"/>
    <x v="58"/>
    <x v="9"/>
    <x v="16"/>
    <x v="2"/>
    <x v="1"/>
    <x v="1"/>
    <x v="1"/>
    <x v="34"/>
    <x v="0"/>
    <x v="5"/>
    <x v="1"/>
    <x v="5"/>
    <x v="4"/>
    <x v="3"/>
    <x v="5"/>
    <x v="3"/>
    <x v="0"/>
    <x v="13"/>
    <x v="1"/>
    <x v="4"/>
    <x v="0"/>
    <x v="0"/>
    <x v="50"/>
    <x v="6"/>
    <x v="29"/>
    <x v="1"/>
  </r>
  <r>
    <x v="23"/>
    <x v="72"/>
    <x v="26"/>
    <x v="18"/>
    <x v="64"/>
    <x v="0"/>
    <x v="4"/>
    <x v="1"/>
    <x v="3"/>
    <x v="16"/>
    <x v="25"/>
    <x v="23"/>
    <x v="12"/>
    <x v="27"/>
    <x v="2"/>
    <x v="0"/>
    <x v="0"/>
    <x v="0"/>
    <x v="0"/>
    <x v="0"/>
    <x v="0"/>
    <x v="0"/>
    <x v="13"/>
    <x v="0"/>
    <x v="0"/>
    <x v="25"/>
    <x v="55"/>
    <x v="9"/>
    <x v="10"/>
    <x v="0"/>
    <x v="0"/>
    <x v="30"/>
    <x v="18"/>
    <x v="9"/>
    <x v="6"/>
    <x v="6"/>
    <x v="25"/>
    <x v="7"/>
    <x v="0"/>
    <x v="7"/>
    <x v="13"/>
    <x v="5"/>
    <x v="5"/>
    <x v="46"/>
    <x v="4"/>
    <x v="28"/>
    <x v="24"/>
    <x v="0"/>
    <x v="1"/>
    <x v="5"/>
    <x v="25"/>
    <x v="18"/>
    <x v="20"/>
    <x v="10"/>
    <x v="0"/>
    <x v="0"/>
    <x v="17"/>
    <x v="20"/>
    <x v="3"/>
    <x v="2"/>
    <x v="58"/>
    <x v="63"/>
    <x v="15"/>
    <x v="22"/>
    <x v="2"/>
    <x v="1"/>
    <x v="1"/>
    <x v="1"/>
    <x v="34"/>
    <x v="0"/>
    <x v="5"/>
    <x v="1"/>
    <x v="5"/>
    <x v="4"/>
    <x v="3"/>
    <x v="5"/>
    <x v="3"/>
    <x v="0"/>
    <x v="13"/>
    <x v="1"/>
    <x v="5"/>
    <x v="0"/>
    <x v="0"/>
    <x v="51"/>
    <x v="6"/>
    <x v="32"/>
    <x v="1"/>
  </r>
  <r>
    <x v="47"/>
    <x v="68"/>
    <x v="33"/>
    <x v="5"/>
    <x v="65"/>
    <x v="0"/>
    <x v="0"/>
    <x v="7"/>
    <x v="3"/>
    <x v="26"/>
    <x v="25"/>
    <x v="23"/>
    <x v="6"/>
    <x v="27"/>
    <x v="2"/>
    <x v="0"/>
    <x v="0"/>
    <x v="0"/>
    <x v="0"/>
    <x v="0"/>
    <x v="0"/>
    <x v="0"/>
    <x v="63"/>
    <x v="0"/>
    <x v="0"/>
    <x v="25"/>
    <x v="55"/>
    <x v="9"/>
    <x v="10"/>
    <x v="0"/>
    <x v="0"/>
    <x v="30"/>
    <x v="18"/>
    <x v="9"/>
    <x v="6"/>
    <x v="7"/>
    <x v="25"/>
    <x v="7"/>
    <x v="0"/>
    <x v="7"/>
    <x v="13"/>
    <x v="5"/>
    <x v="5"/>
    <x v="39"/>
    <x v="4"/>
    <x v="22"/>
    <x v="21"/>
    <x v="0"/>
    <x v="5"/>
    <x v="5"/>
    <x v="25"/>
    <x v="15"/>
    <x v="17"/>
    <x v="10"/>
    <x v="0"/>
    <x v="0"/>
    <x v="6"/>
    <x v="29"/>
    <x v="4"/>
    <x v="3"/>
    <x v="47"/>
    <x v="56"/>
    <x v="56"/>
    <x v="65"/>
    <x v="2"/>
    <x v="1"/>
    <x v="1"/>
    <x v="1"/>
    <x v="34"/>
    <x v="0"/>
    <x v="5"/>
    <x v="1"/>
    <x v="1"/>
    <x v="4"/>
    <x v="2"/>
    <x v="5"/>
    <x v="5"/>
    <x v="0"/>
    <x v="26"/>
    <x v="11"/>
    <x v="22"/>
    <x v="0"/>
    <x v="10"/>
    <x v="43"/>
    <x v="7"/>
    <x v="8"/>
    <x v="1"/>
  </r>
  <r>
    <x v="48"/>
    <x v="69"/>
    <x v="34"/>
    <x v="18"/>
    <x v="66"/>
    <x v="0"/>
    <x v="0"/>
    <x v="7"/>
    <x v="3"/>
    <x v="26"/>
    <x v="25"/>
    <x v="23"/>
    <x v="7"/>
    <x v="27"/>
    <x v="2"/>
    <x v="0"/>
    <x v="0"/>
    <x v="0"/>
    <x v="0"/>
    <x v="0"/>
    <x v="0"/>
    <x v="0"/>
    <x v="64"/>
    <x v="0"/>
    <x v="0"/>
    <x v="25"/>
    <x v="55"/>
    <x v="9"/>
    <x v="10"/>
    <x v="0"/>
    <x v="0"/>
    <x v="30"/>
    <x v="18"/>
    <x v="9"/>
    <x v="6"/>
    <x v="7"/>
    <x v="25"/>
    <x v="7"/>
    <x v="0"/>
    <x v="7"/>
    <x v="13"/>
    <x v="5"/>
    <x v="5"/>
    <x v="40"/>
    <x v="4"/>
    <x v="5"/>
    <x v="21"/>
    <x v="0"/>
    <x v="5"/>
    <x v="5"/>
    <x v="25"/>
    <x v="16"/>
    <x v="18"/>
    <x v="10"/>
    <x v="0"/>
    <x v="0"/>
    <x v="6"/>
    <x v="32"/>
    <x v="4"/>
    <x v="3"/>
    <x v="49"/>
    <x v="57"/>
    <x v="58"/>
    <x v="66"/>
    <x v="2"/>
    <x v="1"/>
    <x v="1"/>
    <x v="1"/>
    <x v="34"/>
    <x v="0"/>
    <x v="5"/>
    <x v="1"/>
    <x v="1"/>
    <x v="4"/>
    <x v="2"/>
    <x v="5"/>
    <x v="5"/>
    <x v="0"/>
    <x v="26"/>
    <x v="11"/>
    <x v="24"/>
    <x v="0"/>
    <x v="11"/>
    <x v="42"/>
    <x v="7"/>
    <x v="9"/>
    <x v="1"/>
  </r>
  <r>
    <x v="45"/>
    <x v="76"/>
    <x v="35"/>
    <x v="5"/>
    <x v="67"/>
    <x v="0"/>
    <x v="4"/>
    <x v="6"/>
    <x v="3"/>
    <x v="26"/>
    <x v="25"/>
    <x v="23"/>
    <x v="12"/>
    <x v="27"/>
    <x v="2"/>
    <x v="0"/>
    <x v="0"/>
    <x v="0"/>
    <x v="0"/>
    <x v="0"/>
    <x v="0"/>
    <x v="0"/>
    <x v="22"/>
    <x v="0"/>
    <x v="0"/>
    <x v="25"/>
    <x v="55"/>
    <x v="9"/>
    <x v="10"/>
    <x v="0"/>
    <x v="0"/>
    <x v="30"/>
    <x v="18"/>
    <x v="9"/>
    <x v="6"/>
    <x v="0"/>
    <x v="25"/>
    <x v="7"/>
    <x v="0"/>
    <x v="7"/>
    <x v="13"/>
    <x v="5"/>
    <x v="5"/>
    <x v="46"/>
    <x v="4"/>
    <x v="28"/>
    <x v="24"/>
    <x v="0"/>
    <x v="5"/>
    <x v="5"/>
    <x v="25"/>
    <x v="19"/>
    <x v="20"/>
    <x v="10"/>
    <x v="0"/>
    <x v="0"/>
    <x v="6"/>
    <x v="0"/>
    <x v="2"/>
    <x v="6"/>
    <x v="60"/>
    <x v="64"/>
    <x v="16"/>
    <x v="24"/>
    <x v="2"/>
    <x v="1"/>
    <x v="1"/>
    <x v="1"/>
    <x v="34"/>
    <x v="0"/>
    <x v="5"/>
    <x v="1"/>
    <x v="1"/>
    <x v="4"/>
    <x v="1"/>
    <x v="5"/>
    <x v="5"/>
    <x v="0"/>
    <x v="26"/>
    <x v="10"/>
    <x v="5"/>
    <x v="6"/>
    <x v="0"/>
    <x v="56"/>
    <x v="0"/>
    <x v="69"/>
    <x v="1"/>
  </r>
  <r>
    <x v="46"/>
    <x v="77"/>
    <x v="36"/>
    <x v="5"/>
    <x v="68"/>
    <x v="0"/>
    <x v="4"/>
    <x v="6"/>
    <x v="3"/>
    <x v="26"/>
    <x v="25"/>
    <x v="23"/>
    <x v="12"/>
    <x v="27"/>
    <x v="2"/>
    <x v="0"/>
    <x v="0"/>
    <x v="0"/>
    <x v="0"/>
    <x v="0"/>
    <x v="0"/>
    <x v="0"/>
    <x v="22"/>
    <x v="0"/>
    <x v="0"/>
    <x v="25"/>
    <x v="55"/>
    <x v="9"/>
    <x v="10"/>
    <x v="0"/>
    <x v="0"/>
    <x v="30"/>
    <x v="18"/>
    <x v="9"/>
    <x v="6"/>
    <x v="0"/>
    <x v="25"/>
    <x v="7"/>
    <x v="0"/>
    <x v="7"/>
    <x v="13"/>
    <x v="5"/>
    <x v="5"/>
    <x v="46"/>
    <x v="4"/>
    <x v="28"/>
    <x v="24"/>
    <x v="0"/>
    <x v="5"/>
    <x v="5"/>
    <x v="25"/>
    <x v="19"/>
    <x v="20"/>
    <x v="10"/>
    <x v="0"/>
    <x v="0"/>
    <x v="6"/>
    <x v="0"/>
    <x v="2"/>
    <x v="6"/>
    <x v="60"/>
    <x v="64"/>
    <x v="16"/>
    <x v="24"/>
    <x v="2"/>
    <x v="1"/>
    <x v="1"/>
    <x v="1"/>
    <x v="34"/>
    <x v="0"/>
    <x v="5"/>
    <x v="1"/>
    <x v="1"/>
    <x v="4"/>
    <x v="1"/>
    <x v="5"/>
    <x v="5"/>
    <x v="0"/>
    <x v="26"/>
    <x v="10"/>
    <x v="5"/>
    <x v="6"/>
    <x v="0"/>
    <x v="56"/>
    <x v="0"/>
    <x v="69"/>
    <x v="1"/>
  </r>
  <r>
    <x v="41"/>
    <x v="73"/>
    <x v="27"/>
    <x v="18"/>
    <x v="69"/>
    <x v="0"/>
    <x v="4"/>
    <x v="1"/>
    <x v="3"/>
    <x v="31"/>
    <x v="25"/>
    <x v="23"/>
    <x v="12"/>
    <x v="27"/>
    <x v="2"/>
    <x v="0"/>
    <x v="0"/>
    <x v="0"/>
    <x v="0"/>
    <x v="0"/>
    <x v="0"/>
    <x v="0"/>
    <x v="21"/>
    <x v="0"/>
    <x v="0"/>
    <x v="25"/>
    <x v="55"/>
    <x v="9"/>
    <x v="10"/>
    <x v="0"/>
    <x v="0"/>
    <x v="29"/>
    <x v="16"/>
    <x v="6"/>
    <x v="6"/>
    <x v="1"/>
    <x v="23"/>
    <x v="7"/>
    <x v="0"/>
    <x v="7"/>
    <x v="13"/>
    <x v="5"/>
    <x v="5"/>
    <x v="46"/>
    <x v="4"/>
    <x v="28"/>
    <x v="24"/>
    <x v="0"/>
    <x v="3"/>
    <x v="5"/>
    <x v="25"/>
    <x v="18"/>
    <x v="20"/>
    <x v="10"/>
    <x v="0"/>
    <x v="0"/>
    <x v="1"/>
    <x v="6"/>
    <x v="3"/>
    <x v="2"/>
    <x v="56"/>
    <x v="61"/>
    <x v="13"/>
    <x v="20"/>
    <x v="2"/>
    <x v="1"/>
    <x v="1"/>
    <x v="1"/>
    <x v="34"/>
    <x v="0"/>
    <x v="5"/>
    <x v="1"/>
    <x v="5"/>
    <x v="4"/>
    <x v="3"/>
    <x v="5"/>
    <x v="4"/>
    <x v="0"/>
    <x v="22"/>
    <x v="1"/>
    <x v="5"/>
    <x v="0"/>
    <x v="0"/>
    <x v="53"/>
    <x v="6"/>
    <x v="33"/>
    <x v="1"/>
  </r>
  <r>
    <x v="43"/>
    <x v="75"/>
    <x v="28"/>
    <x v="3"/>
    <x v="70"/>
    <x v="0"/>
    <x v="4"/>
    <x v="1"/>
    <x v="3"/>
    <x v="31"/>
    <x v="25"/>
    <x v="23"/>
    <x v="12"/>
    <x v="27"/>
    <x v="2"/>
    <x v="0"/>
    <x v="0"/>
    <x v="0"/>
    <x v="0"/>
    <x v="0"/>
    <x v="0"/>
    <x v="0"/>
    <x v="21"/>
    <x v="0"/>
    <x v="0"/>
    <x v="25"/>
    <x v="55"/>
    <x v="9"/>
    <x v="10"/>
    <x v="0"/>
    <x v="0"/>
    <x v="29"/>
    <x v="16"/>
    <x v="6"/>
    <x v="6"/>
    <x v="8"/>
    <x v="23"/>
    <x v="7"/>
    <x v="0"/>
    <x v="7"/>
    <x v="13"/>
    <x v="5"/>
    <x v="5"/>
    <x v="46"/>
    <x v="4"/>
    <x v="28"/>
    <x v="24"/>
    <x v="0"/>
    <x v="4"/>
    <x v="5"/>
    <x v="25"/>
    <x v="18"/>
    <x v="20"/>
    <x v="10"/>
    <x v="0"/>
    <x v="0"/>
    <x v="1"/>
    <x v="23"/>
    <x v="3"/>
    <x v="2"/>
    <x v="57"/>
    <x v="62"/>
    <x v="14"/>
    <x v="21"/>
    <x v="2"/>
    <x v="1"/>
    <x v="1"/>
    <x v="1"/>
    <x v="34"/>
    <x v="0"/>
    <x v="5"/>
    <x v="1"/>
    <x v="3"/>
    <x v="4"/>
    <x v="3"/>
    <x v="5"/>
    <x v="4"/>
    <x v="0"/>
    <x v="22"/>
    <x v="1"/>
    <x v="5"/>
    <x v="0"/>
    <x v="0"/>
    <x v="25"/>
    <x v="2"/>
    <x v="30"/>
    <x v="1"/>
  </r>
  <r>
    <x v="42"/>
    <x v="74"/>
    <x v="29"/>
    <x v="3"/>
    <x v="71"/>
    <x v="0"/>
    <x v="4"/>
    <x v="1"/>
    <x v="3"/>
    <x v="31"/>
    <x v="25"/>
    <x v="23"/>
    <x v="12"/>
    <x v="27"/>
    <x v="2"/>
    <x v="0"/>
    <x v="0"/>
    <x v="0"/>
    <x v="0"/>
    <x v="0"/>
    <x v="0"/>
    <x v="0"/>
    <x v="21"/>
    <x v="0"/>
    <x v="0"/>
    <x v="25"/>
    <x v="55"/>
    <x v="9"/>
    <x v="10"/>
    <x v="0"/>
    <x v="0"/>
    <x v="29"/>
    <x v="16"/>
    <x v="6"/>
    <x v="6"/>
    <x v="0"/>
    <x v="23"/>
    <x v="7"/>
    <x v="0"/>
    <x v="7"/>
    <x v="13"/>
    <x v="5"/>
    <x v="5"/>
    <x v="46"/>
    <x v="4"/>
    <x v="28"/>
    <x v="24"/>
    <x v="0"/>
    <x v="2"/>
    <x v="5"/>
    <x v="25"/>
    <x v="18"/>
    <x v="20"/>
    <x v="10"/>
    <x v="0"/>
    <x v="0"/>
    <x v="1"/>
    <x v="0"/>
    <x v="3"/>
    <x v="2"/>
    <x v="55"/>
    <x v="60"/>
    <x v="12"/>
    <x v="19"/>
    <x v="2"/>
    <x v="1"/>
    <x v="1"/>
    <x v="1"/>
    <x v="34"/>
    <x v="0"/>
    <x v="5"/>
    <x v="1"/>
    <x v="5"/>
    <x v="4"/>
    <x v="0"/>
    <x v="5"/>
    <x v="4"/>
    <x v="0"/>
    <x v="22"/>
    <x v="1"/>
    <x v="5"/>
    <x v="0"/>
    <x v="0"/>
    <x v="52"/>
    <x v="5"/>
    <x v="31"/>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85" firstHeaderRow="1" firstDataRow="1" firstDataCol="6"/>
  <pivotFields count="87">
    <pivotField axis="axisRow" compact="0" outline="0" showAll="0" defaultSubtota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s>
    </pivotField>
    <pivotField axis="axisRow" compact="0" outline="0" showAll="0" defaultSubtota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showAll="0"/>
    <pivotField compact="0" showAll="0"/>
    <pivotField axis="axisRow" compact="0" outline="0" showAll="0" defaultSubtotal="0">
      <items count="13">
        <item x="0"/>
        <item x="1"/>
        <item x="2"/>
        <item x="3"/>
        <item x="4"/>
        <item x="5"/>
        <item x="6"/>
        <item x="7"/>
        <item x="8"/>
        <item x="9"/>
        <item x="10"/>
        <item x="11"/>
        <item x="12"/>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s>
    </pivotField>
    <pivotField compact="0" showAll="0"/>
    <pivotField compact="0" showAll="0"/>
    <pivotField compact="0" showAll="0"/>
  </pivotFields>
  <rowFields count="6">
    <field x="0"/>
    <field x="1"/>
    <field x="7"/>
    <field x="9"/>
    <field x="12"/>
    <field x="83"/>
  </rowFields>
  <rowItems count="84">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25"/>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1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5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1" ySplit="1" topLeftCell="B35" activePane="bottomRight" state="frozen"/>
      <selection pane="topLeft" activeCell="A1" activeCellId="0" sqref="A1"/>
      <selection pane="topRight" activeCell="B1" activeCellId="0" sqref="B1"/>
      <selection pane="bottomLeft" activeCell="A35" activeCellId="0" sqref="A35"/>
      <selection pane="bottomRight" activeCell="AT66" activeCellId="0" sqref="AT66"/>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0"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19" t="n">
        <f aca="false">BI2*IF($G2="wagon",62.5,781.25)</f>
        <v>16406.25</v>
      </c>
      <c r="BL2" s="19"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0"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0"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19" t="n">
        <f aca="false">BI3*IF($G3="wagon",62.5,781.25)</f>
        <v>19531.25</v>
      </c>
      <c r="BL3" s="19"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0"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0"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19" t="n">
        <f aca="false">BI4*IF($G4="wagon",62.5,781.25)</f>
        <v>21875</v>
      </c>
      <c r="BL4" s="19"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0"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0"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19" t="n">
        <f aca="false">BI5*IF($G5="wagon",62.5,781.25)</f>
        <v>21093.75</v>
      </c>
      <c r="BL5" s="19"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0"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0"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19" t="n">
        <f aca="false">BI6*IF($G6="wagon",62.5,781.25)</f>
        <v>24218.75</v>
      </c>
      <c r="BL6" s="19"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0"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0"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19" t="n">
        <f aca="false">BI7*IF($G7="wagon",62.5,781.25)</f>
        <v>26562.5</v>
      </c>
      <c r="BL7" s="19"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0"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0"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19" t="n">
        <f aca="false">BI8*IF($G8="wagon",62.5,781.25)</f>
        <v>28906.25</v>
      </c>
      <c r="BL8" s="19"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0"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0"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19" t="n">
        <f aca="false">BI9*IF($G9="wagon",62.5,781.25)</f>
        <v>32031.25</v>
      </c>
      <c r="BL9" s="19"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0"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0"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19" t="n">
        <f aca="false">BI10*IF($G10="wagon",62.5,781.25)</f>
        <v>35156.25</v>
      </c>
      <c r="BL10" s="19"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0"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0"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19" t="n">
        <f aca="false">BI11*IF($G11="wagon",62.5,781.25)</f>
        <v>35937.5</v>
      </c>
      <c r="BL11" s="19"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0"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1"/>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0"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2"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3" t="n">
        <f aca="false">BI12*IF($G12="wagon",62.5,781.25)</f>
        <v>3125</v>
      </c>
      <c r="BL12" s="23"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0"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1"/>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0"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2"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3" t="n">
        <f aca="false">BI13*IF($G13="wagon",62.5,781.25)</f>
        <v>9375</v>
      </c>
      <c r="BL13" s="23"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0"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151</v>
      </c>
      <c r="E14" s="1" t="n">
        <v>153</v>
      </c>
      <c r="F14" s="1" t="s">
        <v>89</v>
      </c>
      <c r="G14" s="1" t="s">
        <v>90</v>
      </c>
      <c r="H14" s="1" t="s">
        <v>152</v>
      </c>
      <c r="I14" s="1" t="s">
        <v>153</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0" t="str">
        <f aca="false">CONCATENATE(VLOOKUP(AL14, 'Voxel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161</v>
      </c>
      <c r="AT14" s="1" t="s">
        <v>162</v>
      </c>
      <c r="AU14" s="1" t="s">
        <v>160</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v>38</v>
      </c>
      <c r="BJ14" s="1" t="n">
        <v>77</v>
      </c>
      <c r="BK14" s="19" t="n">
        <f aca="false">BI14*IF($G14="wagon",62.5,781.25)</f>
        <v>29687.5</v>
      </c>
      <c r="BL14" s="19" t="n">
        <f aca="false">BJ14*IF($G14="wagon",2.73,81.25)</f>
        <v>6256.25</v>
      </c>
      <c r="BQ14" s="1" t="s">
        <v>163</v>
      </c>
      <c r="BT14" s="1" t="n">
        <v>4</v>
      </c>
      <c r="BU14" s="1" t="n">
        <v>185</v>
      </c>
      <c r="BX14" s="1" t="s">
        <v>95</v>
      </c>
      <c r="BY14" s="1" t="s">
        <v>164</v>
      </c>
      <c r="BZ14" s="18" t="s">
        <v>165</v>
      </c>
      <c r="CA14" s="1" t="str">
        <f aca="false">CONCATENATE(BY14,"_",BZ14)</f>
        <v>lbr_DMU</v>
      </c>
      <c r="CB14" s="1" t="str">
        <f aca="false">_xlfn.CONCAT(H14, "_",I14)</f>
        <v>diesel_RAIL</v>
      </c>
      <c r="CC14" s="20"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166</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167</v>
      </c>
      <c r="B15" s="1" t="s">
        <v>168</v>
      </c>
      <c r="C15" s="1" t="n">
        <v>201</v>
      </c>
      <c r="E15" s="1" t="n">
        <v>20</v>
      </c>
      <c r="F15" s="1" t="s">
        <v>89</v>
      </c>
      <c r="G15" s="1" t="s">
        <v>90</v>
      </c>
      <c r="H15" s="1" t="s">
        <v>152</v>
      </c>
      <c r="I15" s="1" t="s">
        <v>153</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0"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169</v>
      </c>
      <c r="AR15" s="1" t="s">
        <v>170</v>
      </c>
      <c r="AT15" s="1" t="s">
        <v>171</v>
      </c>
      <c r="AU15" s="1" t="s">
        <v>172</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19" t="n">
        <f aca="false">BI15*IF($G15="wagon",62.5,781.25)</f>
        <v>32812.5</v>
      </c>
      <c r="BL15" s="19" t="n">
        <f aca="false">BJ15*IF($G15="wagon",2.73,81.25)</f>
        <v>6093.75</v>
      </c>
      <c r="BQ15" s="1" t="s">
        <v>173</v>
      </c>
      <c r="BT15" s="1" t="n">
        <v>2</v>
      </c>
      <c r="BX15" s="1" t="s">
        <v>95</v>
      </c>
      <c r="BY15" s="1" t="str">
        <f aca="false">VLOOKUP(J15,Eras!$A$2:$C$10, 2, TRUE())</f>
        <v>dsl</v>
      </c>
      <c r="BZ15" s="18" t="s">
        <v>165</v>
      </c>
      <c r="CA15" s="1" t="str">
        <f aca="false">CONCATENATE(BY15,"_",BZ15)</f>
        <v>dsl_DMU</v>
      </c>
      <c r="CB15" s="1" t="str">
        <f aca="false">_xlfn.CONCAT(H15, "_",I15)</f>
        <v>diesel_RAIL</v>
      </c>
      <c r="CC15" s="20"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174</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175</v>
      </c>
      <c r="B16" s="1" t="s">
        <v>176</v>
      </c>
      <c r="C16" s="1" t="n">
        <v>202</v>
      </c>
      <c r="D16" s="1" t="n">
        <v>201</v>
      </c>
      <c r="E16" s="1" t="n">
        <v>22</v>
      </c>
      <c r="F16" s="1" t="s">
        <v>89</v>
      </c>
      <c r="G16" s="1" t="s">
        <v>90</v>
      </c>
      <c r="H16" s="1" t="s">
        <v>152</v>
      </c>
      <c r="I16" s="1" t="s">
        <v>153</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0" t="str">
        <f aca="false">CONCATENATE(VLOOKUP(AL16, 'Voxel Sizes'!$A$2:$B$18,2,FALSE()),"x",INT(AH16*15), "x", INT(AI16*15))</f>
        <v>186x37x56</v>
      </c>
      <c r="AL16" s="1" t="n">
        <f aca="false">ROUND(15*((AG16*10)/256),0)</f>
        <v>11</v>
      </c>
      <c r="AN16" s="1" t="str">
        <f aca="false">CONCATENATE(VLOOKUP(AL16,Constants!$A$2:$C$16,IF(AM16&lt;&gt;"", 3, 2), FALSE()),IF(AM16&lt;&gt;"",CONCATENATE(",",VLOOKUP(AM16,$B:$AN,38,FALSE())),""))</f>
        <v>4,3,4</v>
      </c>
      <c r="AO16" s="1" t="s">
        <v>177</v>
      </c>
      <c r="AR16" s="1" t="s">
        <v>178</v>
      </c>
      <c r="AT16" s="1" t="s">
        <v>135</v>
      </c>
      <c r="AU16" s="1" t="s">
        <v>172</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19" t="n">
        <f aca="false">BI16*IF($G16="wagon",62.5,781.25)</f>
        <v>37500</v>
      </c>
      <c r="BL16" s="19" t="n">
        <f aca="false">BJ16*IF($G16="wagon",2.73,81.25)</f>
        <v>6825</v>
      </c>
      <c r="BQ16" s="18" t="s">
        <v>179</v>
      </c>
      <c r="BT16" s="1" t="n">
        <v>2</v>
      </c>
      <c r="BX16" s="1" t="s">
        <v>95</v>
      </c>
      <c r="BY16" s="1" t="str">
        <f aca="false">VLOOKUP(J16,Eras!$A$2:$C$10, 2, TRUE())</f>
        <v>dsl</v>
      </c>
      <c r="BZ16" s="18" t="s">
        <v>165</v>
      </c>
      <c r="CA16" s="1" t="str">
        <f aca="false">CONCATENATE(BY16,"_",BZ16)</f>
        <v>dsl_DMU</v>
      </c>
      <c r="CB16" s="1" t="str">
        <f aca="false">_xlfn.CONCAT(H16, "_",I16)</f>
        <v>diesel_RAIL</v>
      </c>
      <c r="CC16" s="20"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180</v>
      </c>
      <c r="B17" s="1" t="s">
        <v>181</v>
      </c>
      <c r="C17" s="1" t="n">
        <v>205</v>
      </c>
      <c r="E17" s="1" t="n">
        <v>24</v>
      </c>
      <c r="F17" s="1" t="s">
        <v>89</v>
      </c>
      <c r="G17" s="1" t="s">
        <v>90</v>
      </c>
      <c r="H17" s="1" t="s">
        <v>152</v>
      </c>
      <c r="I17" s="1" t="s">
        <v>153</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0" t="str">
        <f aca="false">CONCATENATE(VLOOKUP(AL17, 'Voxel Sizes'!$A$2:$B$18,2,FALSE()),"x",INT(AH17*15), "x", INT(AI17*15))</f>
        <v>198x40x56</v>
      </c>
      <c r="AL17" s="1" t="n">
        <f aca="false">ROUND(15*((AG17*10)/256),0)</f>
        <v>12</v>
      </c>
      <c r="AN17" s="1" t="str">
        <f aca="false">CONCATENATE(VLOOKUP(AL17,Constants!$A$2:$C$16,IF(AM17&lt;&gt;"", 3, 2), FALSE()),IF(AM17&lt;&gt;"",CONCATENATE(",",VLOOKUP(AM17,$B:$AN,38,FALSE())),""))</f>
        <v>4,4,4</v>
      </c>
      <c r="AR17" s="1" t="s">
        <v>182</v>
      </c>
      <c r="AT17" s="1" t="s">
        <v>162</v>
      </c>
      <c r="AU17" s="1" t="s">
        <v>183</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19" t="n">
        <f aca="false">BI17*IF($G17="wagon",62.5,781.25)</f>
        <v>30468.75</v>
      </c>
      <c r="BL17" s="19" t="n">
        <f aca="false">BJ17*IF($G17="wagon",2.73,81.25)</f>
        <v>5768.75</v>
      </c>
      <c r="BQ17" s="1" t="s">
        <v>184</v>
      </c>
      <c r="BT17" s="1" t="n">
        <v>2</v>
      </c>
      <c r="BX17" s="1" t="s">
        <v>95</v>
      </c>
      <c r="BY17" s="1" t="str">
        <f aca="false">VLOOKUP(J17,Eras!$A$2:$C$10, 2, TRUE())</f>
        <v>dsl</v>
      </c>
      <c r="BZ17" s="18" t="s">
        <v>165</v>
      </c>
      <c r="CA17" s="1" t="str">
        <f aca="false">CONCATENATE(BY17,"_",BZ17)</f>
        <v>dsl_DMU</v>
      </c>
      <c r="CB17" s="1" t="str">
        <f aca="false">_xlfn.CONCAT(H17, "_",I17)</f>
        <v>diesel_RAIL</v>
      </c>
      <c r="CC17" s="20"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185</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18" customFormat="true" ht="13.8" hidden="false" customHeight="false" outlineLevel="0" collapsed="false">
      <c r="A18" s="1" t="s">
        <v>186</v>
      </c>
      <c r="B18" s="1" t="s">
        <v>187</v>
      </c>
      <c r="C18" s="1" t="n">
        <v>206</v>
      </c>
      <c r="D18" s="1" t="n">
        <v>205</v>
      </c>
      <c r="E18" s="1" t="n">
        <v>26</v>
      </c>
      <c r="F18" s="1" t="s">
        <v>89</v>
      </c>
      <c r="G18" s="1" t="s">
        <v>90</v>
      </c>
      <c r="H18" s="1" t="s">
        <v>152</v>
      </c>
      <c r="I18" s="1" t="s">
        <v>153</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0" t="str">
        <f aca="false">CONCATENATE(VLOOKUP(AL18, 'Voxel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188</v>
      </c>
      <c r="AS18" s="1"/>
      <c r="AT18" s="1" t="s">
        <v>189</v>
      </c>
      <c r="AU18" s="1" t="s">
        <v>183</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19" t="n">
        <f aca="false">BI18*IF($G18="wagon",62.5,781.25)</f>
        <v>28125</v>
      </c>
      <c r="BL18" s="19" t="n">
        <f aca="false">BJ18*IF($G18="wagon",2.73,81.25)</f>
        <v>5443.75</v>
      </c>
      <c r="BM18" s="1"/>
      <c r="BN18" s="1"/>
      <c r="BO18" s="1"/>
      <c r="BP18" s="1"/>
      <c r="BQ18" s="1" t="s">
        <v>190</v>
      </c>
      <c r="BR18" s="1"/>
      <c r="BS18" s="1"/>
      <c r="BT18" s="1" t="n">
        <v>2</v>
      </c>
      <c r="BU18" s="1"/>
      <c r="BV18" s="1"/>
      <c r="BW18" s="1"/>
      <c r="BX18" s="1" t="s">
        <v>95</v>
      </c>
      <c r="BY18" s="1" t="str">
        <f aca="false">VLOOKUP(J18,Eras!$A$2:$C$10, 2, TRUE())</f>
        <v>dsl</v>
      </c>
      <c r="BZ18" s="18" t="s">
        <v>165</v>
      </c>
      <c r="CA18" s="1" t="str">
        <f aca="false">CONCATENATE(BY18,"_",BZ18)</f>
        <v>dsl_DMU</v>
      </c>
      <c r="CB18" s="1" t="str">
        <f aca="false">_xlfn.CONCAT(H18, "_",I18)</f>
        <v>diesel_RAIL</v>
      </c>
      <c r="CC18" s="20"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185</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191</v>
      </c>
      <c r="B19" s="1" t="s">
        <v>192</v>
      </c>
      <c r="C19" s="1" t="n">
        <v>210</v>
      </c>
      <c r="E19" s="1" t="n">
        <v>28</v>
      </c>
      <c r="F19" s="1" t="s">
        <v>89</v>
      </c>
      <c r="G19" s="1" t="s">
        <v>90</v>
      </c>
      <c r="H19" s="1" t="s">
        <v>152</v>
      </c>
      <c r="I19" s="1" t="s">
        <v>153</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0"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19" t="n">
        <f aca="false">BI19*IF($G19="wagon",62.5,781.25)</f>
        <v>52343.75</v>
      </c>
      <c r="BL19" s="19" t="n">
        <f aca="false">BJ19*IF($G19="wagon",2.73,81.25)</f>
        <v>8693.75</v>
      </c>
      <c r="BQ19" s="1" t="s">
        <v>196</v>
      </c>
      <c r="BT19" s="1" t="n">
        <v>2</v>
      </c>
      <c r="BX19" s="1" t="s">
        <v>95</v>
      </c>
      <c r="BY19" s="1" t="str">
        <f aca="false">VLOOKUP(J19,Eras!$A$2:$C$10, 2, TRUE())</f>
        <v>lbr</v>
      </c>
      <c r="BZ19" s="18" t="s">
        <v>165</v>
      </c>
      <c r="CA19" s="1" t="str">
        <f aca="false">CONCATENATE(BY19,"_",BZ19)</f>
        <v>lbr_DMU</v>
      </c>
      <c r="CB19" s="1" t="str">
        <f aca="false">_xlfn.CONCAT(H19, "_",I19)</f>
        <v>diesel_RAIL</v>
      </c>
      <c r="CC19" s="20"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197</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198</v>
      </c>
      <c r="B20" s="1" t="s">
        <v>196</v>
      </c>
      <c r="C20" s="1" t="n">
        <v>211</v>
      </c>
      <c r="D20" s="1" t="n">
        <v>210</v>
      </c>
      <c r="E20" s="1" t="n">
        <v>29</v>
      </c>
      <c r="F20" s="1" t="s">
        <v>89</v>
      </c>
      <c r="G20" s="1" t="s">
        <v>90</v>
      </c>
      <c r="H20" s="1" t="s">
        <v>152</v>
      </c>
      <c r="I20" s="1" t="s">
        <v>153</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0" t="str">
        <f aca="false">CONCATENATE(VLOOKUP(AL20, 'Voxel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199</v>
      </c>
      <c r="AT20" s="1" t="s">
        <v>200</v>
      </c>
      <c r="AU20" s="1" t="s">
        <v>201</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19" t="n">
        <f aca="false">BI20*IF($G20="wagon",62.5,781.25)</f>
        <v>50000</v>
      </c>
      <c r="BL20" s="19" t="n">
        <f aca="false">BJ20*IF($G20="wagon",2.73,81.25)</f>
        <v>8368.75</v>
      </c>
      <c r="BQ20" s="1" t="s">
        <v>192</v>
      </c>
      <c r="BT20" s="1" t="n">
        <v>2</v>
      </c>
      <c r="BX20" s="1" t="s">
        <v>95</v>
      </c>
      <c r="BY20" s="1" t="str">
        <f aca="false">VLOOKUP(J20,Eras!$A$2:$C$10, 2, TRUE())</f>
        <v>lbr</v>
      </c>
      <c r="BZ20" s="18" t="s">
        <v>165</v>
      </c>
      <c r="CA20" s="1" t="str">
        <f aca="false">CONCATENATE(BY20,"_",BZ20)</f>
        <v>lbr_DMU</v>
      </c>
      <c r="CB20" s="1" t="str">
        <f aca="false">_xlfn.CONCAT(H20, "_",I20)</f>
        <v>diesel_RAIL</v>
      </c>
      <c r="CC20" s="20"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202</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customFormat="false" ht="13.8" hidden="false" customHeight="false" outlineLevel="0" collapsed="false">
      <c r="A21" s="18" t="s">
        <v>203</v>
      </c>
      <c r="B21" s="18" t="s">
        <v>204</v>
      </c>
      <c r="C21" s="1" t="n">
        <v>251</v>
      </c>
      <c r="D21" s="18"/>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36</v>
      </c>
      <c r="AK21" s="0"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205</v>
      </c>
      <c r="AR21" s="18" t="s">
        <v>206</v>
      </c>
      <c r="AS21" s="18"/>
      <c r="AT21" s="18" t="s">
        <v>207</v>
      </c>
      <c r="AU21" s="18" t="s">
        <v>208</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9.6</v>
      </c>
      <c r="BG21" s="1" t="n">
        <f aca="false">VLOOKUP($H21,Constants!$I:$K, 2, FALSE())</f>
        <v>1</v>
      </c>
      <c r="BH21" s="1" t="n">
        <f aca="false">VLOOKUP($H21,Constants!$I:$K, 3, FALSE())*IF(AND(G21="multiple_unit",AB21&lt;110),0.75,1)</f>
        <v>1.5</v>
      </c>
      <c r="BI21" s="18" t="n">
        <v>61</v>
      </c>
      <c r="BJ21" s="18" t="n">
        <v>101</v>
      </c>
      <c r="BK21" s="19" t="n">
        <f aca="false">BI21*IF($G21="wagon",62.5,781.25)</f>
        <v>47656.25</v>
      </c>
      <c r="BL21" s="19" t="n">
        <f aca="false">BJ21*IF($G21="wagon",2.73,81.25)</f>
        <v>8206.25</v>
      </c>
      <c r="BM21" s="18"/>
      <c r="BN21" s="18"/>
      <c r="BO21" s="18"/>
      <c r="BP21" s="18"/>
      <c r="BQ21" s="18"/>
      <c r="BR21" s="18"/>
      <c r="BS21" s="18" t="s">
        <v>209</v>
      </c>
      <c r="BT21" s="18" t="n">
        <v>2</v>
      </c>
      <c r="BU21" s="18" t="n">
        <v>222</v>
      </c>
      <c r="BV21" s="18"/>
      <c r="BW21" s="18"/>
      <c r="BX21" s="18" t="s">
        <v>95</v>
      </c>
      <c r="BY21" s="18" t="s">
        <v>210</v>
      </c>
      <c r="BZ21" s="18" t="s">
        <v>211</v>
      </c>
      <c r="CA21" s="1" t="str">
        <f aca="false">CONCATENATE(BY21,"_",BZ21)</f>
        <v>dsl_DMU (Express)</v>
      </c>
      <c r="CB21" s="1" t="str">
        <f aca="false">_xlfn.CONCAT(H21, "_",I21)</f>
        <v>diesel_RAIL</v>
      </c>
      <c r="CC21" s="20"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213</v>
      </c>
      <c r="B22" s="18" t="s">
        <v>214</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0"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215</v>
      </c>
      <c r="AS22" s="1"/>
      <c r="AT22" s="1" t="s">
        <v>194</v>
      </c>
      <c r="AU22" s="1" t="s">
        <v>216</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19" t="n">
        <f aca="false">BI22*IF($G22="wagon",62.5,781.25)</f>
        <v>42187.5</v>
      </c>
      <c r="BL22" s="19"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210</v>
      </c>
      <c r="BZ22" s="18" t="s">
        <v>97</v>
      </c>
      <c r="CA22" s="1" t="str">
        <f aca="false">CONCATENATE(BY22,"_",BZ22)</f>
        <v>dsl_EMU</v>
      </c>
      <c r="CB22" s="1" t="str">
        <f aca="false">_xlfn.CONCAT(H22, "_",I22)</f>
        <v>electric_ELRL</v>
      </c>
      <c r="CC22" s="20"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217</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218</v>
      </c>
      <c r="B23" s="18" t="s">
        <v>219</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0"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220</v>
      </c>
      <c r="AS23" s="1"/>
      <c r="AT23" s="1" t="s">
        <v>162</v>
      </c>
      <c r="AU23" s="1" t="s">
        <v>221</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19" t="n">
        <f aca="false">BI23*IF($G23="wagon",62.5,781.25)</f>
        <v>39062.5</v>
      </c>
      <c r="BL23" s="19"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210</v>
      </c>
      <c r="BZ23" s="18" t="s">
        <v>97</v>
      </c>
      <c r="CA23" s="1" t="str">
        <f aca="false">CONCATENATE(BY23,"_",BZ23)</f>
        <v>dsl_EMU</v>
      </c>
      <c r="CB23" s="1" t="str">
        <f aca="false">_xlfn.CONCAT(H23, "_",I23)</f>
        <v>electric_ELRL</v>
      </c>
      <c r="CC23" s="20"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222</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223</v>
      </c>
      <c r="B24" s="18" t="s">
        <v>224</v>
      </c>
      <c r="C24" s="1" t="n">
        <v>309</v>
      </c>
      <c r="D24" s="1" t="n">
        <v>310</v>
      </c>
      <c r="E24" s="1" t="n">
        <v>39</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0"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225</v>
      </c>
      <c r="AT24" s="1" t="s">
        <v>113</v>
      </c>
      <c r="AU24" s="1" t="s">
        <v>226</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19" t="n">
        <f aca="false">BI24*IF($G24="wagon",62.5,781.25)</f>
        <v>28906.25</v>
      </c>
      <c r="BL24" s="19"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227</v>
      </c>
      <c r="BW24" s="18"/>
      <c r="BX24" s="1" t="s">
        <v>95</v>
      </c>
      <c r="BY24" s="1" t="s">
        <v>210</v>
      </c>
      <c r="BZ24" s="18" t="s">
        <v>228</v>
      </c>
      <c r="CA24" s="1" t="str">
        <f aca="false">CONCATENATE(BY24,"_",BZ24)</f>
        <v>dsl_EMU (Express)</v>
      </c>
      <c r="CB24" s="1" t="str">
        <f aca="false">_xlfn.CONCAT(H24, "_",I24)</f>
        <v>electric_ELRL</v>
      </c>
      <c r="CC24" s="20"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229</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230</v>
      </c>
      <c r="B25" s="18" t="s">
        <v>231</v>
      </c>
      <c r="C25" s="1" t="n">
        <v>310</v>
      </c>
      <c r="E25" s="1" t="n">
        <v>40</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0"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232</v>
      </c>
      <c r="AT25" s="1" t="s">
        <v>233</v>
      </c>
      <c r="AU25" s="1" t="s">
        <v>234</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19" t="n">
        <f aca="false">BI25*IF($G25="wagon",62.5,781.25)</f>
        <v>58593.75</v>
      </c>
      <c r="BL25" s="19"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227</v>
      </c>
      <c r="BW25" s="18" t="s">
        <v>235</v>
      </c>
      <c r="BX25" s="1" t="s">
        <v>95</v>
      </c>
      <c r="BY25" s="1" t="s">
        <v>210</v>
      </c>
      <c r="BZ25" s="18" t="s">
        <v>228</v>
      </c>
      <c r="CA25" s="1" t="str">
        <f aca="false">CONCATENATE(BY25,"_",BZ25)</f>
        <v>dsl_EMU (Express)</v>
      </c>
      <c r="CB25" s="1" t="str">
        <f aca="false">_xlfn.CONCAT(H25, "_",I25)</f>
        <v>electric_ELRL</v>
      </c>
      <c r="CC25" s="20"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236</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237</v>
      </c>
      <c r="B26" s="18" t="s">
        <v>238</v>
      </c>
      <c r="C26" s="1" t="n">
        <v>311</v>
      </c>
      <c r="D26" s="1" t="n">
        <v>310</v>
      </c>
      <c r="E26" s="1" t="n">
        <v>41</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0"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239</v>
      </c>
      <c r="AT26" s="1" t="s">
        <v>240</v>
      </c>
      <c r="AU26" s="1" t="s">
        <v>234</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19" t="n">
        <f aca="false">BI26*IF($G26="wagon",62.5,781.25)</f>
        <v>50000</v>
      </c>
      <c r="BL26" s="19"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227</v>
      </c>
      <c r="BW26" s="18"/>
      <c r="BX26" s="1" t="s">
        <v>95</v>
      </c>
      <c r="BY26" s="1" t="s">
        <v>210</v>
      </c>
      <c r="BZ26" s="18" t="s">
        <v>228</v>
      </c>
      <c r="CA26" s="1" t="str">
        <f aca="false">CONCATENATE(BY26,"_",BZ26)</f>
        <v>dsl_EMU (Express)</v>
      </c>
      <c r="CB26" s="1" t="str">
        <f aca="false">_xlfn.CONCAT(H26, "_",I26)</f>
        <v>electric_ELRL</v>
      </c>
      <c r="CC26" s="20"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241</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242</v>
      </c>
      <c r="B27" s="18" t="s">
        <v>243</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0"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244</v>
      </c>
      <c r="AT27" s="1" t="s">
        <v>113</v>
      </c>
      <c r="AU27" s="1" t="s">
        <v>245</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19" t="n">
        <f aca="false">BI27*IF($G27="wagon",62.5,781.25)</f>
        <v>23437.5</v>
      </c>
      <c r="BL27" s="19" t="n">
        <f aca="false">BJ27*IF($G27="wagon",2.73,81.25)</f>
        <v>3737.5</v>
      </c>
      <c r="BT27" s="1" t="n">
        <v>9</v>
      </c>
      <c r="BU27" s="1" t="n">
        <v>148</v>
      </c>
      <c r="BV27" s="1" t="s">
        <v>227</v>
      </c>
      <c r="BW27" s="18"/>
      <c r="BX27" s="1" t="s">
        <v>95</v>
      </c>
      <c r="BY27" s="1" t="s">
        <v>164</v>
      </c>
      <c r="BZ27" s="18" t="s">
        <v>97</v>
      </c>
      <c r="CA27" s="1" t="str">
        <f aca="false">CONCATENATE(BY27,"_",BZ27)</f>
        <v>lbr_EMU</v>
      </c>
      <c r="CB27" s="1" t="str">
        <f aca="false">_xlfn.CONCAT(H27, "_",I27)</f>
        <v>electric_ELRL</v>
      </c>
      <c r="CC27" s="20"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246</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247</v>
      </c>
      <c r="B28" s="1" t="s">
        <v>248</v>
      </c>
      <c r="C28" s="1" t="n">
        <v>411</v>
      </c>
      <c r="D28" s="1"/>
      <c r="E28" s="1" t="n">
        <v>413</v>
      </c>
      <c r="F28" s="1" t="s">
        <v>89</v>
      </c>
      <c r="G28" s="1" t="s">
        <v>90</v>
      </c>
      <c r="H28" s="1" t="s">
        <v>91</v>
      </c>
      <c r="I28" s="1" t="s">
        <v>249</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0"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250</v>
      </c>
      <c r="AS28" s="1"/>
      <c r="AT28" s="1" t="s">
        <v>194</v>
      </c>
      <c r="AU28" s="1" t="s">
        <v>251</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19" t="n">
        <f aca="false">BI28*IF($G28="wagon",62.5,781.25)</f>
        <v>57031.25</v>
      </c>
      <c r="BL28" s="19" t="n">
        <f aca="false">BJ28*IF($G28="wagon",2.73,81.25)</f>
        <v>5443.75</v>
      </c>
      <c r="BM28" s="1"/>
      <c r="BN28" s="1"/>
      <c r="BO28" s="1"/>
      <c r="BP28" s="1"/>
      <c r="BQ28" s="1" t="s">
        <v>252</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0"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253</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254</v>
      </c>
      <c r="B29" s="1" t="s">
        <v>255</v>
      </c>
      <c r="C29" s="1" t="n">
        <v>419</v>
      </c>
      <c r="E29" s="1" t="n">
        <v>421</v>
      </c>
      <c r="F29" s="1" t="s">
        <v>89</v>
      </c>
      <c r="G29" s="1" t="s">
        <v>147</v>
      </c>
      <c r="H29" s="1" t="s">
        <v>256</v>
      </c>
      <c r="I29" s="1" t="s">
        <v>257</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0"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255</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19" t="n">
        <f aca="false">BI29*IF($G29="wagon",62.5,781.25)</f>
        <v>34375</v>
      </c>
      <c r="BL29" s="19" t="n">
        <f aca="false">BJ29*IF($G29="wagon",2.73,81.25)</f>
        <v>5606.25</v>
      </c>
      <c r="BQ29" s="1" t="s">
        <v>258</v>
      </c>
      <c r="BT29" s="1" t="n">
        <v>2</v>
      </c>
      <c r="BX29" s="1" t="s">
        <v>148</v>
      </c>
      <c r="BY29" s="1" t="str">
        <f aca="false">VLOOKUP(J29,Eras!$A$2:$C$10, 2, TRUE())</f>
        <v>dsl</v>
      </c>
      <c r="BZ29" s="18" t="s">
        <v>97</v>
      </c>
      <c r="CA29" s="1" t="str">
        <f aca="false">CONCATENATE(BY29,"_",BZ29)</f>
        <v>dsl_EMU</v>
      </c>
      <c r="CB29" s="1" t="str">
        <f aca="false">_xlfn.CONCAT(H29, "_",I29)</f>
        <v>dual_power_BATTERY</v>
      </c>
      <c r="CC29" s="20"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259</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260</v>
      </c>
      <c r="B30" s="1" t="s">
        <v>261</v>
      </c>
      <c r="C30" s="1" t="n">
        <v>489</v>
      </c>
      <c r="E30" s="1" t="n">
        <v>491</v>
      </c>
      <c r="F30" s="1" t="s">
        <v>89</v>
      </c>
      <c r="G30" s="1" t="s">
        <v>147</v>
      </c>
      <c r="H30" s="1" t="s">
        <v>91</v>
      </c>
      <c r="I30" s="1" t="s">
        <v>249</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0"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261</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19" t="n">
        <f aca="false">BI30*IF($G30="wagon",62.5,781.25)</f>
        <v>28906.25</v>
      </c>
      <c r="BL30" s="19" t="n">
        <f aca="false">BJ30*IF($G30="wagon",2.73,81.25)</f>
        <v>5281.25</v>
      </c>
      <c r="BM30" s="1" t="n">
        <v>1</v>
      </c>
      <c r="BN30" s="1" t="n">
        <v>1</v>
      </c>
      <c r="BQ30" s="1" t="s">
        <v>262</v>
      </c>
      <c r="BT30" s="1" t="n">
        <v>2</v>
      </c>
      <c r="BX30" s="1" t="s">
        <v>148</v>
      </c>
      <c r="BY30" s="1" t="str">
        <f aca="false">VLOOKUP(J30,Eras!$A$2:$C$10, 2, TRUE())</f>
        <v>dsl</v>
      </c>
      <c r="BZ30" s="18" t="s">
        <v>97</v>
      </c>
      <c r="CA30" s="1" t="str">
        <f aca="false">CONCATENATE(BY30,"_",BZ30)</f>
        <v>dsl_EMU</v>
      </c>
      <c r="CB30" s="1" t="str">
        <f aca="false">_xlfn.CONCAT(H30, "_",I30)</f>
        <v>electric_THIRD_RAIL</v>
      </c>
      <c r="CC30" s="20"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263</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customFormat="false" ht="13.8" hidden="false" customHeight="false" outlineLevel="0" collapsed="false">
      <c r="A31" s="1" t="s">
        <v>264</v>
      </c>
      <c r="B31" s="1" t="s">
        <v>265</v>
      </c>
      <c r="C31" s="1" t="n">
        <v>153</v>
      </c>
      <c r="E31" s="1" t="n">
        <v>155</v>
      </c>
      <c r="F31" s="1" t="s">
        <v>89</v>
      </c>
      <c r="G31" s="1" t="s">
        <v>90</v>
      </c>
      <c r="H31" s="1" t="s">
        <v>152</v>
      </c>
      <c r="I31" s="1" t="s">
        <v>153</v>
      </c>
      <c r="J31" s="1" t="n">
        <v>1991</v>
      </c>
      <c r="M31" s="1" t="n">
        <v>1</v>
      </c>
      <c r="N31" s="1" t="n">
        <v>285</v>
      </c>
      <c r="W31" s="1" t="n">
        <v>41.2</v>
      </c>
      <c r="Y31" s="1" t="n">
        <v>5</v>
      </c>
      <c r="Z31" s="1" t="n">
        <v>55</v>
      </c>
      <c r="AA31" s="4" t="n">
        <v>0.153631284916201</v>
      </c>
      <c r="AB31" s="1" t="n">
        <v>75</v>
      </c>
      <c r="AC31" s="1" t="n">
        <v>120</v>
      </c>
      <c r="AF31" s="1" t="n">
        <v>23.2</v>
      </c>
      <c r="AG31" s="1" t="n">
        <v>23.2</v>
      </c>
      <c r="AH31" s="1" t="n">
        <v>2.7</v>
      </c>
      <c r="AI31" s="1" t="n">
        <v>3.7</v>
      </c>
      <c r="AJ31" s="5" t="n">
        <v>72</v>
      </c>
      <c r="AK31" s="0" t="str">
        <f aca="false">CONCATENATE(VLOOKUP(AL31, 'Voxel Sizes'!$A$2:$B$18,2,FALSE()),"x",INT(AH31*15), "x", INT(AI31*15))</f>
        <v>238x40x55</v>
      </c>
      <c r="AL31" s="1" t="n">
        <f aca="false">ROUND(15*((AG31*10)/256),0)</f>
        <v>14</v>
      </c>
      <c r="AN31" s="1" t="str">
        <f aca="false">CONCATENATE(VLOOKUP(AL31,Constants!$A$2:$C$16,IF(AM31&lt;&gt;"", 3, 2), FALSE()),IF(AM31&lt;&gt;"",CONCATENATE(",",VLOOKUP(AM31,$B:$AN,38,FALSE())),""))</f>
        <v>4,6,4</v>
      </c>
      <c r="AR31" s="1" t="s">
        <v>265</v>
      </c>
      <c r="AT31" s="1" t="n">
        <v>1</v>
      </c>
      <c r="AX31" s="1" t="n">
        <v>33</v>
      </c>
      <c r="AZ31" s="1" t="n">
        <v>-10</v>
      </c>
      <c r="BA31" s="1" t="n">
        <v>-15</v>
      </c>
      <c r="BB31" s="1" t="n">
        <f aca="false">MIN(AB31/150, 1)*30</f>
        <v>15</v>
      </c>
      <c r="BC31" s="1" t="n">
        <f aca="false">MIN(N31/4000, 1)*20</f>
        <v>1.425</v>
      </c>
      <c r="BD31" s="1" t="n">
        <f aca="false">MIN(Z31/400,1)*20</f>
        <v>2.75</v>
      </c>
      <c r="BE31" s="4" t="n">
        <f aca="false">1-(MAX(J31-1900, 0)/750)</f>
        <v>0.878666666666667</v>
      </c>
      <c r="BF31" s="1" t="n">
        <f aca="false">((MAX($M31,1)*MIN($AJ31/300,1)))*IF(G31="Wagon",50,10)</f>
        <v>2.4</v>
      </c>
      <c r="BG31" s="1" t="n">
        <f aca="false">VLOOKUP($H31,Constants!$I:$K, 2, FALSE())</f>
        <v>1</v>
      </c>
      <c r="BH31" s="1" t="n">
        <f aca="false">VLOOKUP($H31,Constants!$I:$K, 3, FALSE())*IF(AND(G31="multiple_unit",AB31&lt;110),0.75,1)</f>
        <v>1.5</v>
      </c>
      <c r="BI31" s="1" t="n">
        <f aca="false">INT(POWER(((Constants!$G$2+$BB31+$BC31+$BD31+$BF31)*$BE31)*$BH31, 1.05))+$BA31</f>
        <v>26</v>
      </c>
      <c r="BJ31" s="1" t="n">
        <f aca="false">INT(POWER((((Constants!$G$1+$BB31+$BC31+$BD31+$BF31)*($BE31))*$BG31),IF($G31="wagon",1,1.2)))+$AZ31</f>
        <v>54</v>
      </c>
      <c r="BK31" s="19" t="n">
        <f aca="false">BI31*IF($G31="wagon",62.5,781.25)</f>
        <v>20312.5</v>
      </c>
      <c r="BL31" s="19" t="n">
        <f aca="false">BJ31*IF($G31="wagon",2.73,81.25)</f>
        <v>4387.5</v>
      </c>
      <c r="BQ31" s="1" t="s">
        <v>266</v>
      </c>
      <c r="BT31" s="1" t="n">
        <v>4</v>
      </c>
      <c r="BU31" s="1" t="n">
        <v>185</v>
      </c>
      <c r="BX31" s="1" t="s">
        <v>95</v>
      </c>
      <c r="BY31" s="1" t="str">
        <f aca="false">VLOOKUP(J31,Eras!$A$2:$C$10, 2, TRUE())</f>
        <v>lbr</v>
      </c>
      <c r="BZ31" s="18" t="s">
        <v>165</v>
      </c>
      <c r="CA31" s="1" t="s">
        <v>267</v>
      </c>
      <c r="CB31" s="1" t="s">
        <v>268</v>
      </c>
      <c r="CC31" s="20" t="str">
        <f aca="false">_xlfn.CONCAT("{BLACK}Length: {GOLD}", TEXT(ROUNDUP(IF(AQ31&lt;&gt;"",SUM(VALUE(_xlfn.TEXTSPLIT(AQ31, ","))), SUM(VALUE(_xlfn.TEXTSPLIT(AN31, ",")))*IF(M31, M31, 1))/16, 1), "#,##0.0"), " tiles{}")</f>
        <v>{BLACK}Length: {GOLD}0.9 tiles{}</v>
      </c>
      <c r="CD31" s="1" t="str">
        <f aca="false">VLOOKUP($CB31, Constants!$M:$N, 2, FALSE())</f>
        <v>{BLACK}Powered by: {GOLD}Diesel</v>
      </c>
      <c r="CE31" s="1" t="str">
        <f aca="false">IF(M31&gt;1,_xlfn.CONCAT("{BLACK}Cars: {GOLD}", M31),"")</f>
        <v/>
      </c>
      <c r="CF31" s="1" t="s">
        <v>269</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{BLACK}Powered by: {GOLD}Diesel {}{BLACK}Length: {GOLD}0.9 tiles{}{SILVER}The Class 153 was a conversion of earlier Class 155 units, 35 of which were split in two with small cabs added at the inner ends.</v>
      </c>
      <c r="CI31" s="1"/>
      <c r="CJ31" s="1"/>
    </row>
    <row r="32" customFormat="false" ht="13.8" hidden="false" customHeight="false" outlineLevel="0" collapsed="false">
      <c r="A32" s="1" t="s">
        <v>270</v>
      </c>
      <c r="B32" s="1" t="s">
        <v>271</v>
      </c>
      <c r="C32" s="1" t="n">
        <v>154</v>
      </c>
      <c r="D32" s="1" t="n">
        <v>153</v>
      </c>
      <c r="E32" s="1" t="n">
        <v>156</v>
      </c>
      <c r="F32" s="1" t="s">
        <v>89</v>
      </c>
      <c r="G32" s="1" t="s">
        <v>90</v>
      </c>
      <c r="H32" s="1" t="s">
        <v>152</v>
      </c>
      <c r="I32" s="1" t="s">
        <v>153</v>
      </c>
      <c r="J32" s="1" t="n">
        <v>1991</v>
      </c>
      <c r="M32" s="1" t="n">
        <v>1</v>
      </c>
      <c r="N32" s="1" t="n">
        <v>285</v>
      </c>
      <c r="W32" s="1" t="n">
        <v>41.2</v>
      </c>
      <c r="Y32" s="1" t="n">
        <v>5</v>
      </c>
      <c r="Z32" s="1" t="n">
        <v>55</v>
      </c>
      <c r="AA32" s="4" t="n">
        <v>0.153631284916201</v>
      </c>
      <c r="AB32" s="1" t="n">
        <v>75</v>
      </c>
      <c r="AC32" s="1" t="n">
        <v>120</v>
      </c>
      <c r="AF32" s="1" t="n">
        <v>23.2</v>
      </c>
      <c r="AG32" s="1" t="n">
        <v>23.2</v>
      </c>
      <c r="AH32" s="1" t="n">
        <v>2.7</v>
      </c>
      <c r="AI32" s="1" t="n">
        <v>3.7</v>
      </c>
      <c r="AJ32" s="5" t="n">
        <v>60</v>
      </c>
      <c r="AK32" s="0" t="str">
        <f aca="false">CONCATENATE(VLOOKUP(AL32, 'Voxel Sizes'!$A$2:$B$18,2,FALSE()),"x",INT(AH32*15), "x", INT(AI32*15))</f>
        <v>238x40x55</v>
      </c>
      <c r="AL32" s="1" t="n">
        <f aca="false">ROUND(15*((AG32*10)/256),0)</f>
        <v>14</v>
      </c>
      <c r="AN32" s="1" t="str">
        <f aca="false">CONCATENATE(VLOOKUP(AL32,Constants!$A$2:$C$16,IF(AM32&lt;&gt;"", 3, 2), FALSE()),IF(AM32&lt;&gt;"",CONCATENATE(",",VLOOKUP(AM32,$B:$AN,38,FALSE())),""))</f>
        <v>4,6,4</v>
      </c>
      <c r="AR32" s="1" t="s">
        <v>271</v>
      </c>
      <c r="AT32" s="1" t="n">
        <v>1</v>
      </c>
      <c r="AX32" s="1" t="n">
        <v>33</v>
      </c>
      <c r="AZ32" s="1" t="n">
        <v>-10</v>
      </c>
      <c r="BA32" s="1" t="n">
        <v>-15</v>
      </c>
      <c r="BB32" s="1" t="n">
        <f aca="false">MIN(AB32/150, 1)*30</f>
        <v>15</v>
      </c>
      <c r="BC32" s="1" t="n">
        <f aca="false">MIN(N32/4000, 1)*20</f>
        <v>1.425</v>
      </c>
      <c r="BD32" s="1" t="n">
        <f aca="false">MIN(Z32/400,1)*20</f>
        <v>2.75</v>
      </c>
      <c r="BE32" s="4" t="n">
        <f aca="false">1-(MAX(J32-1900, 0)/750)</f>
        <v>0.878666666666667</v>
      </c>
      <c r="BF32" s="1" t="n">
        <f aca="false">((MAX($M32,1)*MIN($AJ32/300,1)))*IF(G32="Wagon",50,10)</f>
        <v>2</v>
      </c>
      <c r="BG32" s="1" t="n">
        <f aca="false">VLOOKUP($H32,Constants!$I:$K, 2, FALSE())</f>
        <v>1</v>
      </c>
      <c r="BH32" s="1" t="n">
        <f aca="false">VLOOKUP($H32,Constants!$I:$K, 3, FALSE())*IF(AND(G32="multiple_unit",AB32&lt;110),0.75,1)</f>
        <v>1.5</v>
      </c>
      <c r="BI32" s="1" t="n">
        <f aca="false">INT(POWER(((Constants!$G$2+$BB32+$BC32+$BD32+$BF32)*$BE32)*$BH32, 1.05))+$BA32</f>
        <v>26</v>
      </c>
      <c r="BJ32" s="1" t="n">
        <f aca="false">INT(POWER((((Constants!$G$1+$BB32+$BC32+$BD32+$BF32)*($BE32))*$BG32),IF($G32="wagon",1,1.2)))+$AZ32</f>
        <v>53</v>
      </c>
      <c r="BK32" s="19" t="n">
        <f aca="false">BI32*IF($G32="wagon",62.5,781.25)</f>
        <v>20312.5</v>
      </c>
      <c r="BL32" s="19" t="n">
        <f aca="false">BJ32*IF($G32="wagon",2.73,81.25)</f>
        <v>4306.25</v>
      </c>
      <c r="BQ32" s="1" t="s">
        <v>272</v>
      </c>
      <c r="BS32" s="1" t="s">
        <v>273</v>
      </c>
      <c r="BT32" s="1" t="n">
        <v>4</v>
      </c>
      <c r="BU32" s="1" t="n">
        <v>185</v>
      </c>
      <c r="BX32" s="1" t="s">
        <v>148</v>
      </c>
      <c r="BY32" s="1" t="str">
        <f aca="false">VLOOKUP(J32,Eras!$A$2:$C$10, 2, TRUE())</f>
        <v>lbr</v>
      </c>
      <c r="BZ32" s="18" t="s">
        <v>165</v>
      </c>
      <c r="CA32" s="1" t="s">
        <v>267</v>
      </c>
      <c r="CB32" s="1" t="s">
        <v>268</v>
      </c>
      <c r="CC32" s="20" t="str">
        <f aca="false">_xlfn.CONCAT("{BLACK}Length: {GOLD}", TEXT(ROUNDUP(IF(AQ32&lt;&gt;"",SUM(VALUE(_xlfn.TEXTSPLIT(AQ32, ","))), SUM(VALUE(_xlfn.TEXTSPLIT(AN32, ",")))*IF(M32, M32, 1))/16, 1), "#,##0.0"), " tiles{}")</f>
        <v>{BLACK}Length: {GOLD}0.9 tiles{}</v>
      </c>
      <c r="CD32" s="1" t="str">
        <f aca="false">VLOOKUP($CB32, Constants!$M:$N, 2, FALSE())</f>
        <v>{BLACK}Powered by: {GOLD}Diesel</v>
      </c>
      <c r="CE32" s="1" t="str">
        <f aca="false">IF(M32&gt;1,_xlfn.CONCAT("{BLACK}Cars: {GOLD}", M32),"")</f>
        <v/>
      </c>
      <c r="CF32" s="1" t="s">
        <v>274</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{GOLD}Diesel {}{BLACK}Length: {GOLD}0.9 tiles{}{SILVER}What if the class 153s were converted for parcels service rather than passenger use? This preceds the later use of the 153 as supplementary bike carriages or ‘active travel’ vehicles.</v>
      </c>
      <c r="CI32" s="1"/>
      <c r="CJ32" s="1"/>
    </row>
    <row r="33" customFormat="false" ht="13.8" hidden="false" customHeight="false" outlineLevel="0" collapsed="false">
      <c r="A33" s="18" t="s">
        <v>275</v>
      </c>
      <c r="B33" s="18" t="s">
        <v>276</v>
      </c>
      <c r="C33" s="18" t="n">
        <v>370</v>
      </c>
      <c r="D33" s="1" t="n">
        <v>372</v>
      </c>
      <c r="E33" s="18" t="n">
        <v>372</v>
      </c>
      <c r="F33" s="18" t="s">
        <v>89</v>
      </c>
      <c r="G33" s="18" t="s">
        <v>90</v>
      </c>
      <c r="H33" s="18" t="s">
        <v>277</v>
      </c>
      <c r="I33" s="18" t="s">
        <v>153</v>
      </c>
      <c r="J33" s="18" t="n">
        <v>1979</v>
      </c>
      <c r="K33" s="18" t="n">
        <v>1986</v>
      </c>
      <c r="L33" s="18" t="n">
        <v>1988</v>
      </c>
      <c r="M33" s="18" t="n">
        <v>6</v>
      </c>
      <c r="N33" s="18" t="n">
        <v>10</v>
      </c>
      <c r="W33" s="18" t="n">
        <v>164.8</v>
      </c>
      <c r="Y33" s="18" t="n">
        <v>4</v>
      </c>
      <c r="Z33" s="18" t="n">
        <v>5</v>
      </c>
      <c r="AA33" s="4" t="n">
        <f aca="false">IF(AND(W33&gt;0,Z33&gt;0),(Z33/((W33+X33)*10)),"")</f>
        <v>0.00303398058252427</v>
      </c>
      <c r="AB33" s="18" t="n">
        <v>155</v>
      </c>
      <c r="AC33" s="18" t="n">
        <f aca="false">ROUND(AB33*1.6, 0)</f>
        <v>248</v>
      </c>
      <c r="AD33" s="18"/>
      <c r="AE33" s="18"/>
      <c r="AF33" s="18" t="n">
        <v>20.9</v>
      </c>
      <c r="AG33" s="18" t="n">
        <v>20.9</v>
      </c>
      <c r="AH33" s="18" t="n">
        <v>2.7</v>
      </c>
      <c r="AI33" s="18" t="n">
        <v>3.5</v>
      </c>
      <c r="AJ33" s="5" t="n">
        <v>44</v>
      </c>
      <c r="AK33" s="0" t="str">
        <f aca="false">CONCATENATE(VLOOKUP(AL33, 'Voxel Sizes'!$A$2:$B$18,2,FALSE()),"x",INT(AH33*15), "x", INT(AI33*15))</f>
        <v>198x40x52</v>
      </c>
      <c r="AL33" s="18" t="n">
        <f aca="false">ROUND(15*((AG33*10)/256),0)</f>
        <v>12</v>
      </c>
      <c r="AM33" s="18"/>
      <c r="AN33" s="1" t="str">
        <f aca="false">CONCATENATE(VLOOKUP(AL33,Constants!$A$2:$C$16,IF(AM33&lt;&gt;"", 3, 2), FALSE()),IF(AM33&lt;&gt;"",CONCATENATE(",",VLOOKUP(AM33,$B:$AN,38,FALSE())),""))</f>
        <v>4,4,4</v>
      </c>
      <c r="AO33" s="18"/>
      <c r="AR33" s="18" t="s">
        <v>278</v>
      </c>
      <c r="AS33" s="18"/>
      <c r="AT33" s="18" t="s">
        <v>279</v>
      </c>
      <c r="AU33" s="18" t="s">
        <v>280</v>
      </c>
      <c r="AV33" s="18"/>
      <c r="AW33" s="18"/>
      <c r="AX33" s="18" t="n">
        <v>12</v>
      </c>
      <c r="AY33" s="6" t="n">
        <f aca="false">IF(L33&lt;&gt;"",MAX(16,(L33-J33)+8),"")</f>
        <v>17</v>
      </c>
      <c r="AZ33" s="18"/>
      <c r="BA33" s="18" t="n">
        <v>-20</v>
      </c>
      <c r="BB33" s="1" t="n">
        <f aca="false">MIN(AB33/150, 1)*30</f>
        <v>30</v>
      </c>
      <c r="BC33" s="1" t="n">
        <f aca="false">MIN(N33/4000, 1)*20</f>
        <v>0.05</v>
      </c>
      <c r="BD33" s="1" t="n">
        <f aca="false">MIN(Z33/400,1)*20</f>
        <v>0.25</v>
      </c>
      <c r="BE33" s="4" t="n">
        <f aca="false">1-(MAX(J33-1900, 0)/750)</f>
        <v>0.894666666666667</v>
      </c>
      <c r="BF33" s="1" t="n">
        <f aca="false">((MAX($M33,1)*MIN($AJ33/300,1)))*IF(G33="Wagon",50,10)</f>
        <v>8.8</v>
      </c>
      <c r="BG33" s="1" t="n">
        <f aca="false">VLOOKUP($H33,Constants!$I:$K, 2, FALSE())</f>
        <v>0.85</v>
      </c>
      <c r="BH33" s="1" t="n">
        <f aca="false">VLOOKUP($H33,Constants!$I:$K, 3, FALSE())*IF(AND(G33="multiple_unit",AB33&lt;110),0.75,1)</f>
        <v>2.3</v>
      </c>
      <c r="BI33" s="1" t="n">
        <f aca="false">INT(POWER(((Constants!$G$2+$BB33+$BC33+$BD33+$BF33)*$BE33)*$BH33, 1.05))+$BA33</f>
        <v>93</v>
      </c>
      <c r="BJ33" s="1" t="n">
        <f aca="false">INT(POWER((((Constants!$G$1+$BB33+$BC33+$BD33+$BF33)*($BE33))*$BG33),IF($G33="wagon",1,1.2)))+$AZ33</f>
        <v>86</v>
      </c>
      <c r="BK33" s="19" t="n">
        <f aca="false">BI33*IF($G33="wagon",62.5,781.25)</f>
        <v>72656.25</v>
      </c>
      <c r="BL33" s="19" t="n">
        <f aca="false">BJ33*IF($G33="wagon",2.73,81.25)</f>
        <v>6987.5</v>
      </c>
      <c r="BP33" s="18" t="n">
        <v>1</v>
      </c>
      <c r="BQ33" s="18" t="str">
        <f aca="false">_xlfn.ORG.LIBREOFFICE.REGEX(_xlfn.ORG.LIBREOFFICE.REGEX(APTMUVehicles, _xlfn.CONCAT(B33, ",?"), ""), ",$", "")</f>
        <v>apt_half_6_rev,apt_powercar,apt_half_2,apt_half_2_rev,apt_q_dvt,apt_s_dm,apt_s_10,apt_s_6</v>
      </c>
      <c r="BR33" s="18"/>
      <c r="BS33" s="18" t="s">
        <v>209</v>
      </c>
      <c r="BT33" s="18" t="n">
        <v>8</v>
      </c>
      <c r="BU33" s="18" t="n">
        <v>222</v>
      </c>
      <c r="BX33" s="18" t="s">
        <v>95</v>
      </c>
      <c r="BY33" s="1" t="str">
        <f aca="false">VLOOKUP(J33,Eras!$A$2:$C$10, 2, TRUE())</f>
        <v>lbr</v>
      </c>
      <c r="BZ33" s="18" t="s">
        <v>228</v>
      </c>
      <c r="CA33" s="18" t="str">
        <f aca="false">CONCATENATE(BY33,"_",BZ33)</f>
        <v>lbr_EMU (Express)</v>
      </c>
      <c r="CB33" s="18" t="str">
        <f aca="false">_xlfn.CONCAT(H33, "_",I33)</f>
        <v>none_RAIL</v>
      </c>
      <c r="CC33" s="20" t="str">
        <v>{BLACK}Length: {GOLD}0.9 tiles{}</v>
      </c>
      <c r="CD33" s="1" t="str">
        <f aca="false">VLOOKUP($CB33, Constants!$M:$N, 2, FALSE())</f>
        <v/>
      </c>
      <c r="CE33" s="1" t="str">
        <f aca="false">IF(M33&gt;1,_xlfn.CONCAT("{BLACK}Cars: {GOLD}", M33),"")</f>
        <v>{BLACK}Cars: {GOLD}6</v>
      </c>
      <c r="CF33" s="18" t="s">
        <v>281</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{YELLOW}20% bonus for long distance travel{}</v>
      </c>
      <c r="CH33" s="18" t="str">
        <f aca="false">_xlfn.CONCAT(CD33,IF(CD33 &lt;&gt; "", " ", ""),CE33,IF(OR(CE33&lt;&gt;"", CD33&lt;&gt;""), "{}",""), CC33, CG33,"{SILVER}", CF33)</f>
        <v>{BLACK}Cars: {GOLD}6{}{BLACK}Length: {GOLD}0.9 tiles{}{YELLOW}20% bonus for long distance travel{}{SILVER}A 6-car unpowered half-rake of APT-P vehicles. Pair with the Non-Driving power car and a reversed set for a complete unit.</v>
      </c>
      <c r="CI33" s="18"/>
      <c r="CJ33" s="18"/>
    </row>
    <row r="34" customFormat="false" ht="13.8" hidden="false" customHeight="false" outlineLevel="0" collapsed="false">
      <c r="A34" s="1" t="s">
        <v>282</v>
      </c>
      <c r="B34" s="1" t="s">
        <v>283</v>
      </c>
      <c r="C34" s="1" t="n">
        <v>371</v>
      </c>
      <c r="D34" s="1" t="n">
        <v>372</v>
      </c>
      <c r="E34" s="1" t="n">
        <v>373</v>
      </c>
      <c r="F34" s="1" t="s">
        <v>89</v>
      </c>
      <c r="G34" s="1" t="s">
        <v>284</v>
      </c>
      <c r="H34" s="1" t="s">
        <v>277</v>
      </c>
      <c r="I34" s="1" t="s">
        <v>153</v>
      </c>
      <c r="J34" s="1" t="n">
        <v>1979</v>
      </c>
      <c r="K34" s="1" t="n">
        <v>1986</v>
      </c>
      <c r="L34" s="1" t="n">
        <v>1988</v>
      </c>
      <c r="M34" s="1" t="n">
        <v>6</v>
      </c>
      <c r="N34" s="1" t="n">
        <v>10</v>
      </c>
      <c r="W34" s="1" t="n">
        <v>164.8</v>
      </c>
      <c r="Y34" s="1" t="n">
        <v>4</v>
      </c>
      <c r="Z34" s="1" t="n">
        <v>5</v>
      </c>
      <c r="AA34" s="4" t="n">
        <f aca="false">IF(AND(W34&gt;0,Z34&gt;0),(Z34/((W34+X34)*10)),"")</f>
        <v>0.00303398058252427</v>
      </c>
      <c r="AB34" s="1" t="n">
        <v>155</v>
      </c>
      <c r="AC34" s="1" t="n">
        <f aca="false">ROUND(AB34*1.6, 0)</f>
        <v>248</v>
      </c>
      <c r="AF34" s="1" t="n">
        <v>20.9</v>
      </c>
      <c r="AG34" s="1" t="n">
        <v>20.9</v>
      </c>
      <c r="AH34" s="1" t="n">
        <v>2.7</v>
      </c>
      <c r="AI34" s="1" t="n">
        <v>3.5</v>
      </c>
      <c r="AJ34" s="5" t="n">
        <v>44</v>
      </c>
      <c r="AK34" s="0" t="str">
        <f aca="false">CONCATENATE(VLOOKUP(AL34, 'Voxel Sizes'!$A$2:$B$18,2,FALSE()),"x",INT(AH34*15), "x", INT(AI34*15))</f>
        <v>198x40x52</v>
      </c>
      <c r="AL34" s="1" t="n">
        <f aca="false">ROUND(15*((AG34*10)/256),0)</f>
        <v>12</v>
      </c>
      <c r="AN34" s="1" t="str">
        <f aca="false">CONCATENATE(VLOOKUP(AL34,Constants!$A$2:$C$16,IF(AM34&lt;&gt;"", 3, 2), FALSE()),IF(AM34&lt;&gt;"",CONCATENATE(",",VLOOKUP(AM34,$B:$AN,38,FALSE())),""))</f>
        <v>4,4,4</v>
      </c>
      <c r="AR34" s="1" t="s">
        <v>285</v>
      </c>
      <c r="AT34" s="1" t="s">
        <v>286</v>
      </c>
      <c r="AU34" s="1" t="s">
        <v>287</v>
      </c>
      <c r="AX34" s="1" t="n">
        <v>12</v>
      </c>
      <c r="AY34" s="6" t="n">
        <f aca="false">IF(L34&lt;&gt;"",MAX(16,(L34-J34)+8),"")</f>
        <v>17</v>
      </c>
      <c r="AZ34" s="1" t="n">
        <v>-20</v>
      </c>
      <c r="BA34" s="1" t="n">
        <v>-20</v>
      </c>
      <c r="BB34" s="1" t="n">
        <f aca="false">MIN(AB34/150, 1)*30</f>
        <v>30</v>
      </c>
      <c r="BC34" s="1" t="n">
        <f aca="false">MIN(N34/4000, 1)*20</f>
        <v>0.05</v>
      </c>
      <c r="BD34" s="1" t="n">
        <f aca="false">MIN(Z34/400,1)*20</f>
        <v>0.25</v>
      </c>
      <c r="BE34" s="4" t="n">
        <f aca="false">1-(MAX(J34-1900, 0)/750)</f>
        <v>0.894666666666667</v>
      </c>
      <c r="BF34" s="1" t="n">
        <f aca="false">((MAX($M34,1)*MIN($AJ34/300,1)))*IF(G34="Wagon",50,10)</f>
        <v>8.8</v>
      </c>
      <c r="BG34" s="1" t="n">
        <f aca="false">VLOOKUP($H34,Constants!$I:$K, 2, FALSE())</f>
        <v>0.85</v>
      </c>
      <c r="BH34" s="1" t="n">
        <f aca="false">VLOOKUP($H34,Constants!$I:$K, 3, FALSE())*IF(AND(G34="multiple_unit",AB34&lt;110),0.75,1)</f>
        <v>2.3</v>
      </c>
      <c r="BI34" s="1" t="n">
        <f aca="false">INT(POWER(((Constants!$G$2+$BB34+$BC34+$BD34+$BF34)*$BE34)*$BH34, 1.05))+$BA34</f>
        <v>93</v>
      </c>
      <c r="BJ34" s="1" t="n">
        <f aca="false">INT(POWER((((Constants!$G$1+$BB34+$BC34+$BD34+$BF34)*($BE34))*$BG34),IF($G34="wagon",1,1.2)))+$AZ34</f>
        <v>66</v>
      </c>
      <c r="BK34" s="19" t="n">
        <f aca="false">BI34*IF($G34="wagon",62.5,781.25)</f>
        <v>72656.25</v>
      </c>
      <c r="BL34" s="19" t="n">
        <f aca="false">BJ34*IF($G34="wagon",2.73,81.25)</f>
        <v>5362.5</v>
      </c>
      <c r="BO34" s="1" t="n">
        <v>1</v>
      </c>
      <c r="BP34" s="1" t="n">
        <v>1</v>
      </c>
      <c r="BQ34" s="1" t="str">
        <f aca="false">_xlfn.ORG.LIBREOFFICE.REGEX(_xlfn.ORG.LIBREOFFICE.REGEX(APTMUVehicles, _xlfn.CONCAT(B34, ",?"), ""), ",$", "")</f>
        <v>apt_half_6,apt_powercar,apt_half_2,apt_half_2_rev,apt_q_dvt,apt_s_dm,apt_s_10,apt_s_6</v>
      </c>
      <c r="BS34" s="1" t="s">
        <v>209</v>
      </c>
      <c r="BT34" s="1" t="n">
        <v>8</v>
      </c>
      <c r="BU34" s="1" t="n">
        <v>222</v>
      </c>
      <c r="BX34" s="1" t="s">
        <v>95</v>
      </c>
      <c r="BY34" s="1" t="str">
        <f aca="false">VLOOKUP(J34,Eras!$A$2:$C$10, 2, TRUE())</f>
        <v>lbr</v>
      </c>
      <c r="BZ34" s="18" t="s">
        <v>228</v>
      </c>
      <c r="CA34" s="1" t="str">
        <f aca="false">CONCATENATE(BY34,"_",BZ34)</f>
        <v>lbr_EMU (Express)</v>
      </c>
      <c r="CB34" s="1" t="str">
        <f aca="false">_xlfn.CONCAT(H34, "_",I34)</f>
        <v>none_RAIL</v>
      </c>
      <c r="CC34" s="20" t="str">
        <v>{BLACK}Length: {GOLD}0.9 tiles{}</v>
      </c>
      <c r="CD34" s="1" t="str">
        <f aca="false">VLOOKUP($CB34, Constants!$M:$N, 2, FALSE())</f>
        <v/>
      </c>
      <c r="CE34" s="1" t="str">
        <f aca="false">IF(M34&gt;1,_xlfn.CONCAT("{BLACK}Cars: {GOLD}", M34),"")</f>
        <v>{BLACK}Cars: {GOLD}6</v>
      </c>
      <c r="CF34" s="1" t="s">
        <v>288</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{YELLOW}20% bonus for long distance travel{}</v>
      </c>
      <c r="CH34" s="1" t="str">
        <f aca="false">_xlfn.CONCAT(CD34,IF(CD34 &lt;&gt; "", " ", ""),CE34,IF(OR(CE34&lt;&gt;"", CD34&lt;&gt;""), "{}",""), CC34, CG34,"{SILVER}", CF34)</f>
        <v>{BLACK}Cars: {GOLD}6{}{BLACK}Length: {GOLD}0.9 tiles{}{YELLOW}20% bonus for long distance travel{}{SILVER}A 6-car half-rake of APT-P vehicles. This is the rear half of a formation.</v>
      </c>
      <c r="CI34" s="1"/>
      <c r="CJ34" s="1"/>
    </row>
    <row r="35" customFormat="false" ht="13.8" hidden="false" customHeight="false" outlineLevel="0" collapsed="false">
      <c r="A35" s="1" t="s">
        <v>289</v>
      </c>
      <c r="B35" s="1" t="s">
        <v>290</v>
      </c>
      <c r="C35" s="1" t="n">
        <v>372</v>
      </c>
      <c r="E35" s="1" t="n">
        <v>374</v>
      </c>
      <c r="F35" s="1" t="s">
        <v>89</v>
      </c>
      <c r="G35" s="1" t="s">
        <v>90</v>
      </c>
      <c r="H35" s="1" t="s">
        <v>277</v>
      </c>
      <c r="I35" s="1" t="s">
        <v>153</v>
      </c>
      <c r="J35" s="1" t="n">
        <v>1979</v>
      </c>
      <c r="K35" s="1" t="n">
        <v>1986</v>
      </c>
      <c r="L35" s="1" t="n">
        <v>1988</v>
      </c>
      <c r="M35" s="1" t="n">
        <v>2</v>
      </c>
      <c r="N35" s="1" t="n">
        <v>10</v>
      </c>
      <c r="W35" s="1" t="n">
        <v>65.6</v>
      </c>
      <c r="Y35" s="1" t="n">
        <v>4</v>
      </c>
      <c r="Z35" s="1" t="n">
        <v>5</v>
      </c>
      <c r="AA35" s="4" t="n">
        <f aca="false">IF(AND(W35&gt;0,Z35&gt;0),(Z35/((W35+X35)*10)),"")</f>
        <v>0.0076219512195122</v>
      </c>
      <c r="AB35" s="1" t="n">
        <v>155</v>
      </c>
      <c r="AC35" s="1" t="n">
        <f aca="false">ROUND(AB35*1.6, 0)</f>
        <v>248</v>
      </c>
      <c r="AF35" s="1" t="n">
        <v>20.9</v>
      </c>
      <c r="AG35" s="1" t="n">
        <v>20.9</v>
      </c>
      <c r="AH35" s="1" t="n">
        <v>2.7</v>
      </c>
      <c r="AI35" s="1" t="n">
        <v>3.5</v>
      </c>
      <c r="AJ35" s="5" t="n">
        <v>39</v>
      </c>
      <c r="AK35" s="0" t="str">
        <f aca="false">CONCATENATE(VLOOKUP(AL35, 'Voxel Sizes'!$A$2:$B$18,2,FALSE()),"x",INT(AH35*15), "x", INT(AI35*15))</f>
        <v>198x40x52</v>
      </c>
      <c r="AL35" s="1" t="n">
        <f aca="false">ROUND(15*((AG35*10)/256),0)</f>
        <v>12</v>
      </c>
      <c r="AN35" s="1" t="str">
        <f aca="false">CONCATENATE(VLOOKUP(AL35,Constants!$A$2:$C$16,IF(AM35&lt;&gt;"", 3, 2), FALSE()),IF(AM35&lt;&gt;"",CONCATENATE(",",VLOOKUP(AM35,$B:$AN,38,FALSE())),""))</f>
        <v>4,4,4</v>
      </c>
      <c r="AR35" s="1" t="s">
        <v>291</v>
      </c>
      <c r="AT35" s="1" t="s">
        <v>189</v>
      </c>
      <c r="AU35" s="1" t="s">
        <v>280</v>
      </c>
      <c r="AX35" s="1" t="n">
        <v>12</v>
      </c>
      <c r="AY35" s="6" t="n">
        <f aca="false">IF(L35&lt;&gt;"",MAX(16,(L35-J35)+8),"")</f>
        <v>17</v>
      </c>
      <c r="AZ35" s="1" t="n">
        <v>-45</v>
      </c>
      <c r="BA35" s="1" t="n">
        <v>-65</v>
      </c>
      <c r="BB35" s="1" t="n">
        <f aca="false">MIN(AB35/150, 1)*30</f>
        <v>30</v>
      </c>
      <c r="BC35" s="1" t="n">
        <f aca="false">MIN(N35/4000, 1)*20</f>
        <v>0.05</v>
      </c>
      <c r="BD35" s="1" t="n">
        <f aca="false">MIN(Z35/400,1)*20</f>
        <v>0.25</v>
      </c>
      <c r="BE35" s="4" t="n">
        <f aca="false">1-(MAX(J35-1900, 0)/750)</f>
        <v>0.894666666666667</v>
      </c>
      <c r="BF35" s="1" t="n">
        <f aca="false">((MAX($M35,1)*MIN($AJ35/300,1)))*IF(G35="Wagon",50,10)</f>
        <v>2.6</v>
      </c>
      <c r="BG35" s="1" t="n">
        <f aca="false">VLOOKUP($H35,Constants!$I:$K, 2, FALSE())</f>
        <v>0.85</v>
      </c>
      <c r="BH35" s="1" t="n">
        <f aca="false">VLOOKUP($H35,Constants!$I:$K, 3, FALSE())*IF(AND(G35="multiple_unit",AB35&lt;110),0.75,1)</f>
        <v>2.3</v>
      </c>
      <c r="BI35" s="1" t="n">
        <f aca="false">INT(POWER(((Constants!$G$2+$BB35+$BC35+$BD35+$BF35)*$BE35)*$BH35, 1.05))+$BA35</f>
        <v>31</v>
      </c>
      <c r="BJ35" s="1" t="n">
        <f aca="false">INT(POWER((((Constants!$G$1+$BB35+$BC35+$BD35+$BF35)*($BE35))*$BG35),IF($G35="wagon",1,1.2)))+$AZ35</f>
        <v>29</v>
      </c>
      <c r="BK35" s="19" t="n">
        <f aca="false">BI35*IF($G35="wagon",62.5,781.25)</f>
        <v>24218.75</v>
      </c>
      <c r="BL35" s="19" t="n">
        <f aca="false">BJ35*IF($G35="wagon",2.73,81.25)</f>
        <v>2356.25</v>
      </c>
      <c r="BP35" s="1" t="n">
        <v>1</v>
      </c>
      <c r="BQ35" s="1" t="str">
        <f aca="false">_xlfn.ORG.LIBREOFFICE.REGEX(_xlfn.ORG.LIBREOFFICE.REGEX(APTMUVehicles, _xlfn.CONCAT(B35, ",?"), ""), ",$", "")</f>
        <v>apt_half_6,apt_half_6_rev,apt_powercar,apt_half_2_rev,apt_q_dvt,apt_s_dm,apt_s_10,apt_s_6</v>
      </c>
      <c r="BT35" s="1" t="n">
        <v>8</v>
      </c>
      <c r="BU35" s="1" t="n">
        <v>185</v>
      </c>
      <c r="BX35" s="1" t="s">
        <v>95</v>
      </c>
      <c r="BY35" s="1" t="str">
        <f aca="false">VLOOKUP(J35,Eras!$A$2:$C$10, 2, TRUE())</f>
        <v>lbr</v>
      </c>
      <c r="BZ35" s="18" t="s">
        <v>228</v>
      </c>
      <c r="CA35" s="1" t="str">
        <f aca="false">CONCATENATE(BY35,"_",BZ35)</f>
        <v>lbr_EMU (Express)</v>
      </c>
      <c r="CB35" s="1" t="str">
        <f aca="false">_xlfn.CONCAT(H35, "_",I35)</f>
        <v>none_RAIL</v>
      </c>
      <c r="CC35" s="20" t="str">
        <f aca="false">_xlfn.CONCAT("{BLACK}Length: {GOLD}", TEXT(ROUNDUP(IF(AQ35&lt;&gt;"",SUM(VALUE(_xlfn.TEXTSPLIT(AQ35, ","))), SUM(VALUE(_xlfn.TEXTSPLIT(AN35, ",")))*IF(M35, M35, 1))/16, 1), "#,##0.0"), " tiles{}")</f>
        <v>{BLACK}Length: {GOLD}1.5 tiles{}</v>
      </c>
      <c r="CD35" s="1" t="str">
        <f aca="false">VLOOKUP($CB35, Constants!$M:$N, 2, FALSE())</f>
        <v/>
      </c>
      <c r="CE35" s="1" t="str">
        <f aca="false">IF(M35&gt;1,_xlfn.CONCAT("{BLACK}Cars: {GOLD}", M35),"")</f>
        <v>{BLACK}Cars: {GOLD}2</v>
      </c>
      <c r="CF35" s="1" t="s">
        <v>292</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{BLACK}Cars: {GOLD}2{}{BLACK}Length: {GOLD}1.5 tiles{}{SILVER}A minimal 2-car half-rake of APT-P Vehicles. Lack of dining facilities makes this much less attractive for passengers. Pair with the Non-Driving power car and a reversed set for a complete unit.</v>
      </c>
      <c r="CI35" s="1"/>
      <c r="CJ35" s="1"/>
    </row>
    <row r="36" customFormat="false" ht="13.8" hidden="false" customHeight="false" outlineLevel="0" collapsed="false">
      <c r="A36" s="1" t="s">
        <v>293</v>
      </c>
      <c r="B36" s="1" t="s">
        <v>294</v>
      </c>
      <c r="C36" s="1" t="n">
        <v>373</v>
      </c>
      <c r="D36" s="1" t="n">
        <v>372</v>
      </c>
      <c r="E36" s="1" t="n">
        <v>375</v>
      </c>
      <c r="F36" s="1" t="s">
        <v>89</v>
      </c>
      <c r="G36" s="1" t="s">
        <v>284</v>
      </c>
      <c r="H36" s="1" t="s">
        <v>277</v>
      </c>
      <c r="I36" s="1" t="s">
        <v>153</v>
      </c>
      <c r="J36" s="1" t="n">
        <v>1979</v>
      </c>
      <c r="K36" s="1" t="n">
        <v>1986</v>
      </c>
      <c r="L36" s="1" t="n">
        <v>1988</v>
      </c>
      <c r="M36" s="1" t="n">
        <v>2</v>
      </c>
      <c r="N36" s="1" t="n">
        <v>10</v>
      </c>
      <c r="W36" s="1" t="n">
        <v>65.6</v>
      </c>
      <c r="Y36" s="1" t="n">
        <v>4</v>
      </c>
      <c r="Z36" s="1" t="n">
        <v>5</v>
      </c>
      <c r="AA36" s="4" t="n">
        <f aca="false">IF(AND(W36&gt;0,Z36&gt;0),(Z36/((W36+X36)*10)),"")</f>
        <v>0.0076219512195122</v>
      </c>
      <c r="AB36" s="1" t="n">
        <v>155</v>
      </c>
      <c r="AC36" s="1" t="n">
        <f aca="false">ROUND(AB36*1.6, 0)</f>
        <v>248</v>
      </c>
      <c r="AF36" s="1" t="n">
        <v>20.9</v>
      </c>
      <c r="AG36" s="1" t="n">
        <v>20.9</v>
      </c>
      <c r="AH36" s="1" t="n">
        <v>2.7</v>
      </c>
      <c r="AI36" s="1" t="n">
        <v>3.5</v>
      </c>
      <c r="AJ36" s="5" t="n">
        <v>39</v>
      </c>
      <c r="AK36" s="0" t="str">
        <f aca="false">CONCATENATE(VLOOKUP(AL36, 'Voxel Sizes'!$A$2:$B$18,2,FALSE()),"x",INT(AH36*15), "x", INT(AI36*15))</f>
        <v>198x40x52</v>
      </c>
      <c r="AL36" s="1" t="n">
        <f aca="false">ROUND(15*((AG36*10)/256),0)</f>
        <v>12</v>
      </c>
      <c r="AN36" s="1" t="str">
        <f aca="false">CONCATENATE(VLOOKUP(AL36,Constants!$A$2:$C$16,IF(AM36&lt;&gt;"", 3, 2), FALSE()),IF(AM36&lt;&gt;"",CONCATENATE(",",VLOOKUP(AM36,$B:$AN,38,FALSE())),""))</f>
        <v>4,4,4</v>
      </c>
      <c r="AR36" s="1" t="s">
        <v>295</v>
      </c>
      <c r="AT36" s="1" t="s">
        <v>189</v>
      </c>
      <c r="AU36" s="1" t="s">
        <v>287</v>
      </c>
      <c r="AX36" s="1" t="n">
        <v>12</v>
      </c>
      <c r="AY36" s="6" t="n">
        <f aca="false">IF(L36&lt;&gt;"",MAX(16,(L36-J36)+8),"")</f>
        <v>17</v>
      </c>
      <c r="AZ36" s="1" t="n">
        <v>-60</v>
      </c>
      <c r="BA36" s="1" t="n">
        <v>-65</v>
      </c>
      <c r="BB36" s="1" t="n">
        <f aca="false">MIN(AB36/150, 1)*30</f>
        <v>30</v>
      </c>
      <c r="BC36" s="1" t="n">
        <f aca="false">MIN(N36/4000, 1)*20</f>
        <v>0.05</v>
      </c>
      <c r="BD36" s="1" t="n">
        <f aca="false">MIN(Z36/400,1)*20</f>
        <v>0.25</v>
      </c>
      <c r="BE36" s="4" t="n">
        <f aca="false">1-(MAX(J36-1900, 0)/750)</f>
        <v>0.894666666666667</v>
      </c>
      <c r="BF36" s="1" t="n">
        <f aca="false">((MAX($M36,1)*MIN($AJ36/300,1)))*IF(G36="Wagon",50,10)</f>
        <v>2.6</v>
      </c>
      <c r="BG36" s="1" t="n">
        <f aca="false">VLOOKUP($H36,Constants!$I:$K, 2, FALSE())</f>
        <v>0.85</v>
      </c>
      <c r="BH36" s="1" t="n">
        <f aca="false">VLOOKUP($H36,Constants!$I:$K, 3, FALSE())*IF(AND(G36="multiple_unit",AB36&lt;110),0.75,1)</f>
        <v>2.3</v>
      </c>
      <c r="BI36" s="1" t="n">
        <f aca="false">INT(POWER(((Constants!$G$2+$BB36+$BC36+$BD36+$BF36)*$BE36)*$BH36, 1.05))+$BA36</f>
        <v>31</v>
      </c>
      <c r="BJ36" s="1" t="n">
        <f aca="false">INT(POWER((((Constants!$G$1+$BB36+$BC36+$BD36+$BF36)*($BE36))*$BG36),IF($G36="wagon",1,1.2)))+$AZ36</f>
        <v>14</v>
      </c>
      <c r="BK36" s="19" t="n">
        <f aca="false">BI36*IF($G36="wagon",62.5,781.25)</f>
        <v>24218.75</v>
      </c>
      <c r="BL36" s="19" t="n">
        <f aca="false">BJ36*IF($G36="wagon",2.73,81.25)</f>
        <v>1137.5</v>
      </c>
      <c r="BO36" s="1" t="n">
        <v>1</v>
      </c>
      <c r="BP36" s="1" t="n">
        <v>1</v>
      </c>
      <c r="BQ36" s="1" t="str">
        <f aca="false">_xlfn.ORG.LIBREOFFICE.REGEX(_xlfn.ORG.LIBREOFFICE.REGEX(APTMUVehicles, _xlfn.CONCAT(B36, ",?"), ""), ",$", "")</f>
        <v>apt_half_6,apt_half_6_rev,apt_powercar,apt_half_2,apt_q_dvt,apt_s_dm,apt_s_10,apt_s_6</v>
      </c>
      <c r="BT36" s="1" t="n">
        <v>8</v>
      </c>
      <c r="BU36" s="1" t="n">
        <v>185</v>
      </c>
      <c r="BX36" s="1" t="s">
        <v>95</v>
      </c>
      <c r="BY36" s="1" t="str">
        <f aca="false">VLOOKUP(J36,Eras!$A$2:$C$10, 2, TRUE())</f>
        <v>lbr</v>
      </c>
      <c r="BZ36" s="18" t="s">
        <v>228</v>
      </c>
      <c r="CA36" s="1" t="str">
        <f aca="false">CONCATENATE(BY36,"_",BZ36)</f>
        <v>lbr_EMU (Express)</v>
      </c>
      <c r="CB36" s="1" t="str">
        <f aca="false">_xlfn.CONCAT(H36, "_",I36)</f>
        <v>none_RAIL</v>
      </c>
      <c r="CC36" s="20" t="str">
        <f aca="false">_xlfn.CONCAT("{BLACK}Length: {GOLD}", TEXT(ROUNDUP(IF(AQ36&lt;&gt;"",SUM(VALUE(_xlfn.TEXTSPLIT(AQ36, ","))), SUM(VALUE(_xlfn.TEXTSPLIT(AN36, ",")))*IF(M36, M36, 1))/16, 1), "#,##0.0"), " tiles{}")</f>
        <v>{BLACK}Length: {GOLD}1.5 tiles{}</v>
      </c>
      <c r="CD36" s="1" t="str">
        <f aca="false">VLOOKUP($CB36, Constants!$M:$N, 2, FALSE())</f>
        <v/>
      </c>
      <c r="CE36" s="1" t="str">
        <f aca="false">IF(M36&gt;1,_xlfn.CONCAT("{BLACK}Cars: {GOLD}", M36),"")</f>
        <v>{BLACK}Cars: {GOLD}2</v>
      </c>
      <c r="CF36" s="1" t="s">
        <v>296</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{BLACK}Cars: {GOLD}2{}{BLACK}Length: {GOLD}1.5 tiles{}{SILVER}A minimal 2-car half-rake of APT-P Vehicles. Lack of dining facilities makes this much less attractive for passengers. This is the rear half of a formation.</v>
      </c>
      <c r="CI36" s="1"/>
      <c r="CJ36" s="1"/>
    </row>
    <row r="37" customFormat="false" ht="13.8" hidden="false" customHeight="false" outlineLevel="0" collapsed="false">
      <c r="A37" s="1" t="s">
        <v>297</v>
      </c>
      <c r="B37" s="1" t="s">
        <v>298</v>
      </c>
      <c r="C37" s="1" t="n">
        <v>374</v>
      </c>
      <c r="D37" s="1" t="n">
        <v>372</v>
      </c>
      <c r="E37" s="1" t="n">
        <v>376</v>
      </c>
      <c r="F37" s="1" t="s">
        <v>89</v>
      </c>
      <c r="G37" s="18" t="s">
        <v>147</v>
      </c>
      <c r="H37" s="1" t="s">
        <v>91</v>
      </c>
      <c r="I37" s="1" t="s">
        <v>92</v>
      </c>
      <c r="J37" s="1" t="n">
        <v>1979</v>
      </c>
      <c r="K37" s="1" t="n">
        <v>1986</v>
      </c>
      <c r="L37" s="1" t="n">
        <v>1988</v>
      </c>
      <c r="N37" s="1" t="n">
        <v>4000</v>
      </c>
      <c r="W37" s="1" t="n">
        <v>67.5</v>
      </c>
      <c r="Y37" s="1" t="n">
        <v>4</v>
      </c>
      <c r="Z37" s="1" t="n">
        <v>210</v>
      </c>
      <c r="AA37" s="4" t="n">
        <f aca="false">IF(AND(W37&gt;0,Z37&gt;0),(Z37/((W37+X37)*10)),"")</f>
        <v>0.311111111111111</v>
      </c>
      <c r="AB37" s="1" t="n">
        <v>155</v>
      </c>
      <c r="AC37" s="1" t="n">
        <f aca="false">ROUND(AB37*1.6, 0)</f>
        <v>248</v>
      </c>
      <c r="AF37" s="1" t="n">
        <v>20.9</v>
      </c>
      <c r="AG37" s="1" t="n">
        <v>20.9</v>
      </c>
      <c r="AH37" s="1" t="n">
        <v>2.7</v>
      </c>
      <c r="AI37" s="1" t="n">
        <v>3.5</v>
      </c>
      <c r="AJ37" s="5" t="n">
        <v>0</v>
      </c>
      <c r="AK37" s="0" t="str">
        <f aca="false">CONCATENATE(VLOOKUP(AL37, 'Voxel Sizes'!$A$2:$B$18,2,FALSE()),"x",INT(AH37*15), "x", INT(AI37*15))</f>
        <v>198x40x52</v>
      </c>
      <c r="AL37" s="1" t="n">
        <f aca="false">ROUND(15*((AG37*10)/256),0)</f>
        <v>12</v>
      </c>
      <c r="AN37" s="1" t="str">
        <f aca="false">CONCATENATE(VLOOKUP(AL37,Constants!$A$2:$C$16,IF(AM37&lt;&gt;"", 3, 2), FALSE()),IF(AM37&lt;&gt;"",CONCATENATE(",",VLOOKUP(AM37,$B:$AN,38,FALSE())),""))</f>
        <v>4,4,4</v>
      </c>
      <c r="AX37" s="1" t="n">
        <v>12</v>
      </c>
      <c r="AY37" s="6" t="n">
        <f aca="false">IF(L37&lt;&gt;"",MAX(16,(L37-J37)+8),"")</f>
        <v>17</v>
      </c>
      <c r="AZ37" s="1" t="n">
        <v>25</v>
      </c>
      <c r="BA37" s="1" t="n">
        <v>-90</v>
      </c>
      <c r="BB37" s="1" t="n">
        <f aca="false">MIN(AB37/150, 1)*30</f>
        <v>30</v>
      </c>
      <c r="BC37" s="1" t="n">
        <f aca="false">MIN(N37/4000, 1)*20</f>
        <v>20</v>
      </c>
      <c r="BD37" s="1" t="n">
        <f aca="false">MIN(Z37/400,1)*20</f>
        <v>10.5</v>
      </c>
      <c r="BE37" s="4" t="n">
        <f aca="false">1-(MAX(J37-1900, 0)/750)</f>
        <v>0.894666666666667</v>
      </c>
      <c r="BF37" s="1" t="n">
        <f aca="false">((MAX($M37,1)*MIN($AJ37/300,1)))*IF(G37="Wagon",50,10)</f>
        <v>0</v>
      </c>
      <c r="BG37" s="1" t="n">
        <f aca="false">VLOOKUP($H37,Constants!$I:$K, 2, FALSE())</f>
        <v>0.85</v>
      </c>
      <c r="BH37" s="1" t="n">
        <f aca="false">VLOOKUP($H37,Constants!$I:$K, 3, FALSE())*IF(AND(G37="multiple_unit",AB37&lt;110),0.75,1)</f>
        <v>2.3</v>
      </c>
      <c r="BI37" s="1" t="n">
        <f aca="false">INT(POWER(((Constants!$G$2+$BB37+$BC37+$BD37+$BF37)*$BE37)*$BH37, 1.05))+$BA37</f>
        <v>82</v>
      </c>
      <c r="BJ37" s="1" t="n">
        <f aca="false">INT(POWER((((Constants!$G$1+$BB37+$BC37+$BD37+$BF37)*($BE37))*$BG37),IF($G37="wagon",1,1.2)))+$AZ37</f>
        <v>154</v>
      </c>
      <c r="BK37" s="19" t="n">
        <f aca="false">BI37*IF($G37="wagon",62.5,781.25)</f>
        <v>64062.5</v>
      </c>
      <c r="BL37" s="19" t="n">
        <f aca="false">BJ37*IF($G37="wagon",2.73,81.25)</f>
        <v>12512.5</v>
      </c>
      <c r="BM37" s="1" t="n">
        <v>2</v>
      </c>
      <c r="BO37" s="1" t="n">
        <v>1</v>
      </c>
      <c r="BP37" s="1" t="n">
        <v>1</v>
      </c>
      <c r="BQ37" s="1" t="str">
        <f aca="false">_xlfn.ORG.LIBREOFFICE.REGEX(_xlfn.ORG.LIBREOFFICE.REGEX(APTMUVehicles, _xlfn.CONCAT(B37, ",?"), ""), ",$", "")</f>
        <v>apt_half_6,apt_half_6_rev,apt_half_2,apt_half_2_rev,apt_q_dvt,apt_s_dm,apt_s_10,apt_s_6</v>
      </c>
      <c r="BT37" s="1" t="n">
        <v>8</v>
      </c>
      <c r="BY37" s="1" t="str">
        <f aca="false">VLOOKUP(J37,Eras!$A$2:$C$10, 2, TRUE())</f>
        <v>lbr</v>
      </c>
      <c r="BZ37" s="18" t="s">
        <v>228</v>
      </c>
      <c r="CA37" s="1" t="str">
        <f aca="false">CONCATENATE(BY37,"_",BZ37)</f>
        <v>lbr_EMU (Express)</v>
      </c>
      <c r="CB37" s="1" t="str">
        <f aca="false">_xlfn.CONCAT(H37, "_",I37)</f>
        <v>electric_ELRL</v>
      </c>
      <c r="CC37" s="20" t="str">
        <f aca="false">_xlfn.CONCAT("{BLACK}Length: {GOLD}", TEXT(ROUNDUP(IF(AQ37&lt;&gt;"",SUM(VALUE(_xlfn.TEXTSPLIT(AQ37, ","))), SUM(VALUE(_xlfn.TEXTSPLIT(AN37, ",")))*IF(M37, M37, 1))/16, 1), "#,##0.0"), " tiles{}")</f>
        <v>{BLACK}Length: {GOLD}0.8 tiles{}</v>
      </c>
      <c r="CD37" s="1" t="str">
        <f aca="false">VLOOKUP($CB37, Constants!$M:$N, 2, FALSE())</f>
        <v>{BLACK}Powered by: {GOLD}25kV AC</v>
      </c>
      <c r="CE37" s="1" t="str">
        <f aca="false">IF(M37&gt;1,_xlfn.CONCAT("{BLACK}Cars: {GOLD}", M37),"")</f>
        <v/>
      </c>
      <c r="CF37" s="1" t="s">
        <v>299</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{GOLD}25kV AC {}{BLACK}Length: {GOLD}0.8 tiles{}{SILVER}An APT-P centre power car</v>
      </c>
      <c r="CI37" s="1"/>
      <c r="CJ37" s="1"/>
    </row>
    <row r="38" customFormat="false" ht="13.8" hidden="false" customHeight="false" outlineLevel="0" collapsed="false">
      <c r="A38" s="18" t="s">
        <v>300</v>
      </c>
      <c r="B38" s="18" t="s">
        <v>301</v>
      </c>
      <c r="C38" s="18" t="n">
        <v>380</v>
      </c>
      <c r="D38" s="18" t="n">
        <v>382</v>
      </c>
      <c r="E38" s="18" t="n">
        <v>382</v>
      </c>
      <c r="F38" s="18" t="s">
        <v>89</v>
      </c>
      <c r="G38" s="18" t="s">
        <v>147</v>
      </c>
      <c r="H38" s="18" t="s">
        <v>91</v>
      </c>
      <c r="I38" s="18" t="s">
        <v>92</v>
      </c>
      <c r="J38" s="18" t="n">
        <v>1986</v>
      </c>
      <c r="K38" s="18" t="n">
        <v>1991</v>
      </c>
      <c r="L38" s="18" t="n">
        <v>1994</v>
      </c>
      <c r="M38" s="18"/>
      <c r="N38" s="18" t="n">
        <v>4000</v>
      </c>
      <c r="W38" s="1" t="n">
        <v>76.8</v>
      </c>
      <c r="Y38" s="1" t="n">
        <v>4</v>
      </c>
      <c r="Z38" s="1" t="n">
        <v>210</v>
      </c>
      <c r="AA38" s="4" t="n">
        <f aca="false">IF(AND(W38&gt;0,Z38&gt;0),(Z38/((W38+X38)*10)),"")</f>
        <v>0.2734375</v>
      </c>
      <c r="AB38" s="1" t="n">
        <v>140</v>
      </c>
      <c r="AC38" s="1" t="n">
        <f aca="false">ROUND(AB38*1.6, 0)</f>
        <v>224</v>
      </c>
      <c r="AF38" s="1" t="n">
        <v>22</v>
      </c>
      <c r="AG38" s="1" t="n">
        <v>22</v>
      </c>
      <c r="AH38" s="1" t="n">
        <v>2.7</v>
      </c>
      <c r="AI38" s="1" t="n">
        <v>3.5</v>
      </c>
      <c r="AJ38" s="5" t="n">
        <v>0</v>
      </c>
      <c r="AK38" s="0" t="str">
        <f aca="false">CONCATENATE(VLOOKUP(AL38, 'Voxel Sizes'!$A$2:$B$18,2,FALSE()),"x",INT(AH38*15), "x", INT(AI38*15))</f>
        <v>214x40x52</v>
      </c>
      <c r="AL38" s="1" t="n">
        <f aca="false">ROUND(15*((AG38*10)/256),0)</f>
        <v>13</v>
      </c>
      <c r="AN38" s="1" t="str">
        <f aca="false">CONCATENATE(VLOOKUP(AL38,Constants!$A$2:$C$16,IF(AM38&lt;&gt;"", 3, 2), FALSE()),IF(AM38&lt;&gt;"",CONCATENATE(",",VLOOKUP(AM38,$B:$AN,38,FALSE())),""))</f>
        <v>4,5,4</v>
      </c>
      <c r="AX38" s="1" t="n">
        <v>20</v>
      </c>
      <c r="AY38" s="6" t="n">
        <f aca="false">IF(L38&lt;&gt;"",MAX(16,(L38-J38)+8),"")</f>
        <v>16</v>
      </c>
      <c r="AZ38" s="1" t="n">
        <v>-35</v>
      </c>
      <c r="BA38" s="1" t="n">
        <v>-60</v>
      </c>
      <c r="BB38" s="1" t="n">
        <f aca="false">MIN(AB38/150, 1)*30</f>
        <v>28</v>
      </c>
      <c r="BC38" s="1" t="n">
        <f aca="false">MIN(N38/4000, 1)*20</f>
        <v>20</v>
      </c>
      <c r="BD38" s="1" t="n">
        <f aca="false">MIN(Z38/400,1)*20</f>
        <v>10.5</v>
      </c>
      <c r="BE38" s="4" t="n">
        <f aca="false">1-(MAX(J38-1900, 0)/750)</f>
        <v>0.885333333333333</v>
      </c>
      <c r="BF38" s="1" t="n">
        <f aca="false">((MAX($M38,1)*MIN($AJ38/300,1)))*IF(G38="Wagon",50,10)</f>
        <v>0</v>
      </c>
      <c r="BG38" s="1" t="n">
        <f aca="false">VLOOKUP($H38,Constants!$I:$K, 2, FALSE())</f>
        <v>0.85</v>
      </c>
      <c r="BH38" s="1" t="n">
        <f aca="false">VLOOKUP($H38,Constants!$I:$K, 3, FALSE())*IF(AND(G38="multiple_unit",AB38&lt;110),0.75,1)</f>
        <v>2.3</v>
      </c>
      <c r="BI38" s="1" t="n">
        <f aca="false">INT(POWER(((Constants!$G$2+$BB38+$BC38+$BD38+$BF38)*$BE38)*$BH38, 1.05))+$BA38</f>
        <v>104</v>
      </c>
      <c r="BJ38" s="1" t="n">
        <f aca="false">INT(POWER((((Constants!$G$1+$BB38+$BC38+$BD38+$BF38)*($BE38))*$BG38),IF($G38="wagon",1,1.2)))+$AZ38</f>
        <v>88</v>
      </c>
      <c r="BK38" s="19" t="n">
        <f aca="false">BI38*IF($G38="wagon",62.5,781.25)</f>
        <v>81250</v>
      </c>
      <c r="BL38" s="19" t="n">
        <f aca="false">BJ38*IF($G38="wagon",2.73,81.25)</f>
        <v>7150</v>
      </c>
      <c r="BM38" s="1" t="n">
        <v>1</v>
      </c>
      <c r="BN38" s="1" t="n">
        <v>1</v>
      </c>
      <c r="BP38" s="1" t="n">
        <v>1</v>
      </c>
      <c r="BQ38" s="1" t="str">
        <f aca="false">_xlfn.ORG.LIBREOFFICE.REGEX(_xlfn.ORG.LIBREOFFICE.REGEX(APTMUVehicles, _xlfn.CONCAT(B38, ",?"), ""), ",$", "")</f>
        <v>apt_half_6,apt_half_6_rev,apt_powercar,apt_half_2,apt_half_2_rev,apt_q_dvt,apt_s_10,apt_s_6</v>
      </c>
      <c r="BS38" s="1" t="s">
        <v>273</v>
      </c>
      <c r="BT38" s="1" t="n">
        <v>7</v>
      </c>
      <c r="BY38" s="1" t="str">
        <f aca="false">VLOOKUP(J38,Eras!$A$2:$C$10, 2, TRUE())</f>
        <v>lbr</v>
      </c>
      <c r="BZ38" s="18" t="s">
        <v>302</v>
      </c>
      <c r="CA38" s="1" t="str">
        <f aca="false">CONCATENATE(BY38,"_",BZ38)</f>
        <v>lbr_Express (Electric)</v>
      </c>
      <c r="CB38" s="1" t="str">
        <f aca="false">_xlfn.CONCAT(H38, "_",I38)</f>
        <v>electric_ELRL</v>
      </c>
      <c r="CC38" s="20" t="str">
        <v>{BLACK}Length: {GOLD}0.8 tiles{}</v>
      </c>
      <c r="CD38" s="1" t="str">
        <f aca="false">VLOOKUP($CB38, Constants!$M:$N, 2, FALSE())</f>
        <v>{BLACK}Powered by: {GOLD}25kV AC</v>
      </c>
      <c r="CE38" s="1" t="str">
        <f aca="false">IF(M38&gt;1,_xlfn.CONCAT("{BLACK}Cars: {GOLD}", M38),"")</f>
        <v/>
      </c>
      <c r="CF38" s="1" t="s">
        <v>303</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{GOLD}25kV AC {}{BLACK}Length: {GOLD}0.8 tiles{}{SILVER}The APT-S was a rework of the APT concept towards more conventional rolling stock, with a driving motor car, articulated trailers and a DVT.</v>
      </c>
      <c r="CI38" s="1"/>
      <c r="CJ38" s="1"/>
    </row>
    <row r="39" customFormat="false" ht="13.8" hidden="false" customHeight="false" outlineLevel="0" collapsed="false">
      <c r="A39" s="18" t="s">
        <v>304</v>
      </c>
      <c r="B39" s="18" t="s">
        <v>305</v>
      </c>
      <c r="C39" s="18" t="n">
        <v>382</v>
      </c>
      <c r="E39" s="18" t="n">
        <v>384</v>
      </c>
      <c r="F39" s="18" t="s">
        <v>89</v>
      </c>
      <c r="G39" s="18" t="s">
        <v>147</v>
      </c>
      <c r="H39" s="18" t="s">
        <v>277</v>
      </c>
      <c r="I39" s="18" t="s">
        <v>153</v>
      </c>
      <c r="J39" s="18" t="n">
        <v>1986</v>
      </c>
      <c r="K39" s="18" t="n">
        <v>1991</v>
      </c>
      <c r="L39" s="18" t="n">
        <v>1994</v>
      </c>
      <c r="M39" s="18"/>
      <c r="N39" s="18" t="n">
        <v>100</v>
      </c>
      <c r="W39" s="1" t="n">
        <v>38.4</v>
      </c>
      <c r="Y39" s="1" t="n">
        <v>4</v>
      </c>
      <c r="Z39" s="1" t="n">
        <v>5</v>
      </c>
      <c r="AA39" s="4" t="n">
        <f aca="false">IF(AND(W39&gt;0,Z39&gt;0),(Z39/((W39+X39)*10)),"")</f>
        <v>0.0130208333333333</v>
      </c>
      <c r="AB39" s="1" t="n">
        <v>140</v>
      </c>
      <c r="AC39" s="1" t="n">
        <f aca="false">ROUND(AB39*1.6, 0)</f>
        <v>224</v>
      </c>
      <c r="AF39" s="1" t="n">
        <v>22</v>
      </c>
      <c r="AG39" s="1" t="n">
        <v>22</v>
      </c>
      <c r="AH39" s="1" t="n">
        <v>2.7</v>
      </c>
      <c r="AI39" s="1" t="n">
        <v>3.5</v>
      </c>
      <c r="AJ39" s="5" t="n">
        <v>36</v>
      </c>
      <c r="AK39" s="0" t="str">
        <f aca="false">CONCATENATE(VLOOKUP(AL39, 'Voxel Sizes'!$A$2:$B$18,2,FALSE()),"x",INT(AH39*15), "x", INT(AI39*15))</f>
        <v>214x40x52</v>
      </c>
      <c r="AL39" s="1" t="n">
        <f aca="false">ROUND(15*((AG39*10)/256),0)</f>
        <v>13</v>
      </c>
      <c r="AN39" s="1" t="str">
        <f aca="false">CONCATENATE(VLOOKUP(AL39,Constants!$A$2:$C$16,IF(AM39&lt;&gt;"", 3, 2), FALSE()),IF(AM39&lt;&gt;"",CONCATENATE(",",VLOOKUP(AM39,$B:$AN,38,FALSE())),""))</f>
        <v>4,5,4</v>
      </c>
      <c r="AX39" s="1" t="n">
        <v>20</v>
      </c>
      <c r="AY39" s="6" t="n">
        <f aca="false">IF(L39&lt;&gt;"",MAX(16,(L39-J39)+8),"")</f>
        <v>16</v>
      </c>
      <c r="AZ39" s="1" t="n">
        <v>-35</v>
      </c>
      <c r="BA39" s="1" t="n">
        <v>-60</v>
      </c>
      <c r="BB39" s="1" t="n">
        <f aca="false">MIN(AB39/150, 1)*30</f>
        <v>28</v>
      </c>
      <c r="BC39" s="1" t="n">
        <f aca="false">MIN(N39/4000, 1)*20</f>
        <v>0.5</v>
      </c>
      <c r="BD39" s="1" t="n">
        <f aca="false">MIN(Z39/400,1)*20</f>
        <v>0.25</v>
      </c>
      <c r="BE39" s="4" t="n">
        <f aca="false">1-(MAX(J39-1900, 0)/750)</f>
        <v>0.885333333333333</v>
      </c>
      <c r="BF39" s="1" t="n">
        <f aca="false">((MAX($M39,1)*MIN($AJ39/300,1)))*IF(G39="Wagon",50,10)</f>
        <v>1.2</v>
      </c>
      <c r="BG39" s="1" t="n">
        <f aca="false">VLOOKUP($H39,Constants!$I:$K, 2, FALSE())</f>
        <v>0.85</v>
      </c>
      <c r="BH39" s="1" t="n">
        <f aca="false">VLOOKUP($H39,Constants!$I:$K, 3, FALSE())*IF(AND(G39="multiple_unit",AB39&lt;110),0.75,1)</f>
        <v>2.3</v>
      </c>
      <c r="BI39" s="1" t="n">
        <f aca="false">INT(POWER(((Constants!$G$2+$BB39+$BC39+$BD39+$BF39)*$BE39)*$BH39, 1.05))+$BA39</f>
        <v>28</v>
      </c>
      <c r="BJ39" s="1" t="n">
        <f aca="false">INT(POWER((((Constants!$G$1+$BB39+$BC39+$BD39+$BF39)*($BE39))*$BG39),IF($G39="wagon",1,1.2)))+$AZ39</f>
        <v>33</v>
      </c>
      <c r="BK39" s="19" t="n">
        <f aca="false">BI39*IF($G39="wagon",62.5,781.25)</f>
        <v>21875</v>
      </c>
      <c r="BL39" s="19" t="n">
        <f aca="false">BJ39*IF($G39="wagon",2.73,81.25)</f>
        <v>2681.25</v>
      </c>
      <c r="BM39" s="1" t="n">
        <v>1</v>
      </c>
      <c r="BN39" s="1" t="n">
        <v>1</v>
      </c>
      <c r="BP39" s="1" t="n">
        <v>1</v>
      </c>
      <c r="BQ39" s="1" t="str">
        <f aca="false">_xlfn.ORG.LIBREOFFICE.REGEX(_xlfn.ORG.LIBREOFFICE.REGEX(APTMUVehicles, _xlfn.CONCAT(B39, ",?"), ""), ",$", "")</f>
        <v>apt_half_6,apt_half_6_rev,apt_powercar,apt_half_2,apt_half_2_rev,apt_s_dm,apt_s_10,apt_s_6</v>
      </c>
      <c r="BS39" s="1" t="s">
        <v>273</v>
      </c>
      <c r="BT39" s="1" t="n">
        <v>7</v>
      </c>
      <c r="BU39" s="1" t="n">
        <v>185</v>
      </c>
      <c r="BX39" s="1" t="s">
        <v>148</v>
      </c>
      <c r="BY39" s="1" t="str">
        <f aca="false">VLOOKUP(J39,Eras!$A$2:$C$10, 2, TRUE())</f>
        <v>lbr</v>
      </c>
      <c r="BZ39" s="18" t="s">
        <v>302</v>
      </c>
      <c r="CA39" s="1" t="str">
        <f aca="false">CONCATENATE(BY39,"_",BZ39)</f>
        <v>lbr_Express (Electric)</v>
      </c>
      <c r="CB39" s="1" t="str">
        <f aca="false">_xlfn.CONCAT(H39, "_",I39)</f>
        <v>none_RAIL</v>
      </c>
      <c r="CC39" s="20" t="str">
        <v>{BLACK}Length: {GOLD}0.8 tiles{}</v>
      </c>
      <c r="CD39" s="1" t="str">
        <f aca="false">VLOOKUP($CB39, Constants!$M:$N, 2, FALSE())</f>
        <v/>
      </c>
      <c r="CE39" s="1" t="str">
        <f aca="false">IF(M39&gt;1,_xlfn.CONCAT("{BLACK}Cars: {GOLD}", M39),"")</f>
        <v/>
      </c>
      <c r="CF39" s="1" t="s">
        <v>306</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{GOLD}0.8 tiles{}{SILVER}The APT-Q was proposed to rationalise existing APT-P stock into usable 6-car tains, with a single non-driving power car and a new-build DVT.</v>
      </c>
      <c r="CI39" s="1"/>
      <c r="CJ39" s="1"/>
    </row>
    <row r="40" customFormat="false" ht="13.8" hidden="false" customHeight="false" outlineLevel="0" collapsed="false">
      <c r="A40" s="1" t="s">
        <v>307</v>
      </c>
      <c r="B40" s="1" t="s">
        <v>308</v>
      </c>
      <c r="C40" s="1" t="n">
        <v>384</v>
      </c>
      <c r="D40" s="1" t="n">
        <v>386</v>
      </c>
      <c r="E40" s="1" t="n">
        <v>386</v>
      </c>
      <c r="F40" s="1" t="s">
        <v>89</v>
      </c>
      <c r="G40" s="1" t="s">
        <v>284</v>
      </c>
      <c r="H40" s="1" t="s">
        <v>277</v>
      </c>
      <c r="I40" s="1" t="s">
        <v>153</v>
      </c>
      <c r="J40" s="1" t="n">
        <v>1986</v>
      </c>
      <c r="K40" s="1" t="n">
        <v>1991</v>
      </c>
      <c r="L40" s="1" t="n">
        <v>1994</v>
      </c>
      <c r="M40" s="1" t="n">
        <v>10</v>
      </c>
      <c r="N40" s="1" t="n">
        <v>10</v>
      </c>
      <c r="W40" s="18" t="n">
        <v>258.2</v>
      </c>
      <c r="Y40" s="1" t="n">
        <v>4</v>
      </c>
      <c r="Z40" s="1" t="n">
        <v>5</v>
      </c>
      <c r="AA40" s="4" t="n">
        <f aca="false">IF(AND(W40&gt;0,Z40&gt;0),(Z40/((W40+X40)*10)),"")</f>
        <v>0.00193648334624322</v>
      </c>
      <c r="AB40" s="1" t="n">
        <v>140</v>
      </c>
      <c r="AC40" s="1" t="n">
        <f aca="false">ROUND(AB40*1.6, 0)</f>
        <v>224</v>
      </c>
      <c r="AF40" s="1" t="n">
        <v>20.9</v>
      </c>
      <c r="AG40" s="1" t="n">
        <v>20.9</v>
      </c>
      <c r="AH40" s="1" t="n">
        <v>2.7</v>
      </c>
      <c r="AI40" s="1" t="n">
        <v>3.5</v>
      </c>
      <c r="AJ40" s="5" t="n">
        <v>49</v>
      </c>
      <c r="AK40" s="0" t="str">
        <f aca="false">CONCATENATE(VLOOKUP(AL40, 'Voxel Sizes'!$A$2:$B$18,2,FALSE()),"x",INT(AH40*15), "x", INT(AI40*15))</f>
        <v>198x40x52</v>
      </c>
      <c r="AL40" s="1" t="n">
        <f aca="false">ROUND(15*((AG40*10)/256),0)</f>
        <v>12</v>
      </c>
      <c r="AN40" s="1" t="str">
        <f aca="false">CONCATENATE(VLOOKUP(AL40,Constants!$A$2:$C$16,IF(AM40&lt;&gt;"", 3, 2), FALSE()),IF(AM40&lt;&gt;"",CONCATENATE(",",VLOOKUP(AM40,$B:$AN,38,FALSE())),""))</f>
        <v>4,4,4</v>
      </c>
      <c r="AR40" s="1" t="s">
        <v>309</v>
      </c>
      <c r="AT40" s="1" t="s">
        <v>310</v>
      </c>
      <c r="AU40" s="1" t="s">
        <v>311</v>
      </c>
      <c r="AX40" s="1" t="n">
        <v>20</v>
      </c>
      <c r="AY40" s="6" t="n">
        <f aca="false">IF(L40&lt;&gt;"",MAX(16,(L40-J40)+8),"")</f>
        <v>16</v>
      </c>
      <c r="AZ40" s="1" t="n">
        <v>-45</v>
      </c>
      <c r="BA40" s="1" t="n">
        <v>-65</v>
      </c>
      <c r="BB40" s="1" t="n">
        <f aca="false">MIN(AB40/150, 1)*30</f>
        <v>28</v>
      </c>
      <c r="BC40" s="1" t="n">
        <f aca="false">MIN(N40/4000, 1)*20</f>
        <v>0.05</v>
      </c>
      <c r="BD40" s="1" t="n">
        <f aca="false">MIN(Z40/400,1)*20</f>
        <v>0.25</v>
      </c>
      <c r="BE40" s="4" t="n">
        <f aca="false">1-(MAX(J40-1900, 0)/750)</f>
        <v>0.885333333333333</v>
      </c>
      <c r="BF40" s="1" t="n">
        <f aca="false">((MAX($M40,1)*MIN($AJ40/300,1)))*IF(G40="Wagon",50,10)</f>
        <v>16.3333333333333</v>
      </c>
      <c r="BG40" s="1" t="n">
        <f aca="false">VLOOKUP($H40,Constants!$I:$K, 2, FALSE())</f>
        <v>0.85</v>
      </c>
      <c r="BH40" s="1" t="n">
        <f aca="false">VLOOKUP($H40,Constants!$I:$K, 3, FALSE())*IF(AND(G40="multiple_unit",AB40&lt;110),0.75,1)</f>
        <v>2.3</v>
      </c>
      <c r="BI40" s="1" t="n">
        <f aca="false">INT(POWER(((Constants!$G$2+$BB40+$BC40+$BD40+$BF40)*$BE40)*$BH40, 1.05))+$BA40</f>
        <v>62</v>
      </c>
      <c r="BJ40" s="1" t="n">
        <f aca="false">INT(POWER((((Constants!$G$1+$BB40+$BC40+$BD40+$BF40)*($BE40))*$BG40),IF($G40="wagon",1,1.2)))+$AZ40</f>
        <v>51</v>
      </c>
      <c r="BK40" s="19" t="n">
        <f aca="false">BI40*IF($G40="wagon",62.5,781.25)</f>
        <v>48437.5</v>
      </c>
      <c r="BL40" s="19" t="n">
        <f aca="false">BJ40*IF($G40="wagon",2.73,81.25)</f>
        <v>4143.75</v>
      </c>
      <c r="BO40" s="1" t="n">
        <v>1</v>
      </c>
      <c r="BP40" s="1" t="n">
        <v>1</v>
      </c>
      <c r="BQ40" s="1" t="str">
        <f aca="false">_xlfn.ORG.LIBREOFFICE.REGEX(_xlfn.ORG.LIBREOFFICE.REGEX(APTMUVehicles, _xlfn.CONCAT(B40, ",?"), ""), ",$", "")</f>
        <v>apt_half_6,apt_half_6_rev,apt_powercar,apt_half_2,apt_half_2_rev,apt_q_dvt,apt_s_dm,apt_s_6</v>
      </c>
      <c r="BS40" s="18" t="s">
        <v>312</v>
      </c>
      <c r="BT40" s="1" t="n">
        <v>7</v>
      </c>
      <c r="BU40" s="1" t="n">
        <v>222</v>
      </c>
      <c r="BX40" s="1" t="s">
        <v>95</v>
      </c>
      <c r="BY40" s="1" t="str">
        <f aca="false">VLOOKUP(J40,Eras!$A$2:$C$10, 2, TRUE())</f>
        <v>lbr</v>
      </c>
      <c r="BZ40" s="18" t="s">
        <v>228</v>
      </c>
      <c r="CA40" s="1" t="str">
        <f aca="false">CONCATENATE(BY40,"_",BZ40)</f>
        <v>lbr_EMU (Express)</v>
      </c>
      <c r="CB40" s="1" t="str">
        <f aca="false">_xlfn.CONCAT(H40, "_",I40)</f>
        <v>none_RAIL</v>
      </c>
      <c r="CC40" s="20" t="str">
        <v>{BLACK}Length: {GOLD}0.8 tiles{}</v>
      </c>
      <c r="CD40" s="1" t="str">
        <f aca="false">VLOOKUP($CB40, Constants!$M:$N, 2, FALSE())</f>
        <v/>
      </c>
      <c r="CE40" s="1" t="str">
        <f aca="false">IF(M40&gt;1,_xlfn.CONCAT("{BLACK}Cars: {GOLD}", M40),"")</f>
        <v>{BLACK}Cars: {GOLD}10</v>
      </c>
      <c r="CF40" s="1" t="s">
        <v>313</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{YELLOW}20% bonus for long distance travel{}</v>
      </c>
      <c r="CH40" s="1" t="str">
        <f aca="false">_xlfn.CONCAT(CD40,IF(CD40 &lt;&gt; "", " ", ""),CE40,IF(OR(CE40&lt;&gt;"", CD40&lt;&gt;""), "{}",""), CC40, CG40,"{SILVER}", CF40)</f>
        <v>{BLACK}Cars: {GOLD}10{}{BLACK}Length: {GOLD}0.8 tiles{}{YELLOW}20% bonus for long distance travel{}{SILVER}An articulated trailer rake of APT-S Vehicles, intended to run with a Driving Motor and a DVT but also usable in other weird combinations.</v>
      </c>
      <c r="CI40" s="1"/>
      <c r="CJ40" s="1"/>
    </row>
    <row r="41" customFormat="false" ht="13.8" hidden="false" customHeight="false" outlineLevel="0" collapsed="false">
      <c r="A41" s="1" t="s">
        <v>314</v>
      </c>
      <c r="B41" s="1" t="s">
        <v>315</v>
      </c>
      <c r="C41" s="1" t="n">
        <v>386</v>
      </c>
      <c r="E41" s="1" t="n">
        <v>388</v>
      </c>
      <c r="F41" s="1" t="s">
        <v>89</v>
      </c>
      <c r="G41" s="1" t="s">
        <v>284</v>
      </c>
      <c r="H41" s="1" t="s">
        <v>277</v>
      </c>
      <c r="I41" s="1" t="s">
        <v>153</v>
      </c>
      <c r="J41" s="1" t="n">
        <v>1986</v>
      </c>
      <c r="K41" s="1" t="n">
        <v>1991</v>
      </c>
      <c r="L41" s="1" t="n">
        <v>1994</v>
      </c>
      <c r="M41" s="1" t="n">
        <v>6</v>
      </c>
      <c r="N41" s="1" t="n">
        <v>10</v>
      </c>
      <c r="W41" s="1" t="n">
        <v>209.6</v>
      </c>
      <c r="Y41" s="1" t="n">
        <v>4</v>
      </c>
      <c r="Z41" s="1" t="n">
        <v>5</v>
      </c>
      <c r="AA41" s="4" t="n">
        <f aca="false">IF(AND(W41&gt;0,Z41&gt;0),(Z41/((W41+X41)*10)),"")</f>
        <v>0.00238549618320611</v>
      </c>
      <c r="AB41" s="1" t="n">
        <v>140</v>
      </c>
      <c r="AC41" s="1" t="n">
        <f aca="false">ROUND(AB41*1.6, 0)</f>
        <v>224</v>
      </c>
      <c r="AF41" s="1" t="n">
        <v>20.9</v>
      </c>
      <c r="AG41" s="1" t="n">
        <v>20.9</v>
      </c>
      <c r="AH41" s="1" t="n">
        <v>2.7</v>
      </c>
      <c r="AI41" s="1" t="n">
        <v>3.5</v>
      </c>
      <c r="AJ41" s="5" t="n">
        <v>50</v>
      </c>
      <c r="AK41" s="0" t="str">
        <f aca="false">CONCATENATE(VLOOKUP(AL41, 'Voxel Sizes'!$A$2:$B$18,2,FALSE()),"x",INT(AH41*15), "x", INT(AI41*15))</f>
        <v>198x40x52</v>
      </c>
      <c r="AL41" s="1" t="n">
        <f aca="false">ROUND(15*((AG41*10)/256),0)</f>
        <v>12</v>
      </c>
      <c r="AN41" s="1" t="str">
        <f aca="false">CONCATENATE(VLOOKUP(AL41,Constants!$A$2:$C$16,IF(AM41&lt;&gt;"", 3, 2), FALSE()),IF(AM41&lt;&gt;"",CONCATENATE(",",VLOOKUP(AM41,$B:$AN,38,FALSE())),""))</f>
        <v>4,4,4</v>
      </c>
      <c r="AR41" s="1" t="s">
        <v>316</v>
      </c>
      <c r="AT41" s="1" t="s">
        <v>135</v>
      </c>
      <c r="AU41" s="1" t="s">
        <v>311</v>
      </c>
      <c r="AX41" s="1" t="n">
        <v>20</v>
      </c>
      <c r="AY41" s="6" t="n">
        <f aca="false">IF(L41&lt;&gt;"",MAX(16,(L41-J41)+8),"")</f>
        <v>16</v>
      </c>
      <c r="AZ41" s="1" t="n">
        <v>-45</v>
      </c>
      <c r="BA41" s="1" t="n">
        <v>-65</v>
      </c>
      <c r="BB41" s="1" t="n">
        <f aca="false">MIN(AB41/150, 1)*30</f>
        <v>28</v>
      </c>
      <c r="BC41" s="1" t="n">
        <f aca="false">MIN(N41/4000, 1)*20</f>
        <v>0.05</v>
      </c>
      <c r="BD41" s="1" t="n">
        <f aca="false">MIN(Z41/400,1)*20</f>
        <v>0.25</v>
      </c>
      <c r="BE41" s="4" t="n">
        <f aca="false">1-(MAX(J41-1900, 0)/750)</f>
        <v>0.885333333333333</v>
      </c>
      <c r="BF41" s="1" t="n">
        <f aca="false">((MAX($M41,1)*MIN($AJ41/300,1)))*IF(G41="Wagon",50,10)</f>
        <v>10</v>
      </c>
      <c r="BG41" s="1" t="n">
        <f aca="false">VLOOKUP($H41,Constants!$I:$K, 2, FALSE())</f>
        <v>0.85</v>
      </c>
      <c r="BH41" s="1" t="n">
        <f aca="false">VLOOKUP($H41,Constants!$I:$K, 3, FALSE())*IF(AND(G41="multiple_unit",AB41&lt;110),0.75,1)</f>
        <v>2.3</v>
      </c>
      <c r="BI41" s="1" t="n">
        <f aca="false">INT(POWER(((Constants!$G$2+$BB41+$BC41+$BD41+$BF41)*$BE41)*$BH41, 1.05))+$BA41</f>
        <v>45</v>
      </c>
      <c r="BJ41" s="1" t="n">
        <f aca="false">INT(POWER((((Constants!$G$1+$BB41+$BC41+$BD41+$BF41)*($BE41))*$BG41),IF($G41="wagon",1,1.2)))+$AZ41</f>
        <v>38</v>
      </c>
      <c r="BK41" s="19" t="n">
        <f aca="false">BI41*IF($G41="wagon",62.5,781.25)</f>
        <v>35156.25</v>
      </c>
      <c r="BL41" s="19" t="n">
        <f aca="false">BJ41*IF($G41="wagon",2.73,81.25)</f>
        <v>3087.5</v>
      </c>
      <c r="BO41" s="1" t="n">
        <v>1</v>
      </c>
      <c r="BP41" s="1" t="n">
        <v>1</v>
      </c>
      <c r="BQ41" s="1" t="str">
        <f aca="false">_xlfn.ORG.LIBREOFFICE.REGEX(_xlfn.ORG.LIBREOFFICE.REGEX(APTMUVehicles, _xlfn.CONCAT(B41, ",?"), ""), ",$", "")</f>
        <v>apt_half_6,apt_half_6_rev,apt_powercar,apt_half_2,apt_half_2_rev,apt_q_dvt,apt_s_dm,apt_s_10</v>
      </c>
      <c r="BS41" s="18" t="s">
        <v>317</v>
      </c>
      <c r="BT41" s="1" t="n">
        <v>7</v>
      </c>
      <c r="BU41" s="1" t="n">
        <v>222</v>
      </c>
      <c r="BX41" s="1" t="s">
        <v>95</v>
      </c>
      <c r="BY41" s="1" t="str">
        <f aca="false">VLOOKUP(J41,Eras!$A$2:$C$10, 2, TRUE())</f>
        <v>lbr</v>
      </c>
      <c r="BZ41" s="18" t="s">
        <v>228</v>
      </c>
      <c r="CA41" s="1" t="str">
        <f aca="false">CONCATENATE(BY41,"_",BZ41)</f>
        <v>lbr_EMU (Express)</v>
      </c>
      <c r="CB41" s="1" t="str">
        <f aca="false">_xlfn.CONCAT(H41, "_",I41)</f>
        <v>none_RAIL</v>
      </c>
      <c r="CC41" s="20" t="str">
        <v>{BLACK}Length: {GOLD}0.8 tiles{}</v>
      </c>
      <c r="CD41" s="1" t="str">
        <f aca="false">VLOOKUP($CB41, Constants!$M:$N, 2, FALSE())</f>
        <v/>
      </c>
      <c r="CE41" s="1" t="str">
        <f aca="false">IF(M41&gt;1,_xlfn.CONCAT("{BLACK}Cars: {GOLD}", M41),"")</f>
        <v>{BLACK}Cars: {GOLD}6</v>
      </c>
      <c r="CF41" s="1" t="s">
        <v>313</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{YELLOW}20% bonus for long distance travel{}</v>
      </c>
      <c r="CH41" s="1" t="str">
        <f aca="false">_xlfn.CONCAT(CD41,IF(CD41 &lt;&gt; "", " ", ""),CE41,IF(OR(CE41&lt;&gt;"", CD41&lt;&gt;""), "{}",""), CC41, CG41,"{SILVER}", CF41)</f>
        <v>{BLACK}Cars: {GOLD}6{}{BLACK}Length: {GOLD}0.8 tiles{}{YELLOW}20% bonus for long distance travel{}{SILVER}An articulated trailer rake of APT-S Vehicles, intended to run with a Driving Motor and a DVT but also usable in other weird combinations.</v>
      </c>
      <c r="CI41" s="1"/>
      <c r="CJ41" s="1"/>
    </row>
    <row r="42" customFormat="false" ht="13.8" hidden="false" customHeight="false" outlineLevel="0" collapsed="false">
      <c r="A42" s="1" t="s">
        <v>318</v>
      </c>
      <c r="B42" s="1" t="s">
        <v>319</v>
      </c>
      <c r="C42" s="1" t="n">
        <v>420</v>
      </c>
      <c r="E42" s="1" t="n">
        <v>392</v>
      </c>
      <c r="F42" s="1" t="s">
        <v>89</v>
      </c>
      <c r="G42" s="1" t="s">
        <v>147</v>
      </c>
      <c r="H42" s="1" t="s">
        <v>152</v>
      </c>
      <c r="I42" s="1" t="s">
        <v>153</v>
      </c>
      <c r="J42" s="1" t="n">
        <v>1986</v>
      </c>
      <c r="K42" s="1" t="n">
        <v>2026</v>
      </c>
      <c r="L42" s="1" t="n">
        <v>2031</v>
      </c>
      <c r="N42" s="1" t="n">
        <v>2250</v>
      </c>
      <c r="W42" s="1" t="n">
        <v>71.5</v>
      </c>
      <c r="Z42" s="1" t="n">
        <v>180</v>
      </c>
      <c r="AA42" s="4" t="n">
        <f aca="false">IF(AND(W42&gt;0,Z42&gt;0),(Z42/((W42+X42)*10)),"")</f>
        <v>0.251748251748252</v>
      </c>
      <c r="AB42" s="1" t="n">
        <v>125</v>
      </c>
      <c r="AC42" s="1" t="n">
        <f aca="false">ROUND(AB42*1.6, 0)</f>
        <v>200</v>
      </c>
      <c r="AF42" s="1" t="n">
        <v>17.79</v>
      </c>
      <c r="AG42" s="1" t="n">
        <v>17.79</v>
      </c>
      <c r="AJ42" s="5" t="n">
        <v>0</v>
      </c>
      <c r="AK42" s="0" t="str">
        <f aca="false">CONCATENATE(VLOOKUP(AL42, 'Voxel Sizes'!$A$2:$B$18,2,FALSE()),"x",INT(AH42*15), "x", INT(AI42*15))</f>
        <v>164x0x0</v>
      </c>
      <c r="AL42" s="1" t="n">
        <f aca="false">ROUND(15*((AG42*10)/256),0)</f>
        <v>10</v>
      </c>
      <c r="AN42" s="1" t="str">
        <f aca="false">CONCATENATE(VLOOKUP(AL42,Constants!$A$2:$C$16,IF(AM42&lt;&gt;"", 3, 2), FALSE()),IF(AM42&lt;&gt;"",CONCATENATE(",",VLOOKUP(AM42,$B:$AN,38,FALSE())),""))</f>
        <v>4,2,4</v>
      </c>
      <c r="AX42" s="1" t="n">
        <v>35</v>
      </c>
      <c r="AY42" s="6" t="n">
        <f aca="false">IF(L42&lt;&gt;"",MAX(16,(L42-J42)+8),"")</f>
        <v>53</v>
      </c>
      <c r="BB42" s="1" t="n">
        <f aca="false">MIN(AB42/150, 1)*30</f>
        <v>25</v>
      </c>
      <c r="BC42" s="1" t="n">
        <f aca="false">MIN(N42/4000, 1)*20</f>
        <v>11.25</v>
      </c>
      <c r="BD42" s="1" t="n">
        <f aca="false">MIN(Z42/400,1)*20</f>
        <v>9</v>
      </c>
      <c r="BE42" s="4" t="n">
        <f aca="false">1-(MAX(J42-1900, 0)/750)</f>
        <v>0.885333333333333</v>
      </c>
      <c r="BF42" s="1" t="n">
        <f aca="false">((MAX($M42,1)*MIN($AJ42/300,1)))*IF(G42="Wagon",50,10)</f>
        <v>0</v>
      </c>
      <c r="BG42" s="1" t="n">
        <f aca="false">VLOOKUP($H42,Constants!$I:$K, 2, FALSE())</f>
        <v>1</v>
      </c>
      <c r="BH42" s="1" t="n">
        <f aca="false">VLOOKUP($H42,Constants!$I:$K, 3, FALSE())*IF(AND(G42="multiple_unit",AB42&lt;110),0.75,1)</f>
        <v>2</v>
      </c>
      <c r="BI42" s="1" t="n">
        <f aca="false">INT(POWER(((Constants!$G$2+$BB42+$BC42+$BD42+$BF42)*$BE42)*$BH42, 1.05))+$BA42</f>
        <v>111</v>
      </c>
      <c r="BJ42" s="1" t="n">
        <f aca="false">INT(POWER((((Constants!$G$1+$BB42+$BC42+$BD42+$BF42)*($BE42))*$BG42),IF($G42="wagon",1,1.2)))+$AZ42</f>
        <v>118</v>
      </c>
      <c r="BK42" s="19" t="n">
        <f aca="false">BI42*IF($G42="wagon",62.5,781.25)</f>
        <v>86718.75</v>
      </c>
      <c r="BL42" s="19" t="n">
        <f aca="false">BJ42*IF($G42="wagon",2.73,81.25)</f>
        <v>9587.5</v>
      </c>
      <c r="BM42" s="1" t="n">
        <v>1</v>
      </c>
      <c r="BN42" s="1" t="n">
        <v>1</v>
      </c>
      <c r="BT42" s="1" t="n">
        <v>2</v>
      </c>
      <c r="BY42" s="1" t="str">
        <f aca="false">VLOOKUP(J42,Eras!$A$2:$C$10, 2, TRUE())</f>
        <v>lbr</v>
      </c>
      <c r="BZ42" s="18" t="s">
        <v>320</v>
      </c>
      <c r="CA42" s="1" t="str">
        <f aca="false">CONCATENATE(BY42,"_",BZ42)</f>
        <v>lbr_Express</v>
      </c>
      <c r="CB42" s="1" t="str">
        <f aca="false">_xlfn.CONCAT(H42, "_",I42)</f>
        <v>diesel_RAIL</v>
      </c>
      <c r="CC42" s="20" t="str">
        <v>{BLACK}Length: {GOLD}0.8 tiles{}</v>
      </c>
      <c r="CD42" s="1" t="str">
        <f aca="false">VLOOKUP($CB42, Constants!$M:$N, 2, FALSE())</f>
        <v>{BLACK}Powered by: {GOLD}Diesel</v>
      </c>
      <c r="CE42" s="1" t="str">
        <f aca="false">IF(M42&gt;1,_xlfn.CONCAT("{BLACK}Cars: {GOLD}", M42),"")</f>
        <v/>
      </c>
      <c r="CF42" s="1" t="s">
        <v>321</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{}{BLACK}Length: {GOLD}0.8 tiles{}{SILVER}To facilitate the testing and introduction of the Class 91 fleet prior to the availability of Mark 4 Driving Van Trailers, 8 HST Power Cars were converted to act as control vehicles for electric locomotives.</v>
      </c>
      <c r="CI42" s="1"/>
      <c r="CJ42" s="1"/>
    </row>
    <row r="43" customFormat="false" ht="13.8" hidden="false" customHeight="false" outlineLevel="0" collapsed="false">
      <c r="A43" s="1" t="s">
        <v>322</v>
      </c>
      <c r="B43" s="1" t="s">
        <v>323</v>
      </c>
      <c r="C43" s="1" t="n">
        <v>422</v>
      </c>
      <c r="E43" s="1" t="n">
        <v>394</v>
      </c>
      <c r="F43" s="1" t="s">
        <v>89</v>
      </c>
      <c r="G43" s="1" t="s">
        <v>147</v>
      </c>
      <c r="H43" s="1" t="s">
        <v>277</v>
      </c>
      <c r="I43" s="1" t="s">
        <v>153</v>
      </c>
      <c r="J43" s="1" t="n">
        <v>1986</v>
      </c>
      <c r="K43" s="1" t="n">
        <v>1991</v>
      </c>
      <c r="N43" s="1" t="n">
        <v>100</v>
      </c>
      <c r="W43" s="1" t="n">
        <v>35</v>
      </c>
      <c r="Y43" s="1" t="n">
        <v>4</v>
      </c>
      <c r="Z43" s="1" t="n">
        <v>5</v>
      </c>
      <c r="AA43" s="4" t="n">
        <f aca="false">IF(AND(W43&gt;0,Z43&gt;0),(Z43/((W43+X43)*10)),"")</f>
        <v>0.0142857142857143</v>
      </c>
      <c r="AB43" s="1" t="n">
        <v>125</v>
      </c>
      <c r="AC43" s="1" t="n">
        <f aca="false">ROUND(AB43*1.6, 0)</f>
        <v>200</v>
      </c>
      <c r="AF43" s="1" t="n">
        <v>23</v>
      </c>
      <c r="AG43" s="1" t="n">
        <v>23</v>
      </c>
      <c r="AJ43" s="5" t="n">
        <v>45</v>
      </c>
      <c r="AK43" s="0" t="str">
        <f aca="false">CONCATENATE(VLOOKUP(AL43, 'Voxel Sizes'!$A$2:$B$18,2,FALSE()),"x",INT(AH43*15), "x", INT(AI43*15))</f>
        <v>214x0x0</v>
      </c>
      <c r="AL43" s="1" t="n">
        <f aca="false">ROUND(15*((AG43*10)/256),0)</f>
        <v>13</v>
      </c>
      <c r="AN43" s="1" t="str">
        <f aca="false">CONCATENATE(VLOOKUP(AL43,Constants!$A$2:$C$16,IF(AM43&lt;&gt;"", 3, 2), FALSE()),IF(AM43&lt;&gt;"",CONCATENATE(",",VLOOKUP(AM43,$B:$AN,38,FALSE())),""))</f>
        <v>4,5,4</v>
      </c>
      <c r="AX43" s="1" t="n">
        <v>27</v>
      </c>
      <c r="AY43" s="6" t="str">
        <f aca="false">IF(L43&lt;&gt;"",MAX(16,(L43-J43)+8),"")</f>
        <v/>
      </c>
      <c r="AZ43" s="1" t="n">
        <v>-15</v>
      </c>
      <c r="BA43" s="1" t="n">
        <v>-60</v>
      </c>
      <c r="BB43" s="1" t="n">
        <f aca="false">MIN(AB43/150, 1)*30</f>
        <v>25</v>
      </c>
      <c r="BC43" s="1" t="n">
        <f aca="false">MIN(N43/4000, 1)*20</f>
        <v>0.5</v>
      </c>
      <c r="BD43" s="1" t="n">
        <f aca="false">MIN(Z43/400,1)*20</f>
        <v>0.25</v>
      </c>
      <c r="BE43" s="4" t="n">
        <f aca="false">1-(MAX(J43-1900, 0)/750)</f>
        <v>0.885333333333333</v>
      </c>
      <c r="BF43" s="1" t="n">
        <f aca="false">((MAX($M43,1)*MIN($AJ43/300,1)))*IF(G43="Wagon",50,10)</f>
        <v>1.5</v>
      </c>
      <c r="BG43" s="1" t="n">
        <f aca="false">VLOOKUP($H43,Constants!$I:$K, 2, FALSE())</f>
        <v>0.85</v>
      </c>
      <c r="BH43" s="1" t="n">
        <f aca="false">VLOOKUP($H43,Constants!$I:$K, 3, FALSE())*IF(AND(G43="multiple_unit",AB43&lt;110),0.75,1)</f>
        <v>2.3</v>
      </c>
      <c r="BI43" s="1" t="n">
        <v>20</v>
      </c>
      <c r="BJ43" s="1" t="n">
        <f aca="false">INT(POWER((((Constants!$G$1+$BB43+$BC43+$BD43+$BF43)*($BE43))*$BG43),IF($G43="wagon",1,1.2)))+$AZ43</f>
        <v>48</v>
      </c>
      <c r="BK43" s="19" t="n">
        <f aca="false">BI43*IF($G43="wagon",62.5,781.25)</f>
        <v>15625</v>
      </c>
      <c r="BL43" s="19" t="n">
        <f aca="false">BJ43*IF($G43="wagon",2.73,81.25)</f>
        <v>3900</v>
      </c>
      <c r="BM43" s="1" t="n">
        <v>1</v>
      </c>
      <c r="BN43" s="1" t="n">
        <v>1</v>
      </c>
      <c r="BS43" s="1" t="s">
        <v>273</v>
      </c>
      <c r="BT43" s="1" t="n">
        <v>7</v>
      </c>
      <c r="BU43" s="1" t="n">
        <v>205</v>
      </c>
      <c r="BV43" s="1" t="s">
        <v>227</v>
      </c>
      <c r="BX43" s="1" t="s">
        <v>95</v>
      </c>
      <c r="BY43" s="1" t="str">
        <f aca="false">VLOOKUP(J43,Eras!$A$2:$C$10, 2, TRUE())</f>
        <v>lbr</v>
      </c>
      <c r="BZ43" s="18" t="s">
        <v>320</v>
      </c>
      <c r="CA43" s="1" t="str">
        <f aca="false">CONCATENATE(BY43,"_",BZ43)</f>
        <v>lbr_Express</v>
      </c>
      <c r="CB43" s="1" t="str">
        <f aca="false">_xlfn.CONCAT(H43, "_",I43)</f>
        <v>none_RAIL</v>
      </c>
      <c r="CC43" s="20" t="str">
        <v>{BLACK}Length: {GOLD}0.8 tiles{}</v>
      </c>
      <c r="CD43" s="1"/>
      <c r="CE43" s="1" t="str">
        <f aca="false">IF(M43&gt;1,_xlfn.CONCAT("{BLACK}Cars: {GOLD}", M43),"")</f>
        <v/>
      </c>
      <c r="CF43" s="1" t="s">
        <v>324</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{YELLOW}10% bonus for long distance travel{}</v>
      </c>
      <c r="CH43" s="1" t="str">
        <f aca="false">_xlfn.CONCAT(CD43,IF(CD43 &lt;&gt; "", " ", ""),CE43,IF(OR(CE43&lt;&gt;"", CD43&lt;&gt;""), "{}",""), CC43, CG43,"{SILVER}", CF43)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3" s="1"/>
      <c r="CJ43" s="1"/>
    </row>
    <row r="44" customFormat="false" ht="13.8" hidden="false" customHeight="false" outlineLevel="0" collapsed="false">
      <c r="A44" s="1" t="s">
        <v>325</v>
      </c>
      <c r="B44" s="1" t="s">
        <v>326</v>
      </c>
      <c r="C44" s="1" t="n">
        <v>424</v>
      </c>
      <c r="D44" s="1" t="n">
        <v>420</v>
      </c>
      <c r="E44" s="1" t="n">
        <v>396</v>
      </c>
      <c r="F44" s="1" t="s">
        <v>89</v>
      </c>
      <c r="G44" s="1" t="s">
        <v>147</v>
      </c>
      <c r="H44" s="1" t="s">
        <v>277</v>
      </c>
      <c r="I44" s="1" t="s">
        <v>153</v>
      </c>
      <c r="J44" s="1" t="n">
        <v>1986</v>
      </c>
      <c r="K44" s="1" t="n">
        <v>1991</v>
      </c>
      <c r="N44" s="1" t="n">
        <v>100</v>
      </c>
      <c r="W44" s="1" t="n">
        <v>40</v>
      </c>
      <c r="Z44" s="1" t="n">
        <v>5</v>
      </c>
      <c r="AA44" s="4" t="n">
        <f aca="false">IF(AND(W44&gt;0,Z44&gt;0),(Z44/((W44+X44)*10)),"")</f>
        <v>0.0125</v>
      </c>
      <c r="AB44" s="1" t="n">
        <v>125</v>
      </c>
      <c r="AC44" s="1" t="n">
        <f aca="false">ROUND(AB44*1.6, 0)</f>
        <v>200</v>
      </c>
      <c r="AF44" s="1" t="n">
        <v>17.79</v>
      </c>
      <c r="AG44" s="1" t="n">
        <v>17.79</v>
      </c>
      <c r="AJ44" s="5" t="n">
        <v>36</v>
      </c>
      <c r="AK44" s="0" t="str">
        <f aca="false">CONCATENATE(VLOOKUP(AL44, 'Voxel Sizes'!$A$2:$B$18,2,FALSE()),"x",INT(AH44*15), "x", INT(AI44*15))</f>
        <v>164x0x0</v>
      </c>
      <c r="AL44" s="1" t="n">
        <f aca="false">ROUND(15*((AG44*10)/256),0)</f>
        <v>10</v>
      </c>
      <c r="AN44" s="1" t="str">
        <f aca="false">CONCATENATE(VLOOKUP(AL44,Constants!$A$2:$C$16,IF(AM44&lt;&gt;"", 3, 2), FALSE()),IF(AM44&lt;&gt;"",CONCATENATE(",",VLOOKUP(AM44,$B:$AN,38,FALSE())),""))</f>
        <v>4,2,4</v>
      </c>
      <c r="AX44" s="1" t="n">
        <v>27</v>
      </c>
      <c r="AY44" s="6" t="str">
        <f aca="false">IF(L44&lt;&gt;"",MAX(16,(L44-J44)+8),"")</f>
        <v/>
      </c>
      <c r="AZ44" s="1" t="n">
        <v>-15</v>
      </c>
      <c r="BA44" s="1" t="n">
        <v>-55</v>
      </c>
      <c r="BB44" s="1" t="n">
        <f aca="false">MIN(AB44/150, 1)*30</f>
        <v>25</v>
      </c>
      <c r="BC44" s="1" t="n">
        <f aca="false">MIN(N44/4000, 1)*20</f>
        <v>0.5</v>
      </c>
      <c r="BD44" s="1" t="n">
        <f aca="false">MIN(Z44/400,1)*20</f>
        <v>0.25</v>
      </c>
      <c r="BE44" s="4" t="n">
        <f aca="false">1-(MAX(J44-1900, 0)/750)</f>
        <v>0.885333333333333</v>
      </c>
      <c r="BF44" s="1" t="n">
        <f aca="false">((MAX($M44,1)*MIN($AJ44/300,1)))*IF(G44="Wagon",50,10)</f>
        <v>1.2</v>
      </c>
      <c r="BG44" s="1" t="n">
        <f aca="false">VLOOKUP($H44,Constants!$I:$K, 2, FALSE())</f>
        <v>0.85</v>
      </c>
      <c r="BH44" s="1" t="n">
        <f aca="false">VLOOKUP($H44,Constants!$I:$K, 3, FALSE())*IF(AND(G44="multiple_unit",AB44&lt;110),0.75,1)</f>
        <v>2.3</v>
      </c>
      <c r="BI44" s="1" t="n">
        <v>25</v>
      </c>
      <c r="BJ44" s="1" t="n">
        <f aca="false">INT(POWER((((Constants!$G$1+$BB44+$BC44+$BD44+$BF44)*($BE44))*$BG44),IF($G44="wagon",1,1.2)))+$AZ44</f>
        <v>47</v>
      </c>
      <c r="BK44" s="19" t="n">
        <f aca="false">BI44*IF($G44="wagon",62.5,781.25)</f>
        <v>19531.25</v>
      </c>
      <c r="BL44" s="19" t="n">
        <f aca="false">BJ44*IF($G44="wagon",2.73,81.25)</f>
        <v>3818.75</v>
      </c>
      <c r="BM44" s="1" t="n">
        <v>1</v>
      </c>
      <c r="BN44" s="1" t="n">
        <v>1</v>
      </c>
      <c r="BS44" s="1" t="s">
        <v>273</v>
      </c>
      <c r="BT44" s="1" t="n">
        <v>7</v>
      </c>
      <c r="BV44" s="1" t="s">
        <v>327</v>
      </c>
      <c r="BX44" s="1" t="s">
        <v>148</v>
      </c>
      <c r="BY44" s="1" t="str">
        <f aca="false">VLOOKUP(J44,Eras!$A$2:$C$10, 2, TRUE())</f>
        <v>lbr</v>
      </c>
      <c r="BZ44" s="18" t="s">
        <v>320</v>
      </c>
      <c r="CA44" s="1" t="str">
        <f aca="false">CONCATENATE(BY44,"_",BZ44)</f>
        <v>lbr_Express</v>
      </c>
      <c r="CB44" s="1" t="str">
        <f aca="false">_xlfn.CONCAT(H44, "_",I44)</f>
        <v>none_RAIL</v>
      </c>
      <c r="CC44" s="20" t="str">
        <v>{BLACK}Length: {GOLD}0.8 tiles{}</v>
      </c>
      <c r="CD44" s="1"/>
      <c r="CE44" s="1" t="str">
        <f aca="false">IF(M44&gt;1,_xlfn.CONCAT("{BLACK}Cars: {GOLD}", M44),"")</f>
        <v/>
      </c>
      <c r="CF44" s="1" t="s">
        <v>328</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{GOLD}0.8 tiles{}{SILVER}A depowered Class 43, proposed as a conversion from surplus power cars and now suitable for carrying baggage.</v>
      </c>
      <c r="CI44" s="1"/>
      <c r="CJ44" s="1"/>
    </row>
    <row r="45" customFormat="false" ht="13.8" hidden="false" customHeight="false" outlineLevel="0" collapsed="false">
      <c r="A45" s="1" t="s">
        <v>329</v>
      </c>
      <c r="B45" s="1" t="s">
        <v>330</v>
      </c>
      <c r="C45" s="1" t="n">
        <v>396</v>
      </c>
      <c r="E45" s="1" t="n">
        <v>398</v>
      </c>
      <c r="F45" s="1" t="s">
        <v>89</v>
      </c>
      <c r="G45" s="1" t="s">
        <v>147</v>
      </c>
      <c r="H45" s="1" t="s">
        <v>331</v>
      </c>
      <c r="I45" s="1" t="s">
        <v>92</v>
      </c>
      <c r="J45" s="1" t="n">
        <v>1986</v>
      </c>
      <c r="K45" s="1" t="n">
        <v>2026</v>
      </c>
      <c r="L45" s="1" t="n">
        <v>2031</v>
      </c>
      <c r="N45" s="1" t="n">
        <v>2750</v>
      </c>
      <c r="W45" s="1" t="n">
        <v>74</v>
      </c>
      <c r="Z45" s="1" t="n">
        <v>180</v>
      </c>
      <c r="AA45" s="4" t="n">
        <f aca="false">IF(AND(W45&gt;0,Z45&gt;0),(Z45/((W45+X45)*10)),"")</f>
        <v>0.243243243243243</v>
      </c>
      <c r="AB45" s="1" t="n">
        <v>125</v>
      </c>
      <c r="AC45" s="1" t="n">
        <f aca="false">ROUND(AB45*1.6, 0)</f>
        <v>200</v>
      </c>
      <c r="AF45" s="1" t="n">
        <v>17.79</v>
      </c>
      <c r="AG45" s="1" t="n">
        <v>17.79</v>
      </c>
      <c r="AJ45" s="5" t="n">
        <v>0</v>
      </c>
      <c r="AK45" s="0" t="str">
        <f aca="false">CONCATENATE(VLOOKUP(AL45, 'Voxel Sizes'!$A$2:$B$18,2,FALSE()),"x",INT(AH45*15), "x", INT(AI45*15))</f>
        <v>164x0x0</v>
      </c>
      <c r="AL45" s="1" t="n">
        <f aca="false">ROUND(15*((AG45*10)/256),0)</f>
        <v>10</v>
      </c>
      <c r="AN45" s="1" t="str">
        <f aca="false">CONCATENATE(VLOOKUP(AL45,Constants!$A$2:$C$16,IF(AM45&lt;&gt;"", 3, 2), FALSE()),IF(AM45&lt;&gt;"",CONCATENATE(",",VLOOKUP(AM45,$B:$AN,38,FALSE())),""))</f>
        <v>4,2,4</v>
      </c>
      <c r="AS45" s="1" t="s">
        <v>330</v>
      </c>
      <c r="AX45" s="1" t="n">
        <v>35</v>
      </c>
      <c r="AY45" s="6" t="n">
        <f aca="false">IF(L45&lt;&gt;"",MAX(16,(L45-J45)+8),"")</f>
        <v>53</v>
      </c>
      <c r="BB45" s="1" t="n">
        <f aca="false">MIN(AB45/150, 1)*30</f>
        <v>25</v>
      </c>
      <c r="BC45" s="1" t="n">
        <f aca="false">MIN(N45/4000, 1)*20</f>
        <v>13.75</v>
      </c>
      <c r="BD45" s="1" t="n">
        <f aca="false">MIN(Z45/400,1)*20</f>
        <v>9</v>
      </c>
      <c r="BE45" s="4" t="n">
        <f aca="false">1-(MAX(J45-1900, 0)/750)</f>
        <v>0.885333333333333</v>
      </c>
      <c r="BF45" s="1" t="n">
        <f aca="false">((MAX($M45,1)*MIN($AJ45/300,1)))*IF(G45="Wagon",50,10)</f>
        <v>0</v>
      </c>
      <c r="BG45" s="1" t="n">
        <f aca="false">VLOOKUP($H45,Constants!$I:$K, 2, FALSE())</f>
        <v>0.85</v>
      </c>
      <c r="BH45" s="1" t="n">
        <f aca="false">VLOOKUP($H45,Constants!$I:$K, 3, FALSE())*IF(AND(G45="multiple_unit",AB45&lt;110),0.75,1)</f>
        <v>2.4</v>
      </c>
      <c r="BI45" s="1" t="n">
        <f aca="false">INT(POWER(((Constants!$G$2+$BB45+$BC45+$BD45+$BF45)*$BE45)*$BH45, 1.05))+$BA45</f>
        <v>141</v>
      </c>
      <c r="BJ45" s="1" t="n">
        <f aca="false">INT(POWER((((Constants!$G$1+$BB45+$BC45+$BD45+$BF45)*($BE45))*$BG45),IF($G45="wagon",1,1.2)))+$AZ45</f>
        <v>102</v>
      </c>
      <c r="BK45" s="19" t="n">
        <f aca="false">BI45*IF($G45="wagon",62.5,781.25)</f>
        <v>110156.25</v>
      </c>
      <c r="BL45" s="19" t="n">
        <f aca="false">BJ45*IF($G45="wagon",2.73,81.25)</f>
        <v>8287.5</v>
      </c>
      <c r="BM45" s="1" t="n">
        <v>1</v>
      </c>
      <c r="BN45" s="1" t="n">
        <v>1</v>
      </c>
      <c r="BS45" s="1" t="s">
        <v>273</v>
      </c>
      <c r="BT45" s="1" t="n">
        <v>2</v>
      </c>
      <c r="BY45" s="1" t="str">
        <f aca="false">VLOOKUP(J45,Eras!$A$2:$C$10, 2, TRUE())</f>
        <v>lbr</v>
      </c>
      <c r="BZ45" s="18" t="s">
        <v>302</v>
      </c>
      <c r="CA45" s="1" t="str">
        <f aca="false">CONCATENATE(BY45,"_",BZ45)</f>
        <v>lbr_Express (Electric)</v>
      </c>
      <c r="CB45" s="1" t="str">
        <f aca="false">_xlfn.CONCAT(H45, "_",I45)</f>
        <v>dual_electric_ELRL</v>
      </c>
      <c r="CC45" s="20" t="str">
        <v>{BLACK}Length: {GOLD}0.8 tiles{}</v>
      </c>
      <c r="CD45" s="1" t="str">
        <f aca="false">VLOOKUP($CB45, Constants!$M:$N, 2, FALSE())</f>
        <v>{BLACK}Powered by: {GOLD}25kV AC</v>
      </c>
      <c r="CE45" s="1" t="str">
        <f aca="false">IF(M45&gt;1,_xlfn.CONCAT("{BLACK}Cars: {GOLD}", M45),"")</f>
        <v/>
      </c>
      <c r="CF45" s="1" t="s">
        <v>332</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{BLACK}Powered by: {GOLD}25kV AC {}{BLACK}Length: {GOLD}0.8 tiles{}{SILVER}A proposed electric version of the Class 43 ‘HST’ Power Car was oft-discussed after the failure of the APT program.</v>
      </c>
      <c r="CI45" s="1"/>
      <c r="CJ45" s="1"/>
    </row>
    <row r="46" customFormat="false" ht="13.8" hidden="false" customHeight="false" outlineLevel="0" collapsed="false">
      <c r="A46" s="18" t="s">
        <v>333</v>
      </c>
      <c r="B46" s="18" t="s">
        <v>334</v>
      </c>
      <c r="C46" s="1" t="n">
        <v>388</v>
      </c>
      <c r="D46" s="18"/>
      <c r="E46" s="18" t="n">
        <v>390</v>
      </c>
      <c r="F46" s="18" t="s">
        <v>89</v>
      </c>
      <c r="G46" s="18" t="s">
        <v>147</v>
      </c>
      <c r="H46" s="18" t="s">
        <v>91</v>
      </c>
      <c r="I46" s="18" t="s">
        <v>92</v>
      </c>
      <c r="J46" s="18" t="n">
        <v>1985</v>
      </c>
      <c r="K46" s="18" t="n">
        <v>1999</v>
      </c>
      <c r="L46" s="18"/>
      <c r="M46" s="18"/>
      <c r="N46" s="18" t="n">
        <v>5400</v>
      </c>
      <c r="W46" s="18" t="n">
        <v>109</v>
      </c>
      <c r="Y46" s="18"/>
      <c r="Z46" s="18" t="n">
        <v>267</v>
      </c>
      <c r="AA46" s="4" t="n">
        <v>0.205384615384615</v>
      </c>
      <c r="AB46" s="18" t="n">
        <v>75</v>
      </c>
      <c r="AC46" s="18" t="n">
        <v>128</v>
      </c>
      <c r="AD46" s="18"/>
      <c r="AE46" s="18"/>
      <c r="AF46" s="18" t="n">
        <v>19.13</v>
      </c>
      <c r="AG46" s="18" t="n">
        <v>19.13</v>
      </c>
      <c r="AH46" s="18"/>
      <c r="AI46" s="18" t="n">
        <v>3.91</v>
      </c>
      <c r="AJ46" s="5" t="n">
        <v>0</v>
      </c>
      <c r="AK46" s="0" t="str">
        <f aca="false">CONCATENATE(VLOOKUP(AL46, 'Voxel Sizes'!$A$2:$B$18,2,FALSE()),"x",INT(AH46*15), "x", INT(AI46*15))</f>
        <v>186x0x58</v>
      </c>
      <c r="AL46" s="18" t="n">
        <v>11</v>
      </c>
      <c r="AM46" s="18"/>
      <c r="AN46" s="1" t="str">
        <f aca="false">CONCATENATE(VLOOKUP(AL46,Constants!$A$2:$C$16,IF(AM46&lt;&gt;"", 3, 2), FALSE()),IF(AM46&lt;&gt;"",CONCATENATE(",",VLOOKUP(AM46,$B:$AN,38,FALSE())),""))</f>
        <v>4,3,4</v>
      </c>
      <c r="AO46" s="18"/>
      <c r="AR46" s="18"/>
      <c r="AS46" s="18"/>
      <c r="AT46" s="18"/>
      <c r="AU46" s="18"/>
      <c r="AV46" s="18"/>
      <c r="AW46" s="18"/>
      <c r="AX46" s="18" t="n">
        <v>30</v>
      </c>
      <c r="AZ46" s="18" t="n">
        <v>15</v>
      </c>
      <c r="BA46" s="18" t="n">
        <v>-10</v>
      </c>
      <c r="BB46" s="18" t="n">
        <v>16</v>
      </c>
      <c r="BC46" s="18" t="n">
        <v>16.5</v>
      </c>
      <c r="BD46" s="18" t="n">
        <v>13.35</v>
      </c>
      <c r="BE46" s="4" t="n">
        <v>0.889333333333333</v>
      </c>
      <c r="BF46" s="18" t="n">
        <v>0</v>
      </c>
      <c r="BG46" s="1" t="n">
        <f aca="false">VLOOKUP($H46,Constants!$I:$K, 2, FALSE())</f>
        <v>0.85</v>
      </c>
      <c r="BH46" s="1" t="n">
        <f aca="false">VLOOKUP($H46,Constants!$I:$K, 3, FALSE())*IF(AND(G46="multiple_unit",AB46&lt;110),0.75,1)</f>
        <v>2.3</v>
      </c>
      <c r="BI46" s="1" t="n">
        <f aca="false">INT(POWER(((Constants!$G$2+$BB46+$BC46+$BD46+$BF46)*$BE46)*$BH46, 1.05))+$BA46</f>
        <v>121</v>
      </c>
      <c r="BJ46" s="1" t="n">
        <f aca="false">INT(POWER((((Constants!$G$1+$BB46+$BC46+$BD46+$BF46)*($BE46))*$BG46),IF($G46="wagon",1,1.2)))+$AZ46</f>
        <v>113</v>
      </c>
      <c r="BK46" s="19" t="n">
        <f aca="false">BI46*IF($G46="wagon",62.5,781.25)</f>
        <v>94531.25</v>
      </c>
      <c r="BL46" s="19" t="n">
        <f aca="false">BJ46*IF($G46="wagon",2.73,81.25)</f>
        <v>9181.25</v>
      </c>
      <c r="BM46" s="18"/>
      <c r="BN46" s="18"/>
      <c r="BO46" s="18"/>
      <c r="BP46" s="18"/>
      <c r="BQ46" s="18"/>
      <c r="BR46" s="18"/>
      <c r="BS46" s="1" t="s">
        <v>273</v>
      </c>
      <c r="BT46" s="1" t="n">
        <v>4</v>
      </c>
      <c r="BY46" s="1" t="str">
        <f aca="false">VLOOKUP(J46,Eras!$A$2:$C$10, 2, TRUE())</f>
        <v>lbr</v>
      </c>
      <c r="BZ46" s="18" t="s">
        <v>335</v>
      </c>
      <c r="CA46" s="1" t="s">
        <v>336</v>
      </c>
      <c r="CB46" s="1" t="str">
        <f aca="false">_xlfn.CONCAT(H46, "_",I46)</f>
        <v>electric_ELRL</v>
      </c>
      <c r="CC46" s="24" t="str">
        <v>{BLACK}Length: {GOLD}0.8 tiles{}</v>
      </c>
      <c r="CD46" s="1" t="str">
        <f aca="false">VLOOKUP($CB46, Constants!$M:$N, 2, FALSE())</f>
        <v>{BLACK}Powered by: {GOLD}25kV AC</v>
      </c>
      <c r="CE46" s="1" t="str">
        <f aca="false">IF(M46&gt;1,_xlfn.CONCAT("{BLACK}Cars: {GOLD}", M46),"")</f>
        <v/>
      </c>
      <c r="CF46" s="1" t="s">
        <v>337</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{BLACK}Powered by: {GOLD}25kV AC {}{BLACK}Length: {GOLD}0.8 tiles{}{SILVER}The Class 88 was a proposed re-use of the Class 58 design, dropping the diesel engine for a 25kv Overhead power supply.</v>
      </c>
      <c r="CI46" s="1"/>
      <c r="CJ46" s="1"/>
    </row>
    <row r="47" customFormat="false" ht="13.8" hidden="false" customHeight="false" outlineLevel="0" collapsed="false">
      <c r="A47" s="18" t="s">
        <v>338</v>
      </c>
      <c r="B47" s="18" t="s">
        <v>339</v>
      </c>
      <c r="C47" s="1" t="n">
        <v>390</v>
      </c>
      <c r="D47" s="18"/>
      <c r="E47" s="18" t="n">
        <v>400</v>
      </c>
      <c r="F47" s="18" t="s">
        <v>89</v>
      </c>
      <c r="G47" s="18" t="s">
        <v>147</v>
      </c>
      <c r="H47" s="18" t="s">
        <v>152</v>
      </c>
      <c r="I47" s="18" t="s">
        <v>153</v>
      </c>
      <c r="J47" s="18" t="n">
        <v>1985</v>
      </c>
      <c r="K47" s="18" t="n">
        <v>1994</v>
      </c>
      <c r="L47" s="18"/>
      <c r="M47" s="18"/>
      <c r="N47" s="18" t="n">
        <v>2100</v>
      </c>
      <c r="W47" s="18" t="n">
        <v>120</v>
      </c>
      <c r="Y47" s="18"/>
      <c r="Z47" s="18" t="n">
        <v>192</v>
      </c>
      <c r="AA47" s="4" t="n">
        <f aca="false">IF(AND(W47&gt;0,Z47&gt;0),(Z47/((W47+X47)*10)),"")</f>
        <v>0.16</v>
      </c>
      <c r="AB47" s="18" t="n">
        <v>75</v>
      </c>
      <c r="AC47" s="18" t="n">
        <f aca="false">ROUND(AB47*1.6, 0)</f>
        <v>120</v>
      </c>
      <c r="AD47" s="18"/>
      <c r="AE47" s="18"/>
      <c r="AF47" s="18" t="n">
        <v>18</v>
      </c>
      <c r="AG47" s="18" t="n">
        <v>17</v>
      </c>
      <c r="AH47" s="18"/>
      <c r="AI47" s="18" t="n">
        <v>3.91</v>
      </c>
      <c r="AJ47" s="5" t="n">
        <v>0</v>
      </c>
      <c r="AK47" s="0" t="str">
        <f aca="false">CONCATENATE(VLOOKUP(AL47, 'Voxel Sizes'!$A$2:$B$18,2,FALSE()),"x",INT(AH47*15), "x", INT(AI47*15))</f>
        <v>164x0x58</v>
      </c>
      <c r="AL47" s="18" t="n">
        <f aca="false">ROUND(15*((AG47*10)/256),0)</f>
        <v>10</v>
      </c>
      <c r="AM47" s="18"/>
      <c r="AN47" s="1" t="str">
        <f aca="false">CONCATENATE(VLOOKUP(AL47,Constants!$A$2:$C$16,IF(AM47&lt;&gt;"", 3, 2), FALSE()),IF(AM47&lt;&gt;"",CONCATENATE(",",VLOOKUP(AM47,$B:$AN,38,FALSE())),""))</f>
        <v>4,2,4</v>
      </c>
      <c r="AO47" s="18"/>
      <c r="AR47" s="18"/>
      <c r="AS47" s="18"/>
      <c r="AT47" s="18"/>
      <c r="AU47" s="18"/>
      <c r="AV47" s="18"/>
      <c r="AW47" s="18"/>
      <c r="AX47" s="18" t="n">
        <v>30</v>
      </c>
      <c r="AY47" s="6" t="str">
        <f aca="false">IF(L47&lt;&gt;"",MAX(16,(L47-J47)+8),"")</f>
        <v/>
      </c>
      <c r="AZ47" s="18" t="n">
        <v>15</v>
      </c>
      <c r="BA47" s="18" t="n">
        <v>-10</v>
      </c>
      <c r="BB47" s="18" t="n">
        <f aca="false">MIN(AB47/150, 1)*30</f>
        <v>15</v>
      </c>
      <c r="BC47" s="18" t="n">
        <f aca="false">MIN(N47/4000, 1)*20</f>
        <v>10.5</v>
      </c>
      <c r="BD47" s="18" t="n">
        <f aca="false">MIN(Z47/400,1)*20</f>
        <v>9.6</v>
      </c>
      <c r="BE47" s="4" t="n">
        <f aca="false">1-(MAX(J47-1900, 0)/750)</f>
        <v>0.886666666666667</v>
      </c>
      <c r="BF47" s="18" t="n">
        <f aca="false">((MAX($M47,1)*MIN($AJ47/300,1)))*IF(G47="Wagon",50,10)</f>
        <v>0</v>
      </c>
      <c r="BG47" s="1" t="n">
        <f aca="false">VLOOKUP($H47,Constants!$I:$K, 2, FALSE())</f>
        <v>1</v>
      </c>
      <c r="BH47" s="1" t="n">
        <f aca="false">VLOOKUP($H47,Constants!$I:$K, 3, FALSE())*IF(AND(G47="multiple_unit",AB47&lt;110),0.75,1)</f>
        <v>2</v>
      </c>
      <c r="BI47" s="1" t="n">
        <f aca="false">INT(POWER(((Constants!$G$2+$BB47+$BC47+$BD47+$BF47)*$BE47)*$BH47, 1.05))+$BA47</f>
        <v>78</v>
      </c>
      <c r="BJ47" s="1" t="n">
        <f aca="false">INT(POWER((((Constants!$G$1+$BB47+$BC47+$BD47+$BF47)*($BE47))*$BG47),IF($G47="wagon",1,1.2)))+$AZ47</f>
        <v>109</v>
      </c>
      <c r="BK47" s="19" t="n">
        <f aca="false">BI47*IF($G47="wagon",62.5,781.25)</f>
        <v>60937.5</v>
      </c>
      <c r="BL47" s="19" t="n">
        <f aca="false">BJ47*IF($G47="wagon",2.73,81.25)</f>
        <v>8856.25</v>
      </c>
      <c r="BM47" s="18"/>
      <c r="BN47" s="18"/>
      <c r="BO47" s="18"/>
      <c r="BP47" s="18"/>
      <c r="BQ47" s="18"/>
      <c r="BR47" s="18"/>
      <c r="BS47" s="1" t="s">
        <v>273</v>
      </c>
      <c r="BT47" s="1" t="n">
        <v>6</v>
      </c>
      <c r="BY47" s="1" t="s">
        <v>164</v>
      </c>
      <c r="BZ47" s="18" t="s">
        <v>335</v>
      </c>
      <c r="CA47" s="1" t="str">
        <f aca="false">CONCATENATE(BY47,"_",BZ47)</f>
        <v>lbr_Freight</v>
      </c>
      <c r="CB47" s="1" t="str">
        <f aca="false">_xlfn.CONCAT(H47, "_",I47)</f>
        <v>diesel_RAIL</v>
      </c>
      <c r="CC47" s="24" t="str">
        <v>{BLACK}Length: {GOLD}0.8 tiles{}</v>
      </c>
      <c r="CD47" s="1" t="str">
        <f aca="false">VLOOKUP($CB47, Constants!$M:$N, 2, FALSE())</f>
        <v>{BLACK}Powered by: {GOLD}Diesel</v>
      </c>
      <c r="CE47" s="1" t="str">
        <f aca="false">IF(M47&gt;1,_xlfn.CONCAT("{BLACK}Cars: {GOLD}", M47),"")</f>
        <v/>
      </c>
      <c r="CF47" s="1" t="s">
        <v>340</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7" s="1"/>
      <c r="CJ47" s="1"/>
    </row>
    <row r="48" s="18" customFormat="true" ht="13.8" hidden="false" customHeight="false" outlineLevel="0" collapsed="false">
      <c r="A48" s="18" t="s">
        <v>341</v>
      </c>
      <c r="B48" s="18" t="s">
        <v>342</v>
      </c>
      <c r="C48" s="1" t="n">
        <v>400</v>
      </c>
      <c r="E48" s="18" t="n">
        <v>410</v>
      </c>
      <c r="F48" s="18" t="s">
        <v>89</v>
      </c>
      <c r="G48" s="18" t="s">
        <v>90</v>
      </c>
      <c r="H48" s="18" t="s">
        <v>331</v>
      </c>
      <c r="I48" s="18" t="s">
        <v>343</v>
      </c>
      <c r="J48" s="18" t="n">
        <v>1992</v>
      </c>
      <c r="M48" s="18" t="n">
        <v>20</v>
      </c>
      <c r="N48" s="18" t="n">
        <v>16400</v>
      </c>
      <c r="O48" s="2" t="n">
        <v>4600</v>
      </c>
      <c r="P48" s="3"/>
      <c r="Q48" s="3"/>
      <c r="R48" s="3"/>
      <c r="S48" s="3"/>
      <c r="T48" s="3"/>
      <c r="U48" s="3"/>
      <c r="V48" s="3"/>
      <c r="W48" s="18" t="n">
        <v>752</v>
      </c>
      <c r="X48" s="2"/>
      <c r="Y48" s="18" t="n">
        <v>4</v>
      </c>
      <c r="Z48" s="18" t="n">
        <v>220</v>
      </c>
      <c r="AA48" s="4" t="n">
        <f aca="false">IF(AND(W48&gt;0,Z48&gt;0),(Z48/((W48+X48)*10)),"")</f>
        <v>0.0292553191489362</v>
      </c>
      <c r="AB48" s="18" t="n">
        <v>186</v>
      </c>
      <c r="AC48" s="18" t="n">
        <f aca="false">ROUND(AB48*1.6, 0)</f>
        <v>298</v>
      </c>
      <c r="AF48" s="18" t="n">
        <v>22.15</v>
      </c>
      <c r="AG48" s="18" t="n">
        <v>22.15</v>
      </c>
      <c r="AH48" s="18" t="n">
        <v>2.81</v>
      </c>
      <c r="AJ48" s="5" t="n">
        <v>35</v>
      </c>
      <c r="AK48" s="0" t="str">
        <f aca="false">CONCATENATE(VLOOKUP(AL48, 'Voxel Sizes'!$A$2:$B$18,2,FALSE()),"x",INT(AH48*15), "x", INT(AI48*15))</f>
        <v>214x42x0</v>
      </c>
      <c r="AL48" s="18" t="n">
        <f aca="false">ROUND(15*((AG48*10)/256),0)</f>
        <v>13</v>
      </c>
      <c r="AN48" s="1" t="str">
        <f aca="false">CONCATENATE(VLOOKUP(AL48,Constants!$A$2:$C$16,IF(AM48&lt;&gt;"", 3, 2), FALSE()),IF(AM48&lt;&gt;"",CONCATENATE(",",VLOOKUP(AM48,$B:$AN,38,FALSE())),""))</f>
        <v>4,5,4</v>
      </c>
      <c r="AP48" s="25" t="s">
        <v>344</v>
      </c>
      <c r="AQ48" s="25" t="s">
        <v>345</v>
      </c>
      <c r="AR48" s="18" t="s">
        <v>346</v>
      </c>
      <c r="AS48" s="18" t="s">
        <v>347</v>
      </c>
      <c r="AT48" s="18" t="s">
        <v>348</v>
      </c>
      <c r="AX48" s="18" t="n">
        <v>25</v>
      </c>
      <c r="AY48" s="6" t="str">
        <f aca="false">IF(L48&lt;&gt;"",MAX(16,(L48-J48)+8),"")</f>
        <v/>
      </c>
      <c r="BB48" s="18" t="n">
        <f aca="false">MIN(AB48/150, 1)*30</f>
        <v>30</v>
      </c>
      <c r="BC48" s="18" t="n">
        <f aca="false">MIN(N48/4000, 1)*20</f>
        <v>20</v>
      </c>
      <c r="BD48" s="18" t="n">
        <f aca="false">MIN(Z48/400,1)*20</f>
        <v>11</v>
      </c>
      <c r="BE48" s="4" t="n">
        <f aca="false">1-(MAX(J48-1900, 0)/750)</f>
        <v>0.877333333333333</v>
      </c>
      <c r="BF48" s="18" t="n">
        <f aca="false">((MAX($M48,1)*MIN($AJ48/300,1)))*IF(G48="Wagon",50,10)</f>
        <v>23.3333333333333</v>
      </c>
      <c r="BG48" s="1" t="n">
        <f aca="false">VLOOKUP($H48,Constants!$I:$K, 2, FALSE())</f>
        <v>0.85</v>
      </c>
      <c r="BH48" s="1" t="n">
        <f aca="false">VLOOKUP($H48,Constants!$I:$K, 3, FALSE())*IF(AND(G48="multiple_unit",AB48&lt;110),0.75,1)</f>
        <v>2.4</v>
      </c>
      <c r="BI48" s="1" t="n">
        <f aca="false">INT(POWER(((Constants!$G$2+$BB48+$BC48+$BD48+$BF48)*$BE48)*$BH48, 1.05))+$BA48</f>
        <v>244</v>
      </c>
      <c r="BJ48" s="1" t="n">
        <f aca="false">INT(POWER((((Constants!$G$1+$BB48+$BC48+$BD48+$BF48)*($BE48))*$BG48),IF($G48="wagon",1,1.2)))+$AZ48</f>
        <v>175</v>
      </c>
      <c r="BK48" s="19" t="n">
        <f aca="false">BI48*IF($G48="wagon",62.5,781.25)</f>
        <v>190625</v>
      </c>
      <c r="BL48" s="19" t="n">
        <f aca="false">BJ48*IF($G48="wagon",2.73,81.25)</f>
        <v>14218.75</v>
      </c>
      <c r="BS48" s="18" t="s">
        <v>209</v>
      </c>
      <c r="BT48" s="18" t="n">
        <v>11</v>
      </c>
      <c r="BU48" s="18" t="n">
        <v>232</v>
      </c>
      <c r="BX48" s="18" t="s">
        <v>95</v>
      </c>
      <c r="BY48" s="18" t="s">
        <v>164</v>
      </c>
      <c r="BZ48" s="18" t="s">
        <v>228</v>
      </c>
      <c r="CA48" s="18" t="str">
        <f aca="false">CONCATENATE(BY48,"_",BZ48)</f>
        <v>lbr_EMU (Express)</v>
      </c>
      <c r="CB48" s="18" t="str">
        <f aca="false">_xlfn.CONCAT(H48, "_",I48)</f>
        <v>dual_electric_DUAL_POWER</v>
      </c>
      <c r="CC48" s="20" t="str">
        <f aca="false">_xlfn.CONCAT("{BLACK}Length: {GOLD}", TEXT(ROUNDUP(IF(AQ48&lt;&gt;"",SUM(VALUE(_xlfn.TEXTSPLIT(AQ48, ","))), SUM(VALUE(_xlfn.TEXTSPLIT(AN48, ",")))*IF(M48, M48, 1))/16, 1), "#,##0.0"), " tiles{}")</f>
        <v>{BLACK}Length: {GOLD}14.5 tiles{}</v>
      </c>
      <c r="CE48" s="1" t="str">
        <f aca="false">IF(M48&gt;1,_xlfn.CONCAT("{BLACK}Cars: {GOLD}", M48),"")</f>
        <v>{BLACK}Cars: {GOLD}20</v>
      </c>
      <c r="CF48" s="18" t="s">
        <v>349</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{YELLOW}25% bonus for long distance travel{}</v>
      </c>
      <c r="CH48" s="1" t="str">
        <f aca="false">_xlfn.CONCAT(CD48,IF(CD48 &lt;&gt; "", " ", ""),CE48,IF(OR(CE48&lt;&gt;"", CD48&lt;&gt;""), "{}",""), CC48, CG48,"{SILVER}", CF48)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9" s="18" customFormat="true" ht="13.8" hidden="false" customHeight="false" outlineLevel="0" collapsed="false">
      <c r="A49" s="18" t="s">
        <v>350</v>
      </c>
      <c r="B49" s="18" t="s">
        <v>351</v>
      </c>
      <c r="C49" s="1" t="n">
        <v>401</v>
      </c>
      <c r="D49" s="18" t="n">
        <v>400</v>
      </c>
      <c r="E49" s="18" t="n">
        <v>411</v>
      </c>
      <c r="F49" s="18" t="s">
        <v>89</v>
      </c>
      <c r="G49" s="18" t="s">
        <v>90</v>
      </c>
      <c r="H49" s="18" t="s">
        <v>331</v>
      </c>
      <c r="I49" s="18" t="s">
        <v>343</v>
      </c>
      <c r="J49" s="18" t="n">
        <v>1992</v>
      </c>
      <c r="M49" s="18" t="n">
        <v>16</v>
      </c>
      <c r="N49" s="18" t="n">
        <v>16400</v>
      </c>
      <c r="O49" s="2" t="n">
        <v>4600</v>
      </c>
      <c r="P49" s="3"/>
      <c r="Q49" s="3"/>
      <c r="R49" s="3"/>
      <c r="S49" s="3"/>
      <c r="T49" s="3"/>
      <c r="U49" s="3"/>
      <c r="V49" s="3"/>
      <c r="W49" s="18" t="n">
        <v>665</v>
      </c>
      <c r="X49" s="2"/>
      <c r="Y49" s="18" t="n">
        <v>4</v>
      </c>
      <c r="Z49" s="18" t="n">
        <v>220</v>
      </c>
      <c r="AA49" s="4" t="n">
        <f aca="false">IF(AND(W49&gt;0,Z49&gt;0),(Z49/((W49+X49)*10)),"")</f>
        <v>0.0330827067669173</v>
      </c>
      <c r="AB49" s="18" t="n">
        <v>186</v>
      </c>
      <c r="AC49" s="18" t="n">
        <f aca="false">ROUND(AB49*1.6, 0)</f>
        <v>298</v>
      </c>
      <c r="AF49" s="18" t="n">
        <v>22.15</v>
      </c>
      <c r="AG49" s="18" t="n">
        <v>22.15</v>
      </c>
      <c r="AH49" s="18" t="n">
        <v>2.81</v>
      </c>
      <c r="AJ49" s="5" t="n">
        <v>35</v>
      </c>
      <c r="AK49" s="0" t="str">
        <f aca="false">CONCATENATE(VLOOKUP(AL49, 'Voxel Sizes'!$A$2:$B$18,2,FALSE()),"x",INT(AH49*15), "x", INT(AI49*15))</f>
        <v>214x42x0</v>
      </c>
      <c r="AL49" s="18" t="n">
        <f aca="false">ROUND(15*((AG49*10)/256),0)</f>
        <v>13</v>
      </c>
      <c r="AN49" s="1" t="str">
        <f aca="false">CONCATENATE(VLOOKUP(AL49,Constants!$A$2:$C$16,IF(AM49&lt;&gt;"", 3, 2), FALSE()),IF(AM49&lt;&gt;"",CONCATENATE(",",VLOOKUP(AM49,$B:$AN,38,FALSE())),""))</f>
        <v>4,5,4</v>
      </c>
      <c r="AP49" s="25" t="s">
        <v>352</v>
      </c>
      <c r="AQ49" s="25" t="s">
        <v>353</v>
      </c>
      <c r="AR49" s="18" t="s">
        <v>354</v>
      </c>
      <c r="AS49" s="18" t="s">
        <v>355</v>
      </c>
      <c r="AT49" s="18" t="s">
        <v>356</v>
      </c>
      <c r="AX49" s="18" t="n">
        <v>25</v>
      </c>
      <c r="AY49" s="6" t="str">
        <f aca="false">IF(L49&lt;&gt;"",MAX(16,(L49-J49)+8),"")</f>
        <v/>
      </c>
      <c r="BB49" s="18" t="n">
        <f aca="false">MIN(AB49/150, 1)*30</f>
        <v>30</v>
      </c>
      <c r="BC49" s="18" t="n">
        <f aca="false">MIN(N49/4000, 1)*20</f>
        <v>20</v>
      </c>
      <c r="BD49" s="18" t="n">
        <f aca="false">MIN(Z49/400,1)*20</f>
        <v>11</v>
      </c>
      <c r="BE49" s="4" t="n">
        <f aca="false">1-(MAX(J49-1900, 0)/750)</f>
        <v>0.877333333333333</v>
      </c>
      <c r="BF49" s="18" t="n">
        <f aca="false">((MAX($M49,1)*MIN($AJ49/300,1)))*IF(G49="Wagon",50,10)</f>
        <v>18.6666666666667</v>
      </c>
      <c r="BG49" s="1" t="n">
        <f aca="false">VLOOKUP($H49,Constants!$I:$K, 2, FALSE())</f>
        <v>0.85</v>
      </c>
      <c r="BH49" s="1" t="n">
        <f aca="false">VLOOKUP($H49,Constants!$I:$K, 3, FALSE())*IF(AND(G49="multiple_unit",AB49&lt;110),0.75,1)</f>
        <v>2.4</v>
      </c>
      <c r="BI49" s="1" t="n">
        <f aca="false">INT(POWER(((Constants!$G$2+$BB49+$BC49+$BD49+$BF49)*$BE49)*$BH49, 1.05))+$BA49</f>
        <v>231</v>
      </c>
      <c r="BJ49" s="1" t="n">
        <f aca="false">INT(POWER((((Constants!$G$1+$BB49+$BC49+$BD49+$BF49)*($BE49))*$BG49),IF($G49="wagon",1,1.2)))+$AZ49</f>
        <v>165</v>
      </c>
      <c r="BK49" s="19" t="n">
        <f aca="false">BI49*IF($G49="wagon",62.5,781.25)</f>
        <v>180468.75</v>
      </c>
      <c r="BL49" s="19" t="n">
        <f aca="false">BJ49*IF($G49="wagon",2.73,81.25)</f>
        <v>13406.25</v>
      </c>
      <c r="BS49" s="18" t="s">
        <v>209</v>
      </c>
      <c r="BT49" s="18" t="n">
        <v>11</v>
      </c>
      <c r="BU49" s="18" t="n">
        <v>232</v>
      </c>
      <c r="BX49" s="18" t="s">
        <v>95</v>
      </c>
      <c r="BY49" s="18" t="s">
        <v>164</v>
      </c>
      <c r="BZ49" s="18" t="s">
        <v>228</v>
      </c>
      <c r="CA49" s="18" t="str">
        <f aca="false">CONCATENATE(BY49,"_",BZ49)</f>
        <v>lbr_EMU (Express)</v>
      </c>
      <c r="CB49" s="18" t="str">
        <f aca="false">_xlfn.CONCAT(H49, "_",I49)</f>
        <v>dual_electric_DUAL_POWER</v>
      </c>
      <c r="CC49" s="20" t="str">
        <f aca="false">_xlfn.CONCAT("{BLACK}Length: {GOLD}", TEXT(ROUNDUP(IF(AQ49&lt;&gt;"",SUM(VALUE(_xlfn.TEXTSPLIT(AQ49, ","))), SUM(VALUE(_xlfn.TEXTSPLIT(AN49, ",")))*IF(M49, M49, 1))/16, 1), "#,##0.0"), " tiles{}")</f>
        <v>{BLACK}Length: {GOLD}11.8 tiles{}</v>
      </c>
      <c r="CE49" s="1" t="str">
        <f aca="false">IF(M49&gt;1,_xlfn.CONCAT("{BLACK}Cars: {GOLD}", M49),"")</f>
        <v>{BLACK}Cars: {GOLD}16</v>
      </c>
      <c r="CF49" s="18" t="s">
        <v>357</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{YELLOW}25% bonus for long distance travel{}</v>
      </c>
      <c r="CH49" s="1" t="str">
        <f aca="false">_xlfn.CONCAT(CD49,IF(CD49 &lt;&gt; "", " ", ""),CE49,IF(OR(CE49&lt;&gt;"", CD49&lt;&gt;""), "{}",""), CC49, CG49,"{SILVER}", CF49)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0" s="26" customFormat="true" ht="13.8" hidden="false" customHeight="false" outlineLevel="0" collapsed="false">
      <c r="A50" s="18" t="s">
        <v>358</v>
      </c>
      <c r="B50" s="18" t="s">
        <v>359</v>
      </c>
      <c r="C50" s="1" t="n">
        <v>410</v>
      </c>
      <c r="D50" s="1"/>
      <c r="E50" s="1" t="n">
        <v>410</v>
      </c>
      <c r="F50" s="1" t="s">
        <v>89</v>
      </c>
      <c r="G50" s="1" t="s">
        <v>90</v>
      </c>
      <c r="H50" s="1" t="s">
        <v>91</v>
      </c>
      <c r="I50" s="1" t="s">
        <v>249</v>
      </c>
      <c r="J50" s="1" t="n">
        <v>1993</v>
      </c>
      <c r="K50" s="1" t="n">
        <v>2025</v>
      </c>
      <c r="L50" s="1" t="n">
        <v>2028</v>
      </c>
      <c r="M50" s="1" t="n">
        <v>2</v>
      </c>
      <c r="N50" s="1" t="n">
        <v>1500</v>
      </c>
      <c r="O50" s="2"/>
      <c r="P50" s="3"/>
      <c r="Q50" s="3"/>
      <c r="R50" s="3"/>
      <c r="S50" s="3"/>
      <c r="T50" s="3"/>
      <c r="U50" s="3"/>
      <c r="V50" s="3"/>
      <c r="W50" s="1" t="n">
        <v>72</v>
      </c>
      <c r="X50" s="2"/>
      <c r="Y50" s="1" t="n">
        <v>5</v>
      </c>
      <c r="Z50" s="26" t="n">
        <v>83</v>
      </c>
      <c r="AA50" s="4" t="n">
        <f aca="false">IF(AND(W50&gt;0,Z50&gt;0),(Z50/((W50+X50)*10)),"")</f>
        <v>0.115277777777778</v>
      </c>
      <c r="AB50" s="1" t="n">
        <v>75</v>
      </c>
      <c r="AC50" s="1" t="n">
        <f aca="false">ROUND(AB50*1.6, 0)</f>
        <v>120</v>
      </c>
      <c r="AD50" s="1"/>
      <c r="AE50" s="1"/>
      <c r="AF50" s="26" t="n">
        <v>20.89</v>
      </c>
      <c r="AG50" s="26" t="n">
        <v>20.89</v>
      </c>
      <c r="AI50" s="26" t="n">
        <v>3.77</v>
      </c>
      <c r="AJ50" s="5" t="n">
        <v>84</v>
      </c>
      <c r="AK50" s="0" t="str">
        <f aca="false">CONCATENATE(VLOOKUP(AL50, 'Voxel Sizes'!$A$2:$B$18,2,FALSE()),"x",INT(AH50*15), "x", INT(AI50*15))</f>
        <v>198x0x56</v>
      </c>
      <c r="AL50" s="1" t="n">
        <f aca="false">ROUND(15*((AG50*10)/256),0)</f>
        <v>12</v>
      </c>
      <c r="AM50" s="1"/>
      <c r="AN50" s="1" t="str">
        <f aca="false">CONCATENATE(VLOOKUP(AL50,Constants!$A$2:$C$16,IF(AM50&lt;&gt;"", 3, 2), FALSE()),IF(AM50&lt;&gt;"",CONCATENATE(",",VLOOKUP(AM50,$B:$AN,38,FALSE())),""))</f>
        <v>4,4,4</v>
      </c>
      <c r="AO50" s="1" t="n">
        <v>1</v>
      </c>
      <c r="AP50" s="7"/>
      <c r="AQ50" s="7"/>
      <c r="AR50" s="1" t="s">
        <v>360</v>
      </c>
      <c r="AS50" s="1"/>
      <c r="AT50" s="1" t="s">
        <v>113</v>
      </c>
      <c r="AU50" s="1" t="s">
        <v>361</v>
      </c>
      <c r="AV50" s="1"/>
      <c r="AW50" s="1"/>
      <c r="AX50" s="1" t="n">
        <v>32</v>
      </c>
      <c r="AY50" s="6" t="n">
        <f aca="false">IF(L50&lt;&gt;"",MAX(16,(L50-J50)+8),"")</f>
        <v>43</v>
      </c>
      <c r="AZ50" s="1" t="n">
        <v>-10</v>
      </c>
      <c r="BA50" s="1" t="n">
        <v>-20</v>
      </c>
      <c r="BB50" s="1" t="n">
        <f aca="false">MIN(AB50/150, 1)*30</f>
        <v>15</v>
      </c>
      <c r="BC50" s="1" t="n">
        <f aca="false">MIN(N50/4000, 1)*20</f>
        <v>7.5</v>
      </c>
      <c r="BD50" s="1" t="n">
        <f aca="false">MIN(Z50/400,1)*20</f>
        <v>4.15</v>
      </c>
      <c r="BE50" s="4" t="n">
        <f aca="false">1-(MAX(J50-1900, 0)/750)</f>
        <v>0.876</v>
      </c>
      <c r="BF50" s="1" t="n">
        <f aca="false">((MAX($M50,1)*MIN($AJ50/300,1)))*IF(G50="Wagon",50,10)</f>
        <v>5.6</v>
      </c>
      <c r="BG50" s="1" t="n">
        <f aca="false">VLOOKUP($H50,Constants!$I:$K, 2, FALSE())</f>
        <v>0.85</v>
      </c>
      <c r="BH50" s="1" t="n">
        <f aca="false">VLOOKUP($H50,Constants!$I:$K, 3, FALSE())*IF(AND(G50="multiple_unit",AB50&lt;110),0.75,1)</f>
        <v>1.725</v>
      </c>
      <c r="BI50" s="1" t="n">
        <f aca="false">INT(POWER(((Constants!$G$2+$BB50+$BC50+$BD50+$BF50)*$BE50)*$BH50, 1.05))+$BA50</f>
        <v>48</v>
      </c>
      <c r="BJ50" s="1" t="n">
        <f aca="false">INT(POWER((((Constants!$G$1+$BB50+$BC50+$BD50+$BF50)*($BE50))*$BG50),IF($G50="wagon",1,1.2)))+$AZ50</f>
        <v>61</v>
      </c>
      <c r="BK50" s="19" t="n">
        <f aca="false">BI50*IF($G50="wagon",62.5,781.25)</f>
        <v>37500</v>
      </c>
      <c r="BL50" s="19" t="n">
        <f aca="false">BJ50*IF($G50="wagon",2.73,81.25)</f>
        <v>4956.25</v>
      </c>
      <c r="BM50" s="1"/>
      <c r="BN50" s="1"/>
      <c r="BO50" s="1"/>
      <c r="BP50" s="1"/>
      <c r="BQ50" s="1" t="str">
        <f aca="false">_xlfn.ORG.LIBREOFFICE.REGEX(_xlfn.ORG.LIBREOFFICE.REGEX(ACEMUVEHICLES, _xlfn.CONCAT(B50, ",?"), ""), ",$", "")</f>
        <v>class_302_4car,class_302_parcels,class_309_2car,class_309_2_4car_buf,class_309_3_4car</v>
      </c>
      <c r="BR50" s="1"/>
      <c r="BS50" s="1"/>
      <c r="BT50" s="1" t="n">
        <v>6</v>
      </c>
      <c r="BU50" s="1" t="n">
        <v>185</v>
      </c>
      <c r="BV50" s="1"/>
      <c r="BW50" s="1"/>
      <c r="BX50" s="1" t="s">
        <v>95</v>
      </c>
      <c r="BY50" s="1" t="s">
        <v>164</v>
      </c>
      <c r="BZ50" s="18" t="s">
        <v>97</v>
      </c>
      <c r="CA50" s="1" t="str">
        <f aca="false">CONCATENATE(BY50,"_",BZ50)</f>
        <v>lbr_EMU</v>
      </c>
      <c r="CB50" s="1" t="str">
        <f aca="false">_xlfn.CONCAT(H50, "_",I50)</f>
        <v>electric_THIRD_RAIL</v>
      </c>
      <c r="CC50" s="20" t="str">
        <f aca="false">_xlfn.CONCAT("{BLACK}Length: {GOLD}", TEXT(ROUNDUP(IF(AQ50&lt;&gt;"",SUM(VALUE(_xlfn.TEXTSPLIT(AQ50, ","))), SUM(VALUE(_xlfn.TEXTSPLIT(AN50, ",")))*IF(M50, M50, 1))/16, 1), "#,##0.0"), " tiles{}")</f>
        <v>{BLACK}Length: {GOLD}1.5 tiles{}</v>
      </c>
      <c r="CD50" s="1" t="str">
        <f aca="false">VLOOKUP($CB50, Constants!$M:$N, 2, FALSE())</f>
        <v>{BLACK}Powered by: {GOLD}750V DC</v>
      </c>
      <c r="CE50" s="1" t="str">
        <f aca="false">IF(M50&gt;1,_xlfn.CONCAT("{BLACK}Cars: {GOLD}", M50),"")</f>
        <v>{BLACK}Cars: {GOLD}2</v>
      </c>
      <c r="CF50" s="1" t="s">
        <v>217</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{BLACK}Powered by: {GOLD}750V DC {BLACK}Cars: {GOLD}2{}{BLACK}Length: {GOLD}1.5 tiles{}{SILVER}A suburban Mk1 EMU that mainly operated out of East London on the LT&amp;S line. Here we represent the refurbished condition of these units, which lasted until 1998.</v>
      </c>
      <c r="CI50" s="1"/>
      <c r="CJ50" s="1"/>
      <c r="CK50" s="1"/>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c r="QQ50" s="18"/>
      <c r="QR50" s="18"/>
      <c r="QS50" s="18"/>
      <c r="QT50" s="18"/>
      <c r="QU50" s="18"/>
      <c r="QV50" s="18"/>
      <c r="QW50" s="18"/>
      <c r="QX50" s="18"/>
      <c r="QY50" s="18"/>
      <c r="QZ50" s="18"/>
      <c r="RA50" s="18"/>
      <c r="RB50" s="18"/>
      <c r="RC50" s="18"/>
      <c r="RD50" s="18"/>
      <c r="RE50" s="18"/>
      <c r="RF50" s="18"/>
      <c r="RG50" s="18"/>
      <c r="RH50" s="18"/>
      <c r="RI50" s="18"/>
      <c r="RJ50" s="18"/>
      <c r="RK50" s="18"/>
      <c r="RL50" s="18"/>
      <c r="RM50" s="18"/>
      <c r="RN50" s="18"/>
      <c r="RO50" s="18"/>
      <c r="RP50" s="18"/>
      <c r="RQ50" s="18"/>
      <c r="RR50" s="18"/>
      <c r="RS50" s="18"/>
      <c r="RT50" s="18"/>
      <c r="RU50" s="18"/>
      <c r="RV50" s="18"/>
      <c r="RW50" s="18"/>
      <c r="RX50" s="18"/>
      <c r="RY50" s="18"/>
      <c r="RZ50" s="18"/>
      <c r="SA50" s="18"/>
      <c r="SB50" s="18"/>
      <c r="SC50" s="18"/>
      <c r="SD50" s="18"/>
      <c r="SE50" s="18"/>
      <c r="SF50" s="18"/>
      <c r="SG50" s="18"/>
      <c r="SH50" s="18"/>
      <c r="SI50" s="18"/>
      <c r="SJ50" s="18"/>
      <c r="SK50" s="18"/>
      <c r="SL50" s="18"/>
      <c r="SM50" s="18"/>
      <c r="SN50" s="18"/>
      <c r="SO50" s="18"/>
      <c r="SP50" s="18"/>
      <c r="SQ50" s="18"/>
      <c r="SR50" s="18"/>
      <c r="SS50" s="18"/>
      <c r="ST50" s="18"/>
      <c r="SU50" s="18"/>
      <c r="SV50" s="18"/>
      <c r="SW50" s="18"/>
      <c r="SX50" s="18"/>
      <c r="SY50" s="18"/>
      <c r="SZ50" s="18"/>
      <c r="TA50" s="18"/>
      <c r="TB50" s="18"/>
      <c r="TC50" s="18"/>
      <c r="TD50" s="18"/>
      <c r="TE50" s="18"/>
      <c r="TF50" s="18"/>
      <c r="TG50" s="18"/>
      <c r="TH50" s="18"/>
      <c r="TI50" s="18"/>
      <c r="TJ50" s="18"/>
      <c r="TK50" s="18"/>
      <c r="TL50" s="18"/>
      <c r="TM50" s="18"/>
      <c r="TN50" s="18"/>
      <c r="TO50" s="18"/>
      <c r="TP50" s="18"/>
      <c r="TQ50" s="18"/>
      <c r="TR50" s="18"/>
      <c r="TS50" s="18"/>
      <c r="TT50" s="18"/>
      <c r="TU50" s="18"/>
      <c r="TV50" s="18"/>
      <c r="TW50" s="18"/>
      <c r="TX50" s="18"/>
      <c r="TY50" s="18"/>
      <c r="TZ50" s="18"/>
      <c r="UA50" s="18"/>
      <c r="UB50" s="18"/>
      <c r="UC50" s="18"/>
      <c r="UD50" s="18"/>
      <c r="UE50" s="18"/>
      <c r="UF50" s="18"/>
      <c r="UG50" s="18"/>
      <c r="UH50" s="18"/>
      <c r="UI50" s="18"/>
      <c r="UJ50" s="18"/>
      <c r="UK50" s="18"/>
      <c r="UL50" s="18"/>
      <c r="UM50" s="18"/>
      <c r="UN50" s="18"/>
      <c r="UO50" s="18"/>
      <c r="UP50" s="18"/>
      <c r="UQ50" s="18"/>
      <c r="UR50" s="18"/>
      <c r="US50" s="18"/>
      <c r="UT50" s="18"/>
      <c r="UU50" s="18"/>
      <c r="UV50" s="18"/>
      <c r="UW50" s="18"/>
      <c r="UX50" s="18"/>
      <c r="UY50" s="18"/>
      <c r="UZ50" s="18"/>
      <c r="VA50" s="18"/>
      <c r="VB50" s="18"/>
      <c r="VC50" s="18"/>
      <c r="VD50" s="18"/>
      <c r="VE50" s="18"/>
      <c r="VF50" s="18"/>
      <c r="VG50" s="18"/>
      <c r="VH50" s="18"/>
      <c r="VI50" s="18"/>
      <c r="VJ50" s="18"/>
      <c r="VK50" s="18"/>
      <c r="VL50" s="18"/>
      <c r="VM50" s="18"/>
      <c r="VN50" s="18"/>
      <c r="VO50" s="18"/>
      <c r="VP50" s="18"/>
      <c r="VQ50" s="18"/>
      <c r="VR50" s="18"/>
      <c r="VS50" s="18"/>
      <c r="VT50" s="18"/>
      <c r="VU50" s="18"/>
      <c r="VV50" s="18"/>
      <c r="VW50" s="18"/>
      <c r="VX50" s="18"/>
      <c r="VY50" s="18"/>
      <c r="VZ50" s="18"/>
      <c r="WA50" s="18"/>
      <c r="WB50" s="18"/>
      <c r="WC50" s="18"/>
      <c r="WD50" s="18"/>
      <c r="WE50" s="18"/>
      <c r="WF50" s="18"/>
      <c r="WG50" s="18"/>
      <c r="WH50" s="18"/>
      <c r="WI50" s="18"/>
      <c r="WJ50" s="18"/>
      <c r="WK50" s="18"/>
      <c r="WL50" s="18"/>
      <c r="WM50" s="18"/>
      <c r="WN50" s="18"/>
      <c r="WO50" s="18"/>
      <c r="WP50" s="18"/>
      <c r="WQ50" s="18"/>
      <c r="WR50" s="18"/>
      <c r="WS50" s="18"/>
      <c r="WT50" s="18"/>
      <c r="WU50" s="18"/>
      <c r="WV50" s="18"/>
      <c r="WW50" s="18"/>
      <c r="WX50" s="18"/>
      <c r="WY50" s="18"/>
      <c r="WZ50" s="18"/>
      <c r="XA50" s="18"/>
      <c r="XB50" s="18"/>
      <c r="XC50" s="18"/>
      <c r="XD50" s="18"/>
      <c r="XE50" s="18"/>
      <c r="XF50" s="18"/>
      <c r="XG50" s="18"/>
      <c r="XH50" s="18"/>
      <c r="XI50" s="18"/>
      <c r="XJ50" s="18"/>
      <c r="XK50" s="18"/>
      <c r="XL50" s="18"/>
      <c r="XM50" s="18"/>
      <c r="XN50" s="18"/>
      <c r="XO50" s="18"/>
      <c r="XP50" s="18"/>
      <c r="XQ50" s="18"/>
      <c r="XR50" s="18"/>
      <c r="XS50" s="18"/>
      <c r="XT50" s="18"/>
      <c r="XU50" s="18"/>
      <c r="XV50" s="18"/>
      <c r="XW50" s="18"/>
      <c r="XX50" s="18"/>
      <c r="XY50" s="18"/>
      <c r="XZ50" s="18"/>
      <c r="YA50" s="18"/>
      <c r="YB50" s="18"/>
      <c r="YC50" s="18"/>
      <c r="YD50" s="18"/>
      <c r="YE50" s="18"/>
      <c r="YF50" s="18"/>
      <c r="YG50" s="18"/>
      <c r="YH50" s="18"/>
      <c r="YI50" s="18"/>
      <c r="YJ50" s="18"/>
      <c r="YK50" s="18"/>
      <c r="YL50" s="18"/>
      <c r="YM50" s="18"/>
      <c r="YN50" s="18"/>
      <c r="YO50" s="18"/>
      <c r="YP50" s="18"/>
      <c r="YQ50" s="18"/>
      <c r="YR50" s="18"/>
      <c r="YS50" s="18"/>
      <c r="YT50" s="18"/>
      <c r="YU50" s="18"/>
      <c r="YV50" s="18"/>
      <c r="YW50" s="18"/>
      <c r="YX50" s="18"/>
      <c r="YY50" s="18"/>
      <c r="YZ50" s="18"/>
      <c r="ZA50" s="18"/>
      <c r="ZB50" s="18"/>
      <c r="ZC50" s="18"/>
      <c r="ZD50" s="18"/>
      <c r="ZE50" s="18"/>
      <c r="ZF50" s="18"/>
      <c r="ZG50" s="18"/>
      <c r="ZH50" s="18"/>
      <c r="ZI50" s="18"/>
      <c r="ZJ50" s="18"/>
      <c r="ZK50" s="18"/>
      <c r="ZL50" s="18"/>
      <c r="ZM50" s="18"/>
      <c r="ZN50" s="18"/>
      <c r="ZO50" s="18"/>
      <c r="ZP50" s="18"/>
      <c r="ZQ50" s="18"/>
      <c r="ZR50" s="18"/>
      <c r="ZS50" s="18"/>
      <c r="ZT50" s="18"/>
      <c r="ZU50" s="18"/>
      <c r="ZV50" s="18"/>
      <c r="ZW50" s="18"/>
      <c r="ZX50" s="18"/>
      <c r="ZY50" s="18"/>
      <c r="ZZ50" s="18"/>
      <c r="AAA50" s="18"/>
      <c r="AAB50" s="18"/>
      <c r="AAC50" s="18"/>
      <c r="AAD50" s="18"/>
      <c r="AAE50" s="18"/>
      <c r="AAF50" s="18"/>
      <c r="AAG50" s="18"/>
      <c r="AAH50" s="18"/>
      <c r="AAI50" s="18"/>
      <c r="AAJ50" s="18"/>
      <c r="AAK50" s="18"/>
      <c r="AAL50" s="18"/>
      <c r="AAM50" s="18"/>
      <c r="AAN50" s="18"/>
      <c r="AAO50" s="18"/>
      <c r="AAP50" s="18"/>
      <c r="AAQ50" s="18"/>
      <c r="AAR50" s="18"/>
      <c r="AAS50" s="18"/>
      <c r="AAT50" s="18"/>
      <c r="AAU50" s="18"/>
      <c r="AAV50" s="18"/>
      <c r="AAW50" s="18"/>
      <c r="AAX50" s="18"/>
      <c r="AAY50" s="18"/>
      <c r="AAZ50" s="18"/>
      <c r="ABA50" s="18"/>
      <c r="ABB50" s="18"/>
      <c r="ABC50" s="18"/>
      <c r="ABD50" s="18"/>
      <c r="ABE50" s="18"/>
      <c r="ABF50" s="18"/>
      <c r="ABG50" s="18"/>
      <c r="ABH50" s="18"/>
      <c r="ABI50" s="18"/>
      <c r="ABJ50" s="18"/>
      <c r="ABK50" s="18"/>
      <c r="ABL50" s="18"/>
      <c r="ABM50" s="18"/>
      <c r="ABN50" s="18"/>
      <c r="ABO50" s="18"/>
      <c r="ABP50" s="18"/>
      <c r="ABQ50" s="18"/>
      <c r="ABR50" s="18"/>
      <c r="ABS50" s="18"/>
      <c r="ABT50" s="18"/>
      <c r="ABU50" s="18"/>
      <c r="ABV50" s="18"/>
      <c r="ABW50" s="18"/>
      <c r="ABX50" s="18"/>
      <c r="ABY50" s="18"/>
      <c r="ABZ50" s="18"/>
      <c r="ACA50" s="18"/>
      <c r="ACB50" s="18"/>
      <c r="ACC50" s="18"/>
      <c r="ACD50" s="18"/>
      <c r="ACE50" s="18"/>
      <c r="ACF50" s="18"/>
      <c r="ACG50" s="18"/>
      <c r="ACH50" s="18"/>
      <c r="ACI50" s="18"/>
      <c r="ACJ50" s="18"/>
      <c r="ACK50" s="18"/>
      <c r="ACL50" s="18"/>
      <c r="ACM50" s="18"/>
      <c r="ACN50" s="18"/>
      <c r="ACO50" s="18"/>
      <c r="ACP50" s="18"/>
      <c r="ACQ50" s="18"/>
      <c r="ACR50" s="18"/>
      <c r="ACS50" s="18"/>
      <c r="ACT50" s="18"/>
      <c r="ACU50" s="18"/>
      <c r="ACV50" s="18"/>
      <c r="ACW50" s="18"/>
      <c r="ACX50" s="18"/>
      <c r="ACY50" s="18"/>
      <c r="ACZ50" s="18"/>
      <c r="ADA50" s="18"/>
      <c r="ADB50" s="18"/>
      <c r="ADC50" s="18"/>
      <c r="ADD50" s="18"/>
      <c r="ADE50" s="18"/>
      <c r="ADF50" s="18"/>
      <c r="ADG50" s="18"/>
      <c r="ADH50" s="18"/>
      <c r="ADI50" s="18"/>
      <c r="ADJ50" s="18"/>
      <c r="ADK50" s="18"/>
      <c r="ADL50" s="18"/>
      <c r="ADM50" s="18"/>
      <c r="ADN50" s="18"/>
      <c r="ADO50" s="18"/>
      <c r="ADP50" s="18"/>
      <c r="ADQ50" s="18"/>
      <c r="ADR50" s="18"/>
      <c r="ADS50" s="18"/>
      <c r="ADT50" s="18"/>
      <c r="ADU50" s="18"/>
      <c r="ADV50" s="18"/>
      <c r="ADW50" s="18"/>
      <c r="ADX50" s="18"/>
      <c r="ADY50" s="18"/>
      <c r="ADZ50" s="18"/>
      <c r="AEA50" s="18"/>
      <c r="AEB50" s="18"/>
      <c r="AEC50" s="18"/>
      <c r="AED50" s="18"/>
      <c r="AEE50" s="18"/>
      <c r="AEF50" s="18"/>
      <c r="AEG50" s="18"/>
      <c r="AEH50" s="18"/>
      <c r="AEI50" s="18"/>
      <c r="AEJ50" s="18"/>
      <c r="AEK50" s="18"/>
      <c r="AEL50" s="18"/>
      <c r="AEM50" s="18"/>
      <c r="AEN50" s="18"/>
      <c r="AEO50" s="18"/>
      <c r="AEP50" s="18"/>
      <c r="AEQ50" s="18"/>
      <c r="AER50" s="18"/>
      <c r="AES50" s="18"/>
      <c r="AET50" s="18"/>
      <c r="AEU50" s="18"/>
      <c r="AEV50" s="18"/>
      <c r="AEW50" s="18"/>
      <c r="AEX50" s="18"/>
      <c r="AEY50" s="18"/>
      <c r="AEZ50" s="18"/>
      <c r="AFA50" s="18"/>
      <c r="AFB50" s="18"/>
      <c r="AFC50" s="18"/>
      <c r="AFD50" s="18"/>
      <c r="AFE50" s="18"/>
      <c r="AFF50" s="18"/>
      <c r="AFG50" s="18"/>
      <c r="AFH50" s="18"/>
      <c r="AFI50" s="18"/>
      <c r="AFJ50" s="18"/>
      <c r="AFK50" s="18"/>
      <c r="AFL50" s="18"/>
      <c r="AFM50" s="18"/>
      <c r="AFN50" s="18"/>
      <c r="AFO50" s="18"/>
      <c r="AFP50" s="18"/>
      <c r="AFQ50" s="18"/>
      <c r="AFR50" s="18"/>
      <c r="AFS50" s="18"/>
      <c r="AFT50" s="18"/>
      <c r="AFU50" s="18"/>
      <c r="AFV50" s="18"/>
      <c r="AFW50" s="18"/>
      <c r="AFX50" s="18"/>
      <c r="AFY50" s="18"/>
      <c r="AFZ50" s="18"/>
      <c r="AGA50" s="18"/>
      <c r="AGB50" s="18"/>
      <c r="AGC50" s="18"/>
      <c r="AGD50" s="18"/>
      <c r="AGE50" s="18"/>
      <c r="AGF50" s="18"/>
      <c r="AGG50" s="18"/>
      <c r="AGH50" s="18"/>
      <c r="AGI50" s="18"/>
      <c r="AGJ50" s="18"/>
      <c r="AGK50" s="18"/>
      <c r="AGL50" s="18"/>
      <c r="AGM50" s="18"/>
      <c r="AGN50" s="18"/>
      <c r="AGO50" s="18"/>
      <c r="AGP50" s="18"/>
      <c r="AGQ50" s="18"/>
      <c r="AGR50" s="18"/>
      <c r="AGS50" s="18"/>
      <c r="AGT50" s="18"/>
      <c r="AGU50" s="18"/>
      <c r="AGV50" s="18"/>
      <c r="AGW50" s="18"/>
      <c r="AGX50" s="18"/>
      <c r="AGY50" s="18"/>
      <c r="AGZ50" s="18"/>
      <c r="AHA50" s="18"/>
      <c r="AHB50" s="18"/>
      <c r="AHC50" s="18"/>
      <c r="AHD50" s="18"/>
      <c r="AHE50" s="18"/>
      <c r="AHF50" s="18"/>
      <c r="AHG50" s="18"/>
      <c r="AHH50" s="18"/>
      <c r="AHI50" s="18"/>
      <c r="AHJ50" s="18"/>
      <c r="AHK50" s="18"/>
      <c r="AHL50" s="18"/>
      <c r="AHM50" s="18"/>
      <c r="AHN50" s="18"/>
      <c r="AHO50" s="18"/>
      <c r="AHP50" s="18"/>
      <c r="AHQ50" s="18"/>
      <c r="AHR50" s="18"/>
      <c r="AHS50" s="18"/>
      <c r="AHT50" s="18"/>
      <c r="AHU50" s="18"/>
      <c r="AHV50" s="18"/>
      <c r="AHW50" s="18"/>
      <c r="AHX50" s="18"/>
      <c r="AHY50" s="18"/>
      <c r="AHZ50" s="18"/>
      <c r="AIA50" s="18"/>
      <c r="AIB50" s="18"/>
      <c r="AIC50" s="18"/>
      <c r="AID50" s="18"/>
      <c r="AIE50" s="18"/>
      <c r="AIF50" s="18"/>
      <c r="AIG50" s="18"/>
      <c r="AIH50" s="18"/>
      <c r="AII50" s="18"/>
      <c r="AIJ50" s="18"/>
      <c r="AIK50" s="18"/>
      <c r="AIL50" s="18"/>
      <c r="AIM50" s="18"/>
      <c r="AIN50" s="18"/>
      <c r="AIO50" s="18"/>
      <c r="AIP50" s="18"/>
      <c r="AIQ50" s="18"/>
      <c r="AIR50" s="18"/>
      <c r="AIS50" s="18"/>
      <c r="AIT50" s="18"/>
      <c r="AIU50" s="18"/>
      <c r="AIV50" s="18"/>
      <c r="AIW50" s="18"/>
      <c r="AIX50" s="18"/>
      <c r="AIY50" s="18"/>
      <c r="AIZ50" s="18"/>
      <c r="AJA50" s="18"/>
      <c r="AJB50" s="18"/>
      <c r="AJC50" s="18"/>
      <c r="AJD50" s="18"/>
      <c r="AJE50" s="18"/>
      <c r="AJF50" s="18"/>
      <c r="AJG50" s="18"/>
      <c r="AJH50" s="18"/>
      <c r="AJI50" s="18"/>
      <c r="AJJ50" s="18"/>
      <c r="AJK50" s="18"/>
      <c r="AJL50" s="18"/>
      <c r="AJM50" s="18"/>
      <c r="AJN50" s="18"/>
      <c r="AJO50" s="18"/>
      <c r="AJP50" s="18"/>
      <c r="AJQ50" s="18"/>
      <c r="AJR50" s="18"/>
      <c r="AJS50" s="18"/>
      <c r="AJT50" s="18"/>
      <c r="AJU50" s="18"/>
      <c r="AJV50" s="18"/>
      <c r="AJW50" s="18"/>
      <c r="AJX50" s="18"/>
      <c r="AJY50" s="18"/>
      <c r="AJZ50" s="18"/>
      <c r="AKA50" s="18"/>
      <c r="AKB50" s="18"/>
      <c r="AKC50" s="18"/>
      <c r="AKD50" s="18"/>
      <c r="AKE50" s="18"/>
      <c r="AKF50" s="18"/>
      <c r="AKG50" s="18"/>
      <c r="AKH50" s="18"/>
      <c r="AKI50" s="18"/>
      <c r="AKJ50" s="18"/>
      <c r="AKK50" s="18"/>
      <c r="AKL50" s="18"/>
      <c r="AKM50" s="18"/>
      <c r="AKN50" s="18"/>
      <c r="AKO50" s="18"/>
      <c r="AKP50" s="18"/>
      <c r="AKQ50" s="18"/>
      <c r="AKR50" s="18"/>
      <c r="AKS50" s="18"/>
      <c r="AKT50" s="18"/>
      <c r="AKU50" s="18"/>
      <c r="AKV50" s="18"/>
      <c r="AKW50" s="18"/>
      <c r="AKX50" s="18"/>
      <c r="AKY50" s="18"/>
      <c r="AKZ50" s="18"/>
      <c r="ALA50" s="18"/>
      <c r="ALB50" s="18"/>
      <c r="ALC50" s="18"/>
      <c r="ALD50" s="18"/>
      <c r="ALE50" s="18"/>
      <c r="ALF50" s="18"/>
      <c r="ALG50" s="18"/>
      <c r="ALH50" s="18"/>
      <c r="ALI50" s="18"/>
      <c r="ALJ50" s="18"/>
      <c r="ALK50" s="18"/>
      <c r="ALL50" s="18"/>
      <c r="ALM50" s="18"/>
      <c r="ALN50" s="18"/>
      <c r="ALO50" s="18"/>
      <c r="ALP50" s="18"/>
      <c r="ALQ50" s="18"/>
      <c r="ALR50" s="18"/>
      <c r="ALS50" s="18"/>
      <c r="ALT50" s="18"/>
      <c r="ALU50" s="18"/>
      <c r="ALV50" s="18"/>
      <c r="ALW50" s="18"/>
      <c r="ALX50" s="18"/>
      <c r="ALY50" s="18"/>
      <c r="ALZ50" s="18"/>
      <c r="AMA50" s="18"/>
      <c r="AMB50" s="18"/>
      <c r="AMC50" s="18"/>
      <c r="AMD50" s="18"/>
      <c r="AME50" s="18"/>
      <c r="AMF50" s="18"/>
      <c r="AMG50" s="18"/>
      <c r="AMH50" s="18"/>
      <c r="AMI50" s="18"/>
      <c r="AMJ50" s="18"/>
    </row>
    <row r="51" s="18" customFormat="true" ht="13.8" hidden="false" customHeight="false" outlineLevel="0" collapsed="false">
      <c r="A51" s="18" t="s">
        <v>362</v>
      </c>
      <c r="B51" s="18" t="s">
        <v>363</v>
      </c>
      <c r="C51" s="1" t="n">
        <v>471</v>
      </c>
      <c r="E51" s="18" t="n">
        <v>470</v>
      </c>
      <c r="F51" s="18" t="s">
        <v>89</v>
      </c>
      <c r="G51" s="18" t="s">
        <v>147</v>
      </c>
      <c r="H51" s="18" t="s">
        <v>152</v>
      </c>
      <c r="I51" s="18" t="s">
        <v>153</v>
      </c>
      <c r="J51" s="18" t="n">
        <v>1994</v>
      </c>
      <c r="K51" s="18" t="n">
        <v>1965</v>
      </c>
      <c r="N51" s="18" t="n">
        <v>1750</v>
      </c>
      <c r="O51" s="2"/>
      <c r="P51" s="3"/>
      <c r="Q51" s="3"/>
      <c r="R51" s="3"/>
      <c r="S51" s="3"/>
      <c r="T51" s="3"/>
      <c r="U51" s="3"/>
      <c r="V51" s="3"/>
      <c r="W51" s="18" t="n">
        <v>105</v>
      </c>
      <c r="X51" s="2"/>
      <c r="Z51" s="18" t="n">
        <v>247</v>
      </c>
      <c r="AA51" s="4" t="n">
        <f aca="false">IF(AND(W51&gt;0,Z51&gt;0),(Z51/((W51+X51)*10)),"")</f>
        <v>0.235238095238095</v>
      </c>
      <c r="AB51" s="18" t="n">
        <v>90</v>
      </c>
      <c r="AC51" s="18" t="n">
        <f aca="false">ROUND(AB51*1.6, 0)</f>
        <v>144</v>
      </c>
      <c r="AF51" s="18" t="n">
        <v>18.75</v>
      </c>
      <c r="AG51" s="18" t="n">
        <v>18.75</v>
      </c>
      <c r="AH51" s="18" t="n">
        <v>2.71</v>
      </c>
      <c r="AI51" s="18" t="n">
        <v>3.89</v>
      </c>
      <c r="AJ51" s="5" t="n">
        <v>0</v>
      </c>
      <c r="AK51" s="0" t="str">
        <f aca="false">CONCATENATE(VLOOKUP(AL51, 'Voxel Sizes'!$A$2:$B$18,2,FALSE()),"x",INT(AH51*15), "x", INT(AI51*15))</f>
        <v>186x40x58</v>
      </c>
      <c r="AL51" s="18" t="n">
        <f aca="false">ROUND(15*((AG51*10)/256),0)</f>
        <v>11</v>
      </c>
      <c r="AN51" s="1" t="str">
        <f aca="false">CONCATENATE(VLOOKUP(AL51,Constants!$A$2:$C$16,IF(AM51&lt;&gt;"", 3, 2), FALSE()),IF(AM51&lt;&gt;"",CONCATENATE(",",VLOOKUP(AM51,$B:$AN,38,FALSE())),""))</f>
        <v>4,3,4</v>
      </c>
      <c r="AP51" s="25"/>
      <c r="AQ51" s="25"/>
      <c r="AX51" s="18" t="n">
        <v>40</v>
      </c>
      <c r="AY51" s="6" t="str">
        <f aca="false">IF(L51&lt;&gt;"",MAX(16,(L51-J51)+8),"")</f>
        <v/>
      </c>
      <c r="BA51" s="18" t="n">
        <v>-30</v>
      </c>
      <c r="BB51" s="18" t="n">
        <f aca="false">MIN(AB51/150, 1)*30</f>
        <v>18</v>
      </c>
      <c r="BC51" s="18" t="n">
        <f aca="false">MIN(N51/4000, 1)*20</f>
        <v>8.75</v>
      </c>
      <c r="BD51" s="18" t="n">
        <f aca="false">MIN(Z51/400,1)*20</f>
        <v>12.35</v>
      </c>
      <c r="BE51" s="4" t="n">
        <f aca="false">1-(MAX(J51-1900, 0)/750)</f>
        <v>0.874666666666667</v>
      </c>
      <c r="BF51" s="18" t="n">
        <f aca="false">((MAX($M51,1)*MIN($AJ51/300,1)))*IF(G51="Wagon",50,10)</f>
        <v>0</v>
      </c>
      <c r="BG51" s="1" t="n">
        <f aca="false">VLOOKUP($H51,Constants!$I:$K, 2, FALSE())</f>
        <v>1</v>
      </c>
      <c r="BH51" s="1" t="n">
        <f aca="false">VLOOKUP($H51,Constants!$I:$K, 3, FALSE())*IF(AND(G51="multiple_unit",AB51&lt;110),0.75,1)</f>
        <v>2</v>
      </c>
      <c r="BI51" s="1" t="n">
        <f aca="false">INT(POWER(((Constants!$G$2+$BB51+$BC51+$BD51+$BF51)*$BE51)*$BH51, 1.05))+$BA51</f>
        <v>65</v>
      </c>
      <c r="BJ51" s="1" t="n">
        <f aca="false">INT(POWER((((Constants!$G$1+$BB51+$BC51+$BD51+$BF51)*($BE51))*$BG51),IF($G51="wagon",1,1.2)))+$AZ51</f>
        <v>102</v>
      </c>
      <c r="BK51" s="19" t="n">
        <f aca="false">BI51*IF($G51="wagon",62.5,781.25)</f>
        <v>50781.25</v>
      </c>
      <c r="BL51" s="19" t="n">
        <f aca="false">BJ51*IF($G51="wagon",2.73,81.25)</f>
        <v>8287.5</v>
      </c>
      <c r="BT51" s="18" t="n">
        <v>1</v>
      </c>
      <c r="BY51" s="18" t="s">
        <v>164</v>
      </c>
      <c r="BZ51" s="18" t="s">
        <v>335</v>
      </c>
      <c r="CA51" s="18" t="str">
        <f aca="false">CONCATENATE(BY51,"_",BZ51)</f>
        <v>lbr_Freight</v>
      </c>
      <c r="CB51" s="18" t="str">
        <f aca="false">_xlfn.CONCAT(H51, "_",I51)</f>
        <v>diesel_RAIL</v>
      </c>
      <c r="CC51" s="20" t="str">
        <f aca="false">_xlfn.CONCAT("{BLACK}Length: {GOLD}", TEXT(ROUNDUP(IF(AQ51&lt;&gt;"",SUM(VALUE(_xlfn.TEXTSPLIT(AQ51, ","))), SUM(VALUE(_xlfn.TEXTSPLIT(AN51, ",")))*IF(M51, M51, 1))/16, 1), "#,##0.0"), " tiles{}")</f>
        <v>{BLACK}Length: {GOLD}0.7 tiles{}</v>
      </c>
      <c r="CD51" s="1" t="str">
        <f aca="false">VLOOKUP($CB51, Constants!$M:$N, 2, FALSE())</f>
        <v>{BLACK}Powered by: {GOLD}Diesel</v>
      </c>
      <c r="CE51" s="1" t="str">
        <f aca="false">IF(M51&gt;1,_xlfn.CONCAT("{BLACK}Cars: {GOLD}", M51),"")</f>
        <v/>
      </c>
      <c r="CF51" s="18" t="s">
        <v>364</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{BLACK}Powered by: {GOLD}Diesel {}{BLACK}Length: {GOLD}0.7 tiles{}{SILVER}Originally to power the “Nightstar” european sleeper services away from electrified lines, this sub-class of 12 locomotives mostly saw use as rescue and freight locomotives with other operators.</v>
      </c>
    </row>
    <row r="52" customFormat="false" ht="13.8" hidden="false" customHeight="false" outlineLevel="0" collapsed="false">
      <c r="A52" s="18" t="s">
        <v>365</v>
      </c>
      <c r="B52" s="18" t="s">
        <v>366</v>
      </c>
      <c r="C52" s="1" t="n">
        <v>579</v>
      </c>
      <c r="D52" s="1" t="n">
        <v>580</v>
      </c>
      <c r="E52" s="1" t="n">
        <v>476</v>
      </c>
      <c r="F52" s="1" t="s">
        <v>89</v>
      </c>
      <c r="G52" s="1" t="s">
        <v>367</v>
      </c>
      <c r="H52" s="1" t="s">
        <v>152</v>
      </c>
      <c r="I52" s="1" t="s">
        <v>153</v>
      </c>
      <c r="J52" s="1" t="n">
        <v>1999</v>
      </c>
      <c r="M52" s="1" t="n">
        <v>1</v>
      </c>
      <c r="N52" s="1" t="n">
        <v>710</v>
      </c>
      <c r="W52" s="1" t="n">
        <v>34</v>
      </c>
      <c r="Y52" s="1" t="n">
        <v>4</v>
      </c>
      <c r="Z52" s="1" t="n">
        <v>106</v>
      </c>
      <c r="AA52" s="4" t="n">
        <f aca="false">IF(AND(W52&gt;0,Z52&gt;0),(Z52/((W52+X52)*10)),"")</f>
        <v>0.311764705882353</v>
      </c>
      <c r="AB52" s="1" t="n">
        <v>75</v>
      </c>
      <c r="AC52" s="1" t="n">
        <f aca="false">ROUND(AB52*1.6, 0)</f>
        <v>120</v>
      </c>
      <c r="AF52" s="1" t="n">
        <v>20.2</v>
      </c>
      <c r="AG52" s="1" t="n">
        <v>20</v>
      </c>
      <c r="AH52" s="1" t="n">
        <v>2.82</v>
      </c>
      <c r="AI52" s="1" t="n">
        <v>3.97</v>
      </c>
      <c r="AJ52" s="5" t="n">
        <v>40</v>
      </c>
      <c r="AK52" s="0" t="str">
        <f aca="false">CONCATENATE(VLOOKUP(AL52, 'Voxel Sizes'!$A$2:$B$18,2,FALSE()),"x",INT(AH52*15), "x", INT(AI52*15))</f>
        <v>198x42x59</v>
      </c>
      <c r="AL52" s="1" t="n">
        <f aca="false">ROUND(15*((AG52*10)/256),0)</f>
        <v>12</v>
      </c>
      <c r="AN52" s="1" t="str">
        <f aca="false">CONCATENATE(VLOOKUP(AL52,Constants!$A$2:$C$16,IF(AM52&lt;&gt;"", 3, 2), FALSE()),IF(AM52&lt;&gt;"",CONCATENATE(",",VLOOKUP(AM52,$B:$AN,38,FALSE())),""))</f>
        <v>4,4,4</v>
      </c>
      <c r="AO52" s="1" t="n">
        <v>0</v>
      </c>
      <c r="AR52" s="1" t="s">
        <v>368</v>
      </c>
      <c r="AT52" s="1" t="s">
        <v>113</v>
      </c>
      <c r="AU52" s="1" t="s">
        <v>368</v>
      </c>
      <c r="AX52" s="1" t="n">
        <v>35</v>
      </c>
      <c r="AY52" s="6" t="str">
        <f aca="false">IF(L52&lt;&gt;"",MAX(16,(L52-J52)+8),"")</f>
        <v/>
      </c>
      <c r="BB52" s="1" t="n">
        <f aca="false">MIN(AB52/150, 1)*30</f>
        <v>15</v>
      </c>
      <c r="BC52" s="1" t="n">
        <f aca="false">MIN(N52/4000, 1)*20</f>
        <v>3.55</v>
      </c>
      <c r="BD52" s="1" t="n">
        <f aca="false">MIN(Z52/400,1)*20</f>
        <v>5.3</v>
      </c>
      <c r="BE52" s="4" t="n">
        <f aca="false">1-(MAX(J52-1900, 0)/750)</f>
        <v>0.868</v>
      </c>
      <c r="BF52" s="1" t="n">
        <f aca="false">((MAX($M52,1)*MIN($AJ52/300,1)))*IF(G52="Wagon",50,10)</f>
        <v>1.33333333333333</v>
      </c>
      <c r="BG52" s="1" t="n">
        <f aca="false">VLOOKUP($H52,Constants!$I:$K, 2, FALSE())</f>
        <v>1</v>
      </c>
      <c r="BH52" s="1" t="n">
        <f aca="false">VLOOKUP($H52,Constants!$I:$K, 3, FALSE())*IF(AND(G52="multiple_unit",AB52&lt;110),0.75,1)</f>
        <v>2</v>
      </c>
      <c r="BI52" s="1" t="n">
        <f aca="false">INT(POWER(((Constants!$G$2+$BB52+$BC52+$BD52+$BF52)*$BE52)*$BH52, 1.05))+$BA52</f>
        <v>63</v>
      </c>
      <c r="BJ52" s="1" t="n">
        <f aca="false">INT(POWER((((Constants!$G$1+$BB52+$BC52+$BD52+$BF52)*($BE52))*$BG52),IF($G52="wagon",1,1.2)))+$AZ52</f>
        <v>70</v>
      </c>
      <c r="BK52" s="19" t="n">
        <f aca="false">BI52*IF($G52="wagon",62.5,781.25)</f>
        <v>49218.75</v>
      </c>
      <c r="BL52" s="19" t="n">
        <f aca="false">BJ52*IF($G52="wagon",2.73,81.25)</f>
        <v>5687.5</v>
      </c>
      <c r="BT52" s="1" t="n">
        <v>6</v>
      </c>
      <c r="BU52" s="1" t="n">
        <v>185</v>
      </c>
      <c r="BV52" s="1" t="s">
        <v>369</v>
      </c>
      <c r="BX52" s="1" t="s">
        <v>370</v>
      </c>
      <c r="BY52" s="1" t="s">
        <v>371</v>
      </c>
      <c r="BZ52" s="18" t="s">
        <v>335</v>
      </c>
      <c r="CA52" s="1" t="str">
        <f aca="false">CONCATENATE(BY52,"_",BZ52)</f>
        <v>prv_Freight</v>
      </c>
      <c r="CB52" s="1" t="str">
        <f aca="false">_xlfn.CONCAT(H52, "_",I52)</f>
        <v>diesel_RAIL</v>
      </c>
      <c r="CC52" s="20" t="str">
        <f aca="false">_xlfn.CONCAT("{BLACK}Length: {GOLD}", TEXT(ROUNDUP(IF(AQ52&lt;&gt;"",SUM(VALUE(_xlfn.TEXTSPLIT(AQ52, ","))), SUM(VALUE(_xlfn.TEXTSPLIT(AN52, ",")))*IF(M52, M52, 1))/16, 1), "#,##0.0"), " tiles{}")</f>
        <v>{BLACK}Length: {GOLD}0.8 tiles{}</v>
      </c>
      <c r="CD52" s="1" t="str">
        <f aca="false">VLOOKUP($CB52, Constants!$M:$N, 2, FALSE())</f>
        <v>{BLACK}Powered by: {GOLD}Diesel</v>
      </c>
      <c r="CE52" s="1" t="str">
        <f aca="false">IF(M52&gt;1,_xlfn.CONCAT("{BLACK}Cars: {GOLD}", M52),"")</f>
        <v/>
      </c>
      <c r="CF52" s="1" t="s">
        <v>372</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tiles{}{SILVER}The Windhoff MPV units were mainly used for Departmental service, notably in the iconic Rail Head Treatment trains, but trials were made in freight service.</v>
      </c>
      <c r="CI52" s="1"/>
      <c r="CJ52" s="1"/>
    </row>
    <row r="53" customFormat="false" ht="13.8" hidden="false" customHeight="false" outlineLevel="0" collapsed="false">
      <c r="A53" s="18" t="s">
        <v>373</v>
      </c>
      <c r="B53" s="18" t="s">
        <v>374</v>
      </c>
      <c r="C53" s="1" t="n">
        <v>580</v>
      </c>
      <c r="E53" s="1" t="n">
        <v>472</v>
      </c>
      <c r="F53" s="1" t="s">
        <v>89</v>
      </c>
      <c r="G53" s="1" t="s">
        <v>367</v>
      </c>
      <c r="H53" s="1" t="s">
        <v>152</v>
      </c>
      <c r="I53" s="1" t="s">
        <v>153</v>
      </c>
      <c r="J53" s="1" t="n">
        <v>1999</v>
      </c>
      <c r="M53" s="1" t="n">
        <v>2</v>
      </c>
      <c r="N53" s="1" t="n">
        <v>710</v>
      </c>
      <c r="W53" s="1" t="n">
        <v>61</v>
      </c>
      <c r="Y53" s="1" t="n">
        <v>4</v>
      </c>
      <c r="Z53" s="1" t="n">
        <v>106</v>
      </c>
      <c r="AA53" s="4" t="n">
        <f aca="false">IF(AND(W53&gt;0,Z53&gt;0),(Z53/((W53+X53)*10)),"")</f>
        <v>0.173770491803279</v>
      </c>
      <c r="AB53" s="1" t="n">
        <v>75</v>
      </c>
      <c r="AC53" s="1" t="n">
        <f aca="false">ROUND(AB53*1.6, 0)</f>
        <v>120</v>
      </c>
      <c r="AF53" s="1" t="n">
        <v>20.2</v>
      </c>
      <c r="AG53" s="1" t="n">
        <v>20</v>
      </c>
      <c r="AH53" s="1" t="n">
        <v>2.82</v>
      </c>
      <c r="AI53" s="1" t="n">
        <v>3.97</v>
      </c>
      <c r="AJ53" s="5" t="n">
        <v>40</v>
      </c>
      <c r="AK53" s="0" t="str">
        <f aca="false">CONCATENATE(VLOOKUP(AL53, 'Voxel Sizes'!$A$2:$B$18,2,FALSE()),"x",INT(AH53*15), "x", INT(AI53*15))</f>
        <v>198x42x59</v>
      </c>
      <c r="AL53" s="1" t="n">
        <f aca="false">ROUND(15*((AG53*10)/256),0)</f>
        <v>12</v>
      </c>
      <c r="AN53" s="1" t="str">
        <f aca="false">CONCATENATE(VLOOKUP(AL53,Constants!$A$2:$C$16,IF(AM53&lt;&gt;"", 3, 2), FALSE()),IF(AM53&lt;&gt;"",CONCATENATE(",",VLOOKUP(AM53,$B:$AN,38,FALSE())),""))</f>
        <v>4,4,4</v>
      </c>
      <c r="AO53" s="1" t="n">
        <v>0</v>
      </c>
      <c r="AR53" s="1" t="s">
        <v>375</v>
      </c>
      <c r="AT53" s="1" t="s">
        <v>113</v>
      </c>
      <c r="AU53" s="1" t="s">
        <v>376</v>
      </c>
      <c r="AX53" s="1" t="n">
        <v>35</v>
      </c>
      <c r="AY53" s="6" t="str">
        <f aca="false">IF(L53&lt;&gt;"",MAX(16,(L53-J53)+8),"")</f>
        <v/>
      </c>
      <c r="BB53" s="1" t="n">
        <f aca="false">MIN(AB53/150, 1)*30</f>
        <v>15</v>
      </c>
      <c r="BC53" s="1" t="n">
        <f aca="false">MIN(N53/4000, 1)*20</f>
        <v>3.55</v>
      </c>
      <c r="BD53" s="1" t="n">
        <f aca="false">MIN(Z53/400,1)*20</f>
        <v>5.3</v>
      </c>
      <c r="BE53" s="4" t="n">
        <f aca="false">1-(MAX(J53-1900, 0)/750)</f>
        <v>0.868</v>
      </c>
      <c r="BF53" s="1" t="n">
        <f aca="false">((MAX($M53,1)*MIN($AJ53/300,1)))*IF(G53="Wagon",50,10)</f>
        <v>2.66666666666667</v>
      </c>
      <c r="BG53" s="1" t="n">
        <f aca="false">VLOOKUP($H53,Constants!$I:$K, 2, FALSE())</f>
        <v>1</v>
      </c>
      <c r="BH53" s="1" t="n">
        <f aca="false">VLOOKUP($H53,Constants!$I:$K, 3, FALSE())*IF(AND(G53="multiple_unit",AB53&lt;110),0.75,1)</f>
        <v>2</v>
      </c>
      <c r="BI53" s="1" t="n">
        <f aca="false">INT(POWER(((Constants!$G$2+$BB53+$BC53+$BD53+$BF53)*$BE53)*$BH53, 1.05))+$BA53</f>
        <v>66</v>
      </c>
      <c r="BJ53" s="1" t="n">
        <f aca="false">INT(POWER((((Constants!$G$1+$BB53+$BC53+$BD53+$BF53)*($BE53))*$BG53),IF($G53="wagon",1,1.2)))+$AZ53</f>
        <v>73</v>
      </c>
      <c r="BK53" s="19" t="n">
        <f aca="false">BI53*IF($G53="wagon",62.5,781.25)</f>
        <v>51562.5</v>
      </c>
      <c r="BL53" s="19" t="n">
        <f aca="false">BJ53*IF($G53="wagon",2.73,81.25)</f>
        <v>5931.25</v>
      </c>
      <c r="BT53" s="1" t="n">
        <v>6</v>
      </c>
      <c r="BU53" s="1" t="n">
        <v>185</v>
      </c>
      <c r="BV53" s="1" t="s">
        <v>369</v>
      </c>
      <c r="BX53" s="1" t="s">
        <v>370</v>
      </c>
      <c r="BY53" s="1" t="s">
        <v>371</v>
      </c>
      <c r="BZ53" s="18" t="s">
        <v>335</v>
      </c>
      <c r="CA53" s="1" t="str">
        <f aca="false">CONCATENATE(BY53,"_",BZ53)</f>
        <v>prv_Freight</v>
      </c>
      <c r="CB53" s="1" t="str">
        <f aca="false">_xlfn.CONCAT(H53, "_",I53)</f>
        <v>diesel_RAIL</v>
      </c>
      <c r="CC53" s="20" t="str">
        <f aca="false">_xlfn.CONCAT("{BLACK}Length: {GOLD}", TEXT(ROUNDUP(IF(AQ53&lt;&gt;"",SUM(VALUE(_xlfn.TEXTSPLIT(AQ53, ","))), SUM(VALUE(_xlfn.TEXTSPLIT(AN53, ",")))*IF(M53, M53, 1))/16, 1), "#,##0.0"), " tiles{}")</f>
        <v>{BLACK}Length: {GOLD}1.5 tiles{}</v>
      </c>
      <c r="CD53" s="1" t="str">
        <f aca="false">VLOOKUP($CB53, Constants!$M:$N, 2, FALSE())</f>
        <v>{BLACK}Powered by: {GOLD}Diesel</v>
      </c>
      <c r="CE53" s="1" t="str">
        <f aca="false">IF(M53&gt;1,_xlfn.CONCAT("{BLACK}Cars: {GOLD}", M53),"")</f>
        <v>{BLACK}Cars: {GOLD}2</v>
      </c>
      <c r="CF53" s="1" t="s">
        <v>372</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{BLACK}Powered by: {GOLD}Diesel {BLACK}Cars: {GOLD}2{}{BLACK}Length: {GOLD}1.5 tiles{}{SILVER}The Windhoff MPV units were mainly used for Departmental service, notably in the iconic Rail Head Treatment trains, but trials were made in freight service.</v>
      </c>
      <c r="CI53" s="1"/>
      <c r="CJ53" s="1"/>
    </row>
    <row r="54" customFormat="false" ht="13.8" hidden="false" customHeight="false" outlineLevel="0" collapsed="false">
      <c r="A54" s="18" t="s">
        <v>377</v>
      </c>
      <c r="B54" s="18" t="s">
        <v>378</v>
      </c>
      <c r="C54" s="1" t="n">
        <v>581</v>
      </c>
      <c r="D54" s="1" t="n">
        <v>580</v>
      </c>
      <c r="E54" s="1" t="n">
        <v>473</v>
      </c>
      <c r="F54" s="1" t="s">
        <v>89</v>
      </c>
      <c r="G54" s="1" t="s">
        <v>367</v>
      </c>
      <c r="H54" s="1" t="s">
        <v>152</v>
      </c>
      <c r="I54" s="1" t="s">
        <v>153</v>
      </c>
      <c r="J54" s="1" t="n">
        <v>1999</v>
      </c>
      <c r="M54" s="1" t="n">
        <v>3</v>
      </c>
      <c r="N54" s="1" t="n">
        <v>710</v>
      </c>
      <c r="W54" s="1" t="n">
        <f aca="false">W53+19</f>
        <v>80</v>
      </c>
      <c r="Y54" s="1" t="n">
        <v>4</v>
      </c>
      <c r="Z54" s="1" t="n">
        <v>106</v>
      </c>
      <c r="AA54" s="4" t="n">
        <f aca="false">IF(AND(W54&gt;0,Z54&gt;0),(Z54/((W54+X54)*10)),"")</f>
        <v>0.1325</v>
      </c>
      <c r="AB54" s="1" t="n">
        <v>75</v>
      </c>
      <c r="AC54" s="1" t="n">
        <f aca="false">ROUND(AB54*1.6, 0)</f>
        <v>120</v>
      </c>
      <c r="AF54" s="1" t="n">
        <v>20.2</v>
      </c>
      <c r="AG54" s="1" t="n">
        <v>20</v>
      </c>
      <c r="AH54" s="1" t="n">
        <v>2.82</v>
      </c>
      <c r="AI54" s="1" t="n">
        <v>3.97</v>
      </c>
      <c r="AJ54" s="5" t="n">
        <v>40</v>
      </c>
      <c r="AK54" s="0" t="str">
        <f aca="false">CONCATENATE(VLOOKUP(AL54, 'Voxel Sizes'!$A$2:$B$18,2,FALSE()),"x",INT(AH54*15), "x", INT(AI54*15))</f>
        <v>198x42x59</v>
      </c>
      <c r="AL54" s="1" t="n">
        <f aca="false">ROUND(15*((AG54*10)/256),0)</f>
        <v>12</v>
      </c>
      <c r="AN54" s="1" t="str">
        <f aca="false">CONCATENATE(VLOOKUP(AL54,Constants!$A$2:$C$16,IF(AM54&lt;&gt;"", 3, 2), FALSE()),IF(AM54&lt;&gt;"",CONCATENATE(",",VLOOKUP(AM54,$B:$AN,38,FALSE())),""))</f>
        <v>4,4,4</v>
      </c>
      <c r="AO54" s="1" t="n">
        <v>0</v>
      </c>
      <c r="AR54" s="1" t="s">
        <v>379</v>
      </c>
      <c r="AT54" s="1" t="s">
        <v>380</v>
      </c>
      <c r="AU54" s="1" t="s">
        <v>376</v>
      </c>
      <c r="AX54" s="1" t="n">
        <v>35</v>
      </c>
      <c r="AY54" s="6" t="str">
        <f aca="false">IF(L54&lt;&gt;"",MAX(16,(L54-J54)+8),"")</f>
        <v/>
      </c>
      <c r="BB54" s="1" t="n">
        <f aca="false">MIN(AB54/150, 1)*30</f>
        <v>15</v>
      </c>
      <c r="BC54" s="1" t="n">
        <f aca="false">MIN(N54/4000, 1)*20</f>
        <v>3.55</v>
      </c>
      <c r="BD54" s="1" t="n">
        <f aca="false">MIN(Z54/400,1)*20</f>
        <v>5.3</v>
      </c>
      <c r="BE54" s="4" t="n">
        <f aca="false">1-(MAX(J54-1900, 0)/750)</f>
        <v>0.868</v>
      </c>
      <c r="BF54" s="1" t="n">
        <f aca="false">((MAX($M54,1)*MIN($AJ54/300,1)))*IF(G54="Wagon",50,10)</f>
        <v>4</v>
      </c>
      <c r="BG54" s="1" t="n">
        <f aca="false">VLOOKUP($H54,Constants!$I:$K, 2, FALSE())</f>
        <v>1</v>
      </c>
      <c r="BH54" s="1" t="n">
        <f aca="false">VLOOKUP($H54,Constants!$I:$K, 3, FALSE())*IF(AND(G54="multiple_unit",AB54&lt;110),0.75,1)</f>
        <v>2</v>
      </c>
      <c r="BI54" s="1" t="n">
        <f aca="false">INT(POWER(((Constants!$G$2+$BB54+$BC54+$BD54+$BF54)*$BE54)*$BH54, 1.05))+$BA54</f>
        <v>69</v>
      </c>
      <c r="BJ54" s="1" t="n">
        <f aca="false">INT(POWER((((Constants!$G$1+$BB54+$BC54+$BD54+$BF54)*($BE54))*$BG54),IF($G54="wagon",1,1.2)))+$AZ54</f>
        <v>76</v>
      </c>
      <c r="BK54" s="19" t="n">
        <f aca="false">BI54*IF($G54="wagon",62.5,781.25)</f>
        <v>53906.25</v>
      </c>
      <c r="BL54" s="19" t="n">
        <f aca="false">BJ54*IF($G54="wagon",2.73,81.25)</f>
        <v>6175</v>
      </c>
      <c r="BT54" s="1" t="n">
        <v>6</v>
      </c>
      <c r="BU54" s="1" t="n">
        <v>185</v>
      </c>
      <c r="BV54" s="1" t="s">
        <v>369</v>
      </c>
      <c r="BX54" s="1" t="s">
        <v>370</v>
      </c>
      <c r="BY54" s="1" t="s">
        <v>371</v>
      </c>
      <c r="BZ54" s="18" t="s">
        <v>335</v>
      </c>
      <c r="CA54" s="1" t="str">
        <f aca="false">CONCATENATE(BY54,"_",BZ54)</f>
        <v>prv_Freight</v>
      </c>
      <c r="CB54" s="1" t="str">
        <f aca="false">_xlfn.CONCAT(H54, "_",I54)</f>
        <v>diesel_RAIL</v>
      </c>
      <c r="CC54" s="20" t="str">
        <f aca="false">_xlfn.CONCAT("{BLACK}Length: {GOLD}", TEXT(ROUNDUP(IF(AQ54&lt;&gt;"",SUM(VALUE(_xlfn.TEXTSPLIT(AQ54, ","))), SUM(VALUE(_xlfn.TEXTSPLIT(AN54, ",")))*IF(M54, M54, 1))/16, 1), "#,##0.0"), " tiles{}")</f>
        <v>{BLACK}Length: {GOLD}2.3 tiles{}</v>
      </c>
      <c r="CD54" s="1" t="str">
        <f aca="false">VLOOKUP($CB54, Constants!$M:$N, 2, FALSE())</f>
        <v>{BLACK}Powered by: {GOLD}Diesel</v>
      </c>
      <c r="CE54" s="1" t="str">
        <f aca="false">IF(M54&gt;1,_xlfn.CONCAT("{BLACK}Cars: {GOLD}", M54),"")</f>
        <v>{BLACK}Cars: {GOLD}3</v>
      </c>
      <c r="CF54" s="1" t="s">
        <v>372</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{BLACK}Powered by: {GOLD}Diesel {BLACK}Cars: {GOLD}3{}{BLACK}Length: {GOLD}2.3 tiles{}{SILVER}The Windhoff MPV units were mainly used for Departmental service, notably in the iconic Rail Head Treatment trains, but trials were made in freight service.</v>
      </c>
      <c r="CI54" s="1"/>
      <c r="CJ54" s="1"/>
    </row>
    <row r="55" customFormat="false" ht="13.8" hidden="false" customHeight="false" outlineLevel="0" collapsed="false">
      <c r="A55" s="18" t="s">
        <v>381</v>
      </c>
      <c r="B55" s="18" t="s">
        <v>382</v>
      </c>
      <c r="C55" s="1" t="n">
        <v>582</v>
      </c>
      <c r="D55" s="1" t="n">
        <v>580</v>
      </c>
      <c r="E55" s="1" t="n">
        <v>474</v>
      </c>
      <c r="F55" s="1" t="s">
        <v>89</v>
      </c>
      <c r="G55" s="1" t="s">
        <v>367</v>
      </c>
      <c r="H55" s="1" t="s">
        <v>152</v>
      </c>
      <c r="I55" s="1" t="s">
        <v>153</v>
      </c>
      <c r="J55" s="1" t="n">
        <v>1999</v>
      </c>
      <c r="M55" s="1" t="n">
        <v>4</v>
      </c>
      <c r="N55" s="1" t="n">
        <v>710</v>
      </c>
      <c r="W55" s="1" t="n">
        <f aca="false">W54+19</f>
        <v>99</v>
      </c>
      <c r="Y55" s="1" t="n">
        <v>4</v>
      </c>
      <c r="Z55" s="1" t="n">
        <v>106</v>
      </c>
      <c r="AA55" s="4" t="n">
        <f aca="false">IF(AND(W55&gt;0,Z55&gt;0),(Z55/((W55+X55)*10)),"")</f>
        <v>0.107070707070707</v>
      </c>
      <c r="AB55" s="1" t="n">
        <v>75</v>
      </c>
      <c r="AC55" s="1" t="n">
        <f aca="false">ROUND(AB55*1.6, 0)</f>
        <v>120</v>
      </c>
      <c r="AF55" s="1" t="n">
        <v>20.2</v>
      </c>
      <c r="AG55" s="1" t="n">
        <v>20</v>
      </c>
      <c r="AH55" s="1" t="n">
        <v>2.82</v>
      </c>
      <c r="AI55" s="1" t="n">
        <v>3.97</v>
      </c>
      <c r="AJ55" s="5" t="n">
        <v>40</v>
      </c>
      <c r="AK55" s="0" t="str">
        <f aca="false">CONCATENATE(VLOOKUP(AL55, 'Voxel Sizes'!$A$2:$B$18,2,FALSE()),"x",INT(AH55*15), "x", INT(AI55*15))</f>
        <v>198x42x59</v>
      </c>
      <c r="AL55" s="1" t="n">
        <f aca="false">ROUND(15*((AG55*10)/256),0)</f>
        <v>12</v>
      </c>
      <c r="AN55" s="1" t="str">
        <f aca="false">CONCATENATE(VLOOKUP(AL55,Constants!$A$2:$C$16,IF(AM55&lt;&gt;"", 3, 2), FALSE()),IF(AM55&lt;&gt;"",CONCATENATE(",",VLOOKUP(AM55,$B:$AN,38,FALSE())),""))</f>
        <v>4,4,4</v>
      </c>
      <c r="AO55" s="1" t="n">
        <v>0</v>
      </c>
      <c r="AR55" s="1" t="s">
        <v>383</v>
      </c>
      <c r="AT55" s="1" t="s">
        <v>125</v>
      </c>
      <c r="AU55" s="1" t="s">
        <v>376</v>
      </c>
      <c r="AX55" s="1" t="n">
        <v>35</v>
      </c>
      <c r="AY55" s="6" t="str">
        <f aca="false">IF(L55&lt;&gt;"",MAX(16,(L55-J55)+8),"")</f>
        <v/>
      </c>
      <c r="BB55" s="1" t="n">
        <f aca="false">MIN(AB55/150, 1)*30</f>
        <v>15</v>
      </c>
      <c r="BC55" s="1" t="n">
        <f aca="false">MIN(N55/4000, 1)*20</f>
        <v>3.55</v>
      </c>
      <c r="BD55" s="1" t="n">
        <f aca="false">MIN(Z55/400,1)*20</f>
        <v>5.3</v>
      </c>
      <c r="BE55" s="4" t="n">
        <f aca="false">1-(MAX(J55-1900, 0)/750)</f>
        <v>0.868</v>
      </c>
      <c r="BF55" s="1" t="n">
        <f aca="false">((MAX($M55,1)*MIN($AJ55/300,1)))*IF(G55="Wagon",50,10)</f>
        <v>5.33333333333333</v>
      </c>
      <c r="BG55" s="1" t="n">
        <f aca="false">VLOOKUP($H55,Constants!$I:$K, 2, FALSE())</f>
        <v>1</v>
      </c>
      <c r="BH55" s="1" t="n">
        <f aca="false">VLOOKUP($H55,Constants!$I:$K, 3, FALSE())*IF(AND(G55="multiple_unit",AB55&lt;110),0.75,1)</f>
        <v>2</v>
      </c>
      <c r="BI55" s="1" t="n">
        <f aca="false">INT(POWER(((Constants!$G$2+$BB55+$BC55+$BD55+$BF55)*$BE55)*$BH55, 1.05))+$BA55</f>
        <v>72</v>
      </c>
      <c r="BJ55" s="1" t="n">
        <f aca="false">INT(POWER((((Constants!$G$1+$BB55+$BC55+$BD55+$BF55)*($BE55))*$BG55),IF($G55="wagon",1,1.2)))+$AZ55</f>
        <v>79</v>
      </c>
      <c r="BK55" s="19" t="n">
        <f aca="false">BI55*IF($G55="wagon",62.5,781.25)</f>
        <v>56250</v>
      </c>
      <c r="BL55" s="19" t="n">
        <f aca="false">BJ55*IF($G55="wagon",2.73,81.25)</f>
        <v>6418.75</v>
      </c>
      <c r="BT55" s="1" t="n">
        <v>6</v>
      </c>
      <c r="BU55" s="1" t="n">
        <v>185</v>
      </c>
      <c r="BV55" s="1" t="s">
        <v>369</v>
      </c>
      <c r="BX55" s="1" t="s">
        <v>370</v>
      </c>
      <c r="BY55" s="1" t="s">
        <v>371</v>
      </c>
      <c r="BZ55" s="18" t="s">
        <v>335</v>
      </c>
      <c r="CA55" s="1" t="str">
        <f aca="false">CONCATENATE(BY55,"_",BZ55)</f>
        <v>prv_Freight</v>
      </c>
      <c r="CB55" s="1" t="str">
        <f aca="false">_xlfn.CONCAT(H55, "_",I55)</f>
        <v>diesel_RAIL</v>
      </c>
      <c r="CC55" s="20" t="str">
        <f aca="false">_xlfn.CONCAT("{BLACK}Length: {GOLD}", TEXT(ROUNDUP(IF(AQ55&lt;&gt;"",SUM(VALUE(_xlfn.TEXTSPLIT(AQ55, ","))), SUM(VALUE(_xlfn.TEXTSPLIT(AN55, ",")))*IF(M55, M55, 1))/16, 1), "#,##0.0"), " tiles{}")</f>
        <v>{BLACK}Length: {GOLD}3.0 tiles{}</v>
      </c>
      <c r="CD55" s="1" t="str">
        <f aca="false">VLOOKUP($CB55, Constants!$M:$N, 2, FALSE())</f>
        <v>{BLACK}Powered by: {GOLD}Diesel</v>
      </c>
      <c r="CE55" s="1" t="str">
        <f aca="false">IF(M55&gt;1,_xlfn.CONCAT("{BLACK}Cars: {GOLD}", M55),"")</f>
        <v>{BLACK}Cars: {GOLD}4</v>
      </c>
      <c r="CF55" s="1" t="s">
        <v>372</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{GOLD}Diesel {BLACK}Cars: {GOLD}4{}{BLACK}Length: {GOLD}3.0 tiles{}{SILVER}The Windhoff MPV units were mainly used for Departmental service, notably in the iconic Rail Head Treatment trains, but trials were made in freight service.</v>
      </c>
      <c r="CI55" s="1"/>
      <c r="CJ55" s="1"/>
    </row>
    <row r="56" customFormat="false" ht="13.8" hidden="false" customHeight="false" outlineLevel="0" collapsed="false">
      <c r="A56" s="18" t="s">
        <v>384</v>
      </c>
      <c r="B56" s="18" t="s">
        <v>385</v>
      </c>
      <c r="C56" s="1" t="n">
        <v>583</v>
      </c>
      <c r="D56" s="1" t="n">
        <v>580</v>
      </c>
      <c r="E56" s="1" t="n">
        <v>475</v>
      </c>
      <c r="F56" s="1" t="s">
        <v>89</v>
      </c>
      <c r="G56" s="1" t="s">
        <v>367</v>
      </c>
      <c r="H56" s="1" t="s">
        <v>152</v>
      </c>
      <c r="I56" s="1" t="s">
        <v>153</v>
      </c>
      <c r="J56" s="1" t="n">
        <v>1999</v>
      </c>
      <c r="M56" s="1" t="n">
        <v>5</v>
      </c>
      <c r="N56" s="1" t="n">
        <v>710</v>
      </c>
      <c r="W56" s="1" t="n">
        <f aca="false">W55+19</f>
        <v>118</v>
      </c>
      <c r="Y56" s="1" t="n">
        <v>4</v>
      </c>
      <c r="Z56" s="1" t="n">
        <v>106</v>
      </c>
      <c r="AA56" s="4" t="n">
        <f aca="false">IF(AND(W56&gt;0,Z56&gt;0),(Z56/((W56+X56)*10)),"")</f>
        <v>0.0898305084745763</v>
      </c>
      <c r="AB56" s="1" t="n">
        <v>75</v>
      </c>
      <c r="AC56" s="1" t="n">
        <f aca="false">ROUND(AB56*1.6, 0)</f>
        <v>120</v>
      </c>
      <c r="AF56" s="1" t="n">
        <v>20.2</v>
      </c>
      <c r="AG56" s="1" t="n">
        <v>20</v>
      </c>
      <c r="AH56" s="1" t="n">
        <v>2.82</v>
      </c>
      <c r="AI56" s="1" t="n">
        <v>3.97</v>
      </c>
      <c r="AJ56" s="5" t="n">
        <v>40</v>
      </c>
      <c r="AK56" s="0" t="str">
        <f aca="false">CONCATENATE(VLOOKUP(AL56, 'Voxel Sizes'!$A$2:$B$18,2,FALSE()),"x",INT(AH56*15), "x", INT(AI56*15))</f>
        <v>198x42x59</v>
      </c>
      <c r="AL56" s="1" t="n">
        <f aca="false">ROUND(15*((AG56*10)/256),0)</f>
        <v>12</v>
      </c>
      <c r="AN56" s="1" t="str">
        <f aca="false">CONCATENATE(VLOOKUP(AL56,Constants!$A$2:$C$16,IF(AM56&lt;&gt;"", 3, 2), FALSE()),IF(AM56&lt;&gt;"",CONCATENATE(",",VLOOKUP(AM56,$B:$AN,38,FALSE())),""))</f>
        <v>4,4,4</v>
      </c>
      <c r="AO56" s="1" t="n">
        <v>0</v>
      </c>
      <c r="AR56" s="1" t="s">
        <v>386</v>
      </c>
      <c r="AT56" s="1" t="s">
        <v>130</v>
      </c>
      <c r="AU56" s="1" t="s">
        <v>376</v>
      </c>
      <c r="AX56" s="1" t="n">
        <v>35</v>
      </c>
      <c r="AY56" s="6" t="str">
        <f aca="false">IF(L56&lt;&gt;"",MAX(16,(L56-J56)+8),"")</f>
        <v/>
      </c>
      <c r="BB56" s="1" t="n">
        <f aca="false">MIN(AB56/150, 1)*30</f>
        <v>15</v>
      </c>
      <c r="BC56" s="1" t="n">
        <f aca="false">MIN(N56/4000, 1)*20</f>
        <v>3.55</v>
      </c>
      <c r="BD56" s="1" t="n">
        <f aca="false">MIN(Z56/400,1)*20</f>
        <v>5.3</v>
      </c>
      <c r="BE56" s="4" t="n">
        <f aca="false">1-(MAX(J56-1900, 0)/750)</f>
        <v>0.868</v>
      </c>
      <c r="BF56" s="1" t="n">
        <f aca="false">((MAX($M56,1)*MIN($AJ56/300,1)))*IF(G56="Wagon",50,10)</f>
        <v>6.66666666666667</v>
      </c>
      <c r="BG56" s="1" t="n">
        <f aca="false">VLOOKUP($H56,Constants!$I:$K, 2, FALSE())</f>
        <v>1</v>
      </c>
      <c r="BH56" s="1" t="n">
        <f aca="false">VLOOKUP($H56,Constants!$I:$K, 3, FALSE())*IF(AND(G56="multiple_unit",AB56&lt;110),0.75,1)</f>
        <v>2</v>
      </c>
      <c r="BI56" s="1" t="n">
        <f aca="false">INT(POWER(((Constants!$G$2+$BB56+$BC56+$BD56+$BF56)*$BE56)*$BH56, 1.05))+$BA56</f>
        <v>75</v>
      </c>
      <c r="BJ56" s="1" t="n">
        <f aca="false">INT(POWER((((Constants!$G$1+$BB56+$BC56+$BD56+$BF56)*($BE56))*$BG56),IF($G56="wagon",1,1.2)))+$AZ56</f>
        <v>82</v>
      </c>
      <c r="BK56" s="19" t="n">
        <f aca="false">BI56*IF($G56="wagon",62.5,781.25)</f>
        <v>58593.75</v>
      </c>
      <c r="BL56" s="19" t="n">
        <f aca="false">BJ56*IF($G56="wagon",2.73,81.25)</f>
        <v>6662.5</v>
      </c>
      <c r="BT56" s="1" t="n">
        <v>6</v>
      </c>
      <c r="BU56" s="1" t="n">
        <v>185</v>
      </c>
      <c r="BV56" s="1" t="s">
        <v>369</v>
      </c>
      <c r="BX56" s="1" t="s">
        <v>370</v>
      </c>
      <c r="BY56" s="1" t="s">
        <v>371</v>
      </c>
      <c r="BZ56" s="18" t="s">
        <v>335</v>
      </c>
      <c r="CA56" s="1" t="str">
        <f aca="false">CONCATENATE(BY56,"_",BZ56)</f>
        <v>prv_Freight</v>
      </c>
      <c r="CB56" s="1" t="str">
        <f aca="false">_xlfn.CONCAT(H56, "_",I56)</f>
        <v>diesel_RAIL</v>
      </c>
      <c r="CC56" s="20" t="str">
        <f aca="false">_xlfn.CONCAT("{BLACK}Length: {GOLD}", TEXT(ROUNDUP(IF(AQ56&lt;&gt;"",SUM(VALUE(_xlfn.TEXTSPLIT(AQ56, ","))), SUM(VALUE(_xlfn.TEXTSPLIT(AN56, ",")))*IF(M56, M56, 1))/16, 1), "#,##0.0"), " tiles{}")</f>
        <v>{BLACK}Length: {GOLD}3.8 tiles{}</v>
      </c>
      <c r="CD56" s="1" t="str">
        <f aca="false">VLOOKUP($CB56, Constants!$M:$N, 2, FALSE())</f>
        <v>{BLACK}Powered by: {GOLD}Diesel</v>
      </c>
      <c r="CE56" s="1" t="str">
        <f aca="false">IF(M56&gt;1,_xlfn.CONCAT("{BLACK}Cars: {GOLD}", M56),"")</f>
        <v>{BLACK}Cars: {GOLD}5</v>
      </c>
      <c r="CF56" s="1" t="s">
        <v>372</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{GOLD}Diesel {BLACK}Cars: {GOLD}5{}{BLACK}Length: {GOLD}3.8 tiles{}{SILVER}The Windhoff MPV units were mainly used for Departmental service, notably in the iconic Rail Head Treatment trains, but trials were made in freight service.</v>
      </c>
      <c r="CI56" s="1"/>
      <c r="CJ56" s="1"/>
    </row>
    <row r="57" customFormat="false" ht="13.8" hidden="false" customHeight="false" outlineLevel="0" collapsed="false">
      <c r="A57" s="0" t="s">
        <v>387</v>
      </c>
      <c r="B57" s="0" t="s">
        <v>388</v>
      </c>
      <c r="C57" s="0" t="n">
        <v>440</v>
      </c>
      <c r="D57" s="0"/>
      <c r="E57" s="0" t="n">
        <v>480</v>
      </c>
      <c r="F57" s="0" t="s">
        <v>89</v>
      </c>
      <c r="G57" s="0" t="s">
        <v>90</v>
      </c>
      <c r="H57" s="0" t="s">
        <v>152</v>
      </c>
      <c r="I57" s="0" t="s">
        <v>153</v>
      </c>
      <c r="J57" s="0" t="n">
        <v>2003</v>
      </c>
      <c r="K57" s="0"/>
      <c r="L57" s="0"/>
      <c r="M57" s="0" t="n">
        <v>4</v>
      </c>
      <c r="N57" s="0" t="n">
        <f aca="false">750*M57</f>
        <v>3000</v>
      </c>
      <c r="O57" s="27"/>
      <c r="P57" s="28"/>
      <c r="Q57" s="28"/>
      <c r="R57" s="28"/>
      <c r="S57" s="28"/>
      <c r="T57" s="28"/>
      <c r="U57" s="28"/>
      <c r="V57" s="28"/>
      <c r="W57" s="0" t="n">
        <v>186.5</v>
      </c>
      <c r="X57" s="27"/>
      <c r="Y57" s="0" t="n">
        <v>5</v>
      </c>
      <c r="Z57" s="0" t="n">
        <f aca="false">54*M57</f>
        <v>216</v>
      </c>
      <c r="AA57" s="29" t="n">
        <f aca="false">IF(AND(W57&gt;0,Z57&gt;0),(Z57/((W57+X57)*10)),"")</f>
        <v>0.115817694369973</v>
      </c>
      <c r="AB57" s="0" t="n">
        <v>125</v>
      </c>
      <c r="AC57" s="0" t="n">
        <f aca="false">ROUND(AB57*1.6, 0)</f>
        <v>200</v>
      </c>
      <c r="AD57" s="0"/>
      <c r="AE57" s="0"/>
      <c r="AF57" s="0" t="n">
        <v>23.8</v>
      </c>
      <c r="AG57" s="0" t="n">
        <v>23.8</v>
      </c>
      <c r="AH57" s="0" t="n">
        <v>2.73</v>
      </c>
      <c r="AI57" s="0"/>
      <c r="AJ57" s="30" t="n">
        <v>51</v>
      </c>
      <c r="AK57" s="0" t="str">
        <f aca="false">CONCATENATE(VLOOKUP(AL57, 'Voxel Sizes'!$A$2:$B$18,2,FALSE()),"x",INT(AH57*15), "x", INT(AI57*15))</f>
        <v>238x40x0</v>
      </c>
      <c r="AL57" s="0" t="n">
        <f aca="false">ROUND(15*((AG57*10)/256),0)</f>
        <v>14</v>
      </c>
      <c r="AM57" s="0"/>
      <c r="AN57" s="1" t="str">
        <f aca="false">CONCATENATE(VLOOKUP(AL57,Constants!$A$2:$C$16,IF(AM57&lt;&gt;"", 3, 2), FALSE()),IF(AM57&lt;&gt;"",CONCATENATE(",",VLOOKUP(AM57,$B:$AN,38,FALSE())),""))</f>
        <v>4,6,4</v>
      </c>
      <c r="AO57" s="0"/>
      <c r="AP57" s="31"/>
      <c r="AQ57" s="31"/>
      <c r="AR57" s="0" t="s">
        <v>389</v>
      </c>
      <c r="AS57" s="0"/>
      <c r="AT57" s="0" t="s">
        <v>171</v>
      </c>
      <c r="AU57" s="0" t="s">
        <v>390</v>
      </c>
      <c r="AV57" s="0"/>
      <c r="AW57" s="0"/>
      <c r="AX57" s="0" t="n">
        <v>29</v>
      </c>
      <c r="AY57" s="32" t="str">
        <f aca="false">IF(L57&lt;&gt;"",MAX(16,(L57-J57)+8),"")</f>
        <v/>
      </c>
      <c r="AZ57" s="0" t="n">
        <v>-15</v>
      </c>
      <c r="BA57" s="0" t="n">
        <v>-35</v>
      </c>
      <c r="BB57" s="0" t="n">
        <f aca="false">MIN(AB57/150, 1)*30</f>
        <v>25</v>
      </c>
      <c r="BC57" s="0" t="n">
        <f aca="false">MIN(N57/4000, 1)*20</f>
        <v>15</v>
      </c>
      <c r="BD57" s="0" t="n">
        <f aca="false">MIN(Z57/400,1)*20</f>
        <v>10.8</v>
      </c>
      <c r="BE57" s="29" t="n">
        <f aca="false">1-(MAX(J57-1900, 0)/750)</f>
        <v>0.862666666666667</v>
      </c>
      <c r="BF57" s="0" t="n">
        <f aca="false">((MAX($M57,1)*MIN($AJ57/300,1)))*IF(G57="Wagon",50,10)</f>
        <v>6.8</v>
      </c>
      <c r="BG57" s="1" t="n">
        <f aca="false">VLOOKUP($H57,Constants!$I:$K, 2, FALSE())</f>
        <v>1</v>
      </c>
      <c r="BH57" s="1" t="n">
        <f aca="false">VLOOKUP($H57,Constants!$I:$K, 3, FALSE())*IF(AND(G57="multiple_unit",AB57&lt;110),0.75,1)</f>
        <v>2</v>
      </c>
      <c r="BI57" s="1" t="n">
        <f aca="false">INT(POWER(((Constants!$G$2+$BB57+$BC57+$BD57+$BF57)*$BE57)*$BH57, 1.05))+$BA57</f>
        <v>101</v>
      </c>
      <c r="BJ57" s="1" t="n">
        <f aca="false">INT(POWER((((Constants!$G$1+$BB57+$BC57+$BD57+$BF57)*($BE57))*$BG57),IF($G57="wagon",1,1.2)))+$AZ57</f>
        <v>128</v>
      </c>
      <c r="BK57" s="33" t="n">
        <f aca="false">BI57*IF($G57="wagon",62.5,781.25)</f>
        <v>78906.25</v>
      </c>
      <c r="BL57" s="33" t="n">
        <f aca="false">BJ57*IF($G57="wagon",2.73,81.25)</f>
        <v>10400</v>
      </c>
      <c r="BM57" s="0"/>
      <c r="BN57" s="0"/>
      <c r="BO57" s="0"/>
      <c r="BP57" s="0"/>
      <c r="BQ57" s="0" t="s">
        <v>391</v>
      </c>
      <c r="BR57" s="0"/>
      <c r="BS57" s="0"/>
      <c r="BT57" s="0" t="n">
        <v>10</v>
      </c>
      <c r="BU57" s="0" t="n">
        <v>205</v>
      </c>
      <c r="BV57" s="0"/>
      <c r="BW57" s="0"/>
      <c r="BX57" s="0" t="s">
        <v>95</v>
      </c>
      <c r="BY57" s="1" t="s">
        <v>371</v>
      </c>
      <c r="BZ57" s="34" t="s">
        <v>211</v>
      </c>
      <c r="CA57" s="0" t="str">
        <f aca="false">CONCATENATE(BY57,"_",BZ57)</f>
        <v>prv_DMU (Express)</v>
      </c>
      <c r="CB57" s="0" t="str">
        <f aca="false">_xlfn.CONCAT(H57, "_",I57)</f>
        <v>diesel_RAIL</v>
      </c>
      <c r="CC57" s="20" t="str">
        <f aca="false">_xlfn.CONCAT("{BLACK}Length: {GOLD}", TEXT(ROUNDUP(IF(AQ57&lt;&gt;"",SUM(VALUE(_xlfn.TEXTSPLIT(AQ57, ","))), SUM(VALUE(_xlfn.TEXTSPLIT(AN57, ",")))*IF(M57, M57, 1))/16, 1), "#,##0.0"), " tiles{}")</f>
        <v>{BLACK}Length: {GOLD}3.5 tiles{}</v>
      </c>
      <c r="CD57" s="1" t="str">
        <f aca="false">VLOOKUP($CB57, Constants!$M:$N, 2, FALSE())</f>
        <v>{BLACK}Powered by: {GOLD}Diesel</v>
      </c>
      <c r="CE57" s="1" t="str">
        <f aca="false">IF(M57&gt;1,_xlfn.CONCAT("{BLACK}Cars: {GOLD}", M57),"")</f>
        <v>{BLACK}Cars: {GOLD}4</v>
      </c>
      <c r="CF57" s="0" t="s">
        <v>392</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{YELLOW}10% bonus for long distance travel{}</v>
      </c>
      <c r="CH57" s="1" t="str">
        <f aca="false">_xlfn.CONCAT(CD57,IF(CD57 &lt;&gt; "", " ", ""),CE57,IF(OR(CE57&lt;&gt;"", CD57&lt;&gt;""), "{}",""), CC57, CG57,"{SILVER}", CF57)</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c r="CI57" s="0"/>
      <c r="CJ57" s="0"/>
      <c r="CK57" s="0"/>
      <c r="CL57" s="0"/>
      <c r="CM57" s="0"/>
      <c r="CN57" s="0"/>
      <c r="CO57" s="0"/>
      <c r="CP57" s="0"/>
      <c r="CQ57" s="0"/>
      <c r="CR57" s="0"/>
      <c r="CS57" s="0"/>
      <c r="CT57" s="0"/>
      <c r="CU57" s="0"/>
      <c r="CV57" s="0"/>
      <c r="CW57" s="0"/>
      <c r="CX57" s="0"/>
      <c r="CY57" s="0"/>
      <c r="CZ57" s="0"/>
      <c r="DA57" s="0"/>
      <c r="DB57" s="0"/>
      <c r="DC57" s="0"/>
      <c r="DD57" s="0"/>
      <c r="DE57" s="0"/>
      <c r="DF57" s="0"/>
      <c r="DG57" s="0"/>
      <c r="DH57" s="0"/>
      <c r="DI57" s="0"/>
      <c r="DJ57" s="0"/>
      <c r="DK57" s="0"/>
      <c r="DL57" s="0"/>
      <c r="DM57" s="0"/>
      <c r="DN57" s="0"/>
      <c r="DO57" s="0"/>
      <c r="DP57" s="0"/>
      <c r="DQ57" s="0"/>
      <c r="DR57" s="0"/>
      <c r="DS57" s="0"/>
      <c r="DT57" s="0"/>
      <c r="DU57" s="0"/>
      <c r="DV57" s="0"/>
      <c r="DW57" s="0"/>
      <c r="DX57" s="0"/>
      <c r="DY57" s="0"/>
      <c r="DZ57" s="0"/>
      <c r="EA57" s="0"/>
      <c r="EB57" s="0"/>
      <c r="EC57" s="0"/>
      <c r="ED57" s="0"/>
      <c r="EE57" s="0"/>
      <c r="EF57" s="0"/>
      <c r="EG57" s="0"/>
      <c r="EH57" s="0"/>
      <c r="EI57" s="0"/>
      <c r="EJ57" s="0"/>
      <c r="EK57" s="0"/>
      <c r="EL57" s="0"/>
      <c r="EM57" s="0"/>
      <c r="EN57" s="0"/>
      <c r="EO57" s="0"/>
      <c r="EP57" s="0"/>
      <c r="EQ57" s="0"/>
      <c r="ER57" s="0"/>
      <c r="ES57" s="0"/>
      <c r="ET57" s="0"/>
      <c r="EU57" s="0"/>
      <c r="EV57" s="0"/>
      <c r="EW57" s="0"/>
      <c r="EX57" s="0"/>
      <c r="EY57" s="0"/>
      <c r="EZ57" s="0"/>
      <c r="FA57" s="0"/>
      <c r="FB57" s="0"/>
      <c r="FC57" s="0"/>
      <c r="FD57" s="0"/>
      <c r="FE57" s="0"/>
      <c r="FF57" s="0"/>
      <c r="FG57" s="0"/>
      <c r="FH57" s="0"/>
      <c r="FI57" s="0"/>
      <c r="FJ57" s="0"/>
      <c r="FK57" s="0"/>
      <c r="FL57" s="0"/>
      <c r="FM57" s="0"/>
      <c r="FN57" s="0"/>
      <c r="FO57" s="0"/>
      <c r="FP57" s="0"/>
      <c r="FQ57" s="0"/>
      <c r="FR57" s="0"/>
      <c r="FS57" s="0"/>
      <c r="FT57" s="0"/>
      <c r="FU57" s="0"/>
      <c r="FV57" s="0"/>
      <c r="FW57" s="0"/>
      <c r="FX57" s="0"/>
      <c r="FY57" s="0"/>
      <c r="FZ57" s="0"/>
      <c r="GA57" s="0"/>
      <c r="GB57" s="0"/>
      <c r="GC57" s="0"/>
      <c r="GD57" s="0"/>
      <c r="GE57" s="0"/>
      <c r="GF57" s="0"/>
      <c r="GG57" s="0"/>
      <c r="GH57" s="0"/>
      <c r="GI57" s="0"/>
      <c r="GJ57" s="0"/>
      <c r="GK57" s="0"/>
      <c r="GL57" s="0"/>
      <c r="GM57" s="0"/>
      <c r="GN57" s="0"/>
      <c r="GO57" s="0"/>
      <c r="GP57" s="0"/>
      <c r="GQ57" s="0"/>
      <c r="GR57" s="0"/>
      <c r="GS57" s="0"/>
      <c r="GT57" s="0"/>
      <c r="GU57" s="0"/>
      <c r="GV57" s="0"/>
      <c r="GW57" s="0"/>
      <c r="GX57" s="0"/>
      <c r="GY57" s="0"/>
      <c r="GZ57" s="0"/>
      <c r="HA57" s="0"/>
      <c r="HB57" s="0"/>
      <c r="HC57" s="0"/>
      <c r="HD57" s="0"/>
      <c r="HE57" s="0"/>
      <c r="HF57" s="0"/>
      <c r="HG57" s="0"/>
      <c r="HH57" s="0"/>
      <c r="HI57" s="0"/>
      <c r="HJ57" s="0"/>
      <c r="HK57" s="0"/>
      <c r="HL57" s="0"/>
      <c r="HM57" s="0"/>
      <c r="HN57" s="0"/>
      <c r="HO57" s="0"/>
      <c r="HP57" s="0"/>
      <c r="HQ57" s="0"/>
      <c r="HR57" s="0"/>
      <c r="HS57" s="0"/>
      <c r="HT57" s="0"/>
      <c r="HU57" s="0"/>
      <c r="HV57" s="0"/>
      <c r="HW57" s="0"/>
      <c r="HX57" s="0"/>
      <c r="HY57" s="0"/>
      <c r="HZ57" s="0"/>
      <c r="IA57" s="0"/>
      <c r="IB57" s="0"/>
      <c r="IC57" s="0"/>
      <c r="ID57" s="0"/>
      <c r="IE57" s="0"/>
      <c r="IF57" s="0"/>
      <c r="IG57" s="0"/>
      <c r="IH57" s="0"/>
      <c r="II57" s="0"/>
      <c r="IJ57" s="0"/>
      <c r="IK57" s="0"/>
      <c r="IL57" s="0"/>
      <c r="IM57" s="0"/>
      <c r="IN57" s="0"/>
      <c r="IO57" s="0"/>
      <c r="IP57" s="0"/>
      <c r="IQ57" s="0"/>
      <c r="IR57" s="0"/>
      <c r="IS57" s="0"/>
      <c r="IT57" s="0"/>
      <c r="IU57" s="0"/>
      <c r="IV57" s="0"/>
      <c r="IW57" s="0"/>
      <c r="IX57" s="0"/>
      <c r="IY57" s="0"/>
      <c r="IZ57" s="0"/>
      <c r="JA57" s="0"/>
      <c r="JB57" s="0"/>
      <c r="JC57" s="0"/>
      <c r="JD57" s="0"/>
      <c r="JE57" s="0"/>
      <c r="JF57" s="0"/>
      <c r="JG57" s="0"/>
      <c r="JH57" s="0"/>
      <c r="JI57" s="0"/>
      <c r="JJ57" s="0"/>
      <c r="JK57" s="0"/>
      <c r="JL57" s="0"/>
      <c r="JM57" s="0"/>
      <c r="JN57" s="0"/>
      <c r="JO57" s="0"/>
      <c r="JP57" s="0"/>
      <c r="JQ57" s="0"/>
      <c r="JR57" s="0"/>
      <c r="JS57" s="0"/>
      <c r="JT57" s="0"/>
      <c r="JU57" s="0"/>
      <c r="JV57" s="0"/>
      <c r="JW57" s="0"/>
      <c r="JX57" s="0"/>
      <c r="JY57" s="0"/>
      <c r="JZ57" s="0"/>
      <c r="KA57" s="0"/>
      <c r="KB57" s="0"/>
      <c r="KC57" s="0"/>
      <c r="KD57" s="0"/>
      <c r="KE57" s="0"/>
      <c r="KF57" s="0"/>
      <c r="KG57" s="0"/>
      <c r="KH57" s="0"/>
      <c r="KI57" s="0"/>
      <c r="KJ57" s="0"/>
      <c r="KK57" s="0"/>
      <c r="KL57" s="0"/>
      <c r="KM57" s="0"/>
      <c r="KN57" s="0"/>
      <c r="KO57" s="0"/>
      <c r="KP57" s="0"/>
      <c r="KQ57" s="0"/>
      <c r="KR57" s="0"/>
      <c r="KS57" s="0"/>
      <c r="KT57" s="0"/>
      <c r="KU57" s="0"/>
      <c r="KV57" s="0"/>
      <c r="KW57" s="0"/>
      <c r="KX57" s="0"/>
      <c r="KY57" s="0"/>
      <c r="KZ57" s="0"/>
      <c r="LA57" s="0"/>
      <c r="LB57" s="0"/>
      <c r="LC57" s="0"/>
      <c r="LD57" s="0"/>
      <c r="LE57" s="0"/>
      <c r="LF57" s="0"/>
      <c r="LG57" s="0"/>
      <c r="LH57" s="0"/>
      <c r="LI57" s="0"/>
      <c r="LJ57" s="0"/>
      <c r="LK57" s="0"/>
      <c r="LL57" s="0"/>
      <c r="LM57" s="0"/>
      <c r="LN57" s="0"/>
      <c r="LO57" s="0"/>
      <c r="LP57" s="0"/>
      <c r="LQ57" s="0"/>
      <c r="LR57" s="0"/>
      <c r="LS57" s="0"/>
      <c r="LT57" s="0"/>
      <c r="LU57" s="0"/>
      <c r="LV57" s="0"/>
      <c r="LW57" s="0"/>
      <c r="LX57" s="0"/>
      <c r="LY57" s="0"/>
      <c r="LZ57" s="0"/>
      <c r="MA57" s="0"/>
      <c r="MB57" s="0"/>
      <c r="MC57" s="0"/>
      <c r="MD57" s="0"/>
      <c r="ME57" s="0"/>
      <c r="MF57" s="0"/>
      <c r="MG57" s="0"/>
      <c r="MH57" s="0"/>
      <c r="MI57" s="0"/>
      <c r="MJ57" s="0"/>
      <c r="MK57" s="0"/>
      <c r="ML57" s="0"/>
      <c r="MM57" s="0"/>
      <c r="MN57" s="0"/>
      <c r="MO57" s="0"/>
      <c r="MP57" s="0"/>
      <c r="MQ57" s="0"/>
      <c r="MR57" s="0"/>
      <c r="MS57" s="0"/>
      <c r="MT57" s="0"/>
      <c r="MU57" s="0"/>
      <c r="MV57" s="0"/>
      <c r="MW57" s="0"/>
      <c r="MX57" s="0"/>
      <c r="MY57" s="0"/>
      <c r="MZ57" s="0"/>
      <c r="NA57" s="0"/>
      <c r="NB57" s="0"/>
      <c r="NC57" s="0"/>
      <c r="ND57" s="0"/>
      <c r="NE57" s="0"/>
      <c r="NF57" s="0"/>
      <c r="NG57" s="0"/>
      <c r="NH57" s="0"/>
      <c r="NI57" s="0"/>
      <c r="NJ57" s="0"/>
      <c r="NK57" s="0"/>
      <c r="NL57" s="0"/>
      <c r="NM57" s="0"/>
      <c r="NN57" s="0"/>
      <c r="NO57" s="0"/>
      <c r="NP57" s="0"/>
      <c r="NQ57" s="0"/>
      <c r="NR57" s="0"/>
      <c r="NS57" s="0"/>
      <c r="NT57" s="0"/>
      <c r="NU57" s="0"/>
      <c r="NV57" s="0"/>
      <c r="NW57" s="0"/>
      <c r="NX57" s="0"/>
      <c r="NY57" s="0"/>
      <c r="NZ57" s="0"/>
      <c r="OA57" s="0"/>
      <c r="OB57" s="0"/>
      <c r="OC57" s="0"/>
      <c r="OD57" s="0"/>
      <c r="OE57" s="0"/>
      <c r="OF57" s="0"/>
      <c r="OG57" s="0"/>
      <c r="OH57" s="0"/>
      <c r="OI57" s="0"/>
      <c r="OJ57" s="0"/>
      <c r="OK57" s="0"/>
      <c r="OL57" s="0"/>
      <c r="OM57" s="0"/>
      <c r="ON57" s="0"/>
      <c r="OO57" s="0"/>
      <c r="OP57" s="0"/>
      <c r="OQ57" s="0"/>
      <c r="OR57" s="0"/>
      <c r="OS57" s="0"/>
      <c r="OT57" s="0"/>
      <c r="OU57" s="0"/>
      <c r="OV57" s="0"/>
      <c r="OW57" s="0"/>
      <c r="OX57" s="0"/>
      <c r="OY57" s="0"/>
      <c r="OZ57" s="0"/>
      <c r="PA57" s="0"/>
      <c r="PB57" s="0"/>
      <c r="PC57" s="0"/>
      <c r="PD57" s="0"/>
      <c r="PE57" s="0"/>
      <c r="PF57" s="0"/>
      <c r="PG57" s="0"/>
      <c r="PH57" s="0"/>
      <c r="PI57" s="0"/>
      <c r="PJ57" s="0"/>
      <c r="PK57" s="0"/>
      <c r="PL57" s="0"/>
      <c r="PM57" s="0"/>
      <c r="PN57" s="0"/>
      <c r="PO57" s="0"/>
      <c r="PP57" s="0"/>
      <c r="PQ57" s="0"/>
      <c r="PR57" s="0"/>
      <c r="PS57" s="0"/>
      <c r="PT57" s="0"/>
      <c r="PU57" s="0"/>
      <c r="PV57" s="0"/>
      <c r="PW57" s="0"/>
      <c r="PX57" s="0"/>
      <c r="PY57" s="0"/>
      <c r="PZ57" s="0"/>
      <c r="QA57" s="0"/>
      <c r="QB57" s="0"/>
      <c r="QC57" s="0"/>
      <c r="QD57" s="0"/>
      <c r="QE57" s="0"/>
      <c r="QF57" s="0"/>
      <c r="QG57" s="0"/>
      <c r="QH57" s="0"/>
      <c r="QI57" s="0"/>
      <c r="QJ57" s="0"/>
      <c r="QK57" s="0"/>
      <c r="QL57" s="0"/>
      <c r="QM57" s="0"/>
      <c r="QN57" s="0"/>
      <c r="QO57" s="0"/>
      <c r="QP57" s="0"/>
      <c r="QQ57" s="0"/>
      <c r="QR57" s="0"/>
      <c r="QS57" s="0"/>
      <c r="QT57" s="0"/>
      <c r="QU57" s="0"/>
      <c r="QV57" s="0"/>
      <c r="QW57" s="0"/>
      <c r="QX57" s="0"/>
      <c r="QY57" s="0"/>
      <c r="QZ57" s="0"/>
      <c r="RA57" s="0"/>
      <c r="RB57" s="0"/>
      <c r="RC57" s="0"/>
      <c r="RD57" s="0"/>
      <c r="RE57" s="0"/>
      <c r="RF57" s="0"/>
      <c r="RG57" s="0"/>
      <c r="RH57" s="0"/>
      <c r="RI57" s="0"/>
      <c r="RJ57" s="0"/>
      <c r="RK57" s="0"/>
      <c r="RL57" s="0"/>
      <c r="RM57" s="0"/>
      <c r="RN57" s="0"/>
      <c r="RO57" s="0"/>
      <c r="RP57" s="0"/>
      <c r="RQ57" s="0"/>
      <c r="RR57" s="0"/>
      <c r="RS57" s="0"/>
      <c r="RT57" s="0"/>
      <c r="RU57" s="0"/>
      <c r="RV57" s="0"/>
      <c r="RW57" s="0"/>
      <c r="RX57" s="0"/>
      <c r="RY57" s="0"/>
      <c r="RZ57" s="0"/>
      <c r="SA57" s="0"/>
      <c r="SB57" s="0"/>
      <c r="SC57" s="0"/>
      <c r="SD57" s="0"/>
      <c r="SE57" s="0"/>
      <c r="SF57" s="0"/>
      <c r="SG57" s="0"/>
      <c r="SH57" s="0"/>
      <c r="SI57" s="0"/>
      <c r="SJ57" s="0"/>
      <c r="SK57" s="0"/>
      <c r="SL57" s="0"/>
      <c r="SM57" s="0"/>
      <c r="SN57" s="0"/>
      <c r="SO57" s="0"/>
      <c r="SP57" s="0"/>
      <c r="SQ57" s="0"/>
      <c r="SR57" s="0"/>
      <c r="SS57" s="0"/>
      <c r="ST57" s="0"/>
      <c r="SU57" s="0"/>
      <c r="SV57" s="0"/>
      <c r="SW57" s="0"/>
      <c r="SX57" s="0"/>
      <c r="SY57" s="0"/>
      <c r="SZ57" s="0"/>
      <c r="TA57" s="0"/>
      <c r="TB57" s="0"/>
      <c r="TC57" s="0"/>
      <c r="TD57" s="0"/>
      <c r="TE57" s="0"/>
      <c r="TF57" s="0"/>
      <c r="TG57" s="0"/>
      <c r="TH57" s="0"/>
      <c r="TI57" s="0"/>
      <c r="TJ57" s="0"/>
      <c r="TK57" s="0"/>
      <c r="TL57" s="0"/>
      <c r="TM57" s="0"/>
      <c r="TN57" s="0"/>
      <c r="TO57" s="0"/>
      <c r="TP57" s="0"/>
      <c r="TQ57" s="0"/>
      <c r="TR57" s="0"/>
      <c r="TS57" s="0"/>
      <c r="TT57" s="0"/>
      <c r="TU57" s="0"/>
      <c r="TV57" s="0"/>
      <c r="TW57" s="0"/>
      <c r="TX57" s="0"/>
      <c r="TY57" s="0"/>
      <c r="TZ57" s="0"/>
      <c r="UA57" s="0"/>
      <c r="UB57" s="0"/>
      <c r="UC57" s="0"/>
      <c r="UD57" s="0"/>
      <c r="UE57" s="0"/>
      <c r="UF57" s="0"/>
      <c r="UG57" s="0"/>
      <c r="UH57" s="0"/>
      <c r="UI57" s="0"/>
      <c r="UJ57" s="0"/>
      <c r="UK57" s="0"/>
      <c r="UL57" s="0"/>
      <c r="UM57" s="0"/>
      <c r="UN57" s="0"/>
      <c r="UO57" s="0"/>
      <c r="UP57" s="0"/>
      <c r="UQ57" s="0"/>
      <c r="UR57" s="0"/>
      <c r="US57" s="0"/>
      <c r="UT57" s="0"/>
      <c r="UU57" s="0"/>
      <c r="UV57" s="0"/>
      <c r="UW57" s="0"/>
      <c r="UX57" s="0"/>
      <c r="UY57" s="0"/>
      <c r="UZ57" s="0"/>
      <c r="VA57" s="0"/>
      <c r="VB57" s="0"/>
      <c r="VC57" s="0"/>
      <c r="VD57" s="0"/>
      <c r="VE57" s="0"/>
      <c r="VF57" s="0"/>
      <c r="VG57" s="0"/>
      <c r="VH57" s="0"/>
      <c r="VI57" s="0"/>
      <c r="VJ57" s="0"/>
      <c r="VK57" s="0"/>
      <c r="VL57" s="0"/>
      <c r="VM57" s="0"/>
      <c r="VN57" s="0"/>
      <c r="VO57" s="0"/>
      <c r="VP57" s="0"/>
      <c r="VQ57" s="0"/>
      <c r="VR57" s="0"/>
      <c r="VS57" s="0"/>
      <c r="VT57" s="0"/>
      <c r="VU57" s="0"/>
      <c r="VV57" s="0"/>
      <c r="VW57" s="0"/>
      <c r="VX57" s="0"/>
      <c r="VY57" s="0"/>
      <c r="VZ57" s="0"/>
      <c r="WA57" s="0"/>
      <c r="WB57" s="0"/>
      <c r="WC57" s="0"/>
      <c r="WD57" s="0"/>
      <c r="WE57" s="0"/>
      <c r="WF57" s="0"/>
      <c r="WG57" s="0"/>
      <c r="WH57" s="0"/>
      <c r="WI57" s="0"/>
      <c r="WJ57" s="0"/>
      <c r="WK57" s="0"/>
      <c r="WL57" s="0"/>
      <c r="WM57" s="0"/>
      <c r="WN57" s="0"/>
      <c r="WO57" s="0"/>
      <c r="WP57" s="0"/>
      <c r="WQ57" s="0"/>
      <c r="WR57" s="0"/>
      <c r="WS57" s="0"/>
      <c r="WT57" s="0"/>
      <c r="WU57" s="0"/>
      <c r="WV57" s="0"/>
      <c r="WW57" s="0"/>
      <c r="WX57" s="0"/>
      <c r="WY57" s="0"/>
      <c r="WZ57" s="0"/>
      <c r="XA57" s="0"/>
      <c r="XB57" s="0"/>
      <c r="XC57" s="0"/>
      <c r="XD57" s="0"/>
      <c r="XE57" s="0"/>
      <c r="XF57" s="0"/>
      <c r="XG57" s="0"/>
      <c r="XH57" s="0"/>
      <c r="XI57" s="0"/>
      <c r="XJ57" s="0"/>
      <c r="XK57" s="0"/>
      <c r="XL57" s="0"/>
      <c r="XM57" s="0"/>
      <c r="XN57" s="0"/>
      <c r="XO57" s="0"/>
      <c r="XP57" s="0"/>
      <c r="XQ57" s="0"/>
      <c r="XR57" s="0"/>
      <c r="XS57" s="0"/>
      <c r="XT57" s="0"/>
      <c r="XU57" s="0"/>
      <c r="XV57" s="0"/>
      <c r="XW57" s="0"/>
      <c r="XX57" s="0"/>
      <c r="XY57" s="0"/>
      <c r="XZ57" s="0"/>
      <c r="YA57" s="0"/>
      <c r="YB57" s="0"/>
      <c r="YC57" s="0"/>
      <c r="YD57" s="0"/>
      <c r="YE57" s="0"/>
      <c r="YF57" s="0"/>
      <c r="YG57" s="0"/>
      <c r="YH57" s="0"/>
      <c r="YI57" s="0"/>
      <c r="YJ57" s="0"/>
      <c r="YK57" s="0"/>
      <c r="YL57" s="0"/>
      <c r="YM57" s="0"/>
      <c r="YN57" s="0"/>
      <c r="YO57" s="0"/>
      <c r="YP57" s="0"/>
      <c r="YQ57" s="0"/>
      <c r="YR57" s="0"/>
      <c r="YS57" s="0"/>
      <c r="YT57" s="0"/>
      <c r="YU57" s="0"/>
      <c r="YV57" s="0"/>
      <c r="YW57" s="0"/>
      <c r="YX57" s="0"/>
      <c r="YY57" s="0"/>
      <c r="YZ57" s="0"/>
      <c r="ZA57" s="0"/>
      <c r="ZB57" s="0"/>
      <c r="ZC57" s="0"/>
      <c r="ZD57" s="0"/>
      <c r="ZE57" s="0"/>
      <c r="ZF57" s="0"/>
      <c r="ZG57" s="0"/>
      <c r="ZH57" s="0"/>
      <c r="ZI57" s="0"/>
      <c r="ZJ57" s="0"/>
      <c r="ZK57" s="0"/>
      <c r="ZL57" s="0"/>
      <c r="ZM57" s="0"/>
      <c r="ZN57" s="0"/>
      <c r="ZO57" s="0"/>
      <c r="ZP57" s="0"/>
      <c r="ZQ57" s="0"/>
      <c r="ZR57" s="0"/>
      <c r="ZS57" s="0"/>
      <c r="ZT57" s="0"/>
      <c r="ZU57" s="0"/>
      <c r="ZV57" s="0"/>
      <c r="ZW57" s="0"/>
      <c r="ZX57" s="0"/>
      <c r="ZY57" s="0"/>
      <c r="ZZ57" s="0"/>
      <c r="AAA57" s="0"/>
      <c r="AAB57" s="0"/>
      <c r="AAC57" s="0"/>
      <c r="AAD57" s="0"/>
      <c r="AAE57" s="0"/>
      <c r="AAF57" s="0"/>
      <c r="AAG57" s="0"/>
      <c r="AAH57" s="0"/>
      <c r="AAI57" s="0"/>
      <c r="AAJ57" s="0"/>
      <c r="AAK57" s="0"/>
      <c r="AAL57" s="0"/>
      <c r="AAM57" s="0"/>
      <c r="AAN57" s="0"/>
      <c r="AAO57" s="0"/>
      <c r="AAP57" s="0"/>
      <c r="AAQ57" s="0"/>
      <c r="AAR57" s="0"/>
      <c r="AAS57" s="0"/>
      <c r="AAT57" s="0"/>
      <c r="AAU57" s="0"/>
      <c r="AAV57" s="0"/>
      <c r="AAW57" s="0"/>
      <c r="AAX57" s="0"/>
      <c r="AAY57" s="0"/>
      <c r="AAZ57" s="0"/>
      <c r="ABA57" s="0"/>
      <c r="ABB57" s="0"/>
      <c r="ABC57" s="0"/>
      <c r="ABD57" s="0"/>
      <c r="ABE57" s="0"/>
      <c r="ABF57" s="0"/>
      <c r="ABG57" s="0"/>
      <c r="ABH57" s="0"/>
      <c r="ABI57" s="0"/>
      <c r="ABJ57" s="0"/>
      <c r="ABK57" s="0"/>
      <c r="ABL57" s="0"/>
      <c r="ABM57" s="0"/>
      <c r="ABN57" s="0"/>
      <c r="ABO57" s="0"/>
      <c r="ABP57" s="0"/>
      <c r="ABQ57" s="0"/>
      <c r="ABR57" s="0"/>
      <c r="ABS57" s="0"/>
      <c r="ABT57" s="0"/>
      <c r="ABU57" s="0"/>
      <c r="ABV57" s="0"/>
      <c r="ABW57" s="0"/>
      <c r="ABX57" s="0"/>
      <c r="ABY57" s="0"/>
      <c r="ABZ57" s="0"/>
      <c r="ACA57" s="0"/>
      <c r="ACB57" s="0"/>
      <c r="ACC57" s="0"/>
      <c r="ACD57" s="0"/>
      <c r="ACE57" s="0"/>
      <c r="ACF57" s="0"/>
      <c r="ACG57" s="0"/>
      <c r="ACH57" s="0"/>
      <c r="ACI57" s="0"/>
      <c r="ACJ57" s="0"/>
      <c r="ACK57" s="0"/>
      <c r="ACL57" s="0"/>
      <c r="ACM57" s="0"/>
      <c r="ACN57" s="0"/>
      <c r="ACO57" s="0"/>
      <c r="ACP57" s="0"/>
      <c r="ACQ57" s="0"/>
      <c r="ACR57" s="0"/>
      <c r="ACS57" s="0"/>
      <c r="ACT57" s="0"/>
      <c r="ACU57" s="0"/>
      <c r="ACV57" s="0"/>
      <c r="ACW57" s="0"/>
      <c r="ACX57" s="0"/>
      <c r="ACY57" s="0"/>
      <c r="ACZ57" s="0"/>
      <c r="ADA57" s="0"/>
      <c r="ADB57" s="0"/>
      <c r="ADC57" s="0"/>
      <c r="ADD57" s="0"/>
      <c r="ADE57" s="0"/>
      <c r="ADF57" s="0"/>
      <c r="ADG57" s="0"/>
      <c r="ADH57" s="0"/>
      <c r="ADI57" s="0"/>
      <c r="ADJ57" s="0"/>
      <c r="ADK57" s="0"/>
      <c r="ADL57" s="0"/>
      <c r="ADM57" s="0"/>
      <c r="ADN57" s="0"/>
      <c r="ADO57" s="0"/>
      <c r="ADP57" s="0"/>
      <c r="ADQ57" s="0"/>
      <c r="ADR57" s="0"/>
      <c r="ADS57" s="0"/>
      <c r="ADT57" s="0"/>
      <c r="ADU57" s="0"/>
      <c r="ADV57" s="0"/>
      <c r="ADW57" s="0"/>
      <c r="ADX57" s="0"/>
      <c r="ADY57" s="0"/>
      <c r="ADZ57" s="0"/>
      <c r="AEA57" s="0"/>
      <c r="AEB57" s="0"/>
      <c r="AEC57" s="0"/>
      <c r="AED57" s="0"/>
      <c r="AEE57" s="0"/>
      <c r="AEF57" s="0"/>
      <c r="AEG57" s="0"/>
      <c r="AEH57" s="0"/>
      <c r="AEI57" s="0"/>
      <c r="AEJ57" s="0"/>
      <c r="AEK57" s="0"/>
      <c r="AEL57" s="0"/>
      <c r="AEM57" s="0"/>
      <c r="AEN57" s="0"/>
      <c r="AEO57" s="0"/>
      <c r="AEP57" s="0"/>
      <c r="AEQ57" s="0"/>
      <c r="AER57" s="0"/>
      <c r="AES57" s="0"/>
      <c r="AET57" s="0"/>
      <c r="AEU57" s="0"/>
      <c r="AEV57" s="0"/>
      <c r="AEW57" s="0"/>
      <c r="AEX57" s="0"/>
      <c r="AEY57" s="0"/>
      <c r="AEZ57" s="0"/>
      <c r="AFA57" s="0"/>
      <c r="AFB57" s="0"/>
      <c r="AFC57" s="0"/>
      <c r="AFD57" s="0"/>
      <c r="AFE57" s="0"/>
      <c r="AFF57" s="0"/>
      <c r="AFG57" s="0"/>
      <c r="AFH57" s="0"/>
      <c r="AFI57" s="0"/>
      <c r="AFJ57" s="0"/>
      <c r="AFK57" s="0"/>
      <c r="AFL57" s="0"/>
      <c r="AFM57" s="0"/>
      <c r="AFN57" s="0"/>
      <c r="AFO57" s="0"/>
      <c r="AFP57" s="0"/>
      <c r="AFQ57" s="0"/>
      <c r="AFR57" s="0"/>
      <c r="AFS57" s="0"/>
      <c r="AFT57" s="0"/>
      <c r="AFU57" s="0"/>
      <c r="AFV57" s="0"/>
      <c r="AFW57" s="0"/>
      <c r="AFX57" s="0"/>
      <c r="AFY57" s="0"/>
      <c r="AFZ57" s="0"/>
      <c r="AGA57" s="0"/>
      <c r="AGB57" s="0"/>
      <c r="AGC57" s="0"/>
      <c r="AGD57" s="0"/>
      <c r="AGE57" s="0"/>
      <c r="AGF57" s="0"/>
      <c r="AGG57" s="0"/>
      <c r="AGH57" s="0"/>
      <c r="AGI57" s="0"/>
      <c r="AGJ57" s="0"/>
      <c r="AGK57" s="0"/>
      <c r="AGL57" s="0"/>
      <c r="AGM57" s="0"/>
      <c r="AGN57" s="0"/>
      <c r="AGO57" s="0"/>
      <c r="AGP57" s="0"/>
      <c r="AGQ57" s="0"/>
      <c r="AGR57" s="0"/>
      <c r="AGS57" s="0"/>
      <c r="AGT57" s="0"/>
      <c r="AGU57" s="0"/>
      <c r="AGV57" s="0"/>
      <c r="AGW57" s="0"/>
      <c r="AGX57" s="0"/>
      <c r="AGY57" s="0"/>
      <c r="AGZ57" s="0"/>
      <c r="AHA57" s="0"/>
      <c r="AHB57" s="0"/>
      <c r="AHC57" s="0"/>
      <c r="AHD57" s="0"/>
      <c r="AHE57" s="0"/>
      <c r="AHF57" s="0"/>
      <c r="AHG57" s="0"/>
      <c r="AHH57" s="0"/>
      <c r="AHI57" s="0"/>
      <c r="AHJ57" s="0"/>
      <c r="AHK57" s="0"/>
      <c r="AHL57" s="0"/>
      <c r="AHM57" s="0"/>
      <c r="AHN57" s="0"/>
      <c r="AHO57" s="0"/>
      <c r="AHP57" s="0"/>
      <c r="AHQ57" s="0"/>
      <c r="AHR57" s="0"/>
      <c r="AHS57" s="0"/>
      <c r="AHT57" s="0"/>
      <c r="AHU57" s="0"/>
      <c r="AHV57" s="0"/>
      <c r="AHW57" s="0"/>
      <c r="AHX57" s="0"/>
      <c r="AHY57" s="0"/>
      <c r="AHZ57" s="0"/>
      <c r="AIA57" s="0"/>
      <c r="AIB57" s="0"/>
      <c r="AIC57" s="0"/>
      <c r="AID57" s="0"/>
      <c r="AIE57" s="0"/>
      <c r="AIF57" s="0"/>
      <c r="AIG57" s="0"/>
      <c r="AIH57" s="0"/>
      <c r="AII57" s="0"/>
      <c r="AIJ57" s="0"/>
      <c r="AIK57" s="0"/>
      <c r="AIL57" s="0"/>
      <c r="AIM57" s="0"/>
      <c r="AIN57" s="0"/>
      <c r="AIO57" s="0"/>
      <c r="AIP57" s="0"/>
      <c r="AIQ57" s="0"/>
      <c r="AIR57" s="0"/>
      <c r="AIS57" s="0"/>
      <c r="AIT57" s="0"/>
      <c r="AIU57" s="0"/>
      <c r="AIV57" s="0"/>
      <c r="AIW57" s="0"/>
      <c r="AIX57" s="0"/>
      <c r="AIY57" s="0"/>
      <c r="AIZ57" s="0"/>
      <c r="AJA57" s="0"/>
      <c r="AJB57" s="0"/>
      <c r="AJC57" s="0"/>
      <c r="AJD57" s="0"/>
      <c r="AJE57" s="0"/>
      <c r="AJF57" s="0"/>
      <c r="AJG57" s="0"/>
      <c r="AJH57" s="0"/>
      <c r="AJI57" s="0"/>
      <c r="AJJ57" s="0"/>
      <c r="AJK57" s="0"/>
      <c r="AJL57" s="0"/>
      <c r="AJM57" s="0"/>
      <c r="AJN57" s="0"/>
      <c r="AJO57" s="0"/>
      <c r="AJP57" s="0"/>
      <c r="AJQ57" s="0"/>
      <c r="AJR57" s="0"/>
      <c r="AJS57" s="0"/>
      <c r="AJT57" s="0"/>
      <c r="AJU57" s="0"/>
      <c r="AJV57" s="0"/>
      <c r="AJW57" s="0"/>
      <c r="AJX57" s="0"/>
      <c r="AJY57" s="0"/>
      <c r="AJZ57" s="0"/>
      <c r="AKA57" s="0"/>
      <c r="AKB57" s="0"/>
      <c r="AKC57" s="0"/>
      <c r="AKD57" s="0"/>
      <c r="AKE57" s="0"/>
      <c r="AKF57" s="0"/>
      <c r="AKG57" s="0"/>
      <c r="AKH57" s="0"/>
      <c r="AKI57" s="0"/>
      <c r="AKJ57" s="0"/>
      <c r="AKK57" s="0"/>
      <c r="AKL57" s="0"/>
      <c r="AKM57" s="0"/>
      <c r="AKN57" s="0"/>
      <c r="AKO57" s="0"/>
      <c r="AKP57" s="0"/>
      <c r="AKQ57" s="0"/>
      <c r="AKR57" s="0"/>
      <c r="AKS57" s="0"/>
      <c r="AKT57" s="0"/>
      <c r="AKU57" s="0"/>
      <c r="AKV57" s="0"/>
      <c r="AKW57" s="0"/>
      <c r="AKX57" s="0"/>
      <c r="AKY57" s="0"/>
      <c r="AKZ57" s="0"/>
      <c r="ALA57" s="0"/>
      <c r="ALB57" s="0"/>
      <c r="ALC57" s="0"/>
      <c r="ALD57" s="0"/>
      <c r="ALE57" s="0"/>
      <c r="ALF57" s="0"/>
      <c r="ALG57" s="0"/>
      <c r="ALH57" s="0"/>
      <c r="ALI57" s="0"/>
      <c r="ALJ57" s="0"/>
      <c r="ALK57" s="0"/>
      <c r="ALL57" s="0"/>
      <c r="ALM57" s="0"/>
      <c r="ALN57" s="0"/>
      <c r="ALO57" s="0"/>
      <c r="ALP57" s="0"/>
      <c r="ALQ57" s="0"/>
      <c r="ALR57" s="0"/>
      <c r="ALS57" s="0"/>
      <c r="ALT57" s="0"/>
      <c r="ALU57" s="0"/>
      <c r="ALV57" s="0"/>
      <c r="ALW57" s="0"/>
      <c r="ALX57" s="0"/>
      <c r="ALY57" s="0"/>
      <c r="ALZ57" s="0"/>
      <c r="AMA57" s="0"/>
      <c r="AMB57" s="0"/>
      <c r="AMC57" s="0"/>
      <c r="AMD57" s="0"/>
      <c r="AME57" s="0"/>
      <c r="AMF57" s="0"/>
      <c r="AMG57" s="0"/>
      <c r="AMH57" s="0"/>
      <c r="AMI57" s="0"/>
      <c r="AMJ57" s="0"/>
      <c r="AMK57" s="0"/>
      <c r="AML57" s="0"/>
      <c r="AMM57" s="0"/>
      <c r="AMN57" s="0"/>
      <c r="AMO57" s="0"/>
      <c r="AMP57" s="0"/>
      <c r="AMQ57" s="0"/>
      <c r="AMR57" s="0"/>
      <c r="AMS57" s="0"/>
      <c r="AMT57" s="0"/>
      <c r="AMU57" s="0"/>
      <c r="AMV57" s="0"/>
      <c r="AMW57" s="0"/>
      <c r="AMX57" s="0"/>
      <c r="AMY57" s="0"/>
      <c r="AMZ57" s="0"/>
      <c r="ANA57" s="0"/>
      <c r="ANB57" s="0"/>
      <c r="ANC57" s="0"/>
      <c r="AND57" s="0"/>
      <c r="ANE57" s="0"/>
      <c r="ANF57" s="0"/>
      <c r="ANG57" s="0"/>
      <c r="ANH57" s="0"/>
      <c r="ANI57" s="0"/>
      <c r="ANJ57" s="0"/>
      <c r="ANK57" s="0"/>
      <c r="ANL57" s="0"/>
      <c r="ANM57" s="0"/>
      <c r="ANN57" s="0"/>
      <c r="ANO57" s="0"/>
      <c r="ANP57" s="0"/>
      <c r="ANQ57" s="0"/>
      <c r="ANR57" s="0"/>
      <c r="ANS57" s="0"/>
      <c r="ANT57" s="0"/>
      <c r="ANU57" s="0"/>
      <c r="ANV57" s="0"/>
      <c r="ANW57" s="0"/>
      <c r="ANX57" s="0"/>
      <c r="ANY57" s="0"/>
      <c r="ANZ57" s="0"/>
      <c r="AOA57" s="0"/>
      <c r="AOB57" s="0"/>
      <c r="AOC57" s="0"/>
      <c r="AOD57" s="0"/>
      <c r="AOE57" s="0"/>
      <c r="AOF57" s="0"/>
      <c r="AOG57" s="0"/>
      <c r="AOH57" s="0"/>
      <c r="AOI57" s="0"/>
      <c r="AOJ57" s="0"/>
      <c r="AOK57" s="0"/>
      <c r="AOL57" s="0"/>
      <c r="AOM57" s="0"/>
      <c r="AON57" s="0"/>
      <c r="AOO57" s="0"/>
      <c r="AOP57" s="0"/>
      <c r="AOQ57" s="0"/>
      <c r="AOR57" s="0"/>
      <c r="AOS57" s="0"/>
      <c r="AOT57" s="0"/>
      <c r="AOU57" s="0"/>
      <c r="AOV57" s="0"/>
      <c r="AOW57" s="0"/>
      <c r="AOX57" s="0"/>
      <c r="AOY57" s="0"/>
      <c r="AOZ57" s="0"/>
      <c r="APA57" s="0"/>
      <c r="APB57" s="0"/>
      <c r="APC57" s="0"/>
      <c r="APD57" s="0"/>
      <c r="APE57" s="0"/>
      <c r="APF57" s="0"/>
      <c r="APG57" s="0"/>
      <c r="APH57" s="0"/>
      <c r="API57" s="0"/>
      <c r="APJ57" s="0"/>
      <c r="APK57" s="0"/>
      <c r="APL57" s="0"/>
      <c r="APM57" s="0"/>
      <c r="APN57" s="0"/>
      <c r="APO57" s="0"/>
      <c r="APP57" s="0"/>
      <c r="APQ57" s="0"/>
      <c r="APR57" s="0"/>
      <c r="APS57" s="0"/>
      <c r="APT57" s="0"/>
      <c r="APU57" s="0"/>
      <c r="APV57" s="0"/>
      <c r="APW57" s="0"/>
      <c r="APX57" s="0"/>
      <c r="APY57" s="0"/>
      <c r="APZ57" s="0"/>
      <c r="AQA57" s="0"/>
      <c r="AQB57" s="0"/>
      <c r="AQC57" s="0"/>
      <c r="AQD57" s="0"/>
      <c r="AQE57" s="0"/>
      <c r="AQF57" s="0"/>
      <c r="AQG57" s="0"/>
      <c r="AQH57" s="0"/>
      <c r="AQI57" s="0"/>
      <c r="AQJ57" s="0"/>
      <c r="AQK57" s="0"/>
      <c r="AQL57" s="0"/>
      <c r="AQM57" s="0"/>
      <c r="AQN57" s="0"/>
      <c r="AQO57" s="0"/>
      <c r="AQP57" s="0"/>
      <c r="AQQ57" s="0"/>
      <c r="AQR57" s="0"/>
      <c r="AQS57" s="0"/>
      <c r="AQT57" s="0"/>
      <c r="AQU57" s="0"/>
      <c r="AQV57" s="0"/>
      <c r="AQW57" s="0"/>
      <c r="AQX57" s="0"/>
      <c r="AQY57" s="0"/>
      <c r="AQZ57" s="0"/>
      <c r="ARA57" s="0"/>
      <c r="ARB57" s="0"/>
      <c r="ARC57" s="0"/>
      <c r="ARD57" s="0"/>
      <c r="ARE57" s="0"/>
      <c r="ARF57" s="0"/>
      <c r="ARG57" s="0"/>
      <c r="ARH57" s="0"/>
      <c r="ARI57" s="0"/>
      <c r="ARJ57" s="0"/>
      <c r="ARK57" s="0"/>
      <c r="ARL57" s="0"/>
      <c r="ARM57" s="0"/>
      <c r="ARN57" s="0"/>
      <c r="ARO57" s="0"/>
      <c r="ARP57" s="0"/>
      <c r="ARQ57" s="0"/>
      <c r="ARR57" s="0"/>
      <c r="ARS57" s="0"/>
      <c r="ART57" s="0"/>
      <c r="ARU57" s="0"/>
      <c r="ARV57" s="0"/>
      <c r="ARW57" s="0"/>
      <c r="ARX57" s="0"/>
      <c r="ARY57" s="0"/>
      <c r="ARZ57" s="0"/>
      <c r="ASA57" s="0"/>
      <c r="ASB57" s="0"/>
      <c r="ASC57" s="0"/>
      <c r="ASD57" s="0"/>
      <c r="ASE57" s="0"/>
      <c r="ASF57" s="0"/>
      <c r="ASG57" s="0"/>
      <c r="ASH57" s="0"/>
      <c r="ASI57" s="0"/>
      <c r="ASJ57" s="0"/>
      <c r="ASK57" s="0"/>
      <c r="ASL57" s="0"/>
      <c r="ASM57" s="0"/>
      <c r="ASN57" s="0"/>
      <c r="ASO57" s="0"/>
      <c r="ASP57" s="0"/>
      <c r="ASQ57" s="0"/>
      <c r="ASR57" s="0"/>
      <c r="ASS57" s="0"/>
      <c r="AST57" s="0"/>
      <c r="ASU57" s="0"/>
      <c r="ASV57" s="0"/>
      <c r="ASW57" s="0"/>
      <c r="ASX57" s="0"/>
      <c r="ASY57" s="0"/>
      <c r="ASZ57" s="0"/>
      <c r="ATA57" s="0"/>
      <c r="ATB57" s="0"/>
      <c r="ATC57" s="0"/>
      <c r="ATD57" s="0"/>
      <c r="ATE57" s="0"/>
      <c r="ATF57" s="0"/>
      <c r="ATG57" s="0"/>
      <c r="ATH57" s="0"/>
      <c r="ATI57" s="0"/>
      <c r="ATJ57" s="0"/>
      <c r="ATK57" s="0"/>
      <c r="ATL57" s="0"/>
      <c r="ATM57" s="0"/>
      <c r="ATN57" s="0"/>
      <c r="ATO57" s="0"/>
      <c r="ATP57" s="0"/>
      <c r="ATQ57" s="0"/>
      <c r="ATR57" s="0"/>
      <c r="ATS57" s="0"/>
      <c r="ATT57" s="0"/>
      <c r="ATU57" s="0"/>
      <c r="ATV57" s="0"/>
      <c r="ATW57" s="0"/>
      <c r="ATX57" s="0"/>
      <c r="ATY57" s="0"/>
      <c r="ATZ57" s="0"/>
      <c r="AUA57" s="0"/>
      <c r="AUB57" s="0"/>
      <c r="AUC57" s="0"/>
      <c r="AUD57" s="0"/>
      <c r="AUE57" s="0"/>
      <c r="AUF57" s="0"/>
      <c r="AUG57" s="0"/>
      <c r="AUH57" s="0"/>
      <c r="AUI57" s="0"/>
      <c r="AUJ57" s="0"/>
      <c r="AUK57" s="0"/>
      <c r="AUL57" s="0"/>
      <c r="AUM57" s="0"/>
      <c r="AUN57" s="0"/>
      <c r="AUO57" s="0"/>
      <c r="AUP57" s="0"/>
      <c r="AUQ57" s="0"/>
      <c r="AUR57" s="0"/>
      <c r="AUS57" s="0"/>
      <c r="AUT57" s="0"/>
      <c r="AUU57" s="0"/>
      <c r="AUV57" s="0"/>
      <c r="AUW57" s="0"/>
      <c r="AUX57" s="0"/>
      <c r="AUY57" s="0"/>
      <c r="AUZ57" s="0"/>
      <c r="AVA57" s="0"/>
      <c r="AVB57" s="0"/>
      <c r="AVC57" s="0"/>
      <c r="AVD57" s="0"/>
      <c r="AVE57" s="0"/>
      <c r="AVF57" s="0"/>
      <c r="AVG57" s="0"/>
      <c r="AVH57" s="0"/>
      <c r="AVI57" s="0"/>
      <c r="AVJ57" s="0"/>
      <c r="AVK57" s="0"/>
      <c r="AVL57" s="0"/>
      <c r="AVM57" s="0"/>
      <c r="AVN57" s="0"/>
      <c r="AVO57" s="0"/>
      <c r="AVP57" s="0"/>
      <c r="AVQ57" s="0"/>
      <c r="AVR57" s="0"/>
      <c r="AVS57" s="0"/>
      <c r="AVT57" s="0"/>
      <c r="AVU57" s="0"/>
      <c r="AVV57" s="0"/>
      <c r="AVW57" s="0"/>
      <c r="AVX57" s="0"/>
      <c r="AVY57" s="0"/>
      <c r="AVZ57" s="0"/>
      <c r="AWA57" s="0"/>
      <c r="AWB57" s="0"/>
      <c r="AWC57" s="0"/>
      <c r="AWD57" s="0"/>
      <c r="AWE57" s="0"/>
      <c r="AWF57" s="0"/>
      <c r="AWG57" s="0"/>
      <c r="AWH57" s="0"/>
      <c r="AWI57" s="0"/>
      <c r="AWJ57" s="0"/>
      <c r="AWK57" s="0"/>
      <c r="AWL57" s="0"/>
      <c r="AWM57" s="0"/>
      <c r="AWN57" s="0"/>
      <c r="AWO57" s="0"/>
      <c r="AWP57" s="0"/>
      <c r="AWQ57" s="0"/>
      <c r="AWR57" s="0"/>
      <c r="AWS57" s="0"/>
      <c r="AWT57" s="0"/>
      <c r="AWU57" s="0"/>
      <c r="AWV57" s="0"/>
      <c r="AWW57" s="0"/>
      <c r="AWX57" s="0"/>
      <c r="AWY57" s="0"/>
      <c r="AWZ57" s="0"/>
      <c r="AXA57" s="0"/>
      <c r="AXB57" s="0"/>
      <c r="AXC57" s="0"/>
      <c r="AXD57" s="0"/>
      <c r="AXE57" s="0"/>
      <c r="AXF57" s="0"/>
      <c r="AXG57" s="0"/>
      <c r="AXH57" s="0"/>
      <c r="AXI57" s="0"/>
      <c r="AXJ57" s="0"/>
      <c r="AXK57" s="0"/>
      <c r="AXL57" s="0"/>
      <c r="AXM57" s="0"/>
      <c r="AXN57" s="0"/>
      <c r="AXO57" s="0"/>
      <c r="AXP57" s="0"/>
      <c r="AXQ57" s="0"/>
      <c r="AXR57" s="0"/>
      <c r="AXS57" s="0"/>
      <c r="AXT57" s="0"/>
      <c r="AXU57" s="0"/>
      <c r="AXV57" s="0"/>
      <c r="AXW57" s="0"/>
      <c r="AXX57" s="0"/>
      <c r="AXY57" s="0"/>
      <c r="AXZ57" s="0"/>
      <c r="AYA57" s="0"/>
      <c r="AYB57" s="0"/>
      <c r="AYC57" s="0"/>
      <c r="AYD57" s="0"/>
      <c r="AYE57" s="0"/>
      <c r="AYF57" s="0"/>
      <c r="AYG57" s="0"/>
      <c r="AYH57" s="0"/>
      <c r="AYI57" s="0"/>
      <c r="AYJ57" s="0"/>
      <c r="AYK57" s="0"/>
      <c r="AYL57" s="0"/>
      <c r="AYM57" s="0"/>
      <c r="AYN57" s="0"/>
      <c r="AYO57" s="0"/>
      <c r="AYP57" s="0"/>
      <c r="AYQ57" s="0"/>
      <c r="AYR57" s="0"/>
      <c r="AYS57" s="0"/>
      <c r="AYT57" s="0"/>
      <c r="AYU57" s="0"/>
      <c r="AYV57" s="0"/>
      <c r="AYW57" s="0"/>
      <c r="AYX57" s="0"/>
      <c r="AYY57" s="0"/>
      <c r="AYZ57" s="0"/>
      <c r="AZA57" s="0"/>
      <c r="AZB57" s="0"/>
      <c r="AZC57" s="0"/>
      <c r="AZD57" s="0"/>
      <c r="AZE57" s="0"/>
      <c r="AZF57" s="0"/>
      <c r="AZG57" s="0"/>
      <c r="AZH57" s="0"/>
      <c r="AZI57" s="0"/>
      <c r="AZJ57" s="0"/>
      <c r="AZK57" s="0"/>
      <c r="AZL57" s="0"/>
      <c r="AZM57" s="0"/>
      <c r="AZN57" s="0"/>
      <c r="AZO57" s="0"/>
      <c r="AZP57" s="0"/>
      <c r="AZQ57" s="0"/>
      <c r="AZR57" s="0"/>
      <c r="AZS57" s="0"/>
      <c r="AZT57" s="0"/>
      <c r="AZU57" s="0"/>
      <c r="AZV57" s="0"/>
      <c r="AZW57" s="0"/>
      <c r="AZX57" s="0"/>
      <c r="AZY57" s="0"/>
      <c r="AZZ57" s="0"/>
      <c r="BAA57" s="0"/>
      <c r="BAB57" s="0"/>
      <c r="BAC57" s="0"/>
      <c r="BAD57" s="0"/>
      <c r="BAE57" s="0"/>
      <c r="BAF57" s="0"/>
      <c r="BAG57" s="0"/>
      <c r="BAH57" s="0"/>
      <c r="BAI57" s="0"/>
      <c r="BAJ57" s="0"/>
      <c r="BAK57" s="0"/>
      <c r="BAL57" s="0"/>
      <c r="BAM57" s="0"/>
      <c r="BAN57" s="0"/>
      <c r="BAO57" s="0"/>
      <c r="BAP57" s="0"/>
      <c r="BAQ57" s="0"/>
      <c r="BAR57" s="0"/>
      <c r="BAS57" s="0"/>
      <c r="BAT57" s="0"/>
      <c r="BAU57" s="0"/>
      <c r="BAV57" s="0"/>
      <c r="BAW57" s="0"/>
      <c r="BAX57" s="0"/>
      <c r="BAY57" s="0"/>
      <c r="BAZ57" s="0"/>
      <c r="BBA57" s="0"/>
      <c r="BBB57" s="0"/>
      <c r="BBC57" s="0"/>
      <c r="BBD57" s="0"/>
      <c r="BBE57" s="0"/>
      <c r="BBF57" s="0"/>
      <c r="BBG57" s="0"/>
      <c r="BBH57" s="0"/>
      <c r="BBI57" s="0"/>
      <c r="BBJ57" s="0"/>
      <c r="BBK57" s="0"/>
      <c r="BBL57" s="0"/>
      <c r="BBM57" s="0"/>
      <c r="BBN57" s="0"/>
      <c r="BBO57" s="0"/>
      <c r="BBP57" s="0"/>
      <c r="BBQ57" s="0"/>
      <c r="BBR57" s="0"/>
      <c r="BBS57" s="0"/>
      <c r="BBT57" s="0"/>
      <c r="BBU57" s="0"/>
      <c r="BBV57" s="0"/>
      <c r="BBW57" s="0"/>
      <c r="BBX57" s="0"/>
      <c r="BBY57" s="0"/>
      <c r="BBZ57" s="0"/>
      <c r="BCA57" s="0"/>
      <c r="BCB57" s="0"/>
      <c r="BCC57" s="0"/>
      <c r="BCD57" s="0"/>
      <c r="BCE57" s="0"/>
      <c r="BCF57" s="0"/>
      <c r="BCG57" s="0"/>
      <c r="BCH57" s="0"/>
      <c r="BCI57" s="0"/>
      <c r="BCJ57" s="0"/>
      <c r="BCK57" s="0"/>
      <c r="BCL57" s="0"/>
      <c r="BCM57" s="0"/>
      <c r="BCN57" s="0"/>
      <c r="BCO57" s="0"/>
      <c r="BCP57" s="0"/>
      <c r="BCQ57" s="0"/>
      <c r="BCR57" s="0"/>
      <c r="BCS57" s="0"/>
      <c r="BCT57" s="0"/>
      <c r="BCU57" s="0"/>
      <c r="BCV57" s="0"/>
      <c r="BCW57" s="0"/>
      <c r="BCX57" s="0"/>
      <c r="BCY57" s="0"/>
      <c r="BCZ57" s="0"/>
      <c r="BDA57" s="0"/>
      <c r="BDB57" s="0"/>
      <c r="BDC57" s="0"/>
      <c r="BDD57" s="0"/>
      <c r="BDE57" s="0"/>
      <c r="BDF57" s="0"/>
      <c r="BDG57" s="0"/>
      <c r="BDH57" s="0"/>
      <c r="BDI57" s="0"/>
      <c r="BDJ57" s="0"/>
      <c r="BDK57" s="0"/>
      <c r="BDL57" s="0"/>
      <c r="BDM57" s="0"/>
      <c r="BDN57" s="0"/>
      <c r="BDO57" s="0"/>
      <c r="BDP57" s="0"/>
      <c r="BDQ57" s="0"/>
      <c r="BDR57" s="0"/>
      <c r="BDS57" s="0"/>
      <c r="BDT57" s="0"/>
      <c r="BDU57" s="0"/>
      <c r="BDV57" s="0"/>
      <c r="BDW57" s="0"/>
      <c r="BDX57" s="0"/>
      <c r="BDY57" s="0"/>
      <c r="BDZ57" s="0"/>
      <c r="BEA57" s="0"/>
      <c r="BEB57" s="0"/>
      <c r="BEC57" s="0"/>
      <c r="BED57" s="0"/>
      <c r="BEE57" s="0"/>
      <c r="BEF57" s="0"/>
      <c r="BEG57" s="0"/>
      <c r="BEH57" s="0"/>
      <c r="BEI57" s="0"/>
      <c r="BEJ57" s="0"/>
      <c r="BEK57" s="0"/>
      <c r="BEL57" s="0"/>
      <c r="BEM57" s="0"/>
      <c r="BEN57" s="0"/>
      <c r="BEO57" s="0"/>
      <c r="BEP57" s="0"/>
      <c r="BEQ57" s="0"/>
      <c r="BER57" s="0"/>
      <c r="BES57" s="0"/>
      <c r="BET57" s="0"/>
      <c r="BEU57" s="0"/>
      <c r="BEV57" s="0"/>
      <c r="BEW57" s="0"/>
      <c r="BEX57" s="0"/>
      <c r="BEY57" s="0"/>
      <c r="BEZ57" s="0"/>
      <c r="BFA57" s="0"/>
      <c r="BFB57" s="0"/>
      <c r="BFC57" s="0"/>
      <c r="BFD57" s="0"/>
      <c r="BFE57" s="0"/>
      <c r="BFF57" s="0"/>
      <c r="BFG57" s="0"/>
      <c r="BFH57" s="0"/>
      <c r="BFI57" s="0"/>
      <c r="BFJ57" s="0"/>
      <c r="BFK57" s="0"/>
      <c r="BFL57" s="0"/>
      <c r="BFM57" s="0"/>
      <c r="BFN57" s="0"/>
      <c r="BFO57" s="0"/>
      <c r="BFP57" s="0"/>
      <c r="BFQ57" s="0"/>
      <c r="BFR57" s="0"/>
      <c r="BFS57" s="0"/>
      <c r="BFT57" s="0"/>
      <c r="BFU57" s="0"/>
      <c r="BFV57" s="0"/>
      <c r="BFW57" s="0"/>
      <c r="BFX57" s="0"/>
      <c r="BFY57" s="0"/>
      <c r="BFZ57" s="0"/>
      <c r="BGA57" s="0"/>
      <c r="BGB57" s="0"/>
      <c r="BGC57" s="0"/>
      <c r="BGD57" s="0"/>
      <c r="BGE57" s="0"/>
      <c r="BGF57" s="0"/>
      <c r="BGG57" s="0"/>
      <c r="BGH57" s="0"/>
      <c r="BGI57" s="0"/>
      <c r="BGJ57" s="0"/>
      <c r="BGK57" s="0"/>
      <c r="BGL57" s="0"/>
      <c r="BGM57" s="0"/>
      <c r="BGN57" s="0"/>
      <c r="BGO57" s="0"/>
      <c r="BGP57" s="0"/>
      <c r="BGQ57" s="0"/>
      <c r="BGR57" s="0"/>
      <c r="BGS57" s="0"/>
      <c r="BGT57" s="0"/>
      <c r="BGU57" s="0"/>
      <c r="BGV57" s="0"/>
      <c r="BGW57" s="0"/>
      <c r="BGX57" s="0"/>
      <c r="BGY57" s="0"/>
      <c r="BGZ57" s="0"/>
      <c r="BHA57" s="0"/>
      <c r="BHB57" s="0"/>
      <c r="BHC57" s="0"/>
      <c r="BHD57" s="0"/>
      <c r="BHE57" s="0"/>
      <c r="BHF57" s="0"/>
      <c r="BHG57" s="0"/>
      <c r="BHH57" s="0"/>
      <c r="BHI57" s="0"/>
      <c r="BHJ57" s="0"/>
      <c r="BHK57" s="0"/>
      <c r="BHL57" s="0"/>
      <c r="BHM57" s="0"/>
      <c r="BHN57" s="0"/>
      <c r="BHO57" s="0"/>
      <c r="BHP57" s="0"/>
      <c r="BHQ57" s="0"/>
      <c r="BHR57" s="0"/>
      <c r="BHS57" s="0"/>
      <c r="BHT57" s="0"/>
      <c r="BHU57" s="0"/>
      <c r="BHV57" s="0"/>
      <c r="BHW57" s="0"/>
      <c r="BHX57" s="0"/>
      <c r="BHY57" s="0"/>
      <c r="BHZ57" s="0"/>
      <c r="BIA57" s="0"/>
      <c r="BIB57" s="0"/>
      <c r="BIC57" s="0"/>
      <c r="BID57" s="0"/>
      <c r="BIE57" s="0"/>
      <c r="BIF57" s="0"/>
      <c r="BIG57" s="0"/>
      <c r="BIH57" s="0"/>
      <c r="BII57" s="0"/>
      <c r="BIJ57" s="0"/>
      <c r="BIK57" s="0"/>
      <c r="BIL57" s="0"/>
      <c r="BIM57" s="0"/>
      <c r="BIN57" s="0"/>
      <c r="BIO57" s="0"/>
      <c r="BIP57" s="0"/>
      <c r="BIQ57" s="0"/>
      <c r="BIR57" s="0"/>
      <c r="BIS57" s="0"/>
      <c r="BIT57" s="0"/>
      <c r="BIU57" s="0"/>
      <c r="BIV57" s="0"/>
      <c r="BIW57" s="0"/>
      <c r="BIX57" s="0"/>
      <c r="BIY57" s="0"/>
      <c r="BIZ57" s="0"/>
      <c r="BJA57" s="0"/>
      <c r="BJB57" s="0"/>
      <c r="BJC57" s="0"/>
      <c r="BJD57" s="0"/>
      <c r="BJE57" s="0"/>
      <c r="BJF57" s="0"/>
      <c r="BJG57" s="0"/>
      <c r="BJH57" s="0"/>
      <c r="BJI57" s="0"/>
      <c r="BJJ57" s="0"/>
      <c r="BJK57" s="0"/>
      <c r="BJL57" s="0"/>
      <c r="BJM57" s="0"/>
      <c r="BJN57" s="0"/>
      <c r="BJO57" s="0"/>
      <c r="BJP57" s="0"/>
      <c r="BJQ57" s="0"/>
      <c r="BJR57" s="0"/>
      <c r="BJS57" s="0"/>
      <c r="BJT57" s="0"/>
      <c r="BJU57" s="0"/>
      <c r="BJV57" s="0"/>
      <c r="BJW57" s="0"/>
      <c r="BJX57" s="0"/>
      <c r="BJY57" s="0"/>
      <c r="BJZ57" s="0"/>
      <c r="BKA57" s="0"/>
      <c r="BKB57" s="0"/>
      <c r="BKC57" s="0"/>
      <c r="BKD57" s="0"/>
      <c r="BKE57" s="0"/>
      <c r="BKF57" s="0"/>
      <c r="BKG57" s="0"/>
      <c r="BKH57" s="0"/>
      <c r="BKI57" s="0"/>
      <c r="BKJ57" s="0"/>
      <c r="BKK57" s="0"/>
      <c r="BKL57" s="0"/>
      <c r="BKM57" s="0"/>
      <c r="BKN57" s="0"/>
      <c r="BKO57" s="0"/>
      <c r="BKP57" s="0"/>
      <c r="BKQ57" s="0"/>
      <c r="BKR57" s="0"/>
      <c r="BKS57" s="0"/>
      <c r="BKT57" s="0"/>
      <c r="BKU57" s="0"/>
      <c r="BKV57" s="0"/>
      <c r="BKW57" s="0"/>
      <c r="BKX57" s="0"/>
      <c r="BKY57" s="0"/>
      <c r="BKZ57" s="0"/>
      <c r="BLA57" s="0"/>
      <c r="BLB57" s="0"/>
      <c r="BLC57" s="0"/>
      <c r="BLD57" s="0"/>
      <c r="BLE57" s="0"/>
      <c r="BLF57" s="0"/>
      <c r="BLG57" s="0"/>
      <c r="BLH57" s="0"/>
      <c r="BLI57" s="0"/>
      <c r="BLJ57" s="0"/>
      <c r="BLK57" s="0"/>
      <c r="BLL57" s="0"/>
      <c r="BLM57" s="0"/>
      <c r="BLN57" s="0"/>
      <c r="BLO57" s="0"/>
      <c r="BLP57" s="0"/>
      <c r="BLQ57" s="0"/>
      <c r="BLR57" s="0"/>
      <c r="BLS57" s="0"/>
      <c r="BLT57" s="0"/>
      <c r="BLU57" s="0"/>
      <c r="BLV57" s="0"/>
      <c r="BLW57" s="0"/>
      <c r="BLX57" s="0"/>
      <c r="BLY57" s="0"/>
      <c r="BLZ57" s="0"/>
      <c r="BMA57" s="0"/>
      <c r="BMB57" s="0"/>
      <c r="BMC57" s="0"/>
      <c r="BMD57" s="0"/>
      <c r="BME57" s="0"/>
      <c r="BMF57" s="0"/>
      <c r="BMG57" s="0"/>
      <c r="BMH57" s="0"/>
      <c r="BMI57" s="0"/>
      <c r="BMJ57" s="0"/>
      <c r="BMK57" s="0"/>
      <c r="BML57" s="0"/>
      <c r="BMM57" s="0"/>
      <c r="BMN57" s="0"/>
      <c r="BMO57" s="0"/>
      <c r="BMP57" s="0"/>
      <c r="BMQ57" s="0"/>
      <c r="BMR57" s="0"/>
      <c r="BMS57" s="0"/>
      <c r="BMT57" s="0"/>
      <c r="BMU57" s="0"/>
      <c r="BMV57" s="0"/>
      <c r="BMW57" s="0"/>
      <c r="BMX57" s="0"/>
      <c r="BMY57" s="0"/>
      <c r="BMZ57" s="0"/>
      <c r="BNA57" s="0"/>
      <c r="BNB57" s="0"/>
      <c r="BNC57" s="0"/>
      <c r="BND57" s="0"/>
      <c r="BNE57" s="0"/>
      <c r="BNF57" s="0"/>
      <c r="BNG57" s="0"/>
      <c r="BNH57" s="0"/>
      <c r="BNI57" s="0"/>
      <c r="BNJ57" s="0"/>
      <c r="BNK57" s="0"/>
      <c r="BNL57" s="0"/>
      <c r="BNM57" s="0"/>
      <c r="BNN57" s="0"/>
      <c r="BNO57" s="0"/>
      <c r="BNP57" s="0"/>
      <c r="BNQ57" s="0"/>
      <c r="BNR57" s="0"/>
      <c r="BNS57" s="0"/>
      <c r="BNT57" s="0"/>
      <c r="BNU57" s="0"/>
      <c r="BNV57" s="0"/>
      <c r="BNW57" s="0"/>
      <c r="BNX57" s="0"/>
      <c r="BNY57" s="0"/>
      <c r="BNZ57" s="0"/>
      <c r="BOA57" s="0"/>
      <c r="BOB57" s="0"/>
      <c r="BOC57" s="0"/>
      <c r="BOD57" s="0"/>
      <c r="BOE57" s="0"/>
      <c r="BOF57" s="0"/>
      <c r="BOG57" s="0"/>
      <c r="BOH57" s="0"/>
      <c r="BOI57" s="0"/>
      <c r="BOJ57" s="0"/>
      <c r="BOK57" s="0"/>
      <c r="BOL57" s="0"/>
      <c r="BOM57" s="0"/>
      <c r="BON57" s="0"/>
      <c r="BOO57" s="0"/>
      <c r="BOP57" s="0"/>
      <c r="BOQ57" s="0"/>
      <c r="BOR57" s="0"/>
      <c r="BOS57" s="0"/>
      <c r="BOT57" s="0"/>
      <c r="BOU57" s="0"/>
      <c r="BOV57" s="0"/>
      <c r="BOW57" s="0"/>
      <c r="BOX57" s="0"/>
      <c r="BOY57" s="0"/>
      <c r="BOZ57" s="0"/>
      <c r="BPA57" s="0"/>
      <c r="BPB57" s="0"/>
      <c r="BPC57" s="0"/>
      <c r="BPD57" s="0"/>
      <c r="BPE57" s="0"/>
      <c r="BPF57" s="0"/>
      <c r="BPG57" s="0"/>
      <c r="BPH57" s="0"/>
      <c r="BPI57" s="0"/>
      <c r="BPJ57" s="0"/>
      <c r="BPK57" s="0"/>
      <c r="BPL57" s="0"/>
      <c r="BPM57" s="0"/>
      <c r="BPN57" s="0"/>
      <c r="BPO57" s="0"/>
      <c r="BPP57" s="0"/>
      <c r="BPQ57" s="0"/>
      <c r="BPR57" s="0"/>
      <c r="BPS57" s="0"/>
      <c r="BPT57" s="0"/>
      <c r="BPU57" s="0"/>
      <c r="BPV57" s="0"/>
      <c r="BPW57" s="0"/>
      <c r="BPX57" s="0"/>
      <c r="BPY57" s="0"/>
      <c r="BPZ57" s="0"/>
      <c r="BQA57" s="0"/>
      <c r="BQB57" s="0"/>
      <c r="BQC57" s="0"/>
      <c r="BQD57" s="0"/>
      <c r="BQE57" s="0"/>
      <c r="BQF57" s="0"/>
      <c r="BQG57" s="0"/>
      <c r="BQH57" s="0"/>
      <c r="BQI57" s="0"/>
      <c r="BQJ57" s="0"/>
      <c r="BQK57" s="0"/>
      <c r="BQL57" s="0"/>
      <c r="BQM57" s="0"/>
      <c r="BQN57" s="0"/>
      <c r="BQO57" s="0"/>
      <c r="BQP57" s="0"/>
      <c r="BQQ57" s="0"/>
      <c r="BQR57" s="0"/>
      <c r="BQS57" s="0"/>
      <c r="BQT57" s="0"/>
      <c r="BQU57" s="0"/>
      <c r="BQV57" s="0"/>
      <c r="BQW57" s="0"/>
      <c r="BQX57" s="0"/>
      <c r="BQY57" s="0"/>
      <c r="BQZ57" s="0"/>
      <c r="BRA57" s="0"/>
      <c r="BRB57" s="0"/>
      <c r="BRC57" s="0"/>
      <c r="BRD57" s="0"/>
      <c r="BRE57" s="0"/>
      <c r="BRF57" s="0"/>
      <c r="BRG57" s="0"/>
      <c r="BRH57" s="0"/>
      <c r="BRI57" s="0"/>
      <c r="BRJ57" s="0"/>
      <c r="BRK57" s="0"/>
      <c r="BRL57" s="0"/>
      <c r="BRM57" s="0"/>
      <c r="BRN57" s="0"/>
      <c r="BRO57" s="0"/>
      <c r="BRP57" s="0"/>
      <c r="BRQ57" s="0"/>
      <c r="BRR57" s="0"/>
      <c r="BRS57" s="0"/>
      <c r="BRT57" s="0"/>
      <c r="BRU57" s="0"/>
      <c r="BRV57" s="0"/>
      <c r="BRW57" s="0"/>
      <c r="BRX57" s="0"/>
      <c r="BRY57" s="0"/>
      <c r="BRZ57" s="0"/>
      <c r="BSA57" s="0"/>
      <c r="BSB57" s="0"/>
      <c r="BSC57" s="0"/>
      <c r="BSD57" s="0"/>
      <c r="BSE57" s="0"/>
      <c r="BSF57" s="0"/>
      <c r="BSG57" s="0"/>
      <c r="BSH57" s="0"/>
      <c r="BSI57" s="0"/>
      <c r="BSJ57" s="0"/>
      <c r="BSK57" s="0"/>
      <c r="BSL57" s="0"/>
      <c r="BSM57" s="0"/>
      <c r="BSN57" s="0"/>
      <c r="BSO57" s="0"/>
      <c r="BSP57" s="0"/>
      <c r="BSQ57" s="0"/>
      <c r="BSR57" s="0"/>
      <c r="BSS57" s="0"/>
      <c r="BST57" s="0"/>
      <c r="BSU57" s="0"/>
      <c r="BSV57" s="0"/>
      <c r="BSW57" s="0"/>
      <c r="BSX57" s="0"/>
      <c r="BSY57" s="0"/>
      <c r="BSZ57" s="0"/>
      <c r="BTA57" s="0"/>
      <c r="BTB57" s="0"/>
      <c r="BTC57" s="0"/>
      <c r="BTD57" s="0"/>
      <c r="BTE57" s="0"/>
      <c r="BTF57" s="0"/>
      <c r="BTG57" s="0"/>
      <c r="BTH57" s="0"/>
      <c r="BTI57" s="0"/>
      <c r="BTJ57" s="0"/>
      <c r="BTK57" s="0"/>
      <c r="BTL57" s="0"/>
      <c r="BTM57" s="0"/>
      <c r="BTN57" s="0"/>
      <c r="BTO57" s="0"/>
      <c r="BTP57" s="0"/>
      <c r="BTQ57" s="0"/>
      <c r="BTR57" s="0"/>
      <c r="BTS57" s="0"/>
      <c r="BTT57" s="0"/>
      <c r="BTU57" s="0"/>
      <c r="BTV57" s="0"/>
      <c r="BTW57" s="0"/>
      <c r="BTX57" s="0"/>
      <c r="BTY57" s="0"/>
      <c r="BTZ57" s="0"/>
      <c r="BUA57" s="0"/>
      <c r="BUB57" s="0"/>
      <c r="BUC57" s="0"/>
      <c r="BUD57" s="0"/>
      <c r="BUE57" s="0"/>
      <c r="BUF57" s="0"/>
      <c r="BUG57" s="0"/>
      <c r="BUH57" s="0"/>
      <c r="BUI57" s="0"/>
      <c r="BUJ57" s="0"/>
      <c r="BUK57" s="0"/>
      <c r="BUL57" s="0"/>
      <c r="BUM57" s="0"/>
      <c r="BUN57" s="0"/>
      <c r="BUO57" s="0"/>
      <c r="BUP57" s="0"/>
      <c r="BUQ57" s="0"/>
      <c r="BUR57" s="0"/>
      <c r="BUS57" s="0"/>
      <c r="BUT57" s="0"/>
      <c r="BUU57" s="0"/>
      <c r="BUV57" s="0"/>
      <c r="BUW57" s="0"/>
      <c r="BUX57" s="0"/>
      <c r="BUY57" s="0"/>
      <c r="BUZ57" s="0"/>
      <c r="BVA57" s="0"/>
      <c r="BVB57" s="0"/>
      <c r="BVC57" s="0"/>
      <c r="BVD57" s="0"/>
      <c r="BVE57" s="0"/>
      <c r="BVF57" s="0"/>
      <c r="BVG57" s="0"/>
      <c r="BVH57" s="0"/>
      <c r="BVI57" s="0"/>
      <c r="BVJ57" s="0"/>
      <c r="BVK57" s="0"/>
      <c r="BVL57" s="0"/>
      <c r="BVM57" s="0"/>
      <c r="BVN57" s="0"/>
      <c r="BVO57" s="0"/>
      <c r="BVP57" s="0"/>
      <c r="BVQ57" s="0"/>
      <c r="BVR57" s="0"/>
      <c r="BVS57" s="0"/>
      <c r="BVT57" s="0"/>
      <c r="BVU57" s="0"/>
      <c r="BVV57" s="0"/>
      <c r="BVW57" s="0"/>
      <c r="BVX57" s="0"/>
      <c r="BVY57" s="0"/>
      <c r="BVZ57" s="0"/>
      <c r="BWA57" s="0"/>
      <c r="BWB57" s="0"/>
      <c r="BWC57" s="0"/>
      <c r="BWD57" s="0"/>
      <c r="BWE57" s="0"/>
      <c r="BWF57" s="0"/>
      <c r="BWG57" s="0"/>
      <c r="BWH57" s="0"/>
      <c r="BWI57" s="0"/>
      <c r="BWJ57" s="0"/>
      <c r="BWK57" s="0"/>
      <c r="BWL57" s="0"/>
      <c r="BWM57" s="0"/>
      <c r="BWN57" s="0"/>
      <c r="BWO57" s="0"/>
      <c r="BWP57" s="0"/>
      <c r="BWQ57" s="0"/>
      <c r="BWR57" s="0"/>
      <c r="BWS57" s="0"/>
      <c r="BWT57" s="0"/>
      <c r="BWU57" s="0"/>
      <c r="BWV57" s="0"/>
      <c r="BWW57" s="0"/>
      <c r="BWX57" s="0"/>
      <c r="BWY57" s="0"/>
      <c r="BWZ57" s="0"/>
      <c r="BXA57" s="0"/>
      <c r="BXB57" s="0"/>
      <c r="BXC57" s="0"/>
      <c r="BXD57" s="0"/>
      <c r="BXE57" s="0"/>
      <c r="BXF57" s="0"/>
      <c r="BXG57" s="0"/>
      <c r="BXH57" s="0"/>
      <c r="BXI57" s="0"/>
      <c r="BXJ57" s="0"/>
      <c r="BXK57" s="0"/>
      <c r="BXL57" s="0"/>
      <c r="BXM57" s="0"/>
      <c r="BXN57" s="0"/>
      <c r="BXO57" s="0"/>
      <c r="BXP57" s="0"/>
      <c r="BXQ57" s="0"/>
      <c r="BXR57" s="0"/>
      <c r="BXS57" s="0"/>
      <c r="BXT57" s="0"/>
      <c r="BXU57" s="0"/>
      <c r="BXV57" s="0"/>
      <c r="BXW57" s="0"/>
      <c r="BXX57" s="0"/>
      <c r="BXY57" s="0"/>
      <c r="BXZ57" s="0"/>
      <c r="BYA57" s="0"/>
      <c r="BYB57" s="0"/>
      <c r="BYC57" s="0"/>
      <c r="BYD57" s="0"/>
      <c r="BYE57" s="0"/>
      <c r="BYF57" s="0"/>
      <c r="BYG57" s="0"/>
      <c r="BYH57" s="0"/>
      <c r="BYI57" s="0"/>
      <c r="BYJ57" s="0"/>
      <c r="BYK57" s="0"/>
      <c r="BYL57" s="0"/>
      <c r="BYM57" s="0"/>
      <c r="BYN57" s="0"/>
      <c r="BYO57" s="0"/>
      <c r="BYP57" s="0"/>
      <c r="BYQ57" s="0"/>
      <c r="BYR57" s="0"/>
      <c r="BYS57" s="0"/>
      <c r="BYT57" s="0"/>
      <c r="BYU57" s="0"/>
      <c r="BYV57" s="0"/>
      <c r="BYW57" s="0"/>
      <c r="BYX57" s="0"/>
      <c r="BYY57" s="0"/>
      <c r="BYZ57" s="0"/>
      <c r="BZA57" s="0"/>
      <c r="BZB57" s="0"/>
      <c r="BZC57" s="0"/>
      <c r="BZD57" s="0"/>
      <c r="BZE57" s="0"/>
      <c r="BZF57" s="0"/>
      <c r="BZG57" s="0"/>
      <c r="BZH57" s="0"/>
      <c r="BZI57" s="0"/>
      <c r="BZJ57" s="0"/>
      <c r="BZK57" s="0"/>
      <c r="BZL57" s="0"/>
      <c r="BZM57" s="0"/>
      <c r="BZN57" s="0"/>
      <c r="BZO57" s="0"/>
      <c r="BZP57" s="0"/>
      <c r="BZQ57" s="0"/>
      <c r="BZR57" s="0"/>
      <c r="BZS57" s="0"/>
      <c r="BZT57" s="0"/>
      <c r="BZU57" s="0"/>
      <c r="BZV57" s="0"/>
      <c r="BZW57" s="0"/>
      <c r="BZX57" s="0"/>
      <c r="BZY57" s="0"/>
      <c r="BZZ57" s="0"/>
      <c r="CAA57" s="0"/>
      <c r="CAB57" s="0"/>
      <c r="CAC57" s="0"/>
      <c r="CAD57" s="0"/>
      <c r="CAE57" s="0"/>
      <c r="CAF57" s="0"/>
      <c r="CAG57" s="0"/>
      <c r="CAH57" s="0"/>
      <c r="CAI57" s="0"/>
      <c r="CAJ57" s="0"/>
      <c r="CAK57" s="0"/>
      <c r="CAL57" s="0"/>
      <c r="CAM57" s="0"/>
      <c r="CAN57" s="0"/>
      <c r="CAO57" s="0"/>
      <c r="CAP57" s="0"/>
      <c r="CAQ57" s="0"/>
      <c r="CAR57" s="0"/>
      <c r="CAS57" s="0"/>
      <c r="CAT57" s="0"/>
      <c r="CAU57" s="0"/>
      <c r="CAV57" s="0"/>
      <c r="CAW57" s="0"/>
      <c r="CAX57" s="0"/>
      <c r="CAY57" s="0"/>
      <c r="CAZ57" s="0"/>
      <c r="CBA57" s="0"/>
      <c r="CBB57" s="0"/>
      <c r="CBC57" s="0"/>
      <c r="CBD57" s="0"/>
      <c r="CBE57" s="0"/>
      <c r="CBF57" s="0"/>
      <c r="CBG57" s="0"/>
      <c r="CBH57" s="0"/>
      <c r="CBI57" s="0"/>
      <c r="CBJ57" s="0"/>
      <c r="CBK57" s="0"/>
      <c r="CBL57" s="0"/>
      <c r="CBM57" s="0"/>
      <c r="CBN57" s="0"/>
      <c r="CBO57" s="0"/>
      <c r="CBP57" s="0"/>
      <c r="CBQ57" s="0"/>
      <c r="CBR57" s="0"/>
      <c r="CBS57" s="0"/>
      <c r="CBT57" s="0"/>
      <c r="CBU57" s="0"/>
      <c r="CBV57" s="0"/>
      <c r="CBW57" s="0"/>
      <c r="CBX57" s="0"/>
      <c r="CBY57" s="0"/>
      <c r="CBZ57" s="0"/>
      <c r="CCA57" s="0"/>
      <c r="CCB57" s="0"/>
      <c r="CCC57" s="0"/>
      <c r="CCD57" s="0"/>
      <c r="CCE57" s="0"/>
      <c r="CCF57" s="0"/>
      <c r="CCG57" s="0"/>
      <c r="CCH57" s="0"/>
      <c r="CCI57" s="0"/>
      <c r="CCJ57" s="0"/>
      <c r="CCK57" s="0"/>
      <c r="CCL57" s="0"/>
      <c r="CCM57" s="0"/>
      <c r="CCN57" s="0"/>
      <c r="CCO57" s="0"/>
      <c r="CCP57" s="0"/>
      <c r="CCQ57" s="0"/>
      <c r="CCR57" s="0"/>
      <c r="CCS57" s="0"/>
      <c r="CCT57" s="0"/>
      <c r="CCU57" s="0"/>
      <c r="CCV57" s="0"/>
      <c r="CCW57" s="0"/>
      <c r="CCX57" s="0"/>
      <c r="CCY57" s="0"/>
      <c r="CCZ57" s="0"/>
      <c r="CDA57" s="0"/>
      <c r="CDB57" s="0"/>
      <c r="CDC57" s="0"/>
      <c r="CDD57" s="0"/>
      <c r="CDE57" s="0"/>
      <c r="CDF57" s="0"/>
      <c r="CDG57" s="0"/>
      <c r="CDH57" s="0"/>
      <c r="CDI57" s="0"/>
      <c r="CDJ57" s="0"/>
      <c r="CDK57" s="0"/>
      <c r="CDL57" s="0"/>
      <c r="CDM57" s="0"/>
      <c r="CDN57" s="0"/>
      <c r="CDO57" s="0"/>
      <c r="CDP57" s="0"/>
      <c r="CDQ57" s="0"/>
      <c r="CDR57" s="0"/>
      <c r="CDS57" s="0"/>
      <c r="CDT57" s="0"/>
      <c r="CDU57" s="0"/>
      <c r="CDV57" s="0"/>
      <c r="CDW57" s="0"/>
      <c r="CDX57" s="0"/>
      <c r="CDY57" s="0"/>
      <c r="CDZ57" s="0"/>
      <c r="CEA57" s="0"/>
      <c r="CEB57" s="0"/>
      <c r="CEC57" s="0"/>
      <c r="CED57" s="0"/>
      <c r="CEE57" s="0"/>
      <c r="CEF57" s="0"/>
      <c r="CEG57" s="0"/>
      <c r="CEH57" s="0"/>
      <c r="CEI57" s="0"/>
      <c r="CEJ57" s="0"/>
      <c r="CEK57" s="0"/>
      <c r="CEL57" s="0"/>
      <c r="CEM57" s="0"/>
      <c r="CEN57" s="0"/>
      <c r="CEO57" s="0"/>
      <c r="CEP57" s="0"/>
      <c r="CEQ57" s="0"/>
      <c r="CER57" s="0"/>
      <c r="CES57" s="0"/>
      <c r="CET57" s="0"/>
      <c r="CEU57" s="0"/>
      <c r="CEV57" s="0"/>
      <c r="CEW57" s="0"/>
      <c r="CEX57" s="0"/>
      <c r="CEY57" s="0"/>
      <c r="CEZ57" s="0"/>
      <c r="CFA57" s="0"/>
      <c r="CFB57" s="0"/>
      <c r="CFC57" s="0"/>
      <c r="CFD57" s="0"/>
      <c r="CFE57" s="0"/>
      <c r="CFF57" s="0"/>
      <c r="CFG57" s="0"/>
      <c r="CFH57" s="0"/>
      <c r="CFI57" s="0"/>
      <c r="CFJ57" s="0"/>
      <c r="CFK57" s="0"/>
      <c r="CFL57" s="0"/>
      <c r="CFM57" s="0"/>
      <c r="CFN57" s="0"/>
      <c r="CFO57" s="0"/>
      <c r="CFP57" s="0"/>
      <c r="CFQ57" s="0"/>
      <c r="CFR57" s="0"/>
      <c r="CFS57" s="0"/>
      <c r="CFT57" s="0"/>
      <c r="CFU57" s="0"/>
      <c r="CFV57" s="0"/>
      <c r="CFW57" s="0"/>
      <c r="CFX57" s="0"/>
      <c r="CFY57" s="0"/>
      <c r="CFZ57" s="0"/>
      <c r="CGA57" s="0"/>
      <c r="CGB57" s="0"/>
      <c r="CGC57" s="0"/>
      <c r="CGD57" s="0"/>
      <c r="CGE57" s="0"/>
      <c r="CGF57" s="0"/>
      <c r="CGG57" s="0"/>
      <c r="CGH57" s="0"/>
      <c r="CGI57" s="0"/>
      <c r="CGJ57" s="0"/>
      <c r="CGK57" s="0"/>
      <c r="CGL57" s="0"/>
      <c r="CGM57" s="0"/>
      <c r="CGN57" s="0"/>
      <c r="CGO57" s="0"/>
      <c r="CGP57" s="0"/>
      <c r="CGQ57" s="0"/>
      <c r="CGR57" s="0"/>
      <c r="CGS57" s="0"/>
      <c r="CGT57" s="0"/>
      <c r="CGU57" s="0"/>
      <c r="CGV57" s="0"/>
      <c r="CGW57" s="0"/>
      <c r="CGX57" s="0"/>
      <c r="CGY57" s="0"/>
      <c r="CGZ57" s="0"/>
      <c r="CHA57" s="0"/>
      <c r="CHB57" s="0"/>
      <c r="CHC57" s="0"/>
      <c r="CHD57" s="0"/>
      <c r="CHE57" s="0"/>
      <c r="CHF57" s="0"/>
      <c r="CHG57" s="0"/>
      <c r="CHH57" s="0"/>
      <c r="CHI57" s="0"/>
      <c r="CHJ57" s="0"/>
      <c r="CHK57" s="0"/>
      <c r="CHL57" s="0"/>
      <c r="CHM57" s="0"/>
      <c r="CHN57" s="0"/>
      <c r="CHO57" s="0"/>
      <c r="CHP57" s="0"/>
      <c r="CHQ57" s="0"/>
      <c r="CHR57" s="0"/>
      <c r="CHS57" s="0"/>
      <c r="CHT57" s="0"/>
      <c r="CHU57" s="0"/>
      <c r="CHV57" s="0"/>
      <c r="CHW57" s="0"/>
      <c r="CHX57" s="0"/>
      <c r="CHY57" s="0"/>
      <c r="CHZ57" s="0"/>
      <c r="CIA57" s="0"/>
      <c r="CIB57" s="0"/>
      <c r="CIC57" s="0"/>
      <c r="CID57" s="0"/>
      <c r="CIE57" s="0"/>
      <c r="CIF57" s="0"/>
      <c r="CIG57" s="0"/>
      <c r="CIH57" s="0"/>
      <c r="CII57" s="0"/>
      <c r="CIJ57" s="0"/>
      <c r="CIK57" s="0"/>
      <c r="CIL57" s="0"/>
      <c r="CIM57" s="0"/>
      <c r="CIN57" s="0"/>
      <c r="CIO57" s="0"/>
      <c r="CIP57" s="0"/>
      <c r="CIQ57" s="0"/>
      <c r="CIR57" s="0"/>
      <c r="CIS57" s="0"/>
      <c r="CIT57" s="0"/>
      <c r="CIU57" s="0"/>
      <c r="CIV57" s="0"/>
      <c r="CIW57" s="0"/>
      <c r="CIX57" s="0"/>
      <c r="CIY57" s="0"/>
      <c r="CIZ57" s="0"/>
      <c r="CJA57" s="0"/>
      <c r="CJB57" s="0"/>
      <c r="CJC57" s="0"/>
      <c r="CJD57" s="0"/>
      <c r="CJE57" s="0"/>
      <c r="CJF57" s="0"/>
      <c r="CJG57" s="0"/>
      <c r="CJH57" s="0"/>
      <c r="CJI57" s="0"/>
      <c r="CJJ57" s="0"/>
      <c r="CJK57" s="0"/>
      <c r="CJL57" s="0"/>
      <c r="CJM57" s="0"/>
      <c r="CJN57" s="0"/>
      <c r="CJO57" s="0"/>
      <c r="CJP57" s="0"/>
      <c r="CJQ57" s="0"/>
      <c r="CJR57" s="0"/>
      <c r="CJS57" s="0"/>
      <c r="CJT57" s="0"/>
      <c r="CJU57" s="0"/>
      <c r="CJV57" s="0"/>
      <c r="CJW57" s="0"/>
      <c r="CJX57" s="0"/>
      <c r="CJY57" s="0"/>
      <c r="CJZ57" s="0"/>
      <c r="CKA57" s="0"/>
      <c r="CKB57" s="0"/>
      <c r="CKC57" s="0"/>
      <c r="CKD57" s="0"/>
      <c r="CKE57" s="0"/>
      <c r="CKF57" s="0"/>
      <c r="CKG57" s="0"/>
      <c r="CKH57" s="0"/>
      <c r="CKI57" s="0"/>
      <c r="CKJ57" s="0"/>
      <c r="CKK57" s="0"/>
      <c r="CKL57" s="0"/>
      <c r="CKM57" s="0"/>
      <c r="CKN57" s="0"/>
      <c r="CKO57" s="0"/>
      <c r="CKP57" s="0"/>
      <c r="CKQ57" s="0"/>
      <c r="CKR57" s="0"/>
      <c r="CKS57" s="0"/>
      <c r="CKT57" s="0"/>
      <c r="CKU57" s="0"/>
      <c r="CKV57" s="0"/>
      <c r="CKW57" s="0"/>
      <c r="CKX57" s="0"/>
      <c r="CKY57" s="0"/>
      <c r="CKZ57" s="0"/>
      <c r="CLA57" s="0"/>
      <c r="CLB57" s="0"/>
      <c r="CLC57" s="0"/>
      <c r="CLD57" s="0"/>
      <c r="CLE57" s="0"/>
      <c r="CLF57" s="0"/>
      <c r="CLG57" s="0"/>
      <c r="CLH57" s="0"/>
      <c r="CLI57" s="0"/>
      <c r="CLJ57" s="0"/>
      <c r="CLK57" s="0"/>
      <c r="CLL57" s="0"/>
      <c r="CLM57" s="0"/>
      <c r="CLN57" s="0"/>
      <c r="CLO57" s="0"/>
      <c r="CLP57" s="0"/>
      <c r="CLQ57" s="0"/>
      <c r="CLR57" s="0"/>
      <c r="CLS57" s="0"/>
      <c r="CLT57" s="0"/>
      <c r="CLU57" s="0"/>
      <c r="CLV57" s="0"/>
      <c r="CLW57" s="0"/>
      <c r="CLX57" s="0"/>
      <c r="CLY57" s="0"/>
      <c r="CLZ57" s="0"/>
      <c r="CMA57" s="0"/>
      <c r="CMB57" s="0"/>
      <c r="CMC57" s="0"/>
      <c r="CMD57" s="0"/>
      <c r="CME57" s="0"/>
      <c r="CMF57" s="0"/>
      <c r="CMG57" s="0"/>
      <c r="CMH57" s="0"/>
      <c r="CMI57" s="0"/>
      <c r="CMJ57" s="0"/>
      <c r="CMK57" s="0"/>
      <c r="CML57" s="0"/>
      <c r="CMM57" s="0"/>
      <c r="CMN57" s="0"/>
      <c r="CMO57" s="0"/>
      <c r="CMP57" s="0"/>
      <c r="CMQ57" s="0"/>
      <c r="CMR57" s="0"/>
      <c r="CMS57" s="0"/>
      <c r="CMT57" s="0"/>
      <c r="CMU57" s="0"/>
      <c r="CMV57" s="0"/>
      <c r="CMW57" s="0"/>
      <c r="CMX57" s="0"/>
      <c r="CMY57" s="0"/>
      <c r="CMZ57" s="0"/>
      <c r="CNA57" s="0"/>
      <c r="CNB57" s="0"/>
      <c r="CNC57" s="0"/>
      <c r="CND57" s="0"/>
      <c r="CNE57" s="0"/>
      <c r="CNF57" s="0"/>
      <c r="CNG57" s="0"/>
      <c r="CNH57" s="0"/>
      <c r="CNI57" s="0"/>
      <c r="CNJ57" s="0"/>
      <c r="CNK57" s="0"/>
      <c r="CNL57" s="0"/>
      <c r="CNM57" s="0"/>
      <c r="CNN57" s="0"/>
      <c r="CNO57" s="0"/>
      <c r="CNP57" s="0"/>
      <c r="CNQ57" s="0"/>
      <c r="CNR57" s="0"/>
      <c r="CNS57" s="0"/>
      <c r="CNT57" s="0"/>
      <c r="CNU57" s="0"/>
      <c r="CNV57" s="0"/>
      <c r="CNW57" s="0"/>
      <c r="CNX57" s="0"/>
      <c r="CNY57" s="0"/>
      <c r="CNZ57" s="0"/>
      <c r="COA57" s="0"/>
      <c r="COB57" s="0"/>
      <c r="COC57" s="0"/>
      <c r="COD57" s="0"/>
      <c r="COE57" s="0"/>
      <c r="COF57" s="0"/>
      <c r="COG57" s="0"/>
      <c r="COH57" s="0"/>
      <c r="COI57" s="0"/>
      <c r="COJ57" s="0"/>
      <c r="COK57" s="0"/>
      <c r="COL57" s="0"/>
      <c r="COM57" s="0"/>
      <c r="CON57" s="0"/>
      <c r="COO57" s="0"/>
      <c r="COP57" s="0"/>
      <c r="COQ57" s="0"/>
      <c r="COR57" s="0"/>
      <c r="COS57" s="0"/>
      <c r="COT57" s="0"/>
      <c r="COU57" s="0"/>
      <c r="COV57" s="0"/>
      <c r="COW57" s="0"/>
      <c r="COX57" s="0"/>
      <c r="COY57" s="0"/>
      <c r="COZ57" s="0"/>
      <c r="CPA57" s="0"/>
      <c r="CPB57" s="0"/>
      <c r="CPC57" s="0"/>
      <c r="CPD57" s="0"/>
      <c r="CPE57" s="0"/>
      <c r="CPF57" s="0"/>
      <c r="CPG57" s="0"/>
      <c r="CPH57" s="0"/>
      <c r="CPI57" s="0"/>
      <c r="CPJ57" s="0"/>
      <c r="CPK57" s="0"/>
      <c r="CPL57" s="0"/>
      <c r="CPM57" s="0"/>
      <c r="CPN57" s="0"/>
      <c r="CPO57" s="0"/>
      <c r="CPP57" s="0"/>
      <c r="CPQ57" s="0"/>
      <c r="CPR57" s="0"/>
      <c r="CPS57" s="0"/>
      <c r="CPT57" s="0"/>
      <c r="CPU57" s="0"/>
      <c r="CPV57" s="0"/>
      <c r="CPW57" s="0"/>
      <c r="CPX57" s="0"/>
      <c r="CPY57" s="0"/>
      <c r="CPZ57" s="0"/>
      <c r="CQA57" s="0"/>
      <c r="CQB57" s="0"/>
      <c r="CQC57" s="0"/>
      <c r="CQD57" s="0"/>
      <c r="CQE57" s="0"/>
      <c r="CQF57" s="0"/>
      <c r="CQG57" s="0"/>
      <c r="CQH57" s="0"/>
      <c r="CQI57" s="0"/>
      <c r="CQJ57" s="0"/>
      <c r="CQK57" s="0"/>
      <c r="CQL57" s="0"/>
      <c r="CQM57" s="0"/>
      <c r="CQN57" s="0"/>
      <c r="CQO57" s="0"/>
      <c r="CQP57" s="0"/>
      <c r="CQQ57" s="0"/>
      <c r="CQR57" s="0"/>
      <c r="CQS57" s="0"/>
      <c r="CQT57" s="0"/>
      <c r="CQU57" s="0"/>
      <c r="CQV57" s="0"/>
      <c r="CQW57" s="0"/>
      <c r="CQX57" s="0"/>
      <c r="CQY57" s="0"/>
      <c r="CQZ57" s="0"/>
      <c r="CRA57" s="0"/>
      <c r="CRB57" s="0"/>
      <c r="CRC57" s="0"/>
      <c r="CRD57" s="0"/>
      <c r="CRE57" s="0"/>
      <c r="CRF57" s="0"/>
      <c r="CRG57" s="0"/>
      <c r="CRH57" s="0"/>
      <c r="CRI57" s="0"/>
      <c r="CRJ57" s="0"/>
      <c r="CRK57" s="0"/>
      <c r="CRL57" s="0"/>
      <c r="CRM57" s="0"/>
      <c r="CRN57" s="0"/>
      <c r="CRO57" s="0"/>
      <c r="CRP57" s="0"/>
      <c r="CRQ57" s="0"/>
      <c r="CRR57" s="0"/>
      <c r="CRS57" s="0"/>
      <c r="CRT57" s="0"/>
      <c r="CRU57" s="0"/>
      <c r="CRV57" s="0"/>
      <c r="CRW57" s="0"/>
      <c r="CRX57" s="0"/>
      <c r="CRY57" s="0"/>
      <c r="CRZ57" s="0"/>
      <c r="CSA57" s="0"/>
      <c r="CSB57" s="0"/>
      <c r="CSC57" s="0"/>
      <c r="CSD57" s="0"/>
      <c r="CSE57" s="0"/>
      <c r="CSF57" s="0"/>
      <c r="CSG57" s="0"/>
      <c r="CSH57" s="0"/>
      <c r="CSI57" s="0"/>
      <c r="CSJ57" s="0"/>
      <c r="CSK57" s="0"/>
      <c r="CSL57" s="0"/>
      <c r="CSM57" s="0"/>
      <c r="CSN57" s="0"/>
      <c r="CSO57" s="0"/>
      <c r="CSP57" s="0"/>
      <c r="CSQ57" s="0"/>
      <c r="CSR57" s="0"/>
      <c r="CSS57" s="0"/>
      <c r="CST57" s="0"/>
      <c r="CSU57" s="0"/>
      <c r="CSV57" s="0"/>
      <c r="CSW57" s="0"/>
      <c r="CSX57" s="0"/>
      <c r="CSY57" s="0"/>
      <c r="CSZ57" s="0"/>
      <c r="CTA57" s="0"/>
      <c r="CTB57" s="0"/>
      <c r="CTC57" s="0"/>
      <c r="CTD57" s="0"/>
      <c r="CTE57" s="0"/>
      <c r="CTF57" s="0"/>
      <c r="CTG57" s="0"/>
      <c r="CTH57" s="0"/>
      <c r="CTI57" s="0"/>
      <c r="CTJ57" s="0"/>
      <c r="CTK57" s="0"/>
      <c r="CTL57" s="0"/>
      <c r="CTM57" s="0"/>
      <c r="CTN57" s="0"/>
      <c r="CTO57" s="0"/>
      <c r="CTP57" s="0"/>
      <c r="CTQ57" s="0"/>
      <c r="CTR57" s="0"/>
      <c r="CTS57" s="0"/>
      <c r="CTT57" s="0"/>
      <c r="CTU57" s="0"/>
      <c r="CTV57" s="0"/>
      <c r="CTW57" s="0"/>
      <c r="CTX57" s="0"/>
      <c r="CTY57" s="0"/>
      <c r="CTZ57" s="0"/>
      <c r="CUA57" s="0"/>
      <c r="CUB57" s="0"/>
      <c r="CUC57" s="0"/>
      <c r="CUD57" s="0"/>
      <c r="CUE57" s="0"/>
      <c r="CUF57" s="0"/>
      <c r="CUG57" s="0"/>
      <c r="CUH57" s="0"/>
      <c r="CUI57" s="0"/>
      <c r="CUJ57" s="0"/>
      <c r="CUK57" s="0"/>
      <c r="CUL57" s="0"/>
      <c r="CUM57" s="0"/>
      <c r="CUN57" s="0"/>
      <c r="CUO57" s="0"/>
      <c r="CUP57" s="0"/>
      <c r="CUQ57" s="0"/>
      <c r="CUR57" s="0"/>
      <c r="CUS57" s="0"/>
      <c r="CUT57" s="0"/>
      <c r="CUU57" s="0"/>
      <c r="CUV57" s="0"/>
      <c r="CUW57" s="0"/>
      <c r="CUX57" s="0"/>
      <c r="CUY57" s="0"/>
      <c r="CUZ57" s="0"/>
      <c r="CVA57" s="0"/>
      <c r="CVB57" s="0"/>
      <c r="CVC57" s="0"/>
      <c r="CVD57" s="0"/>
      <c r="CVE57" s="0"/>
      <c r="CVF57" s="0"/>
      <c r="CVG57" s="0"/>
      <c r="CVH57" s="0"/>
      <c r="CVI57" s="0"/>
      <c r="CVJ57" s="0"/>
      <c r="CVK57" s="0"/>
      <c r="CVL57" s="0"/>
      <c r="CVM57" s="0"/>
      <c r="CVN57" s="0"/>
      <c r="CVO57" s="0"/>
      <c r="CVP57" s="0"/>
      <c r="CVQ57" s="0"/>
      <c r="CVR57" s="0"/>
      <c r="CVS57" s="0"/>
      <c r="CVT57" s="0"/>
      <c r="CVU57" s="0"/>
      <c r="CVV57" s="0"/>
      <c r="CVW57" s="0"/>
      <c r="CVX57" s="0"/>
      <c r="CVY57" s="0"/>
      <c r="CVZ57" s="0"/>
      <c r="CWA57" s="0"/>
      <c r="CWB57" s="0"/>
      <c r="CWC57" s="0"/>
      <c r="CWD57" s="0"/>
      <c r="CWE57" s="0"/>
      <c r="CWF57" s="0"/>
      <c r="CWG57" s="0"/>
      <c r="CWH57" s="0"/>
      <c r="CWI57" s="0"/>
      <c r="CWJ57" s="0"/>
      <c r="CWK57" s="0"/>
      <c r="CWL57" s="0"/>
      <c r="CWM57" s="0"/>
      <c r="CWN57" s="0"/>
      <c r="CWO57" s="0"/>
      <c r="CWP57" s="0"/>
      <c r="CWQ57" s="0"/>
      <c r="CWR57" s="0"/>
      <c r="CWS57" s="0"/>
      <c r="CWT57" s="0"/>
      <c r="CWU57" s="0"/>
      <c r="CWV57" s="0"/>
      <c r="CWW57" s="0"/>
      <c r="CWX57" s="0"/>
      <c r="CWY57" s="0"/>
      <c r="CWZ57" s="0"/>
      <c r="CXA57" s="0"/>
      <c r="CXB57" s="0"/>
      <c r="CXC57" s="0"/>
      <c r="CXD57" s="0"/>
      <c r="CXE57" s="0"/>
      <c r="CXF57" s="0"/>
      <c r="CXG57" s="0"/>
      <c r="CXH57" s="0"/>
      <c r="CXI57" s="0"/>
      <c r="CXJ57" s="0"/>
      <c r="CXK57" s="0"/>
      <c r="CXL57" s="0"/>
      <c r="CXM57" s="0"/>
      <c r="CXN57" s="0"/>
      <c r="CXO57" s="0"/>
      <c r="CXP57" s="0"/>
      <c r="CXQ57" s="0"/>
      <c r="CXR57" s="0"/>
      <c r="CXS57" s="0"/>
      <c r="CXT57" s="0"/>
      <c r="CXU57" s="0"/>
      <c r="CXV57" s="0"/>
      <c r="CXW57" s="0"/>
      <c r="CXX57" s="0"/>
      <c r="CXY57" s="0"/>
      <c r="CXZ57" s="0"/>
      <c r="CYA57" s="0"/>
      <c r="CYB57" s="0"/>
      <c r="CYC57" s="0"/>
      <c r="CYD57" s="0"/>
      <c r="CYE57" s="0"/>
      <c r="CYF57" s="0"/>
      <c r="CYG57" s="0"/>
      <c r="CYH57" s="0"/>
      <c r="CYI57" s="0"/>
      <c r="CYJ57" s="0"/>
      <c r="CYK57" s="0"/>
      <c r="CYL57" s="0"/>
      <c r="CYM57" s="0"/>
      <c r="CYN57" s="0"/>
      <c r="CYO57" s="0"/>
      <c r="CYP57" s="0"/>
      <c r="CYQ57" s="0"/>
      <c r="CYR57" s="0"/>
      <c r="CYS57" s="0"/>
      <c r="CYT57" s="0"/>
      <c r="CYU57" s="0"/>
      <c r="CYV57" s="0"/>
      <c r="CYW57" s="0"/>
      <c r="CYX57" s="0"/>
      <c r="CYY57" s="0"/>
      <c r="CYZ57" s="0"/>
      <c r="CZA57" s="0"/>
      <c r="CZB57" s="0"/>
      <c r="CZC57" s="0"/>
      <c r="CZD57" s="0"/>
      <c r="CZE57" s="0"/>
      <c r="CZF57" s="0"/>
      <c r="CZG57" s="0"/>
      <c r="CZH57" s="0"/>
      <c r="CZI57" s="0"/>
      <c r="CZJ57" s="0"/>
      <c r="CZK57" s="0"/>
      <c r="CZL57" s="0"/>
      <c r="CZM57" s="0"/>
      <c r="CZN57" s="0"/>
      <c r="CZO57" s="0"/>
      <c r="CZP57" s="0"/>
      <c r="CZQ57" s="0"/>
      <c r="CZR57" s="0"/>
      <c r="CZS57" s="0"/>
      <c r="CZT57" s="0"/>
      <c r="CZU57" s="0"/>
      <c r="CZV57" s="0"/>
      <c r="CZW57" s="0"/>
      <c r="CZX57" s="0"/>
      <c r="CZY57" s="0"/>
      <c r="CZZ57" s="0"/>
      <c r="DAA57" s="0"/>
      <c r="DAB57" s="0"/>
      <c r="DAC57" s="0"/>
      <c r="DAD57" s="0"/>
      <c r="DAE57" s="0"/>
      <c r="DAF57" s="0"/>
      <c r="DAG57" s="0"/>
      <c r="DAH57" s="0"/>
      <c r="DAI57" s="0"/>
      <c r="DAJ57" s="0"/>
      <c r="DAK57" s="0"/>
      <c r="DAL57" s="0"/>
      <c r="DAM57" s="0"/>
      <c r="DAN57" s="0"/>
      <c r="DAO57" s="0"/>
      <c r="DAP57" s="0"/>
      <c r="DAQ57" s="0"/>
      <c r="DAR57" s="0"/>
      <c r="DAS57" s="0"/>
      <c r="DAT57" s="0"/>
      <c r="DAU57" s="0"/>
      <c r="DAV57" s="0"/>
      <c r="DAW57" s="0"/>
      <c r="DAX57" s="0"/>
      <c r="DAY57" s="0"/>
      <c r="DAZ57" s="0"/>
      <c r="DBA57" s="0"/>
      <c r="DBB57" s="0"/>
      <c r="DBC57" s="0"/>
      <c r="DBD57" s="0"/>
      <c r="DBE57" s="0"/>
      <c r="DBF57" s="0"/>
      <c r="DBG57" s="0"/>
      <c r="DBH57" s="0"/>
      <c r="DBI57" s="0"/>
      <c r="DBJ57" s="0"/>
      <c r="DBK57" s="0"/>
      <c r="DBL57" s="0"/>
      <c r="DBM57" s="0"/>
      <c r="DBN57" s="0"/>
      <c r="DBO57" s="0"/>
      <c r="DBP57" s="0"/>
      <c r="DBQ57" s="0"/>
      <c r="DBR57" s="0"/>
      <c r="DBS57" s="0"/>
      <c r="DBT57" s="0"/>
      <c r="DBU57" s="0"/>
      <c r="DBV57" s="0"/>
      <c r="DBW57" s="0"/>
      <c r="DBX57" s="0"/>
      <c r="DBY57" s="0"/>
      <c r="DBZ57" s="0"/>
      <c r="DCA57" s="0"/>
      <c r="DCB57" s="0"/>
      <c r="DCC57" s="0"/>
      <c r="DCD57" s="0"/>
      <c r="DCE57" s="0"/>
      <c r="DCF57" s="0"/>
      <c r="DCG57" s="0"/>
      <c r="DCH57" s="0"/>
      <c r="DCI57" s="0"/>
      <c r="DCJ57" s="0"/>
      <c r="DCK57" s="0"/>
      <c r="DCL57" s="0"/>
      <c r="DCM57" s="0"/>
      <c r="DCN57" s="0"/>
      <c r="DCO57" s="0"/>
      <c r="DCP57" s="0"/>
      <c r="DCQ57" s="0"/>
      <c r="DCR57" s="0"/>
      <c r="DCS57" s="0"/>
      <c r="DCT57" s="0"/>
      <c r="DCU57" s="0"/>
      <c r="DCV57" s="0"/>
      <c r="DCW57" s="0"/>
      <c r="DCX57" s="0"/>
      <c r="DCY57" s="0"/>
      <c r="DCZ57" s="0"/>
      <c r="DDA57" s="0"/>
      <c r="DDB57" s="0"/>
      <c r="DDC57" s="0"/>
      <c r="DDD57" s="0"/>
      <c r="DDE57" s="0"/>
      <c r="DDF57" s="0"/>
      <c r="DDG57" s="0"/>
      <c r="DDH57" s="0"/>
      <c r="DDI57" s="0"/>
      <c r="DDJ57" s="0"/>
      <c r="DDK57" s="0"/>
      <c r="DDL57" s="0"/>
      <c r="DDM57" s="0"/>
      <c r="DDN57" s="0"/>
      <c r="DDO57" s="0"/>
      <c r="DDP57" s="0"/>
      <c r="DDQ57" s="0"/>
      <c r="DDR57" s="0"/>
      <c r="DDS57" s="0"/>
      <c r="DDT57" s="0"/>
      <c r="DDU57" s="0"/>
      <c r="DDV57" s="0"/>
      <c r="DDW57" s="0"/>
      <c r="DDX57" s="0"/>
      <c r="DDY57" s="0"/>
      <c r="DDZ57" s="0"/>
      <c r="DEA57" s="0"/>
      <c r="DEB57" s="0"/>
      <c r="DEC57" s="0"/>
      <c r="DED57" s="0"/>
      <c r="DEE57" s="0"/>
      <c r="DEF57" s="0"/>
      <c r="DEG57" s="0"/>
      <c r="DEH57" s="0"/>
      <c r="DEI57" s="0"/>
      <c r="DEJ57" s="0"/>
      <c r="DEK57" s="0"/>
      <c r="DEL57" s="0"/>
      <c r="DEM57" s="0"/>
      <c r="DEN57" s="0"/>
      <c r="DEO57" s="0"/>
      <c r="DEP57" s="0"/>
      <c r="DEQ57" s="0"/>
      <c r="DER57" s="0"/>
      <c r="DES57" s="0"/>
      <c r="DET57" s="0"/>
      <c r="DEU57" s="0"/>
      <c r="DEV57" s="0"/>
      <c r="DEW57" s="0"/>
      <c r="DEX57" s="0"/>
      <c r="DEY57" s="0"/>
      <c r="DEZ57" s="0"/>
      <c r="DFA57" s="0"/>
      <c r="DFB57" s="0"/>
      <c r="DFC57" s="0"/>
      <c r="DFD57" s="0"/>
      <c r="DFE57" s="0"/>
      <c r="DFF57" s="0"/>
      <c r="DFG57" s="0"/>
      <c r="DFH57" s="0"/>
      <c r="DFI57" s="0"/>
      <c r="DFJ57" s="0"/>
      <c r="DFK57" s="0"/>
      <c r="DFL57" s="0"/>
      <c r="DFM57" s="0"/>
      <c r="DFN57" s="0"/>
      <c r="DFO57" s="0"/>
      <c r="DFP57" s="0"/>
      <c r="DFQ57" s="0"/>
      <c r="DFR57" s="0"/>
      <c r="DFS57" s="0"/>
      <c r="DFT57" s="0"/>
      <c r="DFU57" s="0"/>
      <c r="DFV57" s="0"/>
      <c r="DFW57" s="0"/>
      <c r="DFX57" s="0"/>
      <c r="DFY57" s="0"/>
      <c r="DFZ57" s="0"/>
      <c r="DGA57" s="0"/>
      <c r="DGB57" s="0"/>
      <c r="DGC57" s="0"/>
      <c r="DGD57" s="0"/>
      <c r="DGE57" s="0"/>
      <c r="DGF57" s="0"/>
      <c r="DGG57" s="0"/>
      <c r="DGH57" s="0"/>
      <c r="DGI57" s="0"/>
      <c r="DGJ57" s="0"/>
      <c r="DGK57" s="0"/>
      <c r="DGL57" s="0"/>
      <c r="DGM57" s="0"/>
      <c r="DGN57" s="0"/>
      <c r="DGO57" s="0"/>
      <c r="DGP57" s="0"/>
      <c r="DGQ57" s="0"/>
      <c r="DGR57" s="0"/>
      <c r="DGS57" s="0"/>
      <c r="DGT57" s="0"/>
      <c r="DGU57" s="0"/>
      <c r="DGV57" s="0"/>
      <c r="DGW57" s="0"/>
      <c r="DGX57" s="0"/>
      <c r="DGY57" s="0"/>
      <c r="DGZ57" s="0"/>
      <c r="DHA57" s="0"/>
      <c r="DHB57" s="0"/>
      <c r="DHC57" s="0"/>
      <c r="DHD57" s="0"/>
      <c r="DHE57" s="0"/>
      <c r="DHF57" s="0"/>
      <c r="DHG57" s="0"/>
      <c r="DHH57" s="0"/>
      <c r="DHI57" s="0"/>
      <c r="DHJ57" s="0"/>
      <c r="DHK57" s="0"/>
      <c r="DHL57" s="0"/>
      <c r="DHM57" s="0"/>
      <c r="DHN57" s="0"/>
      <c r="DHO57" s="0"/>
      <c r="DHP57" s="0"/>
      <c r="DHQ57" s="0"/>
      <c r="DHR57" s="0"/>
      <c r="DHS57" s="0"/>
      <c r="DHT57" s="0"/>
      <c r="DHU57" s="0"/>
      <c r="DHV57" s="0"/>
      <c r="DHW57" s="0"/>
      <c r="DHX57" s="0"/>
      <c r="DHY57" s="0"/>
      <c r="DHZ57" s="0"/>
      <c r="DIA57" s="0"/>
      <c r="DIB57" s="0"/>
      <c r="DIC57" s="0"/>
      <c r="DID57" s="0"/>
      <c r="DIE57" s="0"/>
      <c r="DIF57" s="0"/>
      <c r="DIG57" s="0"/>
      <c r="DIH57" s="0"/>
      <c r="DII57" s="0"/>
      <c r="DIJ57" s="0"/>
      <c r="DIK57" s="0"/>
      <c r="DIL57" s="0"/>
      <c r="DIM57" s="0"/>
      <c r="DIN57" s="0"/>
      <c r="DIO57" s="0"/>
      <c r="DIP57" s="0"/>
      <c r="DIQ57" s="0"/>
      <c r="DIR57" s="0"/>
      <c r="DIS57" s="0"/>
      <c r="DIT57" s="0"/>
      <c r="DIU57" s="0"/>
      <c r="DIV57" s="0"/>
      <c r="DIW57" s="0"/>
      <c r="DIX57" s="0"/>
      <c r="DIY57" s="0"/>
      <c r="DIZ57" s="0"/>
      <c r="DJA57" s="0"/>
      <c r="DJB57" s="0"/>
      <c r="DJC57" s="0"/>
      <c r="DJD57" s="0"/>
      <c r="DJE57" s="0"/>
      <c r="DJF57" s="0"/>
      <c r="DJG57" s="0"/>
      <c r="DJH57" s="0"/>
      <c r="DJI57" s="0"/>
      <c r="DJJ57" s="0"/>
      <c r="DJK57" s="0"/>
      <c r="DJL57" s="0"/>
      <c r="DJM57" s="0"/>
      <c r="DJN57" s="0"/>
      <c r="DJO57" s="0"/>
      <c r="DJP57" s="0"/>
      <c r="DJQ57" s="0"/>
      <c r="DJR57" s="0"/>
      <c r="DJS57" s="0"/>
      <c r="DJT57" s="0"/>
      <c r="DJU57" s="0"/>
      <c r="DJV57" s="0"/>
      <c r="DJW57" s="0"/>
      <c r="DJX57" s="0"/>
      <c r="DJY57" s="0"/>
      <c r="DJZ57" s="0"/>
      <c r="DKA57" s="0"/>
      <c r="DKB57" s="0"/>
      <c r="DKC57" s="0"/>
      <c r="DKD57" s="0"/>
      <c r="DKE57" s="0"/>
      <c r="DKF57" s="0"/>
      <c r="DKG57" s="0"/>
      <c r="DKH57" s="0"/>
      <c r="DKI57" s="0"/>
      <c r="DKJ57" s="0"/>
      <c r="DKK57" s="0"/>
      <c r="DKL57" s="0"/>
      <c r="DKM57" s="0"/>
      <c r="DKN57" s="0"/>
      <c r="DKO57" s="0"/>
      <c r="DKP57" s="0"/>
      <c r="DKQ57" s="0"/>
      <c r="DKR57" s="0"/>
      <c r="DKS57" s="0"/>
      <c r="DKT57" s="0"/>
      <c r="DKU57" s="0"/>
      <c r="DKV57" s="0"/>
      <c r="DKW57" s="0"/>
      <c r="DKX57" s="0"/>
      <c r="DKY57" s="0"/>
      <c r="DKZ57" s="0"/>
      <c r="DLA57" s="0"/>
      <c r="DLB57" s="0"/>
      <c r="DLC57" s="0"/>
      <c r="DLD57" s="0"/>
      <c r="DLE57" s="0"/>
      <c r="DLF57" s="0"/>
      <c r="DLG57" s="0"/>
      <c r="DLH57" s="0"/>
      <c r="DLI57" s="0"/>
      <c r="DLJ57" s="0"/>
      <c r="DLK57" s="0"/>
      <c r="DLL57" s="0"/>
      <c r="DLM57" s="0"/>
      <c r="DLN57" s="0"/>
      <c r="DLO57" s="0"/>
      <c r="DLP57" s="0"/>
      <c r="DLQ57" s="0"/>
      <c r="DLR57" s="0"/>
      <c r="DLS57" s="0"/>
      <c r="DLT57" s="0"/>
      <c r="DLU57" s="0"/>
      <c r="DLV57" s="0"/>
      <c r="DLW57" s="0"/>
      <c r="DLX57" s="0"/>
      <c r="DLY57" s="0"/>
      <c r="DLZ57" s="0"/>
      <c r="DMA57" s="0"/>
      <c r="DMB57" s="0"/>
      <c r="DMC57" s="0"/>
      <c r="DMD57" s="0"/>
      <c r="DME57" s="0"/>
      <c r="DMF57" s="0"/>
      <c r="DMG57" s="0"/>
      <c r="DMH57" s="0"/>
      <c r="DMI57" s="0"/>
      <c r="DMJ57" s="0"/>
      <c r="DMK57" s="0"/>
      <c r="DML57" s="0"/>
      <c r="DMM57" s="0"/>
      <c r="DMN57" s="0"/>
      <c r="DMO57" s="0"/>
      <c r="DMP57" s="0"/>
      <c r="DMQ57" s="0"/>
      <c r="DMR57" s="0"/>
      <c r="DMS57" s="0"/>
      <c r="DMT57" s="0"/>
      <c r="DMU57" s="0"/>
      <c r="DMV57" s="0"/>
      <c r="DMW57" s="0"/>
      <c r="DMX57" s="0"/>
      <c r="DMY57" s="0"/>
      <c r="DMZ57" s="0"/>
      <c r="DNA57" s="0"/>
      <c r="DNB57" s="0"/>
      <c r="DNC57" s="0"/>
      <c r="DND57" s="0"/>
      <c r="DNE57" s="0"/>
      <c r="DNF57" s="0"/>
      <c r="DNG57" s="0"/>
      <c r="DNH57" s="0"/>
      <c r="DNI57" s="0"/>
      <c r="DNJ57" s="0"/>
      <c r="DNK57" s="0"/>
      <c r="DNL57" s="0"/>
      <c r="DNM57" s="0"/>
      <c r="DNN57" s="0"/>
      <c r="DNO57" s="0"/>
      <c r="DNP57" s="0"/>
      <c r="DNQ57" s="0"/>
      <c r="DNR57" s="0"/>
      <c r="DNS57" s="0"/>
      <c r="DNT57" s="0"/>
      <c r="DNU57" s="0"/>
      <c r="DNV57" s="0"/>
      <c r="DNW57" s="0"/>
      <c r="DNX57" s="0"/>
      <c r="DNY57" s="0"/>
      <c r="DNZ57" s="0"/>
      <c r="DOA57" s="0"/>
      <c r="DOB57" s="0"/>
      <c r="DOC57" s="0"/>
      <c r="DOD57" s="0"/>
      <c r="DOE57" s="0"/>
      <c r="DOF57" s="0"/>
      <c r="DOG57" s="0"/>
      <c r="DOH57" s="0"/>
      <c r="DOI57" s="0"/>
      <c r="DOJ57" s="0"/>
      <c r="DOK57" s="0"/>
      <c r="DOL57" s="0"/>
      <c r="DOM57" s="0"/>
      <c r="DON57" s="0"/>
      <c r="DOO57" s="0"/>
      <c r="DOP57" s="0"/>
      <c r="DOQ57" s="0"/>
      <c r="DOR57" s="0"/>
      <c r="DOS57" s="0"/>
      <c r="DOT57" s="0"/>
      <c r="DOU57" s="0"/>
      <c r="DOV57" s="0"/>
      <c r="DOW57" s="0"/>
      <c r="DOX57" s="0"/>
      <c r="DOY57" s="0"/>
      <c r="DOZ57" s="0"/>
      <c r="DPA57" s="0"/>
      <c r="DPB57" s="0"/>
      <c r="DPC57" s="0"/>
      <c r="DPD57" s="0"/>
      <c r="DPE57" s="0"/>
      <c r="DPF57" s="0"/>
      <c r="DPG57" s="0"/>
      <c r="DPH57" s="0"/>
      <c r="DPI57" s="0"/>
      <c r="DPJ57" s="0"/>
      <c r="DPK57" s="0"/>
      <c r="DPL57" s="0"/>
      <c r="DPM57" s="0"/>
      <c r="DPN57" s="0"/>
      <c r="DPO57" s="0"/>
      <c r="DPP57" s="0"/>
      <c r="DPQ57" s="0"/>
      <c r="DPR57" s="0"/>
      <c r="DPS57" s="0"/>
      <c r="DPT57" s="0"/>
      <c r="DPU57" s="0"/>
      <c r="DPV57" s="0"/>
      <c r="DPW57" s="0"/>
      <c r="DPX57" s="0"/>
      <c r="DPY57" s="0"/>
      <c r="DPZ57" s="0"/>
      <c r="DQA57" s="0"/>
      <c r="DQB57" s="0"/>
      <c r="DQC57" s="0"/>
      <c r="DQD57" s="0"/>
      <c r="DQE57" s="0"/>
      <c r="DQF57" s="0"/>
      <c r="DQG57" s="0"/>
      <c r="DQH57" s="0"/>
      <c r="DQI57" s="0"/>
      <c r="DQJ57" s="0"/>
      <c r="DQK57" s="0"/>
      <c r="DQL57" s="0"/>
      <c r="DQM57" s="0"/>
      <c r="DQN57" s="0"/>
      <c r="DQO57" s="0"/>
      <c r="DQP57" s="0"/>
      <c r="DQQ57" s="0"/>
      <c r="DQR57" s="0"/>
      <c r="DQS57" s="0"/>
      <c r="DQT57" s="0"/>
      <c r="DQU57" s="0"/>
      <c r="DQV57" s="0"/>
      <c r="DQW57" s="0"/>
      <c r="DQX57" s="0"/>
      <c r="DQY57" s="0"/>
      <c r="DQZ57" s="0"/>
      <c r="DRA57" s="0"/>
      <c r="DRB57" s="0"/>
      <c r="DRC57" s="0"/>
      <c r="DRD57" s="0"/>
      <c r="DRE57" s="0"/>
      <c r="DRF57" s="0"/>
      <c r="DRG57" s="0"/>
      <c r="DRH57" s="0"/>
      <c r="DRI57" s="0"/>
      <c r="DRJ57" s="0"/>
      <c r="DRK57" s="0"/>
      <c r="DRL57" s="0"/>
      <c r="DRM57" s="0"/>
      <c r="DRN57" s="0"/>
      <c r="DRO57" s="0"/>
      <c r="DRP57" s="0"/>
      <c r="DRQ57" s="0"/>
      <c r="DRR57" s="0"/>
      <c r="DRS57" s="0"/>
      <c r="DRT57" s="0"/>
      <c r="DRU57" s="0"/>
      <c r="DRV57" s="0"/>
      <c r="DRW57" s="0"/>
      <c r="DRX57" s="0"/>
      <c r="DRY57" s="0"/>
      <c r="DRZ57" s="0"/>
      <c r="DSA57" s="0"/>
      <c r="DSB57" s="0"/>
      <c r="DSC57" s="0"/>
      <c r="DSD57" s="0"/>
      <c r="DSE57" s="0"/>
      <c r="DSF57" s="0"/>
      <c r="DSG57" s="0"/>
      <c r="DSH57" s="0"/>
      <c r="DSI57" s="0"/>
      <c r="DSJ57" s="0"/>
      <c r="DSK57" s="0"/>
      <c r="DSL57" s="0"/>
      <c r="DSM57" s="0"/>
      <c r="DSN57" s="0"/>
      <c r="DSO57" s="0"/>
      <c r="DSP57" s="0"/>
      <c r="DSQ57" s="0"/>
      <c r="DSR57" s="0"/>
      <c r="DSS57" s="0"/>
      <c r="DST57" s="0"/>
      <c r="DSU57" s="0"/>
      <c r="DSV57" s="0"/>
      <c r="DSW57" s="0"/>
      <c r="DSX57" s="0"/>
      <c r="DSY57" s="0"/>
      <c r="DSZ57" s="0"/>
      <c r="DTA57" s="0"/>
      <c r="DTB57" s="0"/>
      <c r="DTC57" s="0"/>
      <c r="DTD57" s="0"/>
      <c r="DTE57" s="0"/>
      <c r="DTF57" s="0"/>
      <c r="DTG57" s="0"/>
      <c r="DTH57" s="0"/>
      <c r="DTI57" s="0"/>
      <c r="DTJ57" s="0"/>
      <c r="DTK57" s="0"/>
      <c r="DTL57" s="0"/>
      <c r="DTM57" s="0"/>
      <c r="DTN57" s="0"/>
      <c r="DTO57" s="0"/>
      <c r="DTP57" s="0"/>
      <c r="DTQ57" s="0"/>
      <c r="DTR57" s="0"/>
      <c r="DTS57" s="0"/>
      <c r="DTT57" s="0"/>
      <c r="DTU57" s="0"/>
      <c r="DTV57" s="0"/>
      <c r="DTW57" s="0"/>
      <c r="DTX57" s="0"/>
      <c r="DTY57" s="0"/>
      <c r="DTZ57" s="0"/>
      <c r="DUA57" s="0"/>
      <c r="DUB57" s="0"/>
      <c r="DUC57" s="0"/>
      <c r="DUD57" s="0"/>
      <c r="DUE57" s="0"/>
      <c r="DUF57" s="0"/>
      <c r="DUG57" s="0"/>
      <c r="DUH57" s="0"/>
      <c r="DUI57" s="0"/>
      <c r="DUJ57" s="0"/>
      <c r="DUK57" s="0"/>
      <c r="DUL57" s="0"/>
      <c r="DUM57" s="0"/>
      <c r="DUN57" s="0"/>
      <c r="DUO57" s="0"/>
      <c r="DUP57" s="0"/>
      <c r="DUQ57" s="0"/>
      <c r="DUR57" s="0"/>
      <c r="DUS57" s="0"/>
      <c r="DUT57" s="0"/>
      <c r="DUU57" s="0"/>
      <c r="DUV57" s="0"/>
      <c r="DUW57" s="0"/>
      <c r="DUX57" s="0"/>
      <c r="DUY57" s="0"/>
      <c r="DUZ57" s="0"/>
      <c r="DVA57" s="0"/>
      <c r="DVB57" s="0"/>
      <c r="DVC57" s="0"/>
      <c r="DVD57" s="0"/>
      <c r="DVE57" s="0"/>
      <c r="DVF57" s="0"/>
      <c r="DVG57" s="0"/>
      <c r="DVH57" s="0"/>
      <c r="DVI57" s="0"/>
      <c r="DVJ57" s="0"/>
      <c r="DVK57" s="0"/>
      <c r="DVL57" s="0"/>
      <c r="DVM57" s="0"/>
      <c r="DVN57" s="0"/>
      <c r="DVO57" s="0"/>
      <c r="DVP57" s="0"/>
      <c r="DVQ57" s="0"/>
      <c r="DVR57" s="0"/>
      <c r="DVS57" s="0"/>
      <c r="DVT57" s="0"/>
      <c r="DVU57" s="0"/>
      <c r="DVV57" s="0"/>
      <c r="DVW57" s="0"/>
      <c r="DVX57" s="0"/>
      <c r="DVY57" s="0"/>
      <c r="DVZ57" s="0"/>
      <c r="DWA57" s="0"/>
      <c r="DWB57" s="0"/>
      <c r="DWC57" s="0"/>
      <c r="DWD57" s="0"/>
      <c r="DWE57" s="0"/>
      <c r="DWF57" s="0"/>
      <c r="DWG57" s="0"/>
      <c r="DWH57" s="0"/>
      <c r="DWI57" s="0"/>
      <c r="DWJ57" s="0"/>
      <c r="DWK57" s="0"/>
      <c r="DWL57" s="0"/>
      <c r="DWM57" s="0"/>
      <c r="DWN57" s="0"/>
      <c r="DWO57" s="0"/>
      <c r="DWP57" s="0"/>
      <c r="DWQ57" s="0"/>
      <c r="DWR57" s="0"/>
      <c r="DWS57" s="0"/>
      <c r="DWT57" s="0"/>
      <c r="DWU57" s="0"/>
      <c r="DWV57" s="0"/>
      <c r="DWW57" s="0"/>
      <c r="DWX57" s="0"/>
      <c r="DWY57" s="0"/>
      <c r="DWZ57" s="0"/>
      <c r="DXA57" s="0"/>
      <c r="DXB57" s="0"/>
      <c r="DXC57" s="0"/>
      <c r="DXD57" s="0"/>
      <c r="DXE57" s="0"/>
      <c r="DXF57" s="0"/>
      <c r="DXG57" s="0"/>
      <c r="DXH57" s="0"/>
      <c r="DXI57" s="0"/>
      <c r="DXJ57" s="0"/>
      <c r="DXK57" s="0"/>
      <c r="DXL57" s="0"/>
      <c r="DXM57" s="0"/>
      <c r="DXN57" s="0"/>
      <c r="DXO57" s="0"/>
      <c r="DXP57" s="0"/>
      <c r="DXQ57" s="0"/>
      <c r="DXR57" s="0"/>
      <c r="DXS57" s="0"/>
      <c r="DXT57" s="0"/>
      <c r="DXU57" s="0"/>
      <c r="DXV57" s="0"/>
      <c r="DXW57" s="0"/>
      <c r="DXX57" s="0"/>
      <c r="DXY57" s="0"/>
      <c r="DXZ57" s="0"/>
      <c r="DYA57" s="0"/>
      <c r="DYB57" s="0"/>
      <c r="DYC57" s="0"/>
      <c r="DYD57" s="0"/>
      <c r="DYE57" s="0"/>
      <c r="DYF57" s="0"/>
      <c r="DYG57" s="0"/>
      <c r="DYH57" s="0"/>
      <c r="DYI57" s="0"/>
      <c r="DYJ57" s="0"/>
      <c r="DYK57" s="0"/>
      <c r="DYL57" s="0"/>
      <c r="DYM57" s="0"/>
      <c r="DYN57" s="0"/>
      <c r="DYO57" s="0"/>
      <c r="DYP57" s="0"/>
      <c r="DYQ57" s="0"/>
      <c r="DYR57" s="0"/>
      <c r="DYS57" s="0"/>
      <c r="DYT57" s="0"/>
      <c r="DYU57" s="0"/>
      <c r="DYV57" s="0"/>
      <c r="DYW57" s="0"/>
      <c r="DYX57" s="0"/>
      <c r="DYY57" s="0"/>
      <c r="DYZ57" s="0"/>
      <c r="DZA57" s="0"/>
      <c r="DZB57" s="0"/>
      <c r="DZC57" s="0"/>
      <c r="DZD57" s="0"/>
      <c r="DZE57" s="0"/>
      <c r="DZF57" s="0"/>
      <c r="DZG57" s="0"/>
      <c r="DZH57" s="0"/>
      <c r="DZI57" s="0"/>
      <c r="DZJ57" s="0"/>
      <c r="DZK57" s="0"/>
      <c r="DZL57" s="0"/>
      <c r="DZM57" s="0"/>
      <c r="DZN57" s="0"/>
      <c r="DZO57" s="0"/>
      <c r="DZP57" s="0"/>
      <c r="DZQ57" s="0"/>
      <c r="DZR57" s="0"/>
      <c r="DZS57" s="0"/>
      <c r="DZT57" s="0"/>
      <c r="DZU57" s="0"/>
      <c r="DZV57" s="0"/>
      <c r="DZW57" s="0"/>
      <c r="DZX57" s="0"/>
      <c r="DZY57" s="0"/>
      <c r="DZZ57" s="0"/>
      <c r="EAA57" s="0"/>
      <c r="EAB57" s="0"/>
      <c r="EAC57" s="0"/>
      <c r="EAD57" s="0"/>
      <c r="EAE57" s="0"/>
      <c r="EAF57" s="0"/>
      <c r="EAG57" s="0"/>
      <c r="EAH57" s="0"/>
      <c r="EAI57" s="0"/>
      <c r="EAJ57" s="0"/>
      <c r="EAK57" s="0"/>
      <c r="EAL57" s="0"/>
      <c r="EAM57" s="0"/>
      <c r="EAN57" s="0"/>
      <c r="EAO57" s="0"/>
      <c r="EAP57" s="0"/>
      <c r="EAQ57" s="0"/>
      <c r="EAR57" s="0"/>
      <c r="EAS57" s="0"/>
      <c r="EAT57" s="0"/>
      <c r="EAU57" s="0"/>
      <c r="EAV57" s="0"/>
      <c r="EAW57" s="0"/>
      <c r="EAX57" s="0"/>
      <c r="EAY57" s="0"/>
      <c r="EAZ57" s="0"/>
      <c r="EBA57" s="0"/>
      <c r="EBB57" s="0"/>
      <c r="EBC57" s="0"/>
      <c r="EBD57" s="0"/>
      <c r="EBE57" s="0"/>
      <c r="EBF57" s="0"/>
      <c r="EBG57" s="0"/>
      <c r="EBH57" s="0"/>
      <c r="EBI57" s="0"/>
      <c r="EBJ57" s="0"/>
      <c r="EBK57" s="0"/>
      <c r="EBL57" s="0"/>
      <c r="EBM57" s="0"/>
      <c r="EBN57" s="0"/>
      <c r="EBO57" s="0"/>
      <c r="EBP57" s="0"/>
      <c r="EBQ57" s="0"/>
      <c r="EBR57" s="0"/>
      <c r="EBS57" s="0"/>
      <c r="EBT57" s="0"/>
      <c r="EBU57" s="0"/>
      <c r="EBV57" s="0"/>
      <c r="EBW57" s="0"/>
      <c r="EBX57" s="0"/>
      <c r="EBY57" s="0"/>
      <c r="EBZ57" s="0"/>
      <c r="ECA57" s="0"/>
      <c r="ECB57" s="0"/>
      <c r="ECC57" s="0"/>
      <c r="ECD57" s="0"/>
      <c r="ECE57" s="0"/>
      <c r="ECF57" s="0"/>
      <c r="ECG57" s="0"/>
      <c r="ECH57" s="0"/>
      <c r="ECI57" s="0"/>
      <c r="ECJ57" s="0"/>
      <c r="ECK57" s="0"/>
      <c r="ECL57" s="0"/>
      <c r="ECM57" s="0"/>
      <c r="ECN57" s="0"/>
      <c r="ECO57" s="0"/>
      <c r="ECP57" s="0"/>
      <c r="ECQ57" s="0"/>
      <c r="ECR57" s="0"/>
      <c r="ECS57" s="0"/>
      <c r="ECT57" s="0"/>
      <c r="ECU57" s="0"/>
      <c r="ECV57" s="0"/>
      <c r="ECW57" s="0"/>
      <c r="ECX57" s="0"/>
      <c r="ECY57" s="0"/>
      <c r="ECZ57" s="0"/>
      <c r="EDA57" s="0"/>
      <c r="EDB57" s="0"/>
      <c r="EDC57" s="0"/>
      <c r="EDD57" s="0"/>
      <c r="EDE57" s="0"/>
      <c r="EDF57" s="0"/>
      <c r="EDG57" s="0"/>
      <c r="EDH57" s="0"/>
      <c r="EDI57" s="0"/>
      <c r="EDJ57" s="0"/>
      <c r="EDK57" s="0"/>
      <c r="EDL57" s="0"/>
      <c r="EDM57" s="0"/>
      <c r="EDN57" s="0"/>
      <c r="EDO57" s="0"/>
      <c r="EDP57" s="0"/>
      <c r="EDQ57" s="0"/>
      <c r="EDR57" s="0"/>
      <c r="EDS57" s="0"/>
      <c r="EDT57" s="0"/>
      <c r="EDU57" s="0"/>
      <c r="EDV57" s="0"/>
      <c r="EDW57" s="0"/>
      <c r="EDX57" s="0"/>
      <c r="EDY57" s="0"/>
      <c r="EDZ57" s="0"/>
      <c r="EEA57" s="0"/>
      <c r="EEB57" s="0"/>
      <c r="EEC57" s="0"/>
      <c r="EED57" s="0"/>
      <c r="EEE57" s="0"/>
      <c r="EEF57" s="0"/>
      <c r="EEG57" s="0"/>
      <c r="EEH57" s="0"/>
      <c r="EEI57" s="0"/>
      <c r="EEJ57" s="0"/>
      <c r="EEK57" s="0"/>
      <c r="EEL57" s="0"/>
      <c r="EEM57" s="0"/>
      <c r="EEN57" s="0"/>
      <c r="EEO57" s="0"/>
      <c r="EEP57" s="0"/>
      <c r="EEQ57" s="0"/>
      <c r="EER57" s="0"/>
      <c r="EES57" s="0"/>
      <c r="EET57" s="0"/>
      <c r="EEU57" s="0"/>
      <c r="EEV57" s="0"/>
      <c r="EEW57" s="0"/>
      <c r="EEX57" s="0"/>
      <c r="EEY57" s="0"/>
      <c r="EEZ57" s="0"/>
      <c r="EFA57" s="0"/>
      <c r="EFB57" s="0"/>
      <c r="EFC57" s="0"/>
      <c r="EFD57" s="0"/>
      <c r="EFE57" s="0"/>
      <c r="EFF57" s="0"/>
      <c r="EFG57" s="0"/>
      <c r="EFH57" s="0"/>
      <c r="EFI57" s="0"/>
      <c r="EFJ57" s="0"/>
      <c r="EFK57" s="0"/>
      <c r="EFL57" s="0"/>
      <c r="EFM57" s="0"/>
      <c r="EFN57" s="0"/>
      <c r="EFO57" s="0"/>
      <c r="EFP57" s="0"/>
      <c r="EFQ57" s="0"/>
      <c r="EFR57" s="0"/>
      <c r="EFS57" s="0"/>
      <c r="EFT57" s="0"/>
      <c r="EFU57" s="0"/>
      <c r="EFV57" s="0"/>
      <c r="EFW57" s="0"/>
      <c r="EFX57" s="0"/>
      <c r="EFY57" s="0"/>
      <c r="EFZ57" s="0"/>
      <c r="EGA57" s="0"/>
      <c r="EGB57" s="0"/>
      <c r="EGC57" s="0"/>
      <c r="EGD57" s="0"/>
      <c r="EGE57" s="0"/>
      <c r="EGF57" s="0"/>
      <c r="EGG57" s="0"/>
      <c r="EGH57" s="0"/>
      <c r="EGI57" s="0"/>
      <c r="EGJ57" s="0"/>
      <c r="EGK57" s="0"/>
      <c r="EGL57" s="0"/>
      <c r="EGM57" s="0"/>
      <c r="EGN57" s="0"/>
      <c r="EGO57" s="0"/>
      <c r="EGP57" s="0"/>
      <c r="EGQ57" s="0"/>
      <c r="EGR57" s="0"/>
      <c r="EGS57" s="0"/>
      <c r="EGT57" s="0"/>
      <c r="EGU57" s="0"/>
      <c r="EGV57" s="0"/>
      <c r="EGW57" s="0"/>
      <c r="EGX57" s="0"/>
      <c r="EGY57" s="0"/>
      <c r="EGZ57" s="0"/>
      <c r="EHA57" s="0"/>
      <c r="EHB57" s="0"/>
      <c r="EHC57" s="0"/>
      <c r="EHD57" s="0"/>
      <c r="EHE57" s="0"/>
      <c r="EHF57" s="0"/>
      <c r="EHG57" s="0"/>
      <c r="EHH57" s="0"/>
      <c r="EHI57" s="0"/>
      <c r="EHJ57" s="0"/>
      <c r="EHK57" s="0"/>
      <c r="EHL57" s="0"/>
      <c r="EHM57" s="0"/>
      <c r="EHN57" s="0"/>
      <c r="EHO57" s="0"/>
      <c r="EHP57" s="0"/>
      <c r="EHQ57" s="0"/>
      <c r="EHR57" s="0"/>
      <c r="EHS57" s="0"/>
      <c r="EHT57" s="0"/>
      <c r="EHU57" s="0"/>
      <c r="EHV57" s="0"/>
      <c r="EHW57" s="0"/>
      <c r="EHX57" s="0"/>
      <c r="EHY57" s="0"/>
      <c r="EHZ57" s="0"/>
      <c r="EIA57" s="0"/>
      <c r="EIB57" s="0"/>
      <c r="EIC57" s="0"/>
      <c r="EID57" s="0"/>
      <c r="EIE57" s="0"/>
      <c r="EIF57" s="0"/>
      <c r="EIG57" s="0"/>
      <c r="EIH57" s="0"/>
      <c r="EII57" s="0"/>
      <c r="EIJ57" s="0"/>
      <c r="EIK57" s="0"/>
      <c r="EIL57" s="0"/>
      <c r="EIM57" s="0"/>
      <c r="EIN57" s="0"/>
      <c r="EIO57" s="0"/>
      <c r="EIP57" s="0"/>
      <c r="EIQ57" s="0"/>
      <c r="EIR57" s="0"/>
      <c r="EIS57" s="0"/>
      <c r="EIT57" s="0"/>
      <c r="EIU57" s="0"/>
      <c r="EIV57" s="0"/>
      <c r="EIW57" s="0"/>
      <c r="EIX57" s="0"/>
      <c r="EIY57" s="0"/>
      <c r="EIZ57" s="0"/>
      <c r="EJA57" s="0"/>
      <c r="EJB57" s="0"/>
      <c r="EJC57" s="0"/>
      <c r="EJD57" s="0"/>
      <c r="EJE57" s="0"/>
      <c r="EJF57" s="0"/>
      <c r="EJG57" s="0"/>
      <c r="EJH57" s="0"/>
      <c r="EJI57" s="0"/>
      <c r="EJJ57" s="0"/>
      <c r="EJK57" s="0"/>
      <c r="EJL57" s="0"/>
      <c r="EJM57" s="0"/>
      <c r="EJN57" s="0"/>
      <c r="EJO57" s="0"/>
      <c r="EJP57" s="0"/>
      <c r="EJQ57" s="0"/>
      <c r="EJR57" s="0"/>
      <c r="EJS57" s="0"/>
      <c r="EJT57" s="0"/>
      <c r="EJU57" s="0"/>
      <c r="EJV57" s="0"/>
      <c r="EJW57" s="0"/>
      <c r="EJX57" s="0"/>
      <c r="EJY57" s="0"/>
      <c r="EJZ57" s="0"/>
      <c r="EKA57" s="0"/>
      <c r="EKB57" s="0"/>
      <c r="EKC57" s="0"/>
      <c r="EKD57" s="0"/>
      <c r="EKE57" s="0"/>
      <c r="EKF57" s="0"/>
      <c r="EKG57" s="0"/>
      <c r="EKH57" s="0"/>
      <c r="EKI57" s="0"/>
      <c r="EKJ57" s="0"/>
      <c r="EKK57" s="0"/>
      <c r="EKL57" s="0"/>
      <c r="EKM57" s="0"/>
      <c r="EKN57" s="0"/>
      <c r="EKO57" s="0"/>
      <c r="EKP57" s="0"/>
      <c r="EKQ57" s="0"/>
      <c r="EKR57" s="0"/>
      <c r="EKS57" s="0"/>
      <c r="EKT57" s="0"/>
      <c r="EKU57" s="0"/>
      <c r="EKV57" s="0"/>
      <c r="EKW57" s="0"/>
      <c r="EKX57" s="0"/>
      <c r="EKY57" s="0"/>
      <c r="EKZ57" s="0"/>
      <c r="ELA57" s="0"/>
      <c r="ELB57" s="0"/>
      <c r="ELC57" s="0"/>
      <c r="ELD57" s="0"/>
      <c r="ELE57" s="0"/>
      <c r="ELF57" s="0"/>
      <c r="ELG57" s="0"/>
      <c r="ELH57" s="0"/>
      <c r="ELI57" s="0"/>
      <c r="ELJ57" s="0"/>
      <c r="ELK57" s="0"/>
      <c r="ELL57" s="0"/>
      <c r="ELM57" s="0"/>
      <c r="ELN57" s="0"/>
      <c r="ELO57" s="0"/>
      <c r="ELP57" s="0"/>
      <c r="ELQ57" s="0"/>
      <c r="ELR57" s="0"/>
      <c r="ELS57" s="0"/>
      <c r="ELT57" s="0"/>
      <c r="ELU57" s="0"/>
      <c r="ELV57" s="0"/>
      <c r="ELW57" s="0"/>
      <c r="ELX57" s="0"/>
      <c r="ELY57" s="0"/>
      <c r="ELZ57" s="0"/>
      <c r="EMA57" s="0"/>
      <c r="EMB57" s="0"/>
      <c r="EMC57" s="0"/>
      <c r="EMD57" s="0"/>
      <c r="EME57" s="0"/>
      <c r="EMF57" s="0"/>
      <c r="EMG57" s="0"/>
      <c r="EMH57" s="0"/>
      <c r="EMI57" s="0"/>
      <c r="EMJ57" s="0"/>
      <c r="EMK57" s="0"/>
      <c r="EML57" s="0"/>
      <c r="EMM57" s="0"/>
      <c r="EMN57" s="0"/>
      <c r="EMO57" s="0"/>
      <c r="EMP57" s="0"/>
      <c r="EMQ57" s="0"/>
      <c r="EMR57" s="0"/>
      <c r="EMS57" s="0"/>
      <c r="EMT57" s="0"/>
      <c r="EMU57" s="0"/>
      <c r="EMV57" s="0"/>
      <c r="EMW57" s="0"/>
      <c r="EMX57" s="0"/>
      <c r="EMY57" s="0"/>
      <c r="EMZ57" s="0"/>
      <c r="ENA57" s="0"/>
      <c r="ENB57" s="0"/>
      <c r="ENC57" s="0"/>
      <c r="END57" s="0"/>
      <c r="ENE57" s="0"/>
      <c r="ENF57" s="0"/>
      <c r="ENG57" s="0"/>
      <c r="ENH57" s="0"/>
      <c r="ENI57" s="0"/>
      <c r="ENJ57" s="0"/>
      <c r="ENK57" s="0"/>
      <c r="ENL57" s="0"/>
      <c r="ENM57" s="0"/>
      <c r="ENN57" s="0"/>
      <c r="ENO57" s="0"/>
      <c r="ENP57" s="0"/>
      <c r="ENQ57" s="0"/>
      <c r="ENR57" s="0"/>
      <c r="ENS57" s="0"/>
      <c r="ENT57" s="0"/>
      <c r="ENU57" s="0"/>
      <c r="ENV57" s="0"/>
      <c r="ENW57" s="0"/>
      <c r="ENX57" s="0"/>
      <c r="ENY57" s="0"/>
      <c r="ENZ57" s="0"/>
      <c r="EOA57" s="0"/>
      <c r="EOB57" s="0"/>
      <c r="EOC57" s="0"/>
      <c r="EOD57" s="0"/>
      <c r="EOE57" s="0"/>
      <c r="EOF57" s="0"/>
      <c r="EOG57" s="0"/>
      <c r="EOH57" s="0"/>
      <c r="EOI57" s="0"/>
      <c r="EOJ57" s="0"/>
      <c r="EOK57" s="0"/>
      <c r="EOL57" s="0"/>
      <c r="EOM57" s="0"/>
      <c r="EON57" s="0"/>
      <c r="EOO57" s="0"/>
      <c r="EOP57" s="0"/>
      <c r="EOQ57" s="0"/>
      <c r="EOR57" s="0"/>
      <c r="EOS57" s="0"/>
      <c r="EOT57" s="0"/>
      <c r="EOU57" s="0"/>
      <c r="EOV57" s="0"/>
      <c r="EOW57" s="0"/>
      <c r="EOX57" s="0"/>
      <c r="EOY57" s="0"/>
      <c r="EOZ57" s="0"/>
      <c r="EPA57" s="0"/>
      <c r="EPB57" s="0"/>
      <c r="EPC57" s="0"/>
      <c r="EPD57" s="0"/>
      <c r="EPE57" s="0"/>
      <c r="EPF57" s="0"/>
      <c r="EPG57" s="0"/>
      <c r="EPH57" s="0"/>
      <c r="EPI57" s="0"/>
      <c r="EPJ57" s="0"/>
      <c r="EPK57" s="0"/>
      <c r="EPL57" s="0"/>
      <c r="EPM57" s="0"/>
      <c r="EPN57" s="0"/>
      <c r="EPO57" s="0"/>
      <c r="EPP57" s="0"/>
      <c r="EPQ57" s="0"/>
      <c r="EPR57" s="0"/>
      <c r="EPS57" s="0"/>
      <c r="EPT57" s="0"/>
      <c r="EPU57" s="0"/>
      <c r="EPV57" s="0"/>
      <c r="EPW57" s="0"/>
      <c r="EPX57" s="0"/>
      <c r="EPY57" s="0"/>
      <c r="EPZ57" s="0"/>
      <c r="EQA57" s="0"/>
      <c r="EQB57" s="0"/>
      <c r="EQC57" s="0"/>
      <c r="EQD57" s="0"/>
      <c r="EQE57" s="0"/>
      <c r="EQF57" s="0"/>
      <c r="EQG57" s="0"/>
      <c r="EQH57" s="0"/>
      <c r="EQI57" s="0"/>
      <c r="EQJ57" s="0"/>
      <c r="EQK57" s="0"/>
      <c r="EQL57" s="0"/>
      <c r="EQM57" s="0"/>
      <c r="EQN57" s="0"/>
      <c r="EQO57" s="0"/>
      <c r="EQP57" s="0"/>
      <c r="EQQ57" s="0"/>
      <c r="EQR57" s="0"/>
      <c r="EQS57" s="0"/>
      <c r="EQT57" s="0"/>
      <c r="EQU57" s="0"/>
      <c r="EQV57" s="0"/>
      <c r="EQW57" s="0"/>
      <c r="EQX57" s="0"/>
      <c r="EQY57" s="0"/>
      <c r="EQZ57" s="0"/>
      <c r="ERA57" s="0"/>
      <c r="ERB57" s="0"/>
      <c r="ERC57" s="0"/>
      <c r="ERD57" s="0"/>
      <c r="ERE57" s="0"/>
      <c r="ERF57" s="0"/>
      <c r="ERG57" s="0"/>
      <c r="ERH57" s="0"/>
      <c r="ERI57" s="0"/>
      <c r="ERJ57" s="0"/>
      <c r="ERK57" s="0"/>
      <c r="ERL57" s="0"/>
      <c r="ERM57" s="0"/>
      <c r="ERN57" s="0"/>
      <c r="ERO57" s="0"/>
      <c r="ERP57" s="0"/>
      <c r="ERQ57" s="0"/>
      <c r="ERR57" s="0"/>
      <c r="ERS57" s="0"/>
      <c r="ERT57" s="0"/>
      <c r="ERU57" s="0"/>
      <c r="ERV57" s="0"/>
      <c r="ERW57" s="0"/>
      <c r="ERX57" s="0"/>
      <c r="ERY57" s="0"/>
      <c r="ERZ57" s="0"/>
      <c r="ESA57" s="0"/>
      <c r="ESB57" s="0"/>
      <c r="ESC57" s="0"/>
      <c r="ESD57" s="0"/>
      <c r="ESE57" s="0"/>
      <c r="ESF57" s="0"/>
      <c r="ESG57" s="0"/>
      <c r="ESH57" s="0"/>
      <c r="ESI57" s="0"/>
      <c r="ESJ57" s="0"/>
      <c r="ESK57" s="0"/>
      <c r="ESL57" s="0"/>
      <c r="ESM57" s="0"/>
      <c r="ESN57" s="0"/>
      <c r="ESO57" s="0"/>
      <c r="ESP57" s="0"/>
      <c r="ESQ57" s="0"/>
      <c r="ESR57" s="0"/>
      <c r="ESS57" s="0"/>
      <c r="EST57" s="0"/>
      <c r="ESU57" s="0"/>
      <c r="ESV57" s="0"/>
      <c r="ESW57" s="0"/>
      <c r="ESX57" s="0"/>
      <c r="ESY57" s="0"/>
      <c r="ESZ57" s="0"/>
      <c r="ETA57" s="0"/>
      <c r="ETB57" s="0"/>
      <c r="ETC57" s="0"/>
      <c r="ETD57" s="0"/>
      <c r="ETE57" s="0"/>
      <c r="ETF57" s="0"/>
      <c r="ETG57" s="0"/>
      <c r="ETH57" s="0"/>
      <c r="ETI57" s="0"/>
      <c r="ETJ57" s="0"/>
      <c r="ETK57" s="0"/>
      <c r="ETL57" s="0"/>
      <c r="ETM57" s="0"/>
      <c r="ETN57" s="0"/>
      <c r="ETO57" s="0"/>
      <c r="ETP57" s="0"/>
      <c r="ETQ57" s="0"/>
      <c r="ETR57" s="0"/>
      <c r="ETS57" s="0"/>
      <c r="ETT57" s="0"/>
      <c r="ETU57" s="0"/>
      <c r="ETV57" s="0"/>
      <c r="ETW57" s="0"/>
      <c r="ETX57" s="0"/>
      <c r="ETY57" s="0"/>
      <c r="ETZ57" s="0"/>
      <c r="EUA57" s="0"/>
      <c r="EUB57" s="0"/>
      <c r="EUC57" s="0"/>
      <c r="EUD57" s="0"/>
      <c r="EUE57" s="0"/>
      <c r="EUF57" s="0"/>
      <c r="EUG57" s="0"/>
      <c r="EUH57" s="0"/>
      <c r="EUI57" s="0"/>
      <c r="EUJ57" s="0"/>
      <c r="EUK57" s="0"/>
      <c r="EUL57" s="0"/>
      <c r="EUM57" s="0"/>
      <c r="EUN57" s="0"/>
      <c r="EUO57" s="0"/>
      <c r="EUP57" s="0"/>
      <c r="EUQ57" s="0"/>
      <c r="EUR57" s="0"/>
      <c r="EUS57" s="0"/>
      <c r="EUT57" s="0"/>
      <c r="EUU57" s="0"/>
      <c r="EUV57" s="0"/>
      <c r="EUW57" s="0"/>
      <c r="EUX57" s="0"/>
      <c r="EUY57" s="0"/>
      <c r="EUZ57" s="0"/>
      <c r="EVA57" s="0"/>
      <c r="EVB57" s="0"/>
      <c r="EVC57" s="0"/>
      <c r="EVD57" s="0"/>
      <c r="EVE57" s="0"/>
      <c r="EVF57" s="0"/>
      <c r="EVG57" s="0"/>
      <c r="EVH57" s="0"/>
      <c r="EVI57" s="0"/>
      <c r="EVJ57" s="0"/>
      <c r="EVK57" s="0"/>
      <c r="EVL57" s="0"/>
      <c r="EVM57" s="0"/>
      <c r="EVN57" s="0"/>
      <c r="EVO57" s="0"/>
      <c r="EVP57" s="0"/>
      <c r="EVQ57" s="0"/>
      <c r="EVR57" s="0"/>
      <c r="EVS57" s="0"/>
      <c r="EVT57" s="0"/>
      <c r="EVU57" s="0"/>
      <c r="EVV57" s="0"/>
      <c r="EVW57" s="0"/>
      <c r="EVX57" s="0"/>
      <c r="EVY57" s="0"/>
      <c r="EVZ57" s="0"/>
      <c r="EWA57" s="0"/>
      <c r="EWB57" s="0"/>
      <c r="EWC57" s="0"/>
      <c r="EWD57" s="0"/>
      <c r="EWE57" s="0"/>
      <c r="EWF57" s="0"/>
      <c r="EWG57" s="0"/>
      <c r="EWH57" s="0"/>
      <c r="EWI57" s="0"/>
      <c r="EWJ57" s="0"/>
      <c r="EWK57" s="0"/>
      <c r="EWL57" s="0"/>
      <c r="EWM57" s="0"/>
      <c r="EWN57" s="0"/>
      <c r="EWO57" s="0"/>
      <c r="EWP57" s="0"/>
      <c r="EWQ57" s="0"/>
      <c r="EWR57" s="0"/>
      <c r="EWS57" s="0"/>
      <c r="EWT57" s="0"/>
      <c r="EWU57" s="0"/>
      <c r="EWV57" s="0"/>
      <c r="EWW57" s="0"/>
      <c r="EWX57" s="0"/>
      <c r="EWY57" s="0"/>
      <c r="EWZ57" s="0"/>
      <c r="EXA57" s="0"/>
      <c r="EXB57" s="0"/>
      <c r="EXC57" s="0"/>
      <c r="EXD57" s="0"/>
      <c r="EXE57" s="0"/>
      <c r="EXF57" s="0"/>
      <c r="EXG57" s="0"/>
      <c r="EXH57" s="0"/>
      <c r="EXI57" s="0"/>
      <c r="EXJ57" s="0"/>
      <c r="EXK57" s="0"/>
      <c r="EXL57" s="0"/>
      <c r="EXM57" s="0"/>
      <c r="EXN57" s="0"/>
      <c r="EXO57" s="0"/>
      <c r="EXP57" s="0"/>
      <c r="EXQ57" s="0"/>
      <c r="EXR57" s="0"/>
      <c r="EXS57" s="0"/>
      <c r="EXT57" s="0"/>
      <c r="EXU57" s="0"/>
      <c r="EXV57" s="0"/>
      <c r="EXW57" s="0"/>
      <c r="EXX57" s="0"/>
      <c r="EXY57" s="0"/>
      <c r="EXZ57" s="0"/>
      <c r="EYA57" s="0"/>
      <c r="EYB57" s="0"/>
      <c r="EYC57" s="0"/>
      <c r="EYD57" s="0"/>
      <c r="EYE57" s="0"/>
      <c r="EYF57" s="0"/>
      <c r="EYG57" s="0"/>
      <c r="EYH57" s="0"/>
      <c r="EYI57" s="0"/>
      <c r="EYJ57" s="0"/>
      <c r="EYK57" s="0"/>
      <c r="EYL57" s="0"/>
      <c r="EYM57" s="0"/>
      <c r="EYN57" s="0"/>
      <c r="EYO57" s="0"/>
      <c r="EYP57" s="0"/>
      <c r="EYQ57" s="0"/>
      <c r="EYR57" s="0"/>
      <c r="EYS57" s="0"/>
      <c r="EYT57" s="0"/>
      <c r="EYU57" s="0"/>
      <c r="EYV57" s="0"/>
      <c r="EYW57" s="0"/>
      <c r="EYX57" s="0"/>
      <c r="EYY57" s="0"/>
      <c r="EYZ57" s="0"/>
      <c r="EZA57" s="0"/>
      <c r="EZB57" s="0"/>
      <c r="EZC57" s="0"/>
      <c r="EZD57" s="0"/>
      <c r="EZE57" s="0"/>
      <c r="EZF57" s="0"/>
      <c r="EZG57" s="0"/>
      <c r="EZH57" s="0"/>
      <c r="EZI57" s="0"/>
      <c r="EZJ57" s="0"/>
      <c r="EZK57" s="0"/>
      <c r="EZL57" s="0"/>
      <c r="EZM57" s="0"/>
      <c r="EZN57" s="0"/>
      <c r="EZO57" s="0"/>
      <c r="EZP57" s="0"/>
      <c r="EZQ57" s="0"/>
      <c r="EZR57" s="0"/>
      <c r="EZS57" s="0"/>
      <c r="EZT57" s="0"/>
      <c r="EZU57" s="0"/>
      <c r="EZV57" s="0"/>
      <c r="EZW57" s="0"/>
      <c r="EZX57" s="0"/>
      <c r="EZY57" s="0"/>
      <c r="EZZ57" s="0"/>
      <c r="FAA57" s="0"/>
      <c r="FAB57" s="0"/>
      <c r="FAC57" s="0"/>
      <c r="FAD57" s="0"/>
      <c r="FAE57" s="0"/>
      <c r="FAF57" s="0"/>
      <c r="FAG57" s="0"/>
      <c r="FAH57" s="0"/>
      <c r="FAI57" s="0"/>
      <c r="FAJ57" s="0"/>
      <c r="FAK57" s="0"/>
      <c r="FAL57" s="0"/>
      <c r="FAM57" s="0"/>
      <c r="FAN57" s="0"/>
      <c r="FAO57" s="0"/>
      <c r="FAP57" s="0"/>
      <c r="FAQ57" s="0"/>
      <c r="FAR57" s="0"/>
      <c r="FAS57" s="0"/>
      <c r="FAT57" s="0"/>
      <c r="FAU57" s="0"/>
      <c r="FAV57" s="0"/>
      <c r="FAW57" s="0"/>
      <c r="FAX57" s="0"/>
      <c r="FAY57" s="0"/>
      <c r="FAZ57" s="0"/>
      <c r="FBA57" s="0"/>
      <c r="FBB57" s="0"/>
      <c r="FBC57" s="0"/>
      <c r="FBD57" s="0"/>
      <c r="FBE57" s="0"/>
      <c r="FBF57" s="0"/>
      <c r="FBG57" s="0"/>
      <c r="FBH57" s="0"/>
      <c r="FBI57" s="0"/>
      <c r="FBJ57" s="0"/>
      <c r="FBK57" s="0"/>
      <c r="FBL57" s="0"/>
      <c r="FBM57" s="0"/>
      <c r="FBN57" s="0"/>
      <c r="FBO57" s="0"/>
      <c r="FBP57" s="0"/>
      <c r="FBQ57" s="0"/>
      <c r="FBR57" s="0"/>
      <c r="FBS57" s="0"/>
      <c r="FBT57" s="0"/>
      <c r="FBU57" s="0"/>
      <c r="FBV57" s="0"/>
      <c r="FBW57" s="0"/>
      <c r="FBX57" s="0"/>
      <c r="FBY57" s="0"/>
      <c r="FBZ57" s="0"/>
      <c r="FCA57" s="0"/>
      <c r="FCB57" s="0"/>
      <c r="FCC57" s="0"/>
      <c r="FCD57" s="0"/>
      <c r="FCE57" s="0"/>
      <c r="FCF57" s="0"/>
      <c r="FCG57" s="0"/>
      <c r="FCH57" s="0"/>
      <c r="FCI57" s="0"/>
      <c r="FCJ57" s="0"/>
      <c r="FCK57" s="0"/>
      <c r="FCL57" s="0"/>
      <c r="FCM57" s="0"/>
      <c r="FCN57" s="0"/>
      <c r="FCO57" s="0"/>
      <c r="FCP57" s="0"/>
      <c r="FCQ57" s="0"/>
      <c r="FCR57" s="0"/>
      <c r="FCS57" s="0"/>
      <c r="FCT57" s="0"/>
      <c r="FCU57" s="0"/>
      <c r="FCV57" s="0"/>
      <c r="FCW57" s="0"/>
      <c r="FCX57" s="0"/>
      <c r="FCY57" s="0"/>
      <c r="FCZ57" s="0"/>
      <c r="FDA57" s="0"/>
      <c r="FDB57" s="0"/>
      <c r="FDC57" s="0"/>
      <c r="FDD57" s="0"/>
      <c r="FDE57" s="0"/>
      <c r="FDF57" s="0"/>
      <c r="FDG57" s="0"/>
      <c r="FDH57" s="0"/>
      <c r="FDI57" s="0"/>
      <c r="FDJ57" s="0"/>
      <c r="FDK57" s="0"/>
      <c r="FDL57" s="0"/>
      <c r="FDM57" s="0"/>
      <c r="FDN57" s="0"/>
      <c r="FDO57" s="0"/>
      <c r="FDP57" s="0"/>
      <c r="FDQ57" s="0"/>
      <c r="FDR57" s="0"/>
      <c r="FDS57" s="0"/>
      <c r="FDT57" s="0"/>
      <c r="FDU57" s="0"/>
      <c r="FDV57" s="0"/>
      <c r="FDW57" s="0"/>
      <c r="FDX57" s="0"/>
      <c r="FDY57" s="0"/>
      <c r="FDZ57" s="0"/>
      <c r="FEA57" s="0"/>
      <c r="FEB57" s="0"/>
      <c r="FEC57" s="0"/>
      <c r="FED57" s="0"/>
      <c r="FEE57" s="0"/>
      <c r="FEF57" s="0"/>
      <c r="FEG57" s="0"/>
      <c r="FEH57" s="0"/>
      <c r="FEI57" s="0"/>
      <c r="FEJ57" s="0"/>
      <c r="FEK57" s="0"/>
      <c r="FEL57" s="0"/>
      <c r="FEM57" s="0"/>
      <c r="FEN57" s="0"/>
      <c r="FEO57" s="0"/>
      <c r="FEP57" s="0"/>
      <c r="FEQ57" s="0"/>
      <c r="FER57" s="0"/>
      <c r="FES57" s="0"/>
      <c r="FET57" s="0"/>
      <c r="FEU57" s="0"/>
      <c r="FEV57" s="0"/>
      <c r="FEW57" s="0"/>
      <c r="FEX57" s="0"/>
      <c r="FEY57" s="0"/>
      <c r="FEZ57" s="0"/>
      <c r="FFA57" s="0"/>
      <c r="FFB57" s="0"/>
      <c r="FFC57" s="0"/>
      <c r="FFD57" s="0"/>
      <c r="FFE57" s="0"/>
      <c r="FFF57" s="0"/>
      <c r="FFG57" s="0"/>
      <c r="FFH57" s="0"/>
      <c r="FFI57" s="0"/>
      <c r="FFJ57" s="0"/>
      <c r="FFK57" s="0"/>
      <c r="FFL57" s="0"/>
      <c r="FFM57" s="0"/>
      <c r="FFN57" s="0"/>
      <c r="FFO57" s="0"/>
      <c r="FFP57" s="0"/>
      <c r="FFQ57" s="0"/>
      <c r="FFR57" s="0"/>
      <c r="FFS57" s="0"/>
      <c r="FFT57" s="0"/>
      <c r="FFU57" s="0"/>
      <c r="FFV57" s="0"/>
      <c r="FFW57" s="0"/>
      <c r="FFX57" s="0"/>
      <c r="FFY57" s="0"/>
      <c r="FFZ57" s="0"/>
      <c r="FGA57" s="0"/>
      <c r="FGB57" s="0"/>
      <c r="FGC57" s="0"/>
      <c r="FGD57" s="0"/>
      <c r="FGE57" s="0"/>
      <c r="FGF57" s="0"/>
      <c r="FGG57" s="0"/>
      <c r="FGH57" s="0"/>
      <c r="FGI57" s="0"/>
      <c r="FGJ57" s="0"/>
      <c r="FGK57" s="0"/>
      <c r="FGL57" s="0"/>
      <c r="FGM57" s="0"/>
      <c r="FGN57" s="0"/>
      <c r="FGO57" s="0"/>
      <c r="FGP57" s="0"/>
      <c r="FGQ57" s="0"/>
      <c r="FGR57" s="0"/>
      <c r="FGS57" s="0"/>
      <c r="FGT57" s="0"/>
      <c r="FGU57" s="0"/>
      <c r="FGV57" s="0"/>
      <c r="FGW57" s="0"/>
      <c r="FGX57" s="0"/>
      <c r="FGY57" s="0"/>
      <c r="FGZ57" s="0"/>
      <c r="FHA57" s="0"/>
      <c r="FHB57" s="0"/>
      <c r="FHC57" s="0"/>
      <c r="FHD57" s="0"/>
      <c r="FHE57" s="0"/>
      <c r="FHF57" s="0"/>
      <c r="FHG57" s="0"/>
      <c r="FHH57" s="0"/>
      <c r="FHI57" s="0"/>
      <c r="FHJ57" s="0"/>
      <c r="FHK57" s="0"/>
      <c r="FHL57" s="0"/>
      <c r="FHM57" s="0"/>
      <c r="FHN57" s="0"/>
      <c r="FHO57" s="0"/>
      <c r="FHP57" s="0"/>
      <c r="FHQ57" s="0"/>
      <c r="FHR57" s="0"/>
      <c r="FHS57" s="0"/>
      <c r="FHT57" s="0"/>
      <c r="FHU57" s="0"/>
      <c r="FHV57" s="0"/>
      <c r="FHW57" s="0"/>
      <c r="FHX57" s="0"/>
      <c r="FHY57" s="0"/>
      <c r="FHZ57" s="0"/>
      <c r="FIA57" s="0"/>
      <c r="FIB57" s="0"/>
      <c r="FIC57" s="0"/>
      <c r="FID57" s="0"/>
      <c r="FIE57" s="0"/>
      <c r="FIF57" s="0"/>
      <c r="FIG57" s="0"/>
      <c r="FIH57" s="0"/>
      <c r="FII57" s="0"/>
      <c r="FIJ57" s="0"/>
      <c r="FIK57" s="0"/>
      <c r="FIL57" s="0"/>
      <c r="FIM57" s="0"/>
      <c r="FIN57" s="0"/>
      <c r="FIO57" s="0"/>
      <c r="FIP57" s="0"/>
      <c r="FIQ57" s="0"/>
      <c r="FIR57" s="0"/>
      <c r="FIS57" s="0"/>
      <c r="FIT57" s="0"/>
      <c r="FIU57" s="0"/>
      <c r="FIV57" s="0"/>
      <c r="FIW57" s="0"/>
      <c r="FIX57" s="0"/>
      <c r="FIY57" s="0"/>
      <c r="FIZ57" s="0"/>
      <c r="FJA57" s="0"/>
      <c r="FJB57" s="0"/>
      <c r="FJC57" s="0"/>
      <c r="FJD57" s="0"/>
      <c r="FJE57" s="0"/>
      <c r="FJF57" s="0"/>
      <c r="FJG57" s="0"/>
      <c r="FJH57" s="0"/>
      <c r="FJI57" s="0"/>
      <c r="FJJ57" s="0"/>
      <c r="FJK57" s="0"/>
      <c r="FJL57" s="0"/>
      <c r="FJM57" s="0"/>
      <c r="FJN57" s="0"/>
      <c r="FJO57" s="0"/>
      <c r="FJP57" s="0"/>
      <c r="FJQ57" s="0"/>
      <c r="FJR57" s="0"/>
      <c r="FJS57" s="0"/>
      <c r="FJT57" s="0"/>
      <c r="FJU57" s="0"/>
      <c r="FJV57" s="0"/>
      <c r="FJW57" s="0"/>
      <c r="FJX57" s="0"/>
      <c r="FJY57" s="0"/>
      <c r="FJZ57" s="0"/>
      <c r="FKA57" s="0"/>
      <c r="FKB57" s="0"/>
      <c r="FKC57" s="0"/>
      <c r="FKD57" s="0"/>
      <c r="FKE57" s="0"/>
      <c r="FKF57" s="0"/>
      <c r="FKG57" s="0"/>
      <c r="FKH57" s="0"/>
      <c r="FKI57" s="0"/>
      <c r="FKJ57" s="0"/>
      <c r="FKK57" s="0"/>
      <c r="FKL57" s="0"/>
      <c r="FKM57" s="0"/>
      <c r="FKN57" s="0"/>
      <c r="FKO57" s="0"/>
      <c r="FKP57" s="0"/>
      <c r="FKQ57" s="0"/>
      <c r="FKR57" s="0"/>
      <c r="FKS57" s="0"/>
      <c r="FKT57" s="0"/>
      <c r="FKU57" s="0"/>
      <c r="FKV57" s="0"/>
      <c r="FKW57" s="0"/>
      <c r="FKX57" s="0"/>
      <c r="FKY57" s="0"/>
      <c r="FKZ57" s="0"/>
      <c r="FLA57" s="0"/>
      <c r="FLB57" s="0"/>
      <c r="FLC57" s="0"/>
      <c r="FLD57" s="0"/>
      <c r="FLE57" s="0"/>
      <c r="FLF57" s="0"/>
      <c r="FLG57" s="0"/>
      <c r="FLH57" s="0"/>
      <c r="FLI57" s="0"/>
      <c r="FLJ57" s="0"/>
      <c r="FLK57" s="0"/>
      <c r="FLL57" s="0"/>
      <c r="FLM57" s="0"/>
      <c r="FLN57" s="0"/>
      <c r="FLO57" s="0"/>
      <c r="FLP57" s="0"/>
      <c r="FLQ57" s="0"/>
      <c r="FLR57" s="0"/>
      <c r="FLS57" s="0"/>
      <c r="FLT57" s="0"/>
      <c r="FLU57" s="0"/>
      <c r="FLV57" s="0"/>
      <c r="FLW57" s="0"/>
      <c r="FLX57" s="0"/>
      <c r="FLY57" s="0"/>
      <c r="FLZ57" s="0"/>
      <c r="FMA57" s="0"/>
      <c r="FMB57" s="0"/>
      <c r="FMC57" s="0"/>
      <c r="FMD57" s="0"/>
      <c r="FME57" s="0"/>
      <c r="FMF57" s="0"/>
      <c r="FMG57" s="0"/>
      <c r="FMH57" s="0"/>
      <c r="FMI57" s="0"/>
      <c r="FMJ57" s="0"/>
      <c r="FMK57" s="0"/>
      <c r="FML57" s="0"/>
      <c r="FMM57" s="0"/>
      <c r="FMN57" s="0"/>
      <c r="FMO57" s="0"/>
      <c r="FMP57" s="0"/>
      <c r="FMQ57" s="0"/>
      <c r="FMR57" s="0"/>
      <c r="FMS57" s="0"/>
      <c r="FMT57" s="0"/>
      <c r="FMU57" s="0"/>
      <c r="FMV57" s="0"/>
      <c r="FMW57" s="0"/>
      <c r="FMX57" s="0"/>
      <c r="FMY57" s="0"/>
      <c r="FMZ57" s="0"/>
      <c r="FNA57" s="0"/>
      <c r="FNB57" s="0"/>
      <c r="FNC57" s="0"/>
      <c r="FND57" s="0"/>
      <c r="FNE57" s="0"/>
      <c r="FNF57" s="0"/>
      <c r="FNG57" s="0"/>
      <c r="FNH57" s="0"/>
      <c r="FNI57" s="0"/>
      <c r="FNJ57" s="0"/>
      <c r="FNK57" s="0"/>
      <c r="FNL57" s="0"/>
      <c r="FNM57" s="0"/>
      <c r="FNN57" s="0"/>
      <c r="FNO57" s="0"/>
      <c r="FNP57" s="0"/>
      <c r="FNQ57" s="0"/>
      <c r="FNR57" s="0"/>
      <c r="FNS57" s="0"/>
      <c r="FNT57" s="0"/>
      <c r="FNU57" s="0"/>
      <c r="FNV57" s="0"/>
      <c r="FNW57" s="0"/>
      <c r="FNX57" s="0"/>
      <c r="FNY57" s="0"/>
      <c r="FNZ57" s="0"/>
      <c r="FOA57" s="0"/>
      <c r="FOB57" s="0"/>
      <c r="FOC57" s="0"/>
      <c r="FOD57" s="0"/>
      <c r="FOE57" s="0"/>
      <c r="FOF57" s="0"/>
      <c r="FOG57" s="0"/>
      <c r="FOH57" s="0"/>
      <c r="FOI57" s="0"/>
      <c r="FOJ57" s="0"/>
      <c r="FOK57" s="0"/>
      <c r="FOL57" s="0"/>
      <c r="FOM57" s="0"/>
      <c r="FON57" s="0"/>
      <c r="FOO57" s="0"/>
      <c r="FOP57" s="0"/>
      <c r="FOQ57" s="0"/>
      <c r="FOR57" s="0"/>
      <c r="FOS57" s="0"/>
      <c r="FOT57" s="0"/>
      <c r="FOU57" s="0"/>
      <c r="FOV57" s="0"/>
      <c r="FOW57" s="0"/>
      <c r="FOX57" s="0"/>
      <c r="FOY57" s="0"/>
      <c r="FOZ57" s="0"/>
      <c r="FPA57" s="0"/>
      <c r="FPB57" s="0"/>
      <c r="FPC57" s="0"/>
      <c r="FPD57" s="0"/>
      <c r="FPE57" s="0"/>
      <c r="FPF57" s="0"/>
      <c r="FPG57" s="0"/>
      <c r="FPH57" s="0"/>
      <c r="FPI57" s="0"/>
      <c r="FPJ57" s="0"/>
      <c r="FPK57" s="0"/>
      <c r="FPL57" s="0"/>
      <c r="FPM57" s="0"/>
      <c r="FPN57" s="0"/>
      <c r="FPO57" s="0"/>
      <c r="FPP57" s="0"/>
      <c r="FPQ57" s="0"/>
      <c r="FPR57" s="0"/>
      <c r="FPS57" s="0"/>
      <c r="FPT57" s="0"/>
      <c r="FPU57" s="0"/>
      <c r="FPV57" s="0"/>
      <c r="FPW57" s="0"/>
      <c r="FPX57" s="0"/>
      <c r="FPY57" s="0"/>
      <c r="FPZ57" s="0"/>
      <c r="FQA57" s="0"/>
      <c r="FQB57" s="0"/>
      <c r="FQC57" s="0"/>
      <c r="FQD57" s="0"/>
      <c r="FQE57" s="0"/>
      <c r="FQF57" s="0"/>
      <c r="FQG57" s="0"/>
      <c r="FQH57" s="0"/>
      <c r="FQI57" s="0"/>
      <c r="FQJ57" s="0"/>
      <c r="FQK57" s="0"/>
      <c r="FQL57" s="0"/>
      <c r="FQM57" s="0"/>
      <c r="FQN57" s="0"/>
      <c r="FQO57" s="0"/>
      <c r="FQP57" s="0"/>
      <c r="FQQ57" s="0"/>
      <c r="FQR57" s="0"/>
      <c r="FQS57" s="0"/>
      <c r="FQT57" s="0"/>
      <c r="FQU57" s="0"/>
      <c r="FQV57" s="0"/>
      <c r="FQW57" s="0"/>
      <c r="FQX57" s="0"/>
      <c r="FQY57" s="0"/>
      <c r="FQZ57" s="0"/>
      <c r="FRA57" s="0"/>
      <c r="FRB57" s="0"/>
      <c r="FRC57" s="0"/>
      <c r="FRD57" s="0"/>
      <c r="FRE57" s="0"/>
      <c r="FRF57" s="0"/>
      <c r="FRG57" s="0"/>
      <c r="FRH57" s="0"/>
      <c r="FRI57" s="0"/>
      <c r="FRJ57" s="0"/>
      <c r="FRK57" s="0"/>
      <c r="FRL57" s="0"/>
      <c r="FRM57" s="0"/>
      <c r="FRN57" s="0"/>
      <c r="FRO57" s="0"/>
      <c r="FRP57" s="0"/>
      <c r="FRQ57" s="0"/>
      <c r="FRR57" s="0"/>
      <c r="FRS57" s="0"/>
      <c r="FRT57" s="0"/>
      <c r="FRU57" s="0"/>
      <c r="FRV57" s="0"/>
      <c r="FRW57" s="0"/>
      <c r="FRX57" s="0"/>
      <c r="FRY57" s="0"/>
      <c r="FRZ57" s="0"/>
      <c r="FSA57" s="0"/>
      <c r="FSB57" s="0"/>
      <c r="FSC57" s="0"/>
      <c r="FSD57" s="0"/>
      <c r="FSE57" s="0"/>
      <c r="FSF57" s="0"/>
      <c r="FSG57" s="0"/>
      <c r="FSH57" s="0"/>
      <c r="FSI57" s="0"/>
      <c r="FSJ57" s="0"/>
      <c r="FSK57" s="0"/>
      <c r="FSL57" s="0"/>
      <c r="FSM57" s="0"/>
      <c r="FSN57" s="0"/>
      <c r="FSO57" s="0"/>
      <c r="FSP57" s="0"/>
      <c r="FSQ57" s="0"/>
      <c r="FSR57" s="0"/>
      <c r="FSS57" s="0"/>
      <c r="FST57" s="0"/>
      <c r="FSU57" s="0"/>
      <c r="FSV57" s="0"/>
      <c r="FSW57" s="0"/>
      <c r="FSX57" s="0"/>
      <c r="FSY57" s="0"/>
      <c r="FSZ57" s="0"/>
      <c r="FTA57" s="0"/>
      <c r="FTB57" s="0"/>
      <c r="FTC57" s="0"/>
      <c r="FTD57" s="0"/>
      <c r="FTE57" s="0"/>
      <c r="FTF57" s="0"/>
      <c r="FTG57" s="0"/>
      <c r="FTH57" s="0"/>
      <c r="FTI57" s="0"/>
      <c r="FTJ57" s="0"/>
      <c r="FTK57" s="0"/>
      <c r="FTL57" s="0"/>
      <c r="FTM57" s="0"/>
      <c r="FTN57" s="0"/>
      <c r="FTO57" s="0"/>
      <c r="FTP57" s="0"/>
      <c r="FTQ57" s="0"/>
      <c r="FTR57" s="0"/>
      <c r="FTS57" s="0"/>
      <c r="FTT57" s="0"/>
      <c r="FTU57" s="0"/>
      <c r="FTV57" s="0"/>
      <c r="FTW57" s="0"/>
      <c r="FTX57" s="0"/>
      <c r="FTY57" s="0"/>
      <c r="FTZ57" s="0"/>
      <c r="FUA57" s="0"/>
      <c r="FUB57" s="0"/>
      <c r="FUC57" s="0"/>
      <c r="FUD57" s="0"/>
      <c r="FUE57" s="0"/>
      <c r="FUF57" s="0"/>
      <c r="FUG57" s="0"/>
      <c r="FUH57" s="0"/>
      <c r="FUI57" s="0"/>
      <c r="FUJ57" s="0"/>
      <c r="FUK57" s="0"/>
      <c r="FUL57" s="0"/>
      <c r="FUM57" s="0"/>
      <c r="FUN57" s="0"/>
      <c r="FUO57" s="0"/>
      <c r="FUP57" s="0"/>
      <c r="FUQ57" s="0"/>
      <c r="FUR57" s="0"/>
      <c r="FUS57" s="0"/>
      <c r="FUT57" s="0"/>
      <c r="FUU57" s="0"/>
      <c r="FUV57" s="0"/>
      <c r="FUW57" s="0"/>
      <c r="FUX57" s="0"/>
      <c r="FUY57" s="0"/>
      <c r="FUZ57" s="0"/>
      <c r="FVA57" s="0"/>
      <c r="FVB57" s="0"/>
      <c r="FVC57" s="0"/>
      <c r="FVD57" s="0"/>
      <c r="FVE57" s="0"/>
      <c r="FVF57" s="0"/>
      <c r="FVG57" s="0"/>
      <c r="FVH57" s="0"/>
      <c r="FVI57" s="0"/>
      <c r="FVJ57" s="0"/>
      <c r="FVK57" s="0"/>
      <c r="FVL57" s="0"/>
      <c r="FVM57" s="0"/>
      <c r="FVN57" s="0"/>
      <c r="FVO57" s="0"/>
      <c r="FVP57" s="0"/>
      <c r="FVQ57" s="0"/>
      <c r="FVR57" s="0"/>
      <c r="FVS57" s="0"/>
      <c r="FVT57" s="0"/>
      <c r="FVU57" s="0"/>
      <c r="FVV57" s="0"/>
      <c r="FVW57" s="0"/>
      <c r="FVX57" s="0"/>
      <c r="FVY57" s="0"/>
      <c r="FVZ57" s="0"/>
      <c r="FWA57" s="0"/>
      <c r="FWB57" s="0"/>
      <c r="FWC57" s="0"/>
      <c r="FWD57" s="0"/>
      <c r="FWE57" s="0"/>
      <c r="FWF57" s="0"/>
      <c r="FWG57" s="0"/>
      <c r="FWH57" s="0"/>
      <c r="FWI57" s="0"/>
      <c r="FWJ57" s="0"/>
      <c r="FWK57" s="0"/>
      <c r="FWL57" s="0"/>
      <c r="FWM57" s="0"/>
      <c r="FWN57" s="0"/>
      <c r="FWO57" s="0"/>
      <c r="FWP57" s="0"/>
      <c r="FWQ57" s="0"/>
      <c r="FWR57" s="0"/>
      <c r="FWS57" s="0"/>
      <c r="FWT57" s="0"/>
      <c r="FWU57" s="0"/>
      <c r="FWV57" s="0"/>
      <c r="FWW57" s="0"/>
      <c r="FWX57" s="0"/>
      <c r="FWY57" s="0"/>
      <c r="FWZ57" s="0"/>
      <c r="FXA57" s="0"/>
      <c r="FXB57" s="0"/>
      <c r="FXC57" s="0"/>
      <c r="FXD57" s="0"/>
      <c r="FXE57" s="0"/>
      <c r="FXF57" s="0"/>
      <c r="FXG57" s="0"/>
      <c r="FXH57" s="0"/>
      <c r="FXI57" s="0"/>
      <c r="FXJ57" s="0"/>
      <c r="FXK57" s="0"/>
      <c r="FXL57" s="0"/>
      <c r="FXM57" s="0"/>
      <c r="FXN57" s="0"/>
      <c r="FXO57" s="0"/>
      <c r="FXP57" s="0"/>
      <c r="FXQ57" s="0"/>
      <c r="FXR57" s="0"/>
      <c r="FXS57" s="0"/>
      <c r="FXT57" s="0"/>
      <c r="FXU57" s="0"/>
      <c r="FXV57" s="0"/>
      <c r="FXW57" s="0"/>
      <c r="FXX57" s="0"/>
      <c r="FXY57" s="0"/>
      <c r="FXZ57" s="0"/>
      <c r="FYA57" s="0"/>
      <c r="FYB57" s="0"/>
      <c r="FYC57" s="0"/>
      <c r="FYD57" s="0"/>
      <c r="FYE57" s="0"/>
      <c r="FYF57" s="0"/>
      <c r="FYG57" s="0"/>
      <c r="FYH57" s="0"/>
      <c r="FYI57" s="0"/>
      <c r="FYJ57" s="0"/>
      <c r="FYK57" s="0"/>
      <c r="FYL57" s="0"/>
      <c r="FYM57" s="0"/>
      <c r="FYN57" s="0"/>
      <c r="FYO57" s="0"/>
      <c r="FYP57" s="0"/>
      <c r="FYQ57" s="0"/>
      <c r="FYR57" s="0"/>
      <c r="FYS57" s="0"/>
      <c r="FYT57" s="0"/>
      <c r="FYU57" s="0"/>
      <c r="FYV57" s="0"/>
      <c r="FYW57" s="0"/>
      <c r="FYX57" s="0"/>
      <c r="FYY57" s="0"/>
      <c r="FYZ57" s="0"/>
      <c r="FZA57" s="0"/>
      <c r="FZB57" s="0"/>
      <c r="FZC57" s="0"/>
      <c r="FZD57" s="0"/>
      <c r="FZE57" s="0"/>
      <c r="FZF57" s="0"/>
      <c r="FZG57" s="0"/>
      <c r="FZH57" s="0"/>
      <c r="FZI57" s="0"/>
      <c r="FZJ57" s="0"/>
      <c r="FZK57" s="0"/>
      <c r="FZL57" s="0"/>
      <c r="FZM57" s="0"/>
      <c r="FZN57" s="0"/>
      <c r="FZO57" s="0"/>
      <c r="FZP57" s="0"/>
      <c r="FZQ57" s="0"/>
      <c r="FZR57" s="0"/>
      <c r="FZS57" s="0"/>
      <c r="FZT57" s="0"/>
      <c r="FZU57" s="0"/>
      <c r="FZV57" s="0"/>
      <c r="FZW57" s="0"/>
      <c r="FZX57" s="0"/>
      <c r="FZY57" s="0"/>
      <c r="FZZ57" s="0"/>
      <c r="GAA57" s="0"/>
      <c r="GAB57" s="0"/>
      <c r="GAC57" s="0"/>
      <c r="GAD57" s="0"/>
      <c r="GAE57" s="0"/>
      <c r="GAF57" s="0"/>
      <c r="GAG57" s="0"/>
      <c r="GAH57" s="0"/>
      <c r="GAI57" s="0"/>
      <c r="GAJ57" s="0"/>
      <c r="GAK57" s="0"/>
      <c r="GAL57" s="0"/>
      <c r="GAM57" s="0"/>
      <c r="GAN57" s="0"/>
      <c r="GAO57" s="0"/>
      <c r="GAP57" s="0"/>
      <c r="GAQ57" s="0"/>
      <c r="GAR57" s="0"/>
      <c r="GAS57" s="0"/>
      <c r="GAT57" s="0"/>
      <c r="GAU57" s="0"/>
      <c r="GAV57" s="0"/>
      <c r="GAW57" s="0"/>
      <c r="GAX57" s="0"/>
      <c r="GAY57" s="0"/>
      <c r="GAZ57" s="0"/>
      <c r="GBA57" s="0"/>
      <c r="GBB57" s="0"/>
      <c r="GBC57" s="0"/>
      <c r="GBD57" s="0"/>
      <c r="GBE57" s="0"/>
      <c r="GBF57" s="0"/>
      <c r="GBG57" s="0"/>
      <c r="GBH57" s="0"/>
      <c r="GBI57" s="0"/>
      <c r="GBJ57" s="0"/>
      <c r="GBK57" s="0"/>
      <c r="GBL57" s="0"/>
      <c r="GBM57" s="0"/>
      <c r="GBN57" s="0"/>
      <c r="GBO57" s="0"/>
      <c r="GBP57" s="0"/>
      <c r="GBQ57" s="0"/>
      <c r="GBR57" s="0"/>
      <c r="GBS57" s="0"/>
      <c r="GBT57" s="0"/>
      <c r="GBU57" s="0"/>
      <c r="GBV57" s="0"/>
      <c r="GBW57" s="0"/>
      <c r="GBX57" s="0"/>
      <c r="GBY57" s="0"/>
      <c r="GBZ57" s="0"/>
      <c r="GCA57" s="0"/>
      <c r="GCB57" s="0"/>
      <c r="GCC57" s="0"/>
      <c r="GCD57" s="0"/>
      <c r="GCE57" s="0"/>
      <c r="GCF57" s="0"/>
      <c r="GCG57" s="0"/>
      <c r="GCH57" s="0"/>
      <c r="GCI57" s="0"/>
      <c r="GCJ57" s="0"/>
      <c r="GCK57" s="0"/>
      <c r="GCL57" s="0"/>
      <c r="GCM57" s="0"/>
      <c r="GCN57" s="0"/>
      <c r="GCO57" s="0"/>
      <c r="GCP57" s="0"/>
      <c r="GCQ57" s="0"/>
      <c r="GCR57" s="0"/>
      <c r="GCS57" s="0"/>
      <c r="GCT57" s="0"/>
      <c r="GCU57" s="0"/>
      <c r="GCV57" s="0"/>
      <c r="GCW57" s="0"/>
      <c r="GCX57" s="0"/>
      <c r="GCY57" s="0"/>
      <c r="GCZ57" s="0"/>
      <c r="GDA57" s="0"/>
      <c r="GDB57" s="0"/>
      <c r="GDC57" s="0"/>
      <c r="GDD57" s="0"/>
      <c r="GDE57" s="0"/>
      <c r="GDF57" s="0"/>
      <c r="GDG57" s="0"/>
      <c r="GDH57" s="0"/>
      <c r="GDI57" s="0"/>
      <c r="GDJ57" s="0"/>
      <c r="GDK57" s="0"/>
      <c r="GDL57" s="0"/>
      <c r="GDM57" s="0"/>
      <c r="GDN57" s="0"/>
      <c r="GDO57" s="0"/>
      <c r="GDP57" s="0"/>
      <c r="GDQ57" s="0"/>
      <c r="GDR57" s="0"/>
      <c r="GDS57" s="0"/>
      <c r="GDT57" s="0"/>
      <c r="GDU57" s="0"/>
      <c r="GDV57" s="0"/>
      <c r="GDW57" s="0"/>
      <c r="GDX57" s="0"/>
      <c r="GDY57" s="0"/>
      <c r="GDZ57" s="0"/>
      <c r="GEA57" s="0"/>
      <c r="GEB57" s="0"/>
      <c r="GEC57" s="0"/>
      <c r="GED57" s="0"/>
      <c r="GEE57" s="0"/>
      <c r="GEF57" s="0"/>
      <c r="GEG57" s="0"/>
      <c r="GEH57" s="0"/>
      <c r="GEI57" s="0"/>
      <c r="GEJ57" s="0"/>
      <c r="GEK57" s="0"/>
      <c r="GEL57" s="0"/>
      <c r="GEM57" s="0"/>
      <c r="GEN57" s="0"/>
      <c r="GEO57" s="0"/>
      <c r="GEP57" s="0"/>
      <c r="GEQ57" s="0"/>
      <c r="GER57" s="0"/>
      <c r="GES57" s="0"/>
      <c r="GET57" s="0"/>
      <c r="GEU57" s="0"/>
      <c r="GEV57" s="0"/>
      <c r="GEW57" s="0"/>
      <c r="GEX57" s="0"/>
      <c r="GEY57" s="0"/>
      <c r="GEZ57" s="0"/>
      <c r="GFA57" s="0"/>
      <c r="GFB57" s="0"/>
      <c r="GFC57" s="0"/>
      <c r="GFD57" s="0"/>
      <c r="GFE57" s="0"/>
      <c r="GFF57" s="0"/>
      <c r="GFG57" s="0"/>
      <c r="GFH57" s="0"/>
      <c r="GFI57" s="0"/>
      <c r="GFJ57" s="0"/>
      <c r="GFK57" s="0"/>
      <c r="GFL57" s="0"/>
      <c r="GFM57" s="0"/>
      <c r="GFN57" s="0"/>
      <c r="GFO57" s="0"/>
      <c r="GFP57" s="0"/>
      <c r="GFQ57" s="0"/>
      <c r="GFR57" s="0"/>
      <c r="GFS57" s="0"/>
      <c r="GFT57" s="0"/>
      <c r="GFU57" s="0"/>
      <c r="GFV57" s="0"/>
      <c r="GFW57" s="0"/>
      <c r="GFX57" s="0"/>
      <c r="GFY57" s="0"/>
      <c r="GFZ57" s="0"/>
      <c r="GGA57" s="0"/>
      <c r="GGB57" s="0"/>
      <c r="GGC57" s="0"/>
      <c r="GGD57" s="0"/>
      <c r="GGE57" s="0"/>
      <c r="GGF57" s="0"/>
      <c r="GGG57" s="0"/>
      <c r="GGH57" s="0"/>
      <c r="GGI57" s="0"/>
      <c r="GGJ57" s="0"/>
      <c r="GGK57" s="0"/>
      <c r="GGL57" s="0"/>
      <c r="GGM57" s="0"/>
      <c r="GGN57" s="0"/>
      <c r="GGO57" s="0"/>
      <c r="GGP57" s="0"/>
      <c r="GGQ57" s="0"/>
      <c r="GGR57" s="0"/>
      <c r="GGS57" s="0"/>
      <c r="GGT57" s="0"/>
      <c r="GGU57" s="0"/>
      <c r="GGV57" s="0"/>
      <c r="GGW57" s="0"/>
      <c r="GGX57" s="0"/>
      <c r="GGY57" s="0"/>
      <c r="GGZ57" s="0"/>
      <c r="GHA57" s="0"/>
      <c r="GHB57" s="0"/>
      <c r="GHC57" s="0"/>
      <c r="GHD57" s="0"/>
      <c r="GHE57" s="0"/>
      <c r="GHF57" s="0"/>
      <c r="GHG57" s="0"/>
      <c r="GHH57" s="0"/>
      <c r="GHI57" s="0"/>
      <c r="GHJ57" s="0"/>
      <c r="GHK57" s="0"/>
      <c r="GHL57" s="0"/>
      <c r="GHM57" s="0"/>
      <c r="GHN57" s="0"/>
      <c r="GHO57" s="0"/>
      <c r="GHP57" s="0"/>
      <c r="GHQ57" s="0"/>
      <c r="GHR57" s="0"/>
      <c r="GHS57" s="0"/>
      <c r="GHT57" s="0"/>
      <c r="GHU57" s="0"/>
      <c r="GHV57" s="0"/>
      <c r="GHW57" s="0"/>
      <c r="GHX57" s="0"/>
      <c r="GHY57" s="0"/>
      <c r="GHZ57" s="0"/>
      <c r="GIA57" s="0"/>
      <c r="GIB57" s="0"/>
      <c r="GIC57" s="0"/>
      <c r="GID57" s="0"/>
      <c r="GIE57" s="0"/>
      <c r="GIF57" s="0"/>
      <c r="GIG57" s="0"/>
      <c r="GIH57" s="0"/>
      <c r="GII57" s="0"/>
      <c r="GIJ57" s="0"/>
      <c r="GIK57" s="0"/>
      <c r="GIL57" s="0"/>
      <c r="GIM57" s="0"/>
      <c r="GIN57" s="0"/>
      <c r="GIO57" s="0"/>
      <c r="GIP57" s="0"/>
      <c r="GIQ57" s="0"/>
      <c r="GIR57" s="0"/>
      <c r="GIS57" s="0"/>
      <c r="GIT57" s="0"/>
      <c r="GIU57" s="0"/>
      <c r="GIV57" s="0"/>
      <c r="GIW57" s="0"/>
      <c r="GIX57" s="0"/>
      <c r="GIY57" s="0"/>
      <c r="GIZ57" s="0"/>
      <c r="GJA57" s="0"/>
      <c r="GJB57" s="0"/>
      <c r="GJC57" s="0"/>
      <c r="GJD57" s="0"/>
      <c r="GJE57" s="0"/>
      <c r="GJF57" s="0"/>
      <c r="GJG57" s="0"/>
      <c r="GJH57" s="0"/>
      <c r="GJI57" s="0"/>
      <c r="GJJ57" s="0"/>
      <c r="GJK57" s="0"/>
      <c r="GJL57" s="0"/>
      <c r="GJM57" s="0"/>
      <c r="GJN57" s="0"/>
      <c r="GJO57" s="0"/>
      <c r="GJP57" s="0"/>
      <c r="GJQ57" s="0"/>
      <c r="GJR57" s="0"/>
      <c r="GJS57" s="0"/>
      <c r="GJT57" s="0"/>
      <c r="GJU57" s="0"/>
      <c r="GJV57" s="0"/>
      <c r="GJW57" s="0"/>
      <c r="GJX57" s="0"/>
      <c r="GJY57" s="0"/>
      <c r="GJZ57" s="0"/>
      <c r="GKA57" s="0"/>
      <c r="GKB57" s="0"/>
      <c r="GKC57" s="0"/>
      <c r="GKD57" s="0"/>
      <c r="GKE57" s="0"/>
      <c r="GKF57" s="0"/>
      <c r="GKG57" s="0"/>
      <c r="GKH57" s="0"/>
      <c r="GKI57" s="0"/>
      <c r="GKJ57" s="0"/>
      <c r="GKK57" s="0"/>
      <c r="GKL57" s="0"/>
      <c r="GKM57" s="0"/>
      <c r="GKN57" s="0"/>
      <c r="GKO57" s="0"/>
      <c r="GKP57" s="0"/>
      <c r="GKQ57" s="0"/>
      <c r="GKR57" s="0"/>
      <c r="GKS57" s="0"/>
      <c r="GKT57" s="0"/>
      <c r="GKU57" s="0"/>
      <c r="GKV57" s="0"/>
      <c r="GKW57" s="0"/>
      <c r="GKX57" s="0"/>
      <c r="GKY57" s="0"/>
      <c r="GKZ57" s="0"/>
      <c r="GLA57" s="0"/>
      <c r="GLB57" s="0"/>
      <c r="GLC57" s="0"/>
      <c r="GLD57" s="0"/>
      <c r="GLE57" s="0"/>
      <c r="GLF57" s="0"/>
      <c r="GLG57" s="0"/>
      <c r="GLH57" s="0"/>
      <c r="GLI57" s="0"/>
      <c r="GLJ57" s="0"/>
      <c r="GLK57" s="0"/>
      <c r="GLL57" s="0"/>
      <c r="GLM57" s="0"/>
      <c r="GLN57" s="0"/>
      <c r="GLO57" s="0"/>
      <c r="GLP57" s="0"/>
      <c r="GLQ57" s="0"/>
      <c r="GLR57" s="0"/>
      <c r="GLS57" s="0"/>
      <c r="GLT57" s="0"/>
      <c r="GLU57" s="0"/>
      <c r="GLV57" s="0"/>
      <c r="GLW57" s="0"/>
      <c r="GLX57" s="0"/>
      <c r="GLY57" s="0"/>
      <c r="GLZ57" s="0"/>
      <c r="GMA57" s="0"/>
      <c r="GMB57" s="0"/>
      <c r="GMC57" s="0"/>
      <c r="GMD57" s="0"/>
      <c r="GME57" s="0"/>
      <c r="GMF57" s="0"/>
      <c r="GMG57" s="0"/>
      <c r="GMH57" s="0"/>
      <c r="GMI57" s="0"/>
      <c r="GMJ57" s="0"/>
      <c r="GMK57" s="0"/>
      <c r="GML57" s="0"/>
      <c r="GMM57" s="0"/>
      <c r="GMN57" s="0"/>
      <c r="GMO57" s="0"/>
      <c r="GMP57" s="0"/>
      <c r="GMQ57" s="0"/>
      <c r="GMR57" s="0"/>
      <c r="GMS57" s="0"/>
      <c r="GMT57" s="0"/>
      <c r="GMU57" s="0"/>
      <c r="GMV57" s="0"/>
      <c r="GMW57" s="0"/>
      <c r="GMX57" s="0"/>
      <c r="GMY57" s="0"/>
      <c r="GMZ57" s="0"/>
      <c r="GNA57" s="0"/>
      <c r="GNB57" s="0"/>
      <c r="GNC57" s="0"/>
      <c r="GND57" s="0"/>
      <c r="GNE57" s="0"/>
      <c r="GNF57" s="0"/>
      <c r="GNG57" s="0"/>
      <c r="GNH57" s="0"/>
      <c r="GNI57" s="0"/>
      <c r="GNJ57" s="0"/>
      <c r="GNK57" s="0"/>
      <c r="GNL57" s="0"/>
      <c r="GNM57" s="0"/>
      <c r="GNN57" s="0"/>
      <c r="GNO57" s="0"/>
      <c r="GNP57" s="0"/>
      <c r="GNQ57" s="0"/>
      <c r="GNR57" s="0"/>
      <c r="GNS57" s="0"/>
      <c r="GNT57" s="0"/>
      <c r="GNU57" s="0"/>
      <c r="GNV57" s="0"/>
      <c r="GNW57" s="0"/>
      <c r="GNX57" s="0"/>
      <c r="GNY57" s="0"/>
      <c r="GNZ57" s="0"/>
      <c r="GOA57" s="0"/>
      <c r="GOB57" s="0"/>
      <c r="GOC57" s="0"/>
      <c r="GOD57" s="0"/>
      <c r="GOE57" s="0"/>
      <c r="GOF57" s="0"/>
      <c r="GOG57" s="0"/>
      <c r="GOH57" s="0"/>
      <c r="GOI57" s="0"/>
      <c r="GOJ57" s="0"/>
      <c r="GOK57" s="0"/>
      <c r="GOL57" s="0"/>
      <c r="GOM57" s="0"/>
      <c r="GON57" s="0"/>
      <c r="GOO57" s="0"/>
      <c r="GOP57" s="0"/>
      <c r="GOQ57" s="0"/>
      <c r="GOR57" s="0"/>
      <c r="GOS57" s="0"/>
      <c r="GOT57" s="0"/>
      <c r="GOU57" s="0"/>
      <c r="GOV57" s="0"/>
      <c r="GOW57" s="0"/>
      <c r="GOX57" s="0"/>
      <c r="GOY57" s="0"/>
      <c r="GOZ57" s="0"/>
      <c r="GPA57" s="0"/>
      <c r="GPB57" s="0"/>
      <c r="GPC57" s="0"/>
      <c r="GPD57" s="0"/>
      <c r="GPE57" s="0"/>
      <c r="GPF57" s="0"/>
      <c r="GPG57" s="0"/>
      <c r="GPH57" s="0"/>
      <c r="GPI57" s="0"/>
      <c r="GPJ57" s="0"/>
      <c r="GPK57" s="0"/>
      <c r="GPL57" s="0"/>
      <c r="GPM57" s="0"/>
      <c r="GPN57" s="0"/>
      <c r="GPO57" s="0"/>
      <c r="GPP57" s="0"/>
      <c r="GPQ57" s="0"/>
      <c r="GPR57" s="0"/>
      <c r="GPS57" s="0"/>
      <c r="GPT57" s="0"/>
      <c r="GPU57" s="0"/>
      <c r="GPV57" s="0"/>
      <c r="GPW57" s="0"/>
      <c r="GPX57" s="0"/>
      <c r="GPY57" s="0"/>
      <c r="GPZ57" s="0"/>
      <c r="GQA57" s="0"/>
      <c r="GQB57" s="0"/>
      <c r="GQC57" s="0"/>
      <c r="GQD57" s="0"/>
      <c r="GQE57" s="0"/>
      <c r="GQF57" s="0"/>
      <c r="GQG57" s="0"/>
      <c r="GQH57" s="0"/>
      <c r="GQI57" s="0"/>
      <c r="GQJ57" s="0"/>
      <c r="GQK57" s="0"/>
      <c r="GQL57" s="0"/>
      <c r="GQM57" s="0"/>
      <c r="GQN57" s="0"/>
      <c r="GQO57" s="0"/>
      <c r="GQP57" s="0"/>
      <c r="GQQ57" s="0"/>
      <c r="GQR57" s="0"/>
      <c r="GQS57" s="0"/>
      <c r="GQT57" s="0"/>
      <c r="GQU57" s="0"/>
      <c r="GQV57" s="0"/>
      <c r="GQW57" s="0"/>
      <c r="GQX57" s="0"/>
      <c r="GQY57" s="0"/>
      <c r="GQZ57" s="0"/>
      <c r="GRA57" s="0"/>
      <c r="GRB57" s="0"/>
      <c r="GRC57" s="0"/>
      <c r="GRD57" s="0"/>
      <c r="GRE57" s="0"/>
      <c r="GRF57" s="0"/>
      <c r="GRG57" s="0"/>
      <c r="GRH57" s="0"/>
      <c r="GRI57" s="0"/>
      <c r="GRJ57" s="0"/>
      <c r="GRK57" s="0"/>
      <c r="GRL57" s="0"/>
      <c r="GRM57" s="0"/>
      <c r="GRN57" s="0"/>
      <c r="GRO57" s="0"/>
      <c r="GRP57" s="0"/>
      <c r="GRQ57" s="0"/>
      <c r="GRR57" s="0"/>
      <c r="GRS57" s="0"/>
      <c r="GRT57" s="0"/>
      <c r="GRU57" s="0"/>
      <c r="GRV57" s="0"/>
      <c r="GRW57" s="0"/>
      <c r="GRX57" s="0"/>
      <c r="GRY57" s="0"/>
      <c r="GRZ57" s="0"/>
      <c r="GSA57" s="0"/>
      <c r="GSB57" s="0"/>
      <c r="GSC57" s="0"/>
      <c r="GSD57" s="0"/>
      <c r="GSE57" s="0"/>
      <c r="GSF57" s="0"/>
      <c r="GSG57" s="0"/>
      <c r="GSH57" s="0"/>
      <c r="GSI57" s="0"/>
      <c r="GSJ57" s="0"/>
      <c r="GSK57" s="0"/>
      <c r="GSL57" s="0"/>
      <c r="GSM57" s="0"/>
      <c r="GSN57" s="0"/>
      <c r="GSO57" s="0"/>
      <c r="GSP57" s="0"/>
      <c r="GSQ57" s="0"/>
      <c r="GSR57" s="0"/>
      <c r="GSS57" s="0"/>
      <c r="GST57" s="0"/>
      <c r="GSU57" s="0"/>
      <c r="GSV57" s="0"/>
      <c r="GSW57" s="0"/>
      <c r="GSX57" s="0"/>
      <c r="GSY57" s="0"/>
      <c r="GSZ57" s="0"/>
      <c r="GTA57" s="0"/>
      <c r="GTB57" s="0"/>
      <c r="GTC57" s="0"/>
      <c r="GTD57" s="0"/>
      <c r="GTE57" s="0"/>
      <c r="GTF57" s="0"/>
      <c r="GTG57" s="0"/>
      <c r="GTH57" s="0"/>
      <c r="GTI57" s="0"/>
      <c r="GTJ57" s="0"/>
      <c r="GTK57" s="0"/>
      <c r="GTL57" s="0"/>
      <c r="GTM57" s="0"/>
      <c r="GTN57" s="0"/>
      <c r="GTO57" s="0"/>
      <c r="GTP57" s="0"/>
      <c r="GTQ57" s="0"/>
      <c r="GTR57" s="0"/>
      <c r="GTS57" s="0"/>
      <c r="GTT57" s="0"/>
      <c r="GTU57" s="0"/>
      <c r="GTV57" s="0"/>
      <c r="GTW57" s="0"/>
      <c r="GTX57" s="0"/>
      <c r="GTY57" s="0"/>
      <c r="GTZ57" s="0"/>
      <c r="GUA57" s="0"/>
      <c r="GUB57" s="0"/>
      <c r="GUC57" s="0"/>
      <c r="GUD57" s="0"/>
      <c r="GUE57" s="0"/>
      <c r="GUF57" s="0"/>
      <c r="GUG57" s="0"/>
      <c r="GUH57" s="0"/>
      <c r="GUI57" s="0"/>
      <c r="GUJ57" s="0"/>
      <c r="GUK57" s="0"/>
      <c r="GUL57" s="0"/>
      <c r="GUM57" s="0"/>
      <c r="GUN57" s="0"/>
      <c r="GUO57" s="0"/>
      <c r="GUP57" s="0"/>
      <c r="GUQ57" s="0"/>
      <c r="GUR57" s="0"/>
      <c r="GUS57" s="0"/>
      <c r="GUT57" s="0"/>
      <c r="GUU57" s="0"/>
      <c r="GUV57" s="0"/>
      <c r="GUW57" s="0"/>
      <c r="GUX57" s="0"/>
      <c r="GUY57" s="0"/>
      <c r="GUZ57" s="0"/>
      <c r="GVA57" s="0"/>
      <c r="GVB57" s="0"/>
      <c r="GVC57" s="0"/>
      <c r="GVD57" s="0"/>
      <c r="GVE57" s="0"/>
      <c r="GVF57" s="0"/>
      <c r="GVG57" s="0"/>
      <c r="GVH57" s="0"/>
      <c r="GVI57" s="0"/>
      <c r="GVJ57" s="0"/>
      <c r="GVK57" s="0"/>
      <c r="GVL57" s="0"/>
      <c r="GVM57" s="0"/>
      <c r="GVN57" s="0"/>
      <c r="GVO57" s="0"/>
      <c r="GVP57" s="0"/>
      <c r="GVQ57" s="0"/>
      <c r="GVR57" s="0"/>
      <c r="GVS57" s="0"/>
      <c r="GVT57" s="0"/>
      <c r="GVU57" s="0"/>
      <c r="GVV57" s="0"/>
      <c r="GVW57" s="0"/>
      <c r="GVX57" s="0"/>
      <c r="GVY57" s="0"/>
      <c r="GVZ57" s="0"/>
      <c r="GWA57" s="0"/>
      <c r="GWB57" s="0"/>
      <c r="GWC57" s="0"/>
      <c r="GWD57" s="0"/>
      <c r="GWE57" s="0"/>
      <c r="GWF57" s="0"/>
      <c r="GWG57" s="0"/>
      <c r="GWH57" s="0"/>
      <c r="GWI57" s="0"/>
      <c r="GWJ57" s="0"/>
      <c r="GWK57" s="0"/>
      <c r="GWL57" s="0"/>
      <c r="GWM57" s="0"/>
      <c r="GWN57" s="0"/>
      <c r="GWO57" s="0"/>
      <c r="GWP57" s="0"/>
      <c r="GWQ57" s="0"/>
      <c r="GWR57" s="0"/>
      <c r="GWS57" s="0"/>
      <c r="GWT57" s="0"/>
      <c r="GWU57" s="0"/>
      <c r="GWV57" s="0"/>
      <c r="GWW57" s="0"/>
      <c r="GWX57" s="0"/>
      <c r="GWY57" s="0"/>
      <c r="GWZ57" s="0"/>
      <c r="GXA57" s="0"/>
      <c r="GXB57" s="0"/>
      <c r="GXC57" s="0"/>
      <c r="GXD57" s="0"/>
      <c r="GXE57" s="0"/>
      <c r="GXF57" s="0"/>
      <c r="GXG57" s="0"/>
      <c r="GXH57" s="0"/>
      <c r="GXI57" s="0"/>
      <c r="GXJ57" s="0"/>
      <c r="GXK57" s="0"/>
      <c r="GXL57" s="0"/>
      <c r="GXM57" s="0"/>
      <c r="GXN57" s="0"/>
      <c r="GXO57" s="0"/>
      <c r="GXP57" s="0"/>
      <c r="GXQ57" s="0"/>
      <c r="GXR57" s="0"/>
      <c r="GXS57" s="0"/>
      <c r="GXT57" s="0"/>
      <c r="GXU57" s="0"/>
      <c r="GXV57" s="0"/>
      <c r="GXW57" s="0"/>
      <c r="GXX57" s="0"/>
      <c r="GXY57" s="0"/>
      <c r="GXZ57" s="0"/>
      <c r="GYA57" s="0"/>
      <c r="GYB57" s="0"/>
      <c r="GYC57" s="0"/>
      <c r="GYD57" s="0"/>
      <c r="GYE57" s="0"/>
      <c r="GYF57" s="0"/>
      <c r="GYG57" s="0"/>
      <c r="GYH57" s="0"/>
      <c r="GYI57" s="0"/>
      <c r="GYJ57" s="0"/>
      <c r="GYK57" s="0"/>
      <c r="GYL57" s="0"/>
      <c r="GYM57" s="0"/>
      <c r="GYN57" s="0"/>
      <c r="GYO57" s="0"/>
      <c r="GYP57" s="0"/>
      <c r="GYQ57" s="0"/>
      <c r="GYR57" s="0"/>
      <c r="GYS57" s="0"/>
      <c r="GYT57" s="0"/>
      <c r="GYU57" s="0"/>
      <c r="GYV57" s="0"/>
      <c r="GYW57" s="0"/>
      <c r="GYX57" s="0"/>
      <c r="GYY57" s="0"/>
      <c r="GYZ57" s="0"/>
      <c r="GZA57" s="0"/>
      <c r="GZB57" s="0"/>
      <c r="GZC57" s="0"/>
      <c r="GZD57" s="0"/>
      <c r="GZE57" s="0"/>
      <c r="GZF57" s="0"/>
      <c r="GZG57" s="0"/>
      <c r="GZH57" s="0"/>
      <c r="GZI57" s="0"/>
      <c r="GZJ57" s="0"/>
      <c r="GZK57" s="0"/>
      <c r="GZL57" s="0"/>
      <c r="GZM57" s="0"/>
      <c r="GZN57" s="0"/>
      <c r="GZO57" s="0"/>
      <c r="GZP57" s="0"/>
      <c r="GZQ57" s="0"/>
      <c r="GZR57" s="0"/>
      <c r="GZS57" s="0"/>
      <c r="GZT57" s="0"/>
      <c r="GZU57" s="0"/>
      <c r="GZV57" s="0"/>
      <c r="GZW57" s="0"/>
      <c r="GZX57" s="0"/>
      <c r="GZY57" s="0"/>
      <c r="GZZ57" s="0"/>
      <c r="HAA57" s="0"/>
      <c r="HAB57" s="0"/>
      <c r="HAC57" s="0"/>
      <c r="HAD57" s="0"/>
      <c r="HAE57" s="0"/>
      <c r="HAF57" s="0"/>
      <c r="HAG57" s="0"/>
      <c r="HAH57" s="0"/>
      <c r="HAI57" s="0"/>
      <c r="HAJ57" s="0"/>
      <c r="HAK57" s="0"/>
      <c r="HAL57" s="0"/>
      <c r="HAM57" s="0"/>
      <c r="HAN57" s="0"/>
      <c r="HAO57" s="0"/>
      <c r="HAP57" s="0"/>
      <c r="HAQ57" s="0"/>
      <c r="HAR57" s="0"/>
      <c r="HAS57" s="0"/>
      <c r="HAT57" s="0"/>
      <c r="HAU57" s="0"/>
      <c r="HAV57" s="0"/>
      <c r="HAW57" s="0"/>
      <c r="HAX57" s="0"/>
      <c r="HAY57" s="0"/>
      <c r="HAZ57" s="0"/>
      <c r="HBA57" s="0"/>
      <c r="HBB57" s="0"/>
      <c r="HBC57" s="0"/>
      <c r="HBD57" s="0"/>
      <c r="HBE57" s="0"/>
      <c r="HBF57" s="0"/>
      <c r="HBG57" s="0"/>
      <c r="HBH57" s="0"/>
      <c r="HBI57" s="0"/>
      <c r="HBJ57" s="0"/>
      <c r="HBK57" s="0"/>
      <c r="HBL57" s="0"/>
      <c r="HBM57" s="0"/>
      <c r="HBN57" s="0"/>
      <c r="HBO57" s="0"/>
      <c r="HBP57" s="0"/>
      <c r="HBQ57" s="0"/>
      <c r="HBR57" s="0"/>
      <c r="HBS57" s="0"/>
      <c r="HBT57" s="0"/>
      <c r="HBU57" s="0"/>
      <c r="HBV57" s="0"/>
      <c r="HBW57" s="0"/>
      <c r="HBX57" s="0"/>
      <c r="HBY57" s="0"/>
      <c r="HBZ57" s="0"/>
      <c r="HCA57" s="0"/>
      <c r="HCB57" s="0"/>
      <c r="HCC57" s="0"/>
      <c r="HCD57" s="0"/>
      <c r="HCE57" s="0"/>
      <c r="HCF57" s="0"/>
      <c r="HCG57" s="0"/>
      <c r="HCH57" s="0"/>
      <c r="HCI57" s="0"/>
      <c r="HCJ57" s="0"/>
      <c r="HCK57" s="0"/>
      <c r="HCL57" s="0"/>
      <c r="HCM57" s="0"/>
      <c r="HCN57" s="0"/>
      <c r="HCO57" s="0"/>
      <c r="HCP57" s="0"/>
      <c r="HCQ57" s="0"/>
      <c r="HCR57" s="0"/>
      <c r="HCS57" s="0"/>
      <c r="HCT57" s="0"/>
      <c r="HCU57" s="0"/>
      <c r="HCV57" s="0"/>
      <c r="HCW57" s="0"/>
      <c r="HCX57" s="0"/>
      <c r="HCY57" s="0"/>
      <c r="HCZ57" s="0"/>
      <c r="HDA57" s="0"/>
      <c r="HDB57" s="0"/>
      <c r="HDC57" s="0"/>
      <c r="HDD57" s="0"/>
      <c r="HDE57" s="0"/>
      <c r="HDF57" s="0"/>
      <c r="HDG57" s="0"/>
      <c r="HDH57" s="0"/>
      <c r="HDI57" s="0"/>
      <c r="HDJ57" s="0"/>
      <c r="HDK57" s="0"/>
      <c r="HDL57" s="0"/>
      <c r="HDM57" s="0"/>
      <c r="HDN57" s="0"/>
      <c r="HDO57" s="0"/>
      <c r="HDP57" s="0"/>
      <c r="HDQ57" s="0"/>
      <c r="HDR57" s="0"/>
      <c r="HDS57" s="0"/>
      <c r="HDT57" s="0"/>
      <c r="HDU57" s="0"/>
      <c r="HDV57" s="0"/>
      <c r="HDW57" s="0"/>
      <c r="HDX57" s="0"/>
      <c r="HDY57" s="0"/>
      <c r="HDZ57" s="0"/>
      <c r="HEA57" s="0"/>
      <c r="HEB57" s="0"/>
      <c r="HEC57" s="0"/>
      <c r="HED57" s="0"/>
      <c r="HEE57" s="0"/>
      <c r="HEF57" s="0"/>
      <c r="HEG57" s="0"/>
      <c r="HEH57" s="0"/>
      <c r="HEI57" s="0"/>
      <c r="HEJ57" s="0"/>
      <c r="HEK57" s="0"/>
      <c r="HEL57" s="0"/>
      <c r="HEM57" s="0"/>
      <c r="HEN57" s="0"/>
      <c r="HEO57" s="0"/>
      <c r="HEP57" s="0"/>
      <c r="HEQ57" s="0"/>
      <c r="HER57" s="0"/>
      <c r="HES57" s="0"/>
      <c r="HET57" s="0"/>
      <c r="HEU57" s="0"/>
      <c r="HEV57" s="0"/>
      <c r="HEW57" s="0"/>
      <c r="HEX57" s="0"/>
      <c r="HEY57" s="0"/>
      <c r="HEZ57" s="0"/>
      <c r="HFA57" s="0"/>
      <c r="HFB57" s="0"/>
      <c r="HFC57" s="0"/>
      <c r="HFD57" s="0"/>
      <c r="HFE57" s="0"/>
      <c r="HFF57" s="0"/>
      <c r="HFG57" s="0"/>
      <c r="HFH57" s="0"/>
      <c r="HFI57" s="0"/>
      <c r="HFJ57" s="0"/>
      <c r="HFK57" s="0"/>
      <c r="HFL57" s="0"/>
      <c r="HFM57" s="0"/>
      <c r="HFN57" s="0"/>
      <c r="HFO57" s="0"/>
      <c r="HFP57" s="0"/>
      <c r="HFQ57" s="0"/>
      <c r="HFR57" s="0"/>
      <c r="HFS57" s="0"/>
      <c r="HFT57" s="0"/>
      <c r="HFU57" s="0"/>
      <c r="HFV57" s="0"/>
      <c r="HFW57" s="0"/>
      <c r="HFX57" s="0"/>
      <c r="HFY57" s="0"/>
      <c r="HFZ57" s="0"/>
      <c r="HGA57" s="0"/>
      <c r="HGB57" s="0"/>
      <c r="HGC57" s="0"/>
      <c r="HGD57" s="0"/>
      <c r="HGE57" s="0"/>
      <c r="HGF57" s="0"/>
      <c r="HGG57" s="0"/>
      <c r="HGH57" s="0"/>
      <c r="HGI57" s="0"/>
      <c r="HGJ57" s="0"/>
      <c r="HGK57" s="0"/>
      <c r="HGL57" s="0"/>
      <c r="HGM57" s="0"/>
      <c r="HGN57" s="0"/>
      <c r="HGO57" s="0"/>
      <c r="HGP57" s="0"/>
      <c r="HGQ57" s="0"/>
      <c r="HGR57" s="0"/>
      <c r="HGS57" s="0"/>
      <c r="HGT57" s="0"/>
      <c r="HGU57" s="0"/>
      <c r="HGV57" s="0"/>
      <c r="HGW57" s="0"/>
      <c r="HGX57" s="0"/>
      <c r="HGY57" s="0"/>
      <c r="HGZ57" s="0"/>
      <c r="HHA57" s="0"/>
      <c r="HHB57" s="0"/>
      <c r="HHC57" s="0"/>
      <c r="HHD57" s="0"/>
      <c r="HHE57" s="0"/>
      <c r="HHF57" s="0"/>
      <c r="HHG57" s="0"/>
      <c r="HHH57" s="0"/>
      <c r="HHI57" s="0"/>
      <c r="HHJ57" s="0"/>
      <c r="HHK57" s="0"/>
      <c r="HHL57" s="0"/>
      <c r="HHM57" s="0"/>
      <c r="HHN57" s="0"/>
      <c r="HHO57" s="0"/>
      <c r="HHP57" s="0"/>
      <c r="HHQ57" s="0"/>
      <c r="HHR57" s="0"/>
      <c r="HHS57" s="0"/>
      <c r="HHT57" s="0"/>
      <c r="HHU57" s="0"/>
      <c r="HHV57" s="0"/>
      <c r="HHW57" s="0"/>
      <c r="HHX57" s="0"/>
      <c r="HHY57" s="0"/>
      <c r="HHZ57" s="0"/>
      <c r="HIA57" s="0"/>
      <c r="HIB57" s="0"/>
      <c r="HIC57" s="0"/>
      <c r="HID57" s="0"/>
      <c r="HIE57" s="0"/>
      <c r="HIF57" s="0"/>
      <c r="HIG57" s="0"/>
      <c r="HIH57" s="0"/>
      <c r="HII57" s="0"/>
      <c r="HIJ57" s="0"/>
      <c r="HIK57" s="0"/>
      <c r="HIL57" s="0"/>
      <c r="HIM57" s="0"/>
      <c r="HIN57" s="0"/>
      <c r="HIO57" s="0"/>
      <c r="HIP57" s="0"/>
      <c r="HIQ57" s="0"/>
      <c r="HIR57" s="0"/>
      <c r="HIS57" s="0"/>
      <c r="HIT57" s="0"/>
      <c r="HIU57" s="0"/>
      <c r="HIV57" s="0"/>
      <c r="HIW57" s="0"/>
      <c r="HIX57" s="0"/>
      <c r="HIY57" s="0"/>
      <c r="HIZ57" s="0"/>
      <c r="HJA57" s="0"/>
      <c r="HJB57" s="0"/>
      <c r="HJC57" s="0"/>
      <c r="HJD57" s="0"/>
      <c r="HJE57" s="0"/>
      <c r="HJF57" s="0"/>
      <c r="HJG57" s="0"/>
      <c r="HJH57" s="0"/>
      <c r="HJI57" s="0"/>
      <c r="HJJ57" s="0"/>
      <c r="HJK57" s="0"/>
      <c r="HJL57" s="0"/>
      <c r="HJM57" s="0"/>
      <c r="HJN57" s="0"/>
      <c r="HJO57" s="0"/>
      <c r="HJP57" s="0"/>
      <c r="HJQ57" s="0"/>
      <c r="HJR57" s="0"/>
      <c r="HJS57" s="0"/>
      <c r="HJT57" s="0"/>
      <c r="HJU57" s="0"/>
      <c r="HJV57" s="0"/>
      <c r="HJW57" s="0"/>
      <c r="HJX57" s="0"/>
      <c r="HJY57" s="0"/>
      <c r="HJZ57" s="0"/>
      <c r="HKA57" s="0"/>
      <c r="HKB57" s="0"/>
      <c r="HKC57" s="0"/>
      <c r="HKD57" s="0"/>
      <c r="HKE57" s="0"/>
      <c r="HKF57" s="0"/>
      <c r="HKG57" s="0"/>
      <c r="HKH57" s="0"/>
      <c r="HKI57" s="0"/>
      <c r="HKJ57" s="0"/>
      <c r="HKK57" s="0"/>
      <c r="HKL57" s="0"/>
      <c r="HKM57" s="0"/>
      <c r="HKN57" s="0"/>
      <c r="HKO57" s="0"/>
      <c r="HKP57" s="0"/>
      <c r="HKQ57" s="0"/>
      <c r="HKR57" s="0"/>
      <c r="HKS57" s="0"/>
      <c r="HKT57" s="0"/>
      <c r="HKU57" s="0"/>
      <c r="HKV57" s="0"/>
      <c r="HKW57" s="0"/>
      <c r="HKX57" s="0"/>
      <c r="HKY57" s="0"/>
      <c r="HKZ57" s="0"/>
      <c r="HLA57" s="0"/>
      <c r="HLB57" s="0"/>
      <c r="HLC57" s="0"/>
      <c r="HLD57" s="0"/>
      <c r="HLE57" s="0"/>
      <c r="HLF57" s="0"/>
      <c r="HLG57" s="0"/>
      <c r="HLH57" s="0"/>
      <c r="HLI57" s="0"/>
      <c r="HLJ57" s="0"/>
      <c r="HLK57" s="0"/>
      <c r="HLL57" s="0"/>
      <c r="HLM57" s="0"/>
      <c r="HLN57" s="0"/>
      <c r="HLO57" s="0"/>
      <c r="HLP57" s="0"/>
      <c r="HLQ57" s="0"/>
      <c r="HLR57" s="0"/>
      <c r="HLS57" s="0"/>
      <c r="HLT57" s="0"/>
      <c r="HLU57" s="0"/>
      <c r="HLV57" s="0"/>
      <c r="HLW57" s="0"/>
      <c r="HLX57" s="0"/>
      <c r="HLY57" s="0"/>
      <c r="HLZ57" s="0"/>
      <c r="HMA57" s="0"/>
      <c r="HMB57" s="0"/>
      <c r="HMC57" s="0"/>
      <c r="HMD57" s="0"/>
      <c r="HME57" s="0"/>
      <c r="HMF57" s="0"/>
      <c r="HMG57" s="0"/>
      <c r="HMH57" s="0"/>
      <c r="HMI57" s="0"/>
      <c r="HMJ57" s="0"/>
      <c r="HMK57" s="0"/>
      <c r="HML57" s="0"/>
      <c r="HMM57" s="0"/>
      <c r="HMN57" s="0"/>
      <c r="HMO57" s="0"/>
      <c r="HMP57" s="0"/>
      <c r="HMQ57" s="0"/>
      <c r="HMR57" s="0"/>
      <c r="HMS57" s="0"/>
      <c r="HMT57" s="0"/>
      <c r="HMU57" s="0"/>
      <c r="HMV57" s="0"/>
      <c r="HMW57" s="0"/>
      <c r="HMX57" s="0"/>
      <c r="HMY57" s="0"/>
      <c r="HMZ57" s="0"/>
      <c r="HNA57" s="0"/>
      <c r="HNB57" s="0"/>
      <c r="HNC57" s="0"/>
      <c r="HND57" s="0"/>
      <c r="HNE57" s="0"/>
      <c r="HNF57" s="0"/>
      <c r="HNG57" s="0"/>
      <c r="HNH57" s="0"/>
      <c r="HNI57" s="0"/>
      <c r="HNJ57" s="0"/>
      <c r="HNK57" s="0"/>
      <c r="HNL57" s="0"/>
      <c r="HNM57" s="0"/>
      <c r="HNN57" s="0"/>
      <c r="HNO57" s="0"/>
      <c r="HNP57" s="0"/>
      <c r="HNQ57" s="0"/>
      <c r="HNR57" s="0"/>
      <c r="HNS57" s="0"/>
      <c r="HNT57" s="0"/>
      <c r="HNU57" s="0"/>
      <c r="HNV57" s="0"/>
      <c r="HNW57" s="0"/>
      <c r="HNX57" s="0"/>
      <c r="HNY57" s="0"/>
      <c r="HNZ57" s="0"/>
      <c r="HOA57" s="0"/>
      <c r="HOB57" s="0"/>
      <c r="HOC57" s="0"/>
      <c r="HOD57" s="0"/>
      <c r="HOE57" s="0"/>
      <c r="HOF57" s="0"/>
      <c r="HOG57" s="0"/>
      <c r="HOH57" s="0"/>
      <c r="HOI57" s="0"/>
      <c r="HOJ57" s="0"/>
      <c r="HOK57" s="0"/>
      <c r="HOL57" s="0"/>
      <c r="HOM57" s="0"/>
      <c r="HON57" s="0"/>
      <c r="HOO57" s="0"/>
      <c r="HOP57" s="0"/>
      <c r="HOQ57" s="0"/>
      <c r="HOR57" s="0"/>
      <c r="HOS57" s="0"/>
      <c r="HOT57" s="0"/>
      <c r="HOU57" s="0"/>
      <c r="HOV57" s="0"/>
      <c r="HOW57" s="0"/>
      <c r="HOX57" s="0"/>
      <c r="HOY57" s="0"/>
      <c r="HOZ57" s="0"/>
      <c r="HPA57" s="0"/>
      <c r="HPB57" s="0"/>
      <c r="HPC57" s="0"/>
      <c r="HPD57" s="0"/>
      <c r="HPE57" s="0"/>
      <c r="HPF57" s="0"/>
      <c r="HPG57" s="0"/>
      <c r="HPH57" s="0"/>
      <c r="HPI57" s="0"/>
      <c r="HPJ57" s="0"/>
      <c r="HPK57" s="0"/>
      <c r="HPL57" s="0"/>
      <c r="HPM57" s="0"/>
      <c r="HPN57" s="0"/>
      <c r="HPO57" s="0"/>
      <c r="HPP57" s="0"/>
      <c r="HPQ57" s="0"/>
      <c r="HPR57" s="0"/>
      <c r="HPS57" s="0"/>
      <c r="HPT57" s="0"/>
      <c r="HPU57" s="0"/>
      <c r="HPV57" s="0"/>
      <c r="HPW57" s="0"/>
      <c r="HPX57" s="0"/>
      <c r="HPY57" s="0"/>
      <c r="HPZ57" s="0"/>
      <c r="HQA57" s="0"/>
      <c r="HQB57" s="0"/>
      <c r="HQC57" s="0"/>
      <c r="HQD57" s="0"/>
      <c r="HQE57" s="0"/>
      <c r="HQF57" s="0"/>
      <c r="HQG57" s="0"/>
      <c r="HQH57" s="0"/>
      <c r="HQI57" s="0"/>
      <c r="HQJ57" s="0"/>
      <c r="HQK57" s="0"/>
      <c r="HQL57" s="0"/>
      <c r="HQM57" s="0"/>
      <c r="HQN57" s="0"/>
      <c r="HQO57" s="0"/>
      <c r="HQP57" s="0"/>
      <c r="HQQ57" s="0"/>
      <c r="HQR57" s="0"/>
      <c r="HQS57" s="0"/>
      <c r="HQT57" s="0"/>
      <c r="HQU57" s="0"/>
      <c r="HQV57" s="0"/>
      <c r="HQW57" s="0"/>
      <c r="HQX57" s="0"/>
      <c r="HQY57" s="0"/>
      <c r="HQZ57" s="0"/>
      <c r="HRA57" s="0"/>
      <c r="HRB57" s="0"/>
      <c r="HRC57" s="0"/>
      <c r="HRD57" s="0"/>
      <c r="HRE57" s="0"/>
      <c r="HRF57" s="0"/>
      <c r="HRG57" s="0"/>
      <c r="HRH57" s="0"/>
      <c r="HRI57" s="0"/>
      <c r="HRJ57" s="0"/>
      <c r="HRK57" s="0"/>
      <c r="HRL57" s="0"/>
      <c r="HRM57" s="0"/>
      <c r="HRN57" s="0"/>
      <c r="HRO57" s="0"/>
      <c r="HRP57" s="0"/>
      <c r="HRQ57" s="0"/>
      <c r="HRR57" s="0"/>
      <c r="HRS57" s="0"/>
      <c r="HRT57" s="0"/>
      <c r="HRU57" s="0"/>
      <c r="HRV57" s="0"/>
      <c r="HRW57" s="0"/>
      <c r="HRX57" s="0"/>
      <c r="HRY57" s="0"/>
      <c r="HRZ57" s="0"/>
      <c r="HSA57" s="0"/>
      <c r="HSB57" s="0"/>
      <c r="HSC57" s="0"/>
      <c r="HSD57" s="0"/>
      <c r="HSE57" s="0"/>
      <c r="HSF57" s="0"/>
      <c r="HSG57" s="0"/>
      <c r="HSH57" s="0"/>
      <c r="HSI57" s="0"/>
      <c r="HSJ57" s="0"/>
      <c r="HSK57" s="0"/>
      <c r="HSL57" s="0"/>
      <c r="HSM57" s="0"/>
      <c r="HSN57" s="0"/>
      <c r="HSO57" s="0"/>
      <c r="HSP57" s="0"/>
      <c r="HSQ57" s="0"/>
      <c r="HSR57" s="0"/>
      <c r="HSS57" s="0"/>
      <c r="HST57" s="0"/>
      <c r="HSU57" s="0"/>
      <c r="HSV57" s="0"/>
      <c r="HSW57" s="0"/>
      <c r="HSX57" s="0"/>
      <c r="HSY57" s="0"/>
      <c r="HSZ57" s="0"/>
      <c r="HTA57" s="0"/>
      <c r="HTB57" s="0"/>
      <c r="HTC57" s="0"/>
      <c r="HTD57" s="0"/>
      <c r="HTE57" s="0"/>
      <c r="HTF57" s="0"/>
      <c r="HTG57" s="0"/>
      <c r="HTH57" s="0"/>
      <c r="HTI57" s="0"/>
      <c r="HTJ57" s="0"/>
      <c r="HTK57" s="0"/>
      <c r="HTL57" s="0"/>
      <c r="HTM57" s="0"/>
      <c r="HTN57" s="0"/>
      <c r="HTO57" s="0"/>
      <c r="HTP57" s="0"/>
      <c r="HTQ57" s="0"/>
      <c r="HTR57" s="0"/>
      <c r="HTS57" s="0"/>
      <c r="HTT57" s="0"/>
      <c r="HTU57" s="0"/>
      <c r="HTV57" s="0"/>
      <c r="HTW57" s="0"/>
      <c r="HTX57" s="0"/>
      <c r="HTY57" s="0"/>
      <c r="HTZ57" s="0"/>
      <c r="HUA57" s="0"/>
      <c r="HUB57" s="0"/>
      <c r="HUC57" s="0"/>
      <c r="HUD57" s="0"/>
      <c r="HUE57" s="0"/>
      <c r="HUF57" s="0"/>
      <c r="HUG57" s="0"/>
      <c r="HUH57" s="0"/>
      <c r="HUI57" s="0"/>
      <c r="HUJ57" s="0"/>
      <c r="HUK57" s="0"/>
      <c r="HUL57" s="0"/>
      <c r="HUM57" s="0"/>
      <c r="HUN57" s="0"/>
      <c r="HUO57" s="0"/>
      <c r="HUP57" s="0"/>
      <c r="HUQ57" s="0"/>
      <c r="HUR57" s="0"/>
      <c r="HUS57" s="0"/>
      <c r="HUT57" s="0"/>
      <c r="HUU57" s="0"/>
      <c r="HUV57" s="0"/>
      <c r="HUW57" s="0"/>
      <c r="HUX57" s="0"/>
      <c r="HUY57" s="0"/>
      <c r="HUZ57" s="0"/>
      <c r="HVA57" s="0"/>
      <c r="HVB57" s="0"/>
      <c r="HVC57" s="0"/>
      <c r="HVD57" s="0"/>
      <c r="HVE57" s="0"/>
      <c r="HVF57" s="0"/>
      <c r="HVG57" s="0"/>
      <c r="HVH57" s="0"/>
      <c r="HVI57" s="0"/>
      <c r="HVJ57" s="0"/>
      <c r="HVK57" s="0"/>
      <c r="HVL57" s="0"/>
      <c r="HVM57" s="0"/>
      <c r="HVN57" s="0"/>
      <c r="HVO57" s="0"/>
      <c r="HVP57" s="0"/>
      <c r="HVQ57" s="0"/>
      <c r="HVR57" s="0"/>
      <c r="HVS57" s="0"/>
      <c r="HVT57" s="0"/>
      <c r="HVU57" s="0"/>
      <c r="HVV57" s="0"/>
      <c r="HVW57" s="0"/>
      <c r="HVX57" s="0"/>
      <c r="HVY57" s="0"/>
      <c r="HVZ57" s="0"/>
      <c r="HWA57" s="0"/>
      <c r="HWB57" s="0"/>
      <c r="HWC57" s="0"/>
      <c r="HWD57" s="0"/>
      <c r="HWE57" s="0"/>
      <c r="HWF57" s="0"/>
      <c r="HWG57" s="0"/>
      <c r="HWH57" s="0"/>
      <c r="HWI57" s="0"/>
      <c r="HWJ57" s="0"/>
      <c r="HWK57" s="0"/>
      <c r="HWL57" s="0"/>
      <c r="HWM57" s="0"/>
      <c r="HWN57" s="0"/>
      <c r="HWO57" s="0"/>
      <c r="HWP57" s="0"/>
      <c r="HWQ57" s="0"/>
      <c r="HWR57" s="0"/>
      <c r="HWS57" s="0"/>
      <c r="HWT57" s="0"/>
      <c r="HWU57" s="0"/>
      <c r="HWV57" s="0"/>
      <c r="HWW57" s="0"/>
      <c r="HWX57" s="0"/>
      <c r="HWY57" s="0"/>
      <c r="HWZ57" s="0"/>
      <c r="HXA57" s="0"/>
      <c r="HXB57" s="0"/>
      <c r="HXC57" s="0"/>
      <c r="HXD57" s="0"/>
      <c r="HXE57" s="0"/>
      <c r="HXF57" s="0"/>
      <c r="HXG57" s="0"/>
      <c r="HXH57" s="0"/>
      <c r="HXI57" s="0"/>
      <c r="HXJ57" s="0"/>
      <c r="HXK57" s="0"/>
      <c r="HXL57" s="0"/>
      <c r="HXM57" s="0"/>
      <c r="HXN57" s="0"/>
      <c r="HXO57" s="0"/>
      <c r="HXP57" s="0"/>
      <c r="HXQ57" s="0"/>
      <c r="HXR57" s="0"/>
      <c r="HXS57" s="0"/>
      <c r="HXT57" s="0"/>
      <c r="HXU57" s="0"/>
      <c r="HXV57" s="0"/>
      <c r="HXW57" s="0"/>
      <c r="HXX57" s="0"/>
      <c r="HXY57" s="0"/>
      <c r="HXZ57" s="0"/>
      <c r="HYA57" s="0"/>
      <c r="HYB57" s="0"/>
      <c r="HYC57" s="0"/>
      <c r="HYD57" s="0"/>
      <c r="HYE57" s="0"/>
      <c r="HYF57" s="0"/>
      <c r="HYG57" s="0"/>
      <c r="HYH57" s="0"/>
      <c r="HYI57" s="0"/>
      <c r="HYJ57" s="0"/>
      <c r="HYK57" s="0"/>
      <c r="HYL57" s="0"/>
      <c r="HYM57" s="0"/>
      <c r="HYN57" s="0"/>
      <c r="HYO57" s="0"/>
      <c r="HYP57" s="0"/>
      <c r="HYQ57" s="0"/>
      <c r="HYR57" s="0"/>
      <c r="HYS57" s="0"/>
      <c r="HYT57" s="0"/>
      <c r="HYU57" s="0"/>
      <c r="HYV57" s="0"/>
      <c r="HYW57" s="0"/>
      <c r="HYX57" s="0"/>
      <c r="HYY57" s="0"/>
      <c r="HYZ57" s="0"/>
      <c r="HZA57" s="0"/>
      <c r="HZB57" s="0"/>
      <c r="HZC57" s="0"/>
      <c r="HZD57" s="0"/>
      <c r="HZE57" s="0"/>
      <c r="HZF57" s="0"/>
      <c r="HZG57" s="0"/>
      <c r="HZH57" s="0"/>
      <c r="HZI57" s="0"/>
      <c r="HZJ57" s="0"/>
      <c r="HZK57" s="0"/>
      <c r="HZL57" s="0"/>
      <c r="HZM57" s="0"/>
      <c r="HZN57" s="0"/>
      <c r="HZO57" s="0"/>
      <c r="HZP57" s="0"/>
      <c r="HZQ57" s="0"/>
      <c r="HZR57" s="0"/>
      <c r="HZS57" s="0"/>
      <c r="HZT57" s="0"/>
      <c r="HZU57" s="0"/>
      <c r="HZV57" s="0"/>
      <c r="HZW57" s="0"/>
      <c r="HZX57" s="0"/>
      <c r="HZY57" s="0"/>
      <c r="HZZ57" s="0"/>
      <c r="IAA57" s="0"/>
      <c r="IAB57" s="0"/>
      <c r="IAC57" s="0"/>
      <c r="IAD57" s="0"/>
      <c r="IAE57" s="0"/>
      <c r="IAF57" s="0"/>
      <c r="IAG57" s="0"/>
      <c r="IAH57" s="0"/>
      <c r="IAI57" s="0"/>
      <c r="IAJ57" s="0"/>
      <c r="IAK57" s="0"/>
      <c r="IAL57" s="0"/>
      <c r="IAM57" s="0"/>
      <c r="IAN57" s="0"/>
      <c r="IAO57" s="0"/>
      <c r="IAP57" s="0"/>
      <c r="IAQ57" s="0"/>
      <c r="IAR57" s="0"/>
      <c r="IAS57" s="0"/>
      <c r="IAT57" s="0"/>
      <c r="IAU57" s="0"/>
      <c r="IAV57" s="0"/>
      <c r="IAW57" s="0"/>
      <c r="IAX57" s="0"/>
      <c r="IAY57" s="0"/>
      <c r="IAZ57" s="0"/>
      <c r="IBA57" s="0"/>
      <c r="IBB57" s="0"/>
      <c r="IBC57" s="0"/>
      <c r="IBD57" s="0"/>
      <c r="IBE57" s="0"/>
      <c r="IBF57" s="0"/>
      <c r="IBG57" s="0"/>
      <c r="IBH57" s="0"/>
      <c r="IBI57" s="0"/>
      <c r="IBJ57" s="0"/>
      <c r="IBK57" s="0"/>
      <c r="IBL57" s="0"/>
      <c r="IBM57" s="0"/>
      <c r="IBN57" s="0"/>
      <c r="IBO57" s="0"/>
      <c r="IBP57" s="0"/>
      <c r="IBQ57" s="0"/>
      <c r="IBR57" s="0"/>
      <c r="IBS57" s="0"/>
      <c r="IBT57" s="0"/>
      <c r="IBU57" s="0"/>
      <c r="IBV57" s="0"/>
      <c r="IBW57" s="0"/>
      <c r="IBX57" s="0"/>
      <c r="IBY57" s="0"/>
      <c r="IBZ57" s="0"/>
      <c r="ICA57" s="0"/>
      <c r="ICB57" s="0"/>
      <c r="ICC57" s="0"/>
      <c r="ICD57" s="0"/>
      <c r="ICE57" s="0"/>
      <c r="ICF57" s="0"/>
      <c r="ICG57" s="0"/>
      <c r="ICH57" s="0"/>
      <c r="ICI57" s="0"/>
      <c r="ICJ57" s="0"/>
      <c r="ICK57" s="0"/>
      <c r="ICL57" s="0"/>
      <c r="ICM57" s="0"/>
      <c r="ICN57" s="0"/>
      <c r="ICO57" s="0"/>
      <c r="ICP57" s="0"/>
      <c r="ICQ57" s="0"/>
      <c r="ICR57" s="0"/>
      <c r="ICS57" s="0"/>
      <c r="ICT57" s="0"/>
      <c r="ICU57" s="0"/>
      <c r="ICV57" s="0"/>
      <c r="ICW57" s="0"/>
      <c r="ICX57" s="0"/>
      <c r="ICY57" s="0"/>
      <c r="ICZ57" s="0"/>
      <c r="IDA57" s="0"/>
      <c r="IDB57" s="0"/>
      <c r="IDC57" s="0"/>
      <c r="IDD57" s="0"/>
      <c r="IDE57" s="0"/>
      <c r="IDF57" s="0"/>
      <c r="IDG57" s="0"/>
      <c r="IDH57" s="0"/>
      <c r="IDI57" s="0"/>
      <c r="IDJ57" s="0"/>
      <c r="IDK57" s="0"/>
      <c r="IDL57" s="0"/>
      <c r="IDM57" s="0"/>
      <c r="IDN57" s="0"/>
      <c r="IDO57" s="0"/>
      <c r="IDP57" s="0"/>
      <c r="IDQ57" s="0"/>
      <c r="IDR57" s="0"/>
      <c r="IDS57" s="0"/>
      <c r="IDT57" s="0"/>
      <c r="IDU57" s="0"/>
      <c r="IDV57" s="0"/>
      <c r="IDW57" s="0"/>
      <c r="IDX57" s="0"/>
      <c r="IDY57" s="0"/>
      <c r="IDZ57" s="0"/>
      <c r="IEA57" s="0"/>
      <c r="IEB57" s="0"/>
      <c r="IEC57" s="0"/>
      <c r="IED57" s="0"/>
      <c r="IEE57" s="0"/>
      <c r="IEF57" s="0"/>
      <c r="IEG57" s="0"/>
      <c r="IEH57" s="0"/>
      <c r="IEI57" s="0"/>
      <c r="IEJ57" s="0"/>
      <c r="IEK57" s="0"/>
      <c r="IEL57" s="0"/>
      <c r="IEM57" s="0"/>
      <c r="IEN57" s="0"/>
      <c r="IEO57" s="0"/>
      <c r="IEP57" s="0"/>
      <c r="IEQ57" s="0"/>
      <c r="IER57" s="0"/>
      <c r="IES57" s="0"/>
      <c r="IET57" s="0"/>
      <c r="IEU57" s="0"/>
      <c r="IEV57" s="0"/>
      <c r="IEW57" s="0"/>
      <c r="IEX57" s="0"/>
      <c r="IEY57" s="0"/>
      <c r="IEZ57" s="0"/>
      <c r="IFA57" s="0"/>
      <c r="IFB57" s="0"/>
      <c r="IFC57" s="0"/>
      <c r="IFD57" s="0"/>
      <c r="IFE57" s="0"/>
      <c r="IFF57" s="0"/>
      <c r="IFG57" s="0"/>
      <c r="IFH57" s="0"/>
      <c r="IFI57" s="0"/>
      <c r="IFJ57" s="0"/>
      <c r="IFK57" s="0"/>
      <c r="IFL57" s="0"/>
      <c r="IFM57" s="0"/>
      <c r="IFN57" s="0"/>
      <c r="IFO57" s="0"/>
      <c r="IFP57" s="0"/>
      <c r="IFQ57" s="0"/>
      <c r="IFR57" s="0"/>
      <c r="IFS57" s="0"/>
      <c r="IFT57" s="0"/>
      <c r="IFU57" s="0"/>
      <c r="IFV57" s="0"/>
      <c r="IFW57" s="0"/>
      <c r="IFX57" s="0"/>
      <c r="IFY57" s="0"/>
      <c r="IFZ57" s="0"/>
      <c r="IGA57" s="0"/>
      <c r="IGB57" s="0"/>
      <c r="IGC57" s="0"/>
      <c r="IGD57" s="0"/>
      <c r="IGE57" s="0"/>
      <c r="IGF57" s="0"/>
      <c r="IGG57" s="0"/>
      <c r="IGH57" s="0"/>
      <c r="IGI57" s="0"/>
      <c r="IGJ57" s="0"/>
      <c r="IGK57" s="0"/>
      <c r="IGL57" s="0"/>
      <c r="IGM57" s="0"/>
      <c r="IGN57" s="0"/>
      <c r="IGO57" s="0"/>
      <c r="IGP57" s="0"/>
      <c r="IGQ57" s="0"/>
      <c r="IGR57" s="0"/>
      <c r="IGS57" s="0"/>
      <c r="IGT57" s="0"/>
      <c r="IGU57" s="0"/>
      <c r="IGV57" s="0"/>
      <c r="IGW57" s="0"/>
      <c r="IGX57" s="0"/>
      <c r="IGY57" s="0"/>
      <c r="IGZ57" s="0"/>
      <c r="IHA57" s="0"/>
      <c r="IHB57" s="0"/>
      <c r="IHC57" s="0"/>
      <c r="IHD57" s="0"/>
      <c r="IHE57" s="0"/>
      <c r="IHF57" s="0"/>
      <c r="IHG57" s="0"/>
      <c r="IHH57" s="0"/>
      <c r="IHI57" s="0"/>
      <c r="IHJ57" s="0"/>
      <c r="IHK57" s="0"/>
      <c r="IHL57" s="0"/>
      <c r="IHM57" s="0"/>
      <c r="IHN57" s="0"/>
      <c r="IHO57" s="0"/>
      <c r="IHP57" s="0"/>
      <c r="IHQ57" s="0"/>
      <c r="IHR57" s="0"/>
      <c r="IHS57" s="0"/>
      <c r="IHT57" s="0"/>
      <c r="IHU57" s="0"/>
      <c r="IHV57" s="0"/>
      <c r="IHW57" s="0"/>
      <c r="IHX57" s="0"/>
      <c r="IHY57" s="0"/>
      <c r="IHZ57" s="0"/>
      <c r="IIA57" s="0"/>
      <c r="IIB57" s="0"/>
      <c r="IIC57" s="0"/>
      <c r="IID57" s="0"/>
      <c r="IIE57" s="0"/>
      <c r="IIF57" s="0"/>
      <c r="IIG57" s="0"/>
      <c r="IIH57" s="0"/>
      <c r="III57" s="0"/>
      <c r="IIJ57" s="0"/>
      <c r="IIK57" s="0"/>
      <c r="IIL57" s="0"/>
      <c r="IIM57" s="0"/>
      <c r="IIN57" s="0"/>
      <c r="IIO57" s="0"/>
      <c r="IIP57" s="0"/>
      <c r="IIQ57" s="0"/>
      <c r="IIR57" s="0"/>
      <c r="IIS57" s="0"/>
      <c r="IIT57" s="0"/>
      <c r="IIU57" s="0"/>
      <c r="IIV57" s="0"/>
      <c r="IIW57" s="0"/>
      <c r="IIX57" s="0"/>
      <c r="IIY57" s="0"/>
      <c r="IIZ57" s="0"/>
      <c r="IJA57" s="0"/>
      <c r="IJB57" s="0"/>
      <c r="IJC57" s="0"/>
      <c r="IJD57" s="0"/>
      <c r="IJE57" s="0"/>
      <c r="IJF57" s="0"/>
      <c r="IJG57" s="0"/>
      <c r="IJH57" s="0"/>
      <c r="IJI57" s="0"/>
      <c r="IJJ57" s="0"/>
      <c r="IJK57" s="0"/>
      <c r="IJL57" s="0"/>
      <c r="IJM57" s="0"/>
      <c r="IJN57" s="0"/>
      <c r="IJO57" s="0"/>
      <c r="IJP57" s="0"/>
      <c r="IJQ57" s="0"/>
      <c r="IJR57" s="0"/>
      <c r="IJS57" s="0"/>
      <c r="IJT57" s="0"/>
      <c r="IJU57" s="0"/>
      <c r="IJV57" s="0"/>
      <c r="IJW57" s="0"/>
      <c r="IJX57" s="0"/>
      <c r="IJY57" s="0"/>
      <c r="IJZ57" s="0"/>
      <c r="IKA57" s="0"/>
      <c r="IKB57" s="0"/>
      <c r="IKC57" s="0"/>
      <c r="IKD57" s="0"/>
      <c r="IKE57" s="0"/>
      <c r="IKF57" s="0"/>
      <c r="IKG57" s="0"/>
      <c r="IKH57" s="0"/>
      <c r="IKI57" s="0"/>
      <c r="IKJ57" s="0"/>
      <c r="IKK57" s="0"/>
      <c r="IKL57" s="0"/>
      <c r="IKM57" s="0"/>
      <c r="IKN57" s="0"/>
      <c r="IKO57" s="0"/>
      <c r="IKP57" s="0"/>
      <c r="IKQ57" s="0"/>
      <c r="IKR57" s="0"/>
      <c r="IKS57" s="0"/>
      <c r="IKT57" s="0"/>
      <c r="IKU57" s="0"/>
      <c r="IKV57" s="0"/>
      <c r="IKW57" s="0"/>
      <c r="IKX57" s="0"/>
      <c r="IKY57" s="0"/>
      <c r="IKZ57" s="0"/>
      <c r="ILA57" s="0"/>
      <c r="ILB57" s="0"/>
      <c r="ILC57" s="0"/>
      <c r="ILD57" s="0"/>
      <c r="ILE57" s="0"/>
      <c r="ILF57" s="0"/>
      <c r="ILG57" s="0"/>
      <c r="ILH57" s="0"/>
      <c r="ILI57" s="0"/>
      <c r="ILJ57" s="0"/>
      <c r="ILK57" s="0"/>
      <c r="ILL57" s="0"/>
      <c r="ILM57" s="0"/>
      <c r="ILN57" s="0"/>
      <c r="ILO57" s="0"/>
      <c r="ILP57" s="0"/>
      <c r="ILQ57" s="0"/>
      <c r="ILR57" s="0"/>
      <c r="ILS57" s="0"/>
      <c r="ILT57" s="0"/>
      <c r="ILU57" s="0"/>
      <c r="ILV57" s="0"/>
      <c r="ILW57" s="0"/>
      <c r="ILX57" s="0"/>
      <c r="ILY57" s="0"/>
      <c r="ILZ57" s="0"/>
      <c r="IMA57" s="0"/>
      <c r="IMB57" s="0"/>
      <c r="IMC57" s="0"/>
      <c r="IMD57" s="0"/>
      <c r="IME57" s="0"/>
      <c r="IMF57" s="0"/>
      <c r="IMG57" s="0"/>
      <c r="IMH57" s="0"/>
      <c r="IMI57" s="0"/>
      <c r="IMJ57" s="0"/>
      <c r="IMK57" s="0"/>
      <c r="IML57" s="0"/>
      <c r="IMM57" s="0"/>
      <c r="IMN57" s="0"/>
      <c r="IMO57" s="0"/>
      <c r="IMP57" s="0"/>
      <c r="IMQ57" s="0"/>
      <c r="IMR57" s="0"/>
      <c r="IMS57" s="0"/>
      <c r="IMT57" s="0"/>
      <c r="IMU57" s="0"/>
      <c r="IMV57" s="0"/>
      <c r="IMW57" s="0"/>
      <c r="IMX57" s="0"/>
      <c r="IMY57" s="0"/>
      <c r="IMZ57" s="0"/>
      <c r="INA57" s="0"/>
      <c r="INB57" s="0"/>
      <c r="INC57" s="0"/>
      <c r="IND57" s="0"/>
      <c r="INE57" s="0"/>
      <c r="INF57" s="0"/>
      <c r="ING57" s="0"/>
      <c r="INH57" s="0"/>
      <c r="INI57" s="0"/>
      <c r="INJ57" s="0"/>
      <c r="INK57" s="0"/>
      <c r="INL57" s="0"/>
      <c r="INM57" s="0"/>
      <c r="INN57" s="0"/>
      <c r="INO57" s="0"/>
      <c r="INP57" s="0"/>
      <c r="INQ57" s="0"/>
      <c r="INR57" s="0"/>
      <c r="INS57" s="0"/>
      <c r="INT57" s="0"/>
      <c r="INU57" s="0"/>
      <c r="INV57" s="0"/>
      <c r="INW57" s="0"/>
      <c r="INX57" s="0"/>
      <c r="INY57" s="0"/>
      <c r="INZ57" s="0"/>
      <c r="IOA57" s="0"/>
      <c r="IOB57" s="0"/>
      <c r="IOC57" s="0"/>
      <c r="IOD57" s="0"/>
      <c r="IOE57" s="0"/>
      <c r="IOF57" s="0"/>
      <c r="IOG57" s="0"/>
      <c r="IOH57" s="0"/>
      <c r="IOI57" s="0"/>
      <c r="IOJ57" s="0"/>
      <c r="IOK57" s="0"/>
      <c r="IOL57" s="0"/>
      <c r="IOM57" s="0"/>
      <c r="ION57" s="0"/>
      <c r="IOO57" s="0"/>
      <c r="IOP57" s="0"/>
      <c r="IOQ57" s="0"/>
      <c r="IOR57" s="0"/>
      <c r="IOS57" s="0"/>
      <c r="IOT57" s="0"/>
      <c r="IOU57" s="0"/>
      <c r="IOV57" s="0"/>
      <c r="IOW57" s="0"/>
      <c r="IOX57" s="0"/>
      <c r="IOY57" s="0"/>
      <c r="IOZ57" s="0"/>
      <c r="IPA57" s="0"/>
      <c r="IPB57" s="0"/>
      <c r="IPC57" s="0"/>
      <c r="IPD57" s="0"/>
      <c r="IPE57" s="0"/>
      <c r="IPF57" s="0"/>
      <c r="IPG57" s="0"/>
      <c r="IPH57" s="0"/>
      <c r="IPI57" s="0"/>
      <c r="IPJ57" s="0"/>
      <c r="IPK57" s="0"/>
      <c r="IPL57" s="0"/>
      <c r="IPM57" s="0"/>
      <c r="IPN57" s="0"/>
      <c r="IPO57" s="0"/>
      <c r="IPP57" s="0"/>
      <c r="IPQ57" s="0"/>
      <c r="IPR57" s="0"/>
      <c r="IPS57" s="0"/>
      <c r="IPT57" s="0"/>
      <c r="IPU57" s="0"/>
      <c r="IPV57" s="0"/>
      <c r="IPW57" s="0"/>
      <c r="IPX57" s="0"/>
      <c r="IPY57" s="0"/>
      <c r="IPZ57" s="0"/>
      <c r="IQA57" s="0"/>
      <c r="IQB57" s="0"/>
      <c r="IQC57" s="0"/>
      <c r="IQD57" s="0"/>
      <c r="IQE57" s="0"/>
      <c r="IQF57" s="0"/>
      <c r="IQG57" s="0"/>
      <c r="IQH57" s="0"/>
      <c r="IQI57" s="0"/>
      <c r="IQJ57" s="0"/>
      <c r="IQK57" s="0"/>
      <c r="IQL57" s="0"/>
      <c r="IQM57" s="0"/>
      <c r="IQN57" s="0"/>
      <c r="IQO57" s="0"/>
      <c r="IQP57" s="0"/>
      <c r="IQQ57" s="0"/>
      <c r="IQR57" s="0"/>
      <c r="IQS57" s="0"/>
      <c r="IQT57" s="0"/>
      <c r="IQU57" s="0"/>
      <c r="IQV57" s="0"/>
      <c r="IQW57" s="0"/>
      <c r="IQX57" s="0"/>
      <c r="IQY57" s="0"/>
      <c r="IQZ57" s="0"/>
      <c r="IRA57" s="0"/>
      <c r="IRB57" s="0"/>
      <c r="IRC57" s="0"/>
      <c r="IRD57" s="0"/>
      <c r="IRE57" s="0"/>
      <c r="IRF57" s="0"/>
      <c r="IRG57" s="0"/>
      <c r="IRH57" s="0"/>
      <c r="IRI57" s="0"/>
      <c r="IRJ57" s="0"/>
      <c r="IRK57" s="0"/>
      <c r="IRL57" s="0"/>
      <c r="IRM57" s="0"/>
      <c r="IRN57" s="0"/>
      <c r="IRO57" s="0"/>
      <c r="IRP57" s="0"/>
      <c r="IRQ57" s="0"/>
      <c r="IRR57" s="0"/>
      <c r="IRS57" s="0"/>
      <c r="IRT57" s="0"/>
      <c r="IRU57" s="0"/>
      <c r="IRV57" s="0"/>
      <c r="IRW57" s="0"/>
      <c r="IRX57" s="0"/>
      <c r="IRY57" s="0"/>
      <c r="IRZ57" s="0"/>
      <c r="ISA57" s="0"/>
      <c r="ISB57" s="0"/>
      <c r="ISC57" s="0"/>
      <c r="ISD57" s="0"/>
      <c r="ISE57" s="0"/>
      <c r="ISF57" s="0"/>
      <c r="ISG57" s="0"/>
      <c r="ISH57" s="0"/>
      <c r="ISI57" s="0"/>
      <c r="ISJ57" s="0"/>
      <c r="ISK57" s="0"/>
      <c r="ISL57" s="0"/>
      <c r="ISM57" s="0"/>
      <c r="ISN57" s="0"/>
      <c r="ISO57" s="0"/>
      <c r="ISP57" s="0"/>
      <c r="ISQ57" s="0"/>
      <c r="ISR57" s="0"/>
      <c r="ISS57" s="0"/>
      <c r="IST57" s="0"/>
      <c r="ISU57" s="0"/>
      <c r="ISV57" s="0"/>
      <c r="ISW57" s="0"/>
      <c r="ISX57" s="0"/>
      <c r="ISY57" s="0"/>
      <c r="ISZ57" s="0"/>
      <c r="ITA57" s="0"/>
      <c r="ITB57" s="0"/>
      <c r="ITC57" s="0"/>
      <c r="ITD57" s="0"/>
      <c r="ITE57" s="0"/>
      <c r="ITF57" s="0"/>
      <c r="ITG57" s="0"/>
      <c r="ITH57" s="0"/>
      <c r="ITI57" s="0"/>
      <c r="ITJ57" s="0"/>
      <c r="ITK57" s="0"/>
      <c r="ITL57" s="0"/>
      <c r="ITM57" s="0"/>
      <c r="ITN57" s="0"/>
      <c r="ITO57" s="0"/>
      <c r="ITP57" s="0"/>
      <c r="ITQ57" s="0"/>
      <c r="ITR57" s="0"/>
      <c r="ITS57" s="0"/>
      <c r="ITT57" s="0"/>
      <c r="ITU57" s="0"/>
      <c r="ITV57" s="0"/>
      <c r="ITW57" s="0"/>
      <c r="ITX57" s="0"/>
      <c r="ITY57" s="0"/>
      <c r="ITZ57" s="0"/>
      <c r="IUA57" s="0"/>
      <c r="IUB57" s="0"/>
      <c r="IUC57" s="0"/>
      <c r="IUD57" s="0"/>
      <c r="IUE57" s="0"/>
      <c r="IUF57" s="0"/>
      <c r="IUG57" s="0"/>
      <c r="IUH57" s="0"/>
      <c r="IUI57" s="0"/>
      <c r="IUJ57" s="0"/>
      <c r="IUK57" s="0"/>
      <c r="IUL57" s="0"/>
      <c r="IUM57" s="0"/>
      <c r="IUN57" s="0"/>
      <c r="IUO57" s="0"/>
      <c r="IUP57" s="0"/>
      <c r="IUQ57" s="0"/>
      <c r="IUR57" s="0"/>
      <c r="IUS57" s="0"/>
      <c r="IUT57" s="0"/>
      <c r="IUU57" s="0"/>
      <c r="IUV57" s="0"/>
      <c r="IUW57" s="0"/>
      <c r="IUX57" s="0"/>
      <c r="IUY57" s="0"/>
      <c r="IUZ57" s="0"/>
      <c r="IVA57" s="0"/>
      <c r="IVB57" s="0"/>
      <c r="IVC57" s="0"/>
      <c r="IVD57" s="0"/>
      <c r="IVE57" s="0"/>
      <c r="IVF57" s="0"/>
      <c r="IVG57" s="0"/>
      <c r="IVH57" s="0"/>
      <c r="IVI57" s="0"/>
      <c r="IVJ57" s="0"/>
      <c r="IVK57" s="0"/>
      <c r="IVL57" s="0"/>
      <c r="IVM57" s="0"/>
      <c r="IVN57" s="0"/>
      <c r="IVO57" s="0"/>
      <c r="IVP57" s="0"/>
      <c r="IVQ57" s="0"/>
      <c r="IVR57" s="0"/>
      <c r="IVS57" s="0"/>
      <c r="IVT57" s="0"/>
      <c r="IVU57" s="0"/>
      <c r="IVV57" s="0"/>
      <c r="IVW57" s="0"/>
      <c r="IVX57" s="0"/>
      <c r="IVY57" s="0"/>
      <c r="IVZ57" s="0"/>
      <c r="IWA57" s="0"/>
      <c r="IWB57" s="0"/>
      <c r="IWC57" s="0"/>
      <c r="IWD57" s="0"/>
      <c r="IWE57" s="0"/>
      <c r="IWF57" s="0"/>
      <c r="IWG57" s="0"/>
      <c r="IWH57" s="0"/>
      <c r="IWI57" s="0"/>
      <c r="IWJ57" s="0"/>
      <c r="IWK57" s="0"/>
      <c r="IWL57" s="0"/>
      <c r="IWM57" s="0"/>
      <c r="IWN57" s="0"/>
      <c r="IWO57" s="0"/>
      <c r="IWP57" s="0"/>
      <c r="IWQ57" s="0"/>
      <c r="IWR57" s="0"/>
      <c r="IWS57" s="0"/>
      <c r="IWT57" s="0"/>
      <c r="IWU57" s="0"/>
      <c r="IWV57" s="0"/>
      <c r="IWW57" s="0"/>
      <c r="IWX57" s="0"/>
      <c r="IWY57" s="0"/>
      <c r="IWZ57" s="0"/>
      <c r="IXA57" s="0"/>
      <c r="IXB57" s="0"/>
      <c r="IXC57" s="0"/>
      <c r="IXD57" s="0"/>
      <c r="IXE57" s="0"/>
      <c r="IXF57" s="0"/>
      <c r="IXG57" s="0"/>
      <c r="IXH57" s="0"/>
      <c r="IXI57" s="0"/>
      <c r="IXJ57" s="0"/>
      <c r="IXK57" s="0"/>
      <c r="IXL57" s="0"/>
      <c r="IXM57" s="0"/>
      <c r="IXN57" s="0"/>
      <c r="IXO57" s="0"/>
      <c r="IXP57" s="0"/>
      <c r="IXQ57" s="0"/>
      <c r="IXR57" s="0"/>
      <c r="IXS57" s="0"/>
      <c r="IXT57" s="0"/>
      <c r="IXU57" s="0"/>
      <c r="IXV57" s="0"/>
      <c r="IXW57" s="0"/>
      <c r="IXX57" s="0"/>
      <c r="IXY57" s="0"/>
      <c r="IXZ57" s="0"/>
      <c r="IYA57" s="0"/>
      <c r="IYB57" s="0"/>
      <c r="IYC57" s="0"/>
      <c r="IYD57" s="0"/>
      <c r="IYE57" s="0"/>
      <c r="IYF57" s="0"/>
      <c r="IYG57" s="0"/>
      <c r="IYH57" s="0"/>
      <c r="IYI57" s="0"/>
      <c r="IYJ57" s="0"/>
      <c r="IYK57" s="0"/>
      <c r="IYL57" s="0"/>
      <c r="IYM57" s="0"/>
      <c r="IYN57" s="0"/>
      <c r="IYO57" s="0"/>
      <c r="IYP57" s="0"/>
      <c r="IYQ57" s="0"/>
      <c r="IYR57" s="0"/>
      <c r="IYS57" s="0"/>
      <c r="IYT57" s="0"/>
      <c r="IYU57" s="0"/>
      <c r="IYV57" s="0"/>
      <c r="IYW57" s="0"/>
      <c r="IYX57" s="0"/>
      <c r="IYY57" s="0"/>
      <c r="IYZ57" s="0"/>
      <c r="IZA57" s="0"/>
      <c r="IZB57" s="0"/>
      <c r="IZC57" s="0"/>
      <c r="IZD57" s="0"/>
      <c r="IZE57" s="0"/>
      <c r="IZF57" s="0"/>
      <c r="IZG57" s="0"/>
      <c r="IZH57" s="0"/>
      <c r="IZI57" s="0"/>
      <c r="IZJ57" s="0"/>
      <c r="IZK57" s="0"/>
      <c r="IZL57" s="0"/>
      <c r="IZM57" s="0"/>
      <c r="IZN57" s="0"/>
      <c r="IZO57" s="0"/>
      <c r="IZP57" s="0"/>
      <c r="IZQ57" s="0"/>
      <c r="IZR57" s="0"/>
      <c r="IZS57" s="0"/>
      <c r="IZT57" s="0"/>
      <c r="IZU57" s="0"/>
      <c r="IZV57" s="0"/>
      <c r="IZW57" s="0"/>
      <c r="IZX57" s="0"/>
      <c r="IZY57" s="0"/>
      <c r="IZZ57" s="0"/>
      <c r="JAA57" s="0"/>
      <c r="JAB57" s="0"/>
      <c r="JAC57" s="0"/>
      <c r="JAD57" s="0"/>
      <c r="JAE57" s="0"/>
      <c r="JAF57" s="0"/>
      <c r="JAG57" s="0"/>
      <c r="JAH57" s="0"/>
      <c r="JAI57" s="0"/>
      <c r="JAJ57" s="0"/>
      <c r="JAK57" s="0"/>
      <c r="JAL57" s="0"/>
      <c r="JAM57" s="0"/>
      <c r="JAN57" s="0"/>
      <c r="JAO57" s="0"/>
      <c r="JAP57" s="0"/>
      <c r="JAQ57" s="0"/>
      <c r="JAR57" s="0"/>
      <c r="JAS57" s="0"/>
      <c r="JAT57" s="0"/>
      <c r="JAU57" s="0"/>
      <c r="JAV57" s="0"/>
      <c r="JAW57" s="0"/>
      <c r="JAX57" s="0"/>
      <c r="JAY57" s="0"/>
      <c r="JAZ57" s="0"/>
      <c r="JBA57" s="0"/>
      <c r="JBB57" s="0"/>
      <c r="JBC57" s="0"/>
      <c r="JBD57" s="0"/>
      <c r="JBE57" s="0"/>
      <c r="JBF57" s="0"/>
      <c r="JBG57" s="0"/>
      <c r="JBH57" s="0"/>
      <c r="JBI57" s="0"/>
      <c r="JBJ57" s="0"/>
      <c r="JBK57" s="0"/>
      <c r="JBL57" s="0"/>
      <c r="JBM57" s="0"/>
      <c r="JBN57" s="0"/>
      <c r="JBO57" s="0"/>
      <c r="JBP57" s="0"/>
      <c r="JBQ57" s="0"/>
      <c r="JBR57" s="0"/>
      <c r="JBS57" s="0"/>
      <c r="JBT57" s="0"/>
      <c r="JBU57" s="0"/>
      <c r="JBV57" s="0"/>
      <c r="JBW57" s="0"/>
      <c r="JBX57" s="0"/>
      <c r="JBY57" s="0"/>
      <c r="JBZ57" s="0"/>
      <c r="JCA57" s="0"/>
      <c r="JCB57" s="0"/>
      <c r="JCC57" s="0"/>
      <c r="JCD57" s="0"/>
      <c r="JCE57" s="0"/>
      <c r="JCF57" s="0"/>
      <c r="JCG57" s="0"/>
      <c r="JCH57" s="0"/>
      <c r="JCI57" s="0"/>
      <c r="JCJ57" s="0"/>
      <c r="JCK57" s="0"/>
      <c r="JCL57" s="0"/>
      <c r="JCM57" s="0"/>
      <c r="JCN57" s="0"/>
      <c r="JCO57" s="0"/>
      <c r="JCP57" s="0"/>
      <c r="JCQ57" s="0"/>
      <c r="JCR57" s="0"/>
      <c r="JCS57" s="0"/>
      <c r="JCT57" s="0"/>
      <c r="JCU57" s="0"/>
      <c r="JCV57" s="0"/>
      <c r="JCW57" s="0"/>
      <c r="JCX57" s="0"/>
      <c r="JCY57" s="0"/>
      <c r="JCZ57" s="0"/>
      <c r="JDA57" s="0"/>
      <c r="JDB57" s="0"/>
      <c r="JDC57" s="0"/>
      <c r="JDD57" s="0"/>
      <c r="JDE57" s="0"/>
      <c r="JDF57" s="0"/>
      <c r="JDG57" s="0"/>
      <c r="JDH57" s="0"/>
      <c r="JDI57" s="0"/>
      <c r="JDJ57" s="0"/>
      <c r="JDK57" s="0"/>
      <c r="JDL57" s="0"/>
      <c r="JDM57" s="0"/>
      <c r="JDN57" s="0"/>
      <c r="JDO57" s="0"/>
      <c r="JDP57" s="0"/>
      <c r="JDQ57" s="0"/>
      <c r="JDR57" s="0"/>
      <c r="JDS57" s="0"/>
      <c r="JDT57" s="0"/>
      <c r="JDU57" s="0"/>
      <c r="JDV57" s="0"/>
      <c r="JDW57" s="0"/>
      <c r="JDX57" s="0"/>
      <c r="JDY57" s="0"/>
      <c r="JDZ57" s="0"/>
      <c r="JEA57" s="0"/>
      <c r="JEB57" s="0"/>
      <c r="JEC57" s="0"/>
      <c r="JED57" s="0"/>
      <c r="JEE57" s="0"/>
      <c r="JEF57" s="0"/>
      <c r="JEG57" s="0"/>
      <c r="JEH57" s="0"/>
      <c r="JEI57" s="0"/>
      <c r="JEJ57" s="0"/>
      <c r="JEK57" s="0"/>
      <c r="JEL57" s="0"/>
      <c r="JEM57" s="0"/>
      <c r="JEN57" s="0"/>
      <c r="JEO57" s="0"/>
      <c r="JEP57" s="0"/>
      <c r="JEQ57" s="0"/>
      <c r="JER57" s="0"/>
      <c r="JES57" s="0"/>
      <c r="JET57" s="0"/>
      <c r="JEU57" s="0"/>
      <c r="JEV57" s="0"/>
      <c r="JEW57" s="0"/>
      <c r="JEX57" s="0"/>
      <c r="JEY57" s="0"/>
      <c r="JEZ57" s="0"/>
      <c r="JFA57" s="0"/>
      <c r="JFB57" s="0"/>
      <c r="JFC57" s="0"/>
      <c r="JFD57" s="0"/>
      <c r="JFE57" s="0"/>
      <c r="JFF57" s="0"/>
      <c r="JFG57" s="0"/>
      <c r="JFH57" s="0"/>
      <c r="JFI57" s="0"/>
      <c r="JFJ57" s="0"/>
      <c r="JFK57" s="0"/>
      <c r="JFL57" s="0"/>
      <c r="JFM57" s="0"/>
      <c r="JFN57" s="0"/>
      <c r="JFO57" s="0"/>
      <c r="JFP57" s="0"/>
      <c r="JFQ57" s="0"/>
      <c r="JFR57" s="0"/>
      <c r="JFS57" s="0"/>
      <c r="JFT57" s="0"/>
      <c r="JFU57" s="0"/>
      <c r="JFV57" s="0"/>
      <c r="JFW57" s="0"/>
      <c r="JFX57" s="0"/>
      <c r="JFY57" s="0"/>
      <c r="JFZ57" s="0"/>
      <c r="JGA57" s="0"/>
      <c r="JGB57" s="0"/>
      <c r="JGC57" s="0"/>
      <c r="JGD57" s="0"/>
      <c r="JGE57" s="0"/>
      <c r="JGF57" s="0"/>
      <c r="JGG57" s="0"/>
      <c r="JGH57" s="0"/>
      <c r="JGI57" s="0"/>
      <c r="JGJ57" s="0"/>
      <c r="JGK57" s="0"/>
      <c r="JGL57" s="0"/>
      <c r="JGM57" s="0"/>
      <c r="JGN57" s="0"/>
      <c r="JGO57" s="0"/>
      <c r="JGP57" s="0"/>
      <c r="JGQ57" s="0"/>
      <c r="JGR57" s="0"/>
      <c r="JGS57" s="0"/>
      <c r="JGT57" s="0"/>
      <c r="JGU57" s="0"/>
      <c r="JGV57" s="0"/>
      <c r="JGW57" s="0"/>
      <c r="JGX57" s="0"/>
      <c r="JGY57" s="0"/>
      <c r="JGZ57" s="0"/>
      <c r="JHA57" s="0"/>
      <c r="JHB57" s="0"/>
      <c r="JHC57" s="0"/>
      <c r="JHD57" s="0"/>
      <c r="JHE57" s="0"/>
      <c r="JHF57" s="0"/>
      <c r="JHG57" s="0"/>
      <c r="JHH57" s="0"/>
      <c r="JHI57" s="0"/>
      <c r="JHJ57" s="0"/>
      <c r="JHK57" s="0"/>
      <c r="JHL57" s="0"/>
      <c r="JHM57" s="0"/>
      <c r="JHN57" s="0"/>
      <c r="JHO57" s="0"/>
      <c r="JHP57" s="0"/>
      <c r="JHQ57" s="0"/>
      <c r="JHR57" s="0"/>
      <c r="JHS57" s="0"/>
      <c r="JHT57" s="0"/>
      <c r="JHU57" s="0"/>
      <c r="JHV57" s="0"/>
      <c r="JHW57" s="0"/>
      <c r="JHX57" s="0"/>
      <c r="JHY57" s="0"/>
      <c r="JHZ57" s="0"/>
      <c r="JIA57" s="0"/>
      <c r="JIB57" s="0"/>
      <c r="JIC57" s="0"/>
      <c r="JID57" s="0"/>
      <c r="JIE57" s="0"/>
      <c r="JIF57" s="0"/>
      <c r="JIG57" s="0"/>
      <c r="JIH57" s="0"/>
      <c r="JII57" s="0"/>
      <c r="JIJ57" s="0"/>
      <c r="JIK57" s="0"/>
      <c r="JIL57" s="0"/>
      <c r="JIM57" s="0"/>
      <c r="JIN57" s="0"/>
      <c r="JIO57" s="0"/>
      <c r="JIP57" s="0"/>
      <c r="JIQ57" s="0"/>
      <c r="JIR57" s="0"/>
      <c r="JIS57" s="0"/>
      <c r="JIT57" s="0"/>
      <c r="JIU57" s="0"/>
      <c r="JIV57" s="0"/>
      <c r="JIW57" s="0"/>
      <c r="JIX57" s="0"/>
      <c r="JIY57" s="0"/>
      <c r="JIZ57" s="0"/>
      <c r="JJA57" s="0"/>
      <c r="JJB57" s="0"/>
      <c r="JJC57" s="0"/>
      <c r="JJD57" s="0"/>
      <c r="JJE57" s="0"/>
      <c r="JJF57" s="0"/>
      <c r="JJG57" s="0"/>
      <c r="JJH57" s="0"/>
      <c r="JJI57" s="0"/>
      <c r="JJJ57" s="0"/>
      <c r="JJK57" s="0"/>
      <c r="JJL57" s="0"/>
      <c r="JJM57" s="0"/>
      <c r="JJN57" s="0"/>
      <c r="JJO57" s="0"/>
      <c r="JJP57" s="0"/>
      <c r="JJQ57" s="0"/>
      <c r="JJR57" s="0"/>
      <c r="JJS57" s="0"/>
      <c r="JJT57" s="0"/>
      <c r="JJU57" s="0"/>
      <c r="JJV57" s="0"/>
      <c r="JJW57" s="0"/>
      <c r="JJX57" s="0"/>
      <c r="JJY57" s="0"/>
      <c r="JJZ57" s="0"/>
      <c r="JKA57" s="0"/>
      <c r="JKB57" s="0"/>
      <c r="JKC57" s="0"/>
      <c r="JKD57" s="0"/>
      <c r="JKE57" s="0"/>
      <c r="JKF57" s="0"/>
      <c r="JKG57" s="0"/>
      <c r="JKH57" s="0"/>
      <c r="JKI57" s="0"/>
      <c r="JKJ57" s="0"/>
      <c r="JKK57" s="0"/>
      <c r="JKL57" s="0"/>
      <c r="JKM57" s="0"/>
      <c r="JKN57" s="0"/>
      <c r="JKO57" s="0"/>
      <c r="JKP57" s="0"/>
      <c r="JKQ57" s="0"/>
      <c r="JKR57" s="0"/>
      <c r="JKS57" s="0"/>
      <c r="JKT57" s="0"/>
      <c r="JKU57" s="0"/>
      <c r="JKV57" s="0"/>
      <c r="JKW57" s="0"/>
      <c r="JKX57" s="0"/>
      <c r="JKY57" s="0"/>
      <c r="JKZ57" s="0"/>
      <c r="JLA57" s="0"/>
      <c r="JLB57" s="0"/>
      <c r="JLC57" s="0"/>
      <c r="JLD57" s="0"/>
      <c r="JLE57" s="0"/>
      <c r="JLF57" s="0"/>
      <c r="JLG57" s="0"/>
      <c r="JLH57" s="0"/>
      <c r="JLI57" s="0"/>
      <c r="JLJ57" s="0"/>
      <c r="JLK57" s="0"/>
      <c r="JLL57" s="0"/>
      <c r="JLM57" s="0"/>
      <c r="JLN57" s="0"/>
      <c r="JLO57" s="0"/>
      <c r="JLP57" s="0"/>
      <c r="JLQ57" s="0"/>
      <c r="JLR57" s="0"/>
      <c r="JLS57" s="0"/>
      <c r="JLT57" s="0"/>
      <c r="JLU57" s="0"/>
      <c r="JLV57" s="0"/>
      <c r="JLW57" s="0"/>
      <c r="JLX57" s="0"/>
      <c r="JLY57" s="0"/>
      <c r="JLZ57" s="0"/>
      <c r="JMA57" s="0"/>
      <c r="JMB57" s="0"/>
      <c r="JMC57" s="0"/>
      <c r="JMD57" s="0"/>
      <c r="JME57" s="0"/>
      <c r="JMF57" s="0"/>
      <c r="JMG57" s="0"/>
      <c r="JMH57" s="0"/>
      <c r="JMI57" s="0"/>
      <c r="JMJ57" s="0"/>
      <c r="JMK57" s="0"/>
      <c r="JML57" s="0"/>
      <c r="JMM57" s="0"/>
      <c r="JMN57" s="0"/>
      <c r="JMO57" s="0"/>
      <c r="JMP57" s="0"/>
      <c r="JMQ57" s="0"/>
      <c r="JMR57" s="0"/>
      <c r="JMS57" s="0"/>
      <c r="JMT57" s="0"/>
      <c r="JMU57" s="0"/>
      <c r="JMV57" s="0"/>
      <c r="JMW57" s="0"/>
      <c r="JMX57" s="0"/>
      <c r="JMY57" s="0"/>
      <c r="JMZ57" s="0"/>
      <c r="JNA57" s="0"/>
      <c r="JNB57" s="0"/>
      <c r="JNC57" s="0"/>
      <c r="JND57" s="0"/>
      <c r="JNE57" s="0"/>
      <c r="JNF57" s="0"/>
      <c r="JNG57" s="0"/>
      <c r="JNH57" s="0"/>
      <c r="JNI57" s="0"/>
      <c r="JNJ57" s="0"/>
      <c r="JNK57" s="0"/>
      <c r="JNL57" s="0"/>
      <c r="JNM57" s="0"/>
      <c r="JNN57" s="0"/>
      <c r="JNO57" s="0"/>
      <c r="JNP57" s="0"/>
      <c r="JNQ57" s="0"/>
      <c r="JNR57" s="0"/>
      <c r="JNS57" s="0"/>
      <c r="JNT57" s="0"/>
      <c r="JNU57" s="0"/>
      <c r="JNV57" s="0"/>
      <c r="JNW57" s="0"/>
      <c r="JNX57" s="0"/>
      <c r="JNY57" s="0"/>
      <c r="JNZ57" s="0"/>
      <c r="JOA57" s="0"/>
      <c r="JOB57" s="0"/>
      <c r="JOC57" s="0"/>
      <c r="JOD57" s="0"/>
      <c r="JOE57" s="0"/>
      <c r="JOF57" s="0"/>
      <c r="JOG57" s="0"/>
      <c r="JOH57" s="0"/>
      <c r="JOI57" s="0"/>
      <c r="JOJ57" s="0"/>
      <c r="JOK57" s="0"/>
      <c r="JOL57" s="0"/>
      <c r="JOM57" s="0"/>
      <c r="JON57" s="0"/>
      <c r="JOO57" s="0"/>
      <c r="JOP57" s="0"/>
      <c r="JOQ57" s="0"/>
      <c r="JOR57" s="0"/>
      <c r="JOS57" s="0"/>
      <c r="JOT57" s="0"/>
      <c r="JOU57" s="0"/>
      <c r="JOV57" s="0"/>
      <c r="JOW57" s="0"/>
      <c r="JOX57" s="0"/>
      <c r="JOY57" s="0"/>
      <c r="JOZ57" s="0"/>
      <c r="JPA57" s="0"/>
      <c r="JPB57" s="0"/>
      <c r="JPC57" s="0"/>
      <c r="JPD57" s="0"/>
      <c r="JPE57" s="0"/>
      <c r="JPF57" s="0"/>
      <c r="JPG57" s="0"/>
      <c r="JPH57" s="0"/>
      <c r="JPI57" s="0"/>
      <c r="JPJ57" s="0"/>
      <c r="JPK57" s="0"/>
      <c r="JPL57" s="0"/>
      <c r="JPM57" s="0"/>
      <c r="JPN57" s="0"/>
      <c r="JPO57" s="0"/>
      <c r="JPP57" s="0"/>
      <c r="JPQ57" s="0"/>
      <c r="JPR57" s="0"/>
      <c r="JPS57" s="0"/>
      <c r="JPT57" s="0"/>
      <c r="JPU57" s="0"/>
      <c r="JPV57" s="0"/>
      <c r="JPW57" s="0"/>
      <c r="JPX57" s="0"/>
      <c r="JPY57" s="0"/>
      <c r="JPZ57" s="0"/>
      <c r="JQA57" s="0"/>
      <c r="JQB57" s="0"/>
      <c r="JQC57" s="0"/>
      <c r="JQD57" s="0"/>
      <c r="JQE57" s="0"/>
      <c r="JQF57" s="0"/>
      <c r="JQG57" s="0"/>
      <c r="JQH57" s="0"/>
      <c r="JQI57" s="0"/>
      <c r="JQJ57" s="0"/>
      <c r="JQK57" s="0"/>
      <c r="JQL57" s="0"/>
      <c r="JQM57" s="0"/>
      <c r="JQN57" s="0"/>
      <c r="JQO57" s="0"/>
      <c r="JQP57" s="0"/>
      <c r="JQQ57" s="0"/>
      <c r="JQR57" s="0"/>
      <c r="JQS57" s="0"/>
      <c r="JQT57" s="0"/>
      <c r="JQU57" s="0"/>
      <c r="JQV57" s="0"/>
      <c r="JQW57" s="0"/>
      <c r="JQX57" s="0"/>
      <c r="JQY57" s="0"/>
      <c r="JQZ57" s="0"/>
      <c r="JRA57" s="0"/>
      <c r="JRB57" s="0"/>
      <c r="JRC57" s="0"/>
      <c r="JRD57" s="0"/>
      <c r="JRE57" s="0"/>
      <c r="JRF57" s="0"/>
      <c r="JRG57" s="0"/>
      <c r="JRH57" s="0"/>
      <c r="JRI57" s="0"/>
      <c r="JRJ57" s="0"/>
      <c r="JRK57" s="0"/>
      <c r="JRL57" s="0"/>
      <c r="JRM57" s="0"/>
      <c r="JRN57" s="0"/>
      <c r="JRO57" s="0"/>
      <c r="JRP57" s="0"/>
      <c r="JRQ57" s="0"/>
      <c r="JRR57" s="0"/>
      <c r="JRS57" s="0"/>
      <c r="JRT57" s="0"/>
      <c r="JRU57" s="0"/>
      <c r="JRV57" s="0"/>
      <c r="JRW57" s="0"/>
      <c r="JRX57" s="0"/>
      <c r="JRY57" s="0"/>
      <c r="JRZ57" s="0"/>
      <c r="JSA57" s="0"/>
      <c r="JSB57" s="0"/>
      <c r="JSC57" s="0"/>
      <c r="JSD57" s="0"/>
      <c r="JSE57" s="0"/>
      <c r="JSF57" s="0"/>
      <c r="JSG57" s="0"/>
      <c r="JSH57" s="0"/>
      <c r="JSI57" s="0"/>
      <c r="JSJ57" s="0"/>
      <c r="JSK57" s="0"/>
      <c r="JSL57" s="0"/>
      <c r="JSM57" s="0"/>
      <c r="JSN57" s="0"/>
      <c r="JSO57" s="0"/>
      <c r="JSP57" s="0"/>
      <c r="JSQ57" s="0"/>
      <c r="JSR57" s="0"/>
      <c r="JSS57" s="0"/>
      <c r="JST57" s="0"/>
      <c r="JSU57" s="0"/>
      <c r="JSV57" s="0"/>
      <c r="JSW57" s="0"/>
      <c r="JSX57" s="0"/>
      <c r="JSY57" s="0"/>
      <c r="JSZ57" s="0"/>
      <c r="JTA57" s="0"/>
      <c r="JTB57" s="0"/>
      <c r="JTC57" s="0"/>
      <c r="JTD57" s="0"/>
      <c r="JTE57" s="0"/>
      <c r="JTF57" s="0"/>
      <c r="JTG57" s="0"/>
      <c r="JTH57" s="0"/>
      <c r="JTI57" s="0"/>
      <c r="JTJ57" s="0"/>
      <c r="JTK57" s="0"/>
      <c r="JTL57" s="0"/>
      <c r="JTM57" s="0"/>
      <c r="JTN57" s="0"/>
      <c r="JTO57" s="0"/>
      <c r="JTP57" s="0"/>
      <c r="JTQ57" s="0"/>
      <c r="JTR57" s="0"/>
      <c r="JTS57" s="0"/>
      <c r="JTT57" s="0"/>
      <c r="JTU57" s="0"/>
      <c r="JTV57" s="0"/>
      <c r="JTW57" s="0"/>
      <c r="JTX57" s="0"/>
      <c r="JTY57" s="0"/>
      <c r="JTZ57" s="0"/>
      <c r="JUA57" s="0"/>
      <c r="JUB57" s="0"/>
      <c r="JUC57" s="0"/>
      <c r="JUD57" s="0"/>
      <c r="JUE57" s="0"/>
      <c r="JUF57" s="0"/>
      <c r="JUG57" s="0"/>
      <c r="JUH57" s="0"/>
      <c r="JUI57" s="0"/>
      <c r="JUJ57" s="0"/>
      <c r="JUK57" s="0"/>
      <c r="JUL57" s="0"/>
      <c r="JUM57" s="0"/>
      <c r="JUN57" s="0"/>
      <c r="JUO57" s="0"/>
      <c r="JUP57" s="0"/>
      <c r="JUQ57" s="0"/>
      <c r="JUR57" s="0"/>
      <c r="JUS57" s="0"/>
      <c r="JUT57" s="0"/>
      <c r="JUU57" s="0"/>
      <c r="JUV57" s="0"/>
      <c r="JUW57" s="0"/>
      <c r="JUX57" s="0"/>
      <c r="JUY57" s="0"/>
      <c r="JUZ57" s="0"/>
      <c r="JVA57" s="0"/>
      <c r="JVB57" s="0"/>
      <c r="JVC57" s="0"/>
      <c r="JVD57" s="0"/>
      <c r="JVE57" s="0"/>
      <c r="JVF57" s="0"/>
      <c r="JVG57" s="0"/>
      <c r="JVH57" s="0"/>
      <c r="JVI57" s="0"/>
      <c r="JVJ57" s="0"/>
      <c r="JVK57" s="0"/>
      <c r="JVL57" s="0"/>
      <c r="JVM57" s="0"/>
      <c r="JVN57" s="0"/>
      <c r="JVO57" s="0"/>
      <c r="JVP57" s="0"/>
      <c r="JVQ57" s="0"/>
      <c r="JVR57" s="0"/>
      <c r="JVS57" s="0"/>
      <c r="JVT57" s="0"/>
      <c r="JVU57" s="0"/>
      <c r="JVV57" s="0"/>
      <c r="JVW57" s="0"/>
      <c r="JVX57" s="0"/>
      <c r="JVY57" s="0"/>
      <c r="JVZ57" s="0"/>
      <c r="JWA57" s="0"/>
      <c r="JWB57" s="0"/>
      <c r="JWC57" s="0"/>
      <c r="JWD57" s="0"/>
      <c r="JWE57" s="0"/>
      <c r="JWF57" s="0"/>
      <c r="JWG57" s="0"/>
      <c r="JWH57" s="0"/>
      <c r="JWI57" s="0"/>
      <c r="JWJ57" s="0"/>
      <c r="JWK57" s="0"/>
      <c r="JWL57" s="0"/>
      <c r="JWM57" s="0"/>
      <c r="JWN57" s="0"/>
      <c r="JWO57" s="0"/>
      <c r="JWP57" s="0"/>
      <c r="JWQ57" s="0"/>
      <c r="JWR57" s="0"/>
      <c r="JWS57" s="0"/>
      <c r="JWT57" s="0"/>
      <c r="JWU57" s="0"/>
      <c r="JWV57" s="0"/>
      <c r="JWW57" s="0"/>
      <c r="JWX57" s="0"/>
      <c r="JWY57" s="0"/>
      <c r="JWZ57" s="0"/>
      <c r="JXA57" s="0"/>
      <c r="JXB57" s="0"/>
      <c r="JXC57" s="0"/>
      <c r="JXD57" s="0"/>
      <c r="JXE57" s="0"/>
      <c r="JXF57" s="0"/>
      <c r="JXG57" s="0"/>
      <c r="JXH57" s="0"/>
      <c r="JXI57" s="0"/>
      <c r="JXJ57" s="0"/>
      <c r="JXK57" s="0"/>
      <c r="JXL57" s="0"/>
      <c r="JXM57" s="0"/>
      <c r="JXN57" s="0"/>
      <c r="JXO57" s="0"/>
      <c r="JXP57" s="0"/>
      <c r="JXQ57" s="0"/>
      <c r="JXR57" s="0"/>
      <c r="JXS57" s="0"/>
      <c r="JXT57" s="0"/>
      <c r="JXU57" s="0"/>
      <c r="JXV57" s="0"/>
      <c r="JXW57" s="0"/>
      <c r="JXX57" s="0"/>
      <c r="JXY57" s="0"/>
      <c r="JXZ57" s="0"/>
      <c r="JYA57" s="0"/>
      <c r="JYB57" s="0"/>
      <c r="JYC57" s="0"/>
      <c r="JYD57" s="0"/>
      <c r="JYE57" s="0"/>
      <c r="JYF57" s="0"/>
      <c r="JYG57" s="0"/>
      <c r="JYH57" s="0"/>
      <c r="JYI57" s="0"/>
      <c r="JYJ57" s="0"/>
      <c r="JYK57" s="0"/>
      <c r="JYL57" s="0"/>
      <c r="JYM57" s="0"/>
      <c r="JYN57" s="0"/>
      <c r="JYO57" s="0"/>
      <c r="JYP57" s="0"/>
      <c r="JYQ57" s="0"/>
      <c r="JYR57" s="0"/>
      <c r="JYS57" s="0"/>
      <c r="JYT57" s="0"/>
      <c r="JYU57" s="0"/>
      <c r="JYV57" s="0"/>
      <c r="JYW57" s="0"/>
      <c r="JYX57" s="0"/>
      <c r="JYY57" s="0"/>
      <c r="JYZ57" s="0"/>
      <c r="JZA57" s="0"/>
      <c r="JZB57" s="0"/>
      <c r="JZC57" s="0"/>
      <c r="JZD57" s="0"/>
      <c r="JZE57" s="0"/>
      <c r="JZF57" s="0"/>
      <c r="JZG57" s="0"/>
      <c r="JZH57" s="0"/>
      <c r="JZI57" s="0"/>
      <c r="JZJ57" s="0"/>
      <c r="JZK57" s="0"/>
      <c r="JZL57" s="0"/>
      <c r="JZM57" s="0"/>
      <c r="JZN57" s="0"/>
      <c r="JZO57" s="0"/>
      <c r="JZP57" s="0"/>
      <c r="JZQ57" s="0"/>
      <c r="JZR57" s="0"/>
      <c r="JZS57" s="0"/>
      <c r="JZT57" s="0"/>
      <c r="JZU57" s="0"/>
      <c r="JZV57" s="0"/>
      <c r="JZW57" s="0"/>
      <c r="JZX57" s="0"/>
      <c r="JZY57" s="0"/>
      <c r="JZZ57" s="0"/>
      <c r="KAA57" s="0"/>
      <c r="KAB57" s="0"/>
      <c r="KAC57" s="0"/>
      <c r="KAD57" s="0"/>
      <c r="KAE57" s="0"/>
      <c r="KAF57" s="0"/>
      <c r="KAG57" s="0"/>
      <c r="KAH57" s="0"/>
      <c r="KAI57" s="0"/>
      <c r="KAJ57" s="0"/>
      <c r="KAK57" s="0"/>
      <c r="KAL57" s="0"/>
      <c r="KAM57" s="0"/>
      <c r="KAN57" s="0"/>
      <c r="KAO57" s="0"/>
      <c r="KAP57" s="0"/>
      <c r="KAQ57" s="0"/>
      <c r="KAR57" s="0"/>
      <c r="KAS57" s="0"/>
      <c r="KAT57" s="0"/>
      <c r="KAU57" s="0"/>
      <c r="KAV57" s="0"/>
      <c r="KAW57" s="0"/>
      <c r="KAX57" s="0"/>
      <c r="KAY57" s="0"/>
      <c r="KAZ57" s="0"/>
      <c r="KBA57" s="0"/>
      <c r="KBB57" s="0"/>
      <c r="KBC57" s="0"/>
      <c r="KBD57" s="0"/>
      <c r="KBE57" s="0"/>
      <c r="KBF57" s="0"/>
      <c r="KBG57" s="0"/>
      <c r="KBH57" s="0"/>
      <c r="KBI57" s="0"/>
      <c r="KBJ57" s="0"/>
      <c r="KBK57" s="0"/>
      <c r="KBL57" s="0"/>
      <c r="KBM57" s="0"/>
      <c r="KBN57" s="0"/>
      <c r="KBO57" s="0"/>
      <c r="KBP57" s="0"/>
      <c r="KBQ57" s="0"/>
      <c r="KBR57" s="0"/>
      <c r="KBS57" s="0"/>
      <c r="KBT57" s="0"/>
      <c r="KBU57" s="0"/>
      <c r="KBV57" s="0"/>
      <c r="KBW57" s="0"/>
      <c r="KBX57" s="0"/>
      <c r="KBY57" s="0"/>
      <c r="KBZ57" s="0"/>
      <c r="KCA57" s="0"/>
      <c r="KCB57" s="0"/>
      <c r="KCC57" s="0"/>
      <c r="KCD57" s="0"/>
      <c r="KCE57" s="0"/>
      <c r="KCF57" s="0"/>
      <c r="KCG57" s="0"/>
      <c r="KCH57" s="0"/>
      <c r="KCI57" s="0"/>
      <c r="KCJ57" s="0"/>
      <c r="KCK57" s="0"/>
      <c r="KCL57" s="0"/>
      <c r="KCM57" s="0"/>
      <c r="KCN57" s="0"/>
      <c r="KCO57" s="0"/>
      <c r="KCP57" s="0"/>
      <c r="KCQ57" s="0"/>
      <c r="KCR57" s="0"/>
      <c r="KCS57" s="0"/>
      <c r="KCT57" s="0"/>
      <c r="KCU57" s="0"/>
      <c r="KCV57" s="0"/>
      <c r="KCW57" s="0"/>
      <c r="KCX57" s="0"/>
      <c r="KCY57" s="0"/>
      <c r="KCZ57" s="0"/>
      <c r="KDA57" s="0"/>
      <c r="KDB57" s="0"/>
      <c r="KDC57" s="0"/>
      <c r="KDD57" s="0"/>
      <c r="KDE57" s="0"/>
      <c r="KDF57" s="0"/>
      <c r="KDG57" s="0"/>
      <c r="KDH57" s="0"/>
      <c r="KDI57" s="0"/>
      <c r="KDJ57" s="0"/>
      <c r="KDK57" s="0"/>
      <c r="KDL57" s="0"/>
      <c r="KDM57" s="0"/>
      <c r="KDN57" s="0"/>
      <c r="KDO57" s="0"/>
      <c r="KDP57" s="0"/>
      <c r="KDQ57" s="0"/>
      <c r="KDR57" s="0"/>
      <c r="KDS57" s="0"/>
      <c r="KDT57" s="0"/>
      <c r="KDU57" s="0"/>
      <c r="KDV57" s="0"/>
      <c r="KDW57" s="0"/>
      <c r="KDX57" s="0"/>
      <c r="KDY57" s="0"/>
      <c r="KDZ57" s="0"/>
      <c r="KEA57" s="0"/>
      <c r="KEB57" s="0"/>
      <c r="KEC57" s="0"/>
      <c r="KED57" s="0"/>
      <c r="KEE57" s="0"/>
      <c r="KEF57" s="0"/>
      <c r="KEG57" s="0"/>
      <c r="KEH57" s="0"/>
      <c r="KEI57" s="0"/>
      <c r="KEJ57" s="0"/>
      <c r="KEK57" s="0"/>
      <c r="KEL57" s="0"/>
      <c r="KEM57" s="0"/>
      <c r="KEN57" s="0"/>
      <c r="KEO57" s="0"/>
      <c r="KEP57" s="0"/>
      <c r="KEQ57" s="0"/>
      <c r="KER57" s="0"/>
      <c r="KES57" s="0"/>
      <c r="KET57" s="0"/>
      <c r="KEU57" s="0"/>
      <c r="KEV57" s="0"/>
      <c r="KEW57" s="0"/>
      <c r="KEX57" s="0"/>
      <c r="KEY57" s="0"/>
      <c r="KEZ57" s="0"/>
      <c r="KFA57" s="0"/>
      <c r="KFB57" s="0"/>
      <c r="KFC57" s="0"/>
      <c r="KFD57" s="0"/>
      <c r="KFE57" s="0"/>
      <c r="KFF57" s="0"/>
      <c r="KFG57" s="0"/>
      <c r="KFH57" s="0"/>
      <c r="KFI57" s="0"/>
      <c r="KFJ57" s="0"/>
      <c r="KFK57" s="0"/>
      <c r="KFL57" s="0"/>
      <c r="KFM57" s="0"/>
      <c r="KFN57" s="0"/>
      <c r="KFO57" s="0"/>
      <c r="KFP57" s="0"/>
      <c r="KFQ57" s="0"/>
      <c r="KFR57" s="0"/>
      <c r="KFS57" s="0"/>
      <c r="KFT57" s="0"/>
      <c r="KFU57" s="0"/>
      <c r="KFV57" s="0"/>
      <c r="KFW57" s="0"/>
      <c r="KFX57" s="0"/>
      <c r="KFY57" s="0"/>
      <c r="KFZ57" s="0"/>
      <c r="KGA57" s="0"/>
      <c r="KGB57" s="0"/>
      <c r="KGC57" s="0"/>
      <c r="KGD57" s="0"/>
      <c r="KGE57" s="0"/>
      <c r="KGF57" s="0"/>
      <c r="KGG57" s="0"/>
      <c r="KGH57" s="0"/>
      <c r="KGI57" s="0"/>
      <c r="KGJ57" s="0"/>
      <c r="KGK57" s="0"/>
      <c r="KGL57" s="0"/>
      <c r="KGM57" s="0"/>
      <c r="KGN57" s="0"/>
      <c r="KGO57" s="0"/>
      <c r="KGP57" s="0"/>
      <c r="KGQ57" s="0"/>
      <c r="KGR57" s="0"/>
      <c r="KGS57" s="0"/>
      <c r="KGT57" s="0"/>
      <c r="KGU57" s="0"/>
      <c r="KGV57" s="0"/>
      <c r="KGW57" s="0"/>
      <c r="KGX57" s="0"/>
      <c r="KGY57" s="0"/>
      <c r="KGZ57" s="0"/>
      <c r="KHA57" s="0"/>
      <c r="KHB57" s="0"/>
      <c r="KHC57" s="0"/>
      <c r="KHD57" s="0"/>
      <c r="KHE57" s="0"/>
      <c r="KHF57" s="0"/>
      <c r="KHG57" s="0"/>
      <c r="KHH57" s="0"/>
      <c r="KHI57" s="0"/>
      <c r="KHJ57" s="0"/>
      <c r="KHK57" s="0"/>
      <c r="KHL57" s="0"/>
      <c r="KHM57" s="0"/>
      <c r="KHN57" s="0"/>
      <c r="KHO57" s="0"/>
      <c r="KHP57" s="0"/>
      <c r="KHQ57" s="0"/>
      <c r="KHR57" s="0"/>
      <c r="KHS57" s="0"/>
      <c r="KHT57" s="0"/>
      <c r="KHU57" s="0"/>
      <c r="KHV57" s="0"/>
      <c r="KHW57" s="0"/>
      <c r="KHX57" s="0"/>
      <c r="KHY57" s="0"/>
      <c r="KHZ57" s="0"/>
      <c r="KIA57" s="0"/>
      <c r="KIB57" s="0"/>
      <c r="KIC57" s="0"/>
      <c r="KID57" s="0"/>
      <c r="KIE57" s="0"/>
      <c r="KIF57" s="0"/>
      <c r="KIG57" s="0"/>
      <c r="KIH57" s="0"/>
      <c r="KII57" s="0"/>
      <c r="KIJ57" s="0"/>
      <c r="KIK57" s="0"/>
      <c r="KIL57" s="0"/>
      <c r="KIM57" s="0"/>
      <c r="KIN57" s="0"/>
      <c r="KIO57" s="0"/>
      <c r="KIP57" s="0"/>
      <c r="KIQ57" s="0"/>
      <c r="KIR57" s="0"/>
      <c r="KIS57" s="0"/>
      <c r="KIT57" s="0"/>
      <c r="KIU57" s="0"/>
      <c r="KIV57" s="0"/>
      <c r="KIW57" s="0"/>
      <c r="KIX57" s="0"/>
      <c r="KIY57" s="0"/>
      <c r="KIZ57" s="0"/>
      <c r="KJA57" s="0"/>
      <c r="KJB57" s="0"/>
      <c r="KJC57" s="0"/>
      <c r="KJD57" s="0"/>
      <c r="KJE57" s="0"/>
      <c r="KJF57" s="0"/>
      <c r="KJG57" s="0"/>
      <c r="KJH57" s="0"/>
      <c r="KJI57" s="0"/>
      <c r="KJJ57" s="0"/>
      <c r="KJK57" s="0"/>
      <c r="KJL57" s="0"/>
      <c r="KJM57" s="0"/>
      <c r="KJN57" s="0"/>
      <c r="KJO57" s="0"/>
      <c r="KJP57" s="0"/>
      <c r="KJQ57" s="0"/>
      <c r="KJR57" s="0"/>
      <c r="KJS57" s="0"/>
      <c r="KJT57" s="0"/>
      <c r="KJU57" s="0"/>
      <c r="KJV57" s="0"/>
      <c r="KJW57" s="0"/>
      <c r="KJX57" s="0"/>
      <c r="KJY57" s="0"/>
      <c r="KJZ57" s="0"/>
      <c r="KKA57" s="0"/>
      <c r="KKB57" s="0"/>
      <c r="KKC57" s="0"/>
      <c r="KKD57" s="0"/>
      <c r="KKE57" s="0"/>
      <c r="KKF57" s="0"/>
      <c r="KKG57" s="0"/>
      <c r="KKH57" s="0"/>
      <c r="KKI57" s="0"/>
      <c r="KKJ57" s="0"/>
      <c r="KKK57" s="0"/>
      <c r="KKL57" s="0"/>
      <c r="KKM57" s="0"/>
      <c r="KKN57" s="0"/>
      <c r="KKO57" s="0"/>
      <c r="KKP57" s="0"/>
      <c r="KKQ57" s="0"/>
      <c r="KKR57" s="0"/>
      <c r="KKS57" s="0"/>
      <c r="KKT57" s="0"/>
      <c r="KKU57" s="0"/>
      <c r="KKV57" s="0"/>
      <c r="KKW57" s="0"/>
      <c r="KKX57" s="0"/>
      <c r="KKY57" s="0"/>
      <c r="KKZ57" s="0"/>
      <c r="KLA57" s="0"/>
      <c r="KLB57" s="0"/>
      <c r="KLC57" s="0"/>
      <c r="KLD57" s="0"/>
      <c r="KLE57" s="0"/>
      <c r="KLF57" s="0"/>
      <c r="KLG57" s="0"/>
      <c r="KLH57" s="0"/>
      <c r="KLI57" s="0"/>
      <c r="KLJ57" s="0"/>
      <c r="KLK57" s="0"/>
      <c r="KLL57" s="0"/>
      <c r="KLM57" s="0"/>
      <c r="KLN57" s="0"/>
      <c r="KLO57" s="0"/>
      <c r="KLP57" s="0"/>
      <c r="KLQ57" s="0"/>
      <c r="KLR57" s="0"/>
      <c r="KLS57" s="0"/>
      <c r="KLT57" s="0"/>
      <c r="KLU57" s="0"/>
      <c r="KLV57" s="0"/>
      <c r="KLW57" s="0"/>
      <c r="KLX57" s="0"/>
      <c r="KLY57" s="0"/>
      <c r="KLZ57" s="0"/>
      <c r="KMA57" s="0"/>
      <c r="KMB57" s="0"/>
      <c r="KMC57" s="0"/>
      <c r="KMD57" s="0"/>
      <c r="KME57" s="0"/>
      <c r="KMF57" s="0"/>
      <c r="KMG57" s="0"/>
      <c r="KMH57" s="0"/>
      <c r="KMI57" s="0"/>
      <c r="KMJ57" s="0"/>
      <c r="KMK57" s="0"/>
      <c r="KML57" s="0"/>
      <c r="KMM57" s="0"/>
      <c r="KMN57" s="0"/>
      <c r="KMO57" s="0"/>
      <c r="KMP57" s="0"/>
      <c r="KMQ57" s="0"/>
      <c r="KMR57" s="0"/>
      <c r="KMS57" s="0"/>
      <c r="KMT57" s="0"/>
      <c r="KMU57" s="0"/>
      <c r="KMV57" s="0"/>
      <c r="KMW57" s="0"/>
      <c r="KMX57" s="0"/>
      <c r="KMY57" s="0"/>
      <c r="KMZ57" s="0"/>
      <c r="KNA57" s="0"/>
      <c r="KNB57" s="0"/>
      <c r="KNC57" s="0"/>
      <c r="KND57" s="0"/>
      <c r="KNE57" s="0"/>
      <c r="KNF57" s="0"/>
      <c r="KNG57" s="0"/>
      <c r="KNH57" s="0"/>
      <c r="KNI57" s="0"/>
      <c r="KNJ57" s="0"/>
      <c r="KNK57" s="0"/>
      <c r="KNL57" s="0"/>
      <c r="KNM57" s="0"/>
      <c r="KNN57" s="0"/>
      <c r="KNO57" s="0"/>
      <c r="KNP57" s="0"/>
      <c r="KNQ57" s="0"/>
      <c r="KNR57" s="0"/>
      <c r="KNS57" s="0"/>
      <c r="KNT57" s="0"/>
      <c r="KNU57" s="0"/>
      <c r="KNV57" s="0"/>
      <c r="KNW57" s="0"/>
      <c r="KNX57" s="0"/>
      <c r="KNY57" s="0"/>
      <c r="KNZ57" s="0"/>
      <c r="KOA57" s="0"/>
      <c r="KOB57" s="0"/>
      <c r="KOC57" s="0"/>
      <c r="KOD57" s="0"/>
      <c r="KOE57" s="0"/>
      <c r="KOF57" s="0"/>
      <c r="KOG57" s="0"/>
      <c r="KOH57" s="0"/>
      <c r="KOI57" s="0"/>
      <c r="KOJ57" s="0"/>
      <c r="KOK57" s="0"/>
      <c r="KOL57" s="0"/>
      <c r="KOM57" s="0"/>
      <c r="KON57" s="0"/>
      <c r="KOO57" s="0"/>
      <c r="KOP57" s="0"/>
      <c r="KOQ57" s="0"/>
      <c r="KOR57" s="0"/>
      <c r="KOS57" s="0"/>
      <c r="KOT57" s="0"/>
      <c r="KOU57" s="0"/>
      <c r="KOV57" s="0"/>
      <c r="KOW57" s="0"/>
      <c r="KOX57" s="0"/>
      <c r="KOY57" s="0"/>
      <c r="KOZ57" s="0"/>
      <c r="KPA57" s="0"/>
      <c r="KPB57" s="0"/>
      <c r="KPC57" s="0"/>
      <c r="KPD57" s="0"/>
      <c r="KPE57" s="0"/>
      <c r="KPF57" s="0"/>
      <c r="KPG57" s="0"/>
      <c r="KPH57" s="0"/>
      <c r="KPI57" s="0"/>
      <c r="KPJ57" s="0"/>
      <c r="KPK57" s="0"/>
      <c r="KPL57" s="0"/>
      <c r="KPM57" s="0"/>
      <c r="KPN57" s="0"/>
      <c r="KPO57" s="0"/>
      <c r="KPP57" s="0"/>
      <c r="KPQ57" s="0"/>
      <c r="KPR57" s="0"/>
      <c r="KPS57" s="0"/>
      <c r="KPT57" s="0"/>
      <c r="KPU57" s="0"/>
      <c r="KPV57" s="0"/>
      <c r="KPW57" s="0"/>
      <c r="KPX57" s="0"/>
      <c r="KPY57" s="0"/>
      <c r="KPZ57" s="0"/>
      <c r="KQA57" s="0"/>
      <c r="KQB57" s="0"/>
      <c r="KQC57" s="0"/>
      <c r="KQD57" s="0"/>
      <c r="KQE57" s="0"/>
      <c r="KQF57" s="0"/>
      <c r="KQG57" s="0"/>
      <c r="KQH57" s="0"/>
      <c r="KQI57" s="0"/>
      <c r="KQJ57" s="0"/>
      <c r="KQK57" s="0"/>
      <c r="KQL57" s="0"/>
      <c r="KQM57" s="0"/>
      <c r="KQN57" s="0"/>
      <c r="KQO57" s="0"/>
      <c r="KQP57" s="0"/>
      <c r="KQQ57" s="0"/>
      <c r="KQR57" s="0"/>
      <c r="KQS57" s="0"/>
      <c r="KQT57" s="0"/>
      <c r="KQU57" s="0"/>
      <c r="KQV57" s="0"/>
      <c r="KQW57" s="0"/>
      <c r="KQX57" s="0"/>
      <c r="KQY57" s="0"/>
      <c r="KQZ57" s="0"/>
      <c r="KRA57" s="0"/>
      <c r="KRB57" s="0"/>
      <c r="KRC57" s="0"/>
      <c r="KRD57" s="0"/>
      <c r="KRE57" s="0"/>
      <c r="KRF57" s="0"/>
      <c r="KRG57" s="0"/>
      <c r="KRH57" s="0"/>
      <c r="KRI57" s="0"/>
      <c r="KRJ57" s="0"/>
      <c r="KRK57" s="0"/>
      <c r="KRL57" s="0"/>
      <c r="KRM57" s="0"/>
      <c r="KRN57" s="0"/>
      <c r="KRO57" s="0"/>
      <c r="KRP57" s="0"/>
      <c r="KRQ57" s="0"/>
      <c r="KRR57" s="0"/>
      <c r="KRS57" s="0"/>
      <c r="KRT57" s="0"/>
      <c r="KRU57" s="0"/>
      <c r="KRV57" s="0"/>
      <c r="KRW57" s="0"/>
      <c r="KRX57" s="0"/>
      <c r="KRY57" s="0"/>
      <c r="KRZ57" s="0"/>
      <c r="KSA57" s="0"/>
      <c r="KSB57" s="0"/>
      <c r="KSC57" s="0"/>
      <c r="KSD57" s="0"/>
      <c r="KSE57" s="0"/>
      <c r="KSF57" s="0"/>
      <c r="KSG57" s="0"/>
      <c r="KSH57" s="0"/>
      <c r="KSI57" s="0"/>
      <c r="KSJ57" s="0"/>
      <c r="KSK57" s="0"/>
      <c r="KSL57" s="0"/>
      <c r="KSM57" s="0"/>
      <c r="KSN57" s="0"/>
      <c r="KSO57" s="0"/>
      <c r="KSP57" s="0"/>
      <c r="KSQ57" s="0"/>
      <c r="KSR57" s="0"/>
      <c r="KSS57" s="0"/>
      <c r="KST57" s="0"/>
      <c r="KSU57" s="0"/>
      <c r="KSV57" s="0"/>
      <c r="KSW57" s="0"/>
      <c r="KSX57" s="0"/>
      <c r="KSY57" s="0"/>
      <c r="KSZ57" s="0"/>
      <c r="KTA57" s="0"/>
      <c r="KTB57" s="0"/>
      <c r="KTC57" s="0"/>
      <c r="KTD57" s="0"/>
      <c r="KTE57" s="0"/>
      <c r="KTF57" s="0"/>
      <c r="KTG57" s="0"/>
      <c r="KTH57" s="0"/>
      <c r="KTI57" s="0"/>
      <c r="KTJ57" s="0"/>
      <c r="KTK57" s="0"/>
      <c r="KTL57" s="0"/>
      <c r="KTM57" s="0"/>
      <c r="KTN57" s="0"/>
      <c r="KTO57" s="0"/>
      <c r="KTP57" s="0"/>
      <c r="KTQ57" s="0"/>
      <c r="KTR57" s="0"/>
      <c r="KTS57" s="0"/>
      <c r="KTT57" s="0"/>
      <c r="KTU57" s="0"/>
      <c r="KTV57" s="0"/>
      <c r="KTW57" s="0"/>
      <c r="KTX57" s="0"/>
      <c r="KTY57" s="0"/>
      <c r="KTZ57" s="0"/>
      <c r="KUA57" s="0"/>
      <c r="KUB57" s="0"/>
      <c r="KUC57" s="0"/>
      <c r="KUD57" s="0"/>
      <c r="KUE57" s="0"/>
      <c r="KUF57" s="0"/>
      <c r="KUG57" s="0"/>
      <c r="KUH57" s="0"/>
      <c r="KUI57" s="0"/>
      <c r="KUJ57" s="0"/>
      <c r="KUK57" s="0"/>
      <c r="KUL57" s="0"/>
      <c r="KUM57" s="0"/>
      <c r="KUN57" s="0"/>
      <c r="KUO57" s="0"/>
      <c r="KUP57" s="0"/>
      <c r="KUQ57" s="0"/>
      <c r="KUR57" s="0"/>
      <c r="KUS57" s="0"/>
      <c r="KUT57" s="0"/>
      <c r="KUU57" s="0"/>
      <c r="KUV57" s="0"/>
      <c r="KUW57" s="0"/>
      <c r="KUX57" s="0"/>
      <c r="KUY57" s="0"/>
      <c r="KUZ57" s="0"/>
      <c r="KVA57" s="0"/>
      <c r="KVB57" s="0"/>
      <c r="KVC57" s="0"/>
      <c r="KVD57" s="0"/>
      <c r="KVE57" s="0"/>
      <c r="KVF57" s="0"/>
      <c r="KVG57" s="0"/>
      <c r="KVH57" s="0"/>
      <c r="KVI57" s="0"/>
      <c r="KVJ57" s="0"/>
      <c r="KVK57" s="0"/>
      <c r="KVL57" s="0"/>
      <c r="KVM57" s="0"/>
      <c r="KVN57" s="0"/>
      <c r="KVO57" s="0"/>
      <c r="KVP57" s="0"/>
      <c r="KVQ57" s="0"/>
      <c r="KVR57" s="0"/>
      <c r="KVS57" s="0"/>
      <c r="KVT57" s="0"/>
      <c r="KVU57" s="0"/>
      <c r="KVV57" s="0"/>
      <c r="KVW57" s="0"/>
      <c r="KVX57" s="0"/>
      <c r="KVY57" s="0"/>
      <c r="KVZ57" s="0"/>
      <c r="KWA57" s="0"/>
      <c r="KWB57" s="0"/>
      <c r="KWC57" s="0"/>
      <c r="KWD57" s="0"/>
      <c r="KWE57" s="0"/>
      <c r="KWF57" s="0"/>
      <c r="KWG57" s="0"/>
      <c r="KWH57" s="0"/>
      <c r="KWI57" s="0"/>
      <c r="KWJ57" s="0"/>
      <c r="KWK57" s="0"/>
      <c r="KWL57" s="0"/>
      <c r="KWM57" s="0"/>
      <c r="KWN57" s="0"/>
      <c r="KWO57" s="0"/>
      <c r="KWP57" s="0"/>
      <c r="KWQ57" s="0"/>
      <c r="KWR57" s="0"/>
      <c r="KWS57" s="0"/>
      <c r="KWT57" s="0"/>
      <c r="KWU57" s="0"/>
      <c r="KWV57" s="0"/>
      <c r="KWW57" s="0"/>
      <c r="KWX57" s="0"/>
      <c r="KWY57" s="0"/>
      <c r="KWZ57" s="0"/>
      <c r="KXA57" s="0"/>
      <c r="KXB57" s="0"/>
      <c r="KXC57" s="0"/>
      <c r="KXD57" s="0"/>
      <c r="KXE57" s="0"/>
      <c r="KXF57" s="0"/>
      <c r="KXG57" s="0"/>
      <c r="KXH57" s="0"/>
      <c r="KXI57" s="0"/>
      <c r="KXJ57" s="0"/>
      <c r="KXK57" s="0"/>
      <c r="KXL57" s="0"/>
      <c r="KXM57" s="0"/>
      <c r="KXN57" s="0"/>
      <c r="KXO57" s="0"/>
      <c r="KXP57" s="0"/>
      <c r="KXQ57" s="0"/>
      <c r="KXR57" s="0"/>
      <c r="KXS57" s="0"/>
      <c r="KXT57" s="0"/>
      <c r="KXU57" s="0"/>
      <c r="KXV57" s="0"/>
      <c r="KXW57" s="0"/>
      <c r="KXX57" s="0"/>
      <c r="KXY57" s="0"/>
      <c r="KXZ57" s="0"/>
      <c r="KYA57" s="0"/>
      <c r="KYB57" s="0"/>
      <c r="KYC57" s="0"/>
      <c r="KYD57" s="0"/>
      <c r="KYE57" s="0"/>
      <c r="KYF57" s="0"/>
      <c r="KYG57" s="0"/>
      <c r="KYH57" s="0"/>
      <c r="KYI57" s="0"/>
      <c r="KYJ57" s="0"/>
      <c r="KYK57" s="0"/>
      <c r="KYL57" s="0"/>
      <c r="KYM57" s="0"/>
      <c r="KYN57" s="0"/>
      <c r="KYO57" s="0"/>
      <c r="KYP57" s="0"/>
      <c r="KYQ57" s="0"/>
      <c r="KYR57" s="0"/>
      <c r="KYS57" s="0"/>
      <c r="KYT57" s="0"/>
      <c r="KYU57" s="0"/>
      <c r="KYV57" s="0"/>
      <c r="KYW57" s="0"/>
      <c r="KYX57" s="0"/>
      <c r="KYY57" s="0"/>
      <c r="KYZ57" s="0"/>
      <c r="KZA57" s="0"/>
      <c r="KZB57" s="0"/>
      <c r="KZC57" s="0"/>
      <c r="KZD57" s="0"/>
      <c r="KZE57" s="0"/>
      <c r="KZF57" s="0"/>
      <c r="KZG57" s="0"/>
      <c r="KZH57" s="0"/>
      <c r="KZI57" s="0"/>
      <c r="KZJ57" s="0"/>
      <c r="KZK57" s="0"/>
      <c r="KZL57" s="0"/>
      <c r="KZM57" s="0"/>
      <c r="KZN57" s="0"/>
      <c r="KZO57" s="0"/>
      <c r="KZP57" s="0"/>
      <c r="KZQ57" s="0"/>
      <c r="KZR57" s="0"/>
      <c r="KZS57" s="0"/>
      <c r="KZT57" s="0"/>
      <c r="KZU57" s="0"/>
      <c r="KZV57" s="0"/>
      <c r="KZW57" s="0"/>
      <c r="KZX57" s="0"/>
      <c r="KZY57" s="0"/>
      <c r="KZZ57" s="0"/>
      <c r="LAA57" s="0"/>
      <c r="LAB57" s="0"/>
      <c r="LAC57" s="0"/>
      <c r="LAD57" s="0"/>
      <c r="LAE57" s="0"/>
      <c r="LAF57" s="0"/>
      <c r="LAG57" s="0"/>
      <c r="LAH57" s="0"/>
      <c r="LAI57" s="0"/>
      <c r="LAJ57" s="0"/>
      <c r="LAK57" s="0"/>
      <c r="LAL57" s="0"/>
      <c r="LAM57" s="0"/>
      <c r="LAN57" s="0"/>
      <c r="LAO57" s="0"/>
      <c r="LAP57" s="0"/>
      <c r="LAQ57" s="0"/>
      <c r="LAR57" s="0"/>
      <c r="LAS57" s="0"/>
      <c r="LAT57" s="0"/>
      <c r="LAU57" s="0"/>
      <c r="LAV57" s="0"/>
      <c r="LAW57" s="0"/>
      <c r="LAX57" s="0"/>
      <c r="LAY57" s="0"/>
      <c r="LAZ57" s="0"/>
      <c r="LBA57" s="0"/>
      <c r="LBB57" s="0"/>
      <c r="LBC57" s="0"/>
      <c r="LBD57" s="0"/>
      <c r="LBE57" s="0"/>
      <c r="LBF57" s="0"/>
      <c r="LBG57" s="0"/>
      <c r="LBH57" s="0"/>
      <c r="LBI57" s="0"/>
      <c r="LBJ57" s="0"/>
      <c r="LBK57" s="0"/>
      <c r="LBL57" s="0"/>
      <c r="LBM57" s="0"/>
      <c r="LBN57" s="0"/>
      <c r="LBO57" s="0"/>
      <c r="LBP57" s="0"/>
      <c r="LBQ57" s="0"/>
      <c r="LBR57" s="0"/>
      <c r="LBS57" s="0"/>
      <c r="LBT57" s="0"/>
      <c r="LBU57" s="0"/>
      <c r="LBV57" s="0"/>
      <c r="LBW57" s="0"/>
      <c r="LBX57" s="0"/>
      <c r="LBY57" s="0"/>
      <c r="LBZ57" s="0"/>
      <c r="LCA57" s="0"/>
      <c r="LCB57" s="0"/>
      <c r="LCC57" s="0"/>
      <c r="LCD57" s="0"/>
      <c r="LCE57" s="0"/>
      <c r="LCF57" s="0"/>
      <c r="LCG57" s="0"/>
      <c r="LCH57" s="0"/>
      <c r="LCI57" s="0"/>
      <c r="LCJ57" s="0"/>
      <c r="LCK57" s="0"/>
      <c r="LCL57" s="0"/>
      <c r="LCM57" s="0"/>
      <c r="LCN57" s="0"/>
      <c r="LCO57" s="0"/>
      <c r="LCP57" s="0"/>
      <c r="LCQ57" s="0"/>
      <c r="LCR57" s="0"/>
      <c r="LCS57" s="0"/>
      <c r="LCT57" s="0"/>
      <c r="LCU57" s="0"/>
      <c r="LCV57" s="0"/>
      <c r="LCW57" s="0"/>
      <c r="LCX57" s="0"/>
      <c r="LCY57" s="0"/>
      <c r="LCZ57" s="0"/>
      <c r="LDA57" s="0"/>
      <c r="LDB57" s="0"/>
      <c r="LDC57" s="0"/>
      <c r="LDD57" s="0"/>
      <c r="LDE57" s="0"/>
      <c r="LDF57" s="0"/>
      <c r="LDG57" s="0"/>
      <c r="LDH57" s="0"/>
      <c r="LDI57" s="0"/>
      <c r="LDJ57" s="0"/>
      <c r="LDK57" s="0"/>
      <c r="LDL57" s="0"/>
      <c r="LDM57" s="0"/>
      <c r="LDN57" s="0"/>
      <c r="LDO57" s="0"/>
      <c r="LDP57" s="0"/>
      <c r="LDQ57" s="0"/>
      <c r="LDR57" s="0"/>
      <c r="LDS57" s="0"/>
      <c r="LDT57" s="0"/>
      <c r="LDU57" s="0"/>
      <c r="LDV57" s="0"/>
      <c r="LDW57" s="0"/>
      <c r="LDX57" s="0"/>
      <c r="LDY57" s="0"/>
      <c r="LDZ57" s="0"/>
      <c r="LEA57" s="0"/>
      <c r="LEB57" s="0"/>
      <c r="LEC57" s="0"/>
      <c r="LED57" s="0"/>
      <c r="LEE57" s="0"/>
      <c r="LEF57" s="0"/>
      <c r="LEG57" s="0"/>
      <c r="LEH57" s="0"/>
      <c r="LEI57" s="0"/>
      <c r="LEJ57" s="0"/>
      <c r="LEK57" s="0"/>
      <c r="LEL57" s="0"/>
      <c r="LEM57" s="0"/>
      <c r="LEN57" s="0"/>
      <c r="LEO57" s="0"/>
      <c r="LEP57" s="0"/>
      <c r="LEQ57" s="0"/>
      <c r="LER57" s="0"/>
      <c r="LES57" s="0"/>
      <c r="LET57" s="0"/>
      <c r="LEU57" s="0"/>
      <c r="LEV57" s="0"/>
      <c r="LEW57" s="0"/>
      <c r="LEX57" s="0"/>
      <c r="LEY57" s="0"/>
      <c r="LEZ57" s="0"/>
      <c r="LFA57" s="0"/>
      <c r="LFB57" s="0"/>
      <c r="LFC57" s="0"/>
      <c r="LFD57" s="0"/>
      <c r="LFE57" s="0"/>
      <c r="LFF57" s="0"/>
      <c r="LFG57" s="0"/>
      <c r="LFH57" s="0"/>
      <c r="LFI57" s="0"/>
      <c r="LFJ57" s="0"/>
      <c r="LFK57" s="0"/>
      <c r="LFL57" s="0"/>
      <c r="LFM57" s="0"/>
      <c r="LFN57" s="0"/>
      <c r="LFO57" s="0"/>
      <c r="LFP57" s="0"/>
      <c r="LFQ57" s="0"/>
      <c r="LFR57" s="0"/>
      <c r="LFS57" s="0"/>
      <c r="LFT57" s="0"/>
      <c r="LFU57" s="0"/>
      <c r="LFV57" s="0"/>
      <c r="LFW57" s="0"/>
      <c r="LFX57" s="0"/>
      <c r="LFY57" s="0"/>
      <c r="LFZ57" s="0"/>
      <c r="LGA57" s="0"/>
      <c r="LGB57" s="0"/>
      <c r="LGC57" s="0"/>
      <c r="LGD57" s="0"/>
      <c r="LGE57" s="0"/>
      <c r="LGF57" s="0"/>
      <c r="LGG57" s="0"/>
      <c r="LGH57" s="0"/>
      <c r="LGI57" s="0"/>
      <c r="LGJ57" s="0"/>
      <c r="LGK57" s="0"/>
      <c r="LGL57" s="0"/>
      <c r="LGM57" s="0"/>
      <c r="LGN57" s="0"/>
      <c r="LGO57" s="0"/>
      <c r="LGP57" s="0"/>
      <c r="LGQ57" s="0"/>
      <c r="LGR57" s="0"/>
      <c r="LGS57" s="0"/>
      <c r="LGT57" s="0"/>
      <c r="LGU57" s="0"/>
      <c r="LGV57" s="0"/>
      <c r="LGW57" s="0"/>
      <c r="LGX57" s="0"/>
      <c r="LGY57" s="0"/>
      <c r="LGZ57" s="0"/>
      <c r="LHA57" s="0"/>
      <c r="LHB57" s="0"/>
      <c r="LHC57" s="0"/>
      <c r="LHD57" s="0"/>
      <c r="LHE57" s="0"/>
      <c r="LHF57" s="0"/>
      <c r="LHG57" s="0"/>
      <c r="LHH57" s="0"/>
      <c r="LHI57" s="0"/>
      <c r="LHJ57" s="0"/>
      <c r="LHK57" s="0"/>
      <c r="LHL57" s="0"/>
      <c r="LHM57" s="0"/>
      <c r="LHN57" s="0"/>
      <c r="LHO57" s="0"/>
      <c r="LHP57" s="0"/>
      <c r="LHQ57" s="0"/>
      <c r="LHR57" s="0"/>
      <c r="LHS57" s="0"/>
      <c r="LHT57" s="0"/>
      <c r="LHU57" s="0"/>
      <c r="LHV57" s="0"/>
      <c r="LHW57" s="0"/>
      <c r="LHX57" s="0"/>
      <c r="LHY57" s="0"/>
      <c r="LHZ57" s="0"/>
      <c r="LIA57" s="0"/>
      <c r="LIB57" s="0"/>
      <c r="LIC57" s="0"/>
      <c r="LID57" s="0"/>
      <c r="LIE57" s="0"/>
      <c r="LIF57" s="0"/>
      <c r="LIG57" s="0"/>
      <c r="LIH57" s="0"/>
      <c r="LII57" s="0"/>
      <c r="LIJ57" s="0"/>
      <c r="LIK57" s="0"/>
      <c r="LIL57" s="0"/>
      <c r="LIM57" s="0"/>
      <c r="LIN57" s="0"/>
      <c r="LIO57" s="0"/>
      <c r="LIP57" s="0"/>
      <c r="LIQ57" s="0"/>
      <c r="LIR57" s="0"/>
      <c r="LIS57" s="0"/>
      <c r="LIT57" s="0"/>
      <c r="LIU57" s="0"/>
      <c r="LIV57" s="0"/>
      <c r="LIW57" s="0"/>
      <c r="LIX57" s="0"/>
      <c r="LIY57" s="0"/>
      <c r="LIZ57" s="0"/>
      <c r="LJA57" s="0"/>
      <c r="LJB57" s="0"/>
      <c r="LJC57" s="0"/>
      <c r="LJD57" s="0"/>
      <c r="LJE57" s="0"/>
      <c r="LJF57" s="0"/>
      <c r="LJG57" s="0"/>
      <c r="LJH57" s="0"/>
      <c r="LJI57" s="0"/>
      <c r="LJJ57" s="0"/>
      <c r="LJK57" s="0"/>
      <c r="LJL57" s="0"/>
      <c r="LJM57" s="0"/>
      <c r="LJN57" s="0"/>
      <c r="LJO57" s="0"/>
      <c r="LJP57" s="0"/>
      <c r="LJQ57" s="0"/>
      <c r="LJR57" s="0"/>
      <c r="LJS57" s="0"/>
      <c r="LJT57" s="0"/>
      <c r="LJU57" s="0"/>
      <c r="LJV57" s="0"/>
      <c r="LJW57" s="0"/>
      <c r="LJX57" s="0"/>
      <c r="LJY57" s="0"/>
      <c r="LJZ57" s="0"/>
      <c r="LKA57" s="0"/>
      <c r="LKB57" s="0"/>
      <c r="LKC57" s="0"/>
      <c r="LKD57" s="0"/>
      <c r="LKE57" s="0"/>
      <c r="LKF57" s="0"/>
      <c r="LKG57" s="0"/>
      <c r="LKH57" s="0"/>
      <c r="LKI57" s="0"/>
      <c r="LKJ57" s="0"/>
      <c r="LKK57" s="0"/>
      <c r="LKL57" s="0"/>
      <c r="LKM57" s="0"/>
      <c r="LKN57" s="0"/>
      <c r="LKO57" s="0"/>
      <c r="LKP57" s="0"/>
      <c r="LKQ57" s="0"/>
      <c r="LKR57" s="0"/>
      <c r="LKS57" s="0"/>
      <c r="LKT57" s="0"/>
      <c r="LKU57" s="0"/>
      <c r="LKV57" s="0"/>
      <c r="LKW57" s="0"/>
      <c r="LKX57" s="0"/>
      <c r="LKY57" s="0"/>
      <c r="LKZ57" s="0"/>
      <c r="LLA57" s="0"/>
      <c r="LLB57" s="0"/>
      <c r="LLC57" s="0"/>
      <c r="LLD57" s="0"/>
      <c r="LLE57" s="0"/>
      <c r="LLF57" s="0"/>
      <c r="LLG57" s="0"/>
      <c r="LLH57" s="0"/>
      <c r="LLI57" s="0"/>
      <c r="LLJ57" s="0"/>
      <c r="LLK57" s="0"/>
      <c r="LLL57" s="0"/>
      <c r="LLM57" s="0"/>
      <c r="LLN57" s="0"/>
      <c r="LLO57" s="0"/>
      <c r="LLP57" s="0"/>
      <c r="LLQ57" s="0"/>
      <c r="LLR57" s="0"/>
      <c r="LLS57" s="0"/>
      <c r="LLT57" s="0"/>
      <c r="LLU57" s="0"/>
      <c r="LLV57" s="0"/>
      <c r="LLW57" s="0"/>
      <c r="LLX57" s="0"/>
      <c r="LLY57" s="0"/>
      <c r="LLZ57" s="0"/>
      <c r="LMA57" s="0"/>
      <c r="LMB57" s="0"/>
      <c r="LMC57" s="0"/>
      <c r="LMD57" s="0"/>
      <c r="LME57" s="0"/>
      <c r="LMF57" s="0"/>
      <c r="LMG57" s="0"/>
      <c r="LMH57" s="0"/>
      <c r="LMI57" s="0"/>
      <c r="LMJ57" s="0"/>
      <c r="LMK57" s="0"/>
      <c r="LML57" s="0"/>
      <c r="LMM57" s="0"/>
      <c r="LMN57" s="0"/>
      <c r="LMO57" s="0"/>
      <c r="LMP57" s="0"/>
      <c r="LMQ57" s="0"/>
      <c r="LMR57" s="0"/>
      <c r="LMS57" s="0"/>
      <c r="LMT57" s="0"/>
      <c r="LMU57" s="0"/>
      <c r="LMV57" s="0"/>
      <c r="LMW57" s="0"/>
      <c r="LMX57" s="0"/>
      <c r="LMY57" s="0"/>
      <c r="LMZ57" s="0"/>
      <c r="LNA57" s="0"/>
      <c r="LNB57" s="0"/>
      <c r="LNC57" s="0"/>
      <c r="LND57" s="0"/>
      <c r="LNE57" s="0"/>
      <c r="LNF57" s="0"/>
      <c r="LNG57" s="0"/>
      <c r="LNH57" s="0"/>
      <c r="LNI57" s="0"/>
      <c r="LNJ57" s="0"/>
      <c r="LNK57" s="0"/>
      <c r="LNL57" s="0"/>
      <c r="LNM57" s="0"/>
      <c r="LNN57" s="0"/>
      <c r="LNO57" s="0"/>
      <c r="LNP57" s="0"/>
      <c r="LNQ57" s="0"/>
      <c r="LNR57" s="0"/>
      <c r="LNS57" s="0"/>
      <c r="LNT57" s="0"/>
      <c r="LNU57" s="0"/>
      <c r="LNV57" s="0"/>
      <c r="LNW57" s="0"/>
      <c r="LNX57" s="0"/>
      <c r="LNY57" s="0"/>
      <c r="LNZ57" s="0"/>
      <c r="LOA57" s="0"/>
      <c r="LOB57" s="0"/>
      <c r="LOC57" s="0"/>
      <c r="LOD57" s="0"/>
      <c r="LOE57" s="0"/>
      <c r="LOF57" s="0"/>
      <c r="LOG57" s="0"/>
      <c r="LOH57" s="0"/>
      <c r="LOI57" s="0"/>
      <c r="LOJ57" s="0"/>
      <c r="LOK57" s="0"/>
      <c r="LOL57" s="0"/>
      <c r="LOM57" s="0"/>
      <c r="LON57" s="0"/>
      <c r="LOO57" s="0"/>
      <c r="LOP57" s="0"/>
      <c r="LOQ57" s="0"/>
      <c r="LOR57" s="0"/>
      <c r="LOS57" s="0"/>
      <c r="LOT57" s="0"/>
      <c r="LOU57" s="0"/>
      <c r="LOV57" s="0"/>
      <c r="LOW57" s="0"/>
      <c r="LOX57" s="0"/>
      <c r="LOY57" s="0"/>
      <c r="LOZ57" s="0"/>
      <c r="LPA57" s="0"/>
      <c r="LPB57" s="0"/>
      <c r="LPC57" s="0"/>
      <c r="LPD57" s="0"/>
      <c r="LPE57" s="0"/>
      <c r="LPF57" s="0"/>
      <c r="LPG57" s="0"/>
      <c r="LPH57" s="0"/>
      <c r="LPI57" s="0"/>
      <c r="LPJ57" s="0"/>
      <c r="LPK57" s="0"/>
      <c r="LPL57" s="0"/>
      <c r="LPM57" s="0"/>
      <c r="LPN57" s="0"/>
      <c r="LPO57" s="0"/>
      <c r="LPP57" s="0"/>
      <c r="LPQ57" s="0"/>
      <c r="LPR57" s="0"/>
      <c r="LPS57" s="0"/>
      <c r="LPT57" s="0"/>
      <c r="LPU57" s="0"/>
      <c r="LPV57" s="0"/>
      <c r="LPW57" s="0"/>
      <c r="LPX57" s="0"/>
      <c r="LPY57" s="0"/>
      <c r="LPZ57" s="0"/>
      <c r="LQA57" s="0"/>
      <c r="LQB57" s="0"/>
      <c r="LQC57" s="0"/>
      <c r="LQD57" s="0"/>
      <c r="LQE57" s="0"/>
      <c r="LQF57" s="0"/>
      <c r="LQG57" s="0"/>
      <c r="LQH57" s="0"/>
      <c r="LQI57" s="0"/>
      <c r="LQJ57" s="0"/>
      <c r="LQK57" s="0"/>
      <c r="LQL57" s="0"/>
      <c r="LQM57" s="0"/>
      <c r="LQN57" s="0"/>
      <c r="LQO57" s="0"/>
      <c r="LQP57" s="0"/>
      <c r="LQQ57" s="0"/>
      <c r="LQR57" s="0"/>
      <c r="LQS57" s="0"/>
      <c r="LQT57" s="0"/>
      <c r="LQU57" s="0"/>
      <c r="LQV57" s="0"/>
      <c r="LQW57" s="0"/>
      <c r="LQX57" s="0"/>
      <c r="LQY57" s="0"/>
      <c r="LQZ57" s="0"/>
      <c r="LRA57" s="0"/>
      <c r="LRB57" s="0"/>
      <c r="LRC57" s="0"/>
      <c r="LRD57" s="0"/>
      <c r="LRE57" s="0"/>
      <c r="LRF57" s="0"/>
      <c r="LRG57" s="0"/>
      <c r="LRH57" s="0"/>
      <c r="LRI57" s="0"/>
      <c r="LRJ57" s="0"/>
      <c r="LRK57" s="0"/>
      <c r="LRL57" s="0"/>
      <c r="LRM57" s="0"/>
      <c r="LRN57" s="0"/>
      <c r="LRO57" s="0"/>
      <c r="LRP57" s="0"/>
      <c r="LRQ57" s="0"/>
      <c r="LRR57" s="0"/>
      <c r="LRS57" s="0"/>
      <c r="LRT57" s="0"/>
      <c r="LRU57" s="0"/>
      <c r="LRV57" s="0"/>
      <c r="LRW57" s="0"/>
      <c r="LRX57" s="0"/>
      <c r="LRY57" s="0"/>
      <c r="LRZ57" s="0"/>
      <c r="LSA57" s="0"/>
      <c r="LSB57" s="0"/>
      <c r="LSC57" s="0"/>
      <c r="LSD57" s="0"/>
      <c r="LSE57" s="0"/>
      <c r="LSF57" s="0"/>
      <c r="LSG57" s="0"/>
      <c r="LSH57" s="0"/>
      <c r="LSI57" s="0"/>
      <c r="LSJ57" s="0"/>
      <c r="LSK57" s="0"/>
      <c r="LSL57" s="0"/>
      <c r="LSM57" s="0"/>
      <c r="LSN57" s="0"/>
      <c r="LSO57" s="0"/>
      <c r="LSP57" s="0"/>
      <c r="LSQ57" s="0"/>
      <c r="LSR57" s="0"/>
      <c r="LSS57" s="0"/>
      <c r="LST57" s="0"/>
      <c r="LSU57" s="0"/>
      <c r="LSV57" s="0"/>
      <c r="LSW57" s="0"/>
      <c r="LSX57" s="0"/>
      <c r="LSY57" s="0"/>
      <c r="LSZ57" s="0"/>
      <c r="LTA57" s="0"/>
      <c r="LTB57" s="0"/>
      <c r="LTC57" s="0"/>
      <c r="LTD57" s="0"/>
      <c r="LTE57" s="0"/>
      <c r="LTF57" s="0"/>
      <c r="LTG57" s="0"/>
      <c r="LTH57" s="0"/>
      <c r="LTI57" s="0"/>
      <c r="LTJ57" s="0"/>
      <c r="LTK57" s="0"/>
      <c r="LTL57" s="0"/>
      <c r="LTM57" s="0"/>
      <c r="LTN57" s="0"/>
      <c r="LTO57" s="0"/>
      <c r="LTP57" s="0"/>
      <c r="LTQ57" s="0"/>
      <c r="LTR57" s="0"/>
      <c r="LTS57" s="0"/>
      <c r="LTT57" s="0"/>
      <c r="LTU57" s="0"/>
      <c r="LTV57" s="0"/>
      <c r="LTW57" s="0"/>
      <c r="LTX57" s="0"/>
      <c r="LTY57" s="0"/>
      <c r="LTZ57" s="0"/>
      <c r="LUA57" s="0"/>
      <c r="LUB57" s="0"/>
      <c r="LUC57" s="0"/>
      <c r="LUD57" s="0"/>
      <c r="LUE57" s="0"/>
      <c r="LUF57" s="0"/>
      <c r="LUG57" s="0"/>
      <c r="LUH57" s="0"/>
      <c r="LUI57" s="0"/>
      <c r="LUJ57" s="0"/>
      <c r="LUK57" s="0"/>
      <c r="LUL57" s="0"/>
      <c r="LUM57" s="0"/>
      <c r="LUN57" s="0"/>
      <c r="LUO57" s="0"/>
      <c r="LUP57" s="0"/>
      <c r="LUQ57" s="0"/>
      <c r="LUR57" s="0"/>
      <c r="LUS57" s="0"/>
      <c r="LUT57" s="0"/>
      <c r="LUU57" s="0"/>
      <c r="LUV57" s="0"/>
      <c r="LUW57" s="0"/>
      <c r="LUX57" s="0"/>
      <c r="LUY57" s="0"/>
      <c r="LUZ57" s="0"/>
      <c r="LVA57" s="0"/>
      <c r="LVB57" s="0"/>
      <c r="LVC57" s="0"/>
      <c r="LVD57" s="0"/>
      <c r="LVE57" s="0"/>
      <c r="LVF57" s="0"/>
      <c r="LVG57" s="0"/>
      <c r="LVH57" s="0"/>
      <c r="LVI57" s="0"/>
      <c r="LVJ57" s="0"/>
      <c r="LVK57" s="0"/>
      <c r="LVL57" s="0"/>
      <c r="LVM57" s="0"/>
      <c r="LVN57" s="0"/>
      <c r="LVO57" s="0"/>
      <c r="LVP57" s="0"/>
      <c r="LVQ57" s="0"/>
      <c r="LVR57" s="0"/>
      <c r="LVS57" s="0"/>
      <c r="LVT57" s="0"/>
      <c r="LVU57" s="0"/>
      <c r="LVV57" s="0"/>
      <c r="LVW57" s="0"/>
      <c r="LVX57" s="0"/>
      <c r="LVY57" s="0"/>
      <c r="LVZ57" s="0"/>
      <c r="LWA57" s="0"/>
      <c r="LWB57" s="0"/>
      <c r="LWC57" s="0"/>
      <c r="LWD57" s="0"/>
      <c r="LWE57" s="0"/>
      <c r="LWF57" s="0"/>
      <c r="LWG57" s="0"/>
      <c r="LWH57" s="0"/>
      <c r="LWI57" s="0"/>
      <c r="LWJ57" s="0"/>
      <c r="LWK57" s="0"/>
      <c r="LWL57" s="0"/>
      <c r="LWM57" s="0"/>
      <c r="LWN57" s="0"/>
      <c r="LWO57" s="0"/>
      <c r="LWP57" s="0"/>
      <c r="LWQ57" s="0"/>
      <c r="LWR57" s="0"/>
      <c r="LWS57" s="0"/>
      <c r="LWT57" s="0"/>
      <c r="LWU57" s="0"/>
      <c r="LWV57" s="0"/>
      <c r="LWW57" s="0"/>
      <c r="LWX57" s="0"/>
      <c r="LWY57" s="0"/>
      <c r="LWZ57" s="0"/>
      <c r="LXA57" s="0"/>
      <c r="LXB57" s="0"/>
      <c r="LXC57" s="0"/>
      <c r="LXD57" s="0"/>
      <c r="LXE57" s="0"/>
      <c r="LXF57" s="0"/>
      <c r="LXG57" s="0"/>
      <c r="LXH57" s="0"/>
      <c r="LXI57" s="0"/>
      <c r="LXJ57" s="0"/>
      <c r="LXK57" s="0"/>
      <c r="LXL57" s="0"/>
      <c r="LXM57" s="0"/>
      <c r="LXN57" s="0"/>
      <c r="LXO57" s="0"/>
      <c r="LXP57" s="0"/>
      <c r="LXQ57" s="0"/>
      <c r="LXR57" s="0"/>
      <c r="LXS57" s="0"/>
      <c r="LXT57" s="0"/>
      <c r="LXU57" s="0"/>
      <c r="LXV57" s="0"/>
      <c r="LXW57" s="0"/>
      <c r="LXX57" s="0"/>
      <c r="LXY57" s="0"/>
      <c r="LXZ57" s="0"/>
      <c r="LYA57" s="0"/>
      <c r="LYB57" s="0"/>
      <c r="LYC57" s="0"/>
      <c r="LYD57" s="0"/>
      <c r="LYE57" s="0"/>
      <c r="LYF57" s="0"/>
      <c r="LYG57" s="0"/>
      <c r="LYH57" s="0"/>
      <c r="LYI57" s="0"/>
      <c r="LYJ57" s="0"/>
      <c r="LYK57" s="0"/>
      <c r="LYL57" s="0"/>
      <c r="LYM57" s="0"/>
      <c r="LYN57" s="0"/>
      <c r="LYO57" s="0"/>
      <c r="LYP57" s="0"/>
      <c r="LYQ57" s="0"/>
      <c r="LYR57" s="0"/>
      <c r="LYS57" s="0"/>
      <c r="LYT57" s="0"/>
      <c r="LYU57" s="0"/>
      <c r="LYV57" s="0"/>
      <c r="LYW57" s="0"/>
      <c r="LYX57" s="0"/>
      <c r="LYY57" s="0"/>
      <c r="LYZ57" s="0"/>
      <c r="LZA57" s="0"/>
      <c r="LZB57" s="0"/>
      <c r="LZC57" s="0"/>
      <c r="LZD57" s="0"/>
      <c r="LZE57" s="0"/>
      <c r="LZF57" s="0"/>
      <c r="LZG57" s="0"/>
      <c r="LZH57" s="0"/>
      <c r="LZI57" s="0"/>
      <c r="LZJ57" s="0"/>
      <c r="LZK57" s="0"/>
      <c r="LZL57" s="0"/>
      <c r="LZM57" s="0"/>
      <c r="LZN57" s="0"/>
      <c r="LZO57" s="0"/>
      <c r="LZP57" s="0"/>
      <c r="LZQ57" s="0"/>
      <c r="LZR57" s="0"/>
      <c r="LZS57" s="0"/>
      <c r="LZT57" s="0"/>
      <c r="LZU57" s="0"/>
      <c r="LZV57" s="0"/>
      <c r="LZW57" s="0"/>
      <c r="LZX57" s="0"/>
      <c r="LZY57" s="0"/>
      <c r="LZZ57" s="0"/>
      <c r="MAA57" s="0"/>
      <c r="MAB57" s="0"/>
      <c r="MAC57" s="0"/>
      <c r="MAD57" s="0"/>
      <c r="MAE57" s="0"/>
      <c r="MAF57" s="0"/>
      <c r="MAG57" s="0"/>
      <c r="MAH57" s="0"/>
      <c r="MAI57" s="0"/>
      <c r="MAJ57" s="0"/>
      <c r="MAK57" s="0"/>
      <c r="MAL57" s="0"/>
      <c r="MAM57" s="0"/>
      <c r="MAN57" s="0"/>
      <c r="MAO57" s="0"/>
      <c r="MAP57" s="0"/>
      <c r="MAQ57" s="0"/>
      <c r="MAR57" s="0"/>
      <c r="MAS57" s="0"/>
      <c r="MAT57" s="0"/>
      <c r="MAU57" s="0"/>
      <c r="MAV57" s="0"/>
      <c r="MAW57" s="0"/>
      <c r="MAX57" s="0"/>
      <c r="MAY57" s="0"/>
      <c r="MAZ57" s="0"/>
      <c r="MBA57" s="0"/>
      <c r="MBB57" s="0"/>
      <c r="MBC57" s="0"/>
      <c r="MBD57" s="0"/>
      <c r="MBE57" s="0"/>
      <c r="MBF57" s="0"/>
      <c r="MBG57" s="0"/>
      <c r="MBH57" s="0"/>
      <c r="MBI57" s="0"/>
      <c r="MBJ57" s="0"/>
      <c r="MBK57" s="0"/>
      <c r="MBL57" s="0"/>
      <c r="MBM57" s="0"/>
      <c r="MBN57" s="0"/>
      <c r="MBO57" s="0"/>
      <c r="MBP57" s="0"/>
      <c r="MBQ57" s="0"/>
      <c r="MBR57" s="0"/>
      <c r="MBS57" s="0"/>
      <c r="MBT57" s="0"/>
      <c r="MBU57" s="0"/>
      <c r="MBV57" s="0"/>
      <c r="MBW57" s="0"/>
      <c r="MBX57" s="0"/>
      <c r="MBY57" s="0"/>
      <c r="MBZ57" s="0"/>
      <c r="MCA57" s="0"/>
      <c r="MCB57" s="0"/>
      <c r="MCC57" s="0"/>
      <c r="MCD57" s="0"/>
      <c r="MCE57" s="0"/>
      <c r="MCF57" s="0"/>
      <c r="MCG57" s="0"/>
      <c r="MCH57" s="0"/>
      <c r="MCI57" s="0"/>
      <c r="MCJ57" s="0"/>
      <c r="MCK57" s="0"/>
      <c r="MCL57" s="0"/>
      <c r="MCM57" s="0"/>
      <c r="MCN57" s="0"/>
      <c r="MCO57" s="0"/>
      <c r="MCP57" s="0"/>
      <c r="MCQ57" s="0"/>
      <c r="MCR57" s="0"/>
      <c r="MCS57" s="0"/>
      <c r="MCT57" s="0"/>
      <c r="MCU57" s="0"/>
      <c r="MCV57" s="0"/>
      <c r="MCW57" s="0"/>
      <c r="MCX57" s="0"/>
      <c r="MCY57" s="0"/>
      <c r="MCZ57" s="0"/>
      <c r="MDA57" s="0"/>
      <c r="MDB57" s="0"/>
      <c r="MDC57" s="0"/>
      <c r="MDD57" s="0"/>
      <c r="MDE57" s="0"/>
      <c r="MDF57" s="0"/>
      <c r="MDG57" s="0"/>
      <c r="MDH57" s="0"/>
      <c r="MDI57" s="0"/>
      <c r="MDJ57" s="0"/>
      <c r="MDK57" s="0"/>
      <c r="MDL57" s="0"/>
      <c r="MDM57" s="0"/>
      <c r="MDN57" s="0"/>
      <c r="MDO57" s="0"/>
      <c r="MDP57" s="0"/>
      <c r="MDQ57" s="0"/>
      <c r="MDR57" s="0"/>
      <c r="MDS57" s="0"/>
      <c r="MDT57" s="0"/>
      <c r="MDU57" s="0"/>
      <c r="MDV57" s="0"/>
      <c r="MDW57" s="0"/>
      <c r="MDX57" s="0"/>
      <c r="MDY57" s="0"/>
      <c r="MDZ57" s="0"/>
      <c r="MEA57" s="0"/>
      <c r="MEB57" s="0"/>
      <c r="MEC57" s="0"/>
      <c r="MED57" s="0"/>
      <c r="MEE57" s="0"/>
      <c r="MEF57" s="0"/>
      <c r="MEG57" s="0"/>
      <c r="MEH57" s="0"/>
      <c r="MEI57" s="0"/>
      <c r="MEJ57" s="0"/>
      <c r="MEK57" s="0"/>
      <c r="MEL57" s="0"/>
      <c r="MEM57" s="0"/>
      <c r="MEN57" s="0"/>
      <c r="MEO57" s="0"/>
      <c r="MEP57" s="0"/>
      <c r="MEQ57" s="0"/>
      <c r="MER57" s="0"/>
      <c r="MES57" s="0"/>
      <c r="MET57" s="0"/>
      <c r="MEU57" s="0"/>
      <c r="MEV57" s="0"/>
      <c r="MEW57" s="0"/>
      <c r="MEX57" s="0"/>
      <c r="MEY57" s="0"/>
      <c r="MEZ57" s="0"/>
      <c r="MFA57" s="0"/>
      <c r="MFB57" s="0"/>
      <c r="MFC57" s="0"/>
      <c r="MFD57" s="0"/>
      <c r="MFE57" s="0"/>
      <c r="MFF57" s="0"/>
      <c r="MFG57" s="0"/>
      <c r="MFH57" s="0"/>
      <c r="MFI57" s="0"/>
      <c r="MFJ57" s="0"/>
      <c r="MFK57" s="0"/>
      <c r="MFL57" s="0"/>
      <c r="MFM57" s="0"/>
      <c r="MFN57" s="0"/>
      <c r="MFO57" s="0"/>
      <c r="MFP57" s="0"/>
      <c r="MFQ57" s="0"/>
      <c r="MFR57" s="0"/>
      <c r="MFS57" s="0"/>
      <c r="MFT57" s="0"/>
      <c r="MFU57" s="0"/>
      <c r="MFV57" s="0"/>
      <c r="MFW57" s="0"/>
      <c r="MFX57" s="0"/>
      <c r="MFY57" s="0"/>
      <c r="MFZ57" s="0"/>
      <c r="MGA57" s="0"/>
      <c r="MGB57" s="0"/>
      <c r="MGC57" s="0"/>
      <c r="MGD57" s="0"/>
      <c r="MGE57" s="0"/>
      <c r="MGF57" s="0"/>
      <c r="MGG57" s="0"/>
      <c r="MGH57" s="0"/>
      <c r="MGI57" s="0"/>
      <c r="MGJ57" s="0"/>
      <c r="MGK57" s="0"/>
      <c r="MGL57" s="0"/>
      <c r="MGM57" s="0"/>
      <c r="MGN57" s="0"/>
      <c r="MGO57" s="0"/>
      <c r="MGP57" s="0"/>
      <c r="MGQ57" s="0"/>
      <c r="MGR57" s="0"/>
      <c r="MGS57" s="0"/>
      <c r="MGT57" s="0"/>
      <c r="MGU57" s="0"/>
      <c r="MGV57" s="0"/>
      <c r="MGW57" s="0"/>
      <c r="MGX57" s="0"/>
      <c r="MGY57" s="0"/>
      <c r="MGZ57" s="0"/>
      <c r="MHA57" s="0"/>
      <c r="MHB57" s="0"/>
      <c r="MHC57" s="0"/>
      <c r="MHD57" s="0"/>
      <c r="MHE57" s="0"/>
      <c r="MHF57" s="0"/>
      <c r="MHG57" s="0"/>
      <c r="MHH57" s="0"/>
      <c r="MHI57" s="0"/>
      <c r="MHJ57" s="0"/>
      <c r="MHK57" s="0"/>
      <c r="MHL57" s="0"/>
      <c r="MHM57" s="0"/>
      <c r="MHN57" s="0"/>
      <c r="MHO57" s="0"/>
      <c r="MHP57" s="0"/>
      <c r="MHQ57" s="0"/>
      <c r="MHR57" s="0"/>
      <c r="MHS57" s="0"/>
      <c r="MHT57" s="0"/>
      <c r="MHU57" s="0"/>
      <c r="MHV57" s="0"/>
      <c r="MHW57" s="0"/>
      <c r="MHX57" s="0"/>
      <c r="MHY57" s="0"/>
      <c r="MHZ57" s="0"/>
      <c r="MIA57" s="0"/>
      <c r="MIB57" s="0"/>
      <c r="MIC57" s="0"/>
      <c r="MID57" s="0"/>
      <c r="MIE57" s="0"/>
      <c r="MIF57" s="0"/>
      <c r="MIG57" s="0"/>
      <c r="MIH57" s="0"/>
      <c r="MII57" s="0"/>
      <c r="MIJ57" s="0"/>
      <c r="MIK57" s="0"/>
      <c r="MIL57" s="0"/>
      <c r="MIM57" s="0"/>
      <c r="MIN57" s="0"/>
      <c r="MIO57" s="0"/>
      <c r="MIP57" s="0"/>
      <c r="MIQ57" s="0"/>
      <c r="MIR57" s="0"/>
      <c r="MIS57" s="0"/>
      <c r="MIT57" s="0"/>
      <c r="MIU57" s="0"/>
      <c r="MIV57" s="0"/>
      <c r="MIW57" s="0"/>
      <c r="MIX57" s="0"/>
      <c r="MIY57" s="0"/>
      <c r="MIZ57" s="0"/>
      <c r="MJA57" s="0"/>
      <c r="MJB57" s="0"/>
      <c r="MJC57" s="0"/>
      <c r="MJD57" s="0"/>
      <c r="MJE57" s="0"/>
      <c r="MJF57" s="0"/>
      <c r="MJG57" s="0"/>
      <c r="MJH57" s="0"/>
      <c r="MJI57" s="0"/>
      <c r="MJJ57" s="0"/>
      <c r="MJK57" s="0"/>
      <c r="MJL57" s="0"/>
      <c r="MJM57" s="0"/>
      <c r="MJN57" s="0"/>
      <c r="MJO57" s="0"/>
      <c r="MJP57" s="0"/>
      <c r="MJQ57" s="0"/>
      <c r="MJR57" s="0"/>
      <c r="MJS57" s="0"/>
      <c r="MJT57" s="0"/>
      <c r="MJU57" s="0"/>
      <c r="MJV57" s="0"/>
      <c r="MJW57" s="0"/>
      <c r="MJX57" s="0"/>
      <c r="MJY57" s="0"/>
      <c r="MJZ57" s="0"/>
      <c r="MKA57" s="0"/>
      <c r="MKB57" s="0"/>
      <c r="MKC57" s="0"/>
      <c r="MKD57" s="0"/>
      <c r="MKE57" s="0"/>
      <c r="MKF57" s="0"/>
      <c r="MKG57" s="0"/>
      <c r="MKH57" s="0"/>
      <c r="MKI57" s="0"/>
      <c r="MKJ57" s="0"/>
      <c r="MKK57" s="0"/>
      <c r="MKL57" s="0"/>
      <c r="MKM57" s="0"/>
      <c r="MKN57" s="0"/>
      <c r="MKO57" s="0"/>
      <c r="MKP57" s="0"/>
      <c r="MKQ57" s="0"/>
      <c r="MKR57" s="0"/>
      <c r="MKS57" s="0"/>
      <c r="MKT57" s="0"/>
      <c r="MKU57" s="0"/>
      <c r="MKV57" s="0"/>
      <c r="MKW57" s="0"/>
      <c r="MKX57" s="0"/>
      <c r="MKY57" s="0"/>
      <c r="MKZ57" s="0"/>
      <c r="MLA57" s="0"/>
      <c r="MLB57" s="0"/>
      <c r="MLC57" s="0"/>
      <c r="MLD57" s="0"/>
      <c r="MLE57" s="0"/>
      <c r="MLF57" s="0"/>
      <c r="MLG57" s="0"/>
      <c r="MLH57" s="0"/>
      <c r="MLI57" s="0"/>
      <c r="MLJ57" s="0"/>
      <c r="MLK57" s="0"/>
      <c r="MLL57" s="0"/>
      <c r="MLM57" s="0"/>
      <c r="MLN57" s="0"/>
      <c r="MLO57" s="0"/>
      <c r="MLP57" s="0"/>
      <c r="MLQ57" s="0"/>
      <c r="MLR57" s="0"/>
      <c r="MLS57" s="0"/>
      <c r="MLT57" s="0"/>
      <c r="MLU57" s="0"/>
      <c r="MLV57" s="0"/>
      <c r="MLW57" s="0"/>
      <c r="MLX57" s="0"/>
      <c r="MLY57" s="0"/>
      <c r="MLZ57" s="0"/>
      <c r="MMA57" s="0"/>
      <c r="MMB57" s="0"/>
      <c r="MMC57" s="0"/>
      <c r="MMD57" s="0"/>
      <c r="MME57" s="0"/>
      <c r="MMF57" s="0"/>
      <c r="MMG57" s="0"/>
      <c r="MMH57" s="0"/>
      <c r="MMI57" s="0"/>
      <c r="MMJ57" s="0"/>
      <c r="MMK57" s="0"/>
      <c r="MML57" s="0"/>
      <c r="MMM57" s="0"/>
      <c r="MMN57" s="0"/>
      <c r="MMO57" s="0"/>
      <c r="MMP57" s="0"/>
      <c r="MMQ57" s="0"/>
      <c r="MMR57" s="0"/>
      <c r="MMS57" s="0"/>
      <c r="MMT57" s="0"/>
      <c r="MMU57" s="0"/>
      <c r="MMV57" s="0"/>
      <c r="MMW57" s="0"/>
      <c r="MMX57" s="0"/>
      <c r="MMY57" s="0"/>
      <c r="MMZ57" s="0"/>
      <c r="MNA57" s="0"/>
      <c r="MNB57" s="0"/>
      <c r="MNC57" s="0"/>
      <c r="MND57" s="0"/>
      <c r="MNE57" s="0"/>
      <c r="MNF57" s="0"/>
      <c r="MNG57" s="0"/>
      <c r="MNH57" s="0"/>
      <c r="MNI57" s="0"/>
      <c r="MNJ57" s="0"/>
      <c r="MNK57" s="0"/>
      <c r="MNL57" s="0"/>
      <c r="MNM57" s="0"/>
      <c r="MNN57" s="0"/>
      <c r="MNO57" s="0"/>
      <c r="MNP57" s="0"/>
      <c r="MNQ57" s="0"/>
      <c r="MNR57" s="0"/>
      <c r="MNS57" s="0"/>
      <c r="MNT57" s="0"/>
      <c r="MNU57" s="0"/>
      <c r="MNV57" s="0"/>
      <c r="MNW57" s="0"/>
      <c r="MNX57" s="0"/>
      <c r="MNY57" s="0"/>
      <c r="MNZ57" s="0"/>
      <c r="MOA57" s="0"/>
      <c r="MOB57" s="0"/>
      <c r="MOC57" s="0"/>
      <c r="MOD57" s="0"/>
      <c r="MOE57" s="0"/>
      <c r="MOF57" s="0"/>
      <c r="MOG57" s="0"/>
      <c r="MOH57" s="0"/>
      <c r="MOI57" s="0"/>
      <c r="MOJ57" s="0"/>
      <c r="MOK57" s="0"/>
      <c r="MOL57" s="0"/>
      <c r="MOM57" s="0"/>
      <c r="MON57" s="0"/>
      <c r="MOO57" s="0"/>
      <c r="MOP57" s="0"/>
      <c r="MOQ57" s="0"/>
      <c r="MOR57" s="0"/>
      <c r="MOS57" s="0"/>
      <c r="MOT57" s="0"/>
      <c r="MOU57" s="0"/>
      <c r="MOV57" s="0"/>
      <c r="MOW57" s="0"/>
      <c r="MOX57" s="0"/>
      <c r="MOY57" s="0"/>
      <c r="MOZ57" s="0"/>
      <c r="MPA57" s="0"/>
      <c r="MPB57" s="0"/>
      <c r="MPC57" s="0"/>
      <c r="MPD57" s="0"/>
      <c r="MPE57" s="0"/>
      <c r="MPF57" s="0"/>
      <c r="MPG57" s="0"/>
      <c r="MPH57" s="0"/>
      <c r="MPI57" s="0"/>
      <c r="MPJ57" s="0"/>
      <c r="MPK57" s="0"/>
      <c r="MPL57" s="0"/>
      <c r="MPM57" s="0"/>
      <c r="MPN57" s="0"/>
      <c r="MPO57" s="0"/>
      <c r="MPP57" s="0"/>
      <c r="MPQ57" s="0"/>
      <c r="MPR57" s="0"/>
      <c r="MPS57" s="0"/>
      <c r="MPT57" s="0"/>
      <c r="MPU57" s="0"/>
      <c r="MPV57" s="0"/>
      <c r="MPW57" s="0"/>
      <c r="MPX57" s="0"/>
      <c r="MPY57" s="0"/>
      <c r="MPZ57" s="0"/>
      <c r="MQA57" s="0"/>
      <c r="MQB57" s="0"/>
      <c r="MQC57" s="0"/>
      <c r="MQD57" s="0"/>
      <c r="MQE57" s="0"/>
      <c r="MQF57" s="0"/>
      <c r="MQG57" s="0"/>
      <c r="MQH57" s="0"/>
      <c r="MQI57" s="0"/>
      <c r="MQJ57" s="0"/>
      <c r="MQK57" s="0"/>
      <c r="MQL57" s="0"/>
      <c r="MQM57" s="0"/>
      <c r="MQN57" s="0"/>
      <c r="MQO57" s="0"/>
      <c r="MQP57" s="0"/>
      <c r="MQQ57" s="0"/>
      <c r="MQR57" s="0"/>
      <c r="MQS57" s="0"/>
      <c r="MQT57" s="0"/>
      <c r="MQU57" s="0"/>
      <c r="MQV57" s="0"/>
      <c r="MQW57" s="0"/>
      <c r="MQX57" s="0"/>
      <c r="MQY57" s="0"/>
      <c r="MQZ57" s="0"/>
      <c r="MRA57" s="0"/>
      <c r="MRB57" s="0"/>
      <c r="MRC57" s="0"/>
      <c r="MRD57" s="0"/>
      <c r="MRE57" s="0"/>
      <c r="MRF57" s="0"/>
      <c r="MRG57" s="0"/>
      <c r="MRH57" s="0"/>
      <c r="MRI57" s="0"/>
      <c r="MRJ57" s="0"/>
      <c r="MRK57" s="0"/>
      <c r="MRL57" s="0"/>
      <c r="MRM57" s="0"/>
      <c r="MRN57" s="0"/>
      <c r="MRO57" s="0"/>
      <c r="MRP57" s="0"/>
      <c r="MRQ57" s="0"/>
      <c r="MRR57" s="0"/>
      <c r="MRS57" s="0"/>
      <c r="MRT57" s="0"/>
      <c r="MRU57" s="0"/>
      <c r="MRV57" s="0"/>
      <c r="MRW57" s="0"/>
      <c r="MRX57" s="0"/>
      <c r="MRY57" s="0"/>
      <c r="MRZ57" s="0"/>
      <c r="MSA57" s="0"/>
      <c r="MSB57" s="0"/>
      <c r="MSC57" s="0"/>
      <c r="MSD57" s="0"/>
      <c r="MSE57" s="0"/>
      <c r="MSF57" s="0"/>
      <c r="MSG57" s="0"/>
      <c r="MSH57" s="0"/>
      <c r="MSI57" s="0"/>
      <c r="MSJ57" s="0"/>
      <c r="MSK57" s="0"/>
      <c r="MSL57" s="0"/>
      <c r="MSM57" s="0"/>
      <c r="MSN57" s="0"/>
      <c r="MSO57" s="0"/>
      <c r="MSP57" s="0"/>
      <c r="MSQ57" s="0"/>
      <c r="MSR57" s="0"/>
      <c r="MSS57" s="0"/>
      <c r="MST57" s="0"/>
      <c r="MSU57" s="0"/>
      <c r="MSV57" s="0"/>
      <c r="MSW57" s="0"/>
      <c r="MSX57" s="0"/>
      <c r="MSY57" s="0"/>
      <c r="MSZ57" s="0"/>
      <c r="MTA57" s="0"/>
      <c r="MTB57" s="0"/>
      <c r="MTC57" s="0"/>
      <c r="MTD57" s="0"/>
      <c r="MTE57" s="0"/>
      <c r="MTF57" s="0"/>
      <c r="MTG57" s="0"/>
      <c r="MTH57" s="0"/>
      <c r="MTI57" s="0"/>
      <c r="MTJ57" s="0"/>
      <c r="MTK57" s="0"/>
      <c r="MTL57" s="0"/>
      <c r="MTM57" s="0"/>
      <c r="MTN57" s="0"/>
      <c r="MTO57" s="0"/>
      <c r="MTP57" s="0"/>
      <c r="MTQ57" s="0"/>
      <c r="MTR57" s="0"/>
      <c r="MTS57" s="0"/>
      <c r="MTT57" s="0"/>
      <c r="MTU57" s="0"/>
      <c r="MTV57" s="0"/>
      <c r="MTW57" s="0"/>
      <c r="MTX57" s="0"/>
      <c r="MTY57" s="0"/>
      <c r="MTZ57" s="0"/>
      <c r="MUA57" s="0"/>
      <c r="MUB57" s="0"/>
      <c r="MUC57" s="0"/>
      <c r="MUD57" s="0"/>
      <c r="MUE57" s="0"/>
      <c r="MUF57" s="0"/>
      <c r="MUG57" s="0"/>
      <c r="MUH57" s="0"/>
      <c r="MUI57" s="0"/>
      <c r="MUJ57" s="0"/>
      <c r="MUK57" s="0"/>
      <c r="MUL57" s="0"/>
      <c r="MUM57" s="0"/>
      <c r="MUN57" s="0"/>
      <c r="MUO57" s="0"/>
      <c r="MUP57" s="0"/>
      <c r="MUQ57" s="0"/>
      <c r="MUR57" s="0"/>
      <c r="MUS57" s="0"/>
      <c r="MUT57" s="0"/>
      <c r="MUU57" s="0"/>
      <c r="MUV57" s="0"/>
      <c r="MUW57" s="0"/>
      <c r="MUX57" s="0"/>
      <c r="MUY57" s="0"/>
      <c r="MUZ57" s="0"/>
      <c r="MVA57" s="0"/>
      <c r="MVB57" s="0"/>
      <c r="MVC57" s="0"/>
      <c r="MVD57" s="0"/>
      <c r="MVE57" s="0"/>
      <c r="MVF57" s="0"/>
      <c r="MVG57" s="0"/>
      <c r="MVH57" s="0"/>
      <c r="MVI57" s="0"/>
      <c r="MVJ57" s="0"/>
      <c r="MVK57" s="0"/>
      <c r="MVL57" s="0"/>
      <c r="MVM57" s="0"/>
      <c r="MVN57" s="0"/>
      <c r="MVO57" s="0"/>
      <c r="MVP57" s="0"/>
      <c r="MVQ57" s="0"/>
      <c r="MVR57" s="0"/>
      <c r="MVS57" s="0"/>
      <c r="MVT57" s="0"/>
      <c r="MVU57" s="0"/>
      <c r="MVV57" s="0"/>
      <c r="MVW57" s="0"/>
      <c r="MVX57" s="0"/>
      <c r="MVY57" s="0"/>
      <c r="MVZ57" s="0"/>
      <c r="MWA57" s="0"/>
      <c r="MWB57" s="0"/>
      <c r="MWC57" s="0"/>
      <c r="MWD57" s="0"/>
      <c r="MWE57" s="0"/>
      <c r="MWF57" s="0"/>
      <c r="MWG57" s="0"/>
      <c r="MWH57" s="0"/>
      <c r="MWI57" s="0"/>
      <c r="MWJ57" s="0"/>
      <c r="MWK57" s="0"/>
      <c r="MWL57" s="0"/>
      <c r="MWM57" s="0"/>
      <c r="MWN57" s="0"/>
      <c r="MWO57" s="0"/>
      <c r="MWP57" s="0"/>
      <c r="MWQ57" s="0"/>
      <c r="MWR57" s="0"/>
      <c r="MWS57" s="0"/>
      <c r="MWT57" s="0"/>
      <c r="MWU57" s="0"/>
      <c r="MWV57" s="0"/>
      <c r="MWW57" s="0"/>
      <c r="MWX57" s="0"/>
      <c r="MWY57" s="0"/>
      <c r="MWZ57" s="0"/>
      <c r="MXA57" s="0"/>
      <c r="MXB57" s="0"/>
      <c r="MXC57" s="0"/>
      <c r="MXD57" s="0"/>
      <c r="MXE57" s="0"/>
      <c r="MXF57" s="0"/>
      <c r="MXG57" s="0"/>
      <c r="MXH57" s="0"/>
      <c r="MXI57" s="0"/>
      <c r="MXJ57" s="0"/>
      <c r="MXK57" s="0"/>
      <c r="MXL57" s="0"/>
      <c r="MXM57" s="0"/>
      <c r="MXN57" s="0"/>
      <c r="MXO57" s="0"/>
      <c r="MXP57" s="0"/>
      <c r="MXQ57" s="0"/>
      <c r="MXR57" s="0"/>
      <c r="MXS57" s="0"/>
      <c r="MXT57" s="0"/>
      <c r="MXU57" s="0"/>
      <c r="MXV57" s="0"/>
      <c r="MXW57" s="0"/>
      <c r="MXX57" s="0"/>
      <c r="MXY57" s="0"/>
      <c r="MXZ57" s="0"/>
      <c r="MYA57" s="0"/>
      <c r="MYB57" s="0"/>
      <c r="MYC57" s="0"/>
      <c r="MYD57" s="0"/>
      <c r="MYE57" s="0"/>
      <c r="MYF57" s="0"/>
      <c r="MYG57" s="0"/>
      <c r="MYH57" s="0"/>
      <c r="MYI57" s="0"/>
      <c r="MYJ57" s="0"/>
      <c r="MYK57" s="0"/>
      <c r="MYL57" s="0"/>
      <c r="MYM57" s="0"/>
      <c r="MYN57" s="0"/>
      <c r="MYO57" s="0"/>
      <c r="MYP57" s="0"/>
      <c r="MYQ57" s="0"/>
      <c r="MYR57" s="0"/>
      <c r="MYS57" s="0"/>
      <c r="MYT57" s="0"/>
      <c r="MYU57" s="0"/>
      <c r="MYV57" s="0"/>
      <c r="MYW57" s="0"/>
      <c r="MYX57" s="0"/>
      <c r="MYY57" s="0"/>
      <c r="MYZ57" s="0"/>
      <c r="MZA57" s="0"/>
      <c r="MZB57" s="0"/>
      <c r="MZC57" s="0"/>
      <c r="MZD57" s="0"/>
      <c r="MZE57" s="0"/>
      <c r="MZF57" s="0"/>
      <c r="MZG57" s="0"/>
      <c r="MZH57" s="0"/>
      <c r="MZI57" s="0"/>
      <c r="MZJ57" s="0"/>
      <c r="MZK57" s="0"/>
      <c r="MZL57" s="0"/>
      <c r="MZM57" s="0"/>
      <c r="MZN57" s="0"/>
      <c r="MZO57" s="0"/>
      <c r="MZP57" s="0"/>
      <c r="MZQ57" s="0"/>
      <c r="MZR57" s="0"/>
      <c r="MZS57" s="0"/>
      <c r="MZT57" s="0"/>
      <c r="MZU57" s="0"/>
      <c r="MZV57" s="0"/>
      <c r="MZW57" s="0"/>
      <c r="MZX57" s="0"/>
      <c r="MZY57" s="0"/>
      <c r="MZZ57" s="0"/>
      <c r="NAA57" s="0"/>
      <c r="NAB57" s="0"/>
      <c r="NAC57" s="0"/>
      <c r="NAD57" s="0"/>
      <c r="NAE57" s="0"/>
      <c r="NAF57" s="0"/>
      <c r="NAG57" s="0"/>
      <c r="NAH57" s="0"/>
      <c r="NAI57" s="0"/>
      <c r="NAJ57" s="0"/>
      <c r="NAK57" s="0"/>
      <c r="NAL57" s="0"/>
      <c r="NAM57" s="0"/>
      <c r="NAN57" s="0"/>
      <c r="NAO57" s="0"/>
      <c r="NAP57" s="0"/>
      <c r="NAQ57" s="0"/>
      <c r="NAR57" s="0"/>
      <c r="NAS57" s="0"/>
      <c r="NAT57" s="0"/>
      <c r="NAU57" s="0"/>
      <c r="NAV57" s="0"/>
      <c r="NAW57" s="0"/>
      <c r="NAX57" s="0"/>
      <c r="NAY57" s="0"/>
      <c r="NAZ57" s="0"/>
      <c r="NBA57" s="0"/>
      <c r="NBB57" s="0"/>
      <c r="NBC57" s="0"/>
      <c r="NBD57" s="0"/>
      <c r="NBE57" s="0"/>
      <c r="NBF57" s="0"/>
      <c r="NBG57" s="0"/>
      <c r="NBH57" s="0"/>
      <c r="NBI57" s="0"/>
      <c r="NBJ57" s="0"/>
      <c r="NBK57" s="0"/>
      <c r="NBL57" s="0"/>
      <c r="NBM57" s="0"/>
      <c r="NBN57" s="0"/>
      <c r="NBO57" s="0"/>
      <c r="NBP57" s="0"/>
      <c r="NBQ57" s="0"/>
      <c r="NBR57" s="0"/>
      <c r="NBS57" s="0"/>
      <c r="NBT57" s="0"/>
      <c r="NBU57" s="0"/>
      <c r="NBV57" s="0"/>
      <c r="NBW57" s="0"/>
      <c r="NBX57" s="0"/>
      <c r="NBY57" s="0"/>
      <c r="NBZ57" s="0"/>
      <c r="NCA57" s="0"/>
      <c r="NCB57" s="0"/>
      <c r="NCC57" s="0"/>
      <c r="NCD57" s="0"/>
      <c r="NCE57" s="0"/>
      <c r="NCF57" s="0"/>
      <c r="NCG57" s="0"/>
      <c r="NCH57" s="0"/>
      <c r="NCI57" s="0"/>
      <c r="NCJ57" s="0"/>
      <c r="NCK57" s="0"/>
      <c r="NCL57" s="0"/>
      <c r="NCM57" s="0"/>
      <c r="NCN57" s="0"/>
      <c r="NCO57" s="0"/>
      <c r="NCP57" s="0"/>
      <c r="NCQ57" s="0"/>
      <c r="NCR57" s="0"/>
      <c r="NCS57" s="0"/>
      <c r="NCT57" s="0"/>
      <c r="NCU57" s="0"/>
      <c r="NCV57" s="0"/>
      <c r="NCW57" s="0"/>
      <c r="NCX57" s="0"/>
      <c r="NCY57" s="0"/>
      <c r="NCZ57" s="0"/>
      <c r="NDA57" s="0"/>
      <c r="NDB57" s="0"/>
      <c r="NDC57" s="0"/>
      <c r="NDD57" s="0"/>
      <c r="NDE57" s="0"/>
      <c r="NDF57" s="0"/>
      <c r="NDG57" s="0"/>
      <c r="NDH57" s="0"/>
      <c r="NDI57" s="0"/>
      <c r="NDJ57" s="0"/>
      <c r="NDK57" s="0"/>
      <c r="NDL57" s="0"/>
      <c r="NDM57" s="0"/>
      <c r="NDN57" s="0"/>
      <c r="NDO57" s="0"/>
      <c r="NDP57" s="0"/>
      <c r="NDQ57" s="0"/>
      <c r="NDR57" s="0"/>
      <c r="NDS57" s="0"/>
      <c r="NDT57" s="0"/>
      <c r="NDU57" s="0"/>
      <c r="NDV57" s="0"/>
      <c r="NDW57" s="0"/>
      <c r="NDX57" s="0"/>
      <c r="NDY57" s="0"/>
      <c r="NDZ57" s="0"/>
      <c r="NEA57" s="0"/>
      <c r="NEB57" s="0"/>
      <c r="NEC57" s="0"/>
      <c r="NED57" s="0"/>
      <c r="NEE57" s="0"/>
      <c r="NEF57" s="0"/>
      <c r="NEG57" s="0"/>
      <c r="NEH57" s="0"/>
      <c r="NEI57" s="0"/>
      <c r="NEJ57" s="0"/>
      <c r="NEK57" s="0"/>
      <c r="NEL57" s="0"/>
      <c r="NEM57" s="0"/>
      <c r="NEN57" s="0"/>
      <c r="NEO57" s="0"/>
      <c r="NEP57" s="0"/>
      <c r="NEQ57" s="0"/>
      <c r="NER57" s="0"/>
      <c r="NES57" s="0"/>
      <c r="NET57" s="0"/>
      <c r="NEU57" s="0"/>
      <c r="NEV57" s="0"/>
      <c r="NEW57" s="0"/>
      <c r="NEX57" s="0"/>
      <c r="NEY57" s="0"/>
      <c r="NEZ57" s="0"/>
      <c r="NFA57" s="0"/>
      <c r="NFB57" s="0"/>
      <c r="NFC57" s="0"/>
      <c r="NFD57" s="0"/>
      <c r="NFE57" s="0"/>
      <c r="NFF57" s="0"/>
      <c r="NFG57" s="0"/>
      <c r="NFH57" s="0"/>
      <c r="NFI57" s="0"/>
      <c r="NFJ57" s="0"/>
      <c r="NFK57" s="0"/>
      <c r="NFL57" s="0"/>
      <c r="NFM57" s="0"/>
      <c r="NFN57" s="0"/>
      <c r="NFO57" s="0"/>
      <c r="NFP57" s="0"/>
      <c r="NFQ57" s="0"/>
      <c r="NFR57" s="0"/>
      <c r="NFS57" s="0"/>
      <c r="NFT57" s="0"/>
      <c r="NFU57" s="0"/>
      <c r="NFV57" s="0"/>
      <c r="NFW57" s="0"/>
      <c r="NFX57" s="0"/>
      <c r="NFY57" s="0"/>
      <c r="NFZ57" s="0"/>
      <c r="NGA57" s="0"/>
      <c r="NGB57" s="0"/>
      <c r="NGC57" s="0"/>
      <c r="NGD57" s="0"/>
      <c r="NGE57" s="0"/>
      <c r="NGF57" s="0"/>
      <c r="NGG57" s="0"/>
      <c r="NGH57" s="0"/>
      <c r="NGI57" s="0"/>
      <c r="NGJ57" s="0"/>
      <c r="NGK57" s="0"/>
      <c r="NGL57" s="0"/>
      <c r="NGM57" s="0"/>
      <c r="NGN57" s="0"/>
      <c r="NGO57" s="0"/>
      <c r="NGP57" s="0"/>
      <c r="NGQ57" s="0"/>
      <c r="NGR57" s="0"/>
      <c r="NGS57" s="0"/>
      <c r="NGT57" s="0"/>
      <c r="NGU57" s="0"/>
      <c r="NGV57" s="0"/>
      <c r="NGW57" s="0"/>
      <c r="NGX57" s="0"/>
      <c r="NGY57" s="0"/>
      <c r="NGZ57" s="0"/>
      <c r="NHA57" s="0"/>
      <c r="NHB57" s="0"/>
      <c r="NHC57" s="0"/>
      <c r="NHD57" s="0"/>
      <c r="NHE57" s="0"/>
      <c r="NHF57" s="0"/>
      <c r="NHG57" s="0"/>
      <c r="NHH57" s="0"/>
      <c r="NHI57" s="0"/>
      <c r="NHJ57" s="0"/>
      <c r="NHK57" s="0"/>
      <c r="NHL57" s="0"/>
      <c r="NHM57" s="0"/>
      <c r="NHN57" s="0"/>
      <c r="NHO57" s="0"/>
      <c r="NHP57" s="0"/>
      <c r="NHQ57" s="0"/>
      <c r="NHR57" s="0"/>
      <c r="NHS57" s="0"/>
      <c r="NHT57" s="0"/>
      <c r="NHU57" s="0"/>
      <c r="NHV57" s="0"/>
      <c r="NHW57" s="0"/>
      <c r="NHX57" s="0"/>
      <c r="NHY57" s="0"/>
      <c r="NHZ57" s="0"/>
      <c r="NIA57" s="0"/>
      <c r="NIB57" s="0"/>
      <c r="NIC57" s="0"/>
      <c r="NID57" s="0"/>
      <c r="NIE57" s="0"/>
      <c r="NIF57" s="0"/>
      <c r="NIG57" s="0"/>
      <c r="NIH57" s="0"/>
      <c r="NII57" s="0"/>
      <c r="NIJ57" s="0"/>
      <c r="NIK57" s="0"/>
      <c r="NIL57" s="0"/>
      <c r="NIM57" s="0"/>
      <c r="NIN57" s="0"/>
      <c r="NIO57" s="0"/>
      <c r="NIP57" s="0"/>
      <c r="NIQ57" s="0"/>
      <c r="NIR57" s="0"/>
      <c r="NIS57" s="0"/>
      <c r="NIT57" s="0"/>
      <c r="NIU57" s="0"/>
      <c r="NIV57" s="0"/>
      <c r="NIW57" s="0"/>
      <c r="NIX57" s="0"/>
      <c r="NIY57" s="0"/>
      <c r="NIZ57" s="0"/>
      <c r="NJA57" s="0"/>
      <c r="NJB57" s="0"/>
      <c r="NJC57" s="0"/>
      <c r="NJD57" s="0"/>
      <c r="NJE57" s="0"/>
      <c r="NJF57" s="0"/>
      <c r="NJG57" s="0"/>
      <c r="NJH57" s="0"/>
      <c r="NJI57" s="0"/>
      <c r="NJJ57" s="0"/>
      <c r="NJK57" s="0"/>
      <c r="NJL57" s="0"/>
      <c r="NJM57" s="0"/>
      <c r="NJN57" s="0"/>
      <c r="NJO57" s="0"/>
      <c r="NJP57" s="0"/>
      <c r="NJQ57" s="0"/>
      <c r="NJR57" s="0"/>
      <c r="NJS57" s="0"/>
      <c r="NJT57" s="0"/>
      <c r="NJU57" s="0"/>
      <c r="NJV57" s="0"/>
      <c r="NJW57" s="0"/>
      <c r="NJX57" s="0"/>
      <c r="NJY57" s="0"/>
      <c r="NJZ57" s="0"/>
      <c r="NKA57" s="0"/>
      <c r="NKB57" s="0"/>
      <c r="NKC57" s="0"/>
      <c r="NKD57" s="0"/>
      <c r="NKE57" s="0"/>
      <c r="NKF57" s="0"/>
      <c r="NKG57" s="0"/>
      <c r="NKH57" s="0"/>
      <c r="NKI57" s="0"/>
      <c r="NKJ57" s="0"/>
      <c r="NKK57" s="0"/>
      <c r="NKL57" s="0"/>
      <c r="NKM57" s="0"/>
      <c r="NKN57" s="0"/>
      <c r="NKO57" s="0"/>
      <c r="NKP57" s="0"/>
      <c r="NKQ57" s="0"/>
      <c r="NKR57" s="0"/>
      <c r="NKS57" s="0"/>
      <c r="NKT57" s="0"/>
      <c r="NKU57" s="0"/>
      <c r="NKV57" s="0"/>
      <c r="NKW57" s="0"/>
      <c r="NKX57" s="0"/>
      <c r="NKY57" s="0"/>
      <c r="NKZ57" s="0"/>
      <c r="NLA57" s="0"/>
      <c r="NLB57" s="0"/>
      <c r="NLC57" s="0"/>
      <c r="NLD57" s="0"/>
      <c r="NLE57" s="0"/>
      <c r="NLF57" s="0"/>
      <c r="NLG57" s="0"/>
      <c r="NLH57" s="0"/>
      <c r="NLI57" s="0"/>
      <c r="NLJ57" s="0"/>
      <c r="NLK57" s="0"/>
      <c r="NLL57" s="0"/>
      <c r="NLM57" s="0"/>
      <c r="NLN57" s="0"/>
      <c r="NLO57" s="0"/>
      <c r="NLP57" s="0"/>
      <c r="NLQ57" s="0"/>
      <c r="NLR57" s="0"/>
      <c r="NLS57" s="0"/>
      <c r="NLT57" s="0"/>
      <c r="NLU57" s="0"/>
      <c r="NLV57" s="0"/>
      <c r="NLW57" s="0"/>
      <c r="NLX57" s="0"/>
      <c r="NLY57" s="0"/>
      <c r="NLZ57" s="0"/>
      <c r="NMA57" s="0"/>
      <c r="NMB57" s="0"/>
      <c r="NMC57" s="0"/>
      <c r="NMD57" s="0"/>
      <c r="NME57" s="0"/>
      <c r="NMF57" s="0"/>
      <c r="NMG57" s="0"/>
      <c r="NMH57" s="0"/>
      <c r="NMI57" s="0"/>
      <c r="NMJ57" s="0"/>
      <c r="NMK57" s="0"/>
      <c r="NML57" s="0"/>
      <c r="NMM57" s="0"/>
      <c r="NMN57" s="0"/>
      <c r="NMO57" s="0"/>
      <c r="NMP57" s="0"/>
      <c r="NMQ57" s="0"/>
      <c r="NMR57" s="0"/>
      <c r="NMS57" s="0"/>
      <c r="NMT57" s="0"/>
      <c r="NMU57" s="0"/>
      <c r="NMV57" s="0"/>
      <c r="NMW57" s="0"/>
      <c r="NMX57" s="0"/>
      <c r="NMY57" s="0"/>
      <c r="NMZ57" s="0"/>
      <c r="NNA57" s="0"/>
      <c r="NNB57" s="0"/>
      <c r="NNC57" s="0"/>
      <c r="NND57" s="0"/>
      <c r="NNE57" s="0"/>
      <c r="NNF57" s="0"/>
      <c r="NNG57" s="0"/>
      <c r="NNH57" s="0"/>
      <c r="NNI57" s="0"/>
      <c r="NNJ57" s="0"/>
      <c r="NNK57" s="0"/>
      <c r="NNL57" s="0"/>
      <c r="NNM57" s="0"/>
      <c r="NNN57" s="0"/>
      <c r="NNO57" s="0"/>
      <c r="NNP57" s="0"/>
      <c r="NNQ57" s="0"/>
      <c r="NNR57" s="0"/>
      <c r="NNS57" s="0"/>
      <c r="NNT57" s="0"/>
      <c r="NNU57" s="0"/>
      <c r="NNV57" s="0"/>
      <c r="NNW57" s="0"/>
      <c r="NNX57" s="0"/>
      <c r="NNY57" s="0"/>
      <c r="NNZ57" s="0"/>
      <c r="NOA57" s="0"/>
      <c r="NOB57" s="0"/>
      <c r="NOC57" s="0"/>
      <c r="NOD57" s="0"/>
      <c r="NOE57" s="0"/>
      <c r="NOF57" s="0"/>
      <c r="NOG57" s="0"/>
      <c r="NOH57" s="0"/>
      <c r="NOI57" s="0"/>
      <c r="NOJ57" s="0"/>
      <c r="NOK57" s="0"/>
      <c r="NOL57" s="0"/>
      <c r="NOM57" s="0"/>
      <c r="NON57" s="0"/>
      <c r="NOO57" s="0"/>
      <c r="NOP57" s="0"/>
      <c r="NOQ57" s="0"/>
      <c r="NOR57" s="0"/>
      <c r="NOS57" s="0"/>
      <c r="NOT57" s="0"/>
      <c r="NOU57" s="0"/>
      <c r="NOV57" s="0"/>
      <c r="NOW57" s="0"/>
      <c r="NOX57" s="0"/>
      <c r="NOY57" s="0"/>
      <c r="NOZ57" s="0"/>
      <c r="NPA57" s="0"/>
      <c r="NPB57" s="0"/>
      <c r="NPC57" s="0"/>
      <c r="NPD57" s="0"/>
      <c r="NPE57" s="0"/>
      <c r="NPF57" s="0"/>
      <c r="NPG57" s="0"/>
      <c r="NPH57" s="0"/>
      <c r="NPI57" s="0"/>
      <c r="NPJ57" s="0"/>
      <c r="NPK57" s="0"/>
      <c r="NPL57" s="0"/>
      <c r="NPM57" s="0"/>
      <c r="NPN57" s="0"/>
      <c r="NPO57" s="0"/>
      <c r="NPP57" s="0"/>
      <c r="NPQ57" s="0"/>
      <c r="NPR57" s="0"/>
      <c r="NPS57" s="0"/>
      <c r="NPT57" s="0"/>
      <c r="NPU57" s="0"/>
      <c r="NPV57" s="0"/>
      <c r="NPW57" s="0"/>
      <c r="NPX57" s="0"/>
      <c r="NPY57" s="0"/>
      <c r="NPZ57" s="0"/>
      <c r="NQA57" s="0"/>
      <c r="NQB57" s="0"/>
      <c r="NQC57" s="0"/>
      <c r="NQD57" s="0"/>
      <c r="NQE57" s="0"/>
      <c r="NQF57" s="0"/>
      <c r="NQG57" s="0"/>
      <c r="NQH57" s="0"/>
      <c r="NQI57" s="0"/>
      <c r="NQJ57" s="0"/>
      <c r="NQK57" s="0"/>
      <c r="NQL57" s="0"/>
      <c r="NQM57" s="0"/>
      <c r="NQN57" s="0"/>
      <c r="NQO57" s="0"/>
      <c r="NQP57" s="0"/>
      <c r="NQQ57" s="0"/>
      <c r="NQR57" s="0"/>
      <c r="NQS57" s="0"/>
      <c r="NQT57" s="0"/>
      <c r="NQU57" s="0"/>
      <c r="NQV57" s="0"/>
      <c r="NQW57" s="0"/>
      <c r="NQX57" s="0"/>
      <c r="NQY57" s="0"/>
      <c r="NQZ57" s="0"/>
      <c r="NRA57" s="0"/>
      <c r="NRB57" s="0"/>
      <c r="NRC57" s="0"/>
      <c r="NRD57" s="0"/>
      <c r="NRE57" s="0"/>
      <c r="NRF57" s="0"/>
      <c r="NRG57" s="0"/>
      <c r="NRH57" s="0"/>
      <c r="NRI57" s="0"/>
      <c r="NRJ57" s="0"/>
      <c r="NRK57" s="0"/>
      <c r="NRL57" s="0"/>
      <c r="NRM57" s="0"/>
      <c r="NRN57" s="0"/>
      <c r="NRO57" s="0"/>
      <c r="NRP57" s="0"/>
      <c r="NRQ57" s="0"/>
      <c r="NRR57" s="0"/>
      <c r="NRS57" s="0"/>
      <c r="NRT57" s="0"/>
      <c r="NRU57" s="0"/>
      <c r="NRV57" s="0"/>
      <c r="NRW57" s="0"/>
      <c r="NRX57" s="0"/>
      <c r="NRY57" s="0"/>
      <c r="NRZ57" s="0"/>
      <c r="NSA57" s="0"/>
      <c r="NSB57" s="0"/>
      <c r="NSC57" s="0"/>
      <c r="NSD57" s="0"/>
      <c r="NSE57" s="0"/>
      <c r="NSF57" s="0"/>
      <c r="NSG57" s="0"/>
      <c r="NSH57" s="0"/>
      <c r="NSI57" s="0"/>
      <c r="NSJ57" s="0"/>
      <c r="NSK57" s="0"/>
      <c r="NSL57" s="0"/>
      <c r="NSM57" s="0"/>
      <c r="NSN57" s="0"/>
      <c r="NSO57" s="0"/>
      <c r="NSP57" s="0"/>
      <c r="NSQ57" s="0"/>
      <c r="NSR57" s="0"/>
      <c r="NSS57" s="0"/>
      <c r="NST57" s="0"/>
      <c r="NSU57" s="0"/>
      <c r="NSV57" s="0"/>
      <c r="NSW57" s="0"/>
      <c r="NSX57" s="0"/>
      <c r="NSY57" s="0"/>
      <c r="NSZ57" s="0"/>
      <c r="NTA57" s="0"/>
      <c r="NTB57" s="0"/>
      <c r="NTC57" s="0"/>
      <c r="NTD57" s="0"/>
      <c r="NTE57" s="0"/>
      <c r="NTF57" s="0"/>
      <c r="NTG57" s="0"/>
      <c r="NTH57" s="0"/>
      <c r="NTI57" s="0"/>
      <c r="NTJ57" s="0"/>
      <c r="NTK57" s="0"/>
      <c r="NTL57" s="0"/>
      <c r="NTM57" s="0"/>
      <c r="NTN57" s="0"/>
      <c r="NTO57" s="0"/>
      <c r="NTP57" s="0"/>
      <c r="NTQ57" s="0"/>
      <c r="NTR57" s="0"/>
      <c r="NTS57" s="0"/>
      <c r="NTT57" s="0"/>
      <c r="NTU57" s="0"/>
      <c r="NTV57" s="0"/>
      <c r="NTW57" s="0"/>
      <c r="NTX57" s="0"/>
      <c r="NTY57" s="0"/>
      <c r="NTZ57" s="0"/>
      <c r="NUA57" s="0"/>
      <c r="NUB57" s="0"/>
      <c r="NUC57" s="0"/>
      <c r="NUD57" s="0"/>
      <c r="NUE57" s="0"/>
      <c r="NUF57" s="0"/>
      <c r="NUG57" s="0"/>
      <c r="NUH57" s="0"/>
      <c r="NUI57" s="0"/>
      <c r="NUJ57" s="0"/>
      <c r="NUK57" s="0"/>
      <c r="NUL57" s="0"/>
      <c r="NUM57" s="0"/>
      <c r="NUN57" s="0"/>
      <c r="NUO57" s="0"/>
      <c r="NUP57" s="0"/>
      <c r="NUQ57" s="0"/>
      <c r="NUR57" s="0"/>
      <c r="NUS57" s="0"/>
      <c r="NUT57" s="0"/>
      <c r="NUU57" s="0"/>
      <c r="NUV57" s="0"/>
      <c r="NUW57" s="0"/>
      <c r="NUX57" s="0"/>
      <c r="NUY57" s="0"/>
      <c r="NUZ57" s="0"/>
      <c r="NVA57" s="0"/>
      <c r="NVB57" s="0"/>
      <c r="NVC57" s="0"/>
      <c r="NVD57" s="0"/>
      <c r="NVE57" s="0"/>
      <c r="NVF57" s="0"/>
      <c r="NVG57" s="0"/>
      <c r="NVH57" s="0"/>
      <c r="NVI57" s="0"/>
      <c r="NVJ57" s="0"/>
      <c r="NVK57" s="0"/>
      <c r="NVL57" s="0"/>
      <c r="NVM57" s="0"/>
      <c r="NVN57" s="0"/>
      <c r="NVO57" s="0"/>
      <c r="NVP57" s="0"/>
      <c r="NVQ57" s="0"/>
      <c r="NVR57" s="0"/>
      <c r="NVS57" s="0"/>
      <c r="NVT57" s="0"/>
      <c r="NVU57" s="0"/>
      <c r="NVV57" s="0"/>
      <c r="NVW57" s="0"/>
      <c r="NVX57" s="0"/>
      <c r="NVY57" s="0"/>
      <c r="NVZ57" s="0"/>
      <c r="NWA57" s="0"/>
      <c r="NWB57" s="0"/>
      <c r="NWC57" s="0"/>
      <c r="NWD57" s="0"/>
      <c r="NWE57" s="0"/>
      <c r="NWF57" s="0"/>
      <c r="NWG57" s="0"/>
      <c r="NWH57" s="0"/>
      <c r="NWI57" s="0"/>
      <c r="NWJ57" s="0"/>
      <c r="NWK57" s="0"/>
      <c r="NWL57" s="0"/>
      <c r="NWM57" s="0"/>
      <c r="NWN57" s="0"/>
      <c r="NWO57" s="0"/>
      <c r="NWP57" s="0"/>
      <c r="NWQ57" s="0"/>
      <c r="NWR57" s="0"/>
      <c r="NWS57" s="0"/>
      <c r="NWT57" s="0"/>
      <c r="NWU57" s="0"/>
      <c r="NWV57" s="0"/>
      <c r="NWW57" s="0"/>
      <c r="NWX57" s="0"/>
      <c r="NWY57" s="0"/>
      <c r="NWZ57" s="0"/>
      <c r="NXA57" s="0"/>
      <c r="NXB57" s="0"/>
      <c r="NXC57" s="0"/>
      <c r="NXD57" s="0"/>
      <c r="NXE57" s="0"/>
      <c r="NXF57" s="0"/>
      <c r="NXG57" s="0"/>
      <c r="NXH57" s="0"/>
      <c r="NXI57" s="0"/>
      <c r="NXJ57" s="0"/>
      <c r="NXK57" s="0"/>
      <c r="NXL57" s="0"/>
      <c r="NXM57" s="0"/>
      <c r="NXN57" s="0"/>
      <c r="NXO57" s="0"/>
      <c r="NXP57" s="0"/>
      <c r="NXQ57" s="0"/>
      <c r="NXR57" s="0"/>
      <c r="NXS57" s="0"/>
      <c r="NXT57" s="0"/>
      <c r="NXU57" s="0"/>
      <c r="NXV57" s="0"/>
      <c r="NXW57" s="0"/>
      <c r="NXX57" s="0"/>
      <c r="NXY57" s="0"/>
      <c r="NXZ57" s="0"/>
      <c r="NYA57" s="0"/>
      <c r="NYB57" s="0"/>
      <c r="NYC57" s="0"/>
      <c r="NYD57" s="0"/>
      <c r="NYE57" s="0"/>
      <c r="NYF57" s="0"/>
      <c r="NYG57" s="0"/>
      <c r="NYH57" s="0"/>
      <c r="NYI57" s="0"/>
      <c r="NYJ57" s="0"/>
      <c r="NYK57" s="0"/>
      <c r="NYL57" s="0"/>
      <c r="NYM57" s="0"/>
      <c r="NYN57" s="0"/>
      <c r="NYO57" s="0"/>
      <c r="NYP57" s="0"/>
      <c r="NYQ57" s="0"/>
      <c r="NYR57" s="0"/>
      <c r="NYS57" s="0"/>
      <c r="NYT57" s="0"/>
      <c r="NYU57" s="0"/>
      <c r="NYV57" s="0"/>
      <c r="NYW57" s="0"/>
      <c r="NYX57" s="0"/>
      <c r="NYY57" s="0"/>
      <c r="NYZ57" s="0"/>
      <c r="NZA57" s="0"/>
      <c r="NZB57" s="0"/>
      <c r="NZC57" s="0"/>
      <c r="NZD57" s="0"/>
      <c r="NZE57" s="0"/>
      <c r="NZF57" s="0"/>
      <c r="NZG57" s="0"/>
      <c r="NZH57" s="0"/>
      <c r="NZI57" s="0"/>
      <c r="NZJ57" s="0"/>
      <c r="NZK57" s="0"/>
      <c r="NZL57" s="0"/>
      <c r="NZM57" s="0"/>
      <c r="NZN57" s="0"/>
      <c r="NZO57" s="0"/>
      <c r="NZP57" s="0"/>
      <c r="NZQ57" s="0"/>
      <c r="NZR57" s="0"/>
      <c r="NZS57" s="0"/>
      <c r="NZT57" s="0"/>
      <c r="NZU57" s="0"/>
      <c r="NZV57" s="0"/>
      <c r="NZW57" s="0"/>
      <c r="NZX57" s="0"/>
      <c r="NZY57" s="0"/>
      <c r="NZZ57" s="0"/>
      <c r="OAA57" s="0"/>
      <c r="OAB57" s="0"/>
      <c r="OAC57" s="0"/>
      <c r="OAD57" s="0"/>
      <c r="OAE57" s="0"/>
      <c r="OAF57" s="0"/>
      <c r="OAG57" s="0"/>
      <c r="OAH57" s="0"/>
      <c r="OAI57" s="0"/>
      <c r="OAJ57" s="0"/>
      <c r="OAK57" s="0"/>
      <c r="OAL57" s="0"/>
      <c r="OAM57" s="0"/>
      <c r="OAN57" s="0"/>
      <c r="OAO57" s="0"/>
      <c r="OAP57" s="0"/>
      <c r="OAQ57" s="0"/>
      <c r="OAR57" s="0"/>
      <c r="OAS57" s="0"/>
      <c r="OAT57" s="0"/>
      <c r="OAU57" s="0"/>
      <c r="OAV57" s="0"/>
      <c r="OAW57" s="0"/>
      <c r="OAX57" s="0"/>
      <c r="OAY57" s="0"/>
      <c r="OAZ57" s="0"/>
      <c r="OBA57" s="0"/>
      <c r="OBB57" s="0"/>
      <c r="OBC57" s="0"/>
      <c r="OBD57" s="0"/>
      <c r="OBE57" s="0"/>
      <c r="OBF57" s="0"/>
      <c r="OBG57" s="0"/>
      <c r="OBH57" s="0"/>
      <c r="OBI57" s="0"/>
      <c r="OBJ57" s="0"/>
      <c r="OBK57" s="0"/>
      <c r="OBL57" s="0"/>
      <c r="OBM57" s="0"/>
      <c r="OBN57" s="0"/>
      <c r="OBO57" s="0"/>
      <c r="OBP57" s="0"/>
      <c r="OBQ57" s="0"/>
      <c r="OBR57" s="0"/>
      <c r="OBS57" s="0"/>
      <c r="OBT57" s="0"/>
      <c r="OBU57" s="0"/>
      <c r="OBV57" s="0"/>
      <c r="OBW57" s="0"/>
      <c r="OBX57" s="0"/>
      <c r="OBY57" s="0"/>
      <c r="OBZ57" s="0"/>
      <c r="OCA57" s="0"/>
      <c r="OCB57" s="0"/>
      <c r="OCC57" s="0"/>
      <c r="OCD57" s="0"/>
      <c r="OCE57" s="0"/>
      <c r="OCF57" s="0"/>
      <c r="OCG57" s="0"/>
      <c r="OCH57" s="0"/>
      <c r="OCI57" s="0"/>
      <c r="OCJ57" s="0"/>
      <c r="OCK57" s="0"/>
      <c r="OCL57" s="0"/>
      <c r="OCM57" s="0"/>
      <c r="OCN57" s="0"/>
      <c r="OCO57" s="0"/>
      <c r="OCP57" s="0"/>
      <c r="OCQ57" s="0"/>
      <c r="OCR57" s="0"/>
      <c r="OCS57" s="0"/>
      <c r="OCT57" s="0"/>
      <c r="OCU57" s="0"/>
      <c r="OCV57" s="0"/>
      <c r="OCW57" s="0"/>
      <c r="OCX57" s="0"/>
      <c r="OCY57" s="0"/>
      <c r="OCZ57" s="0"/>
      <c r="ODA57" s="0"/>
      <c r="ODB57" s="0"/>
      <c r="ODC57" s="0"/>
      <c r="ODD57" s="0"/>
      <c r="ODE57" s="0"/>
      <c r="ODF57" s="0"/>
      <c r="ODG57" s="0"/>
      <c r="ODH57" s="0"/>
      <c r="ODI57" s="0"/>
      <c r="ODJ57" s="0"/>
      <c r="ODK57" s="0"/>
      <c r="ODL57" s="0"/>
      <c r="ODM57" s="0"/>
      <c r="ODN57" s="0"/>
      <c r="ODO57" s="0"/>
      <c r="ODP57" s="0"/>
      <c r="ODQ57" s="0"/>
      <c r="ODR57" s="0"/>
      <c r="ODS57" s="0"/>
      <c r="ODT57" s="0"/>
      <c r="ODU57" s="0"/>
      <c r="ODV57" s="0"/>
      <c r="ODW57" s="0"/>
      <c r="ODX57" s="0"/>
      <c r="ODY57" s="0"/>
      <c r="ODZ57" s="0"/>
      <c r="OEA57" s="0"/>
      <c r="OEB57" s="0"/>
      <c r="OEC57" s="0"/>
      <c r="OED57" s="0"/>
      <c r="OEE57" s="0"/>
      <c r="OEF57" s="0"/>
      <c r="OEG57" s="0"/>
      <c r="OEH57" s="0"/>
      <c r="OEI57" s="0"/>
      <c r="OEJ57" s="0"/>
      <c r="OEK57" s="0"/>
      <c r="OEL57" s="0"/>
      <c r="OEM57" s="0"/>
      <c r="OEN57" s="0"/>
      <c r="OEO57" s="0"/>
      <c r="OEP57" s="0"/>
      <c r="OEQ57" s="0"/>
      <c r="OER57" s="0"/>
      <c r="OES57" s="0"/>
      <c r="OET57" s="0"/>
      <c r="OEU57" s="0"/>
      <c r="OEV57" s="0"/>
      <c r="OEW57" s="0"/>
      <c r="OEX57" s="0"/>
      <c r="OEY57" s="0"/>
      <c r="OEZ57" s="0"/>
      <c r="OFA57" s="0"/>
      <c r="OFB57" s="0"/>
      <c r="OFC57" s="0"/>
      <c r="OFD57" s="0"/>
      <c r="OFE57" s="0"/>
      <c r="OFF57" s="0"/>
      <c r="OFG57" s="0"/>
      <c r="OFH57" s="0"/>
      <c r="OFI57" s="0"/>
      <c r="OFJ57" s="0"/>
      <c r="OFK57" s="0"/>
      <c r="OFL57" s="0"/>
      <c r="OFM57" s="0"/>
      <c r="OFN57" s="0"/>
      <c r="OFO57" s="0"/>
      <c r="OFP57" s="0"/>
      <c r="OFQ57" s="0"/>
      <c r="OFR57" s="0"/>
      <c r="OFS57" s="0"/>
      <c r="OFT57" s="0"/>
      <c r="OFU57" s="0"/>
      <c r="OFV57" s="0"/>
      <c r="OFW57" s="0"/>
      <c r="OFX57" s="0"/>
      <c r="OFY57" s="0"/>
      <c r="OFZ57" s="0"/>
      <c r="OGA57" s="0"/>
      <c r="OGB57" s="0"/>
      <c r="OGC57" s="0"/>
      <c r="OGD57" s="0"/>
      <c r="OGE57" s="0"/>
      <c r="OGF57" s="0"/>
      <c r="OGG57" s="0"/>
      <c r="OGH57" s="0"/>
      <c r="OGI57" s="0"/>
      <c r="OGJ57" s="0"/>
      <c r="OGK57" s="0"/>
      <c r="OGL57" s="0"/>
      <c r="OGM57" s="0"/>
      <c r="OGN57" s="0"/>
      <c r="OGO57" s="0"/>
      <c r="OGP57" s="0"/>
      <c r="OGQ57" s="0"/>
      <c r="OGR57" s="0"/>
      <c r="OGS57" s="0"/>
      <c r="OGT57" s="0"/>
      <c r="OGU57" s="0"/>
      <c r="OGV57" s="0"/>
      <c r="OGW57" s="0"/>
      <c r="OGX57" s="0"/>
      <c r="OGY57" s="0"/>
      <c r="OGZ57" s="0"/>
      <c r="OHA57" s="0"/>
      <c r="OHB57" s="0"/>
      <c r="OHC57" s="0"/>
      <c r="OHD57" s="0"/>
      <c r="OHE57" s="0"/>
      <c r="OHF57" s="0"/>
      <c r="OHG57" s="0"/>
      <c r="OHH57" s="0"/>
      <c r="OHI57" s="0"/>
      <c r="OHJ57" s="0"/>
      <c r="OHK57" s="0"/>
      <c r="OHL57" s="0"/>
      <c r="OHM57" s="0"/>
      <c r="OHN57" s="0"/>
      <c r="OHO57" s="0"/>
      <c r="OHP57" s="0"/>
      <c r="OHQ57" s="0"/>
      <c r="OHR57" s="0"/>
      <c r="OHS57" s="0"/>
      <c r="OHT57" s="0"/>
      <c r="OHU57" s="0"/>
      <c r="OHV57" s="0"/>
      <c r="OHW57" s="0"/>
      <c r="OHX57" s="0"/>
      <c r="OHY57" s="0"/>
      <c r="OHZ57" s="0"/>
      <c r="OIA57" s="0"/>
      <c r="OIB57" s="0"/>
      <c r="OIC57" s="0"/>
      <c r="OID57" s="0"/>
      <c r="OIE57" s="0"/>
      <c r="OIF57" s="0"/>
      <c r="OIG57" s="0"/>
      <c r="OIH57" s="0"/>
      <c r="OII57" s="0"/>
      <c r="OIJ57" s="0"/>
      <c r="OIK57" s="0"/>
      <c r="OIL57" s="0"/>
      <c r="OIM57" s="0"/>
      <c r="OIN57" s="0"/>
      <c r="OIO57" s="0"/>
      <c r="OIP57" s="0"/>
      <c r="OIQ57" s="0"/>
      <c r="OIR57" s="0"/>
      <c r="OIS57" s="0"/>
      <c r="OIT57" s="0"/>
      <c r="OIU57" s="0"/>
      <c r="OIV57" s="0"/>
      <c r="OIW57" s="0"/>
      <c r="OIX57" s="0"/>
      <c r="OIY57" s="0"/>
      <c r="OIZ57" s="0"/>
      <c r="OJA57" s="0"/>
      <c r="OJB57" s="0"/>
      <c r="OJC57" s="0"/>
      <c r="OJD57" s="0"/>
      <c r="OJE57" s="0"/>
      <c r="OJF57" s="0"/>
      <c r="OJG57" s="0"/>
      <c r="OJH57" s="0"/>
      <c r="OJI57" s="0"/>
      <c r="OJJ57" s="0"/>
      <c r="OJK57" s="0"/>
      <c r="OJL57" s="0"/>
      <c r="OJM57" s="0"/>
      <c r="OJN57" s="0"/>
      <c r="OJO57" s="0"/>
      <c r="OJP57" s="0"/>
      <c r="OJQ57" s="0"/>
      <c r="OJR57" s="0"/>
      <c r="OJS57" s="0"/>
      <c r="OJT57" s="0"/>
      <c r="OJU57" s="0"/>
      <c r="OJV57" s="0"/>
      <c r="OJW57" s="0"/>
      <c r="OJX57" s="0"/>
      <c r="OJY57" s="0"/>
      <c r="OJZ57" s="0"/>
      <c r="OKA57" s="0"/>
      <c r="OKB57" s="0"/>
      <c r="OKC57" s="0"/>
      <c r="OKD57" s="0"/>
      <c r="OKE57" s="0"/>
      <c r="OKF57" s="0"/>
      <c r="OKG57" s="0"/>
      <c r="OKH57" s="0"/>
      <c r="OKI57" s="0"/>
      <c r="OKJ57" s="0"/>
      <c r="OKK57" s="0"/>
      <c r="OKL57" s="0"/>
      <c r="OKM57" s="0"/>
      <c r="OKN57" s="0"/>
      <c r="OKO57" s="0"/>
      <c r="OKP57" s="0"/>
      <c r="OKQ57" s="0"/>
      <c r="OKR57" s="0"/>
      <c r="OKS57" s="0"/>
      <c r="OKT57" s="0"/>
      <c r="OKU57" s="0"/>
      <c r="OKV57" s="0"/>
      <c r="OKW57" s="0"/>
      <c r="OKX57" s="0"/>
      <c r="OKY57" s="0"/>
      <c r="OKZ57" s="0"/>
      <c r="OLA57" s="0"/>
      <c r="OLB57" s="0"/>
      <c r="OLC57" s="0"/>
      <c r="OLD57" s="0"/>
      <c r="OLE57" s="0"/>
      <c r="OLF57" s="0"/>
      <c r="OLG57" s="0"/>
      <c r="OLH57" s="0"/>
      <c r="OLI57" s="0"/>
      <c r="OLJ57" s="0"/>
      <c r="OLK57" s="0"/>
      <c r="OLL57" s="0"/>
      <c r="OLM57" s="0"/>
      <c r="OLN57" s="0"/>
      <c r="OLO57" s="0"/>
      <c r="OLP57" s="0"/>
      <c r="OLQ57" s="0"/>
      <c r="OLR57" s="0"/>
      <c r="OLS57" s="0"/>
      <c r="OLT57" s="0"/>
      <c r="OLU57" s="0"/>
      <c r="OLV57" s="0"/>
      <c r="OLW57" s="0"/>
      <c r="OLX57" s="0"/>
      <c r="OLY57" s="0"/>
      <c r="OLZ57" s="0"/>
      <c r="OMA57" s="0"/>
      <c r="OMB57" s="0"/>
      <c r="OMC57" s="0"/>
      <c r="OMD57" s="0"/>
      <c r="OME57" s="0"/>
      <c r="OMF57" s="0"/>
      <c r="OMG57" s="0"/>
      <c r="OMH57" s="0"/>
      <c r="OMI57" s="0"/>
      <c r="OMJ57" s="0"/>
      <c r="OMK57" s="0"/>
      <c r="OML57" s="0"/>
      <c r="OMM57" s="0"/>
      <c r="OMN57" s="0"/>
      <c r="OMO57" s="0"/>
      <c r="OMP57" s="0"/>
      <c r="OMQ57" s="0"/>
      <c r="OMR57" s="0"/>
      <c r="OMS57" s="0"/>
      <c r="OMT57" s="0"/>
      <c r="OMU57" s="0"/>
      <c r="OMV57" s="0"/>
      <c r="OMW57" s="0"/>
      <c r="OMX57" s="0"/>
      <c r="OMY57" s="0"/>
      <c r="OMZ57" s="0"/>
      <c r="ONA57" s="0"/>
      <c r="ONB57" s="0"/>
      <c r="ONC57" s="0"/>
      <c r="OND57" s="0"/>
      <c r="ONE57" s="0"/>
      <c r="ONF57" s="0"/>
      <c r="ONG57" s="0"/>
      <c r="ONH57" s="0"/>
      <c r="ONI57" s="0"/>
      <c r="ONJ57" s="0"/>
      <c r="ONK57" s="0"/>
      <c r="ONL57" s="0"/>
      <c r="ONM57" s="0"/>
      <c r="ONN57" s="0"/>
      <c r="ONO57" s="0"/>
      <c r="ONP57" s="0"/>
      <c r="ONQ57" s="0"/>
      <c r="ONR57" s="0"/>
      <c r="ONS57" s="0"/>
      <c r="ONT57" s="0"/>
      <c r="ONU57" s="0"/>
      <c r="ONV57" s="0"/>
      <c r="ONW57" s="0"/>
      <c r="ONX57" s="0"/>
      <c r="ONY57" s="0"/>
      <c r="ONZ57" s="0"/>
      <c r="OOA57" s="0"/>
      <c r="OOB57" s="0"/>
      <c r="OOC57" s="0"/>
      <c r="OOD57" s="0"/>
      <c r="OOE57" s="0"/>
      <c r="OOF57" s="0"/>
      <c r="OOG57" s="0"/>
      <c r="OOH57" s="0"/>
      <c r="OOI57" s="0"/>
      <c r="OOJ57" s="0"/>
      <c r="OOK57" s="0"/>
      <c r="OOL57" s="0"/>
      <c r="OOM57" s="0"/>
      <c r="OON57" s="0"/>
      <c r="OOO57" s="0"/>
      <c r="OOP57" s="0"/>
      <c r="OOQ57" s="0"/>
      <c r="OOR57" s="0"/>
      <c r="OOS57" s="0"/>
      <c r="OOT57" s="0"/>
      <c r="OOU57" s="0"/>
      <c r="OOV57" s="0"/>
      <c r="OOW57" s="0"/>
      <c r="OOX57" s="0"/>
      <c r="OOY57" s="0"/>
      <c r="OOZ57" s="0"/>
      <c r="OPA57" s="0"/>
      <c r="OPB57" s="0"/>
      <c r="OPC57" s="0"/>
      <c r="OPD57" s="0"/>
      <c r="OPE57" s="0"/>
      <c r="OPF57" s="0"/>
      <c r="OPG57" s="0"/>
      <c r="OPH57" s="0"/>
      <c r="OPI57" s="0"/>
      <c r="OPJ57" s="0"/>
      <c r="OPK57" s="0"/>
      <c r="OPL57" s="0"/>
      <c r="OPM57" s="0"/>
      <c r="OPN57" s="0"/>
      <c r="OPO57" s="0"/>
      <c r="OPP57" s="0"/>
      <c r="OPQ57" s="0"/>
      <c r="OPR57" s="0"/>
      <c r="OPS57" s="0"/>
      <c r="OPT57" s="0"/>
      <c r="OPU57" s="0"/>
      <c r="OPV57" s="0"/>
      <c r="OPW57" s="0"/>
      <c r="OPX57" s="0"/>
      <c r="OPY57" s="0"/>
      <c r="OPZ57" s="0"/>
      <c r="OQA57" s="0"/>
      <c r="OQB57" s="0"/>
      <c r="OQC57" s="0"/>
      <c r="OQD57" s="0"/>
      <c r="OQE57" s="0"/>
      <c r="OQF57" s="0"/>
      <c r="OQG57" s="0"/>
      <c r="OQH57" s="0"/>
      <c r="OQI57" s="0"/>
      <c r="OQJ57" s="0"/>
      <c r="OQK57" s="0"/>
      <c r="OQL57" s="0"/>
      <c r="OQM57" s="0"/>
      <c r="OQN57" s="0"/>
      <c r="OQO57" s="0"/>
      <c r="OQP57" s="0"/>
      <c r="OQQ57" s="0"/>
      <c r="OQR57" s="0"/>
      <c r="OQS57" s="0"/>
      <c r="OQT57" s="0"/>
      <c r="OQU57" s="0"/>
      <c r="OQV57" s="0"/>
      <c r="OQW57" s="0"/>
      <c r="OQX57" s="0"/>
      <c r="OQY57" s="0"/>
      <c r="OQZ57" s="0"/>
      <c r="ORA57" s="0"/>
      <c r="ORB57" s="0"/>
      <c r="ORC57" s="0"/>
      <c r="ORD57" s="0"/>
      <c r="ORE57" s="0"/>
      <c r="ORF57" s="0"/>
      <c r="ORG57" s="0"/>
      <c r="ORH57" s="0"/>
      <c r="ORI57" s="0"/>
      <c r="ORJ57" s="0"/>
      <c r="ORK57" s="0"/>
      <c r="ORL57" s="0"/>
      <c r="ORM57" s="0"/>
      <c r="ORN57" s="0"/>
      <c r="ORO57" s="0"/>
      <c r="ORP57" s="0"/>
      <c r="ORQ57" s="0"/>
      <c r="ORR57" s="0"/>
      <c r="ORS57" s="0"/>
      <c r="ORT57" s="0"/>
      <c r="ORU57" s="0"/>
      <c r="ORV57" s="0"/>
      <c r="ORW57" s="0"/>
      <c r="ORX57" s="0"/>
      <c r="ORY57" s="0"/>
      <c r="ORZ57" s="0"/>
      <c r="OSA57" s="0"/>
      <c r="OSB57" s="0"/>
      <c r="OSC57" s="0"/>
      <c r="OSD57" s="0"/>
      <c r="OSE57" s="0"/>
      <c r="OSF57" s="0"/>
      <c r="OSG57" s="0"/>
      <c r="OSH57" s="0"/>
      <c r="OSI57" s="0"/>
      <c r="OSJ57" s="0"/>
      <c r="OSK57" s="0"/>
      <c r="OSL57" s="0"/>
      <c r="OSM57" s="0"/>
      <c r="OSN57" s="0"/>
      <c r="OSO57" s="0"/>
      <c r="OSP57" s="0"/>
      <c r="OSQ57" s="0"/>
      <c r="OSR57" s="0"/>
      <c r="OSS57" s="0"/>
      <c r="OST57" s="0"/>
      <c r="OSU57" s="0"/>
      <c r="OSV57" s="0"/>
      <c r="OSW57" s="0"/>
      <c r="OSX57" s="0"/>
      <c r="OSY57" s="0"/>
      <c r="OSZ57" s="0"/>
      <c r="OTA57" s="0"/>
      <c r="OTB57" s="0"/>
      <c r="OTC57" s="0"/>
      <c r="OTD57" s="0"/>
      <c r="OTE57" s="0"/>
      <c r="OTF57" s="0"/>
      <c r="OTG57" s="0"/>
      <c r="OTH57" s="0"/>
      <c r="OTI57" s="0"/>
      <c r="OTJ57" s="0"/>
      <c r="OTK57" s="0"/>
      <c r="OTL57" s="0"/>
      <c r="OTM57" s="0"/>
      <c r="OTN57" s="0"/>
      <c r="OTO57" s="0"/>
      <c r="OTP57" s="0"/>
      <c r="OTQ57" s="0"/>
      <c r="OTR57" s="0"/>
      <c r="OTS57" s="0"/>
      <c r="OTT57" s="0"/>
      <c r="OTU57" s="0"/>
      <c r="OTV57" s="0"/>
      <c r="OTW57" s="0"/>
      <c r="OTX57" s="0"/>
      <c r="OTY57" s="0"/>
      <c r="OTZ57" s="0"/>
      <c r="OUA57" s="0"/>
      <c r="OUB57" s="0"/>
      <c r="OUC57" s="0"/>
      <c r="OUD57" s="0"/>
      <c r="OUE57" s="0"/>
      <c r="OUF57" s="0"/>
      <c r="OUG57" s="0"/>
      <c r="OUH57" s="0"/>
      <c r="OUI57" s="0"/>
      <c r="OUJ57" s="0"/>
      <c r="OUK57" s="0"/>
      <c r="OUL57" s="0"/>
      <c r="OUM57" s="0"/>
      <c r="OUN57" s="0"/>
      <c r="OUO57" s="0"/>
      <c r="OUP57" s="0"/>
      <c r="OUQ57" s="0"/>
      <c r="OUR57" s="0"/>
      <c r="OUS57" s="0"/>
      <c r="OUT57" s="0"/>
      <c r="OUU57" s="0"/>
      <c r="OUV57" s="0"/>
      <c r="OUW57" s="0"/>
      <c r="OUX57" s="0"/>
      <c r="OUY57" s="0"/>
      <c r="OUZ57" s="0"/>
      <c r="OVA57" s="0"/>
      <c r="OVB57" s="0"/>
      <c r="OVC57" s="0"/>
      <c r="OVD57" s="0"/>
      <c r="OVE57" s="0"/>
      <c r="OVF57" s="0"/>
      <c r="OVG57" s="0"/>
      <c r="OVH57" s="0"/>
      <c r="OVI57" s="0"/>
      <c r="OVJ57" s="0"/>
      <c r="OVK57" s="0"/>
      <c r="OVL57" s="0"/>
      <c r="OVM57" s="0"/>
      <c r="OVN57" s="0"/>
      <c r="OVO57" s="0"/>
      <c r="OVP57" s="0"/>
      <c r="OVQ57" s="0"/>
      <c r="OVR57" s="0"/>
      <c r="OVS57" s="0"/>
      <c r="OVT57" s="0"/>
      <c r="OVU57" s="0"/>
      <c r="OVV57" s="0"/>
      <c r="OVW57" s="0"/>
      <c r="OVX57" s="0"/>
      <c r="OVY57" s="0"/>
      <c r="OVZ57" s="0"/>
      <c r="OWA57" s="0"/>
      <c r="OWB57" s="0"/>
      <c r="OWC57" s="0"/>
      <c r="OWD57" s="0"/>
      <c r="OWE57" s="0"/>
      <c r="OWF57" s="0"/>
      <c r="OWG57" s="0"/>
      <c r="OWH57" s="0"/>
      <c r="OWI57" s="0"/>
      <c r="OWJ57" s="0"/>
      <c r="OWK57" s="0"/>
      <c r="OWL57" s="0"/>
      <c r="OWM57" s="0"/>
      <c r="OWN57" s="0"/>
      <c r="OWO57" s="0"/>
      <c r="OWP57" s="0"/>
      <c r="OWQ57" s="0"/>
      <c r="OWR57" s="0"/>
      <c r="OWS57" s="0"/>
      <c r="OWT57" s="0"/>
      <c r="OWU57" s="0"/>
      <c r="OWV57" s="0"/>
      <c r="OWW57" s="0"/>
      <c r="OWX57" s="0"/>
      <c r="OWY57" s="0"/>
      <c r="OWZ57" s="0"/>
      <c r="OXA57" s="0"/>
      <c r="OXB57" s="0"/>
      <c r="OXC57" s="0"/>
      <c r="OXD57" s="0"/>
      <c r="OXE57" s="0"/>
      <c r="OXF57" s="0"/>
      <c r="OXG57" s="0"/>
      <c r="OXH57" s="0"/>
      <c r="OXI57" s="0"/>
      <c r="OXJ57" s="0"/>
      <c r="OXK57" s="0"/>
      <c r="OXL57" s="0"/>
      <c r="OXM57" s="0"/>
      <c r="OXN57" s="0"/>
      <c r="OXO57" s="0"/>
      <c r="OXP57" s="0"/>
      <c r="OXQ57" s="0"/>
      <c r="OXR57" s="0"/>
      <c r="OXS57" s="0"/>
      <c r="OXT57" s="0"/>
      <c r="OXU57" s="0"/>
      <c r="OXV57" s="0"/>
      <c r="OXW57" s="0"/>
      <c r="OXX57" s="0"/>
      <c r="OXY57" s="0"/>
      <c r="OXZ57" s="0"/>
      <c r="OYA57" s="0"/>
      <c r="OYB57" s="0"/>
      <c r="OYC57" s="0"/>
      <c r="OYD57" s="0"/>
      <c r="OYE57" s="0"/>
      <c r="OYF57" s="0"/>
      <c r="OYG57" s="0"/>
      <c r="OYH57" s="0"/>
      <c r="OYI57" s="0"/>
      <c r="OYJ57" s="0"/>
      <c r="OYK57" s="0"/>
      <c r="OYL57" s="0"/>
      <c r="OYM57" s="0"/>
      <c r="OYN57" s="0"/>
      <c r="OYO57" s="0"/>
      <c r="OYP57" s="0"/>
      <c r="OYQ57" s="0"/>
      <c r="OYR57" s="0"/>
      <c r="OYS57" s="0"/>
      <c r="OYT57" s="0"/>
      <c r="OYU57" s="0"/>
      <c r="OYV57" s="0"/>
      <c r="OYW57" s="0"/>
      <c r="OYX57" s="0"/>
      <c r="OYY57" s="0"/>
      <c r="OYZ57" s="0"/>
      <c r="OZA57" s="0"/>
      <c r="OZB57" s="0"/>
      <c r="OZC57" s="0"/>
      <c r="OZD57" s="0"/>
      <c r="OZE57" s="0"/>
      <c r="OZF57" s="0"/>
      <c r="OZG57" s="0"/>
      <c r="OZH57" s="0"/>
      <c r="OZI57" s="0"/>
      <c r="OZJ57" s="0"/>
      <c r="OZK57" s="0"/>
      <c r="OZL57" s="0"/>
      <c r="OZM57" s="0"/>
      <c r="OZN57" s="0"/>
      <c r="OZO57" s="0"/>
      <c r="OZP57" s="0"/>
      <c r="OZQ57" s="0"/>
      <c r="OZR57" s="0"/>
      <c r="OZS57" s="0"/>
      <c r="OZT57" s="0"/>
      <c r="OZU57" s="0"/>
      <c r="OZV57" s="0"/>
      <c r="OZW57" s="0"/>
      <c r="OZX57" s="0"/>
      <c r="OZY57" s="0"/>
      <c r="OZZ57" s="0"/>
      <c r="PAA57" s="0"/>
      <c r="PAB57" s="0"/>
      <c r="PAC57" s="0"/>
      <c r="PAD57" s="0"/>
      <c r="PAE57" s="0"/>
      <c r="PAF57" s="0"/>
      <c r="PAG57" s="0"/>
      <c r="PAH57" s="0"/>
      <c r="PAI57" s="0"/>
      <c r="PAJ57" s="0"/>
      <c r="PAK57" s="0"/>
      <c r="PAL57" s="0"/>
      <c r="PAM57" s="0"/>
      <c r="PAN57" s="0"/>
      <c r="PAO57" s="0"/>
      <c r="PAP57" s="0"/>
      <c r="PAQ57" s="0"/>
      <c r="PAR57" s="0"/>
      <c r="PAS57" s="0"/>
      <c r="PAT57" s="0"/>
      <c r="PAU57" s="0"/>
      <c r="PAV57" s="0"/>
      <c r="PAW57" s="0"/>
      <c r="PAX57" s="0"/>
      <c r="PAY57" s="0"/>
      <c r="PAZ57" s="0"/>
      <c r="PBA57" s="0"/>
      <c r="PBB57" s="0"/>
      <c r="PBC57" s="0"/>
      <c r="PBD57" s="0"/>
      <c r="PBE57" s="0"/>
      <c r="PBF57" s="0"/>
      <c r="PBG57" s="0"/>
      <c r="PBH57" s="0"/>
      <c r="PBI57" s="0"/>
      <c r="PBJ57" s="0"/>
      <c r="PBK57" s="0"/>
      <c r="PBL57" s="0"/>
      <c r="PBM57" s="0"/>
      <c r="PBN57" s="0"/>
      <c r="PBO57" s="0"/>
      <c r="PBP57" s="0"/>
      <c r="PBQ57" s="0"/>
      <c r="PBR57" s="0"/>
      <c r="PBS57" s="0"/>
      <c r="PBT57" s="0"/>
      <c r="PBU57" s="0"/>
      <c r="PBV57" s="0"/>
      <c r="PBW57" s="0"/>
      <c r="PBX57" s="0"/>
      <c r="PBY57" s="0"/>
      <c r="PBZ57" s="0"/>
      <c r="PCA57" s="0"/>
      <c r="PCB57" s="0"/>
      <c r="PCC57" s="0"/>
      <c r="PCD57" s="0"/>
      <c r="PCE57" s="0"/>
      <c r="PCF57" s="0"/>
      <c r="PCG57" s="0"/>
      <c r="PCH57" s="0"/>
      <c r="PCI57" s="0"/>
      <c r="PCJ57" s="0"/>
      <c r="PCK57" s="0"/>
      <c r="PCL57" s="0"/>
      <c r="PCM57" s="0"/>
      <c r="PCN57" s="0"/>
      <c r="PCO57" s="0"/>
      <c r="PCP57" s="0"/>
      <c r="PCQ57" s="0"/>
      <c r="PCR57" s="0"/>
      <c r="PCS57" s="0"/>
      <c r="PCT57" s="0"/>
      <c r="PCU57" s="0"/>
      <c r="PCV57" s="0"/>
      <c r="PCW57" s="0"/>
      <c r="PCX57" s="0"/>
      <c r="PCY57" s="0"/>
      <c r="PCZ57" s="0"/>
      <c r="PDA57" s="0"/>
      <c r="PDB57" s="0"/>
      <c r="PDC57" s="0"/>
      <c r="PDD57" s="0"/>
      <c r="PDE57" s="0"/>
      <c r="PDF57" s="0"/>
      <c r="PDG57" s="0"/>
      <c r="PDH57" s="0"/>
      <c r="PDI57" s="0"/>
      <c r="PDJ57" s="0"/>
      <c r="PDK57" s="0"/>
      <c r="PDL57" s="0"/>
      <c r="PDM57" s="0"/>
      <c r="PDN57" s="0"/>
      <c r="PDO57" s="0"/>
      <c r="PDP57" s="0"/>
      <c r="PDQ57" s="0"/>
      <c r="PDR57" s="0"/>
      <c r="PDS57" s="0"/>
      <c r="PDT57" s="0"/>
      <c r="PDU57" s="0"/>
      <c r="PDV57" s="0"/>
      <c r="PDW57" s="0"/>
      <c r="PDX57" s="0"/>
      <c r="PDY57" s="0"/>
      <c r="PDZ57" s="0"/>
      <c r="PEA57" s="0"/>
      <c r="PEB57" s="0"/>
      <c r="PEC57" s="0"/>
      <c r="PED57" s="0"/>
      <c r="PEE57" s="0"/>
      <c r="PEF57" s="0"/>
      <c r="PEG57" s="0"/>
      <c r="PEH57" s="0"/>
      <c r="PEI57" s="0"/>
      <c r="PEJ57" s="0"/>
      <c r="PEK57" s="0"/>
      <c r="PEL57" s="0"/>
      <c r="PEM57" s="0"/>
      <c r="PEN57" s="0"/>
      <c r="PEO57" s="0"/>
      <c r="PEP57" s="0"/>
      <c r="PEQ57" s="0"/>
      <c r="PER57" s="0"/>
      <c r="PES57" s="0"/>
      <c r="PET57" s="0"/>
      <c r="PEU57" s="0"/>
      <c r="PEV57" s="0"/>
      <c r="PEW57" s="0"/>
      <c r="PEX57" s="0"/>
      <c r="PEY57" s="0"/>
      <c r="PEZ57" s="0"/>
      <c r="PFA57" s="0"/>
      <c r="PFB57" s="0"/>
      <c r="PFC57" s="0"/>
      <c r="PFD57" s="0"/>
      <c r="PFE57" s="0"/>
      <c r="PFF57" s="0"/>
      <c r="PFG57" s="0"/>
      <c r="PFH57" s="0"/>
      <c r="PFI57" s="0"/>
      <c r="PFJ57" s="0"/>
      <c r="PFK57" s="0"/>
      <c r="PFL57" s="0"/>
      <c r="PFM57" s="0"/>
      <c r="PFN57" s="0"/>
      <c r="PFO57" s="0"/>
      <c r="PFP57" s="0"/>
      <c r="PFQ57" s="0"/>
      <c r="PFR57" s="0"/>
      <c r="PFS57" s="0"/>
      <c r="PFT57" s="0"/>
      <c r="PFU57" s="0"/>
      <c r="PFV57" s="0"/>
      <c r="PFW57" s="0"/>
      <c r="PFX57" s="0"/>
      <c r="PFY57" s="0"/>
      <c r="PFZ57" s="0"/>
      <c r="PGA57" s="0"/>
      <c r="PGB57" s="0"/>
      <c r="PGC57" s="0"/>
      <c r="PGD57" s="0"/>
      <c r="PGE57" s="0"/>
      <c r="PGF57" s="0"/>
      <c r="PGG57" s="0"/>
      <c r="PGH57" s="0"/>
      <c r="PGI57" s="0"/>
      <c r="PGJ57" s="0"/>
      <c r="PGK57" s="0"/>
      <c r="PGL57" s="0"/>
      <c r="PGM57" s="0"/>
      <c r="PGN57" s="0"/>
      <c r="PGO57" s="0"/>
      <c r="PGP57" s="0"/>
      <c r="PGQ57" s="0"/>
      <c r="PGR57" s="0"/>
      <c r="PGS57" s="0"/>
      <c r="PGT57" s="0"/>
      <c r="PGU57" s="0"/>
      <c r="PGV57" s="0"/>
      <c r="PGW57" s="0"/>
      <c r="PGX57" s="0"/>
      <c r="PGY57" s="0"/>
      <c r="PGZ57" s="0"/>
      <c r="PHA57" s="0"/>
      <c r="PHB57" s="0"/>
      <c r="PHC57" s="0"/>
      <c r="PHD57" s="0"/>
      <c r="PHE57" s="0"/>
      <c r="PHF57" s="0"/>
      <c r="PHG57" s="0"/>
      <c r="PHH57" s="0"/>
      <c r="PHI57" s="0"/>
      <c r="PHJ57" s="0"/>
      <c r="PHK57" s="0"/>
      <c r="PHL57" s="0"/>
      <c r="PHM57" s="0"/>
      <c r="PHN57" s="0"/>
      <c r="PHO57" s="0"/>
      <c r="PHP57" s="0"/>
      <c r="PHQ57" s="0"/>
      <c r="PHR57" s="0"/>
      <c r="PHS57" s="0"/>
      <c r="PHT57" s="0"/>
      <c r="PHU57" s="0"/>
      <c r="PHV57" s="0"/>
      <c r="PHW57" s="0"/>
      <c r="PHX57" s="0"/>
      <c r="PHY57" s="0"/>
      <c r="PHZ57" s="0"/>
      <c r="PIA57" s="0"/>
      <c r="PIB57" s="0"/>
      <c r="PIC57" s="0"/>
      <c r="PID57" s="0"/>
      <c r="PIE57" s="0"/>
      <c r="PIF57" s="0"/>
      <c r="PIG57" s="0"/>
      <c r="PIH57" s="0"/>
      <c r="PII57" s="0"/>
      <c r="PIJ57" s="0"/>
      <c r="PIK57" s="0"/>
      <c r="PIL57" s="0"/>
      <c r="PIM57" s="0"/>
      <c r="PIN57" s="0"/>
      <c r="PIO57" s="0"/>
      <c r="PIP57" s="0"/>
      <c r="PIQ57" s="0"/>
      <c r="PIR57" s="0"/>
      <c r="PIS57" s="0"/>
      <c r="PIT57" s="0"/>
      <c r="PIU57" s="0"/>
      <c r="PIV57" s="0"/>
      <c r="PIW57" s="0"/>
      <c r="PIX57" s="0"/>
      <c r="PIY57" s="0"/>
      <c r="PIZ57" s="0"/>
      <c r="PJA57" s="0"/>
      <c r="PJB57" s="0"/>
      <c r="PJC57" s="0"/>
      <c r="PJD57" s="0"/>
      <c r="PJE57" s="0"/>
      <c r="PJF57" s="0"/>
      <c r="PJG57" s="0"/>
      <c r="PJH57" s="0"/>
      <c r="PJI57" s="0"/>
      <c r="PJJ57" s="0"/>
      <c r="PJK57" s="0"/>
      <c r="PJL57" s="0"/>
      <c r="PJM57" s="0"/>
      <c r="PJN57" s="0"/>
      <c r="PJO57" s="0"/>
      <c r="PJP57" s="0"/>
      <c r="PJQ57" s="0"/>
      <c r="PJR57" s="0"/>
      <c r="PJS57" s="0"/>
      <c r="PJT57" s="0"/>
      <c r="PJU57" s="0"/>
      <c r="PJV57" s="0"/>
      <c r="PJW57" s="0"/>
      <c r="PJX57" s="0"/>
      <c r="PJY57" s="0"/>
      <c r="PJZ57" s="0"/>
      <c r="PKA57" s="0"/>
      <c r="PKB57" s="0"/>
      <c r="PKC57" s="0"/>
      <c r="PKD57" s="0"/>
      <c r="PKE57" s="0"/>
      <c r="PKF57" s="0"/>
      <c r="PKG57" s="0"/>
      <c r="PKH57" s="0"/>
      <c r="PKI57" s="0"/>
      <c r="PKJ57" s="0"/>
      <c r="PKK57" s="0"/>
      <c r="PKL57" s="0"/>
      <c r="PKM57" s="0"/>
      <c r="PKN57" s="0"/>
      <c r="PKO57" s="0"/>
      <c r="PKP57" s="0"/>
      <c r="PKQ57" s="0"/>
      <c r="PKR57" s="0"/>
      <c r="PKS57" s="0"/>
      <c r="PKT57" s="0"/>
      <c r="PKU57" s="0"/>
      <c r="PKV57" s="0"/>
      <c r="PKW57" s="0"/>
      <c r="PKX57" s="0"/>
      <c r="PKY57" s="0"/>
      <c r="PKZ57" s="0"/>
      <c r="PLA57" s="0"/>
      <c r="PLB57" s="0"/>
      <c r="PLC57" s="0"/>
      <c r="PLD57" s="0"/>
      <c r="PLE57" s="0"/>
      <c r="PLF57" s="0"/>
      <c r="PLG57" s="0"/>
      <c r="PLH57" s="0"/>
      <c r="PLI57" s="0"/>
      <c r="PLJ57" s="0"/>
      <c r="PLK57" s="0"/>
      <c r="PLL57" s="0"/>
      <c r="PLM57" s="0"/>
      <c r="PLN57" s="0"/>
      <c r="PLO57" s="0"/>
      <c r="PLP57" s="0"/>
      <c r="PLQ57" s="0"/>
      <c r="PLR57" s="0"/>
      <c r="PLS57" s="0"/>
      <c r="PLT57" s="0"/>
      <c r="PLU57" s="0"/>
      <c r="PLV57" s="0"/>
      <c r="PLW57" s="0"/>
      <c r="PLX57" s="0"/>
      <c r="PLY57" s="0"/>
      <c r="PLZ57" s="0"/>
      <c r="PMA57" s="0"/>
      <c r="PMB57" s="0"/>
      <c r="PMC57" s="0"/>
      <c r="PMD57" s="0"/>
      <c r="PME57" s="0"/>
      <c r="PMF57" s="0"/>
      <c r="PMG57" s="0"/>
      <c r="PMH57" s="0"/>
      <c r="PMI57" s="0"/>
      <c r="PMJ57" s="0"/>
      <c r="PMK57" s="0"/>
      <c r="PML57" s="0"/>
      <c r="PMM57" s="0"/>
      <c r="PMN57" s="0"/>
      <c r="PMO57" s="0"/>
      <c r="PMP57" s="0"/>
      <c r="PMQ57" s="0"/>
      <c r="PMR57" s="0"/>
      <c r="PMS57" s="0"/>
      <c r="PMT57" s="0"/>
      <c r="PMU57" s="0"/>
      <c r="PMV57" s="0"/>
      <c r="PMW57" s="0"/>
      <c r="PMX57" s="0"/>
      <c r="PMY57" s="0"/>
      <c r="PMZ57" s="0"/>
      <c r="PNA57" s="0"/>
      <c r="PNB57" s="0"/>
      <c r="PNC57" s="0"/>
      <c r="PND57" s="0"/>
      <c r="PNE57" s="0"/>
      <c r="PNF57" s="0"/>
      <c r="PNG57" s="0"/>
      <c r="PNH57" s="0"/>
      <c r="PNI57" s="0"/>
      <c r="PNJ57" s="0"/>
      <c r="PNK57" s="0"/>
      <c r="PNL57" s="0"/>
      <c r="PNM57" s="0"/>
      <c r="PNN57" s="0"/>
      <c r="PNO57" s="0"/>
      <c r="PNP57" s="0"/>
      <c r="PNQ57" s="0"/>
      <c r="PNR57" s="0"/>
      <c r="PNS57" s="0"/>
      <c r="PNT57" s="0"/>
      <c r="PNU57" s="0"/>
      <c r="PNV57" s="0"/>
      <c r="PNW57" s="0"/>
      <c r="PNX57" s="0"/>
      <c r="PNY57" s="0"/>
      <c r="PNZ57" s="0"/>
      <c r="POA57" s="0"/>
      <c r="POB57" s="0"/>
      <c r="POC57" s="0"/>
      <c r="POD57" s="0"/>
      <c r="POE57" s="0"/>
      <c r="POF57" s="0"/>
      <c r="POG57" s="0"/>
      <c r="POH57" s="0"/>
      <c r="POI57" s="0"/>
      <c r="POJ57" s="0"/>
      <c r="POK57" s="0"/>
      <c r="POL57" s="0"/>
      <c r="POM57" s="0"/>
      <c r="PON57" s="0"/>
      <c r="POO57" s="0"/>
      <c r="POP57" s="0"/>
      <c r="POQ57" s="0"/>
      <c r="POR57" s="0"/>
      <c r="POS57" s="0"/>
      <c r="POT57" s="0"/>
      <c r="POU57" s="0"/>
      <c r="POV57" s="0"/>
      <c r="POW57" s="0"/>
      <c r="POX57" s="0"/>
      <c r="POY57" s="0"/>
      <c r="POZ57" s="0"/>
      <c r="PPA57" s="0"/>
      <c r="PPB57" s="0"/>
      <c r="PPC57" s="0"/>
      <c r="PPD57" s="0"/>
      <c r="PPE57" s="0"/>
      <c r="PPF57" s="0"/>
      <c r="PPG57" s="0"/>
      <c r="PPH57" s="0"/>
      <c r="PPI57" s="0"/>
      <c r="PPJ57" s="0"/>
      <c r="PPK57" s="0"/>
      <c r="PPL57" s="0"/>
      <c r="PPM57" s="0"/>
      <c r="PPN57" s="0"/>
      <c r="PPO57" s="0"/>
      <c r="PPP57" s="0"/>
      <c r="PPQ57" s="0"/>
      <c r="PPR57" s="0"/>
      <c r="PPS57" s="0"/>
      <c r="PPT57" s="0"/>
      <c r="PPU57" s="0"/>
      <c r="PPV57" s="0"/>
      <c r="PPW57" s="0"/>
      <c r="PPX57" s="0"/>
      <c r="PPY57" s="0"/>
      <c r="PPZ57" s="0"/>
      <c r="PQA57" s="0"/>
      <c r="PQB57" s="0"/>
      <c r="PQC57" s="0"/>
      <c r="PQD57" s="0"/>
      <c r="PQE57" s="0"/>
      <c r="PQF57" s="0"/>
      <c r="PQG57" s="0"/>
      <c r="PQH57" s="0"/>
      <c r="PQI57" s="0"/>
      <c r="PQJ57" s="0"/>
      <c r="PQK57" s="0"/>
      <c r="PQL57" s="0"/>
      <c r="PQM57" s="0"/>
      <c r="PQN57" s="0"/>
      <c r="PQO57" s="0"/>
      <c r="PQP57" s="0"/>
      <c r="PQQ57" s="0"/>
      <c r="PQR57" s="0"/>
      <c r="PQS57" s="0"/>
      <c r="PQT57" s="0"/>
      <c r="PQU57" s="0"/>
      <c r="PQV57" s="0"/>
      <c r="PQW57" s="0"/>
      <c r="PQX57" s="0"/>
      <c r="PQY57" s="0"/>
      <c r="PQZ57" s="0"/>
      <c r="PRA57" s="0"/>
      <c r="PRB57" s="0"/>
      <c r="PRC57" s="0"/>
      <c r="PRD57" s="0"/>
      <c r="PRE57" s="0"/>
      <c r="PRF57" s="0"/>
      <c r="PRG57" s="0"/>
      <c r="PRH57" s="0"/>
      <c r="PRI57" s="0"/>
      <c r="PRJ57" s="0"/>
      <c r="PRK57" s="0"/>
      <c r="PRL57" s="0"/>
      <c r="PRM57" s="0"/>
      <c r="PRN57" s="0"/>
      <c r="PRO57" s="0"/>
      <c r="PRP57" s="0"/>
      <c r="PRQ57" s="0"/>
      <c r="PRR57" s="0"/>
      <c r="PRS57" s="0"/>
      <c r="PRT57" s="0"/>
      <c r="PRU57" s="0"/>
      <c r="PRV57" s="0"/>
      <c r="PRW57" s="0"/>
      <c r="PRX57" s="0"/>
      <c r="PRY57" s="0"/>
      <c r="PRZ57" s="0"/>
      <c r="PSA57" s="0"/>
      <c r="PSB57" s="0"/>
      <c r="PSC57" s="0"/>
      <c r="PSD57" s="0"/>
      <c r="PSE57" s="0"/>
      <c r="PSF57" s="0"/>
      <c r="PSG57" s="0"/>
      <c r="PSH57" s="0"/>
      <c r="PSI57" s="0"/>
      <c r="PSJ57" s="0"/>
      <c r="PSK57" s="0"/>
      <c r="PSL57" s="0"/>
      <c r="PSM57" s="0"/>
      <c r="PSN57" s="0"/>
      <c r="PSO57" s="0"/>
      <c r="PSP57" s="0"/>
      <c r="PSQ57" s="0"/>
      <c r="PSR57" s="0"/>
      <c r="PSS57" s="0"/>
      <c r="PST57" s="0"/>
      <c r="PSU57" s="0"/>
      <c r="PSV57" s="0"/>
      <c r="PSW57" s="0"/>
      <c r="PSX57" s="0"/>
      <c r="PSY57" s="0"/>
      <c r="PSZ57" s="0"/>
      <c r="PTA57" s="0"/>
      <c r="PTB57" s="0"/>
      <c r="PTC57" s="0"/>
      <c r="PTD57" s="0"/>
      <c r="PTE57" s="0"/>
      <c r="PTF57" s="0"/>
      <c r="PTG57" s="0"/>
      <c r="PTH57" s="0"/>
      <c r="PTI57" s="0"/>
      <c r="PTJ57" s="0"/>
      <c r="PTK57" s="0"/>
      <c r="PTL57" s="0"/>
      <c r="PTM57" s="0"/>
      <c r="PTN57" s="0"/>
      <c r="PTO57" s="0"/>
      <c r="PTP57" s="0"/>
      <c r="PTQ57" s="0"/>
      <c r="PTR57" s="0"/>
      <c r="PTS57" s="0"/>
      <c r="PTT57" s="0"/>
      <c r="PTU57" s="0"/>
      <c r="PTV57" s="0"/>
      <c r="PTW57" s="0"/>
      <c r="PTX57" s="0"/>
      <c r="PTY57" s="0"/>
      <c r="PTZ57" s="0"/>
      <c r="PUA57" s="0"/>
      <c r="PUB57" s="0"/>
      <c r="PUC57" s="0"/>
      <c r="PUD57" s="0"/>
      <c r="PUE57" s="0"/>
      <c r="PUF57" s="0"/>
      <c r="PUG57" s="0"/>
      <c r="PUH57" s="0"/>
      <c r="PUI57" s="0"/>
      <c r="PUJ57" s="0"/>
      <c r="PUK57" s="0"/>
      <c r="PUL57" s="0"/>
      <c r="PUM57" s="0"/>
      <c r="PUN57" s="0"/>
      <c r="PUO57" s="0"/>
      <c r="PUP57" s="0"/>
      <c r="PUQ57" s="0"/>
      <c r="PUR57" s="0"/>
      <c r="PUS57" s="0"/>
      <c r="PUT57" s="0"/>
      <c r="PUU57" s="0"/>
      <c r="PUV57" s="0"/>
      <c r="PUW57" s="0"/>
      <c r="PUX57" s="0"/>
      <c r="PUY57" s="0"/>
      <c r="PUZ57" s="0"/>
      <c r="PVA57" s="0"/>
      <c r="PVB57" s="0"/>
      <c r="PVC57" s="0"/>
      <c r="PVD57" s="0"/>
      <c r="PVE57" s="0"/>
      <c r="PVF57" s="0"/>
      <c r="PVG57" s="0"/>
      <c r="PVH57" s="0"/>
      <c r="PVI57" s="0"/>
      <c r="PVJ57" s="0"/>
      <c r="PVK57" s="0"/>
      <c r="PVL57" s="0"/>
      <c r="PVM57" s="0"/>
      <c r="PVN57" s="0"/>
      <c r="PVO57" s="0"/>
      <c r="PVP57" s="0"/>
      <c r="PVQ57" s="0"/>
      <c r="PVR57" s="0"/>
      <c r="PVS57" s="0"/>
      <c r="PVT57" s="0"/>
      <c r="PVU57" s="0"/>
      <c r="PVV57" s="0"/>
      <c r="PVW57" s="0"/>
      <c r="PVX57" s="0"/>
      <c r="PVY57" s="0"/>
      <c r="PVZ57" s="0"/>
      <c r="PWA57" s="0"/>
      <c r="PWB57" s="0"/>
      <c r="PWC57" s="0"/>
      <c r="PWD57" s="0"/>
      <c r="PWE57" s="0"/>
      <c r="PWF57" s="0"/>
      <c r="PWG57" s="0"/>
      <c r="PWH57" s="0"/>
      <c r="PWI57" s="0"/>
      <c r="PWJ57" s="0"/>
      <c r="PWK57" s="0"/>
      <c r="PWL57" s="0"/>
      <c r="PWM57" s="0"/>
      <c r="PWN57" s="0"/>
      <c r="PWO57" s="0"/>
      <c r="PWP57" s="0"/>
      <c r="PWQ57" s="0"/>
      <c r="PWR57" s="0"/>
      <c r="PWS57" s="0"/>
      <c r="PWT57" s="0"/>
      <c r="PWU57" s="0"/>
      <c r="PWV57" s="0"/>
      <c r="PWW57" s="0"/>
      <c r="PWX57" s="0"/>
      <c r="PWY57" s="0"/>
      <c r="PWZ57" s="0"/>
      <c r="PXA57" s="0"/>
      <c r="PXB57" s="0"/>
      <c r="PXC57" s="0"/>
      <c r="PXD57" s="0"/>
      <c r="PXE57" s="0"/>
      <c r="PXF57" s="0"/>
      <c r="PXG57" s="0"/>
      <c r="PXH57" s="0"/>
      <c r="PXI57" s="0"/>
      <c r="PXJ57" s="0"/>
      <c r="PXK57" s="0"/>
      <c r="PXL57" s="0"/>
      <c r="PXM57" s="0"/>
      <c r="PXN57" s="0"/>
      <c r="PXO57" s="0"/>
      <c r="PXP57" s="0"/>
      <c r="PXQ57" s="0"/>
      <c r="PXR57" s="0"/>
      <c r="PXS57" s="0"/>
      <c r="PXT57" s="0"/>
      <c r="PXU57" s="0"/>
      <c r="PXV57" s="0"/>
      <c r="PXW57" s="0"/>
      <c r="PXX57" s="0"/>
      <c r="PXY57" s="0"/>
      <c r="PXZ57" s="0"/>
      <c r="PYA57" s="0"/>
      <c r="PYB57" s="0"/>
      <c r="PYC57" s="0"/>
      <c r="PYD57" s="0"/>
      <c r="PYE57" s="0"/>
      <c r="PYF57" s="0"/>
      <c r="PYG57" s="0"/>
      <c r="PYH57" s="0"/>
      <c r="PYI57" s="0"/>
      <c r="PYJ57" s="0"/>
      <c r="PYK57" s="0"/>
      <c r="PYL57" s="0"/>
      <c r="PYM57" s="0"/>
      <c r="PYN57" s="0"/>
      <c r="PYO57" s="0"/>
      <c r="PYP57" s="0"/>
      <c r="PYQ57" s="0"/>
      <c r="PYR57" s="0"/>
      <c r="PYS57" s="0"/>
      <c r="PYT57" s="0"/>
      <c r="PYU57" s="0"/>
      <c r="PYV57" s="0"/>
      <c r="PYW57" s="0"/>
      <c r="PYX57" s="0"/>
      <c r="PYY57" s="0"/>
      <c r="PYZ57" s="0"/>
      <c r="PZA57" s="0"/>
      <c r="PZB57" s="0"/>
      <c r="PZC57" s="0"/>
      <c r="PZD57" s="0"/>
      <c r="PZE57" s="0"/>
      <c r="PZF57" s="0"/>
      <c r="PZG57" s="0"/>
      <c r="PZH57" s="0"/>
      <c r="PZI57" s="0"/>
      <c r="PZJ57" s="0"/>
      <c r="PZK57" s="0"/>
      <c r="PZL57" s="0"/>
      <c r="PZM57" s="0"/>
      <c r="PZN57" s="0"/>
      <c r="PZO57" s="0"/>
      <c r="PZP57" s="0"/>
      <c r="PZQ57" s="0"/>
      <c r="PZR57" s="0"/>
      <c r="PZS57" s="0"/>
      <c r="PZT57" s="0"/>
      <c r="PZU57" s="0"/>
      <c r="PZV57" s="0"/>
      <c r="PZW57" s="0"/>
      <c r="PZX57" s="0"/>
      <c r="PZY57" s="0"/>
      <c r="PZZ57" s="0"/>
      <c r="QAA57" s="0"/>
      <c r="QAB57" s="0"/>
      <c r="QAC57" s="0"/>
      <c r="QAD57" s="0"/>
      <c r="QAE57" s="0"/>
      <c r="QAF57" s="0"/>
      <c r="QAG57" s="0"/>
      <c r="QAH57" s="0"/>
      <c r="QAI57" s="0"/>
      <c r="QAJ57" s="0"/>
      <c r="QAK57" s="0"/>
      <c r="QAL57" s="0"/>
      <c r="QAM57" s="0"/>
      <c r="QAN57" s="0"/>
      <c r="QAO57" s="0"/>
      <c r="QAP57" s="0"/>
      <c r="QAQ57" s="0"/>
      <c r="QAR57" s="0"/>
      <c r="QAS57" s="0"/>
      <c r="QAT57" s="0"/>
      <c r="QAU57" s="0"/>
      <c r="QAV57" s="0"/>
      <c r="QAW57" s="0"/>
      <c r="QAX57" s="0"/>
      <c r="QAY57" s="0"/>
      <c r="QAZ57" s="0"/>
      <c r="QBA57" s="0"/>
      <c r="QBB57" s="0"/>
      <c r="QBC57" s="0"/>
      <c r="QBD57" s="0"/>
      <c r="QBE57" s="0"/>
      <c r="QBF57" s="0"/>
      <c r="QBG57" s="0"/>
      <c r="QBH57" s="0"/>
      <c r="QBI57" s="0"/>
      <c r="QBJ57" s="0"/>
      <c r="QBK57" s="0"/>
      <c r="QBL57" s="0"/>
      <c r="QBM57" s="0"/>
      <c r="QBN57" s="0"/>
      <c r="QBO57" s="0"/>
      <c r="QBP57" s="0"/>
      <c r="QBQ57" s="0"/>
      <c r="QBR57" s="0"/>
      <c r="QBS57" s="0"/>
      <c r="QBT57" s="0"/>
      <c r="QBU57" s="0"/>
      <c r="QBV57" s="0"/>
      <c r="QBW57" s="0"/>
      <c r="QBX57" s="0"/>
      <c r="QBY57" s="0"/>
      <c r="QBZ57" s="0"/>
      <c r="QCA57" s="0"/>
      <c r="QCB57" s="0"/>
      <c r="QCC57" s="0"/>
      <c r="QCD57" s="0"/>
      <c r="QCE57" s="0"/>
      <c r="QCF57" s="0"/>
      <c r="QCG57" s="0"/>
      <c r="QCH57" s="0"/>
      <c r="QCI57" s="0"/>
      <c r="QCJ57" s="0"/>
      <c r="QCK57" s="0"/>
      <c r="QCL57" s="0"/>
      <c r="QCM57" s="0"/>
      <c r="QCN57" s="0"/>
      <c r="QCO57" s="0"/>
      <c r="QCP57" s="0"/>
      <c r="QCQ57" s="0"/>
      <c r="QCR57" s="0"/>
      <c r="QCS57" s="0"/>
      <c r="QCT57" s="0"/>
      <c r="QCU57" s="0"/>
      <c r="QCV57" s="0"/>
      <c r="QCW57" s="0"/>
      <c r="QCX57" s="0"/>
      <c r="QCY57" s="0"/>
      <c r="QCZ57" s="0"/>
      <c r="QDA57" s="0"/>
      <c r="QDB57" s="0"/>
      <c r="QDC57" s="0"/>
      <c r="QDD57" s="0"/>
      <c r="QDE57" s="0"/>
      <c r="QDF57" s="0"/>
      <c r="QDG57" s="0"/>
      <c r="QDH57" s="0"/>
      <c r="QDI57" s="0"/>
      <c r="QDJ57" s="0"/>
      <c r="QDK57" s="0"/>
      <c r="QDL57" s="0"/>
      <c r="QDM57" s="0"/>
      <c r="QDN57" s="0"/>
      <c r="QDO57" s="0"/>
      <c r="QDP57" s="0"/>
      <c r="QDQ57" s="0"/>
      <c r="QDR57" s="0"/>
      <c r="QDS57" s="0"/>
      <c r="QDT57" s="0"/>
      <c r="QDU57" s="0"/>
      <c r="QDV57" s="0"/>
      <c r="QDW57" s="0"/>
      <c r="QDX57" s="0"/>
      <c r="QDY57" s="0"/>
      <c r="QDZ57" s="0"/>
      <c r="QEA57" s="0"/>
      <c r="QEB57" s="0"/>
      <c r="QEC57" s="0"/>
      <c r="QED57" s="0"/>
      <c r="QEE57" s="0"/>
      <c r="QEF57" s="0"/>
      <c r="QEG57" s="0"/>
      <c r="QEH57" s="0"/>
      <c r="QEI57" s="0"/>
      <c r="QEJ57" s="0"/>
      <c r="QEK57" s="0"/>
      <c r="QEL57" s="0"/>
      <c r="QEM57" s="0"/>
      <c r="QEN57" s="0"/>
      <c r="QEO57" s="0"/>
      <c r="QEP57" s="0"/>
      <c r="QEQ57" s="0"/>
      <c r="QER57" s="0"/>
      <c r="QES57" s="0"/>
      <c r="QET57" s="0"/>
      <c r="QEU57" s="0"/>
      <c r="QEV57" s="0"/>
      <c r="QEW57" s="0"/>
      <c r="QEX57" s="0"/>
      <c r="QEY57" s="0"/>
      <c r="QEZ57" s="0"/>
      <c r="QFA57" s="0"/>
      <c r="QFB57" s="0"/>
      <c r="QFC57" s="0"/>
      <c r="QFD57" s="0"/>
      <c r="QFE57" s="0"/>
      <c r="QFF57" s="0"/>
      <c r="QFG57" s="0"/>
      <c r="QFH57" s="0"/>
      <c r="QFI57" s="0"/>
      <c r="QFJ57" s="0"/>
      <c r="QFK57" s="0"/>
      <c r="QFL57" s="0"/>
      <c r="QFM57" s="0"/>
      <c r="QFN57" s="0"/>
      <c r="QFO57" s="0"/>
      <c r="QFP57" s="0"/>
      <c r="QFQ57" s="0"/>
      <c r="QFR57" s="0"/>
      <c r="QFS57" s="0"/>
      <c r="QFT57" s="0"/>
      <c r="QFU57" s="0"/>
      <c r="QFV57" s="0"/>
      <c r="QFW57" s="0"/>
      <c r="QFX57" s="0"/>
      <c r="QFY57" s="0"/>
      <c r="QFZ57" s="0"/>
      <c r="QGA57" s="0"/>
      <c r="QGB57" s="0"/>
      <c r="QGC57" s="0"/>
      <c r="QGD57" s="0"/>
      <c r="QGE57" s="0"/>
      <c r="QGF57" s="0"/>
      <c r="QGG57" s="0"/>
      <c r="QGH57" s="0"/>
      <c r="QGI57" s="0"/>
      <c r="QGJ57" s="0"/>
      <c r="QGK57" s="0"/>
      <c r="QGL57" s="0"/>
      <c r="QGM57" s="0"/>
      <c r="QGN57" s="0"/>
      <c r="QGO57" s="0"/>
      <c r="QGP57" s="0"/>
      <c r="QGQ57" s="0"/>
      <c r="QGR57" s="0"/>
      <c r="QGS57" s="0"/>
      <c r="QGT57" s="0"/>
      <c r="QGU57" s="0"/>
      <c r="QGV57" s="0"/>
      <c r="QGW57" s="0"/>
      <c r="QGX57" s="0"/>
      <c r="QGY57" s="0"/>
      <c r="QGZ57" s="0"/>
      <c r="QHA57" s="0"/>
      <c r="QHB57" s="0"/>
      <c r="QHC57" s="0"/>
      <c r="QHD57" s="0"/>
      <c r="QHE57" s="0"/>
      <c r="QHF57" s="0"/>
      <c r="QHG57" s="0"/>
      <c r="QHH57" s="0"/>
      <c r="QHI57" s="0"/>
      <c r="QHJ57" s="0"/>
      <c r="QHK57" s="0"/>
      <c r="QHL57" s="0"/>
      <c r="QHM57" s="0"/>
      <c r="QHN57" s="0"/>
      <c r="QHO57" s="0"/>
      <c r="QHP57" s="0"/>
      <c r="QHQ57" s="0"/>
      <c r="QHR57" s="0"/>
      <c r="QHS57" s="0"/>
      <c r="QHT57" s="0"/>
      <c r="QHU57" s="0"/>
      <c r="QHV57" s="0"/>
      <c r="QHW57" s="0"/>
      <c r="QHX57" s="0"/>
      <c r="QHY57" s="0"/>
      <c r="QHZ57" s="0"/>
      <c r="QIA57" s="0"/>
      <c r="QIB57" s="0"/>
      <c r="QIC57" s="0"/>
      <c r="QID57" s="0"/>
      <c r="QIE57" s="0"/>
      <c r="QIF57" s="0"/>
      <c r="QIG57" s="0"/>
      <c r="QIH57" s="0"/>
      <c r="QII57" s="0"/>
      <c r="QIJ57" s="0"/>
      <c r="QIK57" s="0"/>
      <c r="QIL57" s="0"/>
      <c r="QIM57" s="0"/>
      <c r="QIN57" s="0"/>
      <c r="QIO57" s="0"/>
      <c r="QIP57" s="0"/>
      <c r="QIQ57" s="0"/>
      <c r="QIR57" s="0"/>
      <c r="QIS57" s="0"/>
      <c r="QIT57" s="0"/>
      <c r="QIU57" s="0"/>
      <c r="QIV57" s="0"/>
      <c r="QIW57" s="0"/>
      <c r="QIX57" s="0"/>
      <c r="QIY57" s="0"/>
      <c r="QIZ57" s="0"/>
      <c r="QJA57" s="0"/>
      <c r="QJB57" s="0"/>
      <c r="QJC57" s="0"/>
      <c r="QJD57" s="0"/>
      <c r="QJE57" s="0"/>
      <c r="QJF57" s="0"/>
      <c r="QJG57" s="0"/>
      <c r="QJH57" s="0"/>
      <c r="QJI57" s="0"/>
      <c r="QJJ57" s="0"/>
      <c r="QJK57" s="0"/>
      <c r="QJL57" s="0"/>
      <c r="QJM57" s="0"/>
      <c r="QJN57" s="0"/>
      <c r="QJO57" s="0"/>
      <c r="QJP57" s="0"/>
      <c r="QJQ57" s="0"/>
      <c r="QJR57" s="0"/>
      <c r="QJS57" s="0"/>
      <c r="QJT57" s="0"/>
      <c r="QJU57" s="0"/>
      <c r="QJV57" s="0"/>
      <c r="QJW57" s="0"/>
      <c r="QJX57" s="0"/>
      <c r="QJY57" s="0"/>
      <c r="QJZ57" s="0"/>
      <c r="QKA57" s="0"/>
      <c r="QKB57" s="0"/>
      <c r="QKC57" s="0"/>
      <c r="QKD57" s="0"/>
      <c r="QKE57" s="0"/>
      <c r="QKF57" s="0"/>
      <c r="QKG57" s="0"/>
      <c r="QKH57" s="0"/>
      <c r="QKI57" s="0"/>
      <c r="QKJ57" s="0"/>
      <c r="QKK57" s="0"/>
      <c r="QKL57" s="0"/>
      <c r="QKM57" s="0"/>
      <c r="QKN57" s="0"/>
      <c r="QKO57" s="0"/>
      <c r="QKP57" s="0"/>
      <c r="QKQ57" s="0"/>
      <c r="QKR57" s="0"/>
      <c r="QKS57" s="0"/>
      <c r="QKT57" s="0"/>
      <c r="QKU57" s="0"/>
      <c r="QKV57" s="0"/>
      <c r="QKW57" s="0"/>
      <c r="QKX57" s="0"/>
      <c r="QKY57" s="0"/>
      <c r="QKZ57" s="0"/>
      <c r="QLA57" s="0"/>
      <c r="QLB57" s="0"/>
      <c r="QLC57" s="0"/>
      <c r="QLD57" s="0"/>
      <c r="QLE57" s="0"/>
      <c r="QLF57" s="0"/>
      <c r="QLG57" s="0"/>
      <c r="QLH57" s="0"/>
      <c r="QLI57" s="0"/>
      <c r="QLJ57" s="0"/>
      <c r="QLK57" s="0"/>
      <c r="QLL57" s="0"/>
      <c r="QLM57" s="0"/>
      <c r="QLN57" s="0"/>
      <c r="QLO57" s="0"/>
      <c r="QLP57" s="0"/>
      <c r="QLQ57" s="0"/>
      <c r="QLR57" s="0"/>
      <c r="QLS57" s="0"/>
      <c r="QLT57" s="0"/>
      <c r="QLU57" s="0"/>
      <c r="QLV57" s="0"/>
      <c r="QLW57" s="0"/>
      <c r="QLX57" s="0"/>
      <c r="QLY57" s="0"/>
      <c r="QLZ57" s="0"/>
      <c r="QMA57" s="0"/>
      <c r="QMB57" s="0"/>
      <c r="QMC57" s="0"/>
      <c r="QMD57" s="0"/>
      <c r="QME57" s="0"/>
      <c r="QMF57" s="0"/>
      <c r="QMG57" s="0"/>
      <c r="QMH57" s="0"/>
      <c r="QMI57" s="0"/>
      <c r="QMJ57" s="0"/>
      <c r="QMK57" s="0"/>
      <c r="QML57" s="0"/>
      <c r="QMM57" s="0"/>
      <c r="QMN57" s="0"/>
      <c r="QMO57" s="0"/>
      <c r="QMP57" s="0"/>
      <c r="QMQ57" s="0"/>
      <c r="QMR57" s="0"/>
      <c r="QMS57" s="0"/>
      <c r="QMT57" s="0"/>
      <c r="QMU57" s="0"/>
      <c r="QMV57" s="0"/>
      <c r="QMW57" s="0"/>
      <c r="QMX57" s="0"/>
      <c r="QMY57" s="0"/>
      <c r="QMZ57" s="0"/>
      <c r="QNA57" s="0"/>
      <c r="QNB57" s="0"/>
      <c r="QNC57" s="0"/>
      <c r="QND57" s="0"/>
      <c r="QNE57" s="0"/>
      <c r="QNF57" s="0"/>
      <c r="QNG57" s="0"/>
      <c r="QNH57" s="0"/>
      <c r="QNI57" s="0"/>
      <c r="QNJ57" s="0"/>
      <c r="QNK57" s="0"/>
      <c r="QNL57" s="0"/>
      <c r="QNM57" s="0"/>
      <c r="QNN57" s="0"/>
      <c r="QNO57" s="0"/>
      <c r="QNP57" s="0"/>
      <c r="QNQ57" s="0"/>
      <c r="QNR57" s="0"/>
      <c r="QNS57" s="0"/>
      <c r="QNT57" s="0"/>
      <c r="QNU57" s="0"/>
      <c r="QNV57" s="0"/>
      <c r="QNW57" s="0"/>
      <c r="QNX57" s="0"/>
      <c r="QNY57" s="0"/>
      <c r="QNZ57" s="0"/>
      <c r="QOA57" s="0"/>
      <c r="QOB57" s="0"/>
      <c r="QOC57" s="0"/>
      <c r="QOD57" s="0"/>
      <c r="QOE57" s="0"/>
      <c r="QOF57" s="0"/>
      <c r="QOG57" s="0"/>
      <c r="QOH57" s="0"/>
      <c r="QOI57" s="0"/>
      <c r="QOJ57" s="0"/>
      <c r="QOK57" s="0"/>
      <c r="QOL57" s="0"/>
      <c r="QOM57" s="0"/>
      <c r="QON57" s="0"/>
      <c r="QOO57" s="0"/>
      <c r="QOP57" s="0"/>
      <c r="QOQ57" s="0"/>
      <c r="QOR57" s="0"/>
      <c r="QOS57" s="0"/>
      <c r="QOT57" s="0"/>
      <c r="QOU57" s="0"/>
      <c r="QOV57" s="0"/>
      <c r="QOW57" s="0"/>
      <c r="QOX57" s="0"/>
      <c r="QOY57" s="0"/>
      <c r="QOZ57" s="0"/>
      <c r="QPA57" s="0"/>
      <c r="QPB57" s="0"/>
      <c r="QPC57" s="0"/>
      <c r="QPD57" s="0"/>
      <c r="QPE57" s="0"/>
      <c r="QPF57" s="0"/>
      <c r="QPG57" s="0"/>
      <c r="QPH57" s="0"/>
      <c r="QPI57" s="0"/>
      <c r="QPJ57" s="0"/>
      <c r="QPK57" s="0"/>
      <c r="QPL57" s="0"/>
      <c r="QPM57" s="0"/>
      <c r="QPN57" s="0"/>
      <c r="QPO57" s="0"/>
      <c r="QPP57" s="0"/>
      <c r="QPQ57" s="0"/>
      <c r="QPR57" s="0"/>
      <c r="QPS57" s="0"/>
      <c r="QPT57" s="0"/>
      <c r="QPU57" s="0"/>
      <c r="QPV57" s="0"/>
      <c r="QPW57" s="0"/>
      <c r="QPX57" s="0"/>
      <c r="QPY57" s="0"/>
      <c r="QPZ57" s="0"/>
      <c r="QQA57" s="0"/>
      <c r="QQB57" s="0"/>
      <c r="QQC57" s="0"/>
      <c r="QQD57" s="0"/>
      <c r="QQE57" s="0"/>
      <c r="QQF57" s="0"/>
      <c r="QQG57" s="0"/>
      <c r="QQH57" s="0"/>
      <c r="QQI57" s="0"/>
      <c r="QQJ57" s="0"/>
      <c r="QQK57" s="0"/>
      <c r="QQL57" s="0"/>
      <c r="QQM57" s="0"/>
      <c r="QQN57" s="0"/>
      <c r="QQO57" s="0"/>
      <c r="QQP57" s="0"/>
      <c r="QQQ57" s="0"/>
      <c r="QQR57" s="0"/>
      <c r="QQS57" s="0"/>
      <c r="QQT57" s="0"/>
      <c r="QQU57" s="0"/>
      <c r="QQV57" s="0"/>
      <c r="QQW57" s="0"/>
      <c r="QQX57" s="0"/>
      <c r="QQY57" s="0"/>
      <c r="QQZ57" s="0"/>
      <c r="QRA57" s="0"/>
      <c r="QRB57" s="0"/>
      <c r="QRC57" s="0"/>
      <c r="QRD57" s="0"/>
      <c r="QRE57" s="0"/>
      <c r="QRF57" s="0"/>
      <c r="QRG57" s="0"/>
      <c r="QRH57" s="0"/>
      <c r="QRI57" s="0"/>
      <c r="QRJ57" s="0"/>
      <c r="QRK57" s="0"/>
      <c r="QRL57" s="0"/>
      <c r="QRM57" s="0"/>
      <c r="QRN57" s="0"/>
      <c r="QRO57" s="0"/>
      <c r="QRP57" s="0"/>
      <c r="QRQ57" s="0"/>
      <c r="QRR57" s="0"/>
      <c r="QRS57" s="0"/>
      <c r="QRT57" s="0"/>
      <c r="QRU57" s="0"/>
      <c r="QRV57" s="0"/>
      <c r="QRW57" s="0"/>
      <c r="QRX57" s="0"/>
      <c r="QRY57" s="0"/>
      <c r="QRZ57" s="0"/>
      <c r="QSA57" s="0"/>
      <c r="QSB57" s="0"/>
      <c r="QSC57" s="0"/>
      <c r="QSD57" s="0"/>
      <c r="QSE57" s="0"/>
      <c r="QSF57" s="0"/>
      <c r="QSG57" s="0"/>
      <c r="QSH57" s="0"/>
      <c r="QSI57" s="0"/>
      <c r="QSJ57" s="0"/>
      <c r="QSK57" s="0"/>
      <c r="QSL57" s="0"/>
      <c r="QSM57" s="0"/>
      <c r="QSN57" s="0"/>
      <c r="QSO57" s="0"/>
      <c r="QSP57" s="0"/>
      <c r="QSQ57" s="0"/>
      <c r="QSR57" s="0"/>
      <c r="QSS57" s="0"/>
      <c r="QST57" s="0"/>
      <c r="QSU57" s="0"/>
      <c r="QSV57" s="0"/>
      <c r="QSW57" s="0"/>
      <c r="QSX57" s="0"/>
      <c r="QSY57" s="0"/>
      <c r="QSZ57" s="0"/>
      <c r="QTA57" s="0"/>
      <c r="QTB57" s="0"/>
      <c r="QTC57" s="0"/>
      <c r="QTD57" s="0"/>
      <c r="QTE57" s="0"/>
      <c r="QTF57" s="0"/>
      <c r="QTG57" s="0"/>
      <c r="QTH57" s="0"/>
      <c r="QTI57" s="0"/>
      <c r="QTJ57" s="0"/>
      <c r="QTK57" s="0"/>
      <c r="QTL57" s="0"/>
      <c r="QTM57" s="0"/>
      <c r="QTN57" s="0"/>
      <c r="QTO57" s="0"/>
      <c r="QTP57" s="0"/>
      <c r="QTQ57" s="0"/>
      <c r="QTR57" s="0"/>
      <c r="QTS57" s="0"/>
      <c r="QTT57" s="0"/>
      <c r="QTU57" s="0"/>
      <c r="QTV57" s="0"/>
      <c r="QTW57" s="0"/>
      <c r="QTX57" s="0"/>
      <c r="QTY57" s="0"/>
      <c r="QTZ57" s="0"/>
      <c r="QUA57" s="0"/>
      <c r="QUB57" s="0"/>
      <c r="QUC57" s="0"/>
      <c r="QUD57" s="0"/>
      <c r="QUE57" s="0"/>
      <c r="QUF57" s="0"/>
      <c r="QUG57" s="0"/>
      <c r="QUH57" s="0"/>
      <c r="QUI57" s="0"/>
      <c r="QUJ57" s="0"/>
      <c r="QUK57" s="0"/>
      <c r="QUL57" s="0"/>
      <c r="QUM57" s="0"/>
      <c r="QUN57" s="0"/>
      <c r="QUO57" s="0"/>
      <c r="QUP57" s="0"/>
      <c r="QUQ57" s="0"/>
      <c r="QUR57" s="0"/>
      <c r="QUS57" s="0"/>
      <c r="QUT57" s="0"/>
      <c r="QUU57" s="0"/>
      <c r="QUV57" s="0"/>
      <c r="QUW57" s="0"/>
      <c r="QUX57" s="0"/>
      <c r="QUY57" s="0"/>
      <c r="QUZ57" s="0"/>
      <c r="QVA57" s="0"/>
      <c r="QVB57" s="0"/>
      <c r="QVC57" s="0"/>
      <c r="QVD57" s="0"/>
      <c r="QVE57" s="0"/>
      <c r="QVF57" s="0"/>
      <c r="QVG57" s="0"/>
      <c r="QVH57" s="0"/>
      <c r="QVI57" s="0"/>
      <c r="QVJ57" s="0"/>
      <c r="QVK57" s="0"/>
      <c r="QVL57" s="0"/>
      <c r="QVM57" s="0"/>
      <c r="QVN57" s="0"/>
      <c r="QVO57" s="0"/>
      <c r="QVP57" s="0"/>
      <c r="QVQ57" s="0"/>
      <c r="QVR57" s="0"/>
      <c r="QVS57" s="0"/>
      <c r="QVT57" s="0"/>
      <c r="QVU57" s="0"/>
      <c r="QVV57" s="0"/>
      <c r="QVW57" s="0"/>
      <c r="QVX57" s="0"/>
      <c r="QVY57" s="0"/>
      <c r="QVZ57" s="0"/>
      <c r="QWA57" s="0"/>
      <c r="QWB57" s="0"/>
      <c r="QWC57" s="0"/>
      <c r="QWD57" s="0"/>
      <c r="QWE57" s="0"/>
      <c r="QWF57" s="0"/>
      <c r="QWG57" s="0"/>
      <c r="QWH57" s="0"/>
      <c r="QWI57" s="0"/>
      <c r="QWJ57" s="0"/>
      <c r="QWK57" s="0"/>
      <c r="QWL57" s="0"/>
      <c r="QWM57" s="0"/>
      <c r="QWN57" s="0"/>
      <c r="QWO57" s="0"/>
      <c r="QWP57" s="0"/>
      <c r="QWQ57" s="0"/>
      <c r="QWR57" s="0"/>
      <c r="QWS57" s="0"/>
      <c r="QWT57" s="0"/>
      <c r="QWU57" s="0"/>
      <c r="QWV57" s="0"/>
      <c r="QWW57" s="0"/>
      <c r="QWX57" s="0"/>
      <c r="QWY57" s="0"/>
      <c r="QWZ57" s="0"/>
      <c r="QXA57" s="0"/>
      <c r="QXB57" s="0"/>
      <c r="QXC57" s="0"/>
      <c r="QXD57" s="0"/>
      <c r="QXE57" s="0"/>
      <c r="QXF57" s="0"/>
      <c r="QXG57" s="0"/>
      <c r="QXH57" s="0"/>
      <c r="QXI57" s="0"/>
      <c r="QXJ57" s="0"/>
      <c r="QXK57" s="0"/>
      <c r="QXL57" s="0"/>
      <c r="QXM57" s="0"/>
      <c r="QXN57" s="0"/>
      <c r="QXO57" s="0"/>
      <c r="QXP57" s="0"/>
      <c r="QXQ57" s="0"/>
      <c r="QXR57" s="0"/>
      <c r="QXS57" s="0"/>
      <c r="QXT57" s="0"/>
      <c r="QXU57" s="0"/>
      <c r="QXV57" s="0"/>
      <c r="QXW57" s="0"/>
      <c r="QXX57" s="0"/>
      <c r="QXY57" s="0"/>
      <c r="QXZ57" s="0"/>
      <c r="QYA57" s="0"/>
      <c r="QYB57" s="0"/>
      <c r="QYC57" s="0"/>
      <c r="QYD57" s="0"/>
      <c r="QYE57" s="0"/>
      <c r="QYF57" s="0"/>
      <c r="QYG57" s="0"/>
      <c r="QYH57" s="0"/>
      <c r="QYI57" s="0"/>
      <c r="QYJ57" s="0"/>
      <c r="QYK57" s="0"/>
      <c r="QYL57" s="0"/>
      <c r="QYM57" s="0"/>
      <c r="QYN57" s="0"/>
      <c r="QYO57" s="0"/>
      <c r="QYP57" s="0"/>
      <c r="QYQ57" s="0"/>
      <c r="QYR57" s="0"/>
      <c r="QYS57" s="0"/>
      <c r="QYT57" s="0"/>
      <c r="QYU57" s="0"/>
      <c r="QYV57" s="0"/>
      <c r="QYW57" s="0"/>
      <c r="QYX57" s="0"/>
      <c r="QYY57" s="0"/>
      <c r="QYZ57" s="0"/>
      <c r="QZA57" s="0"/>
      <c r="QZB57" s="0"/>
      <c r="QZC57" s="0"/>
      <c r="QZD57" s="0"/>
      <c r="QZE57" s="0"/>
      <c r="QZF57" s="0"/>
      <c r="QZG57" s="0"/>
      <c r="QZH57" s="0"/>
      <c r="QZI57" s="0"/>
      <c r="QZJ57" s="0"/>
      <c r="QZK57" s="0"/>
      <c r="QZL57" s="0"/>
      <c r="QZM57" s="0"/>
      <c r="QZN57" s="0"/>
      <c r="QZO57" s="0"/>
      <c r="QZP57" s="0"/>
      <c r="QZQ57" s="0"/>
      <c r="QZR57" s="0"/>
      <c r="QZS57" s="0"/>
      <c r="QZT57" s="0"/>
      <c r="QZU57" s="0"/>
      <c r="QZV57" s="0"/>
      <c r="QZW57" s="0"/>
      <c r="QZX57" s="0"/>
      <c r="QZY57" s="0"/>
      <c r="QZZ57" s="0"/>
      <c r="RAA57" s="0"/>
      <c r="RAB57" s="0"/>
      <c r="RAC57" s="0"/>
      <c r="RAD57" s="0"/>
      <c r="RAE57" s="0"/>
      <c r="RAF57" s="0"/>
      <c r="RAG57" s="0"/>
      <c r="RAH57" s="0"/>
      <c r="RAI57" s="0"/>
      <c r="RAJ57" s="0"/>
      <c r="RAK57" s="0"/>
      <c r="RAL57" s="0"/>
      <c r="RAM57" s="0"/>
      <c r="RAN57" s="0"/>
      <c r="RAO57" s="0"/>
      <c r="RAP57" s="0"/>
      <c r="RAQ57" s="0"/>
      <c r="RAR57" s="0"/>
      <c r="RAS57" s="0"/>
      <c r="RAT57" s="0"/>
      <c r="RAU57" s="0"/>
      <c r="RAV57" s="0"/>
      <c r="RAW57" s="0"/>
      <c r="RAX57" s="0"/>
      <c r="RAY57" s="0"/>
      <c r="RAZ57" s="0"/>
      <c r="RBA57" s="0"/>
      <c r="RBB57" s="0"/>
      <c r="RBC57" s="0"/>
      <c r="RBD57" s="0"/>
      <c r="RBE57" s="0"/>
      <c r="RBF57" s="0"/>
      <c r="RBG57" s="0"/>
      <c r="RBH57" s="0"/>
      <c r="RBI57" s="0"/>
      <c r="RBJ57" s="0"/>
      <c r="RBK57" s="0"/>
      <c r="RBL57" s="0"/>
      <c r="RBM57" s="0"/>
      <c r="RBN57" s="0"/>
      <c r="RBO57" s="0"/>
      <c r="RBP57" s="0"/>
      <c r="RBQ57" s="0"/>
      <c r="RBR57" s="0"/>
      <c r="RBS57" s="0"/>
      <c r="RBT57" s="0"/>
      <c r="RBU57" s="0"/>
      <c r="RBV57" s="0"/>
      <c r="RBW57" s="0"/>
      <c r="RBX57" s="0"/>
      <c r="RBY57" s="0"/>
      <c r="RBZ57" s="0"/>
      <c r="RCA57" s="0"/>
      <c r="RCB57" s="0"/>
      <c r="RCC57" s="0"/>
      <c r="RCD57" s="0"/>
      <c r="RCE57" s="0"/>
      <c r="RCF57" s="0"/>
      <c r="RCG57" s="0"/>
      <c r="RCH57" s="0"/>
      <c r="RCI57" s="0"/>
      <c r="RCJ57" s="0"/>
      <c r="RCK57" s="0"/>
      <c r="RCL57" s="0"/>
      <c r="RCM57" s="0"/>
      <c r="RCN57" s="0"/>
      <c r="RCO57" s="0"/>
      <c r="RCP57" s="0"/>
      <c r="RCQ57" s="0"/>
      <c r="RCR57" s="0"/>
      <c r="RCS57" s="0"/>
      <c r="RCT57" s="0"/>
      <c r="RCU57" s="0"/>
      <c r="RCV57" s="0"/>
      <c r="RCW57" s="0"/>
      <c r="RCX57" s="0"/>
      <c r="RCY57" s="0"/>
      <c r="RCZ57" s="0"/>
      <c r="RDA57" s="0"/>
      <c r="RDB57" s="0"/>
      <c r="RDC57" s="0"/>
      <c r="RDD57" s="0"/>
      <c r="RDE57" s="0"/>
      <c r="RDF57" s="0"/>
      <c r="RDG57" s="0"/>
      <c r="RDH57" s="0"/>
      <c r="RDI57" s="0"/>
      <c r="RDJ57" s="0"/>
      <c r="RDK57" s="0"/>
      <c r="RDL57" s="0"/>
      <c r="RDM57" s="0"/>
      <c r="RDN57" s="0"/>
      <c r="RDO57" s="0"/>
      <c r="RDP57" s="0"/>
      <c r="RDQ57" s="0"/>
      <c r="RDR57" s="0"/>
      <c r="RDS57" s="0"/>
      <c r="RDT57" s="0"/>
      <c r="RDU57" s="0"/>
      <c r="RDV57" s="0"/>
      <c r="RDW57" s="0"/>
      <c r="RDX57" s="0"/>
      <c r="RDY57" s="0"/>
      <c r="RDZ57" s="0"/>
      <c r="REA57" s="0"/>
      <c r="REB57" s="0"/>
      <c r="REC57" s="0"/>
      <c r="RED57" s="0"/>
      <c r="REE57" s="0"/>
      <c r="REF57" s="0"/>
      <c r="REG57" s="0"/>
      <c r="REH57" s="0"/>
      <c r="REI57" s="0"/>
      <c r="REJ57" s="0"/>
      <c r="REK57" s="0"/>
      <c r="REL57" s="0"/>
      <c r="REM57" s="0"/>
      <c r="REN57" s="0"/>
      <c r="REO57" s="0"/>
      <c r="REP57" s="0"/>
      <c r="REQ57" s="0"/>
      <c r="RER57" s="0"/>
      <c r="RES57" s="0"/>
      <c r="RET57" s="0"/>
      <c r="REU57" s="0"/>
      <c r="REV57" s="0"/>
      <c r="REW57" s="0"/>
      <c r="REX57" s="0"/>
      <c r="REY57" s="0"/>
      <c r="REZ57" s="0"/>
      <c r="RFA57" s="0"/>
      <c r="RFB57" s="0"/>
      <c r="RFC57" s="0"/>
      <c r="RFD57" s="0"/>
      <c r="RFE57" s="0"/>
      <c r="RFF57" s="0"/>
      <c r="RFG57" s="0"/>
      <c r="RFH57" s="0"/>
      <c r="RFI57" s="0"/>
      <c r="RFJ57" s="0"/>
      <c r="RFK57" s="0"/>
      <c r="RFL57" s="0"/>
      <c r="RFM57" s="0"/>
      <c r="RFN57" s="0"/>
      <c r="RFO57" s="0"/>
      <c r="RFP57" s="0"/>
      <c r="RFQ57" s="0"/>
      <c r="RFR57" s="0"/>
      <c r="RFS57" s="0"/>
      <c r="RFT57" s="0"/>
      <c r="RFU57" s="0"/>
      <c r="RFV57" s="0"/>
      <c r="RFW57" s="0"/>
      <c r="RFX57" s="0"/>
      <c r="RFY57" s="0"/>
      <c r="RFZ57" s="0"/>
      <c r="RGA57" s="0"/>
      <c r="RGB57" s="0"/>
      <c r="RGC57" s="0"/>
      <c r="RGD57" s="0"/>
      <c r="RGE57" s="0"/>
      <c r="RGF57" s="0"/>
      <c r="RGG57" s="0"/>
      <c r="RGH57" s="0"/>
      <c r="RGI57" s="0"/>
      <c r="RGJ57" s="0"/>
      <c r="RGK57" s="0"/>
      <c r="RGL57" s="0"/>
      <c r="RGM57" s="0"/>
      <c r="RGN57" s="0"/>
      <c r="RGO57" s="0"/>
      <c r="RGP57" s="0"/>
      <c r="RGQ57" s="0"/>
      <c r="RGR57" s="0"/>
      <c r="RGS57" s="0"/>
      <c r="RGT57" s="0"/>
      <c r="RGU57" s="0"/>
      <c r="RGV57" s="0"/>
      <c r="RGW57" s="0"/>
      <c r="RGX57" s="0"/>
      <c r="RGY57" s="0"/>
      <c r="RGZ57" s="0"/>
      <c r="RHA57" s="0"/>
      <c r="RHB57" s="0"/>
      <c r="RHC57" s="0"/>
      <c r="RHD57" s="0"/>
      <c r="RHE57" s="0"/>
      <c r="RHF57" s="0"/>
      <c r="RHG57" s="0"/>
      <c r="RHH57" s="0"/>
      <c r="RHI57" s="0"/>
      <c r="RHJ57" s="0"/>
      <c r="RHK57" s="0"/>
      <c r="RHL57" s="0"/>
      <c r="RHM57" s="0"/>
      <c r="RHN57" s="0"/>
      <c r="RHO57" s="0"/>
      <c r="RHP57" s="0"/>
      <c r="RHQ57" s="0"/>
      <c r="RHR57" s="0"/>
      <c r="RHS57" s="0"/>
      <c r="RHT57" s="0"/>
      <c r="RHU57" s="0"/>
      <c r="RHV57" s="0"/>
      <c r="RHW57" s="0"/>
      <c r="RHX57" s="0"/>
      <c r="RHY57" s="0"/>
      <c r="RHZ57" s="0"/>
      <c r="RIA57" s="0"/>
      <c r="RIB57" s="0"/>
      <c r="RIC57" s="0"/>
      <c r="RID57" s="0"/>
      <c r="RIE57" s="0"/>
      <c r="RIF57" s="0"/>
      <c r="RIG57" s="0"/>
      <c r="RIH57" s="0"/>
      <c r="RII57" s="0"/>
      <c r="RIJ57" s="0"/>
      <c r="RIK57" s="0"/>
      <c r="RIL57" s="0"/>
      <c r="RIM57" s="0"/>
      <c r="RIN57" s="0"/>
      <c r="RIO57" s="0"/>
      <c r="RIP57" s="0"/>
      <c r="RIQ57" s="0"/>
      <c r="RIR57" s="0"/>
      <c r="RIS57" s="0"/>
      <c r="RIT57" s="0"/>
      <c r="RIU57" s="0"/>
      <c r="RIV57" s="0"/>
      <c r="RIW57" s="0"/>
      <c r="RIX57" s="0"/>
      <c r="RIY57" s="0"/>
      <c r="RIZ57" s="0"/>
      <c r="RJA57" s="0"/>
      <c r="RJB57" s="0"/>
      <c r="RJC57" s="0"/>
      <c r="RJD57" s="0"/>
      <c r="RJE57" s="0"/>
      <c r="RJF57" s="0"/>
      <c r="RJG57" s="0"/>
      <c r="RJH57" s="0"/>
      <c r="RJI57" s="0"/>
      <c r="RJJ57" s="0"/>
      <c r="RJK57" s="0"/>
      <c r="RJL57" s="0"/>
      <c r="RJM57" s="0"/>
      <c r="RJN57" s="0"/>
      <c r="RJO57" s="0"/>
      <c r="RJP57" s="0"/>
      <c r="RJQ57" s="0"/>
      <c r="RJR57" s="0"/>
      <c r="RJS57" s="0"/>
      <c r="RJT57" s="0"/>
      <c r="RJU57" s="0"/>
      <c r="RJV57" s="0"/>
      <c r="RJW57" s="0"/>
      <c r="RJX57" s="0"/>
      <c r="RJY57" s="0"/>
      <c r="RJZ57" s="0"/>
      <c r="RKA57" s="0"/>
      <c r="RKB57" s="0"/>
      <c r="RKC57" s="0"/>
      <c r="RKD57" s="0"/>
      <c r="RKE57" s="0"/>
      <c r="RKF57" s="0"/>
      <c r="RKG57" s="0"/>
      <c r="RKH57" s="0"/>
      <c r="RKI57" s="0"/>
      <c r="RKJ57" s="0"/>
      <c r="RKK57" s="0"/>
      <c r="RKL57" s="0"/>
      <c r="RKM57" s="0"/>
      <c r="RKN57" s="0"/>
      <c r="RKO57" s="0"/>
      <c r="RKP57" s="0"/>
      <c r="RKQ57" s="0"/>
      <c r="RKR57" s="0"/>
      <c r="RKS57" s="0"/>
      <c r="RKT57" s="0"/>
      <c r="RKU57" s="0"/>
      <c r="RKV57" s="0"/>
      <c r="RKW57" s="0"/>
      <c r="RKX57" s="0"/>
      <c r="RKY57" s="0"/>
      <c r="RKZ57" s="0"/>
      <c r="RLA57" s="0"/>
      <c r="RLB57" s="0"/>
      <c r="RLC57" s="0"/>
      <c r="RLD57" s="0"/>
      <c r="RLE57" s="0"/>
      <c r="RLF57" s="0"/>
      <c r="RLG57" s="0"/>
      <c r="RLH57" s="0"/>
      <c r="RLI57" s="0"/>
      <c r="RLJ57" s="0"/>
      <c r="RLK57" s="0"/>
      <c r="RLL57" s="0"/>
      <c r="RLM57" s="0"/>
      <c r="RLN57" s="0"/>
      <c r="RLO57" s="0"/>
      <c r="RLP57" s="0"/>
      <c r="RLQ57" s="0"/>
      <c r="RLR57" s="0"/>
      <c r="RLS57" s="0"/>
      <c r="RLT57" s="0"/>
      <c r="RLU57" s="0"/>
      <c r="RLV57" s="0"/>
      <c r="RLW57" s="0"/>
      <c r="RLX57" s="0"/>
      <c r="RLY57" s="0"/>
      <c r="RLZ57" s="0"/>
      <c r="RMA57" s="0"/>
      <c r="RMB57" s="0"/>
      <c r="RMC57" s="0"/>
      <c r="RMD57" s="0"/>
      <c r="RME57" s="0"/>
      <c r="RMF57" s="0"/>
      <c r="RMG57" s="0"/>
      <c r="RMH57" s="0"/>
      <c r="RMI57" s="0"/>
      <c r="RMJ57" s="0"/>
      <c r="RMK57" s="0"/>
      <c r="RML57" s="0"/>
      <c r="RMM57" s="0"/>
      <c r="RMN57" s="0"/>
      <c r="RMO57" s="0"/>
      <c r="RMP57" s="0"/>
      <c r="RMQ57" s="0"/>
      <c r="RMR57" s="0"/>
      <c r="RMS57" s="0"/>
      <c r="RMT57" s="0"/>
      <c r="RMU57" s="0"/>
      <c r="RMV57" s="0"/>
      <c r="RMW57" s="0"/>
      <c r="RMX57" s="0"/>
      <c r="RMY57" s="0"/>
      <c r="RMZ57" s="0"/>
      <c r="RNA57" s="0"/>
      <c r="RNB57" s="0"/>
      <c r="RNC57" s="0"/>
      <c r="RND57" s="0"/>
      <c r="RNE57" s="0"/>
      <c r="RNF57" s="0"/>
      <c r="RNG57" s="0"/>
      <c r="RNH57" s="0"/>
      <c r="RNI57" s="0"/>
      <c r="RNJ57" s="0"/>
      <c r="RNK57" s="0"/>
      <c r="RNL57" s="0"/>
      <c r="RNM57" s="0"/>
      <c r="RNN57" s="0"/>
      <c r="RNO57" s="0"/>
      <c r="RNP57" s="0"/>
      <c r="RNQ57" s="0"/>
      <c r="RNR57" s="0"/>
      <c r="RNS57" s="0"/>
      <c r="RNT57" s="0"/>
      <c r="RNU57" s="0"/>
      <c r="RNV57" s="0"/>
      <c r="RNW57" s="0"/>
      <c r="RNX57" s="0"/>
      <c r="RNY57" s="0"/>
      <c r="RNZ57" s="0"/>
      <c r="ROA57" s="0"/>
      <c r="ROB57" s="0"/>
      <c r="ROC57" s="0"/>
      <c r="ROD57" s="0"/>
      <c r="ROE57" s="0"/>
      <c r="ROF57" s="0"/>
      <c r="ROG57" s="0"/>
      <c r="ROH57" s="0"/>
      <c r="ROI57" s="0"/>
      <c r="ROJ57" s="0"/>
      <c r="ROK57" s="0"/>
      <c r="ROL57" s="0"/>
      <c r="ROM57" s="0"/>
      <c r="RON57" s="0"/>
      <c r="ROO57" s="0"/>
      <c r="ROP57" s="0"/>
      <c r="ROQ57" s="0"/>
      <c r="ROR57" s="0"/>
      <c r="ROS57" s="0"/>
      <c r="ROT57" s="0"/>
      <c r="ROU57" s="0"/>
      <c r="ROV57" s="0"/>
      <c r="ROW57" s="0"/>
      <c r="ROX57" s="0"/>
      <c r="ROY57" s="0"/>
      <c r="ROZ57" s="0"/>
      <c r="RPA57" s="0"/>
      <c r="RPB57" s="0"/>
      <c r="RPC57" s="0"/>
      <c r="RPD57" s="0"/>
      <c r="RPE57" s="0"/>
      <c r="RPF57" s="0"/>
      <c r="RPG57" s="0"/>
      <c r="RPH57" s="0"/>
      <c r="RPI57" s="0"/>
      <c r="RPJ57" s="0"/>
      <c r="RPK57" s="0"/>
      <c r="RPL57" s="0"/>
      <c r="RPM57" s="0"/>
      <c r="RPN57" s="0"/>
      <c r="RPO57" s="0"/>
      <c r="RPP57" s="0"/>
      <c r="RPQ57" s="0"/>
      <c r="RPR57" s="0"/>
      <c r="RPS57" s="0"/>
      <c r="RPT57" s="0"/>
      <c r="RPU57" s="0"/>
      <c r="RPV57" s="0"/>
      <c r="RPW57" s="0"/>
      <c r="RPX57" s="0"/>
      <c r="RPY57" s="0"/>
      <c r="RPZ57" s="0"/>
      <c r="RQA57" s="0"/>
      <c r="RQB57" s="0"/>
      <c r="RQC57" s="0"/>
      <c r="RQD57" s="0"/>
      <c r="RQE57" s="0"/>
      <c r="RQF57" s="0"/>
      <c r="RQG57" s="0"/>
      <c r="RQH57" s="0"/>
      <c r="RQI57" s="0"/>
      <c r="RQJ57" s="0"/>
      <c r="RQK57" s="0"/>
      <c r="RQL57" s="0"/>
      <c r="RQM57" s="0"/>
      <c r="RQN57" s="0"/>
      <c r="RQO57" s="0"/>
      <c r="RQP57" s="0"/>
      <c r="RQQ57" s="0"/>
      <c r="RQR57" s="0"/>
      <c r="RQS57" s="0"/>
      <c r="RQT57" s="0"/>
      <c r="RQU57" s="0"/>
      <c r="RQV57" s="0"/>
      <c r="RQW57" s="0"/>
      <c r="RQX57" s="0"/>
      <c r="RQY57" s="0"/>
      <c r="RQZ57" s="0"/>
      <c r="RRA57" s="0"/>
      <c r="RRB57" s="0"/>
      <c r="RRC57" s="0"/>
      <c r="RRD57" s="0"/>
      <c r="RRE57" s="0"/>
      <c r="RRF57" s="0"/>
      <c r="RRG57" s="0"/>
      <c r="RRH57" s="0"/>
      <c r="RRI57" s="0"/>
      <c r="RRJ57" s="0"/>
      <c r="RRK57" s="0"/>
      <c r="RRL57" s="0"/>
      <c r="RRM57" s="0"/>
      <c r="RRN57" s="0"/>
      <c r="RRO57" s="0"/>
      <c r="RRP57" s="0"/>
      <c r="RRQ57" s="0"/>
      <c r="RRR57" s="0"/>
      <c r="RRS57" s="0"/>
      <c r="RRT57" s="0"/>
      <c r="RRU57" s="0"/>
      <c r="RRV57" s="0"/>
      <c r="RRW57" s="0"/>
      <c r="RRX57" s="0"/>
      <c r="RRY57" s="0"/>
      <c r="RRZ57" s="0"/>
      <c r="RSA57" s="0"/>
      <c r="RSB57" s="0"/>
      <c r="RSC57" s="0"/>
      <c r="RSD57" s="0"/>
      <c r="RSE57" s="0"/>
      <c r="RSF57" s="0"/>
      <c r="RSG57" s="0"/>
      <c r="RSH57" s="0"/>
      <c r="RSI57" s="0"/>
      <c r="RSJ57" s="0"/>
      <c r="RSK57" s="0"/>
      <c r="RSL57" s="0"/>
      <c r="RSM57" s="0"/>
      <c r="RSN57" s="0"/>
      <c r="RSO57" s="0"/>
      <c r="RSP57" s="0"/>
      <c r="RSQ57" s="0"/>
      <c r="RSR57" s="0"/>
      <c r="RSS57" s="0"/>
      <c r="RST57" s="0"/>
      <c r="RSU57" s="0"/>
      <c r="RSV57" s="0"/>
      <c r="RSW57" s="0"/>
      <c r="RSX57" s="0"/>
      <c r="RSY57" s="0"/>
      <c r="RSZ57" s="0"/>
      <c r="RTA57" s="0"/>
      <c r="RTB57" s="0"/>
      <c r="RTC57" s="0"/>
      <c r="RTD57" s="0"/>
      <c r="RTE57" s="0"/>
      <c r="RTF57" s="0"/>
      <c r="RTG57" s="0"/>
      <c r="RTH57" s="0"/>
      <c r="RTI57" s="0"/>
      <c r="RTJ57" s="0"/>
      <c r="RTK57" s="0"/>
      <c r="RTL57" s="0"/>
      <c r="RTM57" s="0"/>
      <c r="RTN57" s="0"/>
      <c r="RTO57" s="0"/>
      <c r="RTP57" s="0"/>
      <c r="RTQ57" s="0"/>
      <c r="RTR57" s="0"/>
      <c r="RTS57" s="0"/>
      <c r="RTT57" s="0"/>
      <c r="RTU57" s="0"/>
      <c r="RTV57" s="0"/>
      <c r="RTW57" s="0"/>
      <c r="RTX57" s="0"/>
      <c r="RTY57" s="0"/>
      <c r="RTZ57" s="0"/>
      <c r="RUA57" s="0"/>
      <c r="RUB57" s="0"/>
      <c r="RUC57" s="0"/>
      <c r="RUD57" s="0"/>
      <c r="RUE57" s="0"/>
      <c r="RUF57" s="0"/>
      <c r="RUG57" s="0"/>
      <c r="RUH57" s="0"/>
      <c r="RUI57" s="0"/>
      <c r="RUJ57" s="0"/>
      <c r="RUK57" s="0"/>
      <c r="RUL57" s="0"/>
      <c r="RUM57" s="0"/>
      <c r="RUN57" s="0"/>
      <c r="RUO57" s="0"/>
      <c r="RUP57" s="0"/>
      <c r="RUQ57" s="0"/>
      <c r="RUR57" s="0"/>
      <c r="RUS57" s="0"/>
      <c r="RUT57" s="0"/>
      <c r="RUU57" s="0"/>
      <c r="RUV57" s="0"/>
      <c r="RUW57" s="0"/>
      <c r="RUX57" s="0"/>
      <c r="RUY57" s="0"/>
      <c r="RUZ57" s="0"/>
      <c r="RVA57" s="0"/>
      <c r="RVB57" s="0"/>
      <c r="RVC57" s="0"/>
      <c r="RVD57" s="0"/>
      <c r="RVE57" s="0"/>
      <c r="RVF57" s="0"/>
      <c r="RVG57" s="0"/>
      <c r="RVH57" s="0"/>
      <c r="RVI57" s="0"/>
      <c r="RVJ57" s="0"/>
      <c r="RVK57" s="0"/>
      <c r="RVL57" s="0"/>
      <c r="RVM57" s="0"/>
      <c r="RVN57" s="0"/>
      <c r="RVO57" s="0"/>
      <c r="RVP57" s="0"/>
      <c r="RVQ57" s="0"/>
      <c r="RVR57" s="0"/>
      <c r="RVS57" s="0"/>
      <c r="RVT57" s="0"/>
      <c r="RVU57" s="0"/>
      <c r="RVV57" s="0"/>
      <c r="RVW57" s="0"/>
      <c r="RVX57" s="0"/>
      <c r="RVY57" s="0"/>
      <c r="RVZ57" s="0"/>
      <c r="RWA57" s="0"/>
      <c r="RWB57" s="0"/>
      <c r="RWC57" s="0"/>
      <c r="RWD57" s="0"/>
      <c r="RWE57" s="0"/>
      <c r="RWF57" s="0"/>
      <c r="RWG57" s="0"/>
      <c r="RWH57" s="0"/>
      <c r="RWI57" s="0"/>
      <c r="RWJ57" s="0"/>
      <c r="RWK57" s="0"/>
      <c r="RWL57" s="0"/>
      <c r="RWM57" s="0"/>
      <c r="RWN57" s="0"/>
      <c r="RWO57" s="0"/>
      <c r="RWP57" s="0"/>
      <c r="RWQ57" s="0"/>
      <c r="RWR57" s="0"/>
      <c r="RWS57" s="0"/>
      <c r="RWT57" s="0"/>
      <c r="RWU57" s="0"/>
      <c r="RWV57" s="0"/>
      <c r="RWW57" s="0"/>
      <c r="RWX57" s="0"/>
      <c r="RWY57" s="0"/>
      <c r="RWZ57" s="0"/>
      <c r="RXA57" s="0"/>
      <c r="RXB57" s="0"/>
      <c r="RXC57" s="0"/>
      <c r="RXD57" s="0"/>
      <c r="RXE57" s="0"/>
      <c r="RXF57" s="0"/>
      <c r="RXG57" s="0"/>
      <c r="RXH57" s="0"/>
      <c r="RXI57" s="0"/>
      <c r="RXJ57" s="0"/>
      <c r="RXK57" s="0"/>
      <c r="RXL57" s="0"/>
      <c r="RXM57" s="0"/>
      <c r="RXN57" s="0"/>
      <c r="RXO57" s="0"/>
      <c r="RXP57" s="0"/>
      <c r="RXQ57" s="0"/>
      <c r="RXR57" s="0"/>
      <c r="RXS57" s="0"/>
      <c r="RXT57" s="0"/>
      <c r="RXU57" s="0"/>
      <c r="RXV57" s="0"/>
      <c r="RXW57" s="0"/>
      <c r="RXX57" s="0"/>
      <c r="RXY57" s="0"/>
      <c r="RXZ57" s="0"/>
      <c r="RYA57" s="0"/>
      <c r="RYB57" s="0"/>
      <c r="RYC57" s="0"/>
      <c r="RYD57" s="0"/>
      <c r="RYE57" s="0"/>
      <c r="RYF57" s="0"/>
      <c r="RYG57" s="0"/>
      <c r="RYH57" s="0"/>
      <c r="RYI57" s="0"/>
      <c r="RYJ57" s="0"/>
      <c r="RYK57" s="0"/>
      <c r="RYL57" s="0"/>
      <c r="RYM57" s="0"/>
      <c r="RYN57" s="0"/>
      <c r="RYO57" s="0"/>
      <c r="RYP57" s="0"/>
      <c r="RYQ57" s="0"/>
      <c r="RYR57" s="0"/>
      <c r="RYS57" s="0"/>
      <c r="RYT57" s="0"/>
      <c r="RYU57" s="0"/>
      <c r="RYV57" s="0"/>
      <c r="RYW57" s="0"/>
      <c r="RYX57" s="0"/>
      <c r="RYY57" s="0"/>
      <c r="RYZ57" s="0"/>
      <c r="RZA57" s="0"/>
      <c r="RZB57" s="0"/>
      <c r="RZC57" s="0"/>
      <c r="RZD57" s="0"/>
      <c r="RZE57" s="0"/>
      <c r="RZF57" s="0"/>
      <c r="RZG57" s="0"/>
      <c r="RZH57" s="0"/>
      <c r="RZI57" s="0"/>
      <c r="RZJ57" s="0"/>
      <c r="RZK57" s="0"/>
      <c r="RZL57" s="0"/>
      <c r="RZM57" s="0"/>
      <c r="RZN57" s="0"/>
      <c r="RZO57" s="0"/>
      <c r="RZP57" s="0"/>
      <c r="RZQ57" s="0"/>
      <c r="RZR57" s="0"/>
      <c r="RZS57" s="0"/>
      <c r="RZT57" s="0"/>
      <c r="RZU57" s="0"/>
      <c r="RZV57" s="0"/>
      <c r="RZW57" s="0"/>
      <c r="RZX57" s="0"/>
      <c r="RZY57" s="0"/>
      <c r="RZZ57" s="0"/>
      <c r="SAA57" s="0"/>
      <c r="SAB57" s="0"/>
      <c r="SAC57" s="0"/>
      <c r="SAD57" s="0"/>
      <c r="SAE57" s="0"/>
      <c r="SAF57" s="0"/>
      <c r="SAG57" s="0"/>
      <c r="SAH57" s="0"/>
      <c r="SAI57" s="0"/>
      <c r="SAJ57" s="0"/>
      <c r="SAK57" s="0"/>
      <c r="SAL57" s="0"/>
      <c r="SAM57" s="0"/>
      <c r="SAN57" s="0"/>
      <c r="SAO57" s="0"/>
      <c r="SAP57" s="0"/>
      <c r="SAQ57" s="0"/>
      <c r="SAR57" s="0"/>
      <c r="SAS57" s="0"/>
      <c r="SAT57" s="0"/>
      <c r="SAU57" s="0"/>
      <c r="SAV57" s="0"/>
      <c r="SAW57" s="0"/>
      <c r="SAX57" s="0"/>
      <c r="SAY57" s="0"/>
      <c r="SAZ57" s="0"/>
      <c r="SBA57" s="0"/>
      <c r="SBB57" s="0"/>
      <c r="SBC57" s="0"/>
      <c r="SBD57" s="0"/>
      <c r="SBE57" s="0"/>
      <c r="SBF57" s="0"/>
      <c r="SBG57" s="0"/>
      <c r="SBH57" s="0"/>
      <c r="SBI57" s="0"/>
      <c r="SBJ57" s="0"/>
      <c r="SBK57" s="0"/>
      <c r="SBL57" s="0"/>
      <c r="SBM57" s="0"/>
      <c r="SBN57" s="0"/>
      <c r="SBO57" s="0"/>
      <c r="SBP57" s="0"/>
      <c r="SBQ57" s="0"/>
      <c r="SBR57" s="0"/>
      <c r="SBS57" s="0"/>
      <c r="SBT57" s="0"/>
      <c r="SBU57" s="0"/>
      <c r="SBV57" s="0"/>
      <c r="SBW57" s="0"/>
      <c r="SBX57" s="0"/>
      <c r="SBY57" s="0"/>
      <c r="SBZ57" s="0"/>
      <c r="SCA57" s="0"/>
      <c r="SCB57" s="0"/>
      <c r="SCC57" s="0"/>
      <c r="SCD57" s="0"/>
      <c r="SCE57" s="0"/>
      <c r="SCF57" s="0"/>
      <c r="SCG57" s="0"/>
      <c r="SCH57" s="0"/>
      <c r="SCI57" s="0"/>
      <c r="SCJ57" s="0"/>
      <c r="SCK57" s="0"/>
      <c r="SCL57" s="0"/>
      <c r="SCM57" s="0"/>
      <c r="SCN57" s="0"/>
      <c r="SCO57" s="0"/>
      <c r="SCP57" s="0"/>
      <c r="SCQ57" s="0"/>
      <c r="SCR57" s="0"/>
      <c r="SCS57" s="0"/>
      <c r="SCT57" s="0"/>
      <c r="SCU57" s="0"/>
      <c r="SCV57" s="0"/>
      <c r="SCW57" s="0"/>
      <c r="SCX57" s="0"/>
      <c r="SCY57" s="0"/>
      <c r="SCZ57" s="0"/>
      <c r="SDA57" s="0"/>
      <c r="SDB57" s="0"/>
      <c r="SDC57" s="0"/>
      <c r="SDD57" s="0"/>
      <c r="SDE57" s="0"/>
      <c r="SDF57" s="0"/>
      <c r="SDG57" s="0"/>
      <c r="SDH57" s="0"/>
      <c r="SDI57" s="0"/>
      <c r="SDJ57" s="0"/>
      <c r="SDK57" s="0"/>
      <c r="SDL57" s="0"/>
      <c r="SDM57" s="0"/>
      <c r="SDN57" s="0"/>
      <c r="SDO57" s="0"/>
      <c r="SDP57" s="0"/>
      <c r="SDQ57" s="0"/>
      <c r="SDR57" s="0"/>
      <c r="SDS57" s="0"/>
      <c r="SDT57" s="0"/>
      <c r="SDU57" s="0"/>
      <c r="SDV57" s="0"/>
      <c r="SDW57" s="0"/>
      <c r="SDX57" s="0"/>
      <c r="SDY57" s="0"/>
      <c r="SDZ57" s="0"/>
      <c r="SEA57" s="0"/>
      <c r="SEB57" s="0"/>
      <c r="SEC57" s="0"/>
      <c r="SED57" s="0"/>
      <c r="SEE57" s="0"/>
      <c r="SEF57" s="0"/>
      <c r="SEG57" s="0"/>
      <c r="SEH57" s="0"/>
      <c r="SEI57" s="0"/>
      <c r="SEJ57" s="0"/>
      <c r="SEK57" s="0"/>
      <c r="SEL57" s="0"/>
      <c r="SEM57" s="0"/>
      <c r="SEN57" s="0"/>
      <c r="SEO57" s="0"/>
      <c r="SEP57" s="0"/>
      <c r="SEQ57" s="0"/>
      <c r="SER57" s="0"/>
      <c r="SES57" s="0"/>
      <c r="SET57" s="0"/>
      <c r="SEU57" s="0"/>
      <c r="SEV57" s="0"/>
      <c r="SEW57" s="0"/>
      <c r="SEX57" s="0"/>
      <c r="SEY57" s="0"/>
      <c r="SEZ57" s="0"/>
      <c r="SFA57" s="0"/>
      <c r="SFB57" s="0"/>
      <c r="SFC57" s="0"/>
      <c r="SFD57" s="0"/>
      <c r="SFE57" s="0"/>
      <c r="SFF57" s="0"/>
      <c r="SFG57" s="0"/>
      <c r="SFH57" s="0"/>
      <c r="SFI57" s="0"/>
      <c r="SFJ57" s="0"/>
      <c r="SFK57" s="0"/>
      <c r="SFL57" s="0"/>
      <c r="SFM57" s="0"/>
      <c r="SFN57" s="0"/>
      <c r="SFO57" s="0"/>
      <c r="SFP57" s="0"/>
      <c r="SFQ57" s="0"/>
      <c r="SFR57" s="0"/>
      <c r="SFS57" s="0"/>
      <c r="SFT57" s="0"/>
      <c r="SFU57" s="0"/>
      <c r="SFV57" s="0"/>
      <c r="SFW57" s="0"/>
      <c r="SFX57" s="0"/>
      <c r="SFY57" s="0"/>
      <c r="SFZ57" s="0"/>
      <c r="SGA57" s="0"/>
      <c r="SGB57" s="0"/>
      <c r="SGC57" s="0"/>
      <c r="SGD57" s="0"/>
      <c r="SGE57" s="0"/>
      <c r="SGF57" s="0"/>
      <c r="SGG57" s="0"/>
      <c r="SGH57" s="0"/>
      <c r="SGI57" s="0"/>
      <c r="SGJ57" s="0"/>
      <c r="SGK57" s="0"/>
      <c r="SGL57" s="0"/>
      <c r="SGM57" s="0"/>
      <c r="SGN57" s="0"/>
      <c r="SGO57" s="0"/>
      <c r="SGP57" s="0"/>
      <c r="SGQ57" s="0"/>
      <c r="SGR57" s="0"/>
      <c r="SGS57" s="0"/>
      <c r="SGT57" s="0"/>
      <c r="SGU57" s="0"/>
      <c r="SGV57" s="0"/>
      <c r="SGW57" s="0"/>
      <c r="SGX57" s="0"/>
      <c r="SGY57" s="0"/>
      <c r="SGZ57" s="0"/>
      <c r="SHA57" s="0"/>
      <c r="SHB57" s="0"/>
      <c r="SHC57" s="0"/>
      <c r="SHD57" s="0"/>
      <c r="SHE57" s="0"/>
      <c r="SHF57" s="0"/>
      <c r="SHG57" s="0"/>
      <c r="SHH57" s="0"/>
      <c r="SHI57" s="0"/>
      <c r="SHJ57" s="0"/>
      <c r="SHK57" s="0"/>
      <c r="SHL57" s="0"/>
      <c r="SHM57" s="0"/>
      <c r="SHN57" s="0"/>
      <c r="SHO57" s="0"/>
      <c r="SHP57" s="0"/>
      <c r="SHQ57" s="0"/>
      <c r="SHR57" s="0"/>
      <c r="SHS57" s="0"/>
      <c r="SHT57" s="0"/>
      <c r="SHU57" s="0"/>
      <c r="SHV57" s="0"/>
      <c r="SHW57" s="0"/>
      <c r="SHX57" s="0"/>
      <c r="SHY57" s="0"/>
      <c r="SHZ57" s="0"/>
      <c r="SIA57" s="0"/>
      <c r="SIB57" s="0"/>
      <c r="SIC57" s="0"/>
      <c r="SID57" s="0"/>
      <c r="SIE57" s="0"/>
      <c r="SIF57" s="0"/>
      <c r="SIG57" s="0"/>
      <c r="SIH57" s="0"/>
      <c r="SII57" s="0"/>
      <c r="SIJ57" s="0"/>
      <c r="SIK57" s="0"/>
      <c r="SIL57" s="0"/>
      <c r="SIM57" s="0"/>
      <c r="SIN57" s="0"/>
      <c r="SIO57" s="0"/>
      <c r="SIP57" s="0"/>
      <c r="SIQ57" s="0"/>
      <c r="SIR57" s="0"/>
      <c r="SIS57" s="0"/>
      <c r="SIT57" s="0"/>
      <c r="SIU57" s="0"/>
      <c r="SIV57" s="0"/>
      <c r="SIW57" s="0"/>
      <c r="SIX57" s="0"/>
      <c r="SIY57" s="0"/>
      <c r="SIZ57" s="0"/>
      <c r="SJA57" s="0"/>
      <c r="SJB57" s="0"/>
      <c r="SJC57" s="0"/>
      <c r="SJD57" s="0"/>
      <c r="SJE57" s="0"/>
      <c r="SJF57" s="0"/>
      <c r="SJG57" s="0"/>
      <c r="SJH57" s="0"/>
      <c r="SJI57" s="0"/>
      <c r="SJJ57" s="0"/>
      <c r="SJK57" s="0"/>
      <c r="SJL57" s="0"/>
      <c r="SJM57" s="0"/>
      <c r="SJN57" s="0"/>
      <c r="SJO57" s="0"/>
      <c r="SJP57" s="0"/>
      <c r="SJQ57" s="0"/>
      <c r="SJR57" s="0"/>
      <c r="SJS57" s="0"/>
      <c r="SJT57" s="0"/>
      <c r="SJU57" s="0"/>
      <c r="SJV57" s="0"/>
      <c r="SJW57" s="0"/>
      <c r="SJX57" s="0"/>
      <c r="SJY57" s="0"/>
      <c r="SJZ57" s="0"/>
      <c r="SKA57" s="0"/>
      <c r="SKB57" s="0"/>
      <c r="SKC57" s="0"/>
      <c r="SKD57" s="0"/>
      <c r="SKE57" s="0"/>
      <c r="SKF57" s="0"/>
      <c r="SKG57" s="0"/>
      <c r="SKH57" s="0"/>
      <c r="SKI57" s="0"/>
      <c r="SKJ57" s="0"/>
      <c r="SKK57" s="0"/>
      <c r="SKL57" s="0"/>
      <c r="SKM57" s="0"/>
      <c r="SKN57" s="0"/>
      <c r="SKO57" s="0"/>
      <c r="SKP57" s="0"/>
      <c r="SKQ57" s="0"/>
      <c r="SKR57" s="0"/>
      <c r="SKS57" s="0"/>
      <c r="SKT57" s="0"/>
      <c r="SKU57" s="0"/>
      <c r="SKV57" s="0"/>
      <c r="SKW57" s="0"/>
      <c r="SKX57" s="0"/>
      <c r="SKY57" s="0"/>
      <c r="SKZ57" s="0"/>
      <c r="SLA57" s="0"/>
      <c r="SLB57" s="0"/>
      <c r="SLC57" s="0"/>
      <c r="SLD57" s="0"/>
      <c r="SLE57" s="0"/>
      <c r="SLF57" s="0"/>
      <c r="SLG57" s="0"/>
      <c r="SLH57" s="0"/>
      <c r="SLI57" s="0"/>
      <c r="SLJ57" s="0"/>
      <c r="SLK57" s="0"/>
      <c r="SLL57" s="0"/>
      <c r="SLM57" s="0"/>
      <c r="SLN57" s="0"/>
      <c r="SLO57" s="0"/>
      <c r="SLP57" s="0"/>
      <c r="SLQ57" s="0"/>
      <c r="SLR57" s="0"/>
      <c r="SLS57" s="0"/>
      <c r="SLT57" s="0"/>
      <c r="SLU57" s="0"/>
      <c r="SLV57" s="0"/>
      <c r="SLW57" s="0"/>
      <c r="SLX57" s="0"/>
      <c r="SLY57" s="0"/>
      <c r="SLZ57" s="0"/>
      <c r="SMA57" s="0"/>
      <c r="SMB57" s="0"/>
      <c r="SMC57" s="0"/>
      <c r="SMD57" s="0"/>
      <c r="SME57" s="0"/>
      <c r="SMF57" s="0"/>
      <c r="SMG57" s="0"/>
      <c r="SMH57" s="0"/>
      <c r="SMI57" s="0"/>
      <c r="SMJ57" s="0"/>
      <c r="SMK57" s="0"/>
      <c r="SML57" s="0"/>
      <c r="SMM57" s="0"/>
      <c r="SMN57" s="0"/>
      <c r="SMO57" s="0"/>
      <c r="SMP57" s="0"/>
      <c r="SMQ57" s="0"/>
      <c r="SMR57" s="0"/>
      <c r="SMS57" s="0"/>
      <c r="SMT57" s="0"/>
      <c r="SMU57" s="0"/>
      <c r="SMV57" s="0"/>
      <c r="SMW57" s="0"/>
      <c r="SMX57" s="0"/>
      <c r="SMY57" s="0"/>
      <c r="SMZ57" s="0"/>
      <c r="SNA57" s="0"/>
      <c r="SNB57" s="0"/>
      <c r="SNC57" s="0"/>
      <c r="SND57" s="0"/>
      <c r="SNE57" s="0"/>
      <c r="SNF57" s="0"/>
      <c r="SNG57" s="0"/>
      <c r="SNH57" s="0"/>
      <c r="SNI57" s="0"/>
      <c r="SNJ57" s="0"/>
      <c r="SNK57" s="0"/>
      <c r="SNL57" s="0"/>
      <c r="SNM57" s="0"/>
      <c r="SNN57" s="0"/>
      <c r="SNO57" s="0"/>
      <c r="SNP57" s="0"/>
      <c r="SNQ57" s="0"/>
      <c r="SNR57" s="0"/>
      <c r="SNS57" s="0"/>
      <c r="SNT57" s="0"/>
      <c r="SNU57" s="0"/>
      <c r="SNV57" s="0"/>
      <c r="SNW57" s="0"/>
      <c r="SNX57" s="0"/>
      <c r="SNY57" s="0"/>
      <c r="SNZ57" s="0"/>
      <c r="SOA57" s="0"/>
      <c r="SOB57" s="0"/>
      <c r="SOC57" s="0"/>
      <c r="SOD57" s="0"/>
      <c r="SOE57" s="0"/>
      <c r="SOF57" s="0"/>
      <c r="SOG57" s="0"/>
      <c r="SOH57" s="0"/>
      <c r="SOI57" s="0"/>
      <c r="SOJ57" s="0"/>
      <c r="SOK57" s="0"/>
      <c r="SOL57" s="0"/>
      <c r="SOM57" s="0"/>
      <c r="SON57" s="0"/>
      <c r="SOO57" s="0"/>
      <c r="SOP57" s="0"/>
      <c r="SOQ57" s="0"/>
      <c r="SOR57" s="0"/>
      <c r="SOS57" s="0"/>
      <c r="SOT57" s="0"/>
      <c r="SOU57" s="0"/>
      <c r="SOV57" s="0"/>
      <c r="SOW57" s="0"/>
      <c r="SOX57" s="0"/>
      <c r="SOY57" s="0"/>
      <c r="SOZ57" s="0"/>
      <c r="SPA57" s="0"/>
      <c r="SPB57" s="0"/>
      <c r="SPC57" s="0"/>
      <c r="SPD57" s="0"/>
      <c r="SPE57" s="0"/>
      <c r="SPF57" s="0"/>
      <c r="SPG57" s="0"/>
      <c r="SPH57" s="0"/>
      <c r="SPI57" s="0"/>
      <c r="SPJ57" s="0"/>
      <c r="SPK57" s="0"/>
      <c r="SPL57" s="0"/>
      <c r="SPM57" s="0"/>
      <c r="SPN57" s="0"/>
      <c r="SPO57" s="0"/>
      <c r="SPP57" s="0"/>
      <c r="SPQ57" s="0"/>
      <c r="SPR57" s="0"/>
      <c r="SPS57" s="0"/>
      <c r="SPT57" s="0"/>
      <c r="SPU57" s="0"/>
      <c r="SPV57" s="0"/>
      <c r="SPW57" s="0"/>
      <c r="SPX57" s="0"/>
      <c r="SPY57" s="0"/>
      <c r="SPZ57" s="0"/>
      <c r="SQA57" s="0"/>
      <c r="SQB57" s="0"/>
      <c r="SQC57" s="0"/>
      <c r="SQD57" s="0"/>
      <c r="SQE57" s="0"/>
      <c r="SQF57" s="0"/>
      <c r="SQG57" s="0"/>
      <c r="SQH57" s="0"/>
      <c r="SQI57" s="0"/>
      <c r="SQJ57" s="0"/>
      <c r="SQK57" s="0"/>
      <c r="SQL57" s="0"/>
      <c r="SQM57" s="0"/>
      <c r="SQN57" s="0"/>
      <c r="SQO57" s="0"/>
      <c r="SQP57" s="0"/>
      <c r="SQQ57" s="0"/>
      <c r="SQR57" s="0"/>
      <c r="SQS57" s="0"/>
      <c r="SQT57" s="0"/>
      <c r="SQU57" s="0"/>
      <c r="SQV57" s="0"/>
      <c r="SQW57" s="0"/>
      <c r="SQX57" s="0"/>
      <c r="SQY57" s="0"/>
      <c r="SQZ57" s="0"/>
      <c r="SRA57" s="0"/>
      <c r="SRB57" s="0"/>
      <c r="SRC57" s="0"/>
      <c r="SRD57" s="0"/>
      <c r="SRE57" s="0"/>
      <c r="SRF57" s="0"/>
      <c r="SRG57" s="0"/>
      <c r="SRH57" s="0"/>
      <c r="SRI57" s="0"/>
      <c r="SRJ57" s="0"/>
      <c r="SRK57" s="0"/>
      <c r="SRL57" s="0"/>
      <c r="SRM57" s="0"/>
      <c r="SRN57" s="0"/>
      <c r="SRO57" s="0"/>
      <c r="SRP57" s="0"/>
      <c r="SRQ57" s="0"/>
      <c r="SRR57" s="0"/>
      <c r="SRS57" s="0"/>
      <c r="SRT57" s="0"/>
      <c r="SRU57" s="0"/>
      <c r="SRV57" s="0"/>
      <c r="SRW57" s="0"/>
      <c r="SRX57" s="0"/>
      <c r="SRY57" s="0"/>
      <c r="SRZ57" s="0"/>
      <c r="SSA57" s="0"/>
      <c r="SSB57" s="0"/>
      <c r="SSC57" s="0"/>
      <c r="SSD57" s="0"/>
      <c r="SSE57" s="0"/>
      <c r="SSF57" s="0"/>
      <c r="SSG57" s="0"/>
      <c r="SSH57" s="0"/>
      <c r="SSI57" s="0"/>
      <c r="SSJ57" s="0"/>
      <c r="SSK57" s="0"/>
      <c r="SSL57" s="0"/>
      <c r="SSM57" s="0"/>
      <c r="SSN57" s="0"/>
      <c r="SSO57" s="0"/>
      <c r="SSP57" s="0"/>
      <c r="SSQ57" s="0"/>
      <c r="SSR57" s="0"/>
      <c r="SSS57" s="0"/>
      <c r="SST57" s="0"/>
      <c r="SSU57" s="0"/>
      <c r="SSV57" s="0"/>
      <c r="SSW57" s="0"/>
      <c r="SSX57" s="0"/>
      <c r="SSY57" s="0"/>
      <c r="SSZ57" s="0"/>
      <c r="STA57" s="0"/>
      <c r="STB57" s="0"/>
      <c r="STC57" s="0"/>
      <c r="STD57" s="0"/>
      <c r="STE57" s="0"/>
      <c r="STF57" s="0"/>
      <c r="STG57" s="0"/>
      <c r="STH57" s="0"/>
      <c r="STI57" s="0"/>
      <c r="STJ57" s="0"/>
      <c r="STK57" s="0"/>
      <c r="STL57" s="0"/>
      <c r="STM57" s="0"/>
      <c r="STN57" s="0"/>
      <c r="STO57" s="0"/>
      <c r="STP57" s="0"/>
      <c r="STQ57" s="0"/>
      <c r="STR57" s="0"/>
      <c r="STS57" s="0"/>
      <c r="STT57" s="0"/>
      <c r="STU57" s="0"/>
      <c r="STV57" s="0"/>
      <c r="STW57" s="0"/>
      <c r="STX57" s="0"/>
      <c r="STY57" s="0"/>
      <c r="STZ57" s="0"/>
      <c r="SUA57" s="0"/>
      <c r="SUB57" s="0"/>
      <c r="SUC57" s="0"/>
      <c r="SUD57" s="0"/>
      <c r="SUE57" s="0"/>
      <c r="SUF57" s="0"/>
      <c r="SUG57" s="0"/>
      <c r="SUH57" s="0"/>
      <c r="SUI57" s="0"/>
      <c r="SUJ57" s="0"/>
      <c r="SUK57" s="0"/>
      <c r="SUL57" s="0"/>
      <c r="SUM57" s="0"/>
      <c r="SUN57" s="0"/>
      <c r="SUO57" s="0"/>
      <c r="SUP57" s="0"/>
      <c r="SUQ57" s="0"/>
      <c r="SUR57" s="0"/>
      <c r="SUS57" s="0"/>
      <c r="SUT57" s="0"/>
      <c r="SUU57" s="0"/>
      <c r="SUV57" s="0"/>
      <c r="SUW57" s="0"/>
      <c r="SUX57" s="0"/>
      <c r="SUY57" s="0"/>
      <c r="SUZ57" s="0"/>
      <c r="SVA57" s="0"/>
      <c r="SVB57" s="0"/>
      <c r="SVC57" s="0"/>
      <c r="SVD57" s="0"/>
      <c r="SVE57" s="0"/>
      <c r="SVF57" s="0"/>
      <c r="SVG57" s="0"/>
      <c r="SVH57" s="0"/>
      <c r="SVI57" s="0"/>
      <c r="SVJ57" s="0"/>
      <c r="SVK57" s="0"/>
      <c r="SVL57" s="0"/>
      <c r="SVM57" s="0"/>
      <c r="SVN57" s="0"/>
      <c r="SVO57" s="0"/>
      <c r="SVP57" s="0"/>
      <c r="SVQ57" s="0"/>
      <c r="SVR57" s="0"/>
      <c r="SVS57" s="0"/>
      <c r="SVT57" s="0"/>
      <c r="SVU57" s="0"/>
      <c r="SVV57" s="0"/>
      <c r="SVW57" s="0"/>
      <c r="SVX57" s="0"/>
      <c r="SVY57" s="0"/>
      <c r="SVZ57" s="0"/>
      <c r="SWA57" s="0"/>
      <c r="SWB57" s="0"/>
      <c r="SWC57" s="0"/>
      <c r="SWD57" s="0"/>
      <c r="SWE57" s="0"/>
      <c r="SWF57" s="0"/>
      <c r="SWG57" s="0"/>
      <c r="SWH57" s="0"/>
      <c r="SWI57" s="0"/>
      <c r="SWJ57" s="0"/>
      <c r="SWK57" s="0"/>
      <c r="SWL57" s="0"/>
      <c r="SWM57" s="0"/>
      <c r="SWN57" s="0"/>
      <c r="SWO57" s="0"/>
      <c r="SWP57" s="0"/>
      <c r="SWQ57" s="0"/>
      <c r="SWR57" s="0"/>
      <c r="SWS57" s="0"/>
      <c r="SWT57" s="0"/>
      <c r="SWU57" s="0"/>
      <c r="SWV57" s="0"/>
      <c r="SWW57" s="0"/>
      <c r="SWX57" s="0"/>
      <c r="SWY57" s="0"/>
      <c r="SWZ57" s="0"/>
      <c r="SXA57" s="0"/>
      <c r="SXB57" s="0"/>
      <c r="SXC57" s="0"/>
      <c r="SXD57" s="0"/>
      <c r="SXE57" s="0"/>
      <c r="SXF57" s="0"/>
      <c r="SXG57" s="0"/>
      <c r="SXH57" s="0"/>
      <c r="SXI57" s="0"/>
      <c r="SXJ57" s="0"/>
      <c r="SXK57" s="0"/>
      <c r="SXL57" s="0"/>
      <c r="SXM57" s="0"/>
      <c r="SXN57" s="0"/>
      <c r="SXO57" s="0"/>
      <c r="SXP57" s="0"/>
      <c r="SXQ57" s="0"/>
      <c r="SXR57" s="0"/>
      <c r="SXS57" s="0"/>
      <c r="SXT57" s="0"/>
      <c r="SXU57" s="0"/>
      <c r="SXV57" s="0"/>
      <c r="SXW57" s="0"/>
      <c r="SXX57" s="0"/>
      <c r="SXY57" s="0"/>
      <c r="SXZ57" s="0"/>
      <c r="SYA57" s="0"/>
      <c r="SYB57" s="0"/>
      <c r="SYC57" s="0"/>
      <c r="SYD57" s="0"/>
      <c r="SYE57" s="0"/>
      <c r="SYF57" s="0"/>
      <c r="SYG57" s="0"/>
      <c r="SYH57" s="0"/>
      <c r="SYI57" s="0"/>
      <c r="SYJ57" s="0"/>
      <c r="SYK57" s="0"/>
      <c r="SYL57" s="0"/>
      <c r="SYM57" s="0"/>
      <c r="SYN57" s="0"/>
      <c r="SYO57" s="0"/>
      <c r="SYP57" s="0"/>
      <c r="SYQ57" s="0"/>
      <c r="SYR57" s="0"/>
      <c r="SYS57" s="0"/>
      <c r="SYT57" s="0"/>
      <c r="SYU57" s="0"/>
      <c r="SYV57" s="0"/>
      <c r="SYW57" s="0"/>
      <c r="SYX57" s="0"/>
      <c r="SYY57" s="0"/>
      <c r="SYZ57" s="0"/>
      <c r="SZA57" s="0"/>
      <c r="SZB57" s="0"/>
      <c r="SZC57" s="0"/>
      <c r="SZD57" s="0"/>
      <c r="SZE57" s="0"/>
      <c r="SZF57" s="0"/>
      <c r="SZG57" s="0"/>
      <c r="SZH57" s="0"/>
      <c r="SZI57" s="0"/>
      <c r="SZJ57" s="0"/>
      <c r="SZK57" s="0"/>
      <c r="SZL57" s="0"/>
      <c r="SZM57" s="0"/>
      <c r="SZN57" s="0"/>
      <c r="SZO57" s="0"/>
      <c r="SZP57" s="0"/>
      <c r="SZQ57" s="0"/>
      <c r="SZR57" s="0"/>
      <c r="SZS57" s="0"/>
      <c r="SZT57" s="0"/>
      <c r="SZU57" s="0"/>
      <c r="SZV57" s="0"/>
      <c r="SZW57" s="0"/>
      <c r="SZX57" s="0"/>
      <c r="SZY57" s="0"/>
      <c r="SZZ57" s="0"/>
      <c r="TAA57" s="0"/>
      <c r="TAB57" s="0"/>
      <c r="TAC57" s="0"/>
      <c r="TAD57" s="0"/>
      <c r="TAE57" s="0"/>
      <c r="TAF57" s="0"/>
      <c r="TAG57" s="0"/>
      <c r="TAH57" s="0"/>
      <c r="TAI57" s="0"/>
      <c r="TAJ57" s="0"/>
      <c r="TAK57" s="0"/>
      <c r="TAL57" s="0"/>
      <c r="TAM57" s="0"/>
      <c r="TAN57" s="0"/>
      <c r="TAO57" s="0"/>
      <c r="TAP57" s="0"/>
      <c r="TAQ57" s="0"/>
      <c r="TAR57" s="0"/>
      <c r="TAS57" s="0"/>
      <c r="TAT57" s="0"/>
      <c r="TAU57" s="0"/>
      <c r="TAV57" s="0"/>
      <c r="TAW57" s="0"/>
      <c r="TAX57" s="0"/>
      <c r="TAY57" s="0"/>
      <c r="TAZ57" s="0"/>
      <c r="TBA57" s="0"/>
      <c r="TBB57" s="0"/>
      <c r="TBC57" s="0"/>
      <c r="TBD57" s="0"/>
      <c r="TBE57" s="0"/>
      <c r="TBF57" s="0"/>
      <c r="TBG57" s="0"/>
      <c r="TBH57" s="0"/>
      <c r="TBI57" s="0"/>
      <c r="TBJ57" s="0"/>
      <c r="TBK57" s="0"/>
      <c r="TBL57" s="0"/>
      <c r="TBM57" s="0"/>
      <c r="TBN57" s="0"/>
      <c r="TBO57" s="0"/>
      <c r="TBP57" s="0"/>
      <c r="TBQ57" s="0"/>
      <c r="TBR57" s="0"/>
      <c r="TBS57" s="0"/>
      <c r="TBT57" s="0"/>
      <c r="TBU57" s="0"/>
      <c r="TBV57" s="0"/>
      <c r="TBW57" s="0"/>
      <c r="TBX57" s="0"/>
      <c r="TBY57" s="0"/>
      <c r="TBZ57" s="0"/>
      <c r="TCA57" s="0"/>
      <c r="TCB57" s="0"/>
      <c r="TCC57" s="0"/>
      <c r="TCD57" s="0"/>
      <c r="TCE57" s="0"/>
      <c r="TCF57" s="0"/>
      <c r="TCG57" s="0"/>
      <c r="TCH57" s="0"/>
      <c r="TCI57" s="0"/>
      <c r="TCJ57" s="0"/>
      <c r="TCK57" s="0"/>
      <c r="TCL57" s="0"/>
      <c r="TCM57" s="0"/>
      <c r="TCN57" s="0"/>
      <c r="TCO57" s="0"/>
      <c r="TCP57" s="0"/>
      <c r="TCQ57" s="0"/>
      <c r="TCR57" s="0"/>
      <c r="TCS57" s="0"/>
      <c r="TCT57" s="0"/>
      <c r="TCU57" s="0"/>
      <c r="TCV57" s="0"/>
      <c r="TCW57" s="0"/>
      <c r="TCX57" s="0"/>
      <c r="TCY57" s="0"/>
      <c r="TCZ57" s="0"/>
      <c r="TDA57" s="0"/>
      <c r="TDB57" s="0"/>
      <c r="TDC57" s="0"/>
      <c r="TDD57" s="0"/>
      <c r="TDE57" s="0"/>
      <c r="TDF57" s="0"/>
      <c r="TDG57" s="0"/>
      <c r="TDH57" s="0"/>
      <c r="TDI57" s="0"/>
      <c r="TDJ57" s="0"/>
      <c r="TDK57" s="0"/>
      <c r="TDL57" s="0"/>
      <c r="TDM57" s="0"/>
      <c r="TDN57" s="0"/>
      <c r="TDO57" s="0"/>
      <c r="TDP57" s="0"/>
      <c r="TDQ57" s="0"/>
      <c r="TDR57" s="0"/>
      <c r="TDS57" s="0"/>
      <c r="TDT57" s="0"/>
      <c r="TDU57" s="0"/>
      <c r="TDV57" s="0"/>
      <c r="TDW57" s="0"/>
      <c r="TDX57" s="0"/>
      <c r="TDY57" s="0"/>
      <c r="TDZ57" s="0"/>
      <c r="TEA57" s="0"/>
      <c r="TEB57" s="0"/>
      <c r="TEC57" s="0"/>
      <c r="TED57" s="0"/>
      <c r="TEE57" s="0"/>
      <c r="TEF57" s="0"/>
      <c r="TEG57" s="0"/>
      <c r="TEH57" s="0"/>
      <c r="TEI57" s="0"/>
      <c r="TEJ57" s="0"/>
      <c r="TEK57" s="0"/>
      <c r="TEL57" s="0"/>
      <c r="TEM57" s="0"/>
      <c r="TEN57" s="0"/>
      <c r="TEO57" s="0"/>
      <c r="TEP57" s="0"/>
      <c r="TEQ57" s="0"/>
      <c r="TER57" s="0"/>
      <c r="TES57" s="0"/>
      <c r="TET57" s="0"/>
      <c r="TEU57" s="0"/>
      <c r="TEV57" s="0"/>
      <c r="TEW57" s="0"/>
      <c r="TEX57" s="0"/>
      <c r="TEY57" s="0"/>
      <c r="TEZ57" s="0"/>
      <c r="TFA57" s="0"/>
      <c r="TFB57" s="0"/>
      <c r="TFC57" s="0"/>
      <c r="TFD57" s="0"/>
      <c r="TFE57" s="0"/>
      <c r="TFF57" s="0"/>
      <c r="TFG57" s="0"/>
      <c r="TFH57" s="0"/>
      <c r="TFI57" s="0"/>
      <c r="TFJ57" s="0"/>
      <c r="TFK57" s="0"/>
      <c r="TFL57" s="0"/>
      <c r="TFM57" s="0"/>
      <c r="TFN57" s="0"/>
      <c r="TFO57" s="0"/>
      <c r="TFP57" s="0"/>
      <c r="TFQ57" s="0"/>
      <c r="TFR57" s="0"/>
      <c r="TFS57" s="0"/>
      <c r="TFT57" s="0"/>
      <c r="TFU57" s="0"/>
      <c r="TFV57" s="0"/>
      <c r="TFW57" s="0"/>
      <c r="TFX57" s="0"/>
      <c r="TFY57" s="0"/>
      <c r="TFZ57" s="0"/>
      <c r="TGA57" s="0"/>
      <c r="TGB57" s="0"/>
      <c r="TGC57" s="0"/>
      <c r="TGD57" s="0"/>
      <c r="TGE57" s="0"/>
      <c r="TGF57" s="0"/>
      <c r="TGG57" s="0"/>
      <c r="TGH57" s="0"/>
      <c r="TGI57" s="0"/>
      <c r="TGJ57" s="0"/>
      <c r="TGK57" s="0"/>
      <c r="TGL57" s="0"/>
      <c r="TGM57" s="0"/>
      <c r="TGN57" s="0"/>
      <c r="TGO57" s="0"/>
      <c r="TGP57" s="0"/>
      <c r="TGQ57" s="0"/>
      <c r="TGR57" s="0"/>
      <c r="TGS57" s="0"/>
      <c r="TGT57" s="0"/>
      <c r="TGU57" s="0"/>
      <c r="TGV57" s="0"/>
      <c r="TGW57" s="0"/>
      <c r="TGX57" s="0"/>
      <c r="TGY57" s="0"/>
      <c r="TGZ57" s="0"/>
      <c r="THA57" s="0"/>
      <c r="THB57" s="0"/>
      <c r="THC57" s="0"/>
      <c r="THD57" s="0"/>
      <c r="THE57" s="0"/>
      <c r="THF57" s="0"/>
      <c r="THG57" s="0"/>
      <c r="THH57" s="0"/>
      <c r="THI57" s="0"/>
      <c r="THJ57" s="0"/>
      <c r="THK57" s="0"/>
      <c r="THL57" s="0"/>
      <c r="THM57" s="0"/>
      <c r="THN57" s="0"/>
      <c r="THO57" s="0"/>
      <c r="THP57" s="0"/>
      <c r="THQ57" s="0"/>
      <c r="THR57" s="0"/>
      <c r="THS57" s="0"/>
      <c r="THT57" s="0"/>
      <c r="THU57" s="0"/>
      <c r="THV57" s="0"/>
      <c r="THW57" s="0"/>
      <c r="THX57" s="0"/>
      <c r="THY57" s="0"/>
      <c r="THZ57" s="0"/>
      <c r="TIA57" s="0"/>
      <c r="TIB57" s="0"/>
      <c r="TIC57" s="0"/>
      <c r="TID57" s="0"/>
      <c r="TIE57" s="0"/>
      <c r="TIF57" s="0"/>
      <c r="TIG57" s="0"/>
      <c r="TIH57" s="0"/>
      <c r="TII57" s="0"/>
      <c r="TIJ57" s="0"/>
      <c r="TIK57" s="0"/>
      <c r="TIL57" s="0"/>
      <c r="TIM57" s="0"/>
      <c r="TIN57" s="0"/>
      <c r="TIO57" s="0"/>
      <c r="TIP57" s="0"/>
      <c r="TIQ57" s="0"/>
      <c r="TIR57" s="0"/>
      <c r="TIS57" s="0"/>
      <c r="TIT57" s="0"/>
      <c r="TIU57" s="0"/>
      <c r="TIV57" s="0"/>
      <c r="TIW57" s="0"/>
      <c r="TIX57" s="0"/>
      <c r="TIY57" s="0"/>
      <c r="TIZ57" s="0"/>
      <c r="TJA57" s="0"/>
      <c r="TJB57" s="0"/>
      <c r="TJC57" s="0"/>
      <c r="TJD57" s="0"/>
      <c r="TJE57" s="0"/>
      <c r="TJF57" s="0"/>
      <c r="TJG57" s="0"/>
      <c r="TJH57" s="0"/>
      <c r="TJI57" s="0"/>
      <c r="TJJ57" s="0"/>
      <c r="TJK57" s="0"/>
      <c r="TJL57" s="0"/>
      <c r="TJM57" s="0"/>
      <c r="TJN57" s="0"/>
      <c r="TJO57" s="0"/>
      <c r="TJP57" s="0"/>
      <c r="TJQ57" s="0"/>
      <c r="TJR57" s="0"/>
      <c r="TJS57" s="0"/>
      <c r="TJT57" s="0"/>
      <c r="TJU57" s="0"/>
      <c r="TJV57" s="0"/>
      <c r="TJW57" s="0"/>
      <c r="TJX57" s="0"/>
      <c r="TJY57" s="0"/>
      <c r="TJZ57" s="0"/>
      <c r="TKA57" s="0"/>
      <c r="TKB57" s="0"/>
      <c r="TKC57" s="0"/>
      <c r="TKD57" s="0"/>
      <c r="TKE57" s="0"/>
      <c r="TKF57" s="0"/>
      <c r="TKG57" s="0"/>
      <c r="TKH57" s="0"/>
      <c r="TKI57" s="0"/>
      <c r="TKJ57" s="0"/>
      <c r="TKK57" s="0"/>
      <c r="TKL57" s="0"/>
      <c r="TKM57" s="0"/>
      <c r="TKN57" s="0"/>
      <c r="TKO57" s="0"/>
      <c r="TKP57" s="0"/>
      <c r="TKQ57" s="0"/>
      <c r="TKR57" s="0"/>
      <c r="TKS57" s="0"/>
      <c r="TKT57" s="0"/>
      <c r="TKU57" s="0"/>
      <c r="TKV57" s="0"/>
      <c r="TKW57" s="0"/>
      <c r="TKX57" s="0"/>
      <c r="TKY57" s="0"/>
      <c r="TKZ57" s="0"/>
      <c r="TLA57" s="0"/>
      <c r="TLB57" s="0"/>
      <c r="TLC57" s="0"/>
      <c r="TLD57" s="0"/>
      <c r="TLE57" s="0"/>
      <c r="TLF57" s="0"/>
      <c r="TLG57" s="0"/>
      <c r="TLH57" s="0"/>
      <c r="TLI57" s="0"/>
      <c r="TLJ57" s="0"/>
      <c r="TLK57" s="0"/>
      <c r="TLL57" s="0"/>
      <c r="TLM57" s="0"/>
      <c r="TLN57" s="0"/>
      <c r="TLO57" s="0"/>
      <c r="TLP57" s="0"/>
      <c r="TLQ57" s="0"/>
      <c r="TLR57" s="0"/>
      <c r="TLS57" s="0"/>
      <c r="TLT57" s="0"/>
      <c r="TLU57" s="0"/>
      <c r="TLV57" s="0"/>
      <c r="TLW57" s="0"/>
      <c r="TLX57" s="0"/>
      <c r="TLY57" s="0"/>
      <c r="TLZ57" s="0"/>
      <c r="TMA57" s="0"/>
      <c r="TMB57" s="0"/>
      <c r="TMC57" s="0"/>
      <c r="TMD57" s="0"/>
      <c r="TME57" s="0"/>
      <c r="TMF57" s="0"/>
      <c r="TMG57" s="0"/>
      <c r="TMH57" s="0"/>
      <c r="TMI57" s="0"/>
      <c r="TMJ57" s="0"/>
      <c r="TMK57" s="0"/>
      <c r="TML57" s="0"/>
      <c r="TMM57" s="0"/>
      <c r="TMN57" s="0"/>
      <c r="TMO57" s="0"/>
      <c r="TMP57" s="0"/>
      <c r="TMQ57" s="0"/>
      <c r="TMR57" s="0"/>
      <c r="TMS57" s="0"/>
      <c r="TMT57" s="0"/>
      <c r="TMU57" s="0"/>
      <c r="TMV57" s="0"/>
      <c r="TMW57" s="0"/>
      <c r="TMX57" s="0"/>
      <c r="TMY57" s="0"/>
      <c r="TMZ57" s="0"/>
      <c r="TNA57" s="0"/>
      <c r="TNB57" s="0"/>
      <c r="TNC57" s="0"/>
      <c r="TND57" s="0"/>
      <c r="TNE57" s="0"/>
      <c r="TNF57" s="0"/>
      <c r="TNG57" s="0"/>
      <c r="TNH57" s="0"/>
      <c r="TNI57" s="0"/>
      <c r="TNJ57" s="0"/>
      <c r="TNK57" s="0"/>
      <c r="TNL57" s="0"/>
      <c r="TNM57" s="0"/>
      <c r="TNN57" s="0"/>
      <c r="TNO57" s="0"/>
      <c r="TNP57" s="0"/>
      <c r="TNQ57" s="0"/>
      <c r="TNR57" s="0"/>
      <c r="TNS57" s="0"/>
      <c r="TNT57" s="0"/>
      <c r="TNU57" s="0"/>
      <c r="TNV57" s="0"/>
      <c r="TNW57" s="0"/>
      <c r="TNX57" s="0"/>
      <c r="TNY57" s="0"/>
      <c r="TNZ57" s="0"/>
      <c r="TOA57" s="0"/>
      <c r="TOB57" s="0"/>
      <c r="TOC57" s="0"/>
      <c r="TOD57" s="0"/>
      <c r="TOE57" s="0"/>
      <c r="TOF57" s="0"/>
      <c r="TOG57" s="0"/>
      <c r="TOH57" s="0"/>
      <c r="TOI57" s="0"/>
      <c r="TOJ57" s="0"/>
      <c r="TOK57" s="0"/>
      <c r="TOL57" s="0"/>
      <c r="TOM57" s="0"/>
      <c r="TON57" s="0"/>
      <c r="TOO57" s="0"/>
      <c r="TOP57" s="0"/>
      <c r="TOQ57" s="0"/>
      <c r="TOR57" s="0"/>
      <c r="TOS57" s="0"/>
      <c r="TOT57" s="0"/>
      <c r="TOU57" s="0"/>
      <c r="TOV57" s="0"/>
      <c r="TOW57" s="0"/>
      <c r="TOX57" s="0"/>
      <c r="TOY57" s="0"/>
      <c r="TOZ57" s="0"/>
      <c r="TPA57" s="0"/>
      <c r="TPB57" s="0"/>
      <c r="TPC57" s="0"/>
      <c r="TPD57" s="0"/>
      <c r="TPE57" s="0"/>
      <c r="TPF57" s="0"/>
      <c r="TPG57" s="0"/>
      <c r="TPH57" s="0"/>
      <c r="TPI57" s="0"/>
      <c r="TPJ57" s="0"/>
      <c r="TPK57" s="0"/>
      <c r="TPL57" s="0"/>
      <c r="TPM57" s="0"/>
      <c r="TPN57" s="0"/>
      <c r="TPO57" s="0"/>
      <c r="TPP57" s="0"/>
      <c r="TPQ57" s="0"/>
      <c r="TPR57" s="0"/>
      <c r="TPS57" s="0"/>
      <c r="TPT57" s="0"/>
      <c r="TPU57" s="0"/>
      <c r="TPV57" s="0"/>
      <c r="TPW57" s="0"/>
      <c r="TPX57" s="0"/>
      <c r="TPY57" s="0"/>
      <c r="TPZ57" s="0"/>
      <c r="TQA57" s="0"/>
      <c r="TQB57" s="0"/>
      <c r="TQC57" s="0"/>
      <c r="TQD57" s="0"/>
      <c r="TQE57" s="0"/>
      <c r="TQF57" s="0"/>
      <c r="TQG57" s="0"/>
      <c r="TQH57" s="0"/>
      <c r="TQI57" s="0"/>
      <c r="TQJ57" s="0"/>
      <c r="TQK57" s="0"/>
      <c r="TQL57" s="0"/>
      <c r="TQM57" s="0"/>
      <c r="TQN57" s="0"/>
      <c r="TQO57" s="0"/>
      <c r="TQP57" s="0"/>
      <c r="TQQ57" s="0"/>
      <c r="TQR57" s="0"/>
      <c r="TQS57" s="0"/>
      <c r="TQT57" s="0"/>
      <c r="TQU57" s="0"/>
      <c r="TQV57" s="0"/>
      <c r="TQW57" s="0"/>
      <c r="TQX57" s="0"/>
      <c r="TQY57" s="0"/>
      <c r="TQZ57" s="0"/>
      <c r="TRA57" s="0"/>
      <c r="TRB57" s="0"/>
      <c r="TRC57" s="0"/>
      <c r="TRD57" s="0"/>
      <c r="TRE57" s="0"/>
      <c r="TRF57" s="0"/>
      <c r="TRG57" s="0"/>
      <c r="TRH57" s="0"/>
      <c r="TRI57" s="0"/>
      <c r="TRJ57" s="0"/>
      <c r="TRK57" s="0"/>
      <c r="TRL57" s="0"/>
      <c r="TRM57" s="0"/>
      <c r="TRN57" s="0"/>
      <c r="TRO57" s="0"/>
      <c r="TRP57" s="0"/>
      <c r="TRQ57" s="0"/>
      <c r="TRR57" s="0"/>
      <c r="TRS57" s="0"/>
      <c r="TRT57" s="0"/>
      <c r="TRU57" s="0"/>
      <c r="TRV57" s="0"/>
      <c r="TRW57" s="0"/>
      <c r="TRX57" s="0"/>
      <c r="TRY57" s="0"/>
      <c r="TRZ57" s="0"/>
      <c r="TSA57" s="0"/>
      <c r="TSB57" s="0"/>
      <c r="TSC57" s="0"/>
      <c r="TSD57" s="0"/>
      <c r="TSE57" s="0"/>
      <c r="TSF57" s="0"/>
      <c r="TSG57" s="0"/>
      <c r="TSH57" s="0"/>
      <c r="TSI57" s="0"/>
      <c r="TSJ57" s="0"/>
      <c r="TSK57" s="0"/>
      <c r="TSL57" s="0"/>
      <c r="TSM57" s="0"/>
      <c r="TSN57" s="0"/>
      <c r="TSO57" s="0"/>
      <c r="TSP57" s="0"/>
      <c r="TSQ57" s="0"/>
      <c r="TSR57" s="0"/>
      <c r="TSS57" s="0"/>
      <c r="TST57" s="0"/>
      <c r="TSU57" s="0"/>
      <c r="TSV57" s="0"/>
      <c r="TSW57" s="0"/>
      <c r="TSX57" s="0"/>
      <c r="TSY57" s="0"/>
      <c r="TSZ57" s="0"/>
      <c r="TTA57" s="0"/>
      <c r="TTB57" s="0"/>
      <c r="TTC57" s="0"/>
      <c r="TTD57" s="0"/>
      <c r="TTE57" s="0"/>
      <c r="TTF57" s="0"/>
      <c r="TTG57" s="0"/>
      <c r="TTH57" s="0"/>
      <c r="TTI57" s="0"/>
      <c r="TTJ57" s="0"/>
      <c r="TTK57" s="0"/>
      <c r="TTL57" s="0"/>
      <c r="TTM57" s="0"/>
      <c r="TTN57" s="0"/>
      <c r="TTO57" s="0"/>
      <c r="TTP57" s="0"/>
      <c r="TTQ57" s="0"/>
      <c r="TTR57" s="0"/>
      <c r="TTS57" s="0"/>
      <c r="TTT57" s="0"/>
      <c r="TTU57" s="0"/>
      <c r="TTV57" s="0"/>
      <c r="TTW57" s="0"/>
      <c r="TTX57" s="0"/>
      <c r="TTY57" s="0"/>
      <c r="TTZ57" s="0"/>
      <c r="TUA57" s="0"/>
      <c r="TUB57" s="0"/>
      <c r="TUC57" s="0"/>
      <c r="TUD57" s="0"/>
      <c r="TUE57" s="0"/>
      <c r="TUF57" s="0"/>
      <c r="TUG57" s="0"/>
      <c r="TUH57" s="0"/>
      <c r="TUI57" s="0"/>
      <c r="TUJ57" s="0"/>
      <c r="TUK57" s="0"/>
      <c r="TUL57" s="0"/>
      <c r="TUM57" s="0"/>
      <c r="TUN57" s="0"/>
      <c r="TUO57" s="0"/>
      <c r="TUP57" s="0"/>
      <c r="TUQ57" s="0"/>
      <c r="TUR57" s="0"/>
      <c r="TUS57" s="0"/>
      <c r="TUT57" s="0"/>
      <c r="TUU57" s="0"/>
      <c r="TUV57" s="0"/>
      <c r="TUW57" s="0"/>
      <c r="TUX57" s="0"/>
      <c r="TUY57" s="0"/>
      <c r="TUZ57" s="0"/>
      <c r="TVA57" s="0"/>
      <c r="TVB57" s="0"/>
      <c r="TVC57" s="0"/>
      <c r="TVD57" s="0"/>
      <c r="TVE57" s="0"/>
      <c r="TVF57" s="0"/>
      <c r="TVG57" s="0"/>
      <c r="TVH57" s="0"/>
      <c r="TVI57" s="0"/>
      <c r="TVJ57" s="0"/>
      <c r="TVK57" s="0"/>
      <c r="TVL57" s="0"/>
      <c r="TVM57" s="0"/>
      <c r="TVN57" s="0"/>
      <c r="TVO57" s="0"/>
      <c r="TVP57" s="0"/>
      <c r="TVQ57" s="0"/>
      <c r="TVR57" s="0"/>
      <c r="TVS57" s="0"/>
      <c r="TVT57" s="0"/>
      <c r="TVU57" s="0"/>
      <c r="TVV57" s="0"/>
      <c r="TVW57" s="0"/>
      <c r="TVX57" s="0"/>
      <c r="TVY57" s="0"/>
      <c r="TVZ57" s="0"/>
      <c r="TWA57" s="0"/>
      <c r="TWB57" s="0"/>
      <c r="TWC57" s="0"/>
      <c r="TWD57" s="0"/>
      <c r="TWE57" s="0"/>
      <c r="TWF57" s="0"/>
      <c r="TWG57" s="0"/>
      <c r="TWH57" s="0"/>
      <c r="TWI57" s="0"/>
      <c r="TWJ57" s="0"/>
      <c r="TWK57" s="0"/>
      <c r="TWL57" s="0"/>
      <c r="TWM57" s="0"/>
      <c r="TWN57" s="0"/>
      <c r="TWO57" s="0"/>
      <c r="TWP57" s="0"/>
      <c r="TWQ57" s="0"/>
      <c r="TWR57" s="0"/>
      <c r="TWS57" s="0"/>
      <c r="TWT57" s="0"/>
      <c r="TWU57" s="0"/>
      <c r="TWV57" s="0"/>
      <c r="TWW57" s="0"/>
      <c r="TWX57" s="0"/>
      <c r="TWY57" s="0"/>
      <c r="TWZ57" s="0"/>
      <c r="TXA57" s="0"/>
      <c r="TXB57" s="0"/>
      <c r="TXC57" s="0"/>
      <c r="TXD57" s="0"/>
      <c r="TXE57" s="0"/>
      <c r="TXF57" s="0"/>
      <c r="TXG57" s="0"/>
      <c r="TXH57" s="0"/>
      <c r="TXI57" s="0"/>
      <c r="TXJ57" s="0"/>
      <c r="TXK57" s="0"/>
      <c r="TXL57" s="0"/>
      <c r="TXM57" s="0"/>
      <c r="TXN57" s="0"/>
      <c r="TXO57" s="0"/>
      <c r="TXP57" s="0"/>
      <c r="TXQ57" s="0"/>
      <c r="TXR57" s="0"/>
      <c r="TXS57" s="0"/>
      <c r="TXT57" s="0"/>
      <c r="TXU57" s="0"/>
      <c r="TXV57" s="0"/>
      <c r="TXW57" s="0"/>
      <c r="TXX57" s="0"/>
      <c r="TXY57" s="0"/>
      <c r="TXZ57" s="0"/>
      <c r="TYA57" s="0"/>
      <c r="TYB57" s="0"/>
      <c r="TYC57" s="0"/>
      <c r="TYD57" s="0"/>
      <c r="TYE57" s="0"/>
      <c r="TYF57" s="0"/>
      <c r="TYG57" s="0"/>
      <c r="TYH57" s="0"/>
      <c r="TYI57" s="0"/>
      <c r="TYJ57" s="0"/>
      <c r="TYK57" s="0"/>
      <c r="TYL57" s="0"/>
      <c r="TYM57" s="0"/>
      <c r="TYN57" s="0"/>
      <c r="TYO57" s="0"/>
      <c r="TYP57" s="0"/>
      <c r="TYQ57" s="0"/>
      <c r="TYR57" s="0"/>
      <c r="TYS57" s="0"/>
      <c r="TYT57" s="0"/>
      <c r="TYU57" s="0"/>
      <c r="TYV57" s="0"/>
      <c r="TYW57" s="0"/>
      <c r="TYX57" s="0"/>
      <c r="TYY57" s="0"/>
      <c r="TYZ57" s="0"/>
      <c r="TZA57" s="0"/>
      <c r="TZB57" s="0"/>
      <c r="TZC57" s="0"/>
      <c r="TZD57" s="0"/>
      <c r="TZE57" s="0"/>
      <c r="TZF57" s="0"/>
      <c r="TZG57" s="0"/>
      <c r="TZH57" s="0"/>
      <c r="TZI57" s="0"/>
      <c r="TZJ57" s="0"/>
      <c r="TZK57" s="0"/>
      <c r="TZL57" s="0"/>
      <c r="TZM57" s="0"/>
      <c r="TZN57" s="0"/>
      <c r="TZO57" s="0"/>
      <c r="TZP57" s="0"/>
      <c r="TZQ57" s="0"/>
      <c r="TZR57" s="0"/>
      <c r="TZS57" s="0"/>
      <c r="TZT57" s="0"/>
      <c r="TZU57" s="0"/>
      <c r="TZV57" s="0"/>
      <c r="TZW57" s="0"/>
      <c r="TZX57" s="0"/>
      <c r="TZY57" s="0"/>
      <c r="TZZ57" s="0"/>
      <c r="UAA57" s="0"/>
      <c r="UAB57" s="0"/>
      <c r="UAC57" s="0"/>
      <c r="UAD57" s="0"/>
      <c r="UAE57" s="0"/>
      <c r="UAF57" s="0"/>
      <c r="UAG57" s="0"/>
      <c r="UAH57" s="0"/>
      <c r="UAI57" s="0"/>
      <c r="UAJ57" s="0"/>
      <c r="UAK57" s="0"/>
      <c r="UAL57" s="0"/>
      <c r="UAM57" s="0"/>
      <c r="UAN57" s="0"/>
      <c r="UAO57" s="0"/>
      <c r="UAP57" s="0"/>
      <c r="UAQ57" s="0"/>
      <c r="UAR57" s="0"/>
      <c r="UAS57" s="0"/>
      <c r="UAT57" s="0"/>
      <c r="UAU57" s="0"/>
      <c r="UAV57" s="0"/>
      <c r="UAW57" s="0"/>
      <c r="UAX57" s="0"/>
      <c r="UAY57" s="0"/>
      <c r="UAZ57" s="0"/>
      <c r="UBA57" s="0"/>
      <c r="UBB57" s="0"/>
      <c r="UBC57" s="0"/>
      <c r="UBD57" s="0"/>
      <c r="UBE57" s="0"/>
      <c r="UBF57" s="0"/>
      <c r="UBG57" s="0"/>
      <c r="UBH57" s="0"/>
      <c r="UBI57" s="0"/>
      <c r="UBJ57" s="0"/>
      <c r="UBK57" s="0"/>
      <c r="UBL57" s="0"/>
      <c r="UBM57" s="0"/>
      <c r="UBN57" s="0"/>
      <c r="UBO57" s="0"/>
      <c r="UBP57" s="0"/>
      <c r="UBQ57" s="0"/>
      <c r="UBR57" s="0"/>
      <c r="UBS57" s="0"/>
      <c r="UBT57" s="0"/>
      <c r="UBU57" s="0"/>
      <c r="UBV57" s="0"/>
      <c r="UBW57" s="0"/>
      <c r="UBX57" s="0"/>
      <c r="UBY57" s="0"/>
      <c r="UBZ57" s="0"/>
      <c r="UCA57" s="0"/>
      <c r="UCB57" s="0"/>
      <c r="UCC57" s="0"/>
      <c r="UCD57" s="0"/>
      <c r="UCE57" s="0"/>
      <c r="UCF57" s="0"/>
      <c r="UCG57" s="0"/>
      <c r="UCH57" s="0"/>
      <c r="UCI57" s="0"/>
      <c r="UCJ57" s="0"/>
      <c r="UCK57" s="0"/>
      <c r="UCL57" s="0"/>
      <c r="UCM57" s="0"/>
      <c r="UCN57" s="0"/>
      <c r="UCO57" s="0"/>
      <c r="UCP57" s="0"/>
      <c r="UCQ57" s="0"/>
      <c r="UCR57" s="0"/>
      <c r="UCS57" s="0"/>
      <c r="UCT57" s="0"/>
      <c r="UCU57" s="0"/>
      <c r="UCV57" s="0"/>
      <c r="UCW57" s="0"/>
      <c r="UCX57" s="0"/>
      <c r="UCY57" s="0"/>
      <c r="UCZ57" s="0"/>
      <c r="UDA57" s="0"/>
      <c r="UDB57" s="0"/>
      <c r="UDC57" s="0"/>
      <c r="UDD57" s="0"/>
      <c r="UDE57" s="0"/>
      <c r="UDF57" s="0"/>
      <c r="UDG57" s="0"/>
      <c r="UDH57" s="0"/>
      <c r="UDI57" s="0"/>
      <c r="UDJ57" s="0"/>
      <c r="UDK57" s="0"/>
      <c r="UDL57" s="0"/>
      <c r="UDM57" s="0"/>
      <c r="UDN57" s="0"/>
      <c r="UDO57" s="0"/>
      <c r="UDP57" s="0"/>
      <c r="UDQ57" s="0"/>
      <c r="UDR57" s="0"/>
      <c r="UDS57" s="0"/>
      <c r="UDT57" s="0"/>
      <c r="UDU57" s="0"/>
      <c r="UDV57" s="0"/>
      <c r="UDW57" s="0"/>
      <c r="UDX57" s="0"/>
      <c r="UDY57" s="0"/>
      <c r="UDZ57" s="0"/>
      <c r="UEA57" s="0"/>
      <c r="UEB57" s="0"/>
      <c r="UEC57" s="0"/>
      <c r="UED57" s="0"/>
      <c r="UEE57" s="0"/>
      <c r="UEF57" s="0"/>
      <c r="UEG57" s="0"/>
      <c r="UEH57" s="0"/>
      <c r="UEI57" s="0"/>
      <c r="UEJ57" s="0"/>
      <c r="UEK57" s="0"/>
      <c r="UEL57" s="0"/>
      <c r="UEM57" s="0"/>
      <c r="UEN57" s="0"/>
      <c r="UEO57" s="0"/>
      <c r="UEP57" s="0"/>
      <c r="UEQ57" s="0"/>
      <c r="UER57" s="0"/>
      <c r="UES57" s="0"/>
      <c r="UET57" s="0"/>
      <c r="UEU57" s="0"/>
      <c r="UEV57" s="0"/>
      <c r="UEW57" s="0"/>
      <c r="UEX57" s="0"/>
      <c r="UEY57" s="0"/>
      <c r="UEZ57" s="0"/>
      <c r="UFA57" s="0"/>
      <c r="UFB57" s="0"/>
      <c r="UFC57" s="0"/>
      <c r="UFD57" s="0"/>
      <c r="UFE57" s="0"/>
      <c r="UFF57" s="0"/>
      <c r="UFG57" s="0"/>
      <c r="UFH57" s="0"/>
      <c r="UFI57" s="0"/>
      <c r="UFJ57" s="0"/>
      <c r="UFK57" s="0"/>
      <c r="UFL57" s="0"/>
      <c r="UFM57" s="0"/>
      <c r="UFN57" s="0"/>
      <c r="UFO57" s="0"/>
      <c r="UFP57" s="0"/>
      <c r="UFQ57" s="0"/>
      <c r="UFR57" s="0"/>
      <c r="UFS57" s="0"/>
      <c r="UFT57" s="0"/>
      <c r="UFU57" s="0"/>
      <c r="UFV57" s="0"/>
      <c r="UFW57" s="0"/>
      <c r="UFX57" s="0"/>
      <c r="UFY57" s="0"/>
      <c r="UFZ57" s="0"/>
      <c r="UGA57" s="0"/>
      <c r="UGB57" s="0"/>
      <c r="UGC57" s="0"/>
      <c r="UGD57" s="0"/>
      <c r="UGE57" s="0"/>
      <c r="UGF57" s="0"/>
      <c r="UGG57" s="0"/>
      <c r="UGH57" s="0"/>
      <c r="UGI57" s="0"/>
      <c r="UGJ57" s="0"/>
      <c r="UGK57" s="0"/>
      <c r="UGL57" s="0"/>
      <c r="UGM57" s="0"/>
      <c r="UGN57" s="0"/>
      <c r="UGO57" s="0"/>
      <c r="UGP57" s="0"/>
      <c r="UGQ57" s="0"/>
      <c r="UGR57" s="0"/>
      <c r="UGS57" s="0"/>
      <c r="UGT57" s="0"/>
      <c r="UGU57" s="0"/>
      <c r="UGV57" s="0"/>
      <c r="UGW57" s="0"/>
      <c r="UGX57" s="0"/>
      <c r="UGY57" s="0"/>
      <c r="UGZ57" s="0"/>
      <c r="UHA57" s="0"/>
      <c r="UHB57" s="0"/>
      <c r="UHC57" s="0"/>
      <c r="UHD57" s="0"/>
      <c r="UHE57" s="0"/>
      <c r="UHF57" s="0"/>
      <c r="UHG57" s="0"/>
      <c r="UHH57" s="0"/>
      <c r="UHI57" s="0"/>
      <c r="UHJ57" s="0"/>
      <c r="UHK57" s="0"/>
      <c r="UHL57" s="0"/>
      <c r="UHM57" s="0"/>
      <c r="UHN57" s="0"/>
      <c r="UHO57" s="0"/>
      <c r="UHP57" s="0"/>
      <c r="UHQ57" s="0"/>
      <c r="UHR57" s="0"/>
      <c r="UHS57" s="0"/>
      <c r="UHT57" s="0"/>
      <c r="UHU57" s="0"/>
      <c r="UHV57" s="0"/>
      <c r="UHW57" s="0"/>
      <c r="UHX57" s="0"/>
      <c r="UHY57" s="0"/>
      <c r="UHZ57" s="0"/>
      <c r="UIA57" s="0"/>
      <c r="UIB57" s="0"/>
      <c r="UIC57" s="0"/>
      <c r="UID57" s="0"/>
      <c r="UIE57" s="0"/>
      <c r="UIF57" s="0"/>
      <c r="UIG57" s="0"/>
      <c r="UIH57" s="0"/>
      <c r="UII57" s="0"/>
      <c r="UIJ57" s="0"/>
      <c r="UIK57" s="0"/>
      <c r="UIL57" s="0"/>
      <c r="UIM57" s="0"/>
      <c r="UIN57" s="0"/>
      <c r="UIO57" s="0"/>
      <c r="UIP57" s="0"/>
      <c r="UIQ57" s="0"/>
      <c r="UIR57" s="0"/>
      <c r="UIS57" s="0"/>
      <c r="UIT57" s="0"/>
      <c r="UIU57" s="0"/>
      <c r="UIV57" s="0"/>
      <c r="UIW57" s="0"/>
      <c r="UIX57" s="0"/>
      <c r="UIY57" s="0"/>
      <c r="UIZ57" s="0"/>
      <c r="UJA57" s="0"/>
      <c r="UJB57" s="0"/>
      <c r="UJC57" s="0"/>
      <c r="UJD57" s="0"/>
      <c r="UJE57" s="0"/>
      <c r="UJF57" s="0"/>
      <c r="UJG57" s="0"/>
      <c r="UJH57" s="0"/>
      <c r="UJI57" s="0"/>
      <c r="UJJ57" s="0"/>
      <c r="UJK57" s="0"/>
      <c r="UJL57" s="0"/>
      <c r="UJM57" s="0"/>
      <c r="UJN57" s="0"/>
      <c r="UJO57" s="0"/>
      <c r="UJP57" s="0"/>
      <c r="UJQ57" s="0"/>
      <c r="UJR57" s="0"/>
      <c r="UJS57" s="0"/>
      <c r="UJT57" s="0"/>
      <c r="UJU57" s="0"/>
      <c r="UJV57" s="0"/>
      <c r="UJW57" s="0"/>
      <c r="UJX57" s="0"/>
      <c r="UJY57" s="0"/>
      <c r="UJZ57" s="0"/>
      <c r="UKA57" s="0"/>
      <c r="UKB57" s="0"/>
      <c r="UKC57" s="0"/>
      <c r="UKD57" s="0"/>
      <c r="UKE57" s="0"/>
      <c r="UKF57" s="0"/>
      <c r="UKG57" s="0"/>
      <c r="UKH57" s="0"/>
      <c r="UKI57" s="0"/>
      <c r="UKJ57" s="0"/>
      <c r="UKK57" s="0"/>
      <c r="UKL57" s="0"/>
      <c r="UKM57" s="0"/>
      <c r="UKN57" s="0"/>
      <c r="UKO57" s="0"/>
      <c r="UKP57" s="0"/>
      <c r="UKQ57" s="0"/>
      <c r="UKR57" s="0"/>
      <c r="UKS57" s="0"/>
      <c r="UKT57" s="0"/>
      <c r="UKU57" s="0"/>
      <c r="UKV57" s="0"/>
      <c r="UKW57" s="0"/>
      <c r="UKX57" s="0"/>
      <c r="UKY57" s="0"/>
      <c r="UKZ57" s="0"/>
      <c r="ULA57" s="0"/>
      <c r="ULB57" s="0"/>
      <c r="ULC57" s="0"/>
      <c r="ULD57" s="0"/>
      <c r="ULE57" s="0"/>
      <c r="ULF57" s="0"/>
      <c r="ULG57" s="0"/>
      <c r="ULH57" s="0"/>
      <c r="ULI57" s="0"/>
      <c r="ULJ57" s="0"/>
      <c r="ULK57" s="0"/>
      <c r="ULL57" s="0"/>
      <c r="ULM57" s="0"/>
      <c r="ULN57" s="0"/>
      <c r="ULO57" s="0"/>
      <c r="ULP57" s="0"/>
      <c r="ULQ57" s="0"/>
      <c r="ULR57" s="0"/>
      <c r="ULS57" s="0"/>
      <c r="ULT57" s="0"/>
      <c r="ULU57" s="0"/>
      <c r="ULV57" s="0"/>
      <c r="ULW57" s="0"/>
      <c r="ULX57" s="0"/>
      <c r="ULY57" s="0"/>
      <c r="ULZ57" s="0"/>
      <c r="UMA57" s="0"/>
      <c r="UMB57" s="0"/>
      <c r="UMC57" s="0"/>
      <c r="UMD57" s="0"/>
      <c r="UME57" s="0"/>
      <c r="UMF57" s="0"/>
      <c r="UMG57" s="0"/>
      <c r="UMH57" s="0"/>
      <c r="UMI57" s="0"/>
      <c r="UMJ57" s="0"/>
      <c r="UMK57" s="0"/>
      <c r="UML57" s="0"/>
      <c r="UMM57" s="0"/>
      <c r="UMN57" s="0"/>
      <c r="UMO57" s="0"/>
      <c r="UMP57" s="0"/>
      <c r="UMQ57" s="0"/>
      <c r="UMR57" s="0"/>
      <c r="UMS57" s="0"/>
      <c r="UMT57" s="0"/>
      <c r="UMU57" s="0"/>
      <c r="UMV57" s="0"/>
      <c r="UMW57" s="0"/>
      <c r="UMX57" s="0"/>
      <c r="UMY57" s="0"/>
      <c r="UMZ57" s="0"/>
      <c r="UNA57" s="0"/>
      <c r="UNB57" s="0"/>
      <c r="UNC57" s="0"/>
      <c r="UND57" s="0"/>
      <c r="UNE57" s="0"/>
      <c r="UNF57" s="0"/>
      <c r="UNG57" s="0"/>
      <c r="UNH57" s="0"/>
      <c r="UNI57" s="0"/>
      <c r="UNJ57" s="0"/>
      <c r="UNK57" s="0"/>
      <c r="UNL57" s="0"/>
      <c r="UNM57" s="0"/>
      <c r="UNN57" s="0"/>
      <c r="UNO57" s="0"/>
      <c r="UNP57" s="0"/>
      <c r="UNQ57" s="0"/>
      <c r="UNR57" s="0"/>
      <c r="UNS57" s="0"/>
      <c r="UNT57" s="0"/>
      <c r="UNU57" s="0"/>
      <c r="UNV57" s="0"/>
      <c r="UNW57" s="0"/>
      <c r="UNX57" s="0"/>
      <c r="UNY57" s="0"/>
      <c r="UNZ57" s="0"/>
      <c r="UOA57" s="0"/>
      <c r="UOB57" s="0"/>
      <c r="UOC57" s="0"/>
      <c r="UOD57" s="0"/>
      <c r="UOE57" s="0"/>
      <c r="UOF57" s="0"/>
      <c r="UOG57" s="0"/>
      <c r="UOH57" s="0"/>
      <c r="UOI57" s="0"/>
      <c r="UOJ57" s="0"/>
      <c r="UOK57" s="0"/>
      <c r="UOL57" s="0"/>
      <c r="UOM57" s="0"/>
      <c r="UON57" s="0"/>
      <c r="UOO57" s="0"/>
      <c r="UOP57" s="0"/>
      <c r="UOQ57" s="0"/>
      <c r="UOR57" s="0"/>
      <c r="UOS57" s="0"/>
      <c r="UOT57" s="0"/>
      <c r="UOU57" s="0"/>
      <c r="UOV57" s="0"/>
      <c r="UOW57" s="0"/>
      <c r="UOX57" s="0"/>
      <c r="UOY57" s="0"/>
      <c r="UOZ57" s="0"/>
      <c r="UPA57" s="0"/>
      <c r="UPB57" s="0"/>
      <c r="UPC57" s="0"/>
      <c r="UPD57" s="0"/>
      <c r="UPE57" s="0"/>
      <c r="UPF57" s="0"/>
      <c r="UPG57" s="0"/>
      <c r="UPH57" s="0"/>
      <c r="UPI57" s="0"/>
      <c r="UPJ57" s="0"/>
      <c r="UPK57" s="0"/>
      <c r="UPL57" s="0"/>
      <c r="UPM57" s="0"/>
      <c r="UPN57" s="0"/>
      <c r="UPO57" s="0"/>
      <c r="UPP57" s="0"/>
      <c r="UPQ57" s="0"/>
      <c r="UPR57" s="0"/>
      <c r="UPS57" s="0"/>
      <c r="UPT57" s="0"/>
      <c r="UPU57" s="0"/>
      <c r="UPV57" s="0"/>
      <c r="UPW57" s="0"/>
      <c r="UPX57" s="0"/>
      <c r="UPY57" s="0"/>
      <c r="UPZ57" s="0"/>
      <c r="UQA57" s="0"/>
      <c r="UQB57" s="0"/>
      <c r="UQC57" s="0"/>
      <c r="UQD57" s="0"/>
      <c r="UQE57" s="0"/>
      <c r="UQF57" s="0"/>
      <c r="UQG57" s="0"/>
      <c r="UQH57" s="0"/>
      <c r="UQI57" s="0"/>
      <c r="UQJ57" s="0"/>
      <c r="UQK57" s="0"/>
      <c r="UQL57" s="0"/>
      <c r="UQM57" s="0"/>
      <c r="UQN57" s="0"/>
      <c r="UQO57" s="0"/>
      <c r="UQP57" s="0"/>
      <c r="UQQ57" s="0"/>
      <c r="UQR57" s="0"/>
      <c r="UQS57" s="0"/>
      <c r="UQT57" s="0"/>
      <c r="UQU57" s="0"/>
      <c r="UQV57" s="0"/>
      <c r="UQW57" s="0"/>
      <c r="UQX57" s="0"/>
      <c r="UQY57" s="0"/>
      <c r="UQZ57" s="0"/>
      <c r="URA57" s="0"/>
      <c r="URB57" s="0"/>
      <c r="URC57" s="0"/>
      <c r="URD57" s="0"/>
      <c r="URE57" s="0"/>
      <c r="URF57" s="0"/>
      <c r="URG57" s="0"/>
      <c r="URH57" s="0"/>
      <c r="URI57" s="0"/>
      <c r="URJ57" s="0"/>
      <c r="URK57" s="0"/>
      <c r="URL57" s="0"/>
      <c r="URM57" s="0"/>
      <c r="URN57" s="0"/>
      <c r="URO57" s="0"/>
      <c r="URP57" s="0"/>
      <c r="URQ57" s="0"/>
      <c r="URR57" s="0"/>
      <c r="URS57" s="0"/>
      <c r="URT57" s="0"/>
      <c r="URU57" s="0"/>
      <c r="URV57" s="0"/>
      <c r="URW57" s="0"/>
      <c r="URX57" s="0"/>
      <c r="URY57" s="0"/>
      <c r="URZ57" s="0"/>
      <c r="USA57" s="0"/>
      <c r="USB57" s="0"/>
      <c r="USC57" s="0"/>
      <c r="USD57" s="0"/>
      <c r="USE57" s="0"/>
      <c r="USF57" s="0"/>
      <c r="USG57" s="0"/>
      <c r="USH57" s="0"/>
      <c r="USI57" s="0"/>
      <c r="USJ57" s="0"/>
      <c r="USK57" s="0"/>
      <c r="USL57" s="0"/>
      <c r="USM57" s="0"/>
      <c r="USN57" s="0"/>
      <c r="USO57" s="0"/>
      <c r="USP57" s="0"/>
      <c r="USQ57" s="0"/>
      <c r="USR57" s="0"/>
      <c r="USS57" s="0"/>
      <c r="UST57" s="0"/>
      <c r="USU57" s="0"/>
      <c r="USV57" s="0"/>
      <c r="USW57" s="0"/>
      <c r="USX57" s="0"/>
      <c r="USY57" s="0"/>
      <c r="USZ57" s="0"/>
      <c r="UTA57" s="0"/>
      <c r="UTB57" s="0"/>
      <c r="UTC57" s="0"/>
      <c r="UTD57" s="0"/>
      <c r="UTE57" s="0"/>
      <c r="UTF57" s="0"/>
      <c r="UTG57" s="0"/>
      <c r="UTH57" s="0"/>
      <c r="UTI57" s="0"/>
      <c r="UTJ57" s="0"/>
      <c r="UTK57" s="0"/>
      <c r="UTL57" s="0"/>
      <c r="UTM57" s="0"/>
      <c r="UTN57" s="0"/>
      <c r="UTO57" s="0"/>
      <c r="UTP57" s="0"/>
      <c r="UTQ57" s="0"/>
      <c r="UTR57" s="0"/>
      <c r="UTS57" s="0"/>
      <c r="UTT57" s="0"/>
      <c r="UTU57" s="0"/>
      <c r="UTV57" s="0"/>
      <c r="UTW57" s="0"/>
      <c r="UTX57" s="0"/>
      <c r="UTY57" s="0"/>
      <c r="UTZ57" s="0"/>
      <c r="UUA57" s="0"/>
      <c r="UUB57" s="0"/>
      <c r="UUC57" s="0"/>
      <c r="UUD57" s="0"/>
      <c r="UUE57" s="0"/>
      <c r="UUF57" s="0"/>
      <c r="UUG57" s="0"/>
      <c r="UUH57" s="0"/>
      <c r="UUI57" s="0"/>
      <c r="UUJ57" s="0"/>
      <c r="UUK57" s="0"/>
      <c r="UUL57" s="0"/>
      <c r="UUM57" s="0"/>
      <c r="UUN57" s="0"/>
      <c r="UUO57" s="0"/>
      <c r="UUP57" s="0"/>
      <c r="UUQ57" s="0"/>
      <c r="UUR57" s="0"/>
      <c r="UUS57" s="0"/>
      <c r="UUT57" s="0"/>
      <c r="UUU57" s="0"/>
      <c r="UUV57" s="0"/>
      <c r="UUW57" s="0"/>
      <c r="UUX57" s="0"/>
      <c r="UUY57" s="0"/>
      <c r="UUZ57" s="0"/>
      <c r="UVA57" s="0"/>
      <c r="UVB57" s="0"/>
      <c r="UVC57" s="0"/>
      <c r="UVD57" s="0"/>
      <c r="UVE57" s="0"/>
      <c r="UVF57" s="0"/>
      <c r="UVG57" s="0"/>
      <c r="UVH57" s="0"/>
      <c r="UVI57" s="0"/>
      <c r="UVJ57" s="0"/>
      <c r="UVK57" s="0"/>
      <c r="UVL57" s="0"/>
      <c r="UVM57" s="0"/>
      <c r="UVN57" s="0"/>
      <c r="UVO57" s="0"/>
      <c r="UVP57" s="0"/>
      <c r="UVQ57" s="0"/>
      <c r="UVR57" s="0"/>
      <c r="UVS57" s="0"/>
      <c r="UVT57" s="0"/>
      <c r="UVU57" s="0"/>
      <c r="UVV57" s="0"/>
      <c r="UVW57" s="0"/>
      <c r="UVX57" s="0"/>
      <c r="UVY57" s="0"/>
      <c r="UVZ57" s="0"/>
      <c r="UWA57" s="0"/>
      <c r="UWB57" s="0"/>
      <c r="UWC57" s="0"/>
      <c r="UWD57" s="0"/>
      <c r="UWE57" s="0"/>
      <c r="UWF57" s="0"/>
      <c r="UWG57" s="0"/>
      <c r="UWH57" s="0"/>
      <c r="UWI57" s="0"/>
      <c r="UWJ57" s="0"/>
      <c r="UWK57" s="0"/>
      <c r="UWL57" s="0"/>
      <c r="UWM57" s="0"/>
      <c r="UWN57" s="0"/>
      <c r="UWO57" s="0"/>
      <c r="UWP57" s="0"/>
      <c r="UWQ57" s="0"/>
      <c r="UWR57" s="0"/>
      <c r="UWS57" s="0"/>
      <c r="UWT57" s="0"/>
      <c r="UWU57" s="0"/>
      <c r="UWV57" s="0"/>
      <c r="UWW57" s="0"/>
      <c r="UWX57" s="0"/>
      <c r="UWY57" s="0"/>
      <c r="UWZ57" s="0"/>
      <c r="UXA57" s="0"/>
      <c r="UXB57" s="0"/>
      <c r="UXC57" s="0"/>
      <c r="UXD57" s="0"/>
      <c r="UXE57" s="0"/>
      <c r="UXF57" s="0"/>
      <c r="UXG57" s="0"/>
      <c r="UXH57" s="0"/>
      <c r="UXI57" s="0"/>
      <c r="UXJ57" s="0"/>
      <c r="UXK57" s="0"/>
      <c r="UXL57" s="0"/>
      <c r="UXM57" s="0"/>
      <c r="UXN57" s="0"/>
      <c r="UXO57" s="0"/>
      <c r="UXP57" s="0"/>
      <c r="UXQ57" s="0"/>
      <c r="UXR57" s="0"/>
      <c r="UXS57" s="0"/>
      <c r="UXT57" s="0"/>
      <c r="UXU57" s="0"/>
      <c r="UXV57" s="0"/>
      <c r="UXW57" s="0"/>
      <c r="UXX57" s="0"/>
      <c r="UXY57" s="0"/>
      <c r="UXZ57" s="0"/>
      <c r="UYA57" s="0"/>
      <c r="UYB57" s="0"/>
      <c r="UYC57" s="0"/>
      <c r="UYD57" s="0"/>
      <c r="UYE57" s="0"/>
      <c r="UYF57" s="0"/>
      <c r="UYG57" s="0"/>
      <c r="UYH57" s="0"/>
      <c r="UYI57" s="0"/>
      <c r="UYJ57" s="0"/>
      <c r="UYK57" s="0"/>
      <c r="UYL57" s="0"/>
      <c r="UYM57" s="0"/>
      <c r="UYN57" s="0"/>
      <c r="UYO57" s="0"/>
      <c r="UYP57" s="0"/>
      <c r="UYQ57" s="0"/>
      <c r="UYR57" s="0"/>
      <c r="UYS57" s="0"/>
      <c r="UYT57" s="0"/>
      <c r="UYU57" s="0"/>
      <c r="UYV57" s="0"/>
      <c r="UYW57" s="0"/>
      <c r="UYX57" s="0"/>
      <c r="UYY57" s="0"/>
      <c r="UYZ57" s="0"/>
      <c r="UZA57" s="0"/>
      <c r="UZB57" s="0"/>
      <c r="UZC57" s="0"/>
      <c r="UZD57" s="0"/>
      <c r="UZE57" s="0"/>
      <c r="UZF57" s="0"/>
      <c r="UZG57" s="0"/>
      <c r="UZH57" s="0"/>
      <c r="UZI57" s="0"/>
      <c r="UZJ57" s="0"/>
      <c r="UZK57" s="0"/>
      <c r="UZL57" s="0"/>
      <c r="UZM57" s="0"/>
      <c r="UZN57" s="0"/>
      <c r="UZO57" s="0"/>
      <c r="UZP57" s="0"/>
      <c r="UZQ57" s="0"/>
      <c r="UZR57" s="0"/>
      <c r="UZS57" s="0"/>
      <c r="UZT57" s="0"/>
      <c r="UZU57" s="0"/>
      <c r="UZV57" s="0"/>
      <c r="UZW57" s="0"/>
      <c r="UZX57" s="0"/>
      <c r="UZY57" s="0"/>
      <c r="UZZ57" s="0"/>
      <c r="VAA57" s="0"/>
      <c r="VAB57" s="0"/>
      <c r="VAC57" s="0"/>
      <c r="VAD57" s="0"/>
      <c r="VAE57" s="0"/>
      <c r="VAF57" s="0"/>
      <c r="VAG57" s="0"/>
      <c r="VAH57" s="0"/>
      <c r="VAI57" s="0"/>
      <c r="VAJ57" s="0"/>
      <c r="VAK57" s="0"/>
      <c r="VAL57" s="0"/>
      <c r="VAM57" s="0"/>
      <c r="VAN57" s="0"/>
      <c r="VAO57" s="0"/>
      <c r="VAP57" s="0"/>
      <c r="VAQ57" s="0"/>
      <c r="VAR57" s="0"/>
      <c r="VAS57" s="0"/>
      <c r="VAT57" s="0"/>
      <c r="VAU57" s="0"/>
      <c r="VAV57" s="0"/>
      <c r="VAW57" s="0"/>
      <c r="VAX57" s="0"/>
      <c r="VAY57" s="0"/>
      <c r="VAZ57" s="0"/>
      <c r="VBA57" s="0"/>
      <c r="VBB57" s="0"/>
      <c r="VBC57" s="0"/>
      <c r="VBD57" s="0"/>
      <c r="VBE57" s="0"/>
      <c r="VBF57" s="0"/>
      <c r="VBG57" s="0"/>
      <c r="VBH57" s="0"/>
      <c r="VBI57" s="0"/>
      <c r="VBJ57" s="0"/>
      <c r="VBK57" s="0"/>
      <c r="VBL57" s="0"/>
      <c r="VBM57" s="0"/>
      <c r="VBN57" s="0"/>
      <c r="VBO57" s="0"/>
      <c r="VBP57" s="0"/>
      <c r="VBQ57" s="0"/>
      <c r="VBR57" s="0"/>
      <c r="VBS57" s="0"/>
      <c r="VBT57" s="0"/>
      <c r="VBU57" s="0"/>
      <c r="VBV57" s="0"/>
      <c r="VBW57" s="0"/>
      <c r="VBX57" s="0"/>
      <c r="VBY57" s="0"/>
      <c r="VBZ57" s="0"/>
      <c r="VCA57" s="0"/>
      <c r="VCB57" s="0"/>
      <c r="VCC57" s="0"/>
      <c r="VCD57" s="0"/>
      <c r="VCE57" s="0"/>
      <c r="VCF57" s="0"/>
      <c r="VCG57" s="0"/>
      <c r="VCH57" s="0"/>
      <c r="VCI57" s="0"/>
      <c r="VCJ57" s="0"/>
      <c r="VCK57" s="0"/>
      <c r="VCL57" s="0"/>
      <c r="VCM57" s="0"/>
      <c r="VCN57" s="0"/>
      <c r="VCO57" s="0"/>
      <c r="VCP57" s="0"/>
      <c r="VCQ57" s="0"/>
      <c r="VCR57" s="0"/>
      <c r="VCS57" s="0"/>
      <c r="VCT57" s="0"/>
      <c r="VCU57" s="0"/>
      <c r="VCV57" s="0"/>
      <c r="VCW57" s="0"/>
      <c r="VCX57" s="0"/>
      <c r="VCY57" s="0"/>
      <c r="VCZ57" s="0"/>
      <c r="VDA57" s="0"/>
      <c r="VDB57" s="0"/>
      <c r="VDC57" s="0"/>
      <c r="VDD57" s="0"/>
      <c r="VDE57" s="0"/>
      <c r="VDF57" s="0"/>
      <c r="VDG57" s="0"/>
      <c r="VDH57" s="0"/>
      <c r="VDI57" s="0"/>
      <c r="VDJ57" s="0"/>
      <c r="VDK57" s="0"/>
      <c r="VDL57" s="0"/>
      <c r="VDM57" s="0"/>
      <c r="VDN57" s="0"/>
      <c r="VDO57" s="0"/>
      <c r="VDP57" s="0"/>
      <c r="VDQ57" s="0"/>
      <c r="VDR57" s="0"/>
      <c r="VDS57" s="0"/>
      <c r="VDT57" s="0"/>
      <c r="VDU57" s="0"/>
      <c r="VDV57" s="0"/>
      <c r="VDW57" s="0"/>
      <c r="VDX57" s="0"/>
      <c r="VDY57" s="0"/>
      <c r="VDZ57" s="0"/>
      <c r="VEA57" s="0"/>
      <c r="VEB57" s="0"/>
      <c r="VEC57" s="0"/>
      <c r="VED57" s="0"/>
      <c r="VEE57" s="0"/>
      <c r="VEF57" s="0"/>
      <c r="VEG57" s="0"/>
      <c r="VEH57" s="0"/>
      <c r="VEI57" s="0"/>
      <c r="VEJ57" s="0"/>
      <c r="VEK57" s="0"/>
      <c r="VEL57" s="0"/>
      <c r="VEM57" s="0"/>
      <c r="VEN57" s="0"/>
      <c r="VEO57" s="0"/>
      <c r="VEP57" s="0"/>
      <c r="VEQ57" s="0"/>
      <c r="VER57" s="0"/>
      <c r="VES57" s="0"/>
      <c r="VET57" s="0"/>
      <c r="VEU57" s="0"/>
      <c r="VEV57" s="0"/>
      <c r="VEW57" s="0"/>
      <c r="VEX57" s="0"/>
      <c r="VEY57" s="0"/>
      <c r="VEZ57" s="0"/>
      <c r="VFA57" s="0"/>
      <c r="VFB57" s="0"/>
      <c r="VFC57" s="0"/>
      <c r="VFD57" s="0"/>
      <c r="VFE57" s="0"/>
      <c r="VFF57" s="0"/>
      <c r="VFG57" s="0"/>
      <c r="VFH57" s="0"/>
      <c r="VFI57" s="0"/>
      <c r="VFJ57" s="0"/>
      <c r="VFK57" s="0"/>
      <c r="VFL57" s="0"/>
      <c r="VFM57" s="0"/>
      <c r="VFN57" s="0"/>
      <c r="VFO57" s="0"/>
      <c r="VFP57" s="0"/>
      <c r="VFQ57" s="0"/>
      <c r="VFR57" s="0"/>
      <c r="VFS57" s="0"/>
      <c r="VFT57" s="0"/>
      <c r="VFU57" s="0"/>
      <c r="VFV57" s="0"/>
      <c r="VFW57" s="0"/>
      <c r="VFX57" s="0"/>
      <c r="VFY57" s="0"/>
      <c r="VFZ57" s="0"/>
      <c r="VGA57" s="0"/>
      <c r="VGB57" s="0"/>
      <c r="VGC57" s="0"/>
      <c r="VGD57" s="0"/>
      <c r="VGE57" s="0"/>
      <c r="VGF57" s="0"/>
      <c r="VGG57" s="0"/>
      <c r="VGH57" s="0"/>
      <c r="VGI57" s="0"/>
      <c r="VGJ57" s="0"/>
      <c r="VGK57" s="0"/>
      <c r="VGL57" s="0"/>
      <c r="VGM57" s="0"/>
      <c r="VGN57" s="0"/>
      <c r="VGO57" s="0"/>
      <c r="VGP57" s="0"/>
      <c r="VGQ57" s="0"/>
      <c r="VGR57" s="0"/>
      <c r="VGS57" s="0"/>
      <c r="VGT57" s="0"/>
      <c r="VGU57" s="0"/>
      <c r="VGV57" s="0"/>
      <c r="VGW57" s="0"/>
      <c r="VGX57" s="0"/>
      <c r="VGY57" s="0"/>
      <c r="VGZ57" s="0"/>
      <c r="VHA57" s="0"/>
      <c r="VHB57" s="0"/>
      <c r="VHC57" s="0"/>
      <c r="VHD57" s="0"/>
      <c r="VHE57" s="0"/>
      <c r="VHF57" s="0"/>
      <c r="VHG57" s="0"/>
      <c r="VHH57" s="0"/>
      <c r="VHI57" s="0"/>
      <c r="VHJ57" s="0"/>
      <c r="VHK57" s="0"/>
      <c r="VHL57" s="0"/>
      <c r="VHM57" s="0"/>
      <c r="VHN57" s="0"/>
      <c r="VHO57" s="0"/>
      <c r="VHP57" s="0"/>
      <c r="VHQ57" s="0"/>
      <c r="VHR57" s="0"/>
      <c r="VHS57" s="0"/>
      <c r="VHT57" s="0"/>
      <c r="VHU57" s="0"/>
      <c r="VHV57" s="0"/>
      <c r="VHW57" s="0"/>
      <c r="VHX57" s="0"/>
      <c r="VHY57" s="0"/>
      <c r="VHZ57" s="0"/>
      <c r="VIA57" s="0"/>
      <c r="VIB57" s="0"/>
      <c r="VIC57" s="0"/>
      <c r="VID57" s="0"/>
      <c r="VIE57" s="0"/>
      <c r="VIF57" s="0"/>
      <c r="VIG57" s="0"/>
      <c r="VIH57" s="0"/>
      <c r="VII57" s="0"/>
      <c r="VIJ57" s="0"/>
      <c r="VIK57" s="0"/>
      <c r="VIL57" s="0"/>
      <c r="VIM57" s="0"/>
      <c r="VIN57" s="0"/>
      <c r="VIO57" s="0"/>
      <c r="VIP57" s="0"/>
      <c r="VIQ57" s="0"/>
      <c r="VIR57" s="0"/>
      <c r="VIS57" s="0"/>
      <c r="VIT57" s="0"/>
      <c r="VIU57" s="0"/>
      <c r="VIV57" s="0"/>
      <c r="VIW57" s="0"/>
      <c r="VIX57" s="0"/>
      <c r="VIY57" s="0"/>
      <c r="VIZ57" s="0"/>
      <c r="VJA57" s="0"/>
      <c r="VJB57" s="0"/>
      <c r="VJC57" s="0"/>
      <c r="VJD57" s="0"/>
      <c r="VJE57" s="0"/>
      <c r="VJF57" s="0"/>
      <c r="VJG57" s="0"/>
      <c r="VJH57" s="0"/>
      <c r="VJI57" s="0"/>
      <c r="VJJ57" s="0"/>
      <c r="VJK57" s="0"/>
      <c r="VJL57" s="0"/>
      <c r="VJM57" s="0"/>
      <c r="VJN57" s="0"/>
      <c r="VJO57" s="0"/>
      <c r="VJP57" s="0"/>
      <c r="VJQ57" s="0"/>
      <c r="VJR57" s="0"/>
      <c r="VJS57" s="0"/>
      <c r="VJT57" s="0"/>
      <c r="VJU57" s="0"/>
      <c r="VJV57" s="0"/>
      <c r="VJW57" s="0"/>
      <c r="VJX57" s="0"/>
      <c r="VJY57" s="0"/>
      <c r="VJZ57" s="0"/>
      <c r="VKA57" s="0"/>
      <c r="VKB57" s="0"/>
      <c r="VKC57" s="0"/>
      <c r="VKD57" s="0"/>
      <c r="VKE57" s="0"/>
      <c r="VKF57" s="0"/>
      <c r="VKG57" s="0"/>
      <c r="VKH57" s="0"/>
      <c r="VKI57" s="0"/>
      <c r="VKJ57" s="0"/>
      <c r="VKK57" s="0"/>
      <c r="VKL57" s="0"/>
      <c r="VKM57" s="0"/>
      <c r="VKN57" s="0"/>
      <c r="VKO57" s="0"/>
      <c r="VKP57" s="0"/>
      <c r="VKQ57" s="0"/>
      <c r="VKR57" s="0"/>
      <c r="VKS57" s="0"/>
      <c r="VKT57" s="0"/>
      <c r="VKU57" s="0"/>
      <c r="VKV57" s="0"/>
      <c r="VKW57" s="0"/>
      <c r="VKX57" s="0"/>
      <c r="VKY57" s="0"/>
      <c r="VKZ57" s="0"/>
      <c r="VLA57" s="0"/>
      <c r="VLB57" s="0"/>
      <c r="VLC57" s="0"/>
      <c r="VLD57" s="0"/>
      <c r="VLE57" s="0"/>
      <c r="VLF57" s="0"/>
      <c r="VLG57" s="0"/>
      <c r="VLH57" s="0"/>
      <c r="VLI57" s="0"/>
      <c r="VLJ57" s="0"/>
      <c r="VLK57" s="0"/>
      <c r="VLL57" s="0"/>
      <c r="VLM57" s="0"/>
      <c r="VLN57" s="0"/>
      <c r="VLO57" s="0"/>
      <c r="VLP57" s="0"/>
      <c r="VLQ57" s="0"/>
      <c r="VLR57" s="0"/>
      <c r="VLS57" s="0"/>
      <c r="VLT57" s="0"/>
      <c r="VLU57" s="0"/>
      <c r="VLV57" s="0"/>
      <c r="VLW57" s="0"/>
      <c r="VLX57" s="0"/>
      <c r="VLY57" s="0"/>
      <c r="VLZ57" s="0"/>
      <c r="VMA57" s="0"/>
      <c r="VMB57" s="0"/>
      <c r="VMC57" s="0"/>
      <c r="VMD57" s="0"/>
      <c r="VME57" s="0"/>
      <c r="VMF57" s="0"/>
      <c r="VMG57" s="0"/>
      <c r="VMH57" s="0"/>
      <c r="VMI57" s="0"/>
      <c r="VMJ57" s="0"/>
      <c r="VMK57" s="0"/>
      <c r="VML57" s="0"/>
      <c r="VMM57" s="0"/>
      <c r="VMN57" s="0"/>
      <c r="VMO57" s="0"/>
      <c r="VMP57" s="0"/>
      <c r="VMQ57" s="0"/>
      <c r="VMR57" s="0"/>
      <c r="VMS57" s="0"/>
      <c r="VMT57" s="0"/>
      <c r="VMU57" s="0"/>
      <c r="VMV57" s="0"/>
      <c r="VMW57" s="0"/>
      <c r="VMX57" s="0"/>
      <c r="VMY57" s="0"/>
      <c r="VMZ57" s="0"/>
      <c r="VNA57" s="0"/>
      <c r="VNB57" s="0"/>
      <c r="VNC57" s="0"/>
      <c r="VND57" s="0"/>
      <c r="VNE57" s="0"/>
      <c r="VNF57" s="0"/>
      <c r="VNG57" s="0"/>
      <c r="VNH57" s="0"/>
      <c r="VNI57" s="0"/>
      <c r="VNJ57" s="0"/>
      <c r="VNK57" s="0"/>
      <c r="VNL57" s="0"/>
      <c r="VNM57" s="0"/>
      <c r="VNN57" s="0"/>
      <c r="VNO57" s="0"/>
      <c r="VNP57" s="0"/>
      <c r="VNQ57" s="0"/>
      <c r="VNR57" s="0"/>
      <c r="VNS57" s="0"/>
      <c r="VNT57" s="0"/>
      <c r="VNU57" s="0"/>
      <c r="VNV57" s="0"/>
      <c r="VNW57" s="0"/>
      <c r="VNX57" s="0"/>
      <c r="VNY57" s="0"/>
      <c r="VNZ57" s="0"/>
      <c r="VOA57" s="0"/>
      <c r="VOB57" s="0"/>
      <c r="VOC57" s="0"/>
      <c r="VOD57" s="0"/>
      <c r="VOE57" s="0"/>
      <c r="VOF57" s="0"/>
      <c r="VOG57" s="0"/>
      <c r="VOH57" s="0"/>
      <c r="VOI57" s="0"/>
      <c r="VOJ57" s="0"/>
      <c r="VOK57" s="0"/>
      <c r="VOL57" s="0"/>
      <c r="VOM57" s="0"/>
      <c r="VON57" s="0"/>
      <c r="VOO57" s="0"/>
      <c r="VOP57" s="0"/>
      <c r="VOQ57" s="0"/>
      <c r="VOR57" s="0"/>
      <c r="VOS57" s="0"/>
      <c r="VOT57" s="0"/>
      <c r="VOU57" s="0"/>
      <c r="VOV57" s="0"/>
      <c r="VOW57" s="0"/>
      <c r="VOX57" s="0"/>
      <c r="VOY57" s="0"/>
      <c r="VOZ57" s="0"/>
      <c r="VPA57" s="0"/>
      <c r="VPB57" s="0"/>
      <c r="VPC57" s="0"/>
      <c r="VPD57" s="0"/>
      <c r="VPE57" s="0"/>
      <c r="VPF57" s="0"/>
      <c r="VPG57" s="0"/>
      <c r="VPH57" s="0"/>
      <c r="VPI57" s="0"/>
      <c r="VPJ57" s="0"/>
      <c r="VPK57" s="0"/>
      <c r="VPL57" s="0"/>
      <c r="VPM57" s="0"/>
      <c r="VPN57" s="0"/>
      <c r="VPO57" s="0"/>
      <c r="VPP57" s="0"/>
      <c r="VPQ57" s="0"/>
      <c r="VPR57" s="0"/>
      <c r="VPS57" s="0"/>
      <c r="VPT57" s="0"/>
      <c r="VPU57" s="0"/>
      <c r="VPV57" s="0"/>
      <c r="VPW57" s="0"/>
      <c r="VPX57" s="0"/>
      <c r="VPY57" s="0"/>
      <c r="VPZ57" s="0"/>
      <c r="VQA57" s="0"/>
      <c r="VQB57" s="0"/>
      <c r="VQC57" s="0"/>
      <c r="VQD57" s="0"/>
      <c r="VQE57" s="0"/>
      <c r="VQF57" s="0"/>
      <c r="VQG57" s="0"/>
      <c r="VQH57" s="0"/>
      <c r="VQI57" s="0"/>
      <c r="VQJ57" s="0"/>
      <c r="VQK57" s="0"/>
      <c r="VQL57" s="0"/>
      <c r="VQM57" s="0"/>
      <c r="VQN57" s="0"/>
      <c r="VQO57" s="0"/>
      <c r="VQP57" s="0"/>
      <c r="VQQ57" s="0"/>
      <c r="VQR57" s="0"/>
      <c r="VQS57" s="0"/>
      <c r="VQT57" s="0"/>
      <c r="VQU57" s="0"/>
      <c r="VQV57" s="0"/>
      <c r="VQW57" s="0"/>
      <c r="VQX57" s="0"/>
      <c r="VQY57" s="0"/>
      <c r="VQZ57" s="0"/>
      <c r="VRA57" s="0"/>
      <c r="VRB57" s="0"/>
      <c r="VRC57" s="0"/>
      <c r="VRD57" s="0"/>
      <c r="VRE57" s="0"/>
      <c r="VRF57" s="0"/>
      <c r="VRG57" s="0"/>
      <c r="VRH57" s="0"/>
      <c r="VRI57" s="0"/>
      <c r="VRJ57" s="0"/>
      <c r="VRK57" s="0"/>
      <c r="VRL57" s="0"/>
      <c r="VRM57" s="0"/>
      <c r="VRN57" s="0"/>
      <c r="VRO57" s="0"/>
      <c r="VRP57" s="0"/>
      <c r="VRQ57" s="0"/>
      <c r="VRR57" s="0"/>
      <c r="VRS57" s="0"/>
      <c r="VRT57" s="0"/>
      <c r="VRU57" s="0"/>
      <c r="VRV57" s="0"/>
      <c r="VRW57" s="0"/>
      <c r="VRX57" s="0"/>
      <c r="VRY57" s="0"/>
      <c r="VRZ57" s="0"/>
      <c r="VSA57" s="0"/>
      <c r="VSB57" s="0"/>
      <c r="VSC57" s="0"/>
      <c r="VSD57" s="0"/>
      <c r="VSE57" s="0"/>
      <c r="VSF57" s="0"/>
      <c r="VSG57" s="0"/>
      <c r="VSH57" s="0"/>
      <c r="VSI57" s="0"/>
      <c r="VSJ57" s="0"/>
      <c r="VSK57" s="0"/>
      <c r="VSL57" s="0"/>
      <c r="VSM57" s="0"/>
      <c r="VSN57" s="0"/>
      <c r="VSO57" s="0"/>
      <c r="VSP57" s="0"/>
      <c r="VSQ57" s="0"/>
      <c r="VSR57" s="0"/>
      <c r="VSS57" s="0"/>
      <c r="VST57" s="0"/>
      <c r="VSU57" s="0"/>
      <c r="VSV57" s="0"/>
      <c r="VSW57" s="0"/>
      <c r="VSX57" s="0"/>
      <c r="VSY57" s="0"/>
      <c r="VSZ57" s="0"/>
      <c r="VTA57" s="0"/>
      <c r="VTB57" s="0"/>
      <c r="VTC57" s="0"/>
      <c r="VTD57" s="0"/>
      <c r="VTE57" s="0"/>
      <c r="VTF57" s="0"/>
      <c r="VTG57" s="0"/>
      <c r="VTH57" s="0"/>
      <c r="VTI57" s="0"/>
      <c r="VTJ57" s="0"/>
      <c r="VTK57" s="0"/>
      <c r="VTL57" s="0"/>
      <c r="VTM57" s="0"/>
      <c r="VTN57" s="0"/>
      <c r="VTO57" s="0"/>
      <c r="VTP57" s="0"/>
      <c r="VTQ57" s="0"/>
      <c r="VTR57" s="0"/>
      <c r="VTS57" s="0"/>
      <c r="VTT57" s="0"/>
      <c r="VTU57" s="0"/>
      <c r="VTV57" s="0"/>
      <c r="VTW57" s="0"/>
      <c r="VTX57" s="0"/>
      <c r="VTY57" s="0"/>
      <c r="VTZ57" s="0"/>
      <c r="VUA57" s="0"/>
      <c r="VUB57" s="0"/>
      <c r="VUC57" s="0"/>
      <c r="VUD57" s="0"/>
      <c r="VUE57" s="0"/>
      <c r="VUF57" s="0"/>
      <c r="VUG57" s="0"/>
      <c r="VUH57" s="0"/>
      <c r="VUI57" s="0"/>
      <c r="VUJ57" s="0"/>
      <c r="VUK57" s="0"/>
      <c r="VUL57" s="0"/>
      <c r="VUM57" s="0"/>
      <c r="VUN57" s="0"/>
      <c r="VUO57" s="0"/>
      <c r="VUP57" s="0"/>
      <c r="VUQ57" s="0"/>
      <c r="VUR57" s="0"/>
      <c r="VUS57" s="0"/>
      <c r="VUT57" s="0"/>
      <c r="VUU57" s="0"/>
      <c r="VUV57" s="0"/>
      <c r="VUW57" s="0"/>
      <c r="VUX57" s="0"/>
      <c r="VUY57" s="0"/>
      <c r="VUZ57" s="0"/>
      <c r="VVA57" s="0"/>
      <c r="VVB57" s="0"/>
      <c r="VVC57" s="0"/>
      <c r="VVD57" s="0"/>
      <c r="VVE57" s="0"/>
      <c r="VVF57" s="0"/>
      <c r="VVG57" s="0"/>
      <c r="VVH57" s="0"/>
      <c r="VVI57" s="0"/>
      <c r="VVJ57" s="0"/>
      <c r="VVK57" s="0"/>
      <c r="VVL57" s="0"/>
      <c r="VVM57" s="0"/>
      <c r="VVN57" s="0"/>
      <c r="VVO57" s="0"/>
      <c r="VVP57" s="0"/>
      <c r="VVQ57" s="0"/>
      <c r="VVR57" s="0"/>
      <c r="VVS57" s="0"/>
      <c r="VVT57" s="0"/>
      <c r="VVU57" s="0"/>
      <c r="VVV57" s="0"/>
      <c r="VVW57" s="0"/>
      <c r="VVX57" s="0"/>
      <c r="VVY57" s="0"/>
      <c r="VVZ57" s="0"/>
      <c r="VWA57" s="0"/>
      <c r="VWB57" s="0"/>
      <c r="VWC57" s="0"/>
      <c r="VWD57" s="0"/>
      <c r="VWE57" s="0"/>
      <c r="VWF57" s="0"/>
      <c r="VWG57" s="0"/>
      <c r="VWH57" s="0"/>
      <c r="VWI57" s="0"/>
      <c r="VWJ57" s="0"/>
      <c r="VWK57" s="0"/>
      <c r="VWL57" s="0"/>
      <c r="VWM57" s="0"/>
      <c r="VWN57" s="0"/>
      <c r="VWO57" s="0"/>
      <c r="VWP57" s="0"/>
      <c r="VWQ57" s="0"/>
      <c r="VWR57" s="0"/>
      <c r="VWS57" s="0"/>
      <c r="VWT57" s="0"/>
      <c r="VWU57" s="0"/>
      <c r="VWV57" s="0"/>
      <c r="VWW57" s="0"/>
      <c r="VWX57" s="0"/>
      <c r="VWY57" s="0"/>
      <c r="VWZ57" s="0"/>
      <c r="VXA57" s="0"/>
      <c r="VXB57" s="0"/>
      <c r="VXC57" s="0"/>
      <c r="VXD57" s="0"/>
      <c r="VXE57" s="0"/>
      <c r="VXF57" s="0"/>
      <c r="VXG57" s="0"/>
      <c r="VXH57" s="0"/>
      <c r="VXI57" s="0"/>
      <c r="VXJ57" s="0"/>
      <c r="VXK57" s="0"/>
      <c r="VXL57" s="0"/>
      <c r="VXM57" s="0"/>
      <c r="VXN57" s="0"/>
      <c r="VXO57" s="0"/>
      <c r="VXP57" s="0"/>
      <c r="VXQ57" s="0"/>
      <c r="VXR57" s="0"/>
      <c r="VXS57" s="0"/>
      <c r="VXT57" s="0"/>
      <c r="VXU57" s="0"/>
      <c r="VXV57" s="0"/>
      <c r="VXW57" s="0"/>
      <c r="VXX57" s="0"/>
      <c r="VXY57" s="0"/>
      <c r="VXZ57" s="0"/>
      <c r="VYA57" s="0"/>
      <c r="VYB57" s="0"/>
      <c r="VYC57" s="0"/>
      <c r="VYD57" s="0"/>
      <c r="VYE57" s="0"/>
      <c r="VYF57" s="0"/>
      <c r="VYG57" s="0"/>
      <c r="VYH57" s="0"/>
      <c r="VYI57" s="0"/>
      <c r="VYJ57" s="0"/>
      <c r="VYK57" s="0"/>
      <c r="VYL57" s="0"/>
      <c r="VYM57" s="0"/>
      <c r="VYN57" s="0"/>
      <c r="VYO57" s="0"/>
      <c r="VYP57" s="0"/>
      <c r="VYQ57" s="0"/>
      <c r="VYR57" s="0"/>
      <c r="VYS57" s="0"/>
      <c r="VYT57" s="0"/>
      <c r="VYU57" s="0"/>
      <c r="VYV57" s="0"/>
      <c r="VYW57" s="0"/>
      <c r="VYX57" s="0"/>
      <c r="VYY57" s="0"/>
      <c r="VYZ57" s="0"/>
      <c r="VZA57" s="0"/>
      <c r="VZB57" s="0"/>
      <c r="VZC57" s="0"/>
      <c r="VZD57" s="0"/>
      <c r="VZE57" s="0"/>
      <c r="VZF57" s="0"/>
      <c r="VZG57" s="0"/>
      <c r="VZH57" s="0"/>
      <c r="VZI57" s="0"/>
      <c r="VZJ57" s="0"/>
      <c r="VZK57" s="0"/>
      <c r="VZL57" s="0"/>
      <c r="VZM57" s="0"/>
      <c r="VZN57" s="0"/>
      <c r="VZO57" s="0"/>
      <c r="VZP57" s="0"/>
      <c r="VZQ57" s="0"/>
      <c r="VZR57" s="0"/>
      <c r="VZS57" s="0"/>
      <c r="VZT57" s="0"/>
      <c r="VZU57" s="0"/>
      <c r="VZV57" s="0"/>
      <c r="VZW57" s="0"/>
      <c r="VZX57" s="0"/>
      <c r="VZY57" s="0"/>
      <c r="VZZ57" s="0"/>
      <c r="WAA57" s="0"/>
      <c r="WAB57" s="0"/>
      <c r="WAC57" s="0"/>
      <c r="WAD57" s="0"/>
      <c r="WAE57" s="0"/>
      <c r="WAF57" s="0"/>
      <c r="WAG57" s="0"/>
      <c r="WAH57" s="0"/>
      <c r="WAI57" s="0"/>
      <c r="WAJ57" s="0"/>
      <c r="WAK57" s="0"/>
      <c r="WAL57" s="0"/>
      <c r="WAM57" s="0"/>
      <c r="WAN57" s="0"/>
      <c r="WAO57" s="0"/>
      <c r="WAP57" s="0"/>
      <c r="WAQ57" s="0"/>
      <c r="WAR57" s="0"/>
      <c r="WAS57" s="0"/>
      <c r="WAT57" s="0"/>
      <c r="WAU57" s="0"/>
      <c r="WAV57" s="0"/>
      <c r="WAW57" s="0"/>
      <c r="WAX57" s="0"/>
      <c r="WAY57" s="0"/>
      <c r="WAZ57" s="0"/>
      <c r="WBA57" s="0"/>
      <c r="WBB57" s="0"/>
      <c r="WBC57" s="0"/>
      <c r="WBD57" s="0"/>
      <c r="WBE57" s="0"/>
      <c r="WBF57" s="0"/>
      <c r="WBG57" s="0"/>
      <c r="WBH57" s="0"/>
      <c r="WBI57" s="0"/>
      <c r="WBJ57" s="0"/>
      <c r="WBK57" s="0"/>
      <c r="WBL57" s="0"/>
      <c r="WBM57" s="0"/>
      <c r="WBN57" s="0"/>
      <c r="WBO57" s="0"/>
      <c r="WBP57" s="0"/>
      <c r="WBQ57" s="0"/>
      <c r="WBR57" s="0"/>
      <c r="WBS57" s="0"/>
      <c r="WBT57" s="0"/>
      <c r="WBU57" s="0"/>
      <c r="WBV57" s="0"/>
      <c r="WBW57" s="0"/>
      <c r="WBX57" s="0"/>
      <c r="WBY57" s="0"/>
      <c r="WBZ57" s="0"/>
      <c r="WCA57" s="0"/>
      <c r="WCB57" s="0"/>
      <c r="WCC57" s="0"/>
      <c r="WCD57" s="0"/>
      <c r="WCE57" s="0"/>
      <c r="WCF57" s="0"/>
      <c r="WCG57" s="0"/>
      <c r="WCH57" s="0"/>
      <c r="WCI57" s="0"/>
      <c r="WCJ57" s="0"/>
      <c r="WCK57" s="0"/>
      <c r="WCL57" s="0"/>
      <c r="WCM57" s="0"/>
      <c r="WCN57" s="0"/>
      <c r="WCO57" s="0"/>
      <c r="WCP57" s="0"/>
      <c r="WCQ57" s="0"/>
      <c r="WCR57" s="0"/>
      <c r="WCS57" s="0"/>
      <c r="WCT57" s="0"/>
      <c r="WCU57" s="0"/>
      <c r="WCV57" s="0"/>
      <c r="WCW57" s="0"/>
      <c r="WCX57" s="0"/>
      <c r="WCY57" s="0"/>
      <c r="WCZ57" s="0"/>
      <c r="WDA57" s="0"/>
      <c r="WDB57" s="0"/>
      <c r="WDC57" s="0"/>
      <c r="WDD57" s="0"/>
      <c r="WDE57" s="0"/>
      <c r="WDF57" s="0"/>
      <c r="WDG57" s="0"/>
      <c r="WDH57" s="0"/>
      <c r="WDI57" s="0"/>
      <c r="WDJ57" s="0"/>
      <c r="WDK57" s="0"/>
      <c r="WDL57" s="0"/>
      <c r="WDM57" s="0"/>
      <c r="WDN57" s="0"/>
      <c r="WDO57" s="0"/>
      <c r="WDP57" s="0"/>
      <c r="WDQ57" s="0"/>
      <c r="WDR57" s="0"/>
      <c r="WDS57" s="0"/>
      <c r="WDT57" s="0"/>
      <c r="WDU57" s="0"/>
      <c r="WDV57" s="0"/>
      <c r="WDW57" s="0"/>
      <c r="WDX57" s="0"/>
      <c r="WDY57" s="0"/>
      <c r="WDZ57" s="0"/>
      <c r="WEA57" s="0"/>
      <c r="WEB57" s="0"/>
      <c r="WEC57" s="0"/>
      <c r="WED57" s="0"/>
      <c r="WEE57" s="0"/>
      <c r="WEF57" s="0"/>
      <c r="WEG57" s="0"/>
      <c r="WEH57" s="0"/>
      <c r="WEI57" s="0"/>
      <c r="WEJ57" s="0"/>
      <c r="WEK57" s="0"/>
      <c r="WEL57" s="0"/>
      <c r="WEM57" s="0"/>
      <c r="WEN57" s="0"/>
      <c r="WEO57" s="0"/>
      <c r="WEP57" s="0"/>
      <c r="WEQ57" s="0"/>
      <c r="WER57" s="0"/>
      <c r="WES57" s="0"/>
      <c r="WET57" s="0"/>
      <c r="WEU57" s="0"/>
      <c r="WEV57" s="0"/>
      <c r="WEW57" s="0"/>
      <c r="WEX57" s="0"/>
      <c r="WEY57" s="0"/>
      <c r="WEZ57" s="0"/>
      <c r="WFA57" s="0"/>
      <c r="WFB57" s="0"/>
      <c r="WFC57" s="0"/>
      <c r="WFD57" s="0"/>
      <c r="WFE57" s="0"/>
      <c r="WFF57" s="0"/>
      <c r="WFG57" s="0"/>
      <c r="WFH57" s="0"/>
      <c r="WFI57" s="0"/>
      <c r="WFJ57" s="0"/>
      <c r="WFK57" s="0"/>
      <c r="WFL57" s="0"/>
      <c r="WFM57" s="0"/>
      <c r="WFN57" s="0"/>
      <c r="WFO57" s="0"/>
      <c r="WFP57" s="0"/>
      <c r="WFQ57" s="0"/>
      <c r="WFR57" s="0"/>
      <c r="WFS57" s="0"/>
      <c r="WFT57" s="0"/>
      <c r="WFU57" s="0"/>
      <c r="WFV57" s="0"/>
      <c r="WFW57" s="0"/>
      <c r="WFX57" s="0"/>
      <c r="WFY57" s="0"/>
      <c r="WFZ57" s="0"/>
      <c r="WGA57" s="0"/>
      <c r="WGB57" s="0"/>
      <c r="WGC57" s="0"/>
      <c r="WGD57" s="0"/>
      <c r="WGE57" s="0"/>
      <c r="WGF57" s="0"/>
      <c r="WGG57" s="0"/>
      <c r="WGH57" s="0"/>
      <c r="WGI57" s="0"/>
      <c r="WGJ57" s="0"/>
      <c r="WGK57" s="0"/>
      <c r="WGL57" s="0"/>
      <c r="WGM57" s="0"/>
      <c r="WGN57" s="0"/>
      <c r="WGO57" s="0"/>
      <c r="WGP57" s="0"/>
      <c r="WGQ57" s="0"/>
      <c r="WGR57" s="0"/>
      <c r="WGS57" s="0"/>
      <c r="WGT57" s="0"/>
      <c r="WGU57" s="0"/>
      <c r="WGV57" s="0"/>
      <c r="WGW57" s="0"/>
      <c r="WGX57" s="0"/>
      <c r="WGY57" s="0"/>
      <c r="WGZ57" s="0"/>
      <c r="WHA57" s="0"/>
      <c r="WHB57" s="0"/>
      <c r="WHC57" s="0"/>
      <c r="WHD57" s="0"/>
      <c r="WHE57" s="0"/>
      <c r="WHF57" s="0"/>
      <c r="WHG57" s="0"/>
      <c r="WHH57" s="0"/>
      <c r="WHI57" s="0"/>
      <c r="WHJ57" s="0"/>
      <c r="WHK57" s="0"/>
      <c r="WHL57" s="0"/>
      <c r="WHM57" s="0"/>
      <c r="WHN57" s="0"/>
      <c r="WHO57" s="0"/>
      <c r="WHP57" s="0"/>
      <c r="WHQ57" s="0"/>
      <c r="WHR57" s="0"/>
      <c r="WHS57" s="0"/>
      <c r="WHT57" s="0"/>
      <c r="WHU57" s="0"/>
      <c r="WHV57" s="0"/>
      <c r="WHW57" s="0"/>
      <c r="WHX57" s="0"/>
      <c r="WHY57" s="0"/>
      <c r="WHZ57" s="0"/>
      <c r="WIA57" s="0"/>
      <c r="WIB57" s="0"/>
      <c r="WIC57" s="0"/>
      <c r="WID57" s="0"/>
      <c r="WIE57" s="0"/>
      <c r="WIF57" s="0"/>
      <c r="WIG57" s="0"/>
      <c r="WIH57" s="0"/>
      <c r="WII57" s="0"/>
      <c r="WIJ57" s="0"/>
      <c r="WIK57" s="0"/>
      <c r="WIL57" s="0"/>
      <c r="WIM57" s="0"/>
      <c r="WIN57" s="0"/>
      <c r="WIO57" s="0"/>
      <c r="WIP57" s="0"/>
      <c r="WIQ57" s="0"/>
      <c r="WIR57" s="0"/>
      <c r="WIS57" s="0"/>
      <c r="WIT57" s="0"/>
      <c r="WIU57" s="0"/>
      <c r="WIV57" s="0"/>
      <c r="WIW57" s="0"/>
      <c r="WIX57" s="0"/>
      <c r="WIY57" s="0"/>
      <c r="WIZ57" s="0"/>
      <c r="WJA57" s="0"/>
      <c r="WJB57" s="0"/>
      <c r="WJC57" s="0"/>
      <c r="WJD57" s="0"/>
      <c r="WJE57" s="0"/>
      <c r="WJF57" s="0"/>
      <c r="WJG57" s="0"/>
      <c r="WJH57" s="0"/>
      <c r="WJI57" s="0"/>
      <c r="WJJ57" s="0"/>
      <c r="WJK57" s="0"/>
      <c r="WJL57" s="0"/>
      <c r="WJM57" s="0"/>
      <c r="WJN57" s="0"/>
      <c r="WJO57" s="0"/>
      <c r="WJP57" s="0"/>
      <c r="WJQ57" s="0"/>
      <c r="WJR57" s="0"/>
      <c r="WJS57" s="0"/>
      <c r="WJT57" s="0"/>
      <c r="WJU57" s="0"/>
      <c r="WJV57" s="0"/>
      <c r="WJW57" s="0"/>
      <c r="WJX57" s="0"/>
      <c r="WJY57" s="0"/>
      <c r="WJZ57" s="0"/>
      <c r="WKA57" s="0"/>
      <c r="WKB57" s="0"/>
      <c r="WKC57" s="0"/>
      <c r="WKD57" s="0"/>
      <c r="WKE57" s="0"/>
      <c r="WKF57" s="0"/>
      <c r="WKG57" s="0"/>
      <c r="WKH57" s="0"/>
      <c r="WKI57" s="0"/>
      <c r="WKJ57" s="0"/>
      <c r="WKK57" s="0"/>
      <c r="WKL57" s="0"/>
      <c r="WKM57" s="0"/>
      <c r="WKN57" s="0"/>
      <c r="WKO57" s="0"/>
      <c r="WKP57" s="0"/>
      <c r="WKQ57" s="0"/>
      <c r="WKR57" s="0"/>
      <c r="WKS57" s="0"/>
      <c r="WKT57" s="0"/>
      <c r="WKU57" s="0"/>
      <c r="WKV57" s="0"/>
      <c r="WKW57" s="0"/>
      <c r="WKX57" s="0"/>
      <c r="WKY57" s="0"/>
      <c r="WKZ57" s="0"/>
      <c r="WLA57" s="0"/>
      <c r="WLB57" s="0"/>
      <c r="WLC57" s="0"/>
      <c r="WLD57" s="0"/>
      <c r="WLE57" s="0"/>
      <c r="WLF57" s="0"/>
      <c r="WLG57" s="0"/>
      <c r="WLH57" s="0"/>
      <c r="WLI57" s="0"/>
      <c r="WLJ57" s="0"/>
      <c r="WLK57" s="0"/>
      <c r="WLL57" s="0"/>
      <c r="WLM57" s="0"/>
      <c r="WLN57" s="0"/>
      <c r="WLO57" s="0"/>
      <c r="WLP57" s="0"/>
      <c r="WLQ57" s="0"/>
      <c r="WLR57" s="0"/>
      <c r="WLS57" s="0"/>
      <c r="WLT57" s="0"/>
      <c r="WLU57" s="0"/>
      <c r="WLV57" s="0"/>
      <c r="WLW57" s="0"/>
      <c r="WLX57" s="0"/>
      <c r="WLY57" s="0"/>
      <c r="WLZ57" s="0"/>
      <c r="WMA57" s="0"/>
      <c r="WMB57" s="0"/>
      <c r="WMC57" s="0"/>
      <c r="WMD57" s="0"/>
      <c r="WME57" s="0"/>
      <c r="WMF57" s="0"/>
      <c r="WMG57" s="0"/>
      <c r="WMH57" s="0"/>
      <c r="WMI57" s="0"/>
      <c r="WMJ57" s="0"/>
      <c r="WMK57" s="0"/>
      <c r="WML57" s="0"/>
      <c r="WMM57" s="0"/>
      <c r="WMN57" s="0"/>
      <c r="WMO57" s="0"/>
      <c r="WMP57" s="0"/>
      <c r="WMQ57" s="0"/>
      <c r="WMR57" s="0"/>
      <c r="WMS57" s="0"/>
      <c r="WMT57" s="0"/>
      <c r="WMU57" s="0"/>
      <c r="WMV57" s="0"/>
      <c r="WMW57" s="0"/>
      <c r="WMX57" s="0"/>
      <c r="WMY57" s="0"/>
      <c r="WMZ57" s="0"/>
      <c r="WNA57" s="0"/>
      <c r="WNB57" s="0"/>
      <c r="WNC57" s="0"/>
      <c r="WND57" s="0"/>
      <c r="WNE57" s="0"/>
      <c r="WNF57" s="0"/>
      <c r="WNG57" s="0"/>
      <c r="WNH57" s="0"/>
      <c r="WNI57" s="0"/>
      <c r="WNJ57" s="0"/>
      <c r="WNK57" s="0"/>
      <c r="WNL57" s="0"/>
      <c r="WNM57" s="0"/>
      <c r="WNN57" s="0"/>
      <c r="WNO57" s="0"/>
      <c r="WNP57" s="0"/>
      <c r="WNQ57" s="0"/>
      <c r="WNR57" s="0"/>
      <c r="WNS57" s="0"/>
      <c r="WNT57" s="0"/>
      <c r="WNU57" s="0"/>
      <c r="WNV57" s="0"/>
      <c r="WNW57" s="0"/>
      <c r="WNX57" s="0"/>
      <c r="WNY57" s="0"/>
      <c r="WNZ57" s="0"/>
      <c r="WOA57" s="0"/>
      <c r="WOB57" s="0"/>
      <c r="WOC57" s="0"/>
      <c r="WOD57" s="0"/>
      <c r="WOE57" s="0"/>
      <c r="WOF57" s="0"/>
      <c r="WOG57" s="0"/>
      <c r="WOH57" s="0"/>
      <c r="WOI57" s="0"/>
      <c r="WOJ57" s="0"/>
      <c r="WOK57" s="0"/>
      <c r="WOL57" s="0"/>
      <c r="WOM57" s="0"/>
      <c r="WON57" s="0"/>
      <c r="WOO57" s="0"/>
      <c r="WOP57" s="0"/>
      <c r="WOQ57" s="0"/>
      <c r="WOR57" s="0"/>
      <c r="WOS57" s="0"/>
      <c r="WOT57" s="0"/>
      <c r="WOU57" s="0"/>
      <c r="WOV57" s="0"/>
      <c r="WOW57" s="0"/>
      <c r="WOX57" s="0"/>
      <c r="WOY57" s="0"/>
      <c r="WOZ57" s="0"/>
      <c r="WPA57" s="0"/>
      <c r="WPB57" s="0"/>
      <c r="WPC57" s="0"/>
      <c r="WPD57" s="0"/>
      <c r="WPE57" s="0"/>
      <c r="WPF57" s="0"/>
      <c r="WPG57" s="0"/>
      <c r="WPH57" s="0"/>
      <c r="WPI57" s="0"/>
      <c r="WPJ57" s="0"/>
      <c r="WPK57" s="0"/>
      <c r="WPL57" s="0"/>
      <c r="WPM57" s="0"/>
      <c r="WPN57" s="0"/>
      <c r="WPO57" s="0"/>
      <c r="WPP57" s="0"/>
      <c r="WPQ57" s="0"/>
      <c r="WPR57" s="0"/>
      <c r="WPS57" s="0"/>
      <c r="WPT57" s="0"/>
      <c r="WPU57" s="0"/>
      <c r="WPV57" s="0"/>
      <c r="WPW57" s="0"/>
      <c r="WPX57" s="0"/>
      <c r="WPY57" s="0"/>
      <c r="WPZ57" s="0"/>
      <c r="WQA57" s="0"/>
      <c r="WQB57" s="0"/>
      <c r="WQC57" s="0"/>
      <c r="WQD57" s="0"/>
      <c r="WQE57" s="0"/>
      <c r="WQF57" s="0"/>
      <c r="WQG57" s="0"/>
      <c r="WQH57" s="0"/>
      <c r="WQI57" s="0"/>
      <c r="WQJ57" s="0"/>
      <c r="WQK57" s="0"/>
      <c r="WQL57" s="0"/>
      <c r="WQM57" s="0"/>
      <c r="WQN57" s="0"/>
      <c r="WQO57" s="0"/>
      <c r="WQP57" s="0"/>
      <c r="WQQ57" s="0"/>
      <c r="WQR57" s="0"/>
      <c r="WQS57" s="0"/>
      <c r="WQT57" s="0"/>
      <c r="WQU57" s="0"/>
      <c r="WQV57" s="0"/>
      <c r="WQW57" s="0"/>
      <c r="WQX57" s="0"/>
      <c r="WQY57" s="0"/>
      <c r="WQZ57" s="0"/>
      <c r="WRA57" s="0"/>
      <c r="WRB57" s="0"/>
      <c r="WRC57" s="0"/>
      <c r="WRD57" s="0"/>
      <c r="WRE57" s="0"/>
      <c r="WRF57" s="0"/>
      <c r="WRG57" s="0"/>
      <c r="WRH57" s="0"/>
      <c r="WRI57" s="0"/>
      <c r="WRJ57" s="0"/>
      <c r="WRK57" s="0"/>
      <c r="WRL57" s="0"/>
      <c r="WRM57" s="0"/>
      <c r="WRN57" s="0"/>
      <c r="WRO57" s="0"/>
      <c r="WRP57" s="0"/>
      <c r="WRQ57" s="0"/>
      <c r="WRR57" s="0"/>
      <c r="WRS57" s="0"/>
      <c r="WRT57" s="0"/>
      <c r="WRU57" s="0"/>
      <c r="WRV57" s="0"/>
      <c r="WRW57" s="0"/>
      <c r="WRX57" s="0"/>
      <c r="WRY57" s="0"/>
      <c r="WRZ57" s="0"/>
      <c r="WSA57" s="0"/>
      <c r="WSB57" s="0"/>
      <c r="WSC57" s="0"/>
      <c r="WSD57" s="0"/>
      <c r="WSE57" s="0"/>
      <c r="WSF57" s="0"/>
      <c r="WSG57" s="0"/>
      <c r="WSH57" s="0"/>
      <c r="WSI57" s="0"/>
      <c r="WSJ57" s="0"/>
      <c r="WSK57" s="0"/>
      <c r="WSL57" s="0"/>
      <c r="WSM57" s="0"/>
      <c r="WSN57" s="0"/>
      <c r="WSO57" s="0"/>
      <c r="WSP57" s="0"/>
      <c r="WSQ57" s="0"/>
      <c r="WSR57" s="0"/>
      <c r="WSS57" s="0"/>
      <c r="WST57" s="0"/>
      <c r="WSU57" s="0"/>
      <c r="WSV57" s="0"/>
      <c r="WSW57" s="0"/>
      <c r="WSX57" s="0"/>
      <c r="WSY57" s="0"/>
      <c r="WSZ57" s="0"/>
      <c r="WTA57" s="0"/>
      <c r="WTB57" s="0"/>
      <c r="WTC57" s="0"/>
      <c r="WTD57" s="0"/>
      <c r="WTE57" s="0"/>
      <c r="WTF57" s="0"/>
      <c r="WTG57" s="0"/>
      <c r="WTH57" s="0"/>
      <c r="WTI57" s="0"/>
      <c r="WTJ57" s="0"/>
      <c r="WTK57" s="0"/>
      <c r="WTL57" s="0"/>
      <c r="WTM57" s="0"/>
      <c r="WTN57" s="0"/>
      <c r="WTO57" s="0"/>
      <c r="WTP57" s="0"/>
      <c r="WTQ57" s="0"/>
      <c r="WTR57" s="0"/>
      <c r="WTS57" s="0"/>
      <c r="WTT57" s="0"/>
      <c r="WTU57" s="0"/>
      <c r="WTV57" s="0"/>
      <c r="WTW57" s="0"/>
      <c r="WTX57" s="0"/>
      <c r="WTY57" s="0"/>
      <c r="WTZ57" s="0"/>
      <c r="WUA57" s="0"/>
      <c r="WUB57" s="0"/>
      <c r="WUC57" s="0"/>
      <c r="WUD57" s="0"/>
      <c r="WUE57" s="0"/>
      <c r="WUF57" s="0"/>
      <c r="WUG57" s="0"/>
      <c r="WUH57" s="0"/>
      <c r="WUI57" s="0"/>
      <c r="WUJ57" s="0"/>
      <c r="WUK57" s="0"/>
      <c r="WUL57" s="0"/>
      <c r="WUM57" s="0"/>
      <c r="WUN57" s="0"/>
      <c r="WUO57" s="0"/>
      <c r="WUP57" s="0"/>
      <c r="WUQ57" s="0"/>
      <c r="WUR57" s="0"/>
      <c r="WUS57" s="0"/>
      <c r="WUT57" s="0"/>
      <c r="WUU57" s="0"/>
      <c r="WUV57" s="0"/>
      <c r="WUW57" s="0"/>
      <c r="WUX57" s="0"/>
      <c r="WUY57" s="0"/>
      <c r="WUZ57" s="0"/>
      <c r="WVA57" s="0"/>
      <c r="WVB57" s="0"/>
      <c r="WVC57" s="0"/>
      <c r="WVD57" s="0"/>
      <c r="WVE57" s="0"/>
      <c r="WVF57" s="0"/>
      <c r="WVG57" s="0"/>
      <c r="WVH57" s="0"/>
      <c r="WVI57" s="0"/>
      <c r="WVJ57" s="0"/>
      <c r="WVK57" s="0"/>
      <c r="WVL57" s="0"/>
      <c r="WVM57" s="0"/>
      <c r="WVN57" s="0"/>
      <c r="WVO57" s="0"/>
      <c r="WVP57" s="0"/>
      <c r="WVQ57" s="0"/>
      <c r="WVR57" s="0"/>
      <c r="WVS57" s="0"/>
      <c r="WVT57" s="0"/>
      <c r="WVU57" s="0"/>
      <c r="WVV57" s="0"/>
      <c r="WVW57" s="0"/>
      <c r="WVX57" s="0"/>
      <c r="WVY57" s="0"/>
      <c r="WVZ57" s="0"/>
      <c r="WWA57" s="0"/>
      <c r="WWB57" s="0"/>
      <c r="WWC57" s="0"/>
      <c r="WWD57" s="0"/>
      <c r="WWE57" s="0"/>
      <c r="WWF57" s="0"/>
      <c r="WWG57" s="0"/>
      <c r="WWH57" s="0"/>
      <c r="WWI57" s="0"/>
      <c r="WWJ57" s="0"/>
      <c r="WWK57" s="0"/>
      <c r="WWL57" s="0"/>
      <c r="WWM57" s="0"/>
      <c r="WWN57" s="0"/>
      <c r="WWO57" s="0"/>
      <c r="WWP57" s="0"/>
      <c r="WWQ57" s="0"/>
      <c r="WWR57" s="0"/>
      <c r="WWS57" s="0"/>
      <c r="WWT57" s="0"/>
      <c r="WWU57" s="0"/>
      <c r="WWV57" s="0"/>
      <c r="WWW57" s="0"/>
      <c r="WWX57" s="0"/>
      <c r="WWY57" s="0"/>
      <c r="WWZ57" s="0"/>
      <c r="WXA57" s="0"/>
      <c r="WXB57" s="0"/>
      <c r="WXC57" s="0"/>
      <c r="WXD57" s="0"/>
      <c r="WXE57" s="0"/>
      <c r="WXF57" s="0"/>
      <c r="WXG57" s="0"/>
      <c r="WXH57" s="0"/>
      <c r="WXI57" s="0"/>
      <c r="WXJ57" s="0"/>
      <c r="WXK57" s="0"/>
      <c r="WXL57" s="0"/>
      <c r="WXM57" s="0"/>
      <c r="WXN57" s="0"/>
      <c r="WXO57" s="0"/>
      <c r="WXP57" s="0"/>
      <c r="WXQ57" s="0"/>
      <c r="WXR57" s="0"/>
      <c r="WXS57" s="0"/>
      <c r="WXT57" s="0"/>
      <c r="WXU57" s="0"/>
      <c r="WXV57" s="0"/>
      <c r="WXW57" s="0"/>
      <c r="WXX57" s="0"/>
      <c r="WXY57" s="0"/>
      <c r="WXZ57" s="0"/>
      <c r="WYA57" s="0"/>
      <c r="WYB57" s="0"/>
      <c r="WYC57" s="0"/>
      <c r="WYD57" s="0"/>
      <c r="WYE57" s="0"/>
      <c r="WYF57" s="0"/>
      <c r="WYG57" s="0"/>
      <c r="WYH57" s="0"/>
      <c r="WYI57" s="0"/>
      <c r="WYJ57" s="0"/>
      <c r="WYK57" s="0"/>
      <c r="WYL57" s="0"/>
      <c r="WYM57" s="0"/>
      <c r="WYN57" s="0"/>
      <c r="WYO57" s="0"/>
      <c r="WYP57" s="0"/>
      <c r="WYQ57" s="0"/>
      <c r="WYR57" s="0"/>
      <c r="WYS57" s="0"/>
      <c r="WYT57" s="0"/>
      <c r="WYU57" s="0"/>
      <c r="WYV57" s="0"/>
      <c r="WYW57" s="0"/>
      <c r="WYX57" s="0"/>
      <c r="WYY57" s="0"/>
      <c r="WYZ57" s="0"/>
      <c r="WZA57" s="0"/>
      <c r="WZB57" s="0"/>
      <c r="WZC57" s="0"/>
      <c r="WZD57" s="0"/>
      <c r="WZE57" s="0"/>
      <c r="WZF57" s="0"/>
      <c r="WZG57" s="0"/>
      <c r="WZH57" s="0"/>
      <c r="WZI57" s="0"/>
      <c r="WZJ57" s="0"/>
      <c r="WZK57" s="0"/>
      <c r="WZL57" s="0"/>
      <c r="WZM57" s="0"/>
      <c r="WZN57" s="0"/>
      <c r="WZO57" s="0"/>
      <c r="WZP57" s="0"/>
      <c r="WZQ57" s="0"/>
      <c r="WZR57" s="0"/>
      <c r="WZS57" s="0"/>
      <c r="WZT57" s="0"/>
      <c r="WZU57" s="0"/>
      <c r="WZV57" s="0"/>
      <c r="WZW57" s="0"/>
      <c r="WZX57" s="0"/>
      <c r="WZY57" s="0"/>
      <c r="WZZ57" s="0"/>
      <c r="XAA57" s="0"/>
      <c r="XAB57" s="0"/>
      <c r="XAC57" s="0"/>
      <c r="XAD57" s="0"/>
      <c r="XAE57" s="0"/>
      <c r="XAF57" s="0"/>
      <c r="XAG57" s="0"/>
      <c r="XAH57" s="0"/>
      <c r="XAI57" s="0"/>
      <c r="XAJ57" s="0"/>
      <c r="XAK57" s="0"/>
      <c r="XAL57" s="0"/>
      <c r="XAM57" s="0"/>
      <c r="XAN57" s="0"/>
      <c r="XAO57" s="0"/>
      <c r="XAP57" s="0"/>
      <c r="XAQ57" s="0"/>
      <c r="XAR57" s="0"/>
      <c r="XAS57" s="0"/>
      <c r="XAT57" s="0"/>
      <c r="XAU57" s="0"/>
      <c r="XAV57" s="0"/>
      <c r="XAW57" s="0"/>
      <c r="XAX57" s="0"/>
      <c r="XAY57" s="0"/>
      <c r="XAZ57" s="0"/>
      <c r="XBA57" s="0"/>
      <c r="XBB57" s="0"/>
      <c r="XBC57" s="0"/>
      <c r="XBD57" s="0"/>
      <c r="XBE57" s="0"/>
      <c r="XBF57" s="0"/>
      <c r="XBG57" s="0"/>
      <c r="XBH57" s="0"/>
      <c r="XBI57" s="0"/>
      <c r="XBJ57" s="0"/>
      <c r="XBK57" s="0"/>
      <c r="XBL57" s="0"/>
      <c r="XBM57" s="0"/>
      <c r="XBN57" s="0"/>
      <c r="XBO57" s="0"/>
      <c r="XBP57" s="0"/>
      <c r="XBQ57" s="0"/>
      <c r="XBR57" s="0"/>
      <c r="XBS57" s="0"/>
      <c r="XBT57" s="0"/>
      <c r="XBU57" s="0"/>
      <c r="XBV57" s="0"/>
      <c r="XBW57" s="0"/>
      <c r="XBX57" s="0"/>
      <c r="XBY57" s="0"/>
      <c r="XBZ57" s="0"/>
      <c r="XCA57" s="0"/>
      <c r="XCB57" s="0"/>
      <c r="XCC57" s="0"/>
      <c r="XCD57" s="0"/>
      <c r="XCE57" s="0"/>
      <c r="XCF57" s="0"/>
      <c r="XCG57" s="0"/>
      <c r="XCH57" s="0"/>
      <c r="XCI57" s="0"/>
      <c r="XCJ57" s="0"/>
      <c r="XCK57" s="0"/>
      <c r="XCL57" s="0"/>
      <c r="XCM57" s="0"/>
      <c r="XCN57" s="0"/>
      <c r="XCO57" s="0"/>
      <c r="XCP57" s="0"/>
      <c r="XCQ57" s="0"/>
      <c r="XCR57" s="0"/>
      <c r="XCS57" s="0"/>
      <c r="XCT57" s="0"/>
      <c r="XCU57" s="0"/>
      <c r="XCV57" s="0"/>
      <c r="XCW57" s="0"/>
      <c r="XCX57" s="0"/>
      <c r="XCY57" s="0"/>
      <c r="XCZ57" s="0"/>
      <c r="XDA57" s="0"/>
      <c r="XDB57" s="0"/>
      <c r="XDC57" s="0"/>
      <c r="XDD57" s="0"/>
      <c r="XDE57" s="0"/>
      <c r="XDF57" s="0"/>
      <c r="XDG57" s="0"/>
      <c r="XDH57" s="0"/>
      <c r="XDI57" s="0"/>
      <c r="XDJ57" s="0"/>
      <c r="XDK57" s="0"/>
      <c r="XDL57" s="0"/>
      <c r="XDM57" s="0"/>
      <c r="XDN57" s="0"/>
      <c r="XDO57" s="0"/>
      <c r="XDP57" s="0"/>
      <c r="XDQ57" s="0"/>
      <c r="XDR57" s="0"/>
      <c r="XDS57" s="0"/>
      <c r="XDT57" s="0"/>
      <c r="XDU57" s="0"/>
      <c r="XDV57" s="0"/>
      <c r="XDW57" s="0"/>
      <c r="XDX57" s="0"/>
      <c r="XDY57" s="0"/>
      <c r="XDZ57" s="0"/>
      <c r="XEA57" s="0"/>
      <c r="XEB57" s="0"/>
      <c r="XEC57" s="0"/>
      <c r="XED57" s="0"/>
      <c r="XEE57" s="0"/>
      <c r="XEF57" s="0"/>
      <c r="XEG57" s="0"/>
      <c r="XEH57" s="0"/>
      <c r="XEI57" s="0"/>
      <c r="XEJ57" s="0"/>
      <c r="XEK57" s="0"/>
      <c r="XEL57" s="0"/>
      <c r="XEM57" s="0"/>
      <c r="XEN57" s="0"/>
      <c r="XEO57" s="0"/>
      <c r="XEP57" s="0"/>
      <c r="XEQ57" s="0"/>
      <c r="XER57" s="0"/>
      <c r="XES57" s="0"/>
      <c r="XET57" s="0"/>
      <c r="XEU57" s="0"/>
      <c r="XEV57" s="0"/>
      <c r="XEW57" s="0"/>
      <c r="XEX57" s="0"/>
      <c r="XEY57" s="0"/>
      <c r="XEZ57" s="0"/>
      <c r="XFA57" s="0"/>
      <c r="XFB57" s="0"/>
      <c r="XFC57" s="0"/>
      <c r="XFD57" s="0"/>
    </row>
    <row r="58" customFormat="false" ht="13.8" hidden="false" customHeight="false" outlineLevel="0" collapsed="false">
      <c r="A58" s="0" t="s">
        <v>387</v>
      </c>
      <c r="B58" s="0" t="s">
        <v>393</v>
      </c>
      <c r="C58" s="0" t="n">
        <v>441</v>
      </c>
      <c r="D58" s="0" t="n">
        <v>440</v>
      </c>
      <c r="E58" s="0" t="n">
        <v>481</v>
      </c>
      <c r="F58" s="0" t="s">
        <v>89</v>
      </c>
      <c r="G58" s="0" t="s">
        <v>90</v>
      </c>
      <c r="H58" s="0" t="s">
        <v>152</v>
      </c>
      <c r="I58" s="0" t="s">
        <v>153</v>
      </c>
      <c r="J58" s="0" t="n">
        <v>2003</v>
      </c>
      <c r="K58" s="0"/>
      <c r="L58" s="0"/>
      <c r="M58" s="0" t="n">
        <v>5</v>
      </c>
      <c r="N58" s="0" t="n">
        <f aca="false">750*M58</f>
        <v>3750</v>
      </c>
      <c r="O58" s="27"/>
      <c r="P58" s="28"/>
      <c r="Q58" s="28"/>
      <c r="R58" s="28"/>
      <c r="S58" s="28"/>
      <c r="T58" s="28"/>
      <c r="U58" s="28"/>
      <c r="V58" s="28"/>
      <c r="W58" s="0" t="n">
        <f aca="false">W57+37.3</f>
        <v>223.8</v>
      </c>
      <c r="X58" s="27"/>
      <c r="Y58" s="0" t="n">
        <v>5</v>
      </c>
      <c r="Z58" s="0" t="n">
        <f aca="false">54*M58</f>
        <v>270</v>
      </c>
      <c r="AA58" s="29" t="n">
        <f aca="false">IF(AND(W58&gt;0,Z58&gt;0),(Z58/((W58+X58)*10)),"")</f>
        <v>0.120643431635389</v>
      </c>
      <c r="AB58" s="0" t="n">
        <v>125</v>
      </c>
      <c r="AC58" s="0" t="n">
        <f aca="false">ROUND(AB58*1.6, 0)</f>
        <v>200</v>
      </c>
      <c r="AD58" s="0"/>
      <c r="AE58" s="0"/>
      <c r="AF58" s="0" t="n">
        <v>23.8</v>
      </c>
      <c r="AG58" s="0" t="n">
        <v>23.8</v>
      </c>
      <c r="AH58" s="0" t="n">
        <v>2.73</v>
      </c>
      <c r="AI58" s="0"/>
      <c r="AJ58" s="30" t="n">
        <v>51</v>
      </c>
      <c r="AK58" s="0" t="str">
        <f aca="false">CONCATENATE(VLOOKUP(AL58, 'Voxel Sizes'!$A$2:$B$18,2,FALSE()),"x",INT(AH58*15), "x", INT(AI58*15))</f>
        <v>238x40x0</v>
      </c>
      <c r="AL58" s="0" t="n">
        <f aca="false">ROUND(15*((AG58*10)/256),0)</f>
        <v>14</v>
      </c>
      <c r="AM58" s="0"/>
      <c r="AN58" s="1" t="str">
        <f aca="false">CONCATENATE(VLOOKUP(AL58,Constants!$A$2:$C$16,IF(AM58&lt;&gt;"", 3, 2), FALSE()),IF(AM58&lt;&gt;"",CONCATENATE(",",VLOOKUP(AM58,$B:$AN,38,FALSE())),""))</f>
        <v>4,6,4</v>
      </c>
      <c r="AO58" s="0"/>
      <c r="AP58" s="31"/>
      <c r="AQ58" s="31"/>
      <c r="AR58" s="0" t="s">
        <v>394</v>
      </c>
      <c r="AS58" s="0"/>
      <c r="AT58" s="0" t="s">
        <v>130</v>
      </c>
      <c r="AU58" s="0" t="s">
        <v>390</v>
      </c>
      <c r="AV58" s="0"/>
      <c r="AW58" s="0"/>
      <c r="AX58" s="0" t="n">
        <v>29</v>
      </c>
      <c r="AY58" s="32" t="str">
        <f aca="false">IF(L58&lt;&gt;"",MAX(16,(L58-J58)+8),"")</f>
        <v/>
      </c>
      <c r="AZ58" s="0" t="n">
        <v>-15</v>
      </c>
      <c r="BA58" s="0" t="n">
        <v>-35</v>
      </c>
      <c r="BB58" s="0" t="n">
        <f aca="false">MIN(AB58/150, 1)*30</f>
        <v>25</v>
      </c>
      <c r="BC58" s="0" t="n">
        <f aca="false">MIN(N58/4000, 1)*20</f>
        <v>18.75</v>
      </c>
      <c r="BD58" s="0" t="n">
        <f aca="false">MIN(Z58/400,1)*20</f>
        <v>13.5</v>
      </c>
      <c r="BE58" s="29" t="n">
        <f aca="false">1-(MAX(J58-1900, 0)/750)</f>
        <v>0.862666666666667</v>
      </c>
      <c r="BF58" s="0" t="n">
        <f aca="false">((MAX($M58,1)*MIN($AJ58/300,1)))*IF(G58="Wagon",50,10)</f>
        <v>8.5</v>
      </c>
      <c r="BG58" s="1" t="n">
        <f aca="false">VLOOKUP($H58,Constants!$I:$K, 2, FALSE())</f>
        <v>1</v>
      </c>
      <c r="BH58" s="1" t="n">
        <f aca="false">VLOOKUP($H58,Constants!$I:$K, 3, FALSE())*IF(AND(G58="multiple_unit",AB58&lt;110),0.75,1)</f>
        <v>2</v>
      </c>
      <c r="BI58" s="1" t="n">
        <f aca="false">INT(POWER(((Constants!$G$2+$BB58+$BC58+$BD58+$BF58)*$BE58)*$BH58, 1.05))+$BA58</f>
        <v>120</v>
      </c>
      <c r="BJ58" s="1" t="n">
        <f aca="false">INT(POWER((((Constants!$G$1+$BB58+$BC58+$BD58+$BF58)*($BE58))*$BG58),IF($G58="wagon",1,1.2)))+$AZ58</f>
        <v>147</v>
      </c>
      <c r="BK58" s="33" t="n">
        <f aca="false">BI58*IF($G58="wagon",62.5,781.25)</f>
        <v>93750</v>
      </c>
      <c r="BL58" s="33" t="n">
        <f aca="false">BJ58*IF($G58="wagon",2.73,81.25)</f>
        <v>11943.75</v>
      </c>
      <c r="BM58" s="0"/>
      <c r="BN58" s="0"/>
      <c r="BO58" s="0"/>
      <c r="BP58" s="0"/>
      <c r="BQ58" s="0" t="s">
        <v>395</v>
      </c>
      <c r="BR58" s="0"/>
      <c r="BS58" s="1" t="s">
        <v>396</v>
      </c>
      <c r="BT58" s="0" t="n">
        <v>10</v>
      </c>
      <c r="BU58" s="0" t="n">
        <v>205</v>
      </c>
      <c r="BV58" s="0"/>
      <c r="BW58" s="0"/>
      <c r="BX58" s="0" t="s">
        <v>95</v>
      </c>
      <c r="BY58" s="1" t="s">
        <v>371</v>
      </c>
      <c r="BZ58" s="34" t="s">
        <v>211</v>
      </c>
      <c r="CA58" s="0" t="str">
        <f aca="false">CONCATENATE(BY58,"_",BZ58)</f>
        <v>prv_DMU (Express)</v>
      </c>
      <c r="CB58" s="0" t="str">
        <f aca="false">_xlfn.CONCAT(H58, "_",I58)</f>
        <v>diesel_RAIL</v>
      </c>
      <c r="CC58" s="20" t="str">
        <f aca="false">_xlfn.CONCAT("{BLACK}Length: {GOLD}", TEXT(ROUNDUP(IF(AQ58&lt;&gt;"",SUM(VALUE(_xlfn.TEXTSPLIT(AQ58, ","))), SUM(VALUE(_xlfn.TEXTSPLIT(AN58, ",")))*IF(M58, M58, 1))/16, 1), "#,##0.0"), " tiles{}")</f>
        <v>{BLACK}Length: {GOLD}4.4 tiles{}</v>
      </c>
      <c r="CD58" s="1" t="str">
        <f aca="false">VLOOKUP($CB58, Constants!$M:$N, 2, FALSE())</f>
        <v>{BLACK}Powered by: {GOLD}Diesel</v>
      </c>
      <c r="CE58" s="1" t="str">
        <f aca="false">IF(M58&gt;1,_xlfn.CONCAT("{BLACK}Cars: {GOLD}", M58),"")</f>
        <v>{BLACK}Cars: {GOLD}5</v>
      </c>
      <c r="CF58" s="0" t="s">
        <v>392</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c r="CI58" s="0"/>
      <c r="CJ58" s="0"/>
      <c r="CK58" s="0"/>
      <c r="CL58" s="0"/>
      <c r="CM58" s="0"/>
      <c r="CN58" s="0"/>
      <c r="CO58" s="0"/>
      <c r="CP58" s="0"/>
      <c r="CQ58" s="0"/>
      <c r="CR58" s="0"/>
      <c r="CS58" s="0"/>
      <c r="CT58" s="0"/>
      <c r="CU58" s="0"/>
      <c r="CV58" s="0"/>
      <c r="CW58" s="0"/>
      <c r="CX58" s="0"/>
      <c r="CY58" s="0"/>
      <c r="CZ58" s="0"/>
      <c r="DA58" s="0"/>
      <c r="DB58" s="0"/>
      <c r="DC58" s="0"/>
      <c r="DD58" s="0"/>
      <c r="DE58" s="0"/>
      <c r="DF58" s="0"/>
      <c r="DG58" s="0"/>
      <c r="DH58" s="0"/>
      <c r="DI58" s="0"/>
      <c r="DJ58" s="0"/>
      <c r="DK58" s="0"/>
      <c r="DL58" s="0"/>
      <c r="DM58" s="0"/>
      <c r="DN58" s="0"/>
      <c r="DO58" s="0"/>
      <c r="DP58" s="0"/>
      <c r="DQ58" s="0"/>
      <c r="DR58" s="0"/>
      <c r="DS58" s="0"/>
      <c r="DT58" s="0"/>
      <c r="DU58" s="0"/>
      <c r="DV58" s="0"/>
      <c r="DW58" s="0"/>
      <c r="DX58" s="0"/>
      <c r="DY58" s="0"/>
      <c r="DZ58" s="0"/>
      <c r="EA58" s="0"/>
      <c r="EB58" s="0"/>
      <c r="EC58" s="0"/>
      <c r="ED58" s="0"/>
      <c r="EE58" s="0"/>
      <c r="EF58" s="0"/>
      <c r="EG58" s="0"/>
      <c r="EH58" s="0"/>
      <c r="EI58" s="0"/>
      <c r="EJ58" s="0"/>
      <c r="EK58" s="0"/>
      <c r="EL58" s="0"/>
      <c r="EM58" s="0"/>
      <c r="EN58" s="0"/>
      <c r="EO58" s="0"/>
      <c r="EP58" s="0"/>
      <c r="EQ58" s="0"/>
      <c r="ER58" s="0"/>
      <c r="ES58" s="0"/>
      <c r="ET58" s="0"/>
      <c r="EU58" s="0"/>
      <c r="EV58" s="0"/>
      <c r="EW58" s="0"/>
      <c r="EX58" s="0"/>
      <c r="EY58" s="0"/>
      <c r="EZ58" s="0"/>
      <c r="FA58" s="0"/>
      <c r="FB58" s="0"/>
      <c r="FC58" s="0"/>
      <c r="FD58" s="0"/>
      <c r="FE58" s="0"/>
      <c r="FF58" s="0"/>
      <c r="FG58" s="0"/>
      <c r="FH58" s="0"/>
      <c r="FI58" s="0"/>
      <c r="FJ58" s="0"/>
      <c r="FK58" s="0"/>
      <c r="FL58" s="0"/>
      <c r="FM58" s="0"/>
      <c r="FN58" s="0"/>
      <c r="FO58" s="0"/>
      <c r="FP58" s="0"/>
      <c r="FQ58" s="0"/>
      <c r="FR58" s="0"/>
      <c r="FS58" s="0"/>
      <c r="FT58" s="0"/>
      <c r="FU58" s="0"/>
      <c r="FV58" s="0"/>
      <c r="FW58" s="0"/>
      <c r="FX58" s="0"/>
      <c r="FY58" s="0"/>
      <c r="FZ58" s="0"/>
      <c r="GA58" s="0"/>
      <c r="GB58" s="0"/>
      <c r="GC58" s="0"/>
      <c r="GD58" s="0"/>
      <c r="GE58" s="0"/>
      <c r="GF58" s="0"/>
      <c r="GG58" s="0"/>
      <c r="GH58" s="0"/>
      <c r="GI58" s="0"/>
      <c r="GJ58" s="0"/>
      <c r="GK58" s="0"/>
      <c r="GL58" s="0"/>
      <c r="GM58" s="0"/>
      <c r="GN58" s="0"/>
      <c r="GO58" s="0"/>
      <c r="GP58" s="0"/>
      <c r="GQ58" s="0"/>
      <c r="GR58" s="0"/>
      <c r="GS58" s="0"/>
      <c r="GT58" s="0"/>
      <c r="GU58" s="0"/>
      <c r="GV58" s="0"/>
      <c r="GW58" s="0"/>
      <c r="GX58" s="0"/>
      <c r="GY58" s="0"/>
      <c r="GZ58" s="0"/>
      <c r="HA58" s="0"/>
      <c r="HB58" s="0"/>
      <c r="HC58" s="0"/>
      <c r="HD58" s="0"/>
      <c r="HE58" s="0"/>
      <c r="HF58" s="0"/>
      <c r="HG58" s="0"/>
      <c r="HH58" s="0"/>
      <c r="HI58" s="0"/>
      <c r="HJ58" s="0"/>
      <c r="HK58" s="0"/>
      <c r="HL58" s="0"/>
      <c r="HM58" s="0"/>
      <c r="HN58" s="0"/>
      <c r="HO58" s="0"/>
      <c r="HP58" s="0"/>
      <c r="HQ58" s="0"/>
      <c r="HR58" s="0"/>
      <c r="HS58" s="0"/>
      <c r="HT58" s="0"/>
      <c r="HU58" s="0"/>
      <c r="HV58" s="0"/>
      <c r="HW58" s="0"/>
      <c r="HX58" s="0"/>
      <c r="HY58" s="0"/>
      <c r="HZ58" s="0"/>
      <c r="IA58" s="0"/>
      <c r="IB58" s="0"/>
      <c r="IC58" s="0"/>
      <c r="ID58" s="0"/>
      <c r="IE58" s="0"/>
      <c r="IF58" s="0"/>
      <c r="IG58" s="0"/>
      <c r="IH58" s="0"/>
      <c r="II58" s="0"/>
      <c r="IJ58" s="0"/>
      <c r="IK58" s="0"/>
      <c r="IL58" s="0"/>
      <c r="IM58" s="0"/>
      <c r="IN58" s="0"/>
      <c r="IO58" s="0"/>
      <c r="IP58" s="0"/>
      <c r="IQ58" s="0"/>
      <c r="IR58" s="0"/>
      <c r="IS58" s="0"/>
      <c r="IT58" s="0"/>
      <c r="IU58" s="0"/>
      <c r="IV58" s="0"/>
      <c r="IW58" s="0"/>
      <c r="IX58" s="0"/>
      <c r="IY58" s="0"/>
      <c r="IZ58" s="0"/>
      <c r="JA58" s="0"/>
      <c r="JB58" s="0"/>
      <c r="JC58" s="0"/>
      <c r="JD58" s="0"/>
      <c r="JE58" s="0"/>
      <c r="JF58" s="0"/>
      <c r="JG58" s="0"/>
      <c r="JH58" s="0"/>
      <c r="JI58" s="0"/>
      <c r="JJ58" s="0"/>
      <c r="JK58" s="0"/>
      <c r="JL58" s="0"/>
      <c r="JM58" s="0"/>
      <c r="JN58" s="0"/>
      <c r="JO58" s="0"/>
      <c r="JP58" s="0"/>
      <c r="JQ58" s="0"/>
      <c r="JR58" s="0"/>
      <c r="JS58" s="0"/>
      <c r="JT58" s="0"/>
      <c r="JU58" s="0"/>
      <c r="JV58" s="0"/>
      <c r="JW58" s="0"/>
      <c r="JX58" s="0"/>
      <c r="JY58" s="0"/>
      <c r="JZ58" s="0"/>
      <c r="KA58" s="0"/>
      <c r="KB58" s="0"/>
      <c r="KC58" s="0"/>
      <c r="KD58" s="0"/>
      <c r="KE58" s="0"/>
      <c r="KF58" s="0"/>
      <c r="KG58" s="0"/>
      <c r="KH58" s="0"/>
      <c r="KI58" s="0"/>
      <c r="KJ58" s="0"/>
      <c r="KK58" s="0"/>
      <c r="KL58" s="0"/>
      <c r="KM58" s="0"/>
      <c r="KN58" s="0"/>
      <c r="KO58" s="0"/>
      <c r="KP58" s="0"/>
      <c r="KQ58" s="0"/>
      <c r="KR58" s="0"/>
      <c r="KS58" s="0"/>
      <c r="KT58" s="0"/>
      <c r="KU58" s="0"/>
      <c r="KV58" s="0"/>
      <c r="KW58" s="0"/>
      <c r="KX58" s="0"/>
      <c r="KY58" s="0"/>
      <c r="KZ58" s="0"/>
      <c r="LA58" s="0"/>
      <c r="LB58" s="0"/>
      <c r="LC58" s="0"/>
      <c r="LD58" s="0"/>
      <c r="LE58" s="0"/>
      <c r="LF58" s="0"/>
      <c r="LG58" s="0"/>
      <c r="LH58" s="0"/>
      <c r="LI58" s="0"/>
      <c r="LJ58" s="0"/>
      <c r="LK58" s="0"/>
      <c r="LL58" s="0"/>
      <c r="LM58" s="0"/>
      <c r="LN58" s="0"/>
      <c r="LO58" s="0"/>
      <c r="LP58" s="0"/>
      <c r="LQ58" s="0"/>
      <c r="LR58" s="0"/>
      <c r="LS58" s="0"/>
      <c r="LT58" s="0"/>
      <c r="LU58" s="0"/>
      <c r="LV58" s="0"/>
      <c r="LW58" s="0"/>
      <c r="LX58" s="0"/>
      <c r="LY58" s="0"/>
      <c r="LZ58" s="0"/>
      <c r="MA58" s="0"/>
      <c r="MB58" s="0"/>
      <c r="MC58" s="0"/>
      <c r="MD58" s="0"/>
      <c r="ME58" s="0"/>
      <c r="MF58" s="0"/>
      <c r="MG58" s="0"/>
      <c r="MH58" s="0"/>
      <c r="MI58" s="0"/>
      <c r="MJ58" s="0"/>
      <c r="MK58" s="0"/>
      <c r="ML58" s="0"/>
      <c r="MM58" s="0"/>
      <c r="MN58" s="0"/>
      <c r="MO58" s="0"/>
      <c r="MP58" s="0"/>
      <c r="MQ58" s="0"/>
      <c r="MR58" s="0"/>
      <c r="MS58" s="0"/>
      <c r="MT58" s="0"/>
      <c r="MU58" s="0"/>
      <c r="MV58" s="0"/>
      <c r="MW58" s="0"/>
      <c r="MX58" s="0"/>
      <c r="MY58" s="0"/>
      <c r="MZ58" s="0"/>
      <c r="NA58" s="0"/>
      <c r="NB58" s="0"/>
      <c r="NC58" s="0"/>
      <c r="ND58" s="0"/>
      <c r="NE58" s="0"/>
      <c r="NF58" s="0"/>
      <c r="NG58" s="0"/>
      <c r="NH58" s="0"/>
      <c r="NI58" s="0"/>
      <c r="NJ58" s="0"/>
      <c r="NK58" s="0"/>
      <c r="NL58" s="0"/>
      <c r="NM58" s="0"/>
      <c r="NN58" s="0"/>
      <c r="NO58" s="0"/>
      <c r="NP58" s="0"/>
      <c r="NQ58" s="0"/>
      <c r="NR58" s="0"/>
      <c r="NS58" s="0"/>
      <c r="NT58" s="0"/>
      <c r="NU58" s="0"/>
      <c r="NV58" s="0"/>
      <c r="NW58" s="0"/>
      <c r="NX58" s="0"/>
      <c r="NY58" s="0"/>
      <c r="NZ58" s="0"/>
      <c r="OA58" s="0"/>
      <c r="OB58" s="0"/>
      <c r="OC58" s="0"/>
      <c r="OD58" s="0"/>
      <c r="OE58" s="0"/>
      <c r="OF58" s="0"/>
      <c r="OG58" s="0"/>
      <c r="OH58" s="0"/>
      <c r="OI58" s="0"/>
      <c r="OJ58" s="0"/>
      <c r="OK58" s="0"/>
      <c r="OL58" s="0"/>
      <c r="OM58" s="0"/>
      <c r="ON58" s="0"/>
      <c r="OO58" s="0"/>
      <c r="OP58" s="0"/>
      <c r="OQ58" s="0"/>
      <c r="OR58" s="0"/>
      <c r="OS58" s="0"/>
      <c r="OT58" s="0"/>
      <c r="OU58" s="0"/>
      <c r="OV58" s="0"/>
      <c r="OW58" s="0"/>
      <c r="OX58" s="0"/>
      <c r="OY58" s="0"/>
      <c r="OZ58" s="0"/>
      <c r="PA58" s="0"/>
      <c r="PB58" s="0"/>
      <c r="PC58" s="0"/>
      <c r="PD58" s="0"/>
      <c r="PE58" s="0"/>
      <c r="PF58" s="0"/>
      <c r="PG58" s="0"/>
      <c r="PH58" s="0"/>
      <c r="PI58" s="0"/>
      <c r="PJ58" s="0"/>
      <c r="PK58" s="0"/>
      <c r="PL58" s="0"/>
      <c r="PM58" s="0"/>
      <c r="PN58" s="0"/>
      <c r="PO58" s="0"/>
      <c r="PP58" s="0"/>
      <c r="PQ58" s="0"/>
      <c r="PR58" s="0"/>
      <c r="PS58" s="0"/>
      <c r="PT58" s="0"/>
      <c r="PU58" s="0"/>
      <c r="PV58" s="0"/>
      <c r="PW58" s="0"/>
      <c r="PX58" s="0"/>
      <c r="PY58" s="0"/>
      <c r="PZ58" s="0"/>
      <c r="QA58" s="0"/>
      <c r="QB58" s="0"/>
      <c r="QC58" s="0"/>
      <c r="QD58" s="0"/>
      <c r="QE58" s="0"/>
      <c r="QF58" s="0"/>
      <c r="QG58" s="0"/>
      <c r="QH58" s="0"/>
      <c r="QI58" s="0"/>
      <c r="QJ58" s="0"/>
      <c r="QK58" s="0"/>
      <c r="QL58" s="0"/>
      <c r="QM58" s="0"/>
      <c r="QN58" s="0"/>
      <c r="QO58" s="0"/>
      <c r="QP58" s="0"/>
      <c r="QQ58" s="0"/>
      <c r="QR58" s="0"/>
      <c r="QS58" s="0"/>
      <c r="QT58" s="0"/>
      <c r="QU58" s="0"/>
      <c r="QV58" s="0"/>
      <c r="QW58" s="0"/>
      <c r="QX58" s="0"/>
      <c r="QY58" s="0"/>
      <c r="QZ58" s="0"/>
      <c r="RA58" s="0"/>
      <c r="RB58" s="0"/>
      <c r="RC58" s="0"/>
      <c r="RD58" s="0"/>
      <c r="RE58" s="0"/>
      <c r="RF58" s="0"/>
      <c r="RG58" s="0"/>
      <c r="RH58" s="0"/>
      <c r="RI58" s="0"/>
      <c r="RJ58" s="0"/>
      <c r="RK58" s="0"/>
      <c r="RL58" s="0"/>
      <c r="RM58" s="0"/>
      <c r="RN58" s="0"/>
      <c r="RO58" s="0"/>
      <c r="RP58" s="0"/>
      <c r="RQ58" s="0"/>
      <c r="RR58" s="0"/>
      <c r="RS58" s="0"/>
      <c r="RT58" s="0"/>
      <c r="RU58" s="0"/>
      <c r="RV58" s="0"/>
      <c r="RW58" s="0"/>
      <c r="RX58" s="0"/>
      <c r="RY58" s="0"/>
      <c r="RZ58" s="0"/>
      <c r="SA58" s="0"/>
      <c r="SB58" s="0"/>
      <c r="SC58" s="0"/>
      <c r="SD58" s="0"/>
      <c r="SE58" s="0"/>
      <c r="SF58" s="0"/>
      <c r="SG58" s="0"/>
      <c r="SH58" s="0"/>
      <c r="SI58" s="0"/>
      <c r="SJ58" s="0"/>
      <c r="SK58" s="0"/>
      <c r="SL58" s="0"/>
      <c r="SM58" s="0"/>
      <c r="SN58" s="0"/>
      <c r="SO58" s="0"/>
      <c r="SP58" s="0"/>
      <c r="SQ58" s="0"/>
      <c r="SR58" s="0"/>
      <c r="SS58" s="0"/>
      <c r="ST58" s="0"/>
      <c r="SU58" s="0"/>
      <c r="SV58" s="0"/>
      <c r="SW58" s="0"/>
      <c r="SX58" s="0"/>
      <c r="SY58" s="0"/>
      <c r="SZ58" s="0"/>
      <c r="TA58" s="0"/>
      <c r="TB58" s="0"/>
      <c r="TC58" s="0"/>
      <c r="TD58" s="0"/>
      <c r="TE58" s="0"/>
      <c r="TF58" s="0"/>
      <c r="TG58" s="0"/>
      <c r="TH58" s="0"/>
      <c r="TI58" s="0"/>
      <c r="TJ58" s="0"/>
      <c r="TK58" s="0"/>
      <c r="TL58" s="0"/>
      <c r="TM58" s="0"/>
      <c r="TN58" s="0"/>
      <c r="TO58" s="0"/>
      <c r="TP58" s="0"/>
      <c r="TQ58" s="0"/>
      <c r="TR58" s="0"/>
      <c r="TS58" s="0"/>
      <c r="TT58" s="0"/>
      <c r="TU58" s="0"/>
      <c r="TV58" s="0"/>
      <c r="TW58" s="0"/>
      <c r="TX58" s="0"/>
      <c r="TY58" s="0"/>
      <c r="TZ58" s="0"/>
      <c r="UA58" s="0"/>
      <c r="UB58" s="0"/>
      <c r="UC58" s="0"/>
      <c r="UD58" s="0"/>
      <c r="UE58" s="0"/>
      <c r="UF58" s="0"/>
      <c r="UG58" s="0"/>
      <c r="UH58" s="0"/>
      <c r="UI58" s="0"/>
      <c r="UJ58" s="0"/>
      <c r="UK58" s="0"/>
      <c r="UL58" s="0"/>
      <c r="UM58" s="0"/>
      <c r="UN58" s="0"/>
      <c r="UO58" s="0"/>
      <c r="UP58" s="0"/>
      <c r="UQ58" s="0"/>
      <c r="UR58" s="0"/>
      <c r="US58" s="0"/>
      <c r="UT58" s="0"/>
      <c r="UU58" s="0"/>
      <c r="UV58" s="0"/>
      <c r="UW58" s="0"/>
      <c r="UX58" s="0"/>
      <c r="UY58" s="0"/>
      <c r="UZ58" s="0"/>
      <c r="VA58" s="0"/>
      <c r="VB58" s="0"/>
      <c r="VC58" s="0"/>
      <c r="VD58" s="0"/>
      <c r="VE58" s="0"/>
      <c r="VF58" s="0"/>
      <c r="VG58" s="0"/>
      <c r="VH58" s="0"/>
      <c r="VI58" s="0"/>
      <c r="VJ58" s="0"/>
      <c r="VK58" s="0"/>
      <c r="VL58" s="0"/>
      <c r="VM58" s="0"/>
      <c r="VN58" s="0"/>
      <c r="VO58" s="0"/>
      <c r="VP58" s="0"/>
      <c r="VQ58" s="0"/>
      <c r="VR58" s="0"/>
      <c r="VS58" s="0"/>
      <c r="VT58" s="0"/>
      <c r="VU58" s="0"/>
      <c r="VV58" s="0"/>
      <c r="VW58" s="0"/>
      <c r="VX58" s="0"/>
      <c r="VY58" s="0"/>
      <c r="VZ58" s="0"/>
      <c r="WA58" s="0"/>
      <c r="WB58" s="0"/>
      <c r="WC58" s="0"/>
      <c r="WD58" s="0"/>
      <c r="WE58" s="0"/>
      <c r="WF58" s="0"/>
      <c r="WG58" s="0"/>
      <c r="WH58" s="0"/>
      <c r="WI58" s="0"/>
      <c r="WJ58" s="0"/>
      <c r="WK58" s="0"/>
      <c r="WL58" s="0"/>
      <c r="WM58" s="0"/>
      <c r="WN58" s="0"/>
      <c r="WO58" s="0"/>
      <c r="WP58" s="0"/>
      <c r="WQ58" s="0"/>
      <c r="WR58" s="0"/>
      <c r="WS58" s="0"/>
      <c r="WT58" s="0"/>
      <c r="WU58" s="0"/>
      <c r="WV58" s="0"/>
      <c r="WW58" s="0"/>
      <c r="WX58" s="0"/>
      <c r="WY58" s="0"/>
      <c r="WZ58" s="0"/>
      <c r="XA58" s="0"/>
      <c r="XB58" s="0"/>
      <c r="XC58" s="0"/>
      <c r="XD58" s="0"/>
      <c r="XE58" s="0"/>
      <c r="XF58" s="0"/>
      <c r="XG58" s="0"/>
      <c r="XH58" s="0"/>
      <c r="XI58" s="0"/>
      <c r="XJ58" s="0"/>
      <c r="XK58" s="0"/>
      <c r="XL58" s="0"/>
      <c r="XM58" s="0"/>
      <c r="XN58" s="0"/>
      <c r="XO58" s="0"/>
      <c r="XP58" s="0"/>
      <c r="XQ58" s="0"/>
      <c r="XR58" s="0"/>
      <c r="XS58" s="0"/>
      <c r="XT58" s="0"/>
      <c r="XU58" s="0"/>
      <c r="XV58" s="0"/>
      <c r="XW58" s="0"/>
      <c r="XX58" s="0"/>
      <c r="XY58" s="0"/>
      <c r="XZ58" s="0"/>
      <c r="YA58" s="0"/>
      <c r="YB58" s="0"/>
      <c r="YC58" s="0"/>
      <c r="YD58" s="0"/>
      <c r="YE58" s="0"/>
      <c r="YF58" s="0"/>
      <c r="YG58" s="0"/>
      <c r="YH58" s="0"/>
      <c r="YI58" s="0"/>
      <c r="YJ58" s="0"/>
      <c r="YK58" s="0"/>
      <c r="YL58" s="0"/>
      <c r="YM58" s="0"/>
      <c r="YN58" s="0"/>
      <c r="YO58" s="0"/>
      <c r="YP58" s="0"/>
      <c r="YQ58" s="0"/>
      <c r="YR58" s="0"/>
      <c r="YS58" s="0"/>
      <c r="YT58" s="0"/>
      <c r="YU58" s="0"/>
      <c r="YV58" s="0"/>
      <c r="YW58" s="0"/>
      <c r="YX58" s="0"/>
      <c r="YY58" s="0"/>
      <c r="YZ58" s="0"/>
      <c r="ZA58" s="0"/>
      <c r="ZB58" s="0"/>
      <c r="ZC58" s="0"/>
      <c r="ZD58" s="0"/>
      <c r="ZE58" s="0"/>
      <c r="ZF58" s="0"/>
      <c r="ZG58" s="0"/>
      <c r="ZH58" s="0"/>
      <c r="ZI58" s="0"/>
      <c r="ZJ58" s="0"/>
      <c r="ZK58" s="0"/>
      <c r="ZL58" s="0"/>
      <c r="ZM58" s="0"/>
      <c r="ZN58" s="0"/>
      <c r="ZO58" s="0"/>
      <c r="ZP58" s="0"/>
      <c r="ZQ58" s="0"/>
      <c r="ZR58" s="0"/>
      <c r="ZS58" s="0"/>
      <c r="ZT58" s="0"/>
      <c r="ZU58" s="0"/>
      <c r="ZV58" s="0"/>
      <c r="ZW58" s="0"/>
      <c r="ZX58" s="0"/>
      <c r="ZY58" s="0"/>
      <c r="ZZ58" s="0"/>
      <c r="AAA58" s="0"/>
      <c r="AAB58" s="0"/>
      <c r="AAC58" s="0"/>
      <c r="AAD58" s="0"/>
      <c r="AAE58" s="0"/>
      <c r="AAF58" s="0"/>
      <c r="AAG58" s="0"/>
      <c r="AAH58" s="0"/>
      <c r="AAI58" s="0"/>
      <c r="AAJ58" s="0"/>
      <c r="AAK58" s="0"/>
      <c r="AAL58" s="0"/>
      <c r="AAM58" s="0"/>
      <c r="AAN58" s="0"/>
      <c r="AAO58" s="0"/>
      <c r="AAP58" s="0"/>
      <c r="AAQ58" s="0"/>
      <c r="AAR58" s="0"/>
      <c r="AAS58" s="0"/>
      <c r="AAT58" s="0"/>
      <c r="AAU58" s="0"/>
      <c r="AAV58" s="0"/>
      <c r="AAW58" s="0"/>
      <c r="AAX58" s="0"/>
      <c r="AAY58" s="0"/>
      <c r="AAZ58" s="0"/>
      <c r="ABA58" s="0"/>
      <c r="ABB58" s="0"/>
      <c r="ABC58" s="0"/>
      <c r="ABD58" s="0"/>
      <c r="ABE58" s="0"/>
      <c r="ABF58" s="0"/>
      <c r="ABG58" s="0"/>
      <c r="ABH58" s="0"/>
      <c r="ABI58" s="0"/>
      <c r="ABJ58" s="0"/>
      <c r="ABK58" s="0"/>
      <c r="ABL58" s="0"/>
      <c r="ABM58" s="0"/>
      <c r="ABN58" s="0"/>
      <c r="ABO58" s="0"/>
      <c r="ABP58" s="0"/>
      <c r="ABQ58" s="0"/>
      <c r="ABR58" s="0"/>
      <c r="ABS58" s="0"/>
      <c r="ABT58" s="0"/>
      <c r="ABU58" s="0"/>
      <c r="ABV58" s="0"/>
      <c r="ABW58" s="0"/>
      <c r="ABX58" s="0"/>
      <c r="ABY58" s="0"/>
      <c r="ABZ58" s="0"/>
      <c r="ACA58" s="0"/>
      <c r="ACB58" s="0"/>
      <c r="ACC58" s="0"/>
      <c r="ACD58" s="0"/>
      <c r="ACE58" s="0"/>
      <c r="ACF58" s="0"/>
      <c r="ACG58" s="0"/>
      <c r="ACH58" s="0"/>
      <c r="ACI58" s="0"/>
      <c r="ACJ58" s="0"/>
      <c r="ACK58" s="0"/>
      <c r="ACL58" s="0"/>
      <c r="ACM58" s="0"/>
      <c r="ACN58" s="0"/>
      <c r="ACO58" s="0"/>
      <c r="ACP58" s="0"/>
      <c r="ACQ58" s="0"/>
      <c r="ACR58" s="0"/>
      <c r="ACS58" s="0"/>
      <c r="ACT58" s="0"/>
      <c r="ACU58" s="0"/>
      <c r="ACV58" s="0"/>
      <c r="ACW58" s="0"/>
      <c r="ACX58" s="0"/>
      <c r="ACY58" s="0"/>
      <c r="ACZ58" s="0"/>
      <c r="ADA58" s="0"/>
      <c r="ADB58" s="0"/>
      <c r="ADC58" s="0"/>
      <c r="ADD58" s="0"/>
      <c r="ADE58" s="0"/>
      <c r="ADF58" s="0"/>
      <c r="ADG58" s="0"/>
      <c r="ADH58" s="0"/>
      <c r="ADI58" s="0"/>
      <c r="ADJ58" s="0"/>
      <c r="ADK58" s="0"/>
      <c r="ADL58" s="0"/>
      <c r="ADM58" s="0"/>
      <c r="ADN58" s="0"/>
      <c r="ADO58" s="0"/>
      <c r="ADP58" s="0"/>
      <c r="ADQ58" s="0"/>
      <c r="ADR58" s="0"/>
      <c r="ADS58" s="0"/>
      <c r="ADT58" s="0"/>
      <c r="ADU58" s="0"/>
      <c r="ADV58" s="0"/>
      <c r="ADW58" s="0"/>
      <c r="ADX58" s="0"/>
      <c r="ADY58" s="0"/>
      <c r="ADZ58" s="0"/>
      <c r="AEA58" s="0"/>
      <c r="AEB58" s="0"/>
      <c r="AEC58" s="0"/>
      <c r="AED58" s="0"/>
      <c r="AEE58" s="0"/>
      <c r="AEF58" s="0"/>
      <c r="AEG58" s="0"/>
      <c r="AEH58" s="0"/>
      <c r="AEI58" s="0"/>
      <c r="AEJ58" s="0"/>
      <c r="AEK58" s="0"/>
      <c r="AEL58" s="0"/>
      <c r="AEM58" s="0"/>
      <c r="AEN58" s="0"/>
      <c r="AEO58" s="0"/>
      <c r="AEP58" s="0"/>
      <c r="AEQ58" s="0"/>
      <c r="AER58" s="0"/>
      <c r="AES58" s="0"/>
      <c r="AET58" s="0"/>
      <c r="AEU58" s="0"/>
      <c r="AEV58" s="0"/>
      <c r="AEW58" s="0"/>
      <c r="AEX58" s="0"/>
      <c r="AEY58" s="0"/>
      <c r="AEZ58" s="0"/>
      <c r="AFA58" s="0"/>
      <c r="AFB58" s="0"/>
      <c r="AFC58" s="0"/>
      <c r="AFD58" s="0"/>
      <c r="AFE58" s="0"/>
      <c r="AFF58" s="0"/>
      <c r="AFG58" s="0"/>
      <c r="AFH58" s="0"/>
      <c r="AFI58" s="0"/>
      <c r="AFJ58" s="0"/>
      <c r="AFK58" s="0"/>
      <c r="AFL58" s="0"/>
      <c r="AFM58" s="0"/>
      <c r="AFN58" s="0"/>
      <c r="AFO58" s="0"/>
      <c r="AFP58" s="0"/>
      <c r="AFQ58" s="0"/>
      <c r="AFR58" s="0"/>
      <c r="AFS58" s="0"/>
      <c r="AFT58" s="0"/>
      <c r="AFU58" s="0"/>
      <c r="AFV58" s="0"/>
      <c r="AFW58" s="0"/>
      <c r="AFX58" s="0"/>
      <c r="AFY58" s="0"/>
      <c r="AFZ58" s="0"/>
      <c r="AGA58" s="0"/>
      <c r="AGB58" s="0"/>
      <c r="AGC58" s="0"/>
      <c r="AGD58" s="0"/>
      <c r="AGE58" s="0"/>
      <c r="AGF58" s="0"/>
      <c r="AGG58" s="0"/>
      <c r="AGH58" s="0"/>
      <c r="AGI58" s="0"/>
      <c r="AGJ58" s="0"/>
      <c r="AGK58" s="0"/>
      <c r="AGL58" s="0"/>
      <c r="AGM58" s="0"/>
      <c r="AGN58" s="0"/>
      <c r="AGO58" s="0"/>
      <c r="AGP58" s="0"/>
      <c r="AGQ58" s="0"/>
      <c r="AGR58" s="0"/>
      <c r="AGS58" s="0"/>
      <c r="AGT58" s="0"/>
      <c r="AGU58" s="0"/>
      <c r="AGV58" s="0"/>
      <c r="AGW58" s="0"/>
      <c r="AGX58" s="0"/>
      <c r="AGY58" s="0"/>
      <c r="AGZ58" s="0"/>
      <c r="AHA58" s="0"/>
      <c r="AHB58" s="0"/>
      <c r="AHC58" s="0"/>
      <c r="AHD58" s="0"/>
      <c r="AHE58" s="0"/>
      <c r="AHF58" s="0"/>
      <c r="AHG58" s="0"/>
      <c r="AHH58" s="0"/>
      <c r="AHI58" s="0"/>
      <c r="AHJ58" s="0"/>
      <c r="AHK58" s="0"/>
      <c r="AHL58" s="0"/>
      <c r="AHM58" s="0"/>
      <c r="AHN58" s="0"/>
      <c r="AHO58" s="0"/>
      <c r="AHP58" s="0"/>
      <c r="AHQ58" s="0"/>
      <c r="AHR58" s="0"/>
      <c r="AHS58" s="0"/>
      <c r="AHT58" s="0"/>
      <c r="AHU58" s="0"/>
      <c r="AHV58" s="0"/>
      <c r="AHW58" s="0"/>
      <c r="AHX58" s="0"/>
      <c r="AHY58" s="0"/>
      <c r="AHZ58" s="0"/>
      <c r="AIA58" s="0"/>
      <c r="AIB58" s="0"/>
      <c r="AIC58" s="0"/>
      <c r="AID58" s="0"/>
      <c r="AIE58" s="0"/>
      <c r="AIF58" s="0"/>
      <c r="AIG58" s="0"/>
      <c r="AIH58" s="0"/>
      <c r="AII58" s="0"/>
      <c r="AIJ58" s="0"/>
      <c r="AIK58" s="0"/>
      <c r="AIL58" s="0"/>
      <c r="AIM58" s="0"/>
      <c r="AIN58" s="0"/>
      <c r="AIO58" s="0"/>
      <c r="AIP58" s="0"/>
      <c r="AIQ58" s="0"/>
      <c r="AIR58" s="0"/>
      <c r="AIS58" s="0"/>
      <c r="AIT58" s="0"/>
      <c r="AIU58" s="0"/>
      <c r="AIV58" s="0"/>
      <c r="AIW58" s="0"/>
      <c r="AIX58" s="0"/>
      <c r="AIY58" s="0"/>
      <c r="AIZ58" s="0"/>
      <c r="AJA58" s="0"/>
      <c r="AJB58" s="0"/>
      <c r="AJC58" s="0"/>
      <c r="AJD58" s="0"/>
      <c r="AJE58" s="0"/>
      <c r="AJF58" s="0"/>
      <c r="AJG58" s="0"/>
      <c r="AJH58" s="0"/>
      <c r="AJI58" s="0"/>
      <c r="AJJ58" s="0"/>
      <c r="AJK58" s="0"/>
      <c r="AJL58" s="0"/>
      <c r="AJM58" s="0"/>
      <c r="AJN58" s="0"/>
      <c r="AJO58" s="0"/>
      <c r="AJP58" s="0"/>
      <c r="AJQ58" s="0"/>
      <c r="AJR58" s="0"/>
      <c r="AJS58" s="0"/>
      <c r="AJT58" s="0"/>
      <c r="AJU58" s="0"/>
      <c r="AJV58" s="0"/>
      <c r="AJW58" s="0"/>
      <c r="AJX58" s="0"/>
      <c r="AJY58" s="0"/>
      <c r="AJZ58" s="0"/>
      <c r="AKA58" s="0"/>
      <c r="AKB58" s="0"/>
      <c r="AKC58" s="0"/>
      <c r="AKD58" s="0"/>
      <c r="AKE58" s="0"/>
      <c r="AKF58" s="0"/>
      <c r="AKG58" s="0"/>
      <c r="AKH58" s="0"/>
      <c r="AKI58" s="0"/>
      <c r="AKJ58" s="0"/>
      <c r="AKK58" s="0"/>
      <c r="AKL58" s="0"/>
      <c r="AKM58" s="0"/>
      <c r="AKN58" s="0"/>
      <c r="AKO58" s="0"/>
      <c r="AKP58" s="0"/>
      <c r="AKQ58" s="0"/>
      <c r="AKR58" s="0"/>
      <c r="AKS58" s="0"/>
      <c r="AKT58" s="0"/>
      <c r="AKU58" s="0"/>
      <c r="AKV58" s="0"/>
      <c r="AKW58" s="0"/>
      <c r="AKX58" s="0"/>
      <c r="AKY58" s="0"/>
      <c r="AKZ58" s="0"/>
      <c r="ALA58" s="0"/>
      <c r="ALB58" s="0"/>
      <c r="ALC58" s="0"/>
      <c r="ALD58" s="0"/>
      <c r="ALE58" s="0"/>
      <c r="ALF58" s="0"/>
      <c r="ALG58" s="0"/>
      <c r="ALH58" s="0"/>
      <c r="ALI58" s="0"/>
      <c r="ALJ58" s="0"/>
      <c r="ALK58" s="0"/>
      <c r="ALL58" s="0"/>
      <c r="ALM58" s="0"/>
      <c r="ALN58" s="0"/>
      <c r="ALO58" s="0"/>
      <c r="ALP58" s="0"/>
      <c r="ALQ58" s="0"/>
      <c r="ALR58" s="0"/>
      <c r="ALS58" s="0"/>
      <c r="ALT58" s="0"/>
      <c r="ALU58" s="0"/>
      <c r="ALV58" s="0"/>
      <c r="ALW58" s="0"/>
      <c r="ALX58" s="0"/>
      <c r="ALY58" s="0"/>
      <c r="ALZ58" s="0"/>
      <c r="AMA58" s="0"/>
      <c r="AMB58" s="0"/>
      <c r="AMC58" s="0"/>
      <c r="AMD58" s="0"/>
      <c r="AME58" s="0"/>
      <c r="AMF58" s="0"/>
      <c r="AMG58" s="0"/>
      <c r="AMH58" s="0"/>
      <c r="AMI58" s="0"/>
      <c r="AMJ58" s="0"/>
      <c r="AMK58" s="0"/>
      <c r="AML58" s="0"/>
      <c r="AMM58" s="0"/>
      <c r="AMN58" s="0"/>
      <c r="AMO58" s="0"/>
      <c r="AMP58" s="0"/>
      <c r="AMQ58" s="0"/>
      <c r="AMR58" s="0"/>
      <c r="AMS58" s="0"/>
      <c r="AMT58" s="0"/>
      <c r="AMU58" s="0"/>
      <c r="AMV58" s="0"/>
      <c r="AMW58" s="0"/>
      <c r="AMX58" s="0"/>
      <c r="AMY58" s="0"/>
      <c r="AMZ58" s="0"/>
      <c r="ANA58" s="0"/>
      <c r="ANB58" s="0"/>
      <c r="ANC58" s="0"/>
      <c r="AND58" s="0"/>
      <c r="ANE58" s="0"/>
      <c r="ANF58" s="0"/>
      <c r="ANG58" s="0"/>
      <c r="ANH58" s="0"/>
      <c r="ANI58" s="0"/>
      <c r="ANJ58" s="0"/>
      <c r="ANK58" s="0"/>
      <c r="ANL58" s="0"/>
      <c r="ANM58" s="0"/>
      <c r="ANN58" s="0"/>
      <c r="ANO58" s="0"/>
      <c r="ANP58" s="0"/>
      <c r="ANQ58" s="0"/>
      <c r="ANR58" s="0"/>
      <c r="ANS58" s="0"/>
      <c r="ANT58" s="0"/>
      <c r="ANU58" s="0"/>
      <c r="ANV58" s="0"/>
      <c r="ANW58" s="0"/>
      <c r="ANX58" s="0"/>
      <c r="ANY58" s="0"/>
      <c r="ANZ58" s="0"/>
      <c r="AOA58" s="0"/>
      <c r="AOB58" s="0"/>
      <c r="AOC58" s="0"/>
      <c r="AOD58" s="0"/>
      <c r="AOE58" s="0"/>
      <c r="AOF58" s="0"/>
      <c r="AOG58" s="0"/>
      <c r="AOH58" s="0"/>
      <c r="AOI58" s="0"/>
      <c r="AOJ58" s="0"/>
      <c r="AOK58" s="0"/>
      <c r="AOL58" s="0"/>
      <c r="AOM58" s="0"/>
      <c r="AON58" s="0"/>
      <c r="AOO58" s="0"/>
      <c r="AOP58" s="0"/>
      <c r="AOQ58" s="0"/>
      <c r="AOR58" s="0"/>
      <c r="AOS58" s="0"/>
      <c r="AOT58" s="0"/>
      <c r="AOU58" s="0"/>
      <c r="AOV58" s="0"/>
      <c r="AOW58" s="0"/>
      <c r="AOX58" s="0"/>
      <c r="AOY58" s="0"/>
      <c r="AOZ58" s="0"/>
      <c r="APA58" s="0"/>
      <c r="APB58" s="0"/>
      <c r="APC58" s="0"/>
      <c r="APD58" s="0"/>
      <c r="APE58" s="0"/>
      <c r="APF58" s="0"/>
      <c r="APG58" s="0"/>
      <c r="APH58" s="0"/>
      <c r="API58" s="0"/>
      <c r="APJ58" s="0"/>
      <c r="APK58" s="0"/>
      <c r="APL58" s="0"/>
      <c r="APM58" s="0"/>
      <c r="APN58" s="0"/>
      <c r="APO58" s="0"/>
      <c r="APP58" s="0"/>
      <c r="APQ58" s="0"/>
      <c r="APR58" s="0"/>
      <c r="APS58" s="0"/>
      <c r="APT58" s="0"/>
      <c r="APU58" s="0"/>
      <c r="APV58" s="0"/>
      <c r="APW58" s="0"/>
      <c r="APX58" s="0"/>
      <c r="APY58" s="0"/>
      <c r="APZ58" s="0"/>
      <c r="AQA58" s="0"/>
      <c r="AQB58" s="0"/>
      <c r="AQC58" s="0"/>
      <c r="AQD58" s="0"/>
      <c r="AQE58" s="0"/>
      <c r="AQF58" s="0"/>
      <c r="AQG58" s="0"/>
      <c r="AQH58" s="0"/>
      <c r="AQI58" s="0"/>
      <c r="AQJ58" s="0"/>
      <c r="AQK58" s="0"/>
      <c r="AQL58" s="0"/>
      <c r="AQM58" s="0"/>
      <c r="AQN58" s="0"/>
      <c r="AQO58" s="0"/>
      <c r="AQP58" s="0"/>
      <c r="AQQ58" s="0"/>
      <c r="AQR58" s="0"/>
      <c r="AQS58" s="0"/>
      <c r="AQT58" s="0"/>
      <c r="AQU58" s="0"/>
      <c r="AQV58" s="0"/>
      <c r="AQW58" s="0"/>
      <c r="AQX58" s="0"/>
      <c r="AQY58" s="0"/>
      <c r="AQZ58" s="0"/>
      <c r="ARA58" s="0"/>
      <c r="ARB58" s="0"/>
      <c r="ARC58" s="0"/>
      <c r="ARD58" s="0"/>
      <c r="ARE58" s="0"/>
      <c r="ARF58" s="0"/>
      <c r="ARG58" s="0"/>
      <c r="ARH58" s="0"/>
      <c r="ARI58" s="0"/>
      <c r="ARJ58" s="0"/>
      <c r="ARK58" s="0"/>
      <c r="ARL58" s="0"/>
      <c r="ARM58" s="0"/>
      <c r="ARN58" s="0"/>
      <c r="ARO58" s="0"/>
      <c r="ARP58" s="0"/>
      <c r="ARQ58" s="0"/>
      <c r="ARR58" s="0"/>
      <c r="ARS58" s="0"/>
      <c r="ART58" s="0"/>
      <c r="ARU58" s="0"/>
      <c r="ARV58" s="0"/>
      <c r="ARW58" s="0"/>
      <c r="ARX58" s="0"/>
      <c r="ARY58" s="0"/>
      <c r="ARZ58" s="0"/>
      <c r="ASA58" s="0"/>
      <c r="ASB58" s="0"/>
      <c r="ASC58" s="0"/>
      <c r="ASD58" s="0"/>
      <c r="ASE58" s="0"/>
      <c r="ASF58" s="0"/>
      <c r="ASG58" s="0"/>
      <c r="ASH58" s="0"/>
      <c r="ASI58" s="0"/>
      <c r="ASJ58" s="0"/>
      <c r="ASK58" s="0"/>
      <c r="ASL58" s="0"/>
      <c r="ASM58" s="0"/>
      <c r="ASN58" s="0"/>
      <c r="ASO58" s="0"/>
      <c r="ASP58" s="0"/>
      <c r="ASQ58" s="0"/>
      <c r="ASR58" s="0"/>
      <c r="ASS58" s="0"/>
      <c r="AST58" s="0"/>
      <c r="ASU58" s="0"/>
      <c r="ASV58" s="0"/>
      <c r="ASW58" s="0"/>
      <c r="ASX58" s="0"/>
      <c r="ASY58" s="0"/>
      <c r="ASZ58" s="0"/>
      <c r="ATA58" s="0"/>
      <c r="ATB58" s="0"/>
      <c r="ATC58" s="0"/>
      <c r="ATD58" s="0"/>
      <c r="ATE58" s="0"/>
      <c r="ATF58" s="0"/>
      <c r="ATG58" s="0"/>
      <c r="ATH58" s="0"/>
      <c r="ATI58" s="0"/>
      <c r="ATJ58" s="0"/>
      <c r="ATK58" s="0"/>
      <c r="ATL58" s="0"/>
      <c r="ATM58" s="0"/>
      <c r="ATN58" s="0"/>
      <c r="ATO58" s="0"/>
      <c r="ATP58" s="0"/>
      <c r="ATQ58" s="0"/>
      <c r="ATR58" s="0"/>
      <c r="ATS58" s="0"/>
      <c r="ATT58" s="0"/>
      <c r="ATU58" s="0"/>
      <c r="ATV58" s="0"/>
      <c r="ATW58" s="0"/>
      <c r="ATX58" s="0"/>
      <c r="ATY58" s="0"/>
      <c r="ATZ58" s="0"/>
      <c r="AUA58" s="0"/>
      <c r="AUB58" s="0"/>
      <c r="AUC58" s="0"/>
      <c r="AUD58" s="0"/>
      <c r="AUE58" s="0"/>
      <c r="AUF58" s="0"/>
      <c r="AUG58" s="0"/>
      <c r="AUH58" s="0"/>
      <c r="AUI58" s="0"/>
      <c r="AUJ58" s="0"/>
      <c r="AUK58" s="0"/>
      <c r="AUL58" s="0"/>
      <c r="AUM58" s="0"/>
      <c r="AUN58" s="0"/>
      <c r="AUO58" s="0"/>
      <c r="AUP58" s="0"/>
      <c r="AUQ58" s="0"/>
      <c r="AUR58" s="0"/>
      <c r="AUS58" s="0"/>
      <c r="AUT58" s="0"/>
      <c r="AUU58" s="0"/>
      <c r="AUV58" s="0"/>
      <c r="AUW58" s="0"/>
      <c r="AUX58" s="0"/>
      <c r="AUY58" s="0"/>
      <c r="AUZ58" s="0"/>
      <c r="AVA58" s="0"/>
      <c r="AVB58" s="0"/>
      <c r="AVC58" s="0"/>
      <c r="AVD58" s="0"/>
      <c r="AVE58" s="0"/>
      <c r="AVF58" s="0"/>
      <c r="AVG58" s="0"/>
      <c r="AVH58" s="0"/>
      <c r="AVI58" s="0"/>
      <c r="AVJ58" s="0"/>
      <c r="AVK58" s="0"/>
      <c r="AVL58" s="0"/>
      <c r="AVM58" s="0"/>
      <c r="AVN58" s="0"/>
      <c r="AVO58" s="0"/>
      <c r="AVP58" s="0"/>
      <c r="AVQ58" s="0"/>
      <c r="AVR58" s="0"/>
      <c r="AVS58" s="0"/>
      <c r="AVT58" s="0"/>
      <c r="AVU58" s="0"/>
      <c r="AVV58" s="0"/>
      <c r="AVW58" s="0"/>
      <c r="AVX58" s="0"/>
      <c r="AVY58" s="0"/>
      <c r="AVZ58" s="0"/>
      <c r="AWA58" s="0"/>
      <c r="AWB58" s="0"/>
      <c r="AWC58" s="0"/>
      <c r="AWD58" s="0"/>
      <c r="AWE58" s="0"/>
      <c r="AWF58" s="0"/>
      <c r="AWG58" s="0"/>
      <c r="AWH58" s="0"/>
      <c r="AWI58" s="0"/>
      <c r="AWJ58" s="0"/>
      <c r="AWK58" s="0"/>
      <c r="AWL58" s="0"/>
      <c r="AWM58" s="0"/>
      <c r="AWN58" s="0"/>
      <c r="AWO58" s="0"/>
      <c r="AWP58" s="0"/>
      <c r="AWQ58" s="0"/>
      <c r="AWR58" s="0"/>
      <c r="AWS58" s="0"/>
      <c r="AWT58" s="0"/>
      <c r="AWU58" s="0"/>
      <c r="AWV58" s="0"/>
      <c r="AWW58" s="0"/>
      <c r="AWX58" s="0"/>
      <c r="AWY58" s="0"/>
      <c r="AWZ58" s="0"/>
      <c r="AXA58" s="0"/>
      <c r="AXB58" s="0"/>
      <c r="AXC58" s="0"/>
      <c r="AXD58" s="0"/>
      <c r="AXE58" s="0"/>
      <c r="AXF58" s="0"/>
      <c r="AXG58" s="0"/>
      <c r="AXH58" s="0"/>
      <c r="AXI58" s="0"/>
      <c r="AXJ58" s="0"/>
      <c r="AXK58" s="0"/>
      <c r="AXL58" s="0"/>
      <c r="AXM58" s="0"/>
      <c r="AXN58" s="0"/>
      <c r="AXO58" s="0"/>
      <c r="AXP58" s="0"/>
      <c r="AXQ58" s="0"/>
      <c r="AXR58" s="0"/>
      <c r="AXS58" s="0"/>
      <c r="AXT58" s="0"/>
      <c r="AXU58" s="0"/>
      <c r="AXV58" s="0"/>
      <c r="AXW58" s="0"/>
      <c r="AXX58" s="0"/>
      <c r="AXY58" s="0"/>
      <c r="AXZ58" s="0"/>
      <c r="AYA58" s="0"/>
      <c r="AYB58" s="0"/>
      <c r="AYC58" s="0"/>
      <c r="AYD58" s="0"/>
      <c r="AYE58" s="0"/>
      <c r="AYF58" s="0"/>
      <c r="AYG58" s="0"/>
      <c r="AYH58" s="0"/>
      <c r="AYI58" s="0"/>
      <c r="AYJ58" s="0"/>
      <c r="AYK58" s="0"/>
      <c r="AYL58" s="0"/>
      <c r="AYM58" s="0"/>
      <c r="AYN58" s="0"/>
      <c r="AYO58" s="0"/>
      <c r="AYP58" s="0"/>
      <c r="AYQ58" s="0"/>
      <c r="AYR58" s="0"/>
      <c r="AYS58" s="0"/>
      <c r="AYT58" s="0"/>
      <c r="AYU58" s="0"/>
      <c r="AYV58" s="0"/>
      <c r="AYW58" s="0"/>
      <c r="AYX58" s="0"/>
      <c r="AYY58" s="0"/>
      <c r="AYZ58" s="0"/>
      <c r="AZA58" s="0"/>
      <c r="AZB58" s="0"/>
      <c r="AZC58" s="0"/>
      <c r="AZD58" s="0"/>
      <c r="AZE58" s="0"/>
      <c r="AZF58" s="0"/>
      <c r="AZG58" s="0"/>
      <c r="AZH58" s="0"/>
      <c r="AZI58" s="0"/>
      <c r="AZJ58" s="0"/>
      <c r="AZK58" s="0"/>
      <c r="AZL58" s="0"/>
      <c r="AZM58" s="0"/>
      <c r="AZN58" s="0"/>
      <c r="AZO58" s="0"/>
      <c r="AZP58" s="0"/>
      <c r="AZQ58" s="0"/>
      <c r="AZR58" s="0"/>
      <c r="AZS58" s="0"/>
      <c r="AZT58" s="0"/>
      <c r="AZU58" s="0"/>
      <c r="AZV58" s="0"/>
      <c r="AZW58" s="0"/>
      <c r="AZX58" s="0"/>
      <c r="AZY58" s="0"/>
      <c r="AZZ58" s="0"/>
      <c r="BAA58" s="0"/>
      <c r="BAB58" s="0"/>
      <c r="BAC58" s="0"/>
      <c r="BAD58" s="0"/>
      <c r="BAE58" s="0"/>
      <c r="BAF58" s="0"/>
      <c r="BAG58" s="0"/>
      <c r="BAH58" s="0"/>
      <c r="BAI58" s="0"/>
      <c r="BAJ58" s="0"/>
      <c r="BAK58" s="0"/>
      <c r="BAL58" s="0"/>
      <c r="BAM58" s="0"/>
      <c r="BAN58" s="0"/>
      <c r="BAO58" s="0"/>
      <c r="BAP58" s="0"/>
      <c r="BAQ58" s="0"/>
      <c r="BAR58" s="0"/>
      <c r="BAS58" s="0"/>
      <c r="BAT58" s="0"/>
      <c r="BAU58" s="0"/>
      <c r="BAV58" s="0"/>
      <c r="BAW58" s="0"/>
      <c r="BAX58" s="0"/>
      <c r="BAY58" s="0"/>
      <c r="BAZ58" s="0"/>
      <c r="BBA58" s="0"/>
      <c r="BBB58" s="0"/>
      <c r="BBC58" s="0"/>
      <c r="BBD58" s="0"/>
      <c r="BBE58" s="0"/>
      <c r="BBF58" s="0"/>
      <c r="BBG58" s="0"/>
      <c r="BBH58" s="0"/>
      <c r="BBI58" s="0"/>
      <c r="BBJ58" s="0"/>
      <c r="BBK58" s="0"/>
      <c r="BBL58" s="0"/>
      <c r="BBM58" s="0"/>
      <c r="BBN58" s="0"/>
      <c r="BBO58" s="0"/>
      <c r="BBP58" s="0"/>
      <c r="BBQ58" s="0"/>
      <c r="BBR58" s="0"/>
      <c r="BBS58" s="0"/>
      <c r="BBT58" s="0"/>
      <c r="BBU58" s="0"/>
      <c r="BBV58" s="0"/>
      <c r="BBW58" s="0"/>
      <c r="BBX58" s="0"/>
      <c r="BBY58" s="0"/>
      <c r="BBZ58" s="0"/>
      <c r="BCA58" s="0"/>
      <c r="BCB58" s="0"/>
      <c r="BCC58" s="0"/>
      <c r="BCD58" s="0"/>
      <c r="BCE58" s="0"/>
      <c r="BCF58" s="0"/>
      <c r="BCG58" s="0"/>
      <c r="BCH58" s="0"/>
      <c r="BCI58" s="0"/>
      <c r="BCJ58" s="0"/>
      <c r="BCK58" s="0"/>
      <c r="BCL58" s="0"/>
      <c r="BCM58" s="0"/>
      <c r="BCN58" s="0"/>
      <c r="BCO58" s="0"/>
      <c r="BCP58" s="0"/>
      <c r="BCQ58" s="0"/>
      <c r="BCR58" s="0"/>
      <c r="BCS58" s="0"/>
      <c r="BCT58" s="0"/>
      <c r="BCU58" s="0"/>
      <c r="BCV58" s="0"/>
      <c r="BCW58" s="0"/>
      <c r="BCX58" s="0"/>
      <c r="BCY58" s="0"/>
      <c r="BCZ58" s="0"/>
      <c r="BDA58" s="0"/>
      <c r="BDB58" s="0"/>
      <c r="BDC58" s="0"/>
      <c r="BDD58" s="0"/>
      <c r="BDE58" s="0"/>
      <c r="BDF58" s="0"/>
      <c r="BDG58" s="0"/>
      <c r="BDH58" s="0"/>
      <c r="BDI58" s="0"/>
      <c r="BDJ58" s="0"/>
      <c r="BDK58" s="0"/>
      <c r="BDL58" s="0"/>
      <c r="BDM58" s="0"/>
      <c r="BDN58" s="0"/>
      <c r="BDO58" s="0"/>
      <c r="BDP58" s="0"/>
      <c r="BDQ58" s="0"/>
      <c r="BDR58" s="0"/>
      <c r="BDS58" s="0"/>
      <c r="BDT58" s="0"/>
      <c r="BDU58" s="0"/>
      <c r="BDV58" s="0"/>
      <c r="BDW58" s="0"/>
      <c r="BDX58" s="0"/>
      <c r="BDY58" s="0"/>
      <c r="BDZ58" s="0"/>
      <c r="BEA58" s="0"/>
      <c r="BEB58" s="0"/>
      <c r="BEC58" s="0"/>
      <c r="BED58" s="0"/>
      <c r="BEE58" s="0"/>
      <c r="BEF58" s="0"/>
      <c r="BEG58" s="0"/>
      <c r="BEH58" s="0"/>
      <c r="BEI58" s="0"/>
      <c r="BEJ58" s="0"/>
      <c r="BEK58" s="0"/>
      <c r="BEL58" s="0"/>
      <c r="BEM58" s="0"/>
      <c r="BEN58" s="0"/>
      <c r="BEO58" s="0"/>
      <c r="BEP58" s="0"/>
      <c r="BEQ58" s="0"/>
      <c r="BER58" s="0"/>
      <c r="BES58" s="0"/>
      <c r="BET58" s="0"/>
      <c r="BEU58" s="0"/>
      <c r="BEV58" s="0"/>
      <c r="BEW58" s="0"/>
      <c r="BEX58" s="0"/>
      <c r="BEY58" s="0"/>
      <c r="BEZ58" s="0"/>
      <c r="BFA58" s="0"/>
      <c r="BFB58" s="0"/>
      <c r="BFC58" s="0"/>
      <c r="BFD58" s="0"/>
      <c r="BFE58" s="0"/>
      <c r="BFF58" s="0"/>
      <c r="BFG58" s="0"/>
      <c r="BFH58" s="0"/>
      <c r="BFI58" s="0"/>
      <c r="BFJ58" s="0"/>
      <c r="BFK58" s="0"/>
      <c r="BFL58" s="0"/>
      <c r="BFM58" s="0"/>
      <c r="BFN58" s="0"/>
      <c r="BFO58" s="0"/>
      <c r="BFP58" s="0"/>
      <c r="BFQ58" s="0"/>
      <c r="BFR58" s="0"/>
      <c r="BFS58" s="0"/>
      <c r="BFT58" s="0"/>
      <c r="BFU58" s="0"/>
      <c r="BFV58" s="0"/>
      <c r="BFW58" s="0"/>
      <c r="BFX58" s="0"/>
      <c r="BFY58" s="0"/>
      <c r="BFZ58" s="0"/>
      <c r="BGA58" s="0"/>
      <c r="BGB58" s="0"/>
      <c r="BGC58" s="0"/>
      <c r="BGD58" s="0"/>
      <c r="BGE58" s="0"/>
      <c r="BGF58" s="0"/>
      <c r="BGG58" s="0"/>
      <c r="BGH58" s="0"/>
      <c r="BGI58" s="0"/>
      <c r="BGJ58" s="0"/>
      <c r="BGK58" s="0"/>
      <c r="BGL58" s="0"/>
      <c r="BGM58" s="0"/>
      <c r="BGN58" s="0"/>
      <c r="BGO58" s="0"/>
      <c r="BGP58" s="0"/>
      <c r="BGQ58" s="0"/>
      <c r="BGR58" s="0"/>
      <c r="BGS58" s="0"/>
      <c r="BGT58" s="0"/>
      <c r="BGU58" s="0"/>
      <c r="BGV58" s="0"/>
      <c r="BGW58" s="0"/>
      <c r="BGX58" s="0"/>
      <c r="BGY58" s="0"/>
      <c r="BGZ58" s="0"/>
      <c r="BHA58" s="0"/>
      <c r="BHB58" s="0"/>
      <c r="BHC58" s="0"/>
      <c r="BHD58" s="0"/>
      <c r="BHE58" s="0"/>
      <c r="BHF58" s="0"/>
      <c r="BHG58" s="0"/>
      <c r="BHH58" s="0"/>
      <c r="BHI58" s="0"/>
      <c r="BHJ58" s="0"/>
      <c r="BHK58" s="0"/>
      <c r="BHL58" s="0"/>
      <c r="BHM58" s="0"/>
      <c r="BHN58" s="0"/>
      <c r="BHO58" s="0"/>
      <c r="BHP58" s="0"/>
      <c r="BHQ58" s="0"/>
      <c r="BHR58" s="0"/>
      <c r="BHS58" s="0"/>
      <c r="BHT58" s="0"/>
      <c r="BHU58" s="0"/>
      <c r="BHV58" s="0"/>
      <c r="BHW58" s="0"/>
      <c r="BHX58" s="0"/>
      <c r="BHY58" s="0"/>
      <c r="BHZ58" s="0"/>
      <c r="BIA58" s="0"/>
      <c r="BIB58" s="0"/>
      <c r="BIC58" s="0"/>
      <c r="BID58" s="0"/>
      <c r="BIE58" s="0"/>
      <c r="BIF58" s="0"/>
      <c r="BIG58" s="0"/>
      <c r="BIH58" s="0"/>
      <c r="BII58" s="0"/>
      <c r="BIJ58" s="0"/>
      <c r="BIK58" s="0"/>
      <c r="BIL58" s="0"/>
      <c r="BIM58" s="0"/>
      <c r="BIN58" s="0"/>
      <c r="BIO58" s="0"/>
      <c r="BIP58" s="0"/>
      <c r="BIQ58" s="0"/>
      <c r="BIR58" s="0"/>
      <c r="BIS58" s="0"/>
      <c r="BIT58" s="0"/>
      <c r="BIU58" s="0"/>
      <c r="BIV58" s="0"/>
      <c r="BIW58" s="0"/>
      <c r="BIX58" s="0"/>
      <c r="BIY58" s="0"/>
      <c r="BIZ58" s="0"/>
      <c r="BJA58" s="0"/>
      <c r="BJB58" s="0"/>
      <c r="BJC58" s="0"/>
      <c r="BJD58" s="0"/>
      <c r="BJE58" s="0"/>
      <c r="BJF58" s="0"/>
      <c r="BJG58" s="0"/>
      <c r="BJH58" s="0"/>
      <c r="BJI58" s="0"/>
      <c r="BJJ58" s="0"/>
      <c r="BJK58" s="0"/>
      <c r="BJL58" s="0"/>
      <c r="BJM58" s="0"/>
      <c r="BJN58" s="0"/>
      <c r="BJO58" s="0"/>
      <c r="BJP58" s="0"/>
      <c r="BJQ58" s="0"/>
      <c r="BJR58" s="0"/>
      <c r="BJS58" s="0"/>
      <c r="BJT58" s="0"/>
      <c r="BJU58" s="0"/>
      <c r="BJV58" s="0"/>
      <c r="BJW58" s="0"/>
      <c r="BJX58" s="0"/>
      <c r="BJY58" s="0"/>
      <c r="BJZ58" s="0"/>
      <c r="BKA58" s="0"/>
      <c r="BKB58" s="0"/>
      <c r="BKC58" s="0"/>
      <c r="BKD58" s="0"/>
      <c r="BKE58" s="0"/>
      <c r="BKF58" s="0"/>
      <c r="BKG58" s="0"/>
      <c r="BKH58" s="0"/>
      <c r="BKI58" s="0"/>
      <c r="BKJ58" s="0"/>
      <c r="BKK58" s="0"/>
      <c r="BKL58" s="0"/>
      <c r="BKM58" s="0"/>
      <c r="BKN58" s="0"/>
      <c r="BKO58" s="0"/>
      <c r="BKP58" s="0"/>
      <c r="BKQ58" s="0"/>
      <c r="BKR58" s="0"/>
      <c r="BKS58" s="0"/>
      <c r="BKT58" s="0"/>
      <c r="BKU58" s="0"/>
      <c r="BKV58" s="0"/>
      <c r="BKW58" s="0"/>
      <c r="BKX58" s="0"/>
      <c r="BKY58" s="0"/>
      <c r="BKZ58" s="0"/>
      <c r="BLA58" s="0"/>
      <c r="BLB58" s="0"/>
      <c r="BLC58" s="0"/>
      <c r="BLD58" s="0"/>
      <c r="BLE58" s="0"/>
      <c r="BLF58" s="0"/>
      <c r="BLG58" s="0"/>
      <c r="BLH58" s="0"/>
      <c r="BLI58" s="0"/>
      <c r="BLJ58" s="0"/>
      <c r="BLK58" s="0"/>
      <c r="BLL58" s="0"/>
      <c r="BLM58" s="0"/>
      <c r="BLN58" s="0"/>
      <c r="BLO58" s="0"/>
      <c r="BLP58" s="0"/>
      <c r="BLQ58" s="0"/>
      <c r="BLR58" s="0"/>
      <c r="BLS58" s="0"/>
      <c r="BLT58" s="0"/>
      <c r="BLU58" s="0"/>
      <c r="BLV58" s="0"/>
      <c r="BLW58" s="0"/>
      <c r="BLX58" s="0"/>
      <c r="BLY58" s="0"/>
      <c r="BLZ58" s="0"/>
      <c r="BMA58" s="0"/>
      <c r="BMB58" s="0"/>
      <c r="BMC58" s="0"/>
      <c r="BMD58" s="0"/>
      <c r="BME58" s="0"/>
      <c r="BMF58" s="0"/>
      <c r="BMG58" s="0"/>
      <c r="BMH58" s="0"/>
      <c r="BMI58" s="0"/>
      <c r="BMJ58" s="0"/>
      <c r="BMK58" s="0"/>
      <c r="BML58" s="0"/>
      <c r="BMM58" s="0"/>
      <c r="BMN58" s="0"/>
      <c r="BMO58" s="0"/>
      <c r="BMP58" s="0"/>
      <c r="BMQ58" s="0"/>
      <c r="BMR58" s="0"/>
      <c r="BMS58" s="0"/>
      <c r="BMT58" s="0"/>
      <c r="BMU58" s="0"/>
      <c r="BMV58" s="0"/>
      <c r="BMW58" s="0"/>
      <c r="BMX58" s="0"/>
      <c r="BMY58" s="0"/>
      <c r="BMZ58" s="0"/>
      <c r="BNA58" s="0"/>
      <c r="BNB58" s="0"/>
      <c r="BNC58" s="0"/>
      <c r="BND58" s="0"/>
      <c r="BNE58" s="0"/>
      <c r="BNF58" s="0"/>
      <c r="BNG58" s="0"/>
      <c r="BNH58" s="0"/>
      <c r="BNI58" s="0"/>
      <c r="BNJ58" s="0"/>
      <c r="BNK58" s="0"/>
      <c r="BNL58" s="0"/>
      <c r="BNM58" s="0"/>
      <c r="BNN58" s="0"/>
      <c r="BNO58" s="0"/>
      <c r="BNP58" s="0"/>
      <c r="BNQ58" s="0"/>
      <c r="BNR58" s="0"/>
      <c r="BNS58" s="0"/>
      <c r="BNT58" s="0"/>
      <c r="BNU58" s="0"/>
      <c r="BNV58" s="0"/>
      <c r="BNW58" s="0"/>
      <c r="BNX58" s="0"/>
      <c r="BNY58" s="0"/>
      <c r="BNZ58" s="0"/>
      <c r="BOA58" s="0"/>
      <c r="BOB58" s="0"/>
      <c r="BOC58" s="0"/>
      <c r="BOD58" s="0"/>
      <c r="BOE58" s="0"/>
      <c r="BOF58" s="0"/>
      <c r="BOG58" s="0"/>
      <c r="BOH58" s="0"/>
      <c r="BOI58" s="0"/>
      <c r="BOJ58" s="0"/>
      <c r="BOK58" s="0"/>
      <c r="BOL58" s="0"/>
      <c r="BOM58" s="0"/>
      <c r="BON58" s="0"/>
      <c r="BOO58" s="0"/>
      <c r="BOP58" s="0"/>
      <c r="BOQ58" s="0"/>
      <c r="BOR58" s="0"/>
      <c r="BOS58" s="0"/>
      <c r="BOT58" s="0"/>
      <c r="BOU58" s="0"/>
      <c r="BOV58" s="0"/>
      <c r="BOW58" s="0"/>
      <c r="BOX58" s="0"/>
      <c r="BOY58" s="0"/>
      <c r="BOZ58" s="0"/>
      <c r="BPA58" s="0"/>
      <c r="BPB58" s="0"/>
      <c r="BPC58" s="0"/>
      <c r="BPD58" s="0"/>
      <c r="BPE58" s="0"/>
      <c r="BPF58" s="0"/>
      <c r="BPG58" s="0"/>
      <c r="BPH58" s="0"/>
      <c r="BPI58" s="0"/>
      <c r="BPJ58" s="0"/>
      <c r="BPK58" s="0"/>
      <c r="BPL58" s="0"/>
      <c r="BPM58" s="0"/>
      <c r="BPN58" s="0"/>
      <c r="BPO58" s="0"/>
      <c r="BPP58" s="0"/>
      <c r="BPQ58" s="0"/>
      <c r="BPR58" s="0"/>
      <c r="BPS58" s="0"/>
      <c r="BPT58" s="0"/>
      <c r="BPU58" s="0"/>
      <c r="BPV58" s="0"/>
      <c r="BPW58" s="0"/>
      <c r="BPX58" s="0"/>
      <c r="BPY58" s="0"/>
      <c r="BPZ58" s="0"/>
      <c r="BQA58" s="0"/>
      <c r="BQB58" s="0"/>
      <c r="BQC58" s="0"/>
      <c r="BQD58" s="0"/>
      <c r="BQE58" s="0"/>
      <c r="BQF58" s="0"/>
      <c r="BQG58" s="0"/>
      <c r="BQH58" s="0"/>
      <c r="BQI58" s="0"/>
      <c r="BQJ58" s="0"/>
      <c r="BQK58" s="0"/>
      <c r="BQL58" s="0"/>
      <c r="BQM58" s="0"/>
      <c r="BQN58" s="0"/>
      <c r="BQO58" s="0"/>
      <c r="BQP58" s="0"/>
      <c r="BQQ58" s="0"/>
      <c r="BQR58" s="0"/>
      <c r="BQS58" s="0"/>
      <c r="BQT58" s="0"/>
      <c r="BQU58" s="0"/>
      <c r="BQV58" s="0"/>
      <c r="BQW58" s="0"/>
      <c r="BQX58" s="0"/>
      <c r="BQY58" s="0"/>
      <c r="BQZ58" s="0"/>
      <c r="BRA58" s="0"/>
      <c r="BRB58" s="0"/>
      <c r="BRC58" s="0"/>
      <c r="BRD58" s="0"/>
      <c r="BRE58" s="0"/>
      <c r="BRF58" s="0"/>
      <c r="BRG58" s="0"/>
      <c r="BRH58" s="0"/>
      <c r="BRI58" s="0"/>
      <c r="BRJ58" s="0"/>
      <c r="BRK58" s="0"/>
      <c r="BRL58" s="0"/>
      <c r="BRM58" s="0"/>
      <c r="BRN58" s="0"/>
      <c r="BRO58" s="0"/>
      <c r="BRP58" s="0"/>
      <c r="BRQ58" s="0"/>
      <c r="BRR58" s="0"/>
      <c r="BRS58" s="0"/>
      <c r="BRT58" s="0"/>
      <c r="BRU58" s="0"/>
      <c r="BRV58" s="0"/>
      <c r="BRW58" s="0"/>
      <c r="BRX58" s="0"/>
      <c r="BRY58" s="0"/>
      <c r="BRZ58" s="0"/>
      <c r="BSA58" s="0"/>
      <c r="BSB58" s="0"/>
      <c r="BSC58" s="0"/>
      <c r="BSD58" s="0"/>
      <c r="BSE58" s="0"/>
      <c r="BSF58" s="0"/>
      <c r="BSG58" s="0"/>
      <c r="BSH58" s="0"/>
      <c r="BSI58" s="0"/>
      <c r="BSJ58" s="0"/>
      <c r="BSK58" s="0"/>
      <c r="BSL58" s="0"/>
      <c r="BSM58" s="0"/>
      <c r="BSN58" s="0"/>
      <c r="BSO58" s="0"/>
      <c r="BSP58" s="0"/>
      <c r="BSQ58" s="0"/>
      <c r="BSR58" s="0"/>
      <c r="BSS58" s="0"/>
      <c r="BST58" s="0"/>
      <c r="BSU58" s="0"/>
      <c r="BSV58" s="0"/>
      <c r="BSW58" s="0"/>
      <c r="BSX58" s="0"/>
      <c r="BSY58" s="0"/>
      <c r="BSZ58" s="0"/>
      <c r="BTA58" s="0"/>
      <c r="BTB58" s="0"/>
      <c r="BTC58" s="0"/>
      <c r="BTD58" s="0"/>
      <c r="BTE58" s="0"/>
      <c r="BTF58" s="0"/>
      <c r="BTG58" s="0"/>
      <c r="BTH58" s="0"/>
      <c r="BTI58" s="0"/>
      <c r="BTJ58" s="0"/>
      <c r="BTK58" s="0"/>
      <c r="BTL58" s="0"/>
      <c r="BTM58" s="0"/>
      <c r="BTN58" s="0"/>
      <c r="BTO58" s="0"/>
      <c r="BTP58" s="0"/>
      <c r="BTQ58" s="0"/>
      <c r="BTR58" s="0"/>
      <c r="BTS58" s="0"/>
      <c r="BTT58" s="0"/>
      <c r="BTU58" s="0"/>
      <c r="BTV58" s="0"/>
      <c r="BTW58" s="0"/>
      <c r="BTX58" s="0"/>
      <c r="BTY58" s="0"/>
      <c r="BTZ58" s="0"/>
      <c r="BUA58" s="0"/>
      <c r="BUB58" s="0"/>
      <c r="BUC58" s="0"/>
      <c r="BUD58" s="0"/>
      <c r="BUE58" s="0"/>
      <c r="BUF58" s="0"/>
      <c r="BUG58" s="0"/>
      <c r="BUH58" s="0"/>
      <c r="BUI58" s="0"/>
      <c r="BUJ58" s="0"/>
      <c r="BUK58" s="0"/>
      <c r="BUL58" s="0"/>
      <c r="BUM58" s="0"/>
      <c r="BUN58" s="0"/>
      <c r="BUO58" s="0"/>
      <c r="BUP58" s="0"/>
      <c r="BUQ58" s="0"/>
      <c r="BUR58" s="0"/>
      <c r="BUS58" s="0"/>
      <c r="BUT58" s="0"/>
      <c r="BUU58" s="0"/>
      <c r="BUV58" s="0"/>
      <c r="BUW58" s="0"/>
      <c r="BUX58" s="0"/>
      <c r="BUY58" s="0"/>
      <c r="BUZ58" s="0"/>
      <c r="BVA58" s="0"/>
      <c r="BVB58" s="0"/>
      <c r="BVC58" s="0"/>
      <c r="BVD58" s="0"/>
      <c r="BVE58" s="0"/>
      <c r="BVF58" s="0"/>
      <c r="BVG58" s="0"/>
      <c r="BVH58" s="0"/>
      <c r="BVI58" s="0"/>
      <c r="BVJ58" s="0"/>
      <c r="BVK58" s="0"/>
      <c r="BVL58" s="0"/>
      <c r="BVM58" s="0"/>
      <c r="BVN58" s="0"/>
      <c r="BVO58" s="0"/>
      <c r="BVP58" s="0"/>
      <c r="BVQ58" s="0"/>
      <c r="BVR58" s="0"/>
      <c r="BVS58" s="0"/>
      <c r="BVT58" s="0"/>
      <c r="BVU58" s="0"/>
      <c r="BVV58" s="0"/>
      <c r="BVW58" s="0"/>
      <c r="BVX58" s="0"/>
      <c r="BVY58" s="0"/>
      <c r="BVZ58" s="0"/>
      <c r="BWA58" s="0"/>
      <c r="BWB58" s="0"/>
      <c r="BWC58" s="0"/>
      <c r="BWD58" s="0"/>
      <c r="BWE58" s="0"/>
      <c r="BWF58" s="0"/>
      <c r="BWG58" s="0"/>
      <c r="BWH58" s="0"/>
      <c r="BWI58" s="0"/>
      <c r="BWJ58" s="0"/>
      <c r="BWK58" s="0"/>
      <c r="BWL58" s="0"/>
      <c r="BWM58" s="0"/>
      <c r="BWN58" s="0"/>
      <c r="BWO58" s="0"/>
      <c r="BWP58" s="0"/>
      <c r="BWQ58" s="0"/>
      <c r="BWR58" s="0"/>
      <c r="BWS58" s="0"/>
      <c r="BWT58" s="0"/>
      <c r="BWU58" s="0"/>
      <c r="BWV58" s="0"/>
      <c r="BWW58" s="0"/>
      <c r="BWX58" s="0"/>
      <c r="BWY58" s="0"/>
      <c r="BWZ58" s="0"/>
      <c r="BXA58" s="0"/>
      <c r="BXB58" s="0"/>
      <c r="BXC58" s="0"/>
      <c r="BXD58" s="0"/>
      <c r="BXE58" s="0"/>
      <c r="BXF58" s="0"/>
      <c r="BXG58" s="0"/>
      <c r="BXH58" s="0"/>
      <c r="BXI58" s="0"/>
      <c r="BXJ58" s="0"/>
      <c r="BXK58" s="0"/>
      <c r="BXL58" s="0"/>
      <c r="BXM58" s="0"/>
      <c r="BXN58" s="0"/>
      <c r="BXO58" s="0"/>
      <c r="BXP58" s="0"/>
      <c r="BXQ58" s="0"/>
      <c r="BXR58" s="0"/>
      <c r="BXS58" s="0"/>
      <c r="BXT58" s="0"/>
      <c r="BXU58" s="0"/>
      <c r="BXV58" s="0"/>
      <c r="BXW58" s="0"/>
      <c r="BXX58" s="0"/>
      <c r="BXY58" s="0"/>
      <c r="BXZ58" s="0"/>
      <c r="BYA58" s="0"/>
      <c r="BYB58" s="0"/>
      <c r="BYC58" s="0"/>
      <c r="BYD58" s="0"/>
      <c r="BYE58" s="0"/>
      <c r="BYF58" s="0"/>
      <c r="BYG58" s="0"/>
      <c r="BYH58" s="0"/>
      <c r="BYI58" s="0"/>
      <c r="BYJ58" s="0"/>
      <c r="BYK58" s="0"/>
      <c r="BYL58" s="0"/>
      <c r="BYM58" s="0"/>
      <c r="BYN58" s="0"/>
      <c r="BYO58" s="0"/>
      <c r="BYP58" s="0"/>
      <c r="BYQ58" s="0"/>
      <c r="BYR58" s="0"/>
      <c r="BYS58" s="0"/>
      <c r="BYT58" s="0"/>
      <c r="BYU58" s="0"/>
      <c r="BYV58" s="0"/>
      <c r="BYW58" s="0"/>
      <c r="BYX58" s="0"/>
      <c r="BYY58" s="0"/>
      <c r="BYZ58" s="0"/>
      <c r="BZA58" s="0"/>
      <c r="BZB58" s="0"/>
      <c r="BZC58" s="0"/>
      <c r="BZD58" s="0"/>
      <c r="BZE58" s="0"/>
      <c r="BZF58" s="0"/>
      <c r="BZG58" s="0"/>
      <c r="BZH58" s="0"/>
      <c r="BZI58" s="0"/>
      <c r="BZJ58" s="0"/>
      <c r="BZK58" s="0"/>
      <c r="BZL58" s="0"/>
      <c r="BZM58" s="0"/>
      <c r="BZN58" s="0"/>
      <c r="BZO58" s="0"/>
      <c r="BZP58" s="0"/>
      <c r="BZQ58" s="0"/>
      <c r="BZR58" s="0"/>
      <c r="BZS58" s="0"/>
      <c r="BZT58" s="0"/>
      <c r="BZU58" s="0"/>
      <c r="BZV58" s="0"/>
      <c r="BZW58" s="0"/>
      <c r="BZX58" s="0"/>
      <c r="BZY58" s="0"/>
      <c r="BZZ58" s="0"/>
      <c r="CAA58" s="0"/>
      <c r="CAB58" s="0"/>
      <c r="CAC58" s="0"/>
      <c r="CAD58" s="0"/>
      <c r="CAE58" s="0"/>
      <c r="CAF58" s="0"/>
      <c r="CAG58" s="0"/>
      <c r="CAH58" s="0"/>
      <c r="CAI58" s="0"/>
      <c r="CAJ58" s="0"/>
      <c r="CAK58" s="0"/>
      <c r="CAL58" s="0"/>
      <c r="CAM58" s="0"/>
      <c r="CAN58" s="0"/>
      <c r="CAO58" s="0"/>
      <c r="CAP58" s="0"/>
      <c r="CAQ58" s="0"/>
      <c r="CAR58" s="0"/>
      <c r="CAS58" s="0"/>
      <c r="CAT58" s="0"/>
      <c r="CAU58" s="0"/>
      <c r="CAV58" s="0"/>
      <c r="CAW58" s="0"/>
      <c r="CAX58" s="0"/>
      <c r="CAY58" s="0"/>
      <c r="CAZ58" s="0"/>
      <c r="CBA58" s="0"/>
      <c r="CBB58" s="0"/>
      <c r="CBC58" s="0"/>
      <c r="CBD58" s="0"/>
      <c r="CBE58" s="0"/>
      <c r="CBF58" s="0"/>
      <c r="CBG58" s="0"/>
      <c r="CBH58" s="0"/>
      <c r="CBI58" s="0"/>
      <c r="CBJ58" s="0"/>
      <c r="CBK58" s="0"/>
      <c r="CBL58" s="0"/>
      <c r="CBM58" s="0"/>
      <c r="CBN58" s="0"/>
      <c r="CBO58" s="0"/>
      <c r="CBP58" s="0"/>
      <c r="CBQ58" s="0"/>
      <c r="CBR58" s="0"/>
      <c r="CBS58" s="0"/>
      <c r="CBT58" s="0"/>
      <c r="CBU58" s="0"/>
      <c r="CBV58" s="0"/>
      <c r="CBW58" s="0"/>
      <c r="CBX58" s="0"/>
      <c r="CBY58" s="0"/>
      <c r="CBZ58" s="0"/>
      <c r="CCA58" s="0"/>
      <c r="CCB58" s="0"/>
      <c r="CCC58" s="0"/>
      <c r="CCD58" s="0"/>
      <c r="CCE58" s="0"/>
      <c r="CCF58" s="0"/>
      <c r="CCG58" s="0"/>
      <c r="CCH58" s="0"/>
      <c r="CCI58" s="0"/>
      <c r="CCJ58" s="0"/>
      <c r="CCK58" s="0"/>
      <c r="CCL58" s="0"/>
      <c r="CCM58" s="0"/>
      <c r="CCN58" s="0"/>
      <c r="CCO58" s="0"/>
      <c r="CCP58" s="0"/>
      <c r="CCQ58" s="0"/>
      <c r="CCR58" s="0"/>
      <c r="CCS58" s="0"/>
      <c r="CCT58" s="0"/>
      <c r="CCU58" s="0"/>
      <c r="CCV58" s="0"/>
      <c r="CCW58" s="0"/>
      <c r="CCX58" s="0"/>
      <c r="CCY58" s="0"/>
      <c r="CCZ58" s="0"/>
      <c r="CDA58" s="0"/>
      <c r="CDB58" s="0"/>
      <c r="CDC58" s="0"/>
      <c r="CDD58" s="0"/>
      <c r="CDE58" s="0"/>
      <c r="CDF58" s="0"/>
      <c r="CDG58" s="0"/>
      <c r="CDH58" s="0"/>
      <c r="CDI58" s="0"/>
      <c r="CDJ58" s="0"/>
      <c r="CDK58" s="0"/>
      <c r="CDL58" s="0"/>
      <c r="CDM58" s="0"/>
      <c r="CDN58" s="0"/>
      <c r="CDO58" s="0"/>
      <c r="CDP58" s="0"/>
      <c r="CDQ58" s="0"/>
      <c r="CDR58" s="0"/>
      <c r="CDS58" s="0"/>
      <c r="CDT58" s="0"/>
      <c r="CDU58" s="0"/>
      <c r="CDV58" s="0"/>
      <c r="CDW58" s="0"/>
      <c r="CDX58" s="0"/>
      <c r="CDY58" s="0"/>
      <c r="CDZ58" s="0"/>
      <c r="CEA58" s="0"/>
      <c r="CEB58" s="0"/>
      <c r="CEC58" s="0"/>
      <c r="CED58" s="0"/>
      <c r="CEE58" s="0"/>
      <c r="CEF58" s="0"/>
      <c r="CEG58" s="0"/>
      <c r="CEH58" s="0"/>
      <c r="CEI58" s="0"/>
      <c r="CEJ58" s="0"/>
      <c r="CEK58" s="0"/>
      <c r="CEL58" s="0"/>
      <c r="CEM58" s="0"/>
      <c r="CEN58" s="0"/>
      <c r="CEO58" s="0"/>
      <c r="CEP58" s="0"/>
      <c r="CEQ58" s="0"/>
      <c r="CER58" s="0"/>
      <c r="CES58" s="0"/>
      <c r="CET58" s="0"/>
      <c r="CEU58" s="0"/>
      <c r="CEV58" s="0"/>
      <c r="CEW58" s="0"/>
      <c r="CEX58" s="0"/>
      <c r="CEY58" s="0"/>
      <c r="CEZ58" s="0"/>
      <c r="CFA58" s="0"/>
      <c r="CFB58" s="0"/>
      <c r="CFC58" s="0"/>
      <c r="CFD58" s="0"/>
      <c r="CFE58" s="0"/>
      <c r="CFF58" s="0"/>
      <c r="CFG58" s="0"/>
      <c r="CFH58" s="0"/>
      <c r="CFI58" s="0"/>
      <c r="CFJ58" s="0"/>
      <c r="CFK58" s="0"/>
      <c r="CFL58" s="0"/>
      <c r="CFM58" s="0"/>
      <c r="CFN58" s="0"/>
      <c r="CFO58" s="0"/>
      <c r="CFP58" s="0"/>
      <c r="CFQ58" s="0"/>
      <c r="CFR58" s="0"/>
      <c r="CFS58" s="0"/>
      <c r="CFT58" s="0"/>
      <c r="CFU58" s="0"/>
      <c r="CFV58" s="0"/>
      <c r="CFW58" s="0"/>
      <c r="CFX58" s="0"/>
      <c r="CFY58" s="0"/>
      <c r="CFZ58" s="0"/>
      <c r="CGA58" s="0"/>
      <c r="CGB58" s="0"/>
      <c r="CGC58" s="0"/>
      <c r="CGD58" s="0"/>
      <c r="CGE58" s="0"/>
      <c r="CGF58" s="0"/>
      <c r="CGG58" s="0"/>
      <c r="CGH58" s="0"/>
      <c r="CGI58" s="0"/>
      <c r="CGJ58" s="0"/>
      <c r="CGK58" s="0"/>
      <c r="CGL58" s="0"/>
      <c r="CGM58" s="0"/>
      <c r="CGN58" s="0"/>
      <c r="CGO58" s="0"/>
      <c r="CGP58" s="0"/>
      <c r="CGQ58" s="0"/>
      <c r="CGR58" s="0"/>
      <c r="CGS58" s="0"/>
      <c r="CGT58" s="0"/>
      <c r="CGU58" s="0"/>
      <c r="CGV58" s="0"/>
      <c r="CGW58" s="0"/>
      <c r="CGX58" s="0"/>
      <c r="CGY58" s="0"/>
      <c r="CGZ58" s="0"/>
      <c r="CHA58" s="0"/>
      <c r="CHB58" s="0"/>
      <c r="CHC58" s="0"/>
      <c r="CHD58" s="0"/>
      <c r="CHE58" s="0"/>
      <c r="CHF58" s="0"/>
      <c r="CHG58" s="0"/>
      <c r="CHH58" s="0"/>
      <c r="CHI58" s="0"/>
      <c r="CHJ58" s="0"/>
      <c r="CHK58" s="0"/>
      <c r="CHL58" s="0"/>
      <c r="CHM58" s="0"/>
      <c r="CHN58" s="0"/>
      <c r="CHO58" s="0"/>
      <c r="CHP58" s="0"/>
      <c r="CHQ58" s="0"/>
      <c r="CHR58" s="0"/>
      <c r="CHS58" s="0"/>
      <c r="CHT58" s="0"/>
      <c r="CHU58" s="0"/>
      <c r="CHV58" s="0"/>
      <c r="CHW58" s="0"/>
      <c r="CHX58" s="0"/>
      <c r="CHY58" s="0"/>
      <c r="CHZ58" s="0"/>
      <c r="CIA58" s="0"/>
      <c r="CIB58" s="0"/>
      <c r="CIC58" s="0"/>
      <c r="CID58" s="0"/>
      <c r="CIE58" s="0"/>
      <c r="CIF58" s="0"/>
      <c r="CIG58" s="0"/>
      <c r="CIH58" s="0"/>
      <c r="CII58" s="0"/>
      <c r="CIJ58" s="0"/>
      <c r="CIK58" s="0"/>
      <c r="CIL58" s="0"/>
      <c r="CIM58" s="0"/>
      <c r="CIN58" s="0"/>
      <c r="CIO58" s="0"/>
      <c r="CIP58" s="0"/>
      <c r="CIQ58" s="0"/>
      <c r="CIR58" s="0"/>
      <c r="CIS58" s="0"/>
      <c r="CIT58" s="0"/>
      <c r="CIU58" s="0"/>
      <c r="CIV58" s="0"/>
      <c r="CIW58" s="0"/>
      <c r="CIX58" s="0"/>
      <c r="CIY58" s="0"/>
      <c r="CIZ58" s="0"/>
      <c r="CJA58" s="0"/>
      <c r="CJB58" s="0"/>
      <c r="CJC58" s="0"/>
      <c r="CJD58" s="0"/>
      <c r="CJE58" s="0"/>
      <c r="CJF58" s="0"/>
      <c r="CJG58" s="0"/>
      <c r="CJH58" s="0"/>
      <c r="CJI58" s="0"/>
      <c r="CJJ58" s="0"/>
      <c r="CJK58" s="0"/>
      <c r="CJL58" s="0"/>
      <c r="CJM58" s="0"/>
      <c r="CJN58" s="0"/>
      <c r="CJO58" s="0"/>
      <c r="CJP58" s="0"/>
      <c r="CJQ58" s="0"/>
      <c r="CJR58" s="0"/>
      <c r="CJS58" s="0"/>
      <c r="CJT58" s="0"/>
      <c r="CJU58" s="0"/>
      <c r="CJV58" s="0"/>
      <c r="CJW58" s="0"/>
      <c r="CJX58" s="0"/>
      <c r="CJY58" s="0"/>
      <c r="CJZ58" s="0"/>
      <c r="CKA58" s="0"/>
      <c r="CKB58" s="0"/>
      <c r="CKC58" s="0"/>
      <c r="CKD58" s="0"/>
      <c r="CKE58" s="0"/>
      <c r="CKF58" s="0"/>
      <c r="CKG58" s="0"/>
      <c r="CKH58" s="0"/>
      <c r="CKI58" s="0"/>
      <c r="CKJ58" s="0"/>
      <c r="CKK58" s="0"/>
      <c r="CKL58" s="0"/>
      <c r="CKM58" s="0"/>
      <c r="CKN58" s="0"/>
      <c r="CKO58" s="0"/>
      <c r="CKP58" s="0"/>
      <c r="CKQ58" s="0"/>
      <c r="CKR58" s="0"/>
      <c r="CKS58" s="0"/>
      <c r="CKT58" s="0"/>
      <c r="CKU58" s="0"/>
      <c r="CKV58" s="0"/>
      <c r="CKW58" s="0"/>
      <c r="CKX58" s="0"/>
      <c r="CKY58" s="0"/>
      <c r="CKZ58" s="0"/>
      <c r="CLA58" s="0"/>
      <c r="CLB58" s="0"/>
      <c r="CLC58" s="0"/>
      <c r="CLD58" s="0"/>
      <c r="CLE58" s="0"/>
      <c r="CLF58" s="0"/>
      <c r="CLG58" s="0"/>
      <c r="CLH58" s="0"/>
      <c r="CLI58" s="0"/>
      <c r="CLJ58" s="0"/>
      <c r="CLK58" s="0"/>
      <c r="CLL58" s="0"/>
      <c r="CLM58" s="0"/>
      <c r="CLN58" s="0"/>
      <c r="CLO58" s="0"/>
      <c r="CLP58" s="0"/>
      <c r="CLQ58" s="0"/>
      <c r="CLR58" s="0"/>
      <c r="CLS58" s="0"/>
      <c r="CLT58" s="0"/>
      <c r="CLU58" s="0"/>
      <c r="CLV58" s="0"/>
      <c r="CLW58" s="0"/>
      <c r="CLX58" s="0"/>
      <c r="CLY58" s="0"/>
      <c r="CLZ58" s="0"/>
      <c r="CMA58" s="0"/>
      <c r="CMB58" s="0"/>
      <c r="CMC58" s="0"/>
      <c r="CMD58" s="0"/>
      <c r="CME58" s="0"/>
      <c r="CMF58" s="0"/>
      <c r="CMG58" s="0"/>
      <c r="CMH58" s="0"/>
      <c r="CMI58" s="0"/>
      <c r="CMJ58" s="0"/>
      <c r="CMK58" s="0"/>
      <c r="CML58" s="0"/>
      <c r="CMM58" s="0"/>
      <c r="CMN58" s="0"/>
      <c r="CMO58" s="0"/>
      <c r="CMP58" s="0"/>
      <c r="CMQ58" s="0"/>
      <c r="CMR58" s="0"/>
      <c r="CMS58" s="0"/>
      <c r="CMT58" s="0"/>
      <c r="CMU58" s="0"/>
      <c r="CMV58" s="0"/>
      <c r="CMW58" s="0"/>
      <c r="CMX58" s="0"/>
      <c r="CMY58" s="0"/>
      <c r="CMZ58" s="0"/>
      <c r="CNA58" s="0"/>
      <c r="CNB58" s="0"/>
      <c r="CNC58" s="0"/>
      <c r="CND58" s="0"/>
      <c r="CNE58" s="0"/>
      <c r="CNF58" s="0"/>
      <c r="CNG58" s="0"/>
      <c r="CNH58" s="0"/>
      <c r="CNI58" s="0"/>
      <c r="CNJ58" s="0"/>
      <c r="CNK58" s="0"/>
      <c r="CNL58" s="0"/>
      <c r="CNM58" s="0"/>
      <c r="CNN58" s="0"/>
      <c r="CNO58" s="0"/>
      <c r="CNP58" s="0"/>
      <c r="CNQ58" s="0"/>
      <c r="CNR58" s="0"/>
      <c r="CNS58" s="0"/>
      <c r="CNT58" s="0"/>
      <c r="CNU58" s="0"/>
      <c r="CNV58" s="0"/>
      <c r="CNW58" s="0"/>
      <c r="CNX58" s="0"/>
      <c r="CNY58" s="0"/>
      <c r="CNZ58" s="0"/>
      <c r="COA58" s="0"/>
      <c r="COB58" s="0"/>
      <c r="COC58" s="0"/>
      <c r="COD58" s="0"/>
      <c r="COE58" s="0"/>
      <c r="COF58" s="0"/>
      <c r="COG58" s="0"/>
      <c r="COH58" s="0"/>
      <c r="COI58" s="0"/>
      <c r="COJ58" s="0"/>
      <c r="COK58" s="0"/>
      <c r="COL58" s="0"/>
      <c r="COM58" s="0"/>
      <c r="CON58" s="0"/>
      <c r="COO58" s="0"/>
      <c r="COP58" s="0"/>
      <c r="COQ58" s="0"/>
      <c r="COR58" s="0"/>
      <c r="COS58" s="0"/>
      <c r="COT58" s="0"/>
      <c r="COU58" s="0"/>
      <c r="COV58" s="0"/>
      <c r="COW58" s="0"/>
      <c r="COX58" s="0"/>
      <c r="COY58" s="0"/>
      <c r="COZ58" s="0"/>
      <c r="CPA58" s="0"/>
      <c r="CPB58" s="0"/>
      <c r="CPC58" s="0"/>
      <c r="CPD58" s="0"/>
      <c r="CPE58" s="0"/>
      <c r="CPF58" s="0"/>
      <c r="CPG58" s="0"/>
      <c r="CPH58" s="0"/>
      <c r="CPI58" s="0"/>
      <c r="CPJ58" s="0"/>
      <c r="CPK58" s="0"/>
      <c r="CPL58" s="0"/>
      <c r="CPM58" s="0"/>
      <c r="CPN58" s="0"/>
      <c r="CPO58" s="0"/>
      <c r="CPP58" s="0"/>
      <c r="CPQ58" s="0"/>
      <c r="CPR58" s="0"/>
      <c r="CPS58" s="0"/>
      <c r="CPT58" s="0"/>
      <c r="CPU58" s="0"/>
      <c r="CPV58" s="0"/>
      <c r="CPW58" s="0"/>
      <c r="CPX58" s="0"/>
      <c r="CPY58" s="0"/>
      <c r="CPZ58" s="0"/>
      <c r="CQA58" s="0"/>
      <c r="CQB58" s="0"/>
      <c r="CQC58" s="0"/>
      <c r="CQD58" s="0"/>
      <c r="CQE58" s="0"/>
      <c r="CQF58" s="0"/>
      <c r="CQG58" s="0"/>
      <c r="CQH58" s="0"/>
      <c r="CQI58" s="0"/>
      <c r="CQJ58" s="0"/>
      <c r="CQK58" s="0"/>
      <c r="CQL58" s="0"/>
      <c r="CQM58" s="0"/>
      <c r="CQN58" s="0"/>
      <c r="CQO58" s="0"/>
      <c r="CQP58" s="0"/>
      <c r="CQQ58" s="0"/>
      <c r="CQR58" s="0"/>
      <c r="CQS58" s="0"/>
      <c r="CQT58" s="0"/>
      <c r="CQU58" s="0"/>
      <c r="CQV58" s="0"/>
      <c r="CQW58" s="0"/>
      <c r="CQX58" s="0"/>
      <c r="CQY58" s="0"/>
      <c r="CQZ58" s="0"/>
      <c r="CRA58" s="0"/>
      <c r="CRB58" s="0"/>
      <c r="CRC58" s="0"/>
      <c r="CRD58" s="0"/>
      <c r="CRE58" s="0"/>
      <c r="CRF58" s="0"/>
      <c r="CRG58" s="0"/>
      <c r="CRH58" s="0"/>
      <c r="CRI58" s="0"/>
      <c r="CRJ58" s="0"/>
      <c r="CRK58" s="0"/>
      <c r="CRL58" s="0"/>
      <c r="CRM58" s="0"/>
      <c r="CRN58" s="0"/>
      <c r="CRO58" s="0"/>
      <c r="CRP58" s="0"/>
      <c r="CRQ58" s="0"/>
      <c r="CRR58" s="0"/>
      <c r="CRS58" s="0"/>
      <c r="CRT58" s="0"/>
      <c r="CRU58" s="0"/>
      <c r="CRV58" s="0"/>
      <c r="CRW58" s="0"/>
      <c r="CRX58" s="0"/>
      <c r="CRY58" s="0"/>
      <c r="CRZ58" s="0"/>
      <c r="CSA58" s="0"/>
      <c r="CSB58" s="0"/>
      <c r="CSC58" s="0"/>
      <c r="CSD58" s="0"/>
      <c r="CSE58" s="0"/>
      <c r="CSF58" s="0"/>
      <c r="CSG58" s="0"/>
      <c r="CSH58" s="0"/>
      <c r="CSI58" s="0"/>
      <c r="CSJ58" s="0"/>
      <c r="CSK58" s="0"/>
      <c r="CSL58" s="0"/>
      <c r="CSM58" s="0"/>
      <c r="CSN58" s="0"/>
      <c r="CSO58" s="0"/>
      <c r="CSP58" s="0"/>
      <c r="CSQ58" s="0"/>
      <c r="CSR58" s="0"/>
      <c r="CSS58" s="0"/>
      <c r="CST58" s="0"/>
      <c r="CSU58" s="0"/>
      <c r="CSV58" s="0"/>
      <c r="CSW58" s="0"/>
      <c r="CSX58" s="0"/>
      <c r="CSY58" s="0"/>
      <c r="CSZ58" s="0"/>
      <c r="CTA58" s="0"/>
      <c r="CTB58" s="0"/>
      <c r="CTC58" s="0"/>
      <c r="CTD58" s="0"/>
      <c r="CTE58" s="0"/>
      <c r="CTF58" s="0"/>
      <c r="CTG58" s="0"/>
      <c r="CTH58" s="0"/>
      <c r="CTI58" s="0"/>
      <c r="CTJ58" s="0"/>
      <c r="CTK58" s="0"/>
      <c r="CTL58" s="0"/>
      <c r="CTM58" s="0"/>
      <c r="CTN58" s="0"/>
      <c r="CTO58" s="0"/>
      <c r="CTP58" s="0"/>
      <c r="CTQ58" s="0"/>
      <c r="CTR58" s="0"/>
      <c r="CTS58" s="0"/>
      <c r="CTT58" s="0"/>
      <c r="CTU58" s="0"/>
      <c r="CTV58" s="0"/>
      <c r="CTW58" s="0"/>
      <c r="CTX58" s="0"/>
      <c r="CTY58" s="0"/>
      <c r="CTZ58" s="0"/>
      <c r="CUA58" s="0"/>
      <c r="CUB58" s="0"/>
      <c r="CUC58" s="0"/>
      <c r="CUD58" s="0"/>
      <c r="CUE58" s="0"/>
      <c r="CUF58" s="0"/>
      <c r="CUG58" s="0"/>
      <c r="CUH58" s="0"/>
      <c r="CUI58" s="0"/>
      <c r="CUJ58" s="0"/>
      <c r="CUK58" s="0"/>
      <c r="CUL58" s="0"/>
      <c r="CUM58" s="0"/>
      <c r="CUN58" s="0"/>
      <c r="CUO58" s="0"/>
      <c r="CUP58" s="0"/>
      <c r="CUQ58" s="0"/>
      <c r="CUR58" s="0"/>
      <c r="CUS58" s="0"/>
      <c r="CUT58" s="0"/>
      <c r="CUU58" s="0"/>
      <c r="CUV58" s="0"/>
      <c r="CUW58" s="0"/>
      <c r="CUX58" s="0"/>
      <c r="CUY58" s="0"/>
      <c r="CUZ58" s="0"/>
      <c r="CVA58" s="0"/>
      <c r="CVB58" s="0"/>
      <c r="CVC58" s="0"/>
      <c r="CVD58" s="0"/>
      <c r="CVE58" s="0"/>
      <c r="CVF58" s="0"/>
      <c r="CVG58" s="0"/>
      <c r="CVH58" s="0"/>
      <c r="CVI58" s="0"/>
      <c r="CVJ58" s="0"/>
      <c r="CVK58" s="0"/>
      <c r="CVL58" s="0"/>
      <c r="CVM58" s="0"/>
      <c r="CVN58" s="0"/>
      <c r="CVO58" s="0"/>
      <c r="CVP58" s="0"/>
      <c r="CVQ58" s="0"/>
      <c r="CVR58" s="0"/>
      <c r="CVS58" s="0"/>
      <c r="CVT58" s="0"/>
      <c r="CVU58" s="0"/>
      <c r="CVV58" s="0"/>
      <c r="CVW58" s="0"/>
      <c r="CVX58" s="0"/>
      <c r="CVY58" s="0"/>
      <c r="CVZ58" s="0"/>
      <c r="CWA58" s="0"/>
      <c r="CWB58" s="0"/>
      <c r="CWC58" s="0"/>
      <c r="CWD58" s="0"/>
      <c r="CWE58" s="0"/>
      <c r="CWF58" s="0"/>
      <c r="CWG58" s="0"/>
      <c r="CWH58" s="0"/>
      <c r="CWI58" s="0"/>
      <c r="CWJ58" s="0"/>
      <c r="CWK58" s="0"/>
      <c r="CWL58" s="0"/>
      <c r="CWM58" s="0"/>
      <c r="CWN58" s="0"/>
      <c r="CWO58" s="0"/>
      <c r="CWP58" s="0"/>
      <c r="CWQ58" s="0"/>
      <c r="CWR58" s="0"/>
      <c r="CWS58" s="0"/>
      <c r="CWT58" s="0"/>
      <c r="CWU58" s="0"/>
      <c r="CWV58" s="0"/>
      <c r="CWW58" s="0"/>
      <c r="CWX58" s="0"/>
      <c r="CWY58" s="0"/>
      <c r="CWZ58" s="0"/>
      <c r="CXA58" s="0"/>
      <c r="CXB58" s="0"/>
      <c r="CXC58" s="0"/>
      <c r="CXD58" s="0"/>
      <c r="CXE58" s="0"/>
      <c r="CXF58" s="0"/>
      <c r="CXG58" s="0"/>
      <c r="CXH58" s="0"/>
      <c r="CXI58" s="0"/>
      <c r="CXJ58" s="0"/>
      <c r="CXK58" s="0"/>
      <c r="CXL58" s="0"/>
      <c r="CXM58" s="0"/>
      <c r="CXN58" s="0"/>
      <c r="CXO58" s="0"/>
      <c r="CXP58" s="0"/>
      <c r="CXQ58" s="0"/>
      <c r="CXR58" s="0"/>
      <c r="CXS58" s="0"/>
      <c r="CXT58" s="0"/>
      <c r="CXU58" s="0"/>
      <c r="CXV58" s="0"/>
      <c r="CXW58" s="0"/>
      <c r="CXX58" s="0"/>
      <c r="CXY58" s="0"/>
      <c r="CXZ58" s="0"/>
      <c r="CYA58" s="0"/>
      <c r="CYB58" s="0"/>
      <c r="CYC58" s="0"/>
      <c r="CYD58" s="0"/>
      <c r="CYE58" s="0"/>
      <c r="CYF58" s="0"/>
      <c r="CYG58" s="0"/>
      <c r="CYH58" s="0"/>
      <c r="CYI58" s="0"/>
      <c r="CYJ58" s="0"/>
      <c r="CYK58" s="0"/>
      <c r="CYL58" s="0"/>
      <c r="CYM58" s="0"/>
      <c r="CYN58" s="0"/>
      <c r="CYO58" s="0"/>
      <c r="CYP58" s="0"/>
      <c r="CYQ58" s="0"/>
      <c r="CYR58" s="0"/>
      <c r="CYS58" s="0"/>
      <c r="CYT58" s="0"/>
      <c r="CYU58" s="0"/>
      <c r="CYV58" s="0"/>
      <c r="CYW58" s="0"/>
      <c r="CYX58" s="0"/>
      <c r="CYY58" s="0"/>
      <c r="CYZ58" s="0"/>
      <c r="CZA58" s="0"/>
      <c r="CZB58" s="0"/>
      <c r="CZC58" s="0"/>
      <c r="CZD58" s="0"/>
      <c r="CZE58" s="0"/>
      <c r="CZF58" s="0"/>
      <c r="CZG58" s="0"/>
      <c r="CZH58" s="0"/>
      <c r="CZI58" s="0"/>
      <c r="CZJ58" s="0"/>
      <c r="CZK58" s="0"/>
      <c r="CZL58" s="0"/>
      <c r="CZM58" s="0"/>
      <c r="CZN58" s="0"/>
      <c r="CZO58" s="0"/>
      <c r="CZP58" s="0"/>
      <c r="CZQ58" s="0"/>
      <c r="CZR58" s="0"/>
      <c r="CZS58" s="0"/>
      <c r="CZT58" s="0"/>
      <c r="CZU58" s="0"/>
      <c r="CZV58" s="0"/>
      <c r="CZW58" s="0"/>
      <c r="CZX58" s="0"/>
      <c r="CZY58" s="0"/>
      <c r="CZZ58" s="0"/>
      <c r="DAA58" s="0"/>
      <c r="DAB58" s="0"/>
      <c r="DAC58" s="0"/>
      <c r="DAD58" s="0"/>
      <c r="DAE58" s="0"/>
      <c r="DAF58" s="0"/>
      <c r="DAG58" s="0"/>
      <c r="DAH58" s="0"/>
      <c r="DAI58" s="0"/>
      <c r="DAJ58" s="0"/>
      <c r="DAK58" s="0"/>
      <c r="DAL58" s="0"/>
      <c r="DAM58" s="0"/>
      <c r="DAN58" s="0"/>
      <c r="DAO58" s="0"/>
      <c r="DAP58" s="0"/>
      <c r="DAQ58" s="0"/>
      <c r="DAR58" s="0"/>
      <c r="DAS58" s="0"/>
      <c r="DAT58" s="0"/>
      <c r="DAU58" s="0"/>
      <c r="DAV58" s="0"/>
      <c r="DAW58" s="0"/>
      <c r="DAX58" s="0"/>
      <c r="DAY58" s="0"/>
      <c r="DAZ58" s="0"/>
      <c r="DBA58" s="0"/>
      <c r="DBB58" s="0"/>
      <c r="DBC58" s="0"/>
      <c r="DBD58" s="0"/>
      <c r="DBE58" s="0"/>
      <c r="DBF58" s="0"/>
      <c r="DBG58" s="0"/>
      <c r="DBH58" s="0"/>
      <c r="DBI58" s="0"/>
      <c r="DBJ58" s="0"/>
      <c r="DBK58" s="0"/>
      <c r="DBL58" s="0"/>
      <c r="DBM58" s="0"/>
      <c r="DBN58" s="0"/>
      <c r="DBO58" s="0"/>
      <c r="DBP58" s="0"/>
      <c r="DBQ58" s="0"/>
      <c r="DBR58" s="0"/>
      <c r="DBS58" s="0"/>
      <c r="DBT58" s="0"/>
      <c r="DBU58" s="0"/>
      <c r="DBV58" s="0"/>
      <c r="DBW58" s="0"/>
      <c r="DBX58" s="0"/>
      <c r="DBY58" s="0"/>
      <c r="DBZ58" s="0"/>
      <c r="DCA58" s="0"/>
      <c r="DCB58" s="0"/>
      <c r="DCC58" s="0"/>
      <c r="DCD58" s="0"/>
      <c r="DCE58" s="0"/>
      <c r="DCF58" s="0"/>
      <c r="DCG58" s="0"/>
      <c r="DCH58" s="0"/>
      <c r="DCI58" s="0"/>
      <c r="DCJ58" s="0"/>
      <c r="DCK58" s="0"/>
      <c r="DCL58" s="0"/>
      <c r="DCM58" s="0"/>
      <c r="DCN58" s="0"/>
      <c r="DCO58" s="0"/>
      <c r="DCP58" s="0"/>
      <c r="DCQ58" s="0"/>
      <c r="DCR58" s="0"/>
      <c r="DCS58" s="0"/>
      <c r="DCT58" s="0"/>
      <c r="DCU58" s="0"/>
      <c r="DCV58" s="0"/>
      <c r="DCW58" s="0"/>
      <c r="DCX58" s="0"/>
      <c r="DCY58" s="0"/>
      <c r="DCZ58" s="0"/>
      <c r="DDA58" s="0"/>
      <c r="DDB58" s="0"/>
      <c r="DDC58" s="0"/>
      <c r="DDD58" s="0"/>
      <c r="DDE58" s="0"/>
      <c r="DDF58" s="0"/>
      <c r="DDG58" s="0"/>
      <c r="DDH58" s="0"/>
      <c r="DDI58" s="0"/>
      <c r="DDJ58" s="0"/>
      <c r="DDK58" s="0"/>
      <c r="DDL58" s="0"/>
      <c r="DDM58" s="0"/>
      <c r="DDN58" s="0"/>
      <c r="DDO58" s="0"/>
      <c r="DDP58" s="0"/>
      <c r="DDQ58" s="0"/>
      <c r="DDR58" s="0"/>
      <c r="DDS58" s="0"/>
      <c r="DDT58" s="0"/>
      <c r="DDU58" s="0"/>
      <c r="DDV58" s="0"/>
      <c r="DDW58" s="0"/>
      <c r="DDX58" s="0"/>
      <c r="DDY58" s="0"/>
      <c r="DDZ58" s="0"/>
      <c r="DEA58" s="0"/>
      <c r="DEB58" s="0"/>
      <c r="DEC58" s="0"/>
      <c r="DED58" s="0"/>
      <c r="DEE58" s="0"/>
      <c r="DEF58" s="0"/>
      <c r="DEG58" s="0"/>
      <c r="DEH58" s="0"/>
      <c r="DEI58" s="0"/>
      <c r="DEJ58" s="0"/>
      <c r="DEK58" s="0"/>
      <c r="DEL58" s="0"/>
      <c r="DEM58" s="0"/>
      <c r="DEN58" s="0"/>
      <c r="DEO58" s="0"/>
      <c r="DEP58" s="0"/>
      <c r="DEQ58" s="0"/>
      <c r="DER58" s="0"/>
      <c r="DES58" s="0"/>
      <c r="DET58" s="0"/>
      <c r="DEU58" s="0"/>
      <c r="DEV58" s="0"/>
      <c r="DEW58" s="0"/>
      <c r="DEX58" s="0"/>
      <c r="DEY58" s="0"/>
      <c r="DEZ58" s="0"/>
      <c r="DFA58" s="0"/>
      <c r="DFB58" s="0"/>
      <c r="DFC58" s="0"/>
      <c r="DFD58" s="0"/>
      <c r="DFE58" s="0"/>
      <c r="DFF58" s="0"/>
      <c r="DFG58" s="0"/>
      <c r="DFH58" s="0"/>
      <c r="DFI58" s="0"/>
      <c r="DFJ58" s="0"/>
      <c r="DFK58" s="0"/>
      <c r="DFL58" s="0"/>
      <c r="DFM58" s="0"/>
      <c r="DFN58" s="0"/>
      <c r="DFO58" s="0"/>
      <c r="DFP58" s="0"/>
      <c r="DFQ58" s="0"/>
      <c r="DFR58" s="0"/>
      <c r="DFS58" s="0"/>
      <c r="DFT58" s="0"/>
      <c r="DFU58" s="0"/>
      <c r="DFV58" s="0"/>
      <c r="DFW58" s="0"/>
      <c r="DFX58" s="0"/>
      <c r="DFY58" s="0"/>
      <c r="DFZ58" s="0"/>
      <c r="DGA58" s="0"/>
      <c r="DGB58" s="0"/>
      <c r="DGC58" s="0"/>
      <c r="DGD58" s="0"/>
      <c r="DGE58" s="0"/>
      <c r="DGF58" s="0"/>
      <c r="DGG58" s="0"/>
      <c r="DGH58" s="0"/>
      <c r="DGI58" s="0"/>
      <c r="DGJ58" s="0"/>
      <c r="DGK58" s="0"/>
      <c r="DGL58" s="0"/>
      <c r="DGM58" s="0"/>
      <c r="DGN58" s="0"/>
      <c r="DGO58" s="0"/>
      <c r="DGP58" s="0"/>
      <c r="DGQ58" s="0"/>
      <c r="DGR58" s="0"/>
      <c r="DGS58" s="0"/>
      <c r="DGT58" s="0"/>
      <c r="DGU58" s="0"/>
      <c r="DGV58" s="0"/>
      <c r="DGW58" s="0"/>
      <c r="DGX58" s="0"/>
      <c r="DGY58" s="0"/>
      <c r="DGZ58" s="0"/>
      <c r="DHA58" s="0"/>
      <c r="DHB58" s="0"/>
      <c r="DHC58" s="0"/>
      <c r="DHD58" s="0"/>
      <c r="DHE58" s="0"/>
      <c r="DHF58" s="0"/>
      <c r="DHG58" s="0"/>
      <c r="DHH58" s="0"/>
      <c r="DHI58" s="0"/>
      <c r="DHJ58" s="0"/>
      <c r="DHK58" s="0"/>
      <c r="DHL58" s="0"/>
      <c r="DHM58" s="0"/>
      <c r="DHN58" s="0"/>
      <c r="DHO58" s="0"/>
      <c r="DHP58" s="0"/>
      <c r="DHQ58" s="0"/>
      <c r="DHR58" s="0"/>
      <c r="DHS58" s="0"/>
      <c r="DHT58" s="0"/>
      <c r="DHU58" s="0"/>
      <c r="DHV58" s="0"/>
      <c r="DHW58" s="0"/>
      <c r="DHX58" s="0"/>
      <c r="DHY58" s="0"/>
      <c r="DHZ58" s="0"/>
      <c r="DIA58" s="0"/>
      <c r="DIB58" s="0"/>
      <c r="DIC58" s="0"/>
      <c r="DID58" s="0"/>
      <c r="DIE58" s="0"/>
      <c r="DIF58" s="0"/>
      <c r="DIG58" s="0"/>
      <c r="DIH58" s="0"/>
      <c r="DII58" s="0"/>
      <c r="DIJ58" s="0"/>
      <c r="DIK58" s="0"/>
      <c r="DIL58" s="0"/>
      <c r="DIM58" s="0"/>
      <c r="DIN58" s="0"/>
      <c r="DIO58" s="0"/>
      <c r="DIP58" s="0"/>
      <c r="DIQ58" s="0"/>
      <c r="DIR58" s="0"/>
      <c r="DIS58" s="0"/>
      <c r="DIT58" s="0"/>
      <c r="DIU58" s="0"/>
      <c r="DIV58" s="0"/>
      <c r="DIW58" s="0"/>
      <c r="DIX58" s="0"/>
      <c r="DIY58" s="0"/>
      <c r="DIZ58" s="0"/>
      <c r="DJA58" s="0"/>
      <c r="DJB58" s="0"/>
      <c r="DJC58" s="0"/>
      <c r="DJD58" s="0"/>
      <c r="DJE58" s="0"/>
      <c r="DJF58" s="0"/>
      <c r="DJG58" s="0"/>
      <c r="DJH58" s="0"/>
      <c r="DJI58" s="0"/>
      <c r="DJJ58" s="0"/>
      <c r="DJK58" s="0"/>
      <c r="DJL58" s="0"/>
      <c r="DJM58" s="0"/>
      <c r="DJN58" s="0"/>
      <c r="DJO58" s="0"/>
      <c r="DJP58" s="0"/>
      <c r="DJQ58" s="0"/>
      <c r="DJR58" s="0"/>
      <c r="DJS58" s="0"/>
      <c r="DJT58" s="0"/>
      <c r="DJU58" s="0"/>
      <c r="DJV58" s="0"/>
      <c r="DJW58" s="0"/>
      <c r="DJX58" s="0"/>
      <c r="DJY58" s="0"/>
      <c r="DJZ58" s="0"/>
      <c r="DKA58" s="0"/>
      <c r="DKB58" s="0"/>
      <c r="DKC58" s="0"/>
      <c r="DKD58" s="0"/>
      <c r="DKE58" s="0"/>
      <c r="DKF58" s="0"/>
      <c r="DKG58" s="0"/>
      <c r="DKH58" s="0"/>
      <c r="DKI58" s="0"/>
      <c r="DKJ58" s="0"/>
      <c r="DKK58" s="0"/>
      <c r="DKL58" s="0"/>
      <c r="DKM58" s="0"/>
      <c r="DKN58" s="0"/>
      <c r="DKO58" s="0"/>
      <c r="DKP58" s="0"/>
      <c r="DKQ58" s="0"/>
      <c r="DKR58" s="0"/>
      <c r="DKS58" s="0"/>
      <c r="DKT58" s="0"/>
      <c r="DKU58" s="0"/>
      <c r="DKV58" s="0"/>
      <c r="DKW58" s="0"/>
      <c r="DKX58" s="0"/>
      <c r="DKY58" s="0"/>
      <c r="DKZ58" s="0"/>
      <c r="DLA58" s="0"/>
      <c r="DLB58" s="0"/>
      <c r="DLC58" s="0"/>
      <c r="DLD58" s="0"/>
      <c r="DLE58" s="0"/>
      <c r="DLF58" s="0"/>
      <c r="DLG58" s="0"/>
      <c r="DLH58" s="0"/>
      <c r="DLI58" s="0"/>
      <c r="DLJ58" s="0"/>
      <c r="DLK58" s="0"/>
      <c r="DLL58" s="0"/>
      <c r="DLM58" s="0"/>
      <c r="DLN58" s="0"/>
      <c r="DLO58" s="0"/>
      <c r="DLP58" s="0"/>
      <c r="DLQ58" s="0"/>
      <c r="DLR58" s="0"/>
      <c r="DLS58" s="0"/>
      <c r="DLT58" s="0"/>
      <c r="DLU58" s="0"/>
      <c r="DLV58" s="0"/>
      <c r="DLW58" s="0"/>
      <c r="DLX58" s="0"/>
      <c r="DLY58" s="0"/>
      <c r="DLZ58" s="0"/>
      <c r="DMA58" s="0"/>
      <c r="DMB58" s="0"/>
      <c r="DMC58" s="0"/>
      <c r="DMD58" s="0"/>
      <c r="DME58" s="0"/>
      <c r="DMF58" s="0"/>
      <c r="DMG58" s="0"/>
      <c r="DMH58" s="0"/>
      <c r="DMI58" s="0"/>
      <c r="DMJ58" s="0"/>
      <c r="DMK58" s="0"/>
      <c r="DML58" s="0"/>
      <c r="DMM58" s="0"/>
      <c r="DMN58" s="0"/>
      <c r="DMO58" s="0"/>
      <c r="DMP58" s="0"/>
      <c r="DMQ58" s="0"/>
      <c r="DMR58" s="0"/>
      <c r="DMS58" s="0"/>
      <c r="DMT58" s="0"/>
      <c r="DMU58" s="0"/>
      <c r="DMV58" s="0"/>
      <c r="DMW58" s="0"/>
      <c r="DMX58" s="0"/>
      <c r="DMY58" s="0"/>
      <c r="DMZ58" s="0"/>
      <c r="DNA58" s="0"/>
      <c r="DNB58" s="0"/>
      <c r="DNC58" s="0"/>
      <c r="DND58" s="0"/>
      <c r="DNE58" s="0"/>
      <c r="DNF58" s="0"/>
      <c r="DNG58" s="0"/>
      <c r="DNH58" s="0"/>
      <c r="DNI58" s="0"/>
      <c r="DNJ58" s="0"/>
      <c r="DNK58" s="0"/>
      <c r="DNL58" s="0"/>
      <c r="DNM58" s="0"/>
      <c r="DNN58" s="0"/>
      <c r="DNO58" s="0"/>
      <c r="DNP58" s="0"/>
      <c r="DNQ58" s="0"/>
      <c r="DNR58" s="0"/>
      <c r="DNS58" s="0"/>
      <c r="DNT58" s="0"/>
      <c r="DNU58" s="0"/>
      <c r="DNV58" s="0"/>
      <c r="DNW58" s="0"/>
      <c r="DNX58" s="0"/>
      <c r="DNY58" s="0"/>
      <c r="DNZ58" s="0"/>
      <c r="DOA58" s="0"/>
      <c r="DOB58" s="0"/>
      <c r="DOC58" s="0"/>
      <c r="DOD58" s="0"/>
      <c r="DOE58" s="0"/>
      <c r="DOF58" s="0"/>
      <c r="DOG58" s="0"/>
      <c r="DOH58" s="0"/>
      <c r="DOI58" s="0"/>
      <c r="DOJ58" s="0"/>
      <c r="DOK58" s="0"/>
      <c r="DOL58" s="0"/>
      <c r="DOM58" s="0"/>
      <c r="DON58" s="0"/>
      <c r="DOO58" s="0"/>
      <c r="DOP58" s="0"/>
      <c r="DOQ58" s="0"/>
      <c r="DOR58" s="0"/>
      <c r="DOS58" s="0"/>
      <c r="DOT58" s="0"/>
      <c r="DOU58" s="0"/>
      <c r="DOV58" s="0"/>
      <c r="DOW58" s="0"/>
      <c r="DOX58" s="0"/>
      <c r="DOY58" s="0"/>
      <c r="DOZ58" s="0"/>
      <c r="DPA58" s="0"/>
      <c r="DPB58" s="0"/>
      <c r="DPC58" s="0"/>
      <c r="DPD58" s="0"/>
      <c r="DPE58" s="0"/>
      <c r="DPF58" s="0"/>
      <c r="DPG58" s="0"/>
      <c r="DPH58" s="0"/>
      <c r="DPI58" s="0"/>
      <c r="DPJ58" s="0"/>
      <c r="DPK58" s="0"/>
      <c r="DPL58" s="0"/>
      <c r="DPM58" s="0"/>
      <c r="DPN58" s="0"/>
      <c r="DPO58" s="0"/>
      <c r="DPP58" s="0"/>
      <c r="DPQ58" s="0"/>
      <c r="DPR58" s="0"/>
      <c r="DPS58" s="0"/>
      <c r="DPT58" s="0"/>
      <c r="DPU58" s="0"/>
      <c r="DPV58" s="0"/>
      <c r="DPW58" s="0"/>
      <c r="DPX58" s="0"/>
      <c r="DPY58" s="0"/>
      <c r="DPZ58" s="0"/>
      <c r="DQA58" s="0"/>
      <c r="DQB58" s="0"/>
      <c r="DQC58" s="0"/>
      <c r="DQD58" s="0"/>
      <c r="DQE58" s="0"/>
      <c r="DQF58" s="0"/>
      <c r="DQG58" s="0"/>
      <c r="DQH58" s="0"/>
      <c r="DQI58" s="0"/>
      <c r="DQJ58" s="0"/>
      <c r="DQK58" s="0"/>
      <c r="DQL58" s="0"/>
      <c r="DQM58" s="0"/>
      <c r="DQN58" s="0"/>
      <c r="DQO58" s="0"/>
      <c r="DQP58" s="0"/>
      <c r="DQQ58" s="0"/>
      <c r="DQR58" s="0"/>
      <c r="DQS58" s="0"/>
      <c r="DQT58" s="0"/>
      <c r="DQU58" s="0"/>
      <c r="DQV58" s="0"/>
      <c r="DQW58" s="0"/>
      <c r="DQX58" s="0"/>
      <c r="DQY58" s="0"/>
      <c r="DQZ58" s="0"/>
      <c r="DRA58" s="0"/>
      <c r="DRB58" s="0"/>
      <c r="DRC58" s="0"/>
      <c r="DRD58" s="0"/>
      <c r="DRE58" s="0"/>
      <c r="DRF58" s="0"/>
      <c r="DRG58" s="0"/>
      <c r="DRH58" s="0"/>
      <c r="DRI58" s="0"/>
      <c r="DRJ58" s="0"/>
      <c r="DRK58" s="0"/>
      <c r="DRL58" s="0"/>
      <c r="DRM58" s="0"/>
      <c r="DRN58" s="0"/>
      <c r="DRO58" s="0"/>
      <c r="DRP58" s="0"/>
      <c r="DRQ58" s="0"/>
      <c r="DRR58" s="0"/>
      <c r="DRS58" s="0"/>
      <c r="DRT58" s="0"/>
      <c r="DRU58" s="0"/>
      <c r="DRV58" s="0"/>
      <c r="DRW58" s="0"/>
      <c r="DRX58" s="0"/>
      <c r="DRY58" s="0"/>
      <c r="DRZ58" s="0"/>
      <c r="DSA58" s="0"/>
      <c r="DSB58" s="0"/>
      <c r="DSC58" s="0"/>
      <c r="DSD58" s="0"/>
      <c r="DSE58" s="0"/>
      <c r="DSF58" s="0"/>
      <c r="DSG58" s="0"/>
      <c r="DSH58" s="0"/>
      <c r="DSI58" s="0"/>
      <c r="DSJ58" s="0"/>
      <c r="DSK58" s="0"/>
      <c r="DSL58" s="0"/>
      <c r="DSM58" s="0"/>
      <c r="DSN58" s="0"/>
      <c r="DSO58" s="0"/>
      <c r="DSP58" s="0"/>
      <c r="DSQ58" s="0"/>
      <c r="DSR58" s="0"/>
      <c r="DSS58" s="0"/>
      <c r="DST58" s="0"/>
      <c r="DSU58" s="0"/>
      <c r="DSV58" s="0"/>
      <c r="DSW58" s="0"/>
      <c r="DSX58" s="0"/>
      <c r="DSY58" s="0"/>
      <c r="DSZ58" s="0"/>
      <c r="DTA58" s="0"/>
      <c r="DTB58" s="0"/>
      <c r="DTC58" s="0"/>
      <c r="DTD58" s="0"/>
      <c r="DTE58" s="0"/>
      <c r="DTF58" s="0"/>
      <c r="DTG58" s="0"/>
      <c r="DTH58" s="0"/>
      <c r="DTI58" s="0"/>
      <c r="DTJ58" s="0"/>
      <c r="DTK58" s="0"/>
      <c r="DTL58" s="0"/>
      <c r="DTM58" s="0"/>
      <c r="DTN58" s="0"/>
      <c r="DTO58" s="0"/>
      <c r="DTP58" s="0"/>
      <c r="DTQ58" s="0"/>
      <c r="DTR58" s="0"/>
      <c r="DTS58" s="0"/>
      <c r="DTT58" s="0"/>
      <c r="DTU58" s="0"/>
      <c r="DTV58" s="0"/>
      <c r="DTW58" s="0"/>
      <c r="DTX58" s="0"/>
      <c r="DTY58" s="0"/>
      <c r="DTZ58" s="0"/>
      <c r="DUA58" s="0"/>
      <c r="DUB58" s="0"/>
      <c r="DUC58" s="0"/>
      <c r="DUD58" s="0"/>
      <c r="DUE58" s="0"/>
      <c r="DUF58" s="0"/>
      <c r="DUG58" s="0"/>
      <c r="DUH58" s="0"/>
      <c r="DUI58" s="0"/>
      <c r="DUJ58" s="0"/>
      <c r="DUK58" s="0"/>
      <c r="DUL58" s="0"/>
      <c r="DUM58" s="0"/>
      <c r="DUN58" s="0"/>
      <c r="DUO58" s="0"/>
      <c r="DUP58" s="0"/>
      <c r="DUQ58" s="0"/>
      <c r="DUR58" s="0"/>
      <c r="DUS58" s="0"/>
      <c r="DUT58" s="0"/>
      <c r="DUU58" s="0"/>
      <c r="DUV58" s="0"/>
      <c r="DUW58" s="0"/>
      <c r="DUX58" s="0"/>
      <c r="DUY58" s="0"/>
      <c r="DUZ58" s="0"/>
      <c r="DVA58" s="0"/>
      <c r="DVB58" s="0"/>
      <c r="DVC58" s="0"/>
      <c r="DVD58" s="0"/>
      <c r="DVE58" s="0"/>
      <c r="DVF58" s="0"/>
      <c r="DVG58" s="0"/>
      <c r="DVH58" s="0"/>
      <c r="DVI58" s="0"/>
      <c r="DVJ58" s="0"/>
      <c r="DVK58" s="0"/>
      <c r="DVL58" s="0"/>
      <c r="DVM58" s="0"/>
      <c r="DVN58" s="0"/>
      <c r="DVO58" s="0"/>
      <c r="DVP58" s="0"/>
      <c r="DVQ58" s="0"/>
      <c r="DVR58" s="0"/>
      <c r="DVS58" s="0"/>
      <c r="DVT58" s="0"/>
      <c r="DVU58" s="0"/>
      <c r="DVV58" s="0"/>
      <c r="DVW58" s="0"/>
      <c r="DVX58" s="0"/>
      <c r="DVY58" s="0"/>
      <c r="DVZ58" s="0"/>
      <c r="DWA58" s="0"/>
      <c r="DWB58" s="0"/>
      <c r="DWC58" s="0"/>
      <c r="DWD58" s="0"/>
      <c r="DWE58" s="0"/>
      <c r="DWF58" s="0"/>
      <c r="DWG58" s="0"/>
      <c r="DWH58" s="0"/>
      <c r="DWI58" s="0"/>
      <c r="DWJ58" s="0"/>
      <c r="DWK58" s="0"/>
      <c r="DWL58" s="0"/>
      <c r="DWM58" s="0"/>
      <c r="DWN58" s="0"/>
      <c r="DWO58" s="0"/>
      <c r="DWP58" s="0"/>
      <c r="DWQ58" s="0"/>
      <c r="DWR58" s="0"/>
      <c r="DWS58" s="0"/>
      <c r="DWT58" s="0"/>
      <c r="DWU58" s="0"/>
      <c r="DWV58" s="0"/>
      <c r="DWW58" s="0"/>
      <c r="DWX58" s="0"/>
      <c r="DWY58" s="0"/>
      <c r="DWZ58" s="0"/>
      <c r="DXA58" s="0"/>
      <c r="DXB58" s="0"/>
      <c r="DXC58" s="0"/>
      <c r="DXD58" s="0"/>
      <c r="DXE58" s="0"/>
      <c r="DXF58" s="0"/>
      <c r="DXG58" s="0"/>
      <c r="DXH58" s="0"/>
      <c r="DXI58" s="0"/>
      <c r="DXJ58" s="0"/>
      <c r="DXK58" s="0"/>
      <c r="DXL58" s="0"/>
      <c r="DXM58" s="0"/>
      <c r="DXN58" s="0"/>
      <c r="DXO58" s="0"/>
      <c r="DXP58" s="0"/>
      <c r="DXQ58" s="0"/>
      <c r="DXR58" s="0"/>
      <c r="DXS58" s="0"/>
      <c r="DXT58" s="0"/>
      <c r="DXU58" s="0"/>
      <c r="DXV58" s="0"/>
      <c r="DXW58" s="0"/>
      <c r="DXX58" s="0"/>
      <c r="DXY58" s="0"/>
      <c r="DXZ58" s="0"/>
      <c r="DYA58" s="0"/>
      <c r="DYB58" s="0"/>
      <c r="DYC58" s="0"/>
      <c r="DYD58" s="0"/>
      <c r="DYE58" s="0"/>
      <c r="DYF58" s="0"/>
      <c r="DYG58" s="0"/>
      <c r="DYH58" s="0"/>
      <c r="DYI58" s="0"/>
      <c r="DYJ58" s="0"/>
      <c r="DYK58" s="0"/>
      <c r="DYL58" s="0"/>
      <c r="DYM58" s="0"/>
      <c r="DYN58" s="0"/>
      <c r="DYO58" s="0"/>
      <c r="DYP58" s="0"/>
      <c r="DYQ58" s="0"/>
      <c r="DYR58" s="0"/>
      <c r="DYS58" s="0"/>
      <c r="DYT58" s="0"/>
      <c r="DYU58" s="0"/>
      <c r="DYV58" s="0"/>
      <c r="DYW58" s="0"/>
      <c r="DYX58" s="0"/>
      <c r="DYY58" s="0"/>
      <c r="DYZ58" s="0"/>
      <c r="DZA58" s="0"/>
      <c r="DZB58" s="0"/>
      <c r="DZC58" s="0"/>
      <c r="DZD58" s="0"/>
      <c r="DZE58" s="0"/>
      <c r="DZF58" s="0"/>
      <c r="DZG58" s="0"/>
      <c r="DZH58" s="0"/>
      <c r="DZI58" s="0"/>
      <c r="DZJ58" s="0"/>
      <c r="DZK58" s="0"/>
      <c r="DZL58" s="0"/>
      <c r="DZM58" s="0"/>
      <c r="DZN58" s="0"/>
      <c r="DZO58" s="0"/>
      <c r="DZP58" s="0"/>
      <c r="DZQ58" s="0"/>
      <c r="DZR58" s="0"/>
      <c r="DZS58" s="0"/>
      <c r="DZT58" s="0"/>
      <c r="DZU58" s="0"/>
      <c r="DZV58" s="0"/>
      <c r="DZW58" s="0"/>
      <c r="DZX58" s="0"/>
      <c r="DZY58" s="0"/>
      <c r="DZZ58" s="0"/>
      <c r="EAA58" s="0"/>
      <c r="EAB58" s="0"/>
      <c r="EAC58" s="0"/>
      <c r="EAD58" s="0"/>
      <c r="EAE58" s="0"/>
      <c r="EAF58" s="0"/>
      <c r="EAG58" s="0"/>
      <c r="EAH58" s="0"/>
      <c r="EAI58" s="0"/>
      <c r="EAJ58" s="0"/>
      <c r="EAK58" s="0"/>
      <c r="EAL58" s="0"/>
      <c r="EAM58" s="0"/>
      <c r="EAN58" s="0"/>
      <c r="EAO58" s="0"/>
      <c r="EAP58" s="0"/>
      <c r="EAQ58" s="0"/>
      <c r="EAR58" s="0"/>
      <c r="EAS58" s="0"/>
      <c r="EAT58" s="0"/>
      <c r="EAU58" s="0"/>
      <c r="EAV58" s="0"/>
      <c r="EAW58" s="0"/>
      <c r="EAX58" s="0"/>
      <c r="EAY58" s="0"/>
      <c r="EAZ58" s="0"/>
      <c r="EBA58" s="0"/>
      <c r="EBB58" s="0"/>
      <c r="EBC58" s="0"/>
      <c r="EBD58" s="0"/>
      <c r="EBE58" s="0"/>
      <c r="EBF58" s="0"/>
      <c r="EBG58" s="0"/>
      <c r="EBH58" s="0"/>
      <c r="EBI58" s="0"/>
      <c r="EBJ58" s="0"/>
      <c r="EBK58" s="0"/>
      <c r="EBL58" s="0"/>
      <c r="EBM58" s="0"/>
      <c r="EBN58" s="0"/>
      <c r="EBO58" s="0"/>
      <c r="EBP58" s="0"/>
      <c r="EBQ58" s="0"/>
      <c r="EBR58" s="0"/>
      <c r="EBS58" s="0"/>
      <c r="EBT58" s="0"/>
      <c r="EBU58" s="0"/>
      <c r="EBV58" s="0"/>
      <c r="EBW58" s="0"/>
      <c r="EBX58" s="0"/>
      <c r="EBY58" s="0"/>
      <c r="EBZ58" s="0"/>
      <c r="ECA58" s="0"/>
      <c r="ECB58" s="0"/>
      <c r="ECC58" s="0"/>
      <c r="ECD58" s="0"/>
      <c r="ECE58" s="0"/>
      <c r="ECF58" s="0"/>
      <c r="ECG58" s="0"/>
      <c r="ECH58" s="0"/>
      <c r="ECI58" s="0"/>
      <c r="ECJ58" s="0"/>
      <c r="ECK58" s="0"/>
      <c r="ECL58" s="0"/>
      <c r="ECM58" s="0"/>
      <c r="ECN58" s="0"/>
      <c r="ECO58" s="0"/>
      <c r="ECP58" s="0"/>
      <c r="ECQ58" s="0"/>
      <c r="ECR58" s="0"/>
      <c r="ECS58" s="0"/>
      <c r="ECT58" s="0"/>
      <c r="ECU58" s="0"/>
      <c r="ECV58" s="0"/>
      <c r="ECW58" s="0"/>
      <c r="ECX58" s="0"/>
      <c r="ECY58" s="0"/>
      <c r="ECZ58" s="0"/>
      <c r="EDA58" s="0"/>
      <c r="EDB58" s="0"/>
      <c r="EDC58" s="0"/>
      <c r="EDD58" s="0"/>
      <c r="EDE58" s="0"/>
      <c r="EDF58" s="0"/>
      <c r="EDG58" s="0"/>
      <c r="EDH58" s="0"/>
      <c r="EDI58" s="0"/>
      <c r="EDJ58" s="0"/>
      <c r="EDK58" s="0"/>
      <c r="EDL58" s="0"/>
      <c r="EDM58" s="0"/>
      <c r="EDN58" s="0"/>
      <c r="EDO58" s="0"/>
      <c r="EDP58" s="0"/>
      <c r="EDQ58" s="0"/>
      <c r="EDR58" s="0"/>
      <c r="EDS58" s="0"/>
      <c r="EDT58" s="0"/>
      <c r="EDU58" s="0"/>
      <c r="EDV58" s="0"/>
      <c r="EDW58" s="0"/>
      <c r="EDX58" s="0"/>
      <c r="EDY58" s="0"/>
      <c r="EDZ58" s="0"/>
      <c r="EEA58" s="0"/>
      <c r="EEB58" s="0"/>
      <c r="EEC58" s="0"/>
      <c r="EED58" s="0"/>
      <c r="EEE58" s="0"/>
      <c r="EEF58" s="0"/>
      <c r="EEG58" s="0"/>
      <c r="EEH58" s="0"/>
      <c r="EEI58" s="0"/>
      <c r="EEJ58" s="0"/>
      <c r="EEK58" s="0"/>
      <c r="EEL58" s="0"/>
      <c r="EEM58" s="0"/>
      <c r="EEN58" s="0"/>
      <c r="EEO58" s="0"/>
      <c r="EEP58" s="0"/>
      <c r="EEQ58" s="0"/>
      <c r="EER58" s="0"/>
      <c r="EES58" s="0"/>
      <c r="EET58" s="0"/>
      <c r="EEU58" s="0"/>
      <c r="EEV58" s="0"/>
      <c r="EEW58" s="0"/>
      <c r="EEX58" s="0"/>
      <c r="EEY58" s="0"/>
      <c r="EEZ58" s="0"/>
      <c r="EFA58" s="0"/>
      <c r="EFB58" s="0"/>
      <c r="EFC58" s="0"/>
      <c r="EFD58" s="0"/>
      <c r="EFE58" s="0"/>
      <c r="EFF58" s="0"/>
      <c r="EFG58" s="0"/>
      <c r="EFH58" s="0"/>
      <c r="EFI58" s="0"/>
      <c r="EFJ58" s="0"/>
      <c r="EFK58" s="0"/>
      <c r="EFL58" s="0"/>
      <c r="EFM58" s="0"/>
      <c r="EFN58" s="0"/>
      <c r="EFO58" s="0"/>
      <c r="EFP58" s="0"/>
      <c r="EFQ58" s="0"/>
      <c r="EFR58" s="0"/>
      <c r="EFS58" s="0"/>
      <c r="EFT58" s="0"/>
      <c r="EFU58" s="0"/>
      <c r="EFV58" s="0"/>
      <c r="EFW58" s="0"/>
      <c r="EFX58" s="0"/>
      <c r="EFY58" s="0"/>
      <c r="EFZ58" s="0"/>
      <c r="EGA58" s="0"/>
      <c r="EGB58" s="0"/>
      <c r="EGC58" s="0"/>
      <c r="EGD58" s="0"/>
      <c r="EGE58" s="0"/>
      <c r="EGF58" s="0"/>
      <c r="EGG58" s="0"/>
      <c r="EGH58" s="0"/>
      <c r="EGI58" s="0"/>
      <c r="EGJ58" s="0"/>
      <c r="EGK58" s="0"/>
      <c r="EGL58" s="0"/>
      <c r="EGM58" s="0"/>
      <c r="EGN58" s="0"/>
      <c r="EGO58" s="0"/>
      <c r="EGP58" s="0"/>
      <c r="EGQ58" s="0"/>
      <c r="EGR58" s="0"/>
      <c r="EGS58" s="0"/>
      <c r="EGT58" s="0"/>
      <c r="EGU58" s="0"/>
      <c r="EGV58" s="0"/>
      <c r="EGW58" s="0"/>
      <c r="EGX58" s="0"/>
      <c r="EGY58" s="0"/>
      <c r="EGZ58" s="0"/>
      <c r="EHA58" s="0"/>
      <c r="EHB58" s="0"/>
      <c r="EHC58" s="0"/>
      <c r="EHD58" s="0"/>
      <c r="EHE58" s="0"/>
      <c r="EHF58" s="0"/>
      <c r="EHG58" s="0"/>
      <c r="EHH58" s="0"/>
      <c r="EHI58" s="0"/>
      <c r="EHJ58" s="0"/>
      <c r="EHK58" s="0"/>
      <c r="EHL58" s="0"/>
      <c r="EHM58" s="0"/>
      <c r="EHN58" s="0"/>
      <c r="EHO58" s="0"/>
      <c r="EHP58" s="0"/>
      <c r="EHQ58" s="0"/>
      <c r="EHR58" s="0"/>
      <c r="EHS58" s="0"/>
      <c r="EHT58" s="0"/>
      <c r="EHU58" s="0"/>
      <c r="EHV58" s="0"/>
      <c r="EHW58" s="0"/>
      <c r="EHX58" s="0"/>
      <c r="EHY58" s="0"/>
      <c r="EHZ58" s="0"/>
      <c r="EIA58" s="0"/>
      <c r="EIB58" s="0"/>
      <c r="EIC58" s="0"/>
      <c r="EID58" s="0"/>
      <c r="EIE58" s="0"/>
      <c r="EIF58" s="0"/>
      <c r="EIG58" s="0"/>
      <c r="EIH58" s="0"/>
      <c r="EII58" s="0"/>
      <c r="EIJ58" s="0"/>
      <c r="EIK58" s="0"/>
      <c r="EIL58" s="0"/>
      <c r="EIM58" s="0"/>
      <c r="EIN58" s="0"/>
      <c r="EIO58" s="0"/>
      <c r="EIP58" s="0"/>
      <c r="EIQ58" s="0"/>
      <c r="EIR58" s="0"/>
      <c r="EIS58" s="0"/>
      <c r="EIT58" s="0"/>
      <c r="EIU58" s="0"/>
      <c r="EIV58" s="0"/>
      <c r="EIW58" s="0"/>
      <c r="EIX58" s="0"/>
      <c r="EIY58" s="0"/>
      <c r="EIZ58" s="0"/>
      <c r="EJA58" s="0"/>
      <c r="EJB58" s="0"/>
      <c r="EJC58" s="0"/>
      <c r="EJD58" s="0"/>
      <c r="EJE58" s="0"/>
      <c r="EJF58" s="0"/>
      <c r="EJG58" s="0"/>
      <c r="EJH58" s="0"/>
      <c r="EJI58" s="0"/>
      <c r="EJJ58" s="0"/>
      <c r="EJK58" s="0"/>
      <c r="EJL58" s="0"/>
      <c r="EJM58" s="0"/>
      <c r="EJN58" s="0"/>
      <c r="EJO58" s="0"/>
      <c r="EJP58" s="0"/>
      <c r="EJQ58" s="0"/>
      <c r="EJR58" s="0"/>
      <c r="EJS58" s="0"/>
      <c r="EJT58" s="0"/>
      <c r="EJU58" s="0"/>
      <c r="EJV58" s="0"/>
      <c r="EJW58" s="0"/>
      <c r="EJX58" s="0"/>
      <c r="EJY58" s="0"/>
      <c r="EJZ58" s="0"/>
      <c r="EKA58" s="0"/>
      <c r="EKB58" s="0"/>
      <c r="EKC58" s="0"/>
      <c r="EKD58" s="0"/>
      <c r="EKE58" s="0"/>
      <c r="EKF58" s="0"/>
      <c r="EKG58" s="0"/>
      <c r="EKH58" s="0"/>
      <c r="EKI58" s="0"/>
      <c r="EKJ58" s="0"/>
      <c r="EKK58" s="0"/>
      <c r="EKL58" s="0"/>
      <c r="EKM58" s="0"/>
      <c r="EKN58" s="0"/>
      <c r="EKO58" s="0"/>
      <c r="EKP58" s="0"/>
      <c r="EKQ58" s="0"/>
      <c r="EKR58" s="0"/>
      <c r="EKS58" s="0"/>
      <c r="EKT58" s="0"/>
      <c r="EKU58" s="0"/>
      <c r="EKV58" s="0"/>
      <c r="EKW58" s="0"/>
      <c r="EKX58" s="0"/>
      <c r="EKY58" s="0"/>
      <c r="EKZ58" s="0"/>
      <c r="ELA58" s="0"/>
      <c r="ELB58" s="0"/>
      <c r="ELC58" s="0"/>
      <c r="ELD58" s="0"/>
      <c r="ELE58" s="0"/>
      <c r="ELF58" s="0"/>
      <c r="ELG58" s="0"/>
      <c r="ELH58" s="0"/>
      <c r="ELI58" s="0"/>
      <c r="ELJ58" s="0"/>
      <c r="ELK58" s="0"/>
      <c r="ELL58" s="0"/>
      <c r="ELM58" s="0"/>
      <c r="ELN58" s="0"/>
      <c r="ELO58" s="0"/>
      <c r="ELP58" s="0"/>
      <c r="ELQ58" s="0"/>
      <c r="ELR58" s="0"/>
      <c r="ELS58" s="0"/>
      <c r="ELT58" s="0"/>
      <c r="ELU58" s="0"/>
      <c r="ELV58" s="0"/>
      <c r="ELW58" s="0"/>
      <c r="ELX58" s="0"/>
      <c r="ELY58" s="0"/>
      <c r="ELZ58" s="0"/>
      <c r="EMA58" s="0"/>
      <c r="EMB58" s="0"/>
      <c r="EMC58" s="0"/>
      <c r="EMD58" s="0"/>
      <c r="EME58" s="0"/>
      <c r="EMF58" s="0"/>
      <c r="EMG58" s="0"/>
      <c r="EMH58" s="0"/>
      <c r="EMI58" s="0"/>
      <c r="EMJ58" s="0"/>
      <c r="EMK58" s="0"/>
      <c r="EML58" s="0"/>
      <c r="EMM58" s="0"/>
      <c r="EMN58" s="0"/>
      <c r="EMO58" s="0"/>
      <c r="EMP58" s="0"/>
      <c r="EMQ58" s="0"/>
      <c r="EMR58" s="0"/>
      <c r="EMS58" s="0"/>
      <c r="EMT58" s="0"/>
      <c r="EMU58" s="0"/>
      <c r="EMV58" s="0"/>
      <c r="EMW58" s="0"/>
      <c r="EMX58" s="0"/>
      <c r="EMY58" s="0"/>
      <c r="EMZ58" s="0"/>
      <c r="ENA58" s="0"/>
      <c r="ENB58" s="0"/>
      <c r="ENC58" s="0"/>
      <c r="END58" s="0"/>
      <c r="ENE58" s="0"/>
      <c r="ENF58" s="0"/>
      <c r="ENG58" s="0"/>
      <c r="ENH58" s="0"/>
      <c r="ENI58" s="0"/>
      <c r="ENJ58" s="0"/>
      <c r="ENK58" s="0"/>
      <c r="ENL58" s="0"/>
      <c r="ENM58" s="0"/>
      <c r="ENN58" s="0"/>
      <c r="ENO58" s="0"/>
      <c r="ENP58" s="0"/>
      <c r="ENQ58" s="0"/>
      <c r="ENR58" s="0"/>
      <c r="ENS58" s="0"/>
      <c r="ENT58" s="0"/>
      <c r="ENU58" s="0"/>
      <c r="ENV58" s="0"/>
      <c r="ENW58" s="0"/>
      <c r="ENX58" s="0"/>
      <c r="ENY58" s="0"/>
      <c r="ENZ58" s="0"/>
      <c r="EOA58" s="0"/>
      <c r="EOB58" s="0"/>
      <c r="EOC58" s="0"/>
      <c r="EOD58" s="0"/>
      <c r="EOE58" s="0"/>
      <c r="EOF58" s="0"/>
      <c r="EOG58" s="0"/>
      <c r="EOH58" s="0"/>
      <c r="EOI58" s="0"/>
      <c r="EOJ58" s="0"/>
      <c r="EOK58" s="0"/>
      <c r="EOL58" s="0"/>
      <c r="EOM58" s="0"/>
      <c r="EON58" s="0"/>
      <c r="EOO58" s="0"/>
      <c r="EOP58" s="0"/>
      <c r="EOQ58" s="0"/>
      <c r="EOR58" s="0"/>
      <c r="EOS58" s="0"/>
      <c r="EOT58" s="0"/>
      <c r="EOU58" s="0"/>
      <c r="EOV58" s="0"/>
      <c r="EOW58" s="0"/>
      <c r="EOX58" s="0"/>
      <c r="EOY58" s="0"/>
      <c r="EOZ58" s="0"/>
      <c r="EPA58" s="0"/>
      <c r="EPB58" s="0"/>
      <c r="EPC58" s="0"/>
      <c r="EPD58" s="0"/>
      <c r="EPE58" s="0"/>
      <c r="EPF58" s="0"/>
      <c r="EPG58" s="0"/>
      <c r="EPH58" s="0"/>
      <c r="EPI58" s="0"/>
      <c r="EPJ58" s="0"/>
      <c r="EPK58" s="0"/>
      <c r="EPL58" s="0"/>
      <c r="EPM58" s="0"/>
      <c r="EPN58" s="0"/>
      <c r="EPO58" s="0"/>
      <c r="EPP58" s="0"/>
      <c r="EPQ58" s="0"/>
      <c r="EPR58" s="0"/>
      <c r="EPS58" s="0"/>
      <c r="EPT58" s="0"/>
      <c r="EPU58" s="0"/>
      <c r="EPV58" s="0"/>
      <c r="EPW58" s="0"/>
      <c r="EPX58" s="0"/>
      <c r="EPY58" s="0"/>
      <c r="EPZ58" s="0"/>
      <c r="EQA58" s="0"/>
      <c r="EQB58" s="0"/>
      <c r="EQC58" s="0"/>
      <c r="EQD58" s="0"/>
      <c r="EQE58" s="0"/>
      <c r="EQF58" s="0"/>
      <c r="EQG58" s="0"/>
      <c r="EQH58" s="0"/>
      <c r="EQI58" s="0"/>
      <c r="EQJ58" s="0"/>
      <c r="EQK58" s="0"/>
      <c r="EQL58" s="0"/>
      <c r="EQM58" s="0"/>
      <c r="EQN58" s="0"/>
      <c r="EQO58" s="0"/>
      <c r="EQP58" s="0"/>
      <c r="EQQ58" s="0"/>
      <c r="EQR58" s="0"/>
      <c r="EQS58" s="0"/>
      <c r="EQT58" s="0"/>
      <c r="EQU58" s="0"/>
      <c r="EQV58" s="0"/>
      <c r="EQW58" s="0"/>
      <c r="EQX58" s="0"/>
      <c r="EQY58" s="0"/>
      <c r="EQZ58" s="0"/>
      <c r="ERA58" s="0"/>
      <c r="ERB58" s="0"/>
      <c r="ERC58" s="0"/>
      <c r="ERD58" s="0"/>
      <c r="ERE58" s="0"/>
      <c r="ERF58" s="0"/>
      <c r="ERG58" s="0"/>
      <c r="ERH58" s="0"/>
      <c r="ERI58" s="0"/>
      <c r="ERJ58" s="0"/>
      <c r="ERK58" s="0"/>
      <c r="ERL58" s="0"/>
      <c r="ERM58" s="0"/>
      <c r="ERN58" s="0"/>
      <c r="ERO58" s="0"/>
      <c r="ERP58" s="0"/>
      <c r="ERQ58" s="0"/>
      <c r="ERR58" s="0"/>
      <c r="ERS58" s="0"/>
      <c r="ERT58" s="0"/>
      <c r="ERU58" s="0"/>
      <c r="ERV58" s="0"/>
      <c r="ERW58" s="0"/>
      <c r="ERX58" s="0"/>
      <c r="ERY58" s="0"/>
      <c r="ERZ58" s="0"/>
      <c r="ESA58" s="0"/>
      <c r="ESB58" s="0"/>
      <c r="ESC58" s="0"/>
      <c r="ESD58" s="0"/>
      <c r="ESE58" s="0"/>
      <c r="ESF58" s="0"/>
      <c r="ESG58" s="0"/>
      <c r="ESH58" s="0"/>
      <c r="ESI58" s="0"/>
      <c r="ESJ58" s="0"/>
      <c r="ESK58" s="0"/>
      <c r="ESL58" s="0"/>
      <c r="ESM58" s="0"/>
      <c r="ESN58" s="0"/>
      <c r="ESO58" s="0"/>
      <c r="ESP58" s="0"/>
      <c r="ESQ58" s="0"/>
      <c r="ESR58" s="0"/>
      <c r="ESS58" s="0"/>
      <c r="EST58" s="0"/>
      <c r="ESU58" s="0"/>
      <c r="ESV58" s="0"/>
      <c r="ESW58" s="0"/>
      <c r="ESX58" s="0"/>
      <c r="ESY58" s="0"/>
      <c r="ESZ58" s="0"/>
      <c r="ETA58" s="0"/>
      <c r="ETB58" s="0"/>
      <c r="ETC58" s="0"/>
      <c r="ETD58" s="0"/>
      <c r="ETE58" s="0"/>
      <c r="ETF58" s="0"/>
      <c r="ETG58" s="0"/>
      <c r="ETH58" s="0"/>
      <c r="ETI58" s="0"/>
      <c r="ETJ58" s="0"/>
      <c r="ETK58" s="0"/>
      <c r="ETL58" s="0"/>
      <c r="ETM58" s="0"/>
      <c r="ETN58" s="0"/>
      <c r="ETO58" s="0"/>
      <c r="ETP58" s="0"/>
      <c r="ETQ58" s="0"/>
      <c r="ETR58" s="0"/>
      <c r="ETS58" s="0"/>
      <c r="ETT58" s="0"/>
      <c r="ETU58" s="0"/>
      <c r="ETV58" s="0"/>
      <c r="ETW58" s="0"/>
      <c r="ETX58" s="0"/>
      <c r="ETY58" s="0"/>
      <c r="ETZ58" s="0"/>
      <c r="EUA58" s="0"/>
      <c r="EUB58" s="0"/>
      <c r="EUC58" s="0"/>
      <c r="EUD58" s="0"/>
      <c r="EUE58" s="0"/>
      <c r="EUF58" s="0"/>
      <c r="EUG58" s="0"/>
      <c r="EUH58" s="0"/>
      <c r="EUI58" s="0"/>
      <c r="EUJ58" s="0"/>
      <c r="EUK58" s="0"/>
      <c r="EUL58" s="0"/>
      <c r="EUM58" s="0"/>
      <c r="EUN58" s="0"/>
      <c r="EUO58" s="0"/>
      <c r="EUP58" s="0"/>
      <c r="EUQ58" s="0"/>
      <c r="EUR58" s="0"/>
      <c r="EUS58" s="0"/>
      <c r="EUT58" s="0"/>
      <c r="EUU58" s="0"/>
      <c r="EUV58" s="0"/>
      <c r="EUW58" s="0"/>
      <c r="EUX58" s="0"/>
      <c r="EUY58" s="0"/>
      <c r="EUZ58" s="0"/>
      <c r="EVA58" s="0"/>
      <c r="EVB58" s="0"/>
      <c r="EVC58" s="0"/>
      <c r="EVD58" s="0"/>
      <c r="EVE58" s="0"/>
      <c r="EVF58" s="0"/>
      <c r="EVG58" s="0"/>
      <c r="EVH58" s="0"/>
      <c r="EVI58" s="0"/>
      <c r="EVJ58" s="0"/>
      <c r="EVK58" s="0"/>
      <c r="EVL58" s="0"/>
      <c r="EVM58" s="0"/>
      <c r="EVN58" s="0"/>
      <c r="EVO58" s="0"/>
      <c r="EVP58" s="0"/>
      <c r="EVQ58" s="0"/>
      <c r="EVR58" s="0"/>
      <c r="EVS58" s="0"/>
      <c r="EVT58" s="0"/>
      <c r="EVU58" s="0"/>
      <c r="EVV58" s="0"/>
      <c r="EVW58" s="0"/>
      <c r="EVX58" s="0"/>
      <c r="EVY58" s="0"/>
      <c r="EVZ58" s="0"/>
      <c r="EWA58" s="0"/>
      <c r="EWB58" s="0"/>
      <c r="EWC58" s="0"/>
      <c r="EWD58" s="0"/>
      <c r="EWE58" s="0"/>
      <c r="EWF58" s="0"/>
      <c r="EWG58" s="0"/>
      <c r="EWH58" s="0"/>
      <c r="EWI58" s="0"/>
      <c r="EWJ58" s="0"/>
      <c r="EWK58" s="0"/>
      <c r="EWL58" s="0"/>
      <c r="EWM58" s="0"/>
      <c r="EWN58" s="0"/>
      <c r="EWO58" s="0"/>
      <c r="EWP58" s="0"/>
      <c r="EWQ58" s="0"/>
      <c r="EWR58" s="0"/>
      <c r="EWS58" s="0"/>
      <c r="EWT58" s="0"/>
      <c r="EWU58" s="0"/>
      <c r="EWV58" s="0"/>
      <c r="EWW58" s="0"/>
      <c r="EWX58" s="0"/>
      <c r="EWY58" s="0"/>
      <c r="EWZ58" s="0"/>
      <c r="EXA58" s="0"/>
      <c r="EXB58" s="0"/>
      <c r="EXC58" s="0"/>
      <c r="EXD58" s="0"/>
      <c r="EXE58" s="0"/>
      <c r="EXF58" s="0"/>
      <c r="EXG58" s="0"/>
      <c r="EXH58" s="0"/>
      <c r="EXI58" s="0"/>
      <c r="EXJ58" s="0"/>
      <c r="EXK58" s="0"/>
      <c r="EXL58" s="0"/>
      <c r="EXM58" s="0"/>
      <c r="EXN58" s="0"/>
      <c r="EXO58" s="0"/>
      <c r="EXP58" s="0"/>
      <c r="EXQ58" s="0"/>
      <c r="EXR58" s="0"/>
      <c r="EXS58" s="0"/>
      <c r="EXT58" s="0"/>
      <c r="EXU58" s="0"/>
      <c r="EXV58" s="0"/>
      <c r="EXW58" s="0"/>
      <c r="EXX58" s="0"/>
      <c r="EXY58" s="0"/>
      <c r="EXZ58" s="0"/>
      <c r="EYA58" s="0"/>
      <c r="EYB58" s="0"/>
      <c r="EYC58" s="0"/>
      <c r="EYD58" s="0"/>
      <c r="EYE58" s="0"/>
      <c r="EYF58" s="0"/>
      <c r="EYG58" s="0"/>
      <c r="EYH58" s="0"/>
      <c r="EYI58" s="0"/>
      <c r="EYJ58" s="0"/>
      <c r="EYK58" s="0"/>
      <c r="EYL58" s="0"/>
      <c r="EYM58" s="0"/>
      <c r="EYN58" s="0"/>
      <c r="EYO58" s="0"/>
      <c r="EYP58" s="0"/>
      <c r="EYQ58" s="0"/>
      <c r="EYR58" s="0"/>
      <c r="EYS58" s="0"/>
      <c r="EYT58" s="0"/>
      <c r="EYU58" s="0"/>
      <c r="EYV58" s="0"/>
      <c r="EYW58" s="0"/>
      <c r="EYX58" s="0"/>
      <c r="EYY58" s="0"/>
      <c r="EYZ58" s="0"/>
      <c r="EZA58" s="0"/>
      <c r="EZB58" s="0"/>
      <c r="EZC58" s="0"/>
      <c r="EZD58" s="0"/>
      <c r="EZE58" s="0"/>
      <c r="EZF58" s="0"/>
      <c r="EZG58" s="0"/>
      <c r="EZH58" s="0"/>
      <c r="EZI58" s="0"/>
      <c r="EZJ58" s="0"/>
      <c r="EZK58" s="0"/>
      <c r="EZL58" s="0"/>
      <c r="EZM58" s="0"/>
      <c r="EZN58" s="0"/>
      <c r="EZO58" s="0"/>
      <c r="EZP58" s="0"/>
      <c r="EZQ58" s="0"/>
      <c r="EZR58" s="0"/>
      <c r="EZS58" s="0"/>
      <c r="EZT58" s="0"/>
      <c r="EZU58" s="0"/>
      <c r="EZV58" s="0"/>
      <c r="EZW58" s="0"/>
      <c r="EZX58" s="0"/>
      <c r="EZY58" s="0"/>
      <c r="EZZ58" s="0"/>
      <c r="FAA58" s="0"/>
      <c r="FAB58" s="0"/>
      <c r="FAC58" s="0"/>
      <c r="FAD58" s="0"/>
      <c r="FAE58" s="0"/>
      <c r="FAF58" s="0"/>
      <c r="FAG58" s="0"/>
      <c r="FAH58" s="0"/>
      <c r="FAI58" s="0"/>
      <c r="FAJ58" s="0"/>
      <c r="FAK58" s="0"/>
      <c r="FAL58" s="0"/>
      <c r="FAM58" s="0"/>
      <c r="FAN58" s="0"/>
      <c r="FAO58" s="0"/>
      <c r="FAP58" s="0"/>
      <c r="FAQ58" s="0"/>
      <c r="FAR58" s="0"/>
      <c r="FAS58" s="0"/>
      <c r="FAT58" s="0"/>
      <c r="FAU58" s="0"/>
      <c r="FAV58" s="0"/>
      <c r="FAW58" s="0"/>
      <c r="FAX58" s="0"/>
      <c r="FAY58" s="0"/>
      <c r="FAZ58" s="0"/>
      <c r="FBA58" s="0"/>
      <c r="FBB58" s="0"/>
      <c r="FBC58" s="0"/>
      <c r="FBD58" s="0"/>
      <c r="FBE58" s="0"/>
      <c r="FBF58" s="0"/>
      <c r="FBG58" s="0"/>
      <c r="FBH58" s="0"/>
      <c r="FBI58" s="0"/>
      <c r="FBJ58" s="0"/>
      <c r="FBK58" s="0"/>
      <c r="FBL58" s="0"/>
      <c r="FBM58" s="0"/>
      <c r="FBN58" s="0"/>
      <c r="FBO58" s="0"/>
      <c r="FBP58" s="0"/>
      <c r="FBQ58" s="0"/>
      <c r="FBR58" s="0"/>
      <c r="FBS58" s="0"/>
      <c r="FBT58" s="0"/>
      <c r="FBU58" s="0"/>
      <c r="FBV58" s="0"/>
      <c r="FBW58" s="0"/>
      <c r="FBX58" s="0"/>
      <c r="FBY58" s="0"/>
      <c r="FBZ58" s="0"/>
      <c r="FCA58" s="0"/>
      <c r="FCB58" s="0"/>
      <c r="FCC58" s="0"/>
      <c r="FCD58" s="0"/>
      <c r="FCE58" s="0"/>
      <c r="FCF58" s="0"/>
      <c r="FCG58" s="0"/>
      <c r="FCH58" s="0"/>
      <c r="FCI58" s="0"/>
      <c r="FCJ58" s="0"/>
      <c r="FCK58" s="0"/>
      <c r="FCL58" s="0"/>
      <c r="FCM58" s="0"/>
      <c r="FCN58" s="0"/>
      <c r="FCO58" s="0"/>
      <c r="FCP58" s="0"/>
      <c r="FCQ58" s="0"/>
      <c r="FCR58" s="0"/>
      <c r="FCS58" s="0"/>
      <c r="FCT58" s="0"/>
      <c r="FCU58" s="0"/>
      <c r="FCV58" s="0"/>
      <c r="FCW58" s="0"/>
      <c r="FCX58" s="0"/>
      <c r="FCY58" s="0"/>
      <c r="FCZ58" s="0"/>
      <c r="FDA58" s="0"/>
      <c r="FDB58" s="0"/>
      <c r="FDC58" s="0"/>
      <c r="FDD58" s="0"/>
      <c r="FDE58" s="0"/>
      <c r="FDF58" s="0"/>
      <c r="FDG58" s="0"/>
      <c r="FDH58" s="0"/>
      <c r="FDI58" s="0"/>
      <c r="FDJ58" s="0"/>
      <c r="FDK58" s="0"/>
      <c r="FDL58" s="0"/>
      <c r="FDM58" s="0"/>
      <c r="FDN58" s="0"/>
      <c r="FDO58" s="0"/>
      <c r="FDP58" s="0"/>
      <c r="FDQ58" s="0"/>
      <c r="FDR58" s="0"/>
      <c r="FDS58" s="0"/>
      <c r="FDT58" s="0"/>
      <c r="FDU58" s="0"/>
      <c r="FDV58" s="0"/>
      <c r="FDW58" s="0"/>
      <c r="FDX58" s="0"/>
      <c r="FDY58" s="0"/>
      <c r="FDZ58" s="0"/>
      <c r="FEA58" s="0"/>
      <c r="FEB58" s="0"/>
      <c r="FEC58" s="0"/>
      <c r="FED58" s="0"/>
      <c r="FEE58" s="0"/>
      <c r="FEF58" s="0"/>
      <c r="FEG58" s="0"/>
      <c r="FEH58" s="0"/>
      <c r="FEI58" s="0"/>
      <c r="FEJ58" s="0"/>
      <c r="FEK58" s="0"/>
      <c r="FEL58" s="0"/>
      <c r="FEM58" s="0"/>
      <c r="FEN58" s="0"/>
      <c r="FEO58" s="0"/>
      <c r="FEP58" s="0"/>
      <c r="FEQ58" s="0"/>
      <c r="FER58" s="0"/>
      <c r="FES58" s="0"/>
      <c r="FET58" s="0"/>
      <c r="FEU58" s="0"/>
      <c r="FEV58" s="0"/>
      <c r="FEW58" s="0"/>
      <c r="FEX58" s="0"/>
      <c r="FEY58" s="0"/>
      <c r="FEZ58" s="0"/>
      <c r="FFA58" s="0"/>
      <c r="FFB58" s="0"/>
      <c r="FFC58" s="0"/>
      <c r="FFD58" s="0"/>
      <c r="FFE58" s="0"/>
      <c r="FFF58" s="0"/>
      <c r="FFG58" s="0"/>
      <c r="FFH58" s="0"/>
      <c r="FFI58" s="0"/>
      <c r="FFJ58" s="0"/>
      <c r="FFK58" s="0"/>
      <c r="FFL58" s="0"/>
      <c r="FFM58" s="0"/>
      <c r="FFN58" s="0"/>
      <c r="FFO58" s="0"/>
      <c r="FFP58" s="0"/>
      <c r="FFQ58" s="0"/>
      <c r="FFR58" s="0"/>
      <c r="FFS58" s="0"/>
      <c r="FFT58" s="0"/>
      <c r="FFU58" s="0"/>
      <c r="FFV58" s="0"/>
      <c r="FFW58" s="0"/>
      <c r="FFX58" s="0"/>
      <c r="FFY58" s="0"/>
      <c r="FFZ58" s="0"/>
      <c r="FGA58" s="0"/>
      <c r="FGB58" s="0"/>
      <c r="FGC58" s="0"/>
      <c r="FGD58" s="0"/>
      <c r="FGE58" s="0"/>
      <c r="FGF58" s="0"/>
      <c r="FGG58" s="0"/>
      <c r="FGH58" s="0"/>
      <c r="FGI58" s="0"/>
      <c r="FGJ58" s="0"/>
      <c r="FGK58" s="0"/>
      <c r="FGL58" s="0"/>
      <c r="FGM58" s="0"/>
      <c r="FGN58" s="0"/>
      <c r="FGO58" s="0"/>
      <c r="FGP58" s="0"/>
      <c r="FGQ58" s="0"/>
      <c r="FGR58" s="0"/>
      <c r="FGS58" s="0"/>
      <c r="FGT58" s="0"/>
      <c r="FGU58" s="0"/>
      <c r="FGV58" s="0"/>
      <c r="FGW58" s="0"/>
      <c r="FGX58" s="0"/>
      <c r="FGY58" s="0"/>
      <c r="FGZ58" s="0"/>
      <c r="FHA58" s="0"/>
      <c r="FHB58" s="0"/>
      <c r="FHC58" s="0"/>
      <c r="FHD58" s="0"/>
      <c r="FHE58" s="0"/>
      <c r="FHF58" s="0"/>
      <c r="FHG58" s="0"/>
      <c r="FHH58" s="0"/>
      <c r="FHI58" s="0"/>
      <c r="FHJ58" s="0"/>
      <c r="FHK58" s="0"/>
      <c r="FHL58" s="0"/>
      <c r="FHM58" s="0"/>
      <c r="FHN58" s="0"/>
      <c r="FHO58" s="0"/>
      <c r="FHP58" s="0"/>
      <c r="FHQ58" s="0"/>
      <c r="FHR58" s="0"/>
      <c r="FHS58" s="0"/>
      <c r="FHT58" s="0"/>
      <c r="FHU58" s="0"/>
      <c r="FHV58" s="0"/>
      <c r="FHW58" s="0"/>
      <c r="FHX58" s="0"/>
      <c r="FHY58" s="0"/>
      <c r="FHZ58" s="0"/>
      <c r="FIA58" s="0"/>
      <c r="FIB58" s="0"/>
      <c r="FIC58" s="0"/>
      <c r="FID58" s="0"/>
      <c r="FIE58" s="0"/>
      <c r="FIF58" s="0"/>
      <c r="FIG58" s="0"/>
      <c r="FIH58" s="0"/>
      <c r="FII58" s="0"/>
      <c r="FIJ58" s="0"/>
      <c r="FIK58" s="0"/>
      <c r="FIL58" s="0"/>
      <c r="FIM58" s="0"/>
      <c r="FIN58" s="0"/>
      <c r="FIO58" s="0"/>
      <c r="FIP58" s="0"/>
      <c r="FIQ58" s="0"/>
      <c r="FIR58" s="0"/>
      <c r="FIS58" s="0"/>
      <c r="FIT58" s="0"/>
      <c r="FIU58" s="0"/>
      <c r="FIV58" s="0"/>
      <c r="FIW58" s="0"/>
      <c r="FIX58" s="0"/>
      <c r="FIY58" s="0"/>
      <c r="FIZ58" s="0"/>
      <c r="FJA58" s="0"/>
      <c r="FJB58" s="0"/>
      <c r="FJC58" s="0"/>
      <c r="FJD58" s="0"/>
      <c r="FJE58" s="0"/>
      <c r="FJF58" s="0"/>
      <c r="FJG58" s="0"/>
      <c r="FJH58" s="0"/>
      <c r="FJI58" s="0"/>
      <c r="FJJ58" s="0"/>
      <c r="FJK58" s="0"/>
      <c r="FJL58" s="0"/>
      <c r="FJM58" s="0"/>
      <c r="FJN58" s="0"/>
      <c r="FJO58" s="0"/>
      <c r="FJP58" s="0"/>
      <c r="FJQ58" s="0"/>
      <c r="FJR58" s="0"/>
      <c r="FJS58" s="0"/>
      <c r="FJT58" s="0"/>
      <c r="FJU58" s="0"/>
      <c r="FJV58" s="0"/>
      <c r="FJW58" s="0"/>
      <c r="FJX58" s="0"/>
      <c r="FJY58" s="0"/>
      <c r="FJZ58" s="0"/>
      <c r="FKA58" s="0"/>
      <c r="FKB58" s="0"/>
      <c r="FKC58" s="0"/>
      <c r="FKD58" s="0"/>
      <c r="FKE58" s="0"/>
      <c r="FKF58" s="0"/>
      <c r="FKG58" s="0"/>
      <c r="FKH58" s="0"/>
      <c r="FKI58" s="0"/>
      <c r="FKJ58" s="0"/>
      <c r="FKK58" s="0"/>
      <c r="FKL58" s="0"/>
      <c r="FKM58" s="0"/>
      <c r="FKN58" s="0"/>
      <c r="FKO58" s="0"/>
      <c r="FKP58" s="0"/>
      <c r="FKQ58" s="0"/>
      <c r="FKR58" s="0"/>
      <c r="FKS58" s="0"/>
      <c r="FKT58" s="0"/>
      <c r="FKU58" s="0"/>
      <c r="FKV58" s="0"/>
      <c r="FKW58" s="0"/>
      <c r="FKX58" s="0"/>
      <c r="FKY58" s="0"/>
      <c r="FKZ58" s="0"/>
      <c r="FLA58" s="0"/>
      <c r="FLB58" s="0"/>
      <c r="FLC58" s="0"/>
      <c r="FLD58" s="0"/>
      <c r="FLE58" s="0"/>
      <c r="FLF58" s="0"/>
      <c r="FLG58" s="0"/>
      <c r="FLH58" s="0"/>
      <c r="FLI58" s="0"/>
      <c r="FLJ58" s="0"/>
      <c r="FLK58" s="0"/>
      <c r="FLL58" s="0"/>
      <c r="FLM58" s="0"/>
      <c r="FLN58" s="0"/>
      <c r="FLO58" s="0"/>
      <c r="FLP58" s="0"/>
      <c r="FLQ58" s="0"/>
      <c r="FLR58" s="0"/>
      <c r="FLS58" s="0"/>
      <c r="FLT58" s="0"/>
      <c r="FLU58" s="0"/>
      <c r="FLV58" s="0"/>
      <c r="FLW58" s="0"/>
      <c r="FLX58" s="0"/>
      <c r="FLY58" s="0"/>
      <c r="FLZ58" s="0"/>
      <c r="FMA58" s="0"/>
      <c r="FMB58" s="0"/>
      <c r="FMC58" s="0"/>
      <c r="FMD58" s="0"/>
      <c r="FME58" s="0"/>
      <c r="FMF58" s="0"/>
      <c r="FMG58" s="0"/>
      <c r="FMH58" s="0"/>
      <c r="FMI58" s="0"/>
      <c r="FMJ58" s="0"/>
      <c r="FMK58" s="0"/>
      <c r="FML58" s="0"/>
      <c r="FMM58" s="0"/>
      <c r="FMN58" s="0"/>
      <c r="FMO58" s="0"/>
      <c r="FMP58" s="0"/>
      <c r="FMQ58" s="0"/>
      <c r="FMR58" s="0"/>
      <c r="FMS58" s="0"/>
      <c r="FMT58" s="0"/>
      <c r="FMU58" s="0"/>
      <c r="FMV58" s="0"/>
      <c r="FMW58" s="0"/>
      <c r="FMX58" s="0"/>
      <c r="FMY58" s="0"/>
      <c r="FMZ58" s="0"/>
      <c r="FNA58" s="0"/>
      <c r="FNB58" s="0"/>
      <c r="FNC58" s="0"/>
      <c r="FND58" s="0"/>
      <c r="FNE58" s="0"/>
      <c r="FNF58" s="0"/>
      <c r="FNG58" s="0"/>
      <c r="FNH58" s="0"/>
      <c r="FNI58" s="0"/>
      <c r="FNJ58" s="0"/>
      <c r="FNK58" s="0"/>
      <c r="FNL58" s="0"/>
      <c r="FNM58" s="0"/>
      <c r="FNN58" s="0"/>
      <c r="FNO58" s="0"/>
      <c r="FNP58" s="0"/>
      <c r="FNQ58" s="0"/>
      <c r="FNR58" s="0"/>
      <c r="FNS58" s="0"/>
      <c r="FNT58" s="0"/>
      <c r="FNU58" s="0"/>
      <c r="FNV58" s="0"/>
      <c r="FNW58" s="0"/>
      <c r="FNX58" s="0"/>
      <c r="FNY58" s="0"/>
      <c r="FNZ58" s="0"/>
      <c r="FOA58" s="0"/>
      <c r="FOB58" s="0"/>
      <c r="FOC58" s="0"/>
      <c r="FOD58" s="0"/>
      <c r="FOE58" s="0"/>
      <c r="FOF58" s="0"/>
      <c r="FOG58" s="0"/>
      <c r="FOH58" s="0"/>
      <c r="FOI58" s="0"/>
      <c r="FOJ58" s="0"/>
      <c r="FOK58" s="0"/>
      <c r="FOL58" s="0"/>
      <c r="FOM58" s="0"/>
      <c r="FON58" s="0"/>
      <c r="FOO58" s="0"/>
      <c r="FOP58" s="0"/>
      <c r="FOQ58" s="0"/>
      <c r="FOR58" s="0"/>
      <c r="FOS58" s="0"/>
      <c r="FOT58" s="0"/>
      <c r="FOU58" s="0"/>
      <c r="FOV58" s="0"/>
      <c r="FOW58" s="0"/>
      <c r="FOX58" s="0"/>
      <c r="FOY58" s="0"/>
      <c r="FOZ58" s="0"/>
      <c r="FPA58" s="0"/>
      <c r="FPB58" s="0"/>
      <c r="FPC58" s="0"/>
      <c r="FPD58" s="0"/>
      <c r="FPE58" s="0"/>
      <c r="FPF58" s="0"/>
      <c r="FPG58" s="0"/>
      <c r="FPH58" s="0"/>
      <c r="FPI58" s="0"/>
      <c r="FPJ58" s="0"/>
      <c r="FPK58" s="0"/>
      <c r="FPL58" s="0"/>
      <c r="FPM58" s="0"/>
      <c r="FPN58" s="0"/>
      <c r="FPO58" s="0"/>
      <c r="FPP58" s="0"/>
      <c r="FPQ58" s="0"/>
      <c r="FPR58" s="0"/>
      <c r="FPS58" s="0"/>
      <c r="FPT58" s="0"/>
      <c r="FPU58" s="0"/>
      <c r="FPV58" s="0"/>
      <c r="FPW58" s="0"/>
      <c r="FPX58" s="0"/>
      <c r="FPY58" s="0"/>
      <c r="FPZ58" s="0"/>
      <c r="FQA58" s="0"/>
      <c r="FQB58" s="0"/>
      <c r="FQC58" s="0"/>
      <c r="FQD58" s="0"/>
      <c r="FQE58" s="0"/>
      <c r="FQF58" s="0"/>
      <c r="FQG58" s="0"/>
      <c r="FQH58" s="0"/>
      <c r="FQI58" s="0"/>
      <c r="FQJ58" s="0"/>
      <c r="FQK58" s="0"/>
      <c r="FQL58" s="0"/>
      <c r="FQM58" s="0"/>
      <c r="FQN58" s="0"/>
      <c r="FQO58" s="0"/>
      <c r="FQP58" s="0"/>
      <c r="FQQ58" s="0"/>
      <c r="FQR58" s="0"/>
      <c r="FQS58" s="0"/>
      <c r="FQT58" s="0"/>
      <c r="FQU58" s="0"/>
      <c r="FQV58" s="0"/>
      <c r="FQW58" s="0"/>
      <c r="FQX58" s="0"/>
      <c r="FQY58" s="0"/>
      <c r="FQZ58" s="0"/>
      <c r="FRA58" s="0"/>
      <c r="FRB58" s="0"/>
      <c r="FRC58" s="0"/>
      <c r="FRD58" s="0"/>
      <c r="FRE58" s="0"/>
      <c r="FRF58" s="0"/>
      <c r="FRG58" s="0"/>
      <c r="FRH58" s="0"/>
      <c r="FRI58" s="0"/>
      <c r="FRJ58" s="0"/>
      <c r="FRK58" s="0"/>
      <c r="FRL58" s="0"/>
      <c r="FRM58" s="0"/>
      <c r="FRN58" s="0"/>
      <c r="FRO58" s="0"/>
      <c r="FRP58" s="0"/>
      <c r="FRQ58" s="0"/>
      <c r="FRR58" s="0"/>
      <c r="FRS58" s="0"/>
      <c r="FRT58" s="0"/>
      <c r="FRU58" s="0"/>
      <c r="FRV58" s="0"/>
      <c r="FRW58" s="0"/>
      <c r="FRX58" s="0"/>
      <c r="FRY58" s="0"/>
      <c r="FRZ58" s="0"/>
      <c r="FSA58" s="0"/>
      <c r="FSB58" s="0"/>
      <c r="FSC58" s="0"/>
      <c r="FSD58" s="0"/>
      <c r="FSE58" s="0"/>
      <c r="FSF58" s="0"/>
      <c r="FSG58" s="0"/>
      <c r="FSH58" s="0"/>
      <c r="FSI58" s="0"/>
      <c r="FSJ58" s="0"/>
      <c r="FSK58" s="0"/>
      <c r="FSL58" s="0"/>
      <c r="FSM58" s="0"/>
      <c r="FSN58" s="0"/>
      <c r="FSO58" s="0"/>
      <c r="FSP58" s="0"/>
      <c r="FSQ58" s="0"/>
      <c r="FSR58" s="0"/>
      <c r="FSS58" s="0"/>
      <c r="FST58" s="0"/>
      <c r="FSU58" s="0"/>
      <c r="FSV58" s="0"/>
      <c r="FSW58" s="0"/>
      <c r="FSX58" s="0"/>
      <c r="FSY58" s="0"/>
      <c r="FSZ58" s="0"/>
      <c r="FTA58" s="0"/>
      <c r="FTB58" s="0"/>
      <c r="FTC58" s="0"/>
      <c r="FTD58" s="0"/>
      <c r="FTE58" s="0"/>
      <c r="FTF58" s="0"/>
      <c r="FTG58" s="0"/>
      <c r="FTH58" s="0"/>
      <c r="FTI58" s="0"/>
      <c r="FTJ58" s="0"/>
      <c r="FTK58" s="0"/>
      <c r="FTL58" s="0"/>
      <c r="FTM58" s="0"/>
      <c r="FTN58" s="0"/>
      <c r="FTO58" s="0"/>
      <c r="FTP58" s="0"/>
      <c r="FTQ58" s="0"/>
      <c r="FTR58" s="0"/>
      <c r="FTS58" s="0"/>
      <c r="FTT58" s="0"/>
      <c r="FTU58" s="0"/>
      <c r="FTV58" s="0"/>
      <c r="FTW58" s="0"/>
      <c r="FTX58" s="0"/>
      <c r="FTY58" s="0"/>
      <c r="FTZ58" s="0"/>
      <c r="FUA58" s="0"/>
      <c r="FUB58" s="0"/>
      <c r="FUC58" s="0"/>
      <c r="FUD58" s="0"/>
      <c r="FUE58" s="0"/>
      <c r="FUF58" s="0"/>
      <c r="FUG58" s="0"/>
      <c r="FUH58" s="0"/>
      <c r="FUI58" s="0"/>
      <c r="FUJ58" s="0"/>
      <c r="FUK58" s="0"/>
      <c r="FUL58" s="0"/>
      <c r="FUM58" s="0"/>
      <c r="FUN58" s="0"/>
      <c r="FUO58" s="0"/>
      <c r="FUP58" s="0"/>
      <c r="FUQ58" s="0"/>
      <c r="FUR58" s="0"/>
      <c r="FUS58" s="0"/>
      <c r="FUT58" s="0"/>
      <c r="FUU58" s="0"/>
      <c r="FUV58" s="0"/>
      <c r="FUW58" s="0"/>
      <c r="FUX58" s="0"/>
      <c r="FUY58" s="0"/>
      <c r="FUZ58" s="0"/>
      <c r="FVA58" s="0"/>
      <c r="FVB58" s="0"/>
      <c r="FVC58" s="0"/>
      <c r="FVD58" s="0"/>
      <c r="FVE58" s="0"/>
      <c r="FVF58" s="0"/>
      <c r="FVG58" s="0"/>
      <c r="FVH58" s="0"/>
      <c r="FVI58" s="0"/>
      <c r="FVJ58" s="0"/>
      <c r="FVK58" s="0"/>
      <c r="FVL58" s="0"/>
      <c r="FVM58" s="0"/>
      <c r="FVN58" s="0"/>
      <c r="FVO58" s="0"/>
      <c r="FVP58" s="0"/>
      <c r="FVQ58" s="0"/>
      <c r="FVR58" s="0"/>
      <c r="FVS58" s="0"/>
      <c r="FVT58" s="0"/>
      <c r="FVU58" s="0"/>
      <c r="FVV58" s="0"/>
      <c r="FVW58" s="0"/>
      <c r="FVX58" s="0"/>
      <c r="FVY58" s="0"/>
      <c r="FVZ58" s="0"/>
      <c r="FWA58" s="0"/>
      <c r="FWB58" s="0"/>
      <c r="FWC58" s="0"/>
      <c r="FWD58" s="0"/>
      <c r="FWE58" s="0"/>
      <c r="FWF58" s="0"/>
      <c r="FWG58" s="0"/>
      <c r="FWH58" s="0"/>
      <c r="FWI58" s="0"/>
      <c r="FWJ58" s="0"/>
      <c r="FWK58" s="0"/>
      <c r="FWL58" s="0"/>
      <c r="FWM58" s="0"/>
      <c r="FWN58" s="0"/>
      <c r="FWO58" s="0"/>
      <c r="FWP58" s="0"/>
      <c r="FWQ58" s="0"/>
      <c r="FWR58" s="0"/>
      <c r="FWS58" s="0"/>
      <c r="FWT58" s="0"/>
      <c r="FWU58" s="0"/>
      <c r="FWV58" s="0"/>
      <c r="FWW58" s="0"/>
      <c r="FWX58" s="0"/>
      <c r="FWY58" s="0"/>
      <c r="FWZ58" s="0"/>
      <c r="FXA58" s="0"/>
      <c r="FXB58" s="0"/>
      <c r="FXC58" s="0"/>
      <c r="FXD58" s="0"/>
      <c r="FXE58" s="0"/>
      <c r="FXF58" s="0"/>
      <c r="FXG58" s="0"/>
      <c r="FXH58" s="0"/>
      <c r="FXI58" s="0"/>
      <c r="FXJ58" s="0"/>
      <c r="FXK58" s="0"/>
      <c r="FXL58" s="0"/>
      <c r="FXM58" s="0"/>
      <c r="FXN58" s="0"/>
      <c r="FXO58" s="0"/>
      <c r="FXP58" s="0"/>
      <c r="FXQ58" s="0"/>
      <c r="FXR58" s="0"/>
      <c r="FXS58" s="0"/>
      <c r="FXT58" s="0"/>
      <c r="FXU58" s="0"/>
      <c r="FXV58" s="0"/>
      <c r="FXW58" s="0"/>
      <c r="FXX58" s="0"/>
      <c r="FXY58" s="0"/>
      <c r="FXZ58" s="0"/>
      <c r="FYA58" s="0"/>
      <c r="FYB58" s="0"/>
      <c r="FYC58" s="0"/>
      <c r="FYD58" s="0"/>
      <c r="FYE58" s="0"/>
      <c r="FYF58" s="0"/>
      <c r="FYG58" s="0"/>
      <c r="FYH58" s="0"/>
      <c r="FYI58" s="0"/>
      <c r="FYJ58" s="0"/>
      <c r="FYK58" s="0"/>
      <c r="FYL58" s="0"/>
      <c r="FYM58" s="0"/>
      <c r="FYN58" s="0"/>
      <c r="FYO58" s="0"/>
      <c r="FYP58" s="0"/>
      <c r="FYQ58" s="0"/>
      <c r="FYR58" s="0"/>
      <c r="FYS58" s="0"/>
      <c r="FYT58" s="0"/>
      <c r="FYU58" s="0"/>
      <c r="FYV58" s="0"/>
      <c r="FYW58" s="0"/>
      <c r="FYX58" s="0"/>
      <c r="FYY58" s="0"/>
      <c r="FYZ58" s="0"/>
      <c r="FZA58" s="0"/>
      <c r="FZB58" s="0"/>
      <c r="FZC58" s="0"/>
      <c r="FZD58" s="0"/>
      <c r="FZE58" s="0"/>
      <c r="FZF58" s="0"/>
      <c r="FZG58" s="0"/>
      <c r="FZH58" s="0"/>
      <c r="FZI58" s="0"/>
      <c r="FZJ58" s="0"/>
      <c r="FZK58" s="0"/>
      <c r="FZL58" s="0"/>
      <c r="FZM58" s="0"/>
      <c r="FZN58" s="0"/>
      <c r="FZO58" s="0"/>
      <c r="FZP58" s="0"/>
      <c r="FZQ58" s="0"/>
      <c r="FZR58" s="0"/>
      <c r="FZS58" s="0"/>
      <c r="FZT58" s="0"/>
      <c r="FZU58" s="0"/>
      <c r="FZV58" s="0"/>
      <c r="FZW58" s="0"/>
      <c r="FZX58" s="0"/>
      <c r="FZY58" s="0"/>
      <c r="FZZ58" s="0"/>
      <c r="GAA58" s="0"/>
      <c r="GAB58" s="0"/>
      <c r="GAC58" s="0"/>
      <c r="GAD58" s="0"/>
      <c r="GAE58" s="0"/>
      <c r="GAF58" s="0"/>
      <c r="GAG58" s="0"/>
      <c r="GAH58" s="0"/>
      <c r="GAI58" s="0"/>
      <c r="GAJ58" s="0"/>
      <c r="GAK58" s="0"/>
      <c r="GAL58" s="0"/>
      <c r="GAM58" s="0"/>
      <c r="GAN58" s="0"/>
      <c r="GAO58" s="0"/>
      <c r="GAP58" s="0"/>
      <c r="GAQ58" s="0"/>
      <c r="GAR58" s="0"/>
      <c r="GAS58" s="0"/>
      <c r="GAT58" s="0"/>
      <c r="GAU58" s="0"/>
      <c r="GAV58" s="0"/>
      <c r="GAW58" s="0"/>
      <c r="GAX58" s="0"/>
      <c r="GAY58" s="0"/>
      <c r="GAZ58" s="0"/>
      <c r="GBA58" s="0"/>
      <c r="GBB58" s="0"/>
      <c r="GBC58" s="0"/>
      <c r="GBD58" s="0"/>
      <c r="GBE58" s="0"/>
      <c r="GBF58" s="0"/>
      <c r="GBG58" s="0"/>
      <c r="GBH58" s="0"/>
      <c r="GBI58" s="0"/>
      <c r="GBJ58" s="0"/>
      <c r="GBK58" s="0"/>
      <c r="GBL58" s="0"/>
      <c r="GBM58" s="0"/>
      <c r="GBN58" s="0"/>
      <c r="GBO58" s="0"/>
      <c r="GBP58" s="0"/>
      <c r="GBQ58" s="0"/>
      <c r="GBR58" s="0"/>
      <c r="GBS58" s="0"/>
      <c r="GBT58" s="0"/>
      <c r="GBU58" s="0"/>
      <c r="GBV58" s="0"/>
      <c r="GBW58" s="0"/>
      <c r="GBX58" s="0"/>
      <c r="GBY58" s="0"/>
      <c r="GBZ58" s="0"/>
      <c r="GCA58" s="0"/>
      <c r="GCB58" s="0"/>
      <c r="GCC58" s="0"/>
      <c r="GCD58" s="0"/>
      <c r="GCE58" s="0"/>
      <c r="GCF58" s="0"/>
      <c r="GCG58" s="0"/>
      <c r="GCH58" s="0"/>
      <c r="GCI58" s="0"/>
      <c r="GCJ58" s="0"/>
      <c r="GCK58" s="0"/>
      <c r="GCL58" s="0"/>
      <c r="GCM58" s="0"/>
      <c r="GCN58" s="0"/>
      <c r="GCO58" s="0"/>
      <c r="GCP58" s="0"/>
      <c r="GCQ58" s="0"/>
      <c r="GCR58" s="0"/>
      <c r="GCS58" s="0"/>
      <c r="GCT58" s="0"/>
      <c r="GCU58" s="0"/>
      <c r="GCV58" s="0"/>
      <c r="GCW58" s="0"/>
      <c r="GCX58" s="0"/>
      <c r="GCY58" s="0"/>
      <c r="GCZ58" s="0"/>
      <c r="GDA58" s="0"/>
      <c r="GDB58" s="0"/>
      <c r="GDC58" s="0"/>
      <c r="GDD58" s="0"/>
      <c r="GDE58" s="0"/>
      <c r="GDF58" s="0"/>
      <c r="GDG58" s="0"/>
      <c r="GDH58" s="0"/>
      <c r="GDI58" s="0"/>
      <c r="GDJ58" s="0"/>
      <c r="GDK58" s="0"/>
      <c r="GDL58" s="0"/>
      <c r="GDM58" s="0"/>
      <c r="GDN58" s="0"/>
      <c r="GDO58" s="0"/>
      <c r="GDP58" s="0"/>
      <c r="GDQ58" s="0"/>
      <c r="GDR58" s="0"/>
      <c r="GDS58" s="0"/>
      <c r="GDT58" s="0"/>
      <c r="GDU58" s="0"/>
      <c r="GDV58" s="0"/>
      <c r="GDW58" s="0"/>
      <c r="GDX58" s="0"/>
      <c r="GDY58" s="0"/>
      <c r="GDZ58" s="0"/>
      <c r="GEA58" s="0"/>
      <c r="GEB58" s="0"/>
      <c r="GEC58" s="0"/>
      <c r="GED58" s="0"/>
      <c r="GEE58" s="0"/>
      <c r="GEF58" s="0"/>
      <c r="GEG58" s="0"/>
      <c r="GEH58" s="0"/>
      <c r="GEI58" s="0"/>
      <c r="GEJ58" s="0"/>
      <c r="GEK58" s="0"/>
      <c r="GEL58" s="0"/>
      <c r="GEM58" s="0"/>
      <c r="GEN58" s="0"/>
      <c r="GEO58" s="0"/>
      <c r="GEP58" s="0"/>
      <c r="GEQ58" s="0"/>
      <c r="GER58" s="0"/>
      <c r="GES58" s="0"/>
      <c r="GET58" s="0"/>
      <c r="GEU58" s="0"/>
      <c r="GEV58" s="0"/>
      <c r="GEW58" s="0"/>
      <c r="GEX58" s="0"/>
      <c r="GEY58" s="0"/>
      <c r="GEZ58" s="0"/>
      <c r="GFA58" s="0"/>
      <c r="GFB58" s="0"/>
      <c r="GFC58" s="0"/>
      <c r="GFD58" s="0"/>
      <c r="GFE58" s="0"/>
      <c r="GFF58" s="0"/>
      <c r="GFG58" s="0"/>
      <c r="GFH58" s="0"/>
      <c r="GFI58" s="0"/>
      <c r="GFJ58" s="0"/>
      <c r="GFK58" s="0"/>
      <c r="GFL58" s="0"/>
      <c r="GFM58" s="0"/>
      <c r="GFN58" s="0"/>
      <c r="GFO58" s="0"/>
      <c r="GFP58" s="0"/>
      <c r="GFQ58" s="0"/>
      <c r="GFR58" s="0"/>
      <c r="GFS58" s="0"/>
      <c r="GFT58" s="0"/>
      <c r="GFU58" s="0"/>
      <c r="GFV58" s="0"/>
      <c r="GFW58" s="0"/>
      <c r="GFX58" s="0"/>
      <c r="GFY58" s="0"/>
      <c r="GFZ58" s="0"/>
      <c r="GGA58" s="0"/>
      <c r="GGB58" s="0"/>
      <c r="GGC58" s="0"/>
      <c r="GGD58" s="0"/>
      <c r="GGE58" s="0"/>
      <c r="GGF58" s="0"/>
      <c r="GGG58" s="0"/>
      <c r="GGH58" s="0"/>
      <c r="GGI58" s="0"/>
      <c r="GGJ58" s="0"/>
      <c r="GGK58" s="0"/>
      <c r="GGL58" s="0"/>
      <c r="GGM58" s="0"/>
      <c r="GGN58" s="0"/>
      <c r="GGO58" s="0"/>
      <c r="GGP58" s="0"/>
      <c r="GGQ58" s="0"/>
      <c r="GGR58" s="0"/>
      <c r="GGS58" s="0"/>
      <c r="GGT58" s="0"/>
      <c r="GGU58" s="0"/>
      <c r="GGV58" s="0"/>
      <c r="GGW58" s="0"/>
      <c r="GGX58" s="0"/>
      <c r="GGY58" s="0"/>
      <c r="GGZ58" s="0"/>
      <c r="GHA58" s="0"/>
      <c r="GHB58" s="0"/>
      <c r="GHC58" s="0"/>
      <c r="GHD58" s="0"/>
      <c r="GHE58" s="0"/>
      <c r="GHF58" s="0"/>
      <c r="GHG58" s="0"/>
      <c r="GHH58" s="0"/>
      <c r="GHI58" s="0"/>
      <c r="GHJ58" s="0"/>
      <c r="GHK58" s="0"/>
      <c r="GHL58" s="0"/>
      <c r="GHM58" s="0"/>
      <c r="GHN58" s="0"/>
      <c r="GHO58" s="0"/>
      <c r="GHP58" s="0"/>
      <c r="GHQ58" s="0"/>
      <c r="GHR58" s="0"/>
      <c r="GHS58" s="0"/>
      <c r="GHT58" s="0"/>
      <c r="GHU58" s="0"/>
      <c r="GHV58" s="0"/>
      <c r="GHW58" s="0"/>
      <c r="GHX58" s="0"/>
      <c r="GHY58" s="0"/>
      <c r="GHZ58" s="0"/>
      <c r="GIA58" s="0"/>
      <c r="GIB58" s="0"/>
      <c r="GIC58" s="0"/>
      <c r="GID58" s="0"/>
      <c r="GIE58" s="0"/>
      <c r="GIF58" s="0"/>
      <c r="GIG58" s="0"/>
      <c r="GIH58" s="0"/>
      <c r="GII58" s="0"/>
      <c r="GIJ58" s="0"/>
      <c r="GIK58" s="0"/>
      <c r="GIL58" s="0"/>
      <c r="GIM58" s="0"/>
      <c r="GIN58" s="0"/>
      <c r="GIO58" s="0"/>
      <c r="GIP58" s="0"/>
      <c r="GIQ58" s="0"/>
      <c r="GIR58" s="0"/>
      <c r="GIS58" s="0"/>
      <c r="GIT58" s="0"/>
      <c r="GIU58" s="0"/>
      <c r="GIV58" s="0"/>
      <c r="GIW58" s="0"/>
      <c r="GIX58" s="0"/>
      <c r="GIY58" s="0"/>
      <c r="GIZ58" s="0"/>
      <c r="GJA58" s="0"/>
      <c r="GJB58" s="0"/>
      <c r="GJC58" s="0"/>
      <c r="GJD58" s="0"/>
      <c r="GJE58" s="0"/>
      <c r="GJF58" s="0"/>
      <c r="GJG58" s="0"/>
      <c r="GJH58" s="0"/>
      <c r="GJI58" s="0"/>
      <c r="GJJ58" s="0"/>
      <c r="GJK58" s="0"/>
      <c r="GJL58" s="0"/>
      <c r="GJM58" s="0"/>
      <c r="GJN58" s="0"/>
      <c r="GJO58" s="0"/>
      <c r="GJP58" s="0"/>
      <c r="GJQ58" s="0"/>
      <c r="GJR58" s="0"/>
      <c r="GJS58" s="0"/>
      <c r="GJT58" s="0"/>
      <c r="GJU58" s="0"/>
      <c r="GJV58" s="0"/>
      <c r="GJW58" s="0"/>
      <c r="GJX58" s="0"/>
      <c r="GJY58" s="0"/>
      <c r="GJZ58" s="0"/>
      <c r="GKA58" s="0"/>
      <c r="GKB58" s="0"/>
      <c r="GKC58" s="0"/>
      <c r="GKD58" s="0"/>
      <c r="GKE58" s="0"/>
      <c r="GKF58" s="0"/>
      <c r="GKG58" s="0"/>
      <c r="GKH58" s="0"/>
      <c r="GKI58" s="0"/>
      <c r="GKJ58" s="0"/>
      <c r="GKK58" s="0"/>
      <c r="GKL58" s="0"/>
      <c r="GKM58" s="0"/>
      <c r="GKN58" s="0"/>
      <c r="GKO58" s="0"/>
      <c r="GKP58" s="0"/>
      <c r="GKQ58" s="0"/>
      <c r="GKR58" s="0"/>
      <c r="GKS58" s="0"/>
      <c r="GKT58" s="0"/>
      <c r="GKU58" s="0"/>
      <c r="GKV58" s="0"/>
      <c r="GKW58" s="0"/>
      <c r="GKX58" s="0"/>
      <c r="GKY58" s="0"/>
      <c r="GKZ58" s="0"/>
      <c r="GLA58" s="0"/>
      <c r="GLB58" s="0"/>
      <c r="GLC58" s="0"/>
      <c r="GLD58" s="0"/>
      <c r="GLE58" s="0"/>
      <c r="GLF58" s="0"/>
      <c r="GLG58" s="0"/>
      <c r="GLH58" s="0"/>
      <c r="GLI58" s="0"/>
      <c r="GLJ58" s="0"/>
      <c r="GLK58" s="0"/>
      <c r="GLL58" s="0"/>
      <c r="GLM58" s="0"/>
      <c r="GLN58" s="0"/>
      <c r="GLO58" s="0"/>
      <c r="GLP58" s="0"/>
      <c r="GLQ58" s="0"/>
      <c r="GLR58" s="0"/>
      <c r="GLS58" s="0"/>
      <c r="GLT58" s="0"/>
      <c r="GLU58" s="0"/>
      <c r="GLV58" s="0"/>
      <c r="GLW58" s="0"/>
      <c r="GLX58" s="0"/>
      <c r="GLY58" s="0"/>
      <c r="GLZ58" s="0"/>
      <c r="GMA58" s="0"/>
      <c r="GMB58" s="0"/>
      <c r="GMC58" s="0"/>
      <c r="GMD58" s="0"/>
      <c r="GME58" s="0"/>
      <c r="GMF58" s="0"/>
      <c r="GMG58" s="0"/>
      <c r="GMH58" s="0"/>
      <c r="GMI58" s="0"/>
      <c r="GMJ58" s="0"/>
      <c r="GMK58" s="0"/>
      <c r="GML58" s="0"/>
      <c r="GMM58" s="0"/>
      <c r="GMN58" s="0"/>
      <c r="GMO58" s="0"/>
      <c r="GMP58" s="0"/>
      <c r="GMQ58" s="0"/>
      <c r="GMR58" s="0"/>
      <c r="GMS58" s="0"/>
      <c r="GMT58" s="0"/>
      <c r="GMU58" s="0"/>
      <c r="GMV58" s="0"/>
      <c r="GMW58" s="0"/>
      <c r="GMX58" s="0"/>
      <c r="GMY58" s="0"/>
      <c r="GMZ58" s="0"/>
      <c r="GNA58" s="0"/>
      <c r="GNB58" s="0"/>
      <c r="GNC58" s="0"/>
      <c r="GND58" s="0"/>
      <c r="GNE58" s="0"/>
      <c r="GNF58" s="0"/>
      <c r="GNG58" s="0"/>
      <c r="GNH58" s="0"/>
      <c r="GNI58" s="0"/>
      <c r="GNJ58" s="0"/>
      <c r="GNK58" s="0"/>
      <c r="GNL58" s="0"/>
      <c r="GNM58" s="0"/>
      <c r="GNN58" s="0"/>
      <c r="GNO58" s="0"/>
      <c r="GNP58" s="0"/>
      <c r="GNQ58" s="0"/>
      <c r="GNR58" s="0"/>
      <c r="GNS58" s="0"/>
      <c r="GNT58" s="0"/>
      <c r="GNU58" s="0"/>
      <c r="GNV58" s="0"/>
      <c r="GNW58" s="0"/>
      <c r="GNX58" s="0"/>
      <c r="GNY58" s="0"/>
      <c r="GNZ58" s="0"/>
      <c r="GOA58" s="0"/>
      <c r="GOB58" s="0"/>
      <c r="GOC58" s="0"/>
      <c r="GOD58" s="0"/>
      <c r="GOE58" s="0"/>
      <c r="GOF58" s="0"/>
      <c r="GOG58" s="0"/>
      <c r="GOH58" s="0"/>
      <c r="GOI58" s="0"/>
      <c r="GOJ58" s="0"/>
      <c r="GOK58" s="0"/>
      <c r="GOL58" s="0"/>
      <c r="GOM58" s="0"/>
      <c r="GON58" s="0"/>
      <c r="GOO58" s="0"/>
      <c r="GOP58" s="0"/>
      <c r="GOQ58" s="0"/>
      <c r="GOR58" s="0"/>
      <c r="GOS58" s="0"/>
      <c r="GOT58" s="0"/>
      <c r="GOU58" s="0"/>
      <c r="GOV58" s="0"/>
      <c r="GOW58" s="0"/>
      <c r="GOX58" s="0"/>
      <c r="GOY58" s="0"/>
      <c r="GOZ58" s="0"/>
      <c r="GPA58" s="0"/>
      <c r="GPB58" s="0"/>
      <c r="GPC58" s="0"/>
      <c r="GPD58" s="0"/>
      <c r="GPE58" s="0"/>
      <c r="GPF58" s="0"/>
      <c r="GPG58" s="0"/>
      <c r="GPH58" s="0"/>
      <c r="GPI58" s="0"/>
      <c r="GPJ58" s="0"/>
      <c r="GPK58" s="0"/>
      <c r="GPL58" s="0"/>
      <c r="GPM58" s="0"/>
      <c r="GPN58" s="0"/>
      <c r="GPO58" s="0"/>
      <c r="GPP58" s="0"/>
      <c r="GPQ58" s="0"/>
      <c r="GPR58" s="0"/>
      <c r="GPS58" s="0"/>
      <c r="GPT58" s="0"/>
      <c r="GPU58" s="0"/>
      <c r="GPV58" s="0"/>
      <c r="GPW58" s="0"/>
      <c r="GPX58" s="0"/>
      <c r="GPY58" s="0"/>
      <c r="GPZ58" s="0"/>
      <c r="GQA58" s="0"/>
      <c r="GQB58" s="0"/>
      <c r="GQC58" s="0"/>
      <c r="GQD58" s="0"/>
      <c r="GQE58" s="0"/>
      <c r="GQF58" s="0"/>
      <c r="GQG58" s="0"/>
      <c r="GQH58" s="0"/>
      <c r="GQI58" s="0"/>
      <c r="GQJ58" s="0"/>
      <c r="GQK58" s="0"/>
      <c r="GQL58" s="0"/>
      <c r="GQM58" s="0"/>
      <c r="GQN58" s="0"/>
      <c r="GQO58" s="0"/>
      <c r="GQP58" s="0"/>
      <c r="GQQ58" s="0"/>
      <c r="GQR58" s="0"/>
      <c r="GQS58" s="0"/>
      <c r="GQT58" s="0"/>
      <c r="GQU58" s="0"/>
      <c r="GQV58" s="0"/>
      <c r="GQW58" s="0"/>
      <c r="GQX58" s="0"/>
      <c r="GQY58" s="0"/>
      <c r="GQZ58" s="0"/>
      <c r="GRA58" s="0"/>
      <c r="GRB58" s="0"/>
      <c r="GRC58" s="0"/>
      <c r="GRD58" s="0"/>
      <c r="GRE58" s="0"/>
      <c r="GRF58" s="0"/>
      <c r="GRG58" s="0"/>
      <c r="GRH58" s="0"/>
      <c r="GRI58" s="0"/>
      <c r="GRJ58" s="0"/>
      <c r="GRK58" s="0"/>
      <c r="GRL58" s="0"/>
      <c r="GRM58" s="0"/>
      <c r="GRN58" s="0"/>
      <c r="GRO58" s="0"/>
      <c r="GRP58" s="0"/>
      <c r="GRQ58" s="0"/>
      <c r="GRR58" s="0"/>
      <c r="GRS58" s="0"/>
      <c r="GRT58" s="0"/>
      <c r="GRU58" s="0"/>
      <c r="GRV58" s="0"/>
      <c r="GRW58" s="0"/>
      <c r="GRX58" s="0"/>
      <c r="GRY58" s="0"/>
      <c r="GRZ58" s="0"/>
      <c r="GSA58" s="0"/>
      <c r="GSB58" s="0"/>
      <c r="GSC58" s="0"/>
      <c r="GSD58" s="0"/>
      <c r="GSE58" s="0"/>
      <c r="GSF58" s="0"/>
      <c r="GSG58" s="0"/>
      <c r="GSH58" s="0"/>
      <c r="GSI58" s="0"/>
      <c r="GSJ58" s="0"/>
      <c r="GSK58" s="0"/>
      <c r="GSL58" s="0"/>
      <c r="GSM58" s="0"/>
      <c r="GSN58" s="0"/>
      <c r="GSO58" s="0"/>
      <c r="GSP58" s="0"/>
      <c r="GSQ58" s="0"/>
      <c r="GSR58" s="0"/>
      <c r="GSS58" s="0"/>
      <c r="GST58" s="0"/>
      <c r="GSU58" s="0"/>
      <c r="GSV58" s="0"/>
      <c r="GSW58" s="0"/>
      <c r="GSX58" s="0"/>
      <c r="GSY58" s="0"/>
      <c r="GSZ58" s="0"/>
      <c r="GTA58" s="0"/>
      <c r="GTB58" s="0"/>
      <c r="GTC58" s="0"/>
      <c r="GTD58" s="0"/>
      <c r="GTE58" s="0"/>
      <c r="GTF58" s="0"/>
      <c r="GTG58" s="0"/>
      <c r="GTH58" s="0"/>
      <c r="GTI58" s="0"/>
      <c r="GTJ58" s="0"/>
      <c r="GTK58" s="0"/>
      <c r="GTL58" s="0"/>
      <c r="GTM58" s="0"/>
      <c r="GTN58" s="0"/>
      <c r="GTO58" s="0"/>
      <c r="GTP58" s="0"/>
      <c r="GTQ58" s="0"/>
      <c r="GTR58" s="0"/>
      <c r="GTS58" s="0"/>
      <c r="GTT58" s="0"/>
      <c r="GTU58" s="0"/>
      <c r="GTV58" s="0"/>
      <c r="GTW58" s="0"/>
      <c r="GTX58" s="0"/>
      <c r="GTY58" s="0"/>
      <c r="GTZ58" s="0"/>
      <c r="GUA58" s="0"/>
      <c r="GUB58" s="0"/>
      <c r="GUC58" s="0"/>
      <c r="GUD58" s="0"/>
      <c r="GUE58" s="0"/>
      <c r="GUF58" s="0"/>
      <c r="GUG58" s="0"/>
      <c r="GUH58" s="0"/>
      <c r="GUI58" s="0"/>
      <c r="GUJ58" s="0"/>
      <c r="GUK58" s="0"/>
      <c r="GUL58" s="0"/>
      <c r="GUM58" s="0"/>
      <c r="GUN58" s="0"/>
      <c r="GUO58" s="0"/>
      <c r="GUP58" s="0"/>
      <c r="GUQ58" s="0"/>
      <c r="GUR58" s="0"/>
      <c r="GUS58" s="0"/>
      <c r="GUT58" s="0"/>
      <c r="GUU58" s="0"/>
      <c r="GUV58" s="0"/>
      <c r="GUW58" s="0"/>
      <c r="GUX58" s="0"/>
      <c r="GUY58" s="0"/>
      <c r="GUZ58" s="0"/>
      <c r="GVA58" s="0"/>
      <c r="GVB58" s="0"/>
      <c r="GVC58" s="0"/>
      <c r="GVD58" s="0"/>
      <c r="GVE58" s="0"/>
      <c r="GVF58" s="0"/>
      <c r="GVG58" s="0"/>
      <c r="GVH58" s="0"/>
      <c r="GVI58" s="0"/>
      <c r="GVJ58" s="0"/>
      <c r="GVK58" s="0"/>
      <c r="GVL58" s="0"/>
      <c r="GVM58" s="0"/>
      <c r="GVN58" s="0"/>
      <c r="GVO58" s="0"/>
      <c r="GVP58" s="0"/>
      <c r="GVQ58" s="0"/>
      <c r="GVR58" s="0"/>
      <c r="GVS58" s="0"/>
      <c r="GVT58" s="0"/>
      <c r="GVU58" s="0"/>
      <c r="GVV58" s="0"/>
      <c r="GVW58" s="0"/>
      <c r="GVX58" s="0"/>
      <c r="GVY58" s="0"/>
      <c r="GVZ58" s="0"/>
      <c r="GWA58" s="0"/>
      <c r="GWB58" s="0"/>
      <c r="GWC58" s="0"/>
      <c r="GWD58" s="0"/>
      <c r="GWE58" s="0"/>
      <c r="GWF58" s="0"/>
      <c r="GWG58" s="0"/>
      <c r="GWH58" s="0"/>
      <c r="GWI58" s="0"/>
      <c r="GWJ58" s="0"/>
      <c r="GWK58" s="0"/>
      <c r="GWL58" s="0"/>
      <c r="GWM58" s="0"/>
      <c r="GWN58" s="0"/>
      <c r="GWO58" s="0"/>
      <c r="GWP58" s="0"/>
      <c r="GWQ58" s="0"/>
      <c r="GWR58" s="0"/>
      <c r="GWS58" s="0"/>
      <c r="GWT58" s="0"/>
      <c r="GWU58" s="0"/>
      <c r="GWV58" s="0"/>
      <c r="GWW58" s="0"/>
      <c r="GWX58" s="0"/>
      <c r="GWY58" s="0"/>
      <c r="GWZ58" s="0"/>
      <c r="GXA58" s="0"/>
      <c r="GXB58" s="0"/>
      <c r="GXC58" s="0"/>
      <c r="GXD58" s="0"/>
      <c r="GXE58" s="0"/>
      <c r="GXF58" s="0"/>
      <c r="GXG58" s="0"/>
      <c r="GXH58" s="0"/>
      <c r="GXI58" s="0"/>
      <c r="GXJ58" s="0"/>
      <c r="GXK58" s="0"/>
      <c r="GXL58" s="0"/>
      <c r="GXM58" s="0"/>
      <c r="GXN58" s="0"/>
      <c r="GXO58" s="0"/>
      <c r="GXP58" s="0"/>
      <c r="GXQ58" s="0"/>
      <c r="GXR58" s="0"/>
      <c r="GXS58" s="0"/>
      <c r="GXT58" s="0"/>
      <c r="GXU58" s="0"/>
      <c r="GXV58" s="0"/>
      <c r="GXW58" s="0"/>
      <c r="GXX58" s="0"/>
      <c r="GXY58" s="0"/>
      <c r="GXZ58" s="0"/>
      <c r="GYA58" s="0"/>
      <c r="GYB58" s="0"/>
      <c r="GYC58" s="0"/>
      <c r="GYD58" s="0"/>
      <c r="GYE58" s="0"/>
      <c r="GYF58" s="0"/>
      <c r="GYG58" s="0"/>
      <c r="GYH58" s="0"/>
      <c r="GYI58" s="0"/>
      <c r="GYJ58" s="0"/>
      <c r="GYK58" s="0"/>
      <c r="GYL58" s="0"/>
      <c r="GYM58" s="0"/>
      <c r="GYN58" s="0"/>
      <c r="GYO58" s="0"/>
      <c r="GYP58" s="0"/>
      <c r="GYQ58" s="0"/>
      <c r="GYR58" s="0"/>
      <c r="GYS58" s="0"/>
      <c r="GYT58" s="0"/>
      <c r="GYU58" s="0"/>
      <c r="GYV58" s="0"/>
      <c r="GYW58" s="0"/>
      <c r="GYX58" s="0"/>
      <c r="GYY58" s="0"/>
      <c r="GYZ58" s="0"/>
      <c r="GZA58" s="0"/>
      <c r="GZB58" s="0"/>
      <c r="GZC58" s="0"/>
      <c r="GZD58" s="0"/>
      <c r="GZE58" s="0"/>
      <c r="GZF58" s="0"/>
      <c r="GZG58" s="0"/>
      <c r="GZH58" s="0"/>
      <c r="GZI58" s="0"/>
      <c r="GZJ58" s="0"/>
      <c r="GZK58" s="0"/>
      <c r="GZL58" s="0"/>
      <c r="GZM58" s="0"/>
      <c r="GZN58" s="0"/>
      <c r="GZO58" s="0"/>
      <c r="GZP58" s="0"/>
      <c r="GZQ58" s="0"/>
      <c r="GZR58" s="0"/>
      <c r="GZS58" s="0"/>
      <c r="GZT58" s="0"/>
      <c r="GZU58" s="0"/>
      <c r="GZV58" s="0"/>
      <c r="GZW58" s="0"/>
      <c r="GZX58" s="0"/>
      <c r="GZY58" s="0"/>
      <c r="GZZ58" s="0"/>
      <c r="HAA58" s="0"/>
      <c r="HAB58" s="0"/>
      <c r="HAC58" s="0"/>
      <c r="HAD58" s="0"/>
      <c r="HAE58" s="0"/>
      <c r="HAF58" s="0"/>
      <c r="HAG58" s="0"/>
      <c r="HAH58" s="0"/>
      <c r="HAI58" s="0"/>
      <c r="HAJ58" s="0"/>
      <c r="HAK58" s="0"/>
      <c r="HAL58" s="0"/>
      <c r="HAM58" s="0"/>
      <c r="HAN58" s="0"/>
      <c r="HAO58" s="0"/>
      <c r="HAP58" s="0"/>
      <c r="HAQ58" s="0"/>
      <c r="HAR58" s="0"/>
      <c r="HAS58" s="0"/>
      <c r="HAT58" s="0"/>
      <c r="HAU58" s="0"/>
      <c r="HAV58" s="0"/>
      <c r="HAW58" s="0"/>
      <c r="HAX58" s="0"/>
      <c r="HAY58" s="0"/>
      <c r="HAZ58" s="0"/>
      <c r="HBA58" s="0"/>
      <c r="HBB58" s="0"/>
      <c r="HBC58" s="0"/>
      <c r="HBD58" s="0"/>
      <c r="HBE58" s="0"/>
      <c r="HBF58" s="0"/>
      <c r="HBG58" s="0"/>
      <c r="HBH58" s="0"/>
      <c r="HBI58" s="0"/>
      <c r="HBJ58" s="0"/>
      <c r="HBK58" s="0"/>
      <c r="HBL58" s="0"/>
      <c r="HBM58" s="0"/>
      <c r="HBN58" s="0"/>
      <c r="HBO58" s="0"/>
      <c r="HBP58" s="0"/>
      <c r="HBQ58" s="0"/>
      <c r="HBR58" s="0"/>
      <c r="HBS58" s="0"/>
      <c r="HBT58" s="0"/>
      <c r="HBU58" s="0"/>
      <c r="HBV58" s="0"/>
      <c r="HBW58" s="0"/>
      <c r="HBX58" s="0"/>
      <c r="HBY58" s="0"/>
      <c r="HBZ58" s="0"/>
      <c r="HCA58" s="0"/>
      <c r="HCB58" s="0"/>
      <c r="HCC58" s="0"/>
      <c r="HCD58" s="0"/>
      <c r="HCE58" s="0"/>
      <c r="HCF58" s="0"/>
      <c r="HCG58" s="0"/>
      <c r="HCH58" s="0"/>
      <c r="HCI58" s="0"/>
      <c r="HCJ58" s="0"/>
      <c r="HCK58" s="0"/>
      <c r="HCL58" s="0"/>
      <c r="HCM58" s="0"/>
      <c r="HCN58" s="0"/>
      <c r="HCO58" s="0"/>
      <c r="HCP58" s="0"/>
      <c r="HCQ58" s="0"/>
      <c r="HCR58" s="0"/>
      <c r="HCS58" s="0"/>
      <c r="HCT58" s="0"/>
      <c r="HCU58" s="0"/>
      <c r="HCV58" s="0"/>
      <c r="HCW58" s="0"/>
      <c r="HCX58" s="0"/>
      <c r="HCY58" s="0"/>
      <c r="HCZ58" s="0"/>
      <c r="HDA58" s="0"/>
      <c r="HDB58" s="0"/>
      <c r="HDC58" s="0"/>
      <c r="HDD58" s="0"/>
      <c r="HDE58" s="0"/>
      <c r="HDF58" s="0"/>
      <c r="HDG58" s="0"/>
      <c r="HDH58" s="0"/>
      <c r="HDI58" s="0"/>
      <c r="HDJ58" s="0"/>
      <c r="HDK58" s="0"/>
      <c r="HDL58" s="0"/>
      <c r="HDM58" s="0"/>
      <c r="HDN58" s="0"/>
      <c r="HDO58" s="0"/>
      <c r="HDP58" s="0"/>
      <c r="HDQ58" s="0"/>
      <c r="HDR58" s="0"/>
      <c r="HDS58" s="0"/>
      <c r="HDT58" s="0"/>
      <c r="HDU58" s="0"/>
      <c r="HDV58" s="0"/>
      <c r="HDW58" s="0"/>
      <c r="HDX58" s="0"/>
      <c r="HDY58" s="0"/>
      <c r="HDZ58" s="0"/>
      <c r="HEA58" s="0"/>
      <c r="HEB58" s="0"/>
      <c r="HEC58" s="0"/>
      <c r="HED58" s="0"/>
      <c r="HEE58" s="0"/>
      <c r="HEF58" s="0"/>
      <c r="HEG58" s="0"/>
      <c r="HEH58" s="0"/>
      <c r="HEI58" s="0"/>
      <c r="HEJ58" s="0"/>
      <c r="HEK58" s="0"/>
      <c r="HEL58" s="0"/>
      <c r="HEM58" s="0"/>
      <c r="HEN58" s="0"/>
      <c r="HEO58" s="0"/>
      <c r="HEP58" s="0"/>
      <c r="HEQ58" s="0"/>
      <c r="HER58" s="0"/>
      <c r="HES58" s="0"/>
      <c r="HET58" s="0"/>
      <c r="HEU58" s="0"/>
      <c r="HEV58" s="0"/>
      <c r="HEW58" s="0"/>
      <c r="HEX58" s="0"/>
      <c r="HEY58" s="0"/>
      <c r="HEZ58" s="0"/>
      <c r="HFA58" s="0"/>
      <c r="HFB58" s="0"/>
      <c r="HFC58" s="0"/>
      <c r="HFD58" s="0"/>
      <c r="HFE58" s="0"/>
      <c r="HFF58" s="0"/>
      <c r="HFG58" s="0"/>
      <c r="HFH58" s="0"/>
      <c r="HFI58" s="0"/>
      <c r="HFJ58" s="0"/>
      <c r="HFK58" s="0"/>
      <c r="HFL58" s="0"/>
      <c r="HFM58" s="0"/>
      <c r="HFN58" s="0"/>
      <c r="HFO58" s="0"/>
      <c r="HFP58" s="0"/>
      <c r="HFQ58" s="0"/>
      <c r="HFR58" s="0"/>
      <c r="HFS58" s="0"/>
      <c r="HFT58" s="0"/>
      <c r="HFU58" s="0"/>
      <c r="HFV58" s="0"/>
      <c r="HFW58" s="0"/>
      <c r="HFX58" s="0"/>
      <c r="HFY58" s="0"/>
      <c r="HFZ58" s="0"/>
      <c r="HGA58" s="0"/>
      <c r="HGB58" s="0"/>
      <c r="HGC58" s="0"/>
      <c r="HGD58" s="0"/>
      <c r="HGE58" s="0"/>
      <c r="HGF58" s="0"/>
      <c r="HGG58" s="0"/>
      <c r="HGH58" s="0"/>
      <c r="HGI58" s="0"/>
      <c r="HGJ58" s="0"/>
      <c r="HGK58" s="0"/>
      <c r="HGL58" s="0"/>
      <c r="HGM58" s="0"/>
      <c r="HGN58" s="0"/>
      <c r="HGO58" s="0"/>
      <c r="HGP58" s="0"/>
      <c r="HGQ58" s="0"/>
      <c r="HGR58" s="0"/>
      <c r="HGS58" s="0"/>
      <c r="HGT58" s="0"/>
      <c r="HGU58" s="0"/>
      <c r="HGV58" s="0"/>
      <c r="HGW58" s="0"/>
      <c r="HGX58" s="0"/>
      <c r="HGY58" s="0"/>
      <c r="HGZ58" s="0"/>
      <c r="HHA58" s="0"/>
      <c r="HHB58" s="0"/>
      <c r="HHC58" s="0"/>
      <c r="HHD58" s="0"/>
      <c r="HHE58" s="0"/>
      <c r="HHF58" s="0"/>
      <c r="HHG58" s="0"/>
      <c r="HHH58" s="0"/>
      <c r="HHI58" s="0"/>
      <c r="HHJ58" s="0"/>
      <c r="HHK58" s="0"/>
      <c r="HHL58" s="0"/>
      <c r="HHM58" s="0"/>
      <c r="HHN58" s="0"/>
      <c r="HHO58" s="0"/>
      <c r="HHP58" s="0"/>
      <c r="HHQ58" s="0"/>
      <c r="HHR58" s="0"/>
      <c r="HHS58" s="0"/>
      <c r="HHT58" s="0"/>
      <c r="HHU58" s="0"/>
      <c r="HHV58" s="0"/>
      <c r="HHW58" s="0"/>
      <c r="HHX58" s="0"/>
      <c r="HHY58" s="0"/>
      <c r="HHZ58" s="0"/>
      <c r="HIA58" s="0"/>
      <c r="HIB58" s="0"/>
      <c r="HIC58" s="0"/>
      <c r="HID58" s="0"/>
      <c r="HIE58" s="0"/>
      <c r="HIF58" s="0"/>
      <c r="HIG58" s="0"/>
      <c r="HIH58" s="0"/>
      <c r="HII58" s="0"/>
      <c r="HIJ58" s="0"/>
      <c r="HIK58" s="0"/>
      <c r="HIL58" s="0"/>
      <c r="HIM58" s="0"/>
      <c r="HIN58" s="0"/>
      <c r="HIO58" s="0"/>
      <c r="HIP58" s="0"/>
      <c r="HIQ58" s="0"/>
      <c r="HIR58" s="0"/>
      <c r="HIS58" s="0"/>
      <c r="HIT58" s="0"/>
      <c r="HIU58" s="0"/>
      <c r="HIV58" s="0"/>
      <c r="HIW58" s="0"/>
      <c r="HIX58" s="0"/>
      <c r="HIY58" s="0"/>
      <c r="HIZ58" s="0"/>
      <c r="HJA58" s="0"/>
      <c r="HJB58" s="0"/>
      <c r="HJC58" s="0"/>
      <c r="HJD58" s="0"/>
      <c r="HJE58" s="0"/>
      <c r="HJF58" s="0"/>
      <c r="HJG58" s="0"/>
      <c r="HJH58" s="0"/>
      <c r="HJI58" s="0"/>
      <c r="HJJ58" s="0"/>
      <c r="HJK58" s="0"/>
      <c r="HJL58" s="0"/>
      <c r="HJM58" s="0"/>
      <c r="HJN58" s="0"/>
      <c r="HJO58" s="0"/>
      <c r="HJP58" s="0"/>
      <c r="HJQ58" s="0"/>
      <c r="HJR58" s="0"/>
      <c r="HJS58" s="0"/>
      <c r="HJT58" s="0"/>
      <c r="HJU58" s="0"/>
      <c r="HJV58" s="0"/>
      <c r="HJW58" s="0"/>
      <c r="HJX58" s="0"/>
      <c r="HJY58" s="0"/>
      <c r="HJZ58" s="0"/>
      <c r="HKA58" s="0"/>
      <c r="HKB58" s="0"/>
      <c r="HKC58" s="0"/>
      <c r="HKD58" s="0"/>
      <c r="HKE58" s="0"/>
      <c r="HKF58" s="0"/>
      <c r="HKG58" s="0"/>
      <c r="HKH58" s="0"/>
      <c r="HKI58" s="0"/>
      <c r="HKJ58" s="0"/>
      <c r="HKK58" s="0"/>
      <c r="HKL58" s="0"/>
      <c r="HKM58" s="0"/>
      <c r="HKN58" s="0"/>
      <c r="HKO58" s="0"/>
      <c r="HKP58" s="0"/>
      <c r="HKQ58" s="0"/>
      <c r="HKR58" s="0"/>
      <c r="HKS58" s="0"/>
      <c r="HKT58" s="0"/>
      <c r="HKU58" s="0"/>
      <c r="HKV58" s="0"/>
      <c r="HKW58" s="0"/>
      <c r="HKX58" s="0"/>
      <c r="HKY58" s="0"/>
      <c r="HKZ58" s="0"/>
      <c r="HLA58" s="0"/>
      <c r="HLB58" s="0"/>
      <c r="HLC58" s="0"/>
      <c r="HLD58" s="0"/>
      <c r="HLE58" s="0"/>
      <c r="HLF58" s="0"/>
      <c r="HLG58" s="0"/>
      <c r="HLH58" s="0"/>
      <c r="HLI58" s="0"/>
      <c r="HLJ58" s="0"/>
      <c r="HLK58" s="0"/>
      <c r="HLL58" s="0"/>
      <c r="HLM58" s="0"/>
      <c r="HLN58" s="0"/>
      <c r="HLO58" s="0"/>
      <c r="HLP58" s="0"/>
      <c r="HLQ58" s="0"/>
      <c r="HLR58" s="0"/>
      <c r="HLS58" s="0"/>
      <c r="HLT58" s="0"/>
      <c r="HLU58" s="0"/>
      <c r="HLV58" s="0"/>
      <c r="HLW58" s="0"/>
      <c r="HLX58" s="0"/>
      <c r="HLY58" s="0"/>
      <c r="HLZ58" s="0"/>
      <c r="HMA58" s="0"/>
      <c r="HMB58" s="0"/>
      <c r="HMC58" s="0"/>
      <c r="HMD58" s="0"/>
      <c r="HME58" s="0"/>
      <c r="HMF58" s="0"/>
      <c r="HMG58" s="0"/>
      <c r="HMH58" s="0"/>
      <c r="HMI58" s="0"/>
      <c r="HMJ58" s="0"/>
      <c r="HMK58" s="0"/>
      <c r="HML58" s="0"/>
      <c r="HMM58" s="0"/>
      <c r="HMN58" s="0"/>
      <c r="HMO58" s="0"/>
      <c r="HMP58" s="0"/>
      <c r="HMQ58" s="0"/>
      <c r="HMR58" s="0"/>
      <c r="HMS58" s="0"/>
      <c r="HMT58" s="0"/>
      <c r="HMU58" s="0"/>
      <c r="HMV58" s="0"/>
      <c r="HMW58" s="0"/>
      <c r="HMX58" s="0"/>
      <c r="HMY58" s="0"/>
      <c r="HMZ58" s="0"/>
      <c r="HNA58" s="0"/>
      <c r="HNB58" s="0"/>
      <c r="HNC58" s="0"/>
      <c r="HND58" s="0"/>
      <c r="HNE58" s="0"/>
      <c r="HNF58" s="0"/>
      <c r="HNG58" s="0"/>
      <c r="HNH58" s="0"/>
      <c r="HNI58" s="0"/>
      <c r="HNJ58" s="0"/>
      <c r="HNK58" s="0"/>
      <c r="HNL58" s="0"/>
      <c r="HNM58" s="0"/>
      <c r="HNN58" s="0"/>
      <c r="HNO58" s="0"/>
      <c r="HNP58" s="0"/>
      <c r="HNQ58" s="0"/>
      <c r="HNR58" s="0"/>
      <c r="HNS58" s="0"/>
      <c r="HNT58" s="0"/>
      <c r="HNU58" s="0"/>
      <c r="HNV58" s="0"/>
      <c r="HNW58" s="0"/>
      <c r="HNX58" s="0"/>
      <c r="HNY58" s="0"/>
      <c r="HNZ58" s="0"/>
      <c r="HOA58" s="0"/>
      <c r="HOB58" s="0"/>
      <c r="HOC58" s="0"/>
      <c r="HOD58" s="0"/>
      <c r="HOE58" s="0"/>
      <c r="HOF58" s="0"/>
      <c r="HOG58" s="0"/>
      <c r="HOH58" s="0"/>
      <c r="HOI58" s="0"/>
      <c r="HOJ58" s="0"/>
      <c r="HOK58" s="0"/>
      <c r="HOL58" s="0"/>
      <c r="HOM58" s="0"/>
      <c r="HON58" s="0"/>
      <c r="HOO58" s="0"/>
      <c r="HOP58" s="0"/>
      <c r="HOQ58" s="0"/>
      <c r="HOR58" s="0"/>
      <c r="HOS58" s="0"/>
      <c r="HOT58" s="0"/>
      <c r="HOU58" s="0"/>
      <c r="HOV58" s="0"/>
      <c r="HOW58" s="0"/>
      <c r="HOX58" s="0"/>
      <c r="HOY58" s="0"/>
      <c r="HOZ58" s="0"/>
      <c r="HPA58" s="0"/>
      <c r="HPB58" s="0"/>
      <c r="HPC58" s="0"/>
      <c r="HPD58" s="0"/>
      <c r="HPE58" s="0"/>
      <c r="HPF58" s="0"/>
      <c r="HPG58" s="0"/>
      <c r="HPH58" s="0"/>
      <c r="HPI58" s="0"/>
      <c r="HPJ58" s="0"/>
      <c r="HPK58" s="0"/>
      <c r="HPL58" s="0"/>
      <c r="HPM58" s="0"/>
      <c r="HPN58" s="0"/>
      <c r="HPO58" s="0"/>
      <c r="HPP58" s="0"/>
      <c r="HPQ58" s="0"/>
      <c r="HPR58" s="0"/>
      <c r="HPS58" s="0"/>
      <c r="HPT58" s="0"/>
      <c r="HPU58" s="0"/>
      <c r="HPV58" s="0"/>
      <c r="HPW58" s="0"/>
      <c r="HPX58" s="0"/>
      <c r="HPY58" s="0"/>
      <c r="HPZ58" s="0"/>
      <c r="HQA58" s="0"/>
      <c r="HQB58" s="0"/>
      <c r="HQC58" s="0"/>
      <c r="HQD58" s="0"/>
      <c r="HQE58" s="0"/>
      <c r="HQF58" s="0"/>
      <c r="HQG58" s="0"/>
      <c r="HQH58" s="0"/>
      <c r="HQI58" s="0"/>
      <c r="HQJ58" s="0"/>
      <c r="HQK58" s="0"/>
      <c r="HQL58" s="0"/>
      <c r="HQM58" s="0"/>
      <c r="HQN58" s="0"/>
      <c r="HQO58" s="0"/>
      <c r="HQP58" s="0"/>
      <c r="HQQ58" s="0"/>
      <c r="HQR58" s="0"/>
      <c r="HQS58" s="0"/>
      <c r="HQT58" s="0"/>
      <c r="HQU58" s="0"/>
      <c r="HQV58" s="0"/>
      <c r="HQW58" s="0"/>
      <c r="HQX58" s="0"/>
      <c r="HQY58" s="0"/>
      <c r="HQZ58" s="0"/>
      <c r="HRA58" s="0"/>
      <c r="HRB58" s="0"/>
      <c r="HRC58" s="0"/>
      <c r="HRD58" s="0"/>
      <c r="HRE58" s="0"/>
      <c r="HRF58" s="0"/>
      <c r="HRG58" s="0"/>
      <c r="HRH58" s="0"/>
      <c r="HRI58" s="0"/>
      <c r="HRJ58" s="0"/>
      <c r="HRK58" s="0"/>
      <c r="HRL58" s="0"/>
      <c r="HRM58" s="0"/>
      <c r="HRN58" s="0"/>
      <c r="HRO58" s="0"/>
      <c r="HRP58" s="0"/>
      <c r="HRQ58" s="0"/>
      <c r="HRR58" s="0"/>
      <c r="HRS58" s="0"/>
      <c r="HRT58" s="0"/>
      <c r="HRU58" s="0"/>
      <c r="HRV58" s="0"/>
      <c r="HRW58" s="0"/>
      <c r="HRX58" s="0"/>
      <c r="HRY58" s="0"/>
      <c r="HRZ58" s="0"/>
      <c r="HSA58" s="0"/>
      <c r="HSB58" s="0"/>
      <c r="HSC58" s="0"/>
      <c r="HSD58" s="0"/>
      <c r="HSE58" s="0"/>
      <c r="HSF58" s="0"/>
      <c r="HSG58" s="0"/>
      <c r="HSH58" s="0"/>
      <c r="HSI58" s="0"/>
      <c r="HSJ58" s="0"/>
      <c r="HSK58" s="0"/>
      <c r="HSL58" s="0"/>
      <c r="HSM58" s="0"/>
      <c r="HSN58" s="0"/>
      <c r="HSO58" s="0"/>
      <c r="HSP58" s="0"/>
      <c r="HSQ58" s="0"/>
      <c r="HSR58" s="0"/>
      <c r="HSS58" s="0"/>
      <c r="HST58" s="0"/>
      <c r="HSU58" s="0"/>
      <c r="HSV58" s="0"/>
      <c r="HSW58" s="0"/>
      <c r="HSX58" s="0"/>
      <c r="HSY58" s="0"/>
      <c r="HSZ58" s="0"/>
      <c r="HTA58" s="0"/>
      <c r="HTB58" s="0"/>
      <c r="HTC58" s="0"/>
      <c r="HTD58" s="0"/>
      <c r="HTE58" s="0"/>
      <c r="HTF58" s="0"/>
      <c r="HTG58" s="0"/>
      <c r="HTH58" s="0"/>
      <c r="HTI58" s="0"/>
      <c r="HTJ58" s="0"/>
      <c r="HTK58" s="0"/>
      <c r="HTL58" s="0"/>
      <c r="HTM58" s="0"/>
      <c r="HTN58" s="0"/>
      <c r="HTO58" s="0"/>
      <c r="HTP58" s="0"/>
      <c r="HTQ58" s="0"/>
      <c r="HTR58" s="0"/>
      <c r="HTS58" s="0"/>
      <c r="HTT58" s="0"/>
      <c r="HTU58" s="0"/>
      <c r="HTV58" s="0"/>
      <c r="HTW58" s="0"/>
      <c r="HTX58" s="0"/>
      <c r="HTY58" s="0"/>
      <c r="HTZ58" s="0"/>
      <c r="HUA58" s="0"/>
      <c r="HUB58" s="0"/>
      <c r="HUC58" s="0"/>
      <c r="HUD58" s="0"/>
      <c r="HUE58" s="0"/>
      <c r="HUF58" s="0"/>
      <c r="HUG58" s="0"/>
      <c r="HUH58" s="0"/>
      <c r="HUI58" s="0"/>
      <c r="HUJ58" s="0"/>
      <c r="HUK58" s="0"/>
      <c r="HUL58" s="0"/>
      <c r="HUM58" s="0"/>
      <c r="HUN58" s="0"/>
      <c r="HUO58" s="0"/>
      <c r="HUP58" s="0"/>
      <c r="HUQ58" s="0"/>
      <c r="HUR58" s="0"/>
      <c r="HUS58" s="0"/>
      <c r="HUT58" s="0"/>
      <c r="HUU58" s="0"/>
      <c r="HUV58" s="0"/>
      <c r="HUW58" s="0"/>
      <c r="HUX58" s="0"/>
      <c r="HUY58" s="0"/>
      <c r="HUZ58" s="0"/>
      <c r="HVA58" s="0"/>
      <c r="HVB58" s="0"/>
      <c r="HVC58" s="0"/>
      <c r="HVD58" s="0"/>
      <c r="HVE58" s="0"/>
      <c r="HVF58" s="0"/>
      <c r="HVG58" s="0"/>
      <c r="HVH58" s="0"/>
      <c r="HVI58" s="0"/>
      <c r="HVJ58" s="0"/>
      <c r="HVK58" s="0"/>
      <c r="HVL58" s="0"/>
      <c r="HVM58" s="0"/>
      <c r="HVN58" s="0"/>
      <c r="HVO58" s="0"/>
      <c r="HVP58" s="0"/>
      <c r="HVQ58" s="0"/>
      <c r="HVR58" s="0"/>
      <c r="HVS58" s="0"/>
      <c r="HVT58" s="0"/>
      <c r="HVU58" s="0"/>
      <c r="HVV58" s="0"/>
      <c r="HVW58" s="0"/>
      <c r="HVX58" s="0"/>
      <c r="HVY58" s="0"/>
      <c r="HVZ58" s="0"/>
      <c r="HWA58" s="0"/>
      <c r="HWB58" s="0"/>
      <c r="HWC58" s="0"/>
      <c r="HWD58" s="0"/>
      <c r="HWE58" s="0"/>
      <c r="HWF58" s="0"/>
      <c r="HWG58" s="0"/>
      <c r="HWH58" s="0"/>
      <c r="HWI58" s="0"/>
      <c r="HWJ58" s="0"/>
      <c r="HWK58" s="0"/>
      <c r="HWL58" s="0"/>
      <c r="HWM58" s="0"/>
      <c r="HWN58" s="0"/>
      <c r="HWO58" s="0"/>
      <c r="HWP58" s="0"/>
      <c r="HWQ58" s="0"/>
      <c r="HWR58" s="0"/>
      <c r="HWS58" s="0"/>
      <c r="HWT58" s="0"/>
      <c r="HWU58" s="0"/>
      <c r="HWV58" s="0"/>
      <c r="HWW58" s="0"/>
      <c r="HWX58" s="0"/>
      <c r="HWY58" s="0"/>
      <c r="HWZ58" s="0"/>
      <c r="HXA58" s="0"/>
      <c r="HXB58" s="0"/>
      <c r="HXC58" s="0"/>
      <c r="HXD58" s="0"/>
      <c r="HXE58" s="0"/>
      <c r="HXF58" s="0"/>
      <c r="HXG58" s="0"/>
      <c r="HXH58" s="0"/>
      <c r="HXI58" s="0"/>
      <c r="HXJ58" s="0"/>
      <c r="HXK58" s="0"/>
      <c r="HXL58" s="0"/>
      <c r="HXM58" s="0"/>
      <c r="HXN58" s="0"/>
      <c r="HXO58" s="0"/>
      <c r="HXP58" s="0"/>
      <c r="HXQ58" s="0"/>
      <c r="HXR58" s="0"/>
      <c r="HXS58" s="0"/>
      <c r="HXT58" s="0"/>
      <c r="HXU58" s="0"/>
      <c r="HXV58" s="0"/>
      <c r="HXW58" s="0"/>
      <c r="HXX58" s="0"/>
      <c r="HXY58" s="0"/>
      <c r="HXZ58" s="0"/>
      <c r="HYA58" s="0"/>
      <c r="HYB58" s="0"/>
      <c r="HYC58" s="0"/>
      <c r="HYD58" s="0"/>
      <c r="HYE58" s="0"/>
      <c r="HYF58" s="0"/>
      <c r="HYG58" s="0"/>
      <c r="HYH58" s="0"/>
      <c r="HYI58" s="0"/>
      <c r="HYJ58" s="0"/>
      <c r="HYK58" s="0"/>
      <c r="HYL58" s="0"/>
      <c r="HYM58" s="0"/>
      <c r="HYN58" s="0"/>
      <c r="HYO58" s="0"/>
      <c r="HYP58" s="0"/>
      <c r="HYQ58" s="0"/>
      <c r="HYR58" s="0"/>
      <c r="HYS58" s="0"/>
      <c r="HYT58" s="0"/>
      <c r="HYU58" s="0"/>
      <c r="HYV58" s="0"/>
      <c r="HYW58" s="0"/>
      <c r="HYX58" s="0"/>
      <c r="HYY58" s="0"/>
      <c r="HYZ58" s="0"/>
      <c r="HZA58" s="0"/>
      <c r="HZB58" s="0"/>
      <c r="HZC58" s="0"/>
      <c r="HZD58" s="0"/>
      <c r="HZE58" s="0"/>
      <c r="HZF58" s="0"/>
      <c r="HZG58" s="0"/>
      <c r="HZH58" s="0"/>
      <c r="HZI58" s="0"/>
      <c r="HZJ58" s="0"/>
      <c r="HZK58" s="0"/>
      <c r="HZL58" s="0"/>
      <c r="HZM58" s="0"/>
      <c r="HZN58" s="0"/>
      <c r="HZO58" s="0"/>
      <c r="HZP58" s="0"/>
      <c r="HZQ58" s="0"/>
      <c r="HZR58" s="0"/>
      <c r="HZS58" s="0"/>
      <c r="HZT58" s="0"/>
      <c r="HZU58" s="0"/>
      <c r="HZV58" s="0"/>
      <c r="HZW58" s="0"/>
      <c r="HZX58" s="0"/>
      <c r="HZY58" s="0"/>
      <c r="HZZ58" s="0"/>
      <c r="IAA58" s="0"/>
      <c r="IAB58" s="0"/>
      <c r="IAC58" s="0"/>
      <c r="IAD58" s="0"/>
      <c r="IAE58" s="0"/>
      <c r="IAF58" s="0"/>
      <c r="IAG58" s="0"/>
      <c r="IAH58" s="0"/>
      <c r="IAI58" s="0"/>
      <c r="IAJ58" s="0"/>
      <c r="IAK58" s="0"/>
      <c r="IAL58" s="0"/>
      <c r="IAM58" s="0"/>
      <c r="IAN58" s="0"/>
      <c r="IAO58" s="0"/>
      <c r="IAP58" s="0"/>
      <c r="IAQ58" s="0"/>
      <c r="IAR58" s="0"/>
      <c r="IAS58" s="0"/>
      <c r="IAT58" s="0"/>
      <c r="IAU58" s="0"/>
      <c r="IAV58" s="0"/>
      <c r="IAW58" s="0"/>
      <c r="IAX58" s="0"/>
      <c r="IAY58" s="0"/>
      <c r="IAZ58" s="0"/>
      <c r="IBA58" s="0"/>
      <c r="IBB58" s="0"/>
      <c r="IBC58" s="0"/>
      <c r="IBD58" s="0"/>
      <c r="IBE58" s="0"/>
      <c r="IBF58" s="0"/>
      <c r="IBG58" s="0"/>
      <c r="IBH58" s="0"/>
      <c r="IBI58" s="0"/>
      <c r="IBJ58" s="0"/>
      <c r="IBK58" s="0"/>
      <c r="IBL58" s="0"/>
      <c r="IBM58" s="0"/>
      <c r="IBN58" s="0"/>
      <c r="IBO58" s="0"/>
      <c r="IBP58" s="0"/>
      <c r="IBQ58" s="0"/>
      <c r="IBR58" s="0"/>
      <c r="IBS58" s="0"/>
      <c r="IBT58" s="0"/>
      <c r="IBU58" s="0"/>
      <c r="IBV58" s="0"/>
      <c r="IBW58" s="0"/>
      <c r="IBX58" s="0"/>
      <c r="IBY58" s="0"/>
      <c r="IBZ58" s="0"/>
      <c r="ICA58" s="0"/>
      <c r="ICB58" s="0"/>
      <c r="ICC58" s="0"/>
      <c r="ICD58" s="0"/>
      <c r="ICE58" s="0"/>
      <c r="ICF58" s="0"/>
      <c r="ICG58" s="0"/>
      <c r="ICH58" s="0"/>
      <c r="ICI58" s="0"/>
      <c r="ICJ58" s="0"/>
      <c r="ICK58" s="0"/>
      <c r="ICL58" s="0"/>
      <c r="ICM58" s="0"/>
      <c r="ICN58" s="0"/>
      <c r="ICO58" s="0"/>
      <c r="ICP58" s="0"/>
      <c r="ICQ58" s="0"/>
      <c r="ICR58" s="0"/>
      <c r="ICS58" s="0"/>
      <c r="ICT58" s="0"/>
      <c r="ICU58" s="0"/>
      <c r="ICV58" s="0"/>
      <c r="ICW58" s="0"/>
      <c r="ICX58" s="0"/>
      <c r="ICY58" s="0"/>
      <c r="ICZ58" s="0"/>
      <c r="IDA58" s="0"/>
      <c r="IDB58" s="0"/>
      <c r="IDC58" s="0"/>
      <c r="IDD58" s="0"/>
      <c r="IDE58" s="0"/>
      <c r="IDF58" s="0"/>
      <c r="IDG58" s="0"/>
      <c r="IDH58" s="0"/>
      <c r="IDI58" s="0"/>
      <c r="IDJ58" s="0"/>
      <c r="IDK58" s="0"/>
      <c r="IDL58" s="0"/>
      <c r="IDM58" s="0"/>
      <c r="IDN58" s="0"/>
      <c r="IDO58" s="0"/>
      <c r="IDP58" s="0"/>
      <c r="IDQ58" s="0"/>
      <c r="IDR58" s="0"/>
      <c r="IDS58" s="0"/>
      <c r="IDT58" s="0"/>
      <c r="IDU58" s="0"/>
      <c r="IDV58" s="0"/>
      <c r="IDW58" s="0"/>
      <c r="IDX58" s="0"/>
      <c r="IDY58" s="0"/>
      <c r="IDZ58" s="0"/>
      <c r="IEA58" s="0"/>
      <c r="IEB58" s="0"/>
      <c r="IEC58" s="0"/>
      <c r="IED58" s="0"/>
      <c r="IEE58" s="0"/>
      <c r="IEF58" s="0"/>
      <c r="IEG58" s="0"/>
      <c r="IEH58" s="0"/>
      <c r="IEI58" s="0"/>
      <c r="IEJ58" s="0"/>
      <c r="IEK58" s="0"/>
      <c r="IEL58" s="0"/>
      <c r="IEM58" s="0"/>
      <c r="IEN58" s="0"/>
      <c r="IEO58" s="0"/>
      <c r="IEP58" s="0"/>
      <c r="IEQ58" s="0"/>
      <c r="IER58" s="0"/>
      <c r="IES58" s="0"/>
      <c r="IET58" s="0"/>
      <c r="IEU58" s="0"/>
      <c r="IEV58" s="0"/>
      <c r="IEW58" s="0"/>
      <c r="IEX58" s="0"/>
      <c r="IEY58" s="0"/>
      <c r="IEZ58" s="0"/>
      <c r="IFA58" s="0"/>
      <c r="IFB58" s="0"/>
      <c r="IFC58" s="0"/>
      <c r="IFD58" s="0"/>
      <c r="IFE58" s="0"/>
      <c r="IFF58" s="0"/>
      <c r="IFG58" s="0"/>
      <c r="IFH58" s="0"/>
      <c r="IFI58" s="0"/>
      <c r="IFJ58" s="0"/>
      <c r="IFK58" s="0"/>
      <c r="IFL58" s="0"/>
      <c r="IFM58" s="0"/>
      <c r="IFN58" s="0"/>
      <c r="IFO58" s="0"/>
      <c r="IFP58" s="0"/>
      <c r="IFQ58" s="0"/>
      <c r="IFR58" s="0"/>
      <c r="IFS58" s="0"/>
      <c r="IFT58" s="0"/>
      <c r="IFU58" s="0"/>
      <c r="IFV58" s="0"/>
      <c r="IFW58" s="0"/>
      <c r="IFX58" s="0"/>
      <c r="IFY58" s="0"/>
      <c r="IFZ58" s="0"/>
      <c r="IGA58" s="0"/>
      <c r="IGB58" s="0"/>
      <c r="IGC58" s="0"/>
      <c r="IGD58" s="0"/>
      <c r="IGE58" s="0"/>
      <c r="IGF58" s="0"/>
      <c r="IGG58" s="0"/>
      <c r="IGH58" s="0"/>
      <c r="IGI58" s="0"/>
      <c r="IGJ58" s="0"/>
      <c r="IGK58" s="0"/>
      <c r="IGL58" s="0"/>
      <c r="IGM58" s="0"/>
      <c r="IGN58" s="0"/>
      <c r="IGO58" s="0"/>
      <c r="IGP58" s="0"/>
      <c r="IGQ58" s="0"/>
      <c r="IGR58" s="0"/>
      <c r="IGS58" s="0"/>
      <c r="IGT58" s="0"/>
      <c r="IGU58" s="0"/>
      <c r="IGV58" s="0"/>
      <c r="IGW58" s="0"/>
      <c r="IGX58" s="0"/>
      <c r="IGY58" s="0"/>
      <c r="IGZ58" s="0"/>
      <c r="IHA58" s="0"/>
      <c r="IHB58" s="0"/>
      <c r="IHC58" s="0"/>
      <c r="IHD58" s="0"/>
      <c r="IHE58" s="0"/>
      <c r="IHF58" s="0"/>
      <c r="IHG58" s="0"/>
      <c r="IHH58" s="0"/>
      <c r="IHI58" s="0"/>
      <c r="IHJ58" s="0"/>
      <c r="IHK58" s="0"/>
      <c r="IHL58" s="0"/>
      <c r="IHM58" s="0"/>
      <c r="IHN58" s="0"/>
      <c r="IHO58" s="0"/>
      <c r="IHP58" s="0"/>
      <c r="IHQ58" s="0"/>
      <c r="IHR58" s="0"/>
      <c r="IHS58" s="0"/>
      <c r="IHT58" s="0"/>
      <c r="IHU58" s="0"/>
      <c r="IHV58" s="0"/>
      <c r="IHW58" s="0"/>
      <c r="IHX58" s="0"/>
      <c r="IHY58" s="0"/>
      <c r="IHZ58" s="0"/>
      <c r="IIA58" s="0"/>
      <c r="IIB58" s="0"/>
      <c r="IIC58" s="0"/>
      <c r="IID58" s="0"/>
      <c r="IIE58" s="0"/>
      <c r="IIF58" s="0"/>
      <c r="IIG58" s="0"/>
      <c r="IIH58" s="0"/>
      <c r="III58" s="0"/>
      <c r="IIJ58" s="0"/>
      <c r="IIK58" s="0"/>
      <c r="IIL58" s="0"/>
      <c r="IIM58" s="0"/>
      <c r="IIN58" s="0"/>
      <c r="IIO58" s="0"/>
      <c r="IIP58" s="0"/>
      <c r="IIQ58" s="0"/>
      <c r="IIR58" s="0"/>
      <c r="IIS58" s="0"/>
      <c r="IIT58" s="0"/>
      <c r="IIU58" s="0"/>
      <c r="IIV58" s="0"/>
      <c r="IIW58" s="0"/>
      <c r="IIX58" s="0"/>
      <c r="IIY58" s="0"/>
      <c r="IIZ58" s="0"/>
      <c r="IJA58" s="0"/>
      <c r="IJB58" s="0"/>
      <c r="IJC58" s="0"/>
      <c r="IJD58" s="0"/>
      <c r="IJE58" s="0"/>
      <c r="IJF58" s="0"/>
      <c r="IJG58" s="0"/>
      <c r="IJH58" s="0"/>
      <c r="IJI58" s="0"/>
      <c r="IJJ58" s="0"/>
      <c r="IJK58" s="0"/>
      <c r="IJL58" s="0"/>
      <c r="IJM58" s="0"/>
      <c r="IJN58" s="0"/>
      <c r="IJO58" s="0"/>
      <c r="IJP58" s="0"/>
      <c r="IJQ58" s="0"/>
      <c r="IJR58" s="0"/>
      <c r="IJS58" s="0"/>
      <c r="IJT58" s="0"/>
      <c r="IJU58" s="0"/>
      <c r="IJV58" s="0"/>
      <c r="IJW58" s="0"/>
      <c r="IJX58" s="0"/>
      <c r="IJY58" s="0"/>
      <c r="IJZ58" s="0"/>
      <c r="IKA58" s="0"/>
      <c r="IKB58" s="0"/>
      <c r="IKC58" s="0"/>
      <c r="IKD58" s="0"/>
      <c r="IKE58" s="0"/>
      <c r="IKF58" s="0"/>
      <c r="IKG58" s="0"/>
      <c r="IKH58" s="0"/>
      <c r="IKI58" s="0"/>
      <c r="IKJ58" s="0"/>
      <c r="IKK58" s="0"/>
      <c r="IKL58" s="0"/>
      <c r="IKM58" s="0"/>
      <c r="IKN58" s="0"/>
      <c r="IKO58" s="0"/>
      <c r="IKP58" s="0"/>
      <c r="IKQ58" s="0"/>
      <c r="IKR58" s="0"/>
      <c r="IKS58" s="0"/>
      <c r="IKT58" s="0"/>
      <c r="IKU58" s="0"/>
      <c r="IKV58" s="0"/>
      <c r="IKW58" s="0"/>
      <c r="IKX58" s="0"/>
      <c r="IKY58" s="0"/>
      <c r="IKZ58" s="0"/>
      <c r="ILA58" s="0"/>
      <c r="ILB58" s="0"/>
      <c r="ILC58" s="0"/>
      <c r="ILD58" s="0"/>
      <c r="ILE58" s="0"/>
      <c r="ILF58" s="0"/>
      <c r="ILG58" s="0"/>
      <c r="ILH58" s="0"/>
      <c r="ILI58" s="0"/>
      <c r="ILJ58" s="0"/>
      <c r="ILK58" s="0"/>
      <c r="ILL58" s="0"/>
      <c r="ILM58" s="0"/>
      <c r="ILN58" s="0"/>
      <c r="ILO58" s="0"/>
      <c r="ILP58" s="0"/>
      <c r="ILQ58" s="0"/>
      <c r="ILR58" s="0"/>
      <c r="ILS58" s="0"/>
      <c r="ILT58" s="0"/>
      <c r="ILU58" s="0"/>
      <c r="ILV58" s="0"/>
      <c r="ILW58" s="0"/>
      <c r="ILX58" s="0"/>
      <c r="ILY58" s="0"/>
      <c r="ILZ58" s="0"/>
      <c r="IMA58" s="0"/>
      <c r="IMB58" s="0"/>
      <c r="IMC58" s="0"/>
      <c r="IMD58" s="0"/>
      <c r="IME58" s="0"/>
      <c r="IMF58" s="0"/>
      <c r="IMG58" s="0"/>
      <c r="IMH58" s="0"/>
      <c r="IMI58" s="0"/>
      <c r="IMJ58" s="0"/>
      <c r="IMK58" s="0"/>
      <c r="IML58" s="0"/>
      <c r="IMM58" s="0"/>
      <c r="IMN58" s="0"/>
      <c r="IMO58" s="0"/>
      <c r="IMP58" s="0"/>
      <c r="IMQ58" s="0"/>
      <c r="IMR58" s="0"/>
      <c r="IMS58" s="0"/>
      <c r="IMT58" s="0"/>
      <c r="IMU58" s="0"/>
      <c r="IMV58" s="0"/>
      <c r="IMW58" s="0"/>
      <c r="IMX58" s="0"/>
      <c r="IMY58" s="0"/>
      <c r="IMZ58" s="0"/>
      <c r="INA58" s="0"/>
      <c r="INB58" s="0"/>
      <c r="INC58" s="0"/>
      <c r="IND58" s="0"/>
      <c r="INE58" s="0"/>
      <c r="INF58" s="0"/>
      <c r="ING58" s="0"/>
      <c r="INH58" s="0"/>
      <c r="INI58" s="0"/>
      <c r="INJ58" s="0"/>
      <c r="INK58" s="0"/>
      <c r="INL58" s="0"/>
      <c r="INM58" s="0"/>
      <c r="INN58" s="0"/>
      <c r="INO58" s="0"/>
      <c r="INP58" s="0"/>
      <c r="INQ58" s="0"/>
      <c r="INR58" s="0"/>
      <c r="INS58" s="0"/>
      <c r="INT58" s="0"/>
      <c r="INU58" s="0"/>
      <c r="INV58" s="0"/>
      <c r="INW58" s="0"/>
      <c r="INX58" s="0"/>
      <c r="INY58" s="0"/>
      <c r="INZ58" s="0"/>
      <c r="IOA58" s="0"/>
      <c r="IOB58" s="0"/>
      <c r="IOC58" s="0"/>
      <c r="IOD58" s="0"/>
      <c r="IOE58" s="0"/>
      <c r="IOF58" s="0"/>
      <c r="IOG58" s="0"/>
      <c r="IOH58" s="0"/>
      <c r="IOI58" s="0"/>
      <c r="IOJ58" s="0"/>
      <c r="IOK58" s="0"/>
      <c r="IOL58" s="0"/>
      <c r="IOM58" s="0"/>
      <c r="ION58" s="0"/>
      <c r="IOO58" s="0"/>
      <c r="IOP58" s="0"/>
      <c r="IOQ58" s="0"/>
      <c r="IOR58" s="0"/>
      <c r="IOS58" s="0"/>
      <c r="IOT58" s="0"/>
      <c r="IOU58" s="0"/>
      <c r="IOV58" s="0"/>
      <c r="IOW58" s="0"/>
      <c r="IOX58" s="0"/>
      <c r="IOY58" s="0"/>
      <c r="IOZ58" s="0"/>
      <c r="IPA58" s="0"/>
      <c r="IPB58" s="0"/>
      <c r="IPC58" s="0"/>
      <c r="IPD58" s="0"/>
      <c r="IPE58" s="0"/>
      <c r="IPF58" s="0"/>
      <c r="IPG58" s="0"/>
      <c r="IPH58" s="0"/>
      <c r="IPI58" s="0"/>
      <c r="IPJ58" s="0"/>
      <c r="IPK58" s="0"/>
      <c r="IPL58" s="0"/>
      <c r="IPM58" s="0"/>
      <c r="IPN58" s="0"/>
      <c r="IPO58" s="0"/>
      <c r="IPP58" s="0"/>
      <c r="IPQ58" s="0"/>
      <c r="IPR58" s="0"/>
      <c r="IPS58" s="0"/>
      <c r="IPT58" s="0"/>
      <c r="IPU58" s="0"/>
      <c r="IPV58" s="0"/>
      <c r="IPW58" s="0"/>
      <c r="IPX58" s="0"/>
      <c r="IPY58" s="0"/>
      <c r="IPZ58" s="0"/>
      <c r="IQA58" s="0"/>
      <c r="IQB58" s="0"/>
      <c r="IQC58" s="0"/>
      <c r="IQD58" s="0"/>
      <c r="IQE58" s="0"/>
      <c r="IQF58" s="0"/>
      <c r="IQG58" s="0"/>
      <c r="IQH58" s="0"/>
      <c r="IQI58" s="0"/>
      <c r="IQJ58" s="0"/>
      <c r="IQK58" s="0"/>
      <c r="IQL58" s="0"/>
      <c r="IQM58" s="0"/>
      <c r="IQN58" s="0"/>
      <c r="IQO58" s="0"/>
      <c r="IQP58" s="0"/>
      <c r="IQQ58" s="0"/>
      <c r="IQR58" s="0"/>
      <c r="IQS58" s="0"/>
      <c r="IQT58" s="0"/>
      <c r="IQU58" s="0"/>
      <c r="IQV58" s="0"/>
      <c r="IQW58" s="0"/>
      <c r="IQX58" s="0"/>
      <c r="IQY58" s="0"/>
      <c r="IQZ58" s="0"/>
      <c r="IRA58" s="0"/>
      <c r="IRB58" s="0"/>
      <c r="IRC58" s="0"/>
      <c r="IRD58" s="0"/>
      <c r="IRE58" s="0"/>
      <c r="IRF58" s="0"/>
      <c r="IRG58" s="0"/>
      <c r="IRH58" s="0"/>
      <c r="IRI58" s="0"/>
      <c r="IRJ58" s="0"/>
      <c r="IRK58" s="0"/>
      <c r="IRL58" s="0"/>
      <c r="IRM58" s="0"/>
      <c r="IRN58" s="0"/>
      <c r="IRO58" s="0"/>
      <c r="IRP58" s="0"/>
      <c r="IRQ58" s="0"/>
      <c r="IRR58" s="0"/>
      <c r="IRS58" s="0"/>
      <c r="IRT58" s="0"/>
      <c r="IRU58" s="0"/>
      <c r="IRV58" s="0"/>
      <c r="IRW58" s="0"/>
      <c r="IRX58" s="0"/>
      <c r="IRY58" s="0"/>
      <c r="IRZ58" s="0"/>
      <c r="ISA58" s="0"/>
      <c r="ISB58" s="0"/>
      <c r="ISC58" s="0"/>
      <c r="ISD58" s="0"/>
      <c r="ISE58" s="0"/>
      <c r="ISF58" s="0"/>
      <c r="ISG58" s="0"/>
      <c r="ISH58" s="0"/>
      <c r="ISI58" s="0"/>
      <c r="ISJ58" s="0"/>
      <c r="ISK58" s="0"/>
      <c r="ISL58" s="0"/>
      <c r="ISM58" s="0"/>
      <c r="ISN58" s="0"/>
      <c r="ISO58" s="0"/>
      <c r="ISP58" s="0"/>
      <c r="ISQ58" s="0"/>
      <c r="ISR58" s="0"/>
      <c r="ISS58" s="0"/>
      <c r="IST58" s="0"/>
      <c r="ISU58" s="0"/>
      <c r="ISV58" s="0"/>
      <c r="ISW58" s="0"/>
      <c r="ISX58" s="0"/>
      <c r="ISY58" s="0"/>
      <c r="ISZ58" s="0"/>
      <c r="ITA58" s="0"/>
      <c r="ITB58" s="0"/>
      <c r="ITC58" s="0"/>
      <c r="ITD58" s="0"/>
      <c r="ITE58" s="0"/>
      <c r="ITF58" s="0"/>
      <c r="ITG58" s="0"/>
      <c r="ITH58" s="0"/>
      <c r="ITI58" s="0"/>
      <c r="ITJ58" s="0"/>
      <c r="ITK58" s="0"/>
      <c r="ITL58" s="0"/>
      <c r="ITM58" s="0"/>
      <c r="ITN58" s="0"/>
      <c r="ITO58" s="0"/>
      <c r="ITP58" s="0"/>
      <c r="ITQ58" s="0"/>
      <c r="ITR58" s="0"/>
      <c r="ITS58" s="0"/>
      <c r="ITT58" s="0"/>
      <c r="ITU58" s="0"/>
      <c r="ITV58" s="0"/>
      <c r="ITW58" s="0"/>
      <c r="ITX58" s="0"/>
      <c r="ITY58" s="0"/>
      <c r="ITZ58" s="0"/>
      <c r="IUA58" s="0"/>
      <c r="IUB58" s="0"/>
      <c r="IUC58" s="0"/>
      <c r="IUD58" s="0"/>
      <c r="IUE58" s="0"/>
      <c r="IUF58" s="0"/>
      <c r="IUG58" s="0"/>
      <c r="IUH58" s="0"/>
      <c r="IUI58" s="0"/>
      <c r="IUJ58" s="0"/>
      <c r="IUK58" s="0"/>
      <c r="IUL58" s="0"/>
      <c r="IUM58" s="0"/>
      <c r="IUN58" s="0"/>
      <c r="IUO58" s="0"/>
      <c r="IUP58" s="0"/>
      <c r="IUQ58" s="0"/>
      <c r="IUR58" s="0"/>
      <c r="IUS58" s="0"/>
      <c r="IUT58" s="0"/>
      <c r="IUU58" s="0"/>
      <c r="IUV58" s="0"/>
      <c r="IUW58" s="0"/>
      <c r="IUX58" s="0"/>
      <c r="IUY58" s="0"/>
      <c r="IUZ58" s="0"/>
      <c r="IVA58" s="0"/>
      <c r="IVB58" s="0"/>
      <c r="IVC58" s="0"/>
      <c r="IVD58" s="0"/>
      <c r="IVE58" s="0"/>
      <c r="IVF58" s="0"/>
      <c r="IVG58" s="0"/>
      <c r="IVH58" s="0"/>
      <c r="IVI58" s="0"/>
      <c r="IVJ58" s="0"/>
      <c r="IVK58" s="0"/>
      <c r="IVL58" s="0"/>
      <c r="IVM58" s="0"/>
      <c r="IVN58" s="0"/>
      <c r="IVO58" s="0"/>
      <c r="IVP58" s="0"/>
      <c r="IVQ58" s="0"/>
      <c r="IVR58" s="0"/>
      <c r="IVS58" s="0"/>
      <c r="IVT58" s="0"/>
      <c r="IVU58" s="0"/>
      <c r="IVV58" s="0"/>
      <c r="IVW58" s="0"/>
      <c r="IVX58" s="0"/>
      <c r="IVY58" s="0"/>
      <c r="IVZ58" s="0"/>
      <c r="IWA58" s="0"/>
      <c r="IWB58" s="0"/>
      <c r="IWC58" s="0"/>
      <c r="IWD58" s="0"/>
      <c r="IWE58" s="0"/>
      <c r="IWF58" s="0"/>
      <c r="IWG58" s="0"/>
      <c r="IWH58" s="0"/>
      <c r="IWI58" s="0"/>
      <c r="IWJ58" s="0"/>
      <c r="IWK58" s="0"/>
      <c r="IWL58" s="0"/>
      <c r="IWM58" s="0"/>
      <c r="IWN58" s="0"/>
      <c r="IWO58" s="0"/>
      <c r="IWP58" s="0"/>
      <c r="IWQ58" s="0"/>
      <c r="IWR58" s="0"/>
      <c r="IWS58" s="0"/>
      <c r="IWT58" s="0"/>
      <c r="IWU58" s="0"/>
      <c r="IWV58" s="0"/>
      <c r="IWW58" s="0"/>
      <c r="IWX58" s="0"/>
      <c r="IWY58" s="0"/>
      <c r="IWZ58" s="0"/>
      <c r="IXA58" s="0"/>
      <c r="IXB58" s="0"/>
      <c r="IXC58" s="0"/>
      <c r="IXD58" s="0"/>
      <c r="IXE58" s="0"/>
      <c r="IXF58" s="0"/>
      <c r="IXG58" s="0"/>
      <c r="IXH58" s="0"/>
      <c r="IXI58" s="0"/>
      <c r="IXJ58" s="0"/>
      <c r="IXK58" s="0"/>
      <c r="IXL58" s="0"/>
      <c r="IXM58" s="0"/>
      <c r="IXN58" s="0"/>
      <c r="IXO58" s="0"/>
      <c r="IXP58" s="0"/>
      <c r="IXQ58" s="0"/>
      <c r="IXR58" s="0"/>
      <c r="IXS58" s="0"/>
      <c r="IXT58" s="0"/>
      <c r="IXU58" s="0"/>
      <c r="IXV58" s="0"/>
      <c r="IXW58" s="0"/>
      <c r="IXX58" s="0"/>
      <c r="IXY58" s="0"/>
      <c r="IXZ58" s="0"/>
      <c r="IYA58" s="0"/>
      <c r="IYB58" s="0"/>
      <c r="IYC58" s="0"/>
      <c r="IYD58" s="0"/>
      <c r="IYE58" s="0"/>
      <c r="IYF58" s="0"/>
      <c r="IYG58" s="0"/>
      <c r="IYH58" s="0"/>
      <c r="IYI58" s="0"/>
      <c r="IYJ58" s="0"/>
      <c r="IYK58" s="0"/>
      <c r="IYL58" s="0"/>
      <c r="IYM58" s="0"/>
      <c r="IYN58" s="0"/>
      <c r="IYO58" s="0"/>
      <c r="IYP58" s="0"/>
      <c r="IYQ58" s="0"/>
      <c r="IYR58" s="0"/>
      <c r="IYS58" s="0"/>
      <c r="IYT58" s="0"/>
      <c r="IYU58" s="0"/>
      <c r="IYV58" s="0"/>
      <c r="IYW58" s="0"/>
      <c r="IYX58" s="0"/>
      <c r="IYY58" s="0"/>
      <c r="IYZ58" s="0"/>
      <c r="IZA58" s="0"/>
      <c r="IZB58" s="0"/>
      <c r="IZC58" s="0"/>
      <c r="IZD58" s="0"/>
      <c r="IZE58" s="0"/>
      <c r="IZF58" s="0"/>
      <c r="IZG58" s="0"/>
      <c r="IZH58" s="0"/>
      <c r="IZI58" s="0"/>
      <c r="IZJ58" s="0"/>
      <c r="IZK58" s="0"/>
      <c r="IZL58" s="0"/>
      <c r="IZM58" s="0"/>
      <c r="IZN58" s="0"/>
      <c r="IZO58" s="0"/>
      <c r="IZP58" s="0"/>
      <c r="IZQ58" s="0"/>
      <c r="IZR58" s="0"/>
      <c r="IZS58" s="0"/>
      <c r="IZT58" s="0"/>
      <c r="IZU58" s="0"/>
      <c r="IZV58" s="0"/>
      <c r="IZW58" s="0"/>
      <c r="IZX58" s="0"/>
      <c r="IZY58" s="0"/>
      <c r="IZZ58" s="0"/>
      <c r="JAA58" s="0"/>
      <c r="JAB58" s="0"/>
      <c r="JAC58" s="0"/>
      <c r="JAD58" s="0"/>
      <c r="JAE58" s="0"/>
      <c r="JAF58" s="0"/>
      <c r="JAG58" s="0"/>
      <c r="JAH58" s="0"/>
      <c r="JAI58" s="0"/>
      <c r="JAJ58" s="0"/>
      <c r="JAK58" s="0"/>
      <c r="JAL58" s="0"/>
      <c r="JAM58" s="0"/>
      <c r="JAN58" s="0"/>
      <c r="JAO58" s="0"/>
      <c r="JAP58" s="0"/>
      <c r="JAQ58" s="0"/>
      <c r="JAR58" s="0"/>
      <c r="JAS58" s="0"/>
      <c r="JAT58" s="0"/>
      <c r="JAU58" s="0"/>
      <c r="JAV58" s="0"/>
      <c r="JAW58" s="0"/>
      <c r="JAX58" s="0"/>
      <c r="JAY58" s="0"/>
      <c r="JAZ58" s="0"/>
      <c r="JBA58" s="0"/>
      <c r="JBB58" s="0"/>
      <c r="JBC58" s="0"/>
      <c r="JBD58" s="0"/>
      <c r="JBE58" s="0"/>
      <c r="JBF58" s="0"/>
      <c r="JBG58" s="0"/>
      <c r="JBH58" s="0"/>
      <c r="JBI58" s="0"/>
      <c r="JBJ58" s="0"/>
      <c r="JBK58" s="0"/>
      <c r="JBL58" s="0"/>
      <c r="JBM58" s="0"/>
      <c r="JBN58" s="0"/>
      <c r="JBO58" s="0"/>
      <c r="JBP58" s="0"/>
      <c r="JBQ58" s="0"/>
      <c r="JBR58" s="0"/>
      <c r="JBS58" s="0"/>
      <c r="JBT58" s="0"/>
      <c r="JBU58" s="0"/>
      <c r="JBV58" s="0"/>
      <c r="JBW58" s="0"/>
      <c r="JBX58" s="0"/>
      <c r="JBY58" s="0"/>
      <c r="JBZ58" s="0"/>
      <c r="JCA58" s="0"/>
      <c r="JCB58" s="0"/>
      <c r="JCC58" s="0"/>
      <c r="JCD58" s="0"/>
      <c r="JCE58" s="0"/>
      <c r="JCF58" s="0"/>
      <c r="JCG58" s="0"/>
      <c r="JCH58" s="0"/>
      <c r="JCI58" s="0"/>
      <c r="JCJ58" s="0"/>
      <c r="JCK58" s="0"/>
      <c r="JCL58" s="0"/>
      <c r="JCM58" s="0"/>
      <c r="JCN58" s="0"/>
      <c r="JCO58" s="0"/>
      <c r="JCP58" s="0"/>
      <c r="JCQ58" s="0"/>
      <c r="JCR58" s="0"/>
      <c r="JCS58" s="0"/>
      <c r="JCT58" s="0"/>
      <c r="JCU58" s="0"/>
      <c r="JCV58" s="0"/>
      <c r="JCW58" s="0"/>
      <c r="JCX58" s="0"/>
      <c r="JCY58" s="0"/>
      <c r="JCZ58" s="0"/>
      <c r="JDA58" s="0"/>
      <c r="JDB58" s="0"/>
      <c r="JDC58" s="0"/>
      <c r="JDD58" s="0"/>
      <c r="JDE58" s="0"/>
      <c r="JDF58" s="0"/>
      <c r="JDG58" s="0"/>
      <c r="JDH58" s="0"/>
      <c r="JDI58" s="0"/>
      <c r="JDJ58" s="0"/>
      <c r="JDK58" s="0"/>
      <c r="JDL58" s="0"/>
      <c r="JDM58" s="0"/>
      <c r="JDN58" s="0"/>
      <c r="JDO58" s="0"/>
      <c r="JDP58" s="0"/>
      <c r="JDQ58" s="0"/>
      <c r="JDR58" s="0"/>
      <c r="JDS58" s="0"/>
      <c r="JDT58" s="0"/>
      <c r="JDU58" s="0"/>
      <c r="JDV58" s="0"/>
      <c r="JDW58" s="0"/>
      <c r="JDX58" s="0"/>
      <c r="JDY58" s="0"/>
      <c r="JDZ58" s="0"/>
      <c r="JEA58" s="0"/>
      <c r="JEB58" s="0"/>
      <c r="JEC58" s="0"/>
      <c r="JED58" s="0"/>
      <c r="JEE58" s="0"/>
      <c r="JEF58" s="0"/>
      <c r="JEG58" s="0"/>
      <c r="JEH58" s="0"/>
      <c r="JEI58" s="0"/>
      <c r="JEJ58" s="0"/>
      <c r="JEK58" s="0"/>
      <c r="JEL58" s="0"/>
      <c r="JEM58" s="0"/>
      <c r="JEN58" s="0"/>
      <c r="JEO58" s="0"/>
      <c r="JEP58" s="0"/>
      <c r="JEQ58" s="0"/>
      <c r="JER58" s="0"/>
      <c r="JES58" s="0"/>
      <c r="JET58" s="0"/>
      <c r="JEU58" s="0"/>
      <c r="JEV58" s="0"/>
      <c r="JEW58" s="0"/>
      <c r="JEX58" s="0"/>
      <c r="JEY58" s="0"/>
      <c r="JEZ58" s="0"/>
      <c r="JFA58" s="0"/>
      <c r="JFB58" s="0"/>
      <c r="JFC58" s="0"/>
      <c r="JFD58" s="0"/>
      <c r="JFE58" s="0"/>
      <c r="JFF58" s="0"/>
      <c r="JFG58" s="0"/>
      <c r="JFH58" s="0"/>
      <c r="JFI58" s="0"/>
      <c r="JFJ58" s="0"/>
      <c r="JFK58" s="0"/>
      <c r="JFL58" s="0"/>
      <c r="JFM58" s="0"/>
      <c r="JFN58" s="0"/>
      <c r="JFO58" s="0"/>
      <c r="JFP58" s="0"/>
      <c r="JFQ58" s="0"/>
      <c r="JFR58" s="0"/>
      <c r="JFS58" s="0"/>
      <c r="JFT58" s="0"/>
      <c r="JFU58" s="0"/>
      <c r="JFV58" s="0"/>
      <c r="JFW58" s="0"/>
      <c r="JFX58" s="0"/>
      <c r="JFY58" s="0"/>
      <c r="JFZ58" s="0"/>
      <c r="JGA58" s="0"/>
      <c r="JGB58" s="0"/>
      <c r="JGC58" s="0"/>
      <c r="JGD58" s="0"/>
      <c r="JGE58" s="0"/>
      <c r="JGF58" s="0"/>
      <c r="JGG58" s="0"/>
      <c r="JGH58" s="0"/>
      <c r="JGI58" s="0"/>
      <c r="JGJ58" s="0"/>
      <c r="JGK58" s="0"/>
      <c r="JGL58" s="0"/>
      <c r="JGM58" s="0"/>
      <c r="JGN58" s="0"/>
      <c r="JGO58" s="0"/>
      <c r="JGP58" s="0"/>
      <c r="JGQ58" s="0"/>
      <c r="JGR58" s="0"/>
      <c r="JGS58" s="0"/>
      <c r="JGT58" s="0"/>
      <c r="JGU58" s="0"/>
      <c r="JGV58" s="0"/>
      <c r="JGW58" s="0"/>
      <c r="JGX58" s="0"/>
      <c r="JGY58" s="0"/>
      <c r="JGZ58" s="0"/>
      <c r="JHA58" s="0"/>
      <c r="JHB58" s="0"/>
      <c r="JHC58" s="0"/>
      <c r="JHD58" s="0"/>
      <c r="JHE58" s="0"/>
      <c r="JHF58" s="0"/>
      <c r="JHG58" s="0"/>
      <c r="JHH58" s="0"/>
      <c r="JHI58" s="0"/>
      <c r="JHJ58" s="0"/>
      <c r="JHK58" s="0"/>
      <c r="JHL58" s="0"/>
      <c r="JHM58" s="0"/>
      <c r="JHN58" s="0"/>
      <c r="JHO58" s="0"/>
      <c r="JHP58" s="0"/>
      <c r="JHQ58" s="0"/>
      <c r="JHR58" s="0"/>
      <c r="JHS58" s="0"/>
      <c r="JHT58" s="0"/>
      <c r="JHU58" s="0"/>
      <c r="JHV58" s="0"/>
      <c r="JHW58" s="0"/>
      <c r="JHX58" s="0"/>
      <c r="JHY58" s="0"/>
      <c r="JHZ58" s="0"/>
      <c r="JIA58" s="0"/>
      <c r="JIB58" s="0"/>
      <c r="JIC58" s="0"/>
      <c r="JID58" s="0"/>
      <c r="JIE58" s="0"/>
      <c r="JIF58" s="0"/>
      <c r="JIG58" s="0"/>
      <c r="JIH58" s="0"/>
      <c r="JII58" s="0"/>
      <c r="JIJ58" s="0"/>
      <c r="JIK58" s="0"/>
      <c r="JIL58" s="0"/>
      <c r="JIM58" s="0"/>
      <c r="JIN58" s="0"/>
      <c r="JIO58" s="0"/>
      <c r="JIP58" s="0"/>
      <c r="JIQ58" s="0"/>
      <c r="JIR58" s="0"/>
      <c r="JIS58" s="0"/>
      <c r="JIT58" s="0"/>
      <c r="JIU58" s="0"/>
      <c r="JIV58" s="0"/>
      <c r="JIW58" s="0"/>
      <c r="JIX58" s="0"/>
      <c r="JIY58" s="0"/>
      <c r="JIZ58" s="0"/>
      <c r="JJA58" s="0"/>
      <c r="JJB58" s="0"/>
      <c r="JJC58" s="0"/>
      <c r="JJD58" s="0"/>
      <c r="JJE58" s="0"/>
      <c r="JJF58" s="0"/>
      <c r="JJG58" s="0"/>
      <c r="JJH58" s="0"/>
      <c r="JJI58" s="0"/>
      <c r="JJJ58" s="0"/>
      <c r="JJK58" s="0"/>
      <c r="JJL58" s="0"/>
      <c r="JJM58" s="0"/>
      <c r="JJN58" s="0"/>
      <c r="JJO58" s="0"/>
      <c r="JJP58" s="0"/>
      <c r="JJQ58" s="0"/>
      <c r="JJR58" s="0"/>
      <c r="JJS58" s="0"/>
      <c r="JJT58" s="0"/>
      <c r="JJU58" s="0"/>
      <c r="JJV58" s="0"/>
      <c r="JJW58" s="0"/>
      <c r="JJX58" s="0"/>
      <c r="JJY58" s="0"/>
      <c r="JJZ58" s="0"/>
      <c r="JKA58" s="0"/>
      <c r="JKB58" s="0"/>
      <c r="JKC58" s="0"/>
      <c r="JKD58" s="0"/>
      <c r="JKE58" s="0"/>
      <c r="JKF58" s="0"/>
      <c r="JKG58" s="0"/>
      <c r="JKH58" s="0"/>
      <c r="JKI58" s="0"/>
      <c r="JKJ58" s="0"/>
      <c r="JKK58" s="0"/>
      <c r="JKL58" s="0"/>
      <c r="JKM58" s="0"/>
      <c r="JKN58" s="0"/>
      <c r="JKO58" s="0"/>
      <c r="JKP58" s="0"/>
      <c r="JKQ58" s="0"/>
      <c r="JKR58" s="0"/>
      <c r="JKS58" s="0"/>
      <c r="JKT58" s="0"/>
      <c r="JKU58" s="0"/>
      <c r="JKV58" s="0"/>
      <c r="JKW58" s="0"/>
      <c r="JKX58" s="0"/>
      <c r="JKY58" s="0"/>
      <c r="JKZ58" s="0"/>
      <c r="JLA58" s="0"/>
      <c r="JLB58" s="0"/>
      <c r="JLC58" s="0"/>
      <c r="JLD58" s="0"/>
      <c r="JLE58" s="0"/>
      <c r="JLF58" s="0"/>
      <c r="JLG58" s="0"/>
      <c r="JLH58" s="0"/>
      <c r="JLI58" s="0"/>
      <c r="JLJ58" s="0"/>
      <c r="JLK58" s="0"/>
      <c r="JLL58" s="0"/>
      <c r="JLM58" s="0"/>
      <c r="JLN58" s="0"/>
      <c r="JLO58" s="0"/>
      <c r="JLP58" s="0"/>
      <c r="JLQ58" s="0"/>
      <c r="JLR58" s="0"/>
      <c r="JLS58" s="0"/>
      <c r="JLT58" s="0"/>
      <c r="JLU58" s="0"/>
      <c r="JLV58" s="0"/>
      <c r="JLW58" s="0"/>
      <c r="JLX58" s="0"/>
      <c r="JLY58" s="0"/>
      <c r="JLZ58" s="0"/>
      <c r="JMA58" s="0"/>
      <c r="JMB58" s="0"/>
      <c r="JMC58" s="0"/>
      <c r="JMD58" s="0"/>
      <c r="JME58" s="0"/>
      <c r="JMF58" s="0"/>
      <c r="JMG58" s="0"/>
      <c r="JMH58" s="0"/>
      <c r="JMI58" s="0"/>
      <c r="JMJ58" s="0"/>
      <c r="JMK58" s="0"/>
      <c r="JML58" s="0"/>
      <c r="JMM58" s="0"/>
      <c r="JMN58" s="0"/>
      <c r="JMO58" s="0"/>
      <c r="JMP58" s="0"/>
      <c r="JMQ58" s="0"/>
      <c r="JMR58" s="0"/>
      <c r="JMS58" s="0"/>
      <c r="JMT58" s="0"/>
      <c r="JMU58" s="0"/>
      <c r="JMV58" s="0"/>
      <c r="JMW58" s="0"/>
      <c r="JMX58" s="0"/>
      <c r="JMY58" s="0"/>
      <c r="JMZ58" s="0"/>
      <c r="JNA58" s="0"/>
      <c r="JNB58" s="0"/>
      <c r="JNC58" s="0"/>
      <c r="JND58" s="0"/>
      <c r="JNE58" s="0"/>
      <c r="JNF58" s="0"/>
      <c r="JNG58" s="0"/>
      <c r="JNH58" s="0"/>
      <c r="JNI58" s="0"/>
      <c r="JNJ58" s="0"/>
      <c r="JNK58" s="0"/>
      <c r="JNL58" s="0"/>
      <c r="JNM58" s="0"/>
      <c r="JNN58" s="0"/>
      <c r="JNO58" s="0"/>
      <c r="JNP58" s="0"/>
      <c r="JNQ58" s="0"/>
      <c r="JNR58" s="0"/>
      <c r="JNS58" s="0"/>
      <c r="JNT58" s="0"/>
      <c r="JNU58" s="0"/>
      <c r="JNV58" s="0"/>
      <c r="JNW58" s="0"/>
      <c r="JNX58" s="0"/>
      <c r="JNY58" s="0"/>
      <c r="JNZ58" s="0"/>
      <c r="JOA58" s="0"/>
      <c r="JOB58" s="0"/>
      <c r="JOC58" s="0"/>
      <c r="JOD58" s="0"/>
      <c r="JOE58" s="0"/>
      <c r="JOF58" s="0"/>
      <c r="JOG58" s="0"/>
      <c r="JOH58" s="0"/>
      <c r="JOI58" s="0"/>
      <c r="JOJ58" s="0"/>
      <c r="JOK58" s="0"/>
      <c r="JOL58" s="0"/>
      <c r="JOM58" s="0"/>
      <c r="JON58" s="0"/>
      <c r="JOO58" s="0"/>
      <c r="JOP58" s="0"/>
      <c r="JOQ58" s="0"/>
      <c r="JOR58" s="0"/>
      <c r="JOS58" s="0"/>
      <c r="JOT58" s="0"/>
      <c r="JOU58" s="0"/>
      <c r="JOV58" s="0"/>
      <c r="JOW58" s="0"/>
      <c r="JOX58" s="0"/>
      <c r="JOY58" s="0"/>
      <c r="JOZ58" s="0"/>
      <c r="JPA58" s="0"/>
      <c r="JPB58" s="0"/>
      <c r="JPC58" s="0"/>
      <c r="JPD58" s="0"/>
      <c r="JPE58" s="0"/>
      <c r="JPF58" s="0"/>
      <c r="JPG58" s="0"/>
      <c r="JPH58" s="0"/>
      <c r="JPI58" s="0"/>
      <c r="JPJ58" s="0"/>
      <c r="JPK58" s="0"/>
      <c r="JPL58" s="0"/>
      <c r="JPM58" s="0"/>
      <c r="JPN58" s="0"/>
      <c r="JPO58" s="0"/>
      <c r="JPP58" s="0"/>
      <c r="JPQ58" s="0"/>
      <c r="JPR58" s="0"/>
      <c r="JPS58" s="0"/>
      <c r="JPT58" s="0"/>
      <c r="JPU58" s="0"/>
      <c r="JPV58" s="0"/>
      <c r="JPW58" s="0"/>
      <c r="JPX58" s="0"/>
      <c r="JPY58" s="0"/>
      <c r="JPZ58" s="0"/>
      <c r="JQA58" s="0"/>
      <c r="JQB58" s="0"/>
      <c r="JQC58" s="0"/>
      <c r="JQD58" s="0"/>
      <c r="JQE58" s="0"/>
      <c r="JQF58" s="0"/>
      <c r="JQG58" s="0"/>
      <c r="JQH58" s="0"/>
      <c r="JQI58" s="0"/>
      <c r="JQJ58" s="0"/>
      <c r="JQK58" s="0"/>
      <c r="JQL58" s="0"/>
      <c r="JQM58" s="0"/>
      <c r="JQN58" s="0"/>
      <c r="JQO58" s="0"/>
      <c r="JQP58" s="0"/>
      <c r="JQQ58" s="0"/>
      <c r="JQR58" s="0"/>
      <c r="JQS58" s="0"/>
      <c r="JQT58" s="0"/>
      <c r="JQU58" s="0"/>
      <c r="JQV58" s="0"/>
      <c r="JQW58" s="0"/>
      <c r="JQX58" s="0"/>
      <c r="JQY58" s="0"/>
      <c r="JQZ58" s="0"/>
      <c r="JRA58" s="0"/>
      <c r="JRB58" s="0"/>
      <c r="JRC58" s="0"/>
      <c r="JRD58" s="0"/>
      <c r="JRE58" s="0"/>
      <c r="JRF58" s="0"/>
      <c r="JRG58" s="0"/>
      <c r="JRH58" s="0"/>
      <c r="JRI58" s="0"/>
      <c r="JRJ58" s="0"/>
      <c r="JRK58" s="0"/>
      <c r="JRL58" s="0"/>
      <c r="JRM58" s="0"/>
      <c r="JRN58" s="0"/>
      <c r="JRO58" s="0"/>
      <c r="JRP58" s="0"/>
      <c r="JRQ58" s="0"/>
      <c r="JRR58" s="0"/>
      <c r="JRS58" s="0"/>
      <c r="JRT58" s="0"/>
      <c r="JRU58" s="0"/>
      <c r="JRV58" s="0"/>
      <c r="JRW58" s="0"/>
      <c r="JRX58" s="0"/>
      <c r="JRY58" s="0"/>
      <c r="JRZ58" s="0"/>
      <c r="JSA58" s="0"/>
      <c r="JSB58" s="0"/>
      <c r="JSC58" s="0"/>
      <c r="JSD58" s="0"/>
      <c r="JSE58" s="0"/>
      <c r="JSF58" s="0"/>
      <c r="JSG58" s="0"/>
      <c r="JSH58" s="0"/>
      <c r="JSI58" s="0"/>
      <c r="JSJ58" s="0"/>
      <c r="JSK58" s="0"/>
      <c r="JSL58" s="0"/>
      <c r="JSM58" s="0"/>
      <c r="JSN58" s="0"/>
      <c r="JSO58" s="0"/>
      <c r="JSP58" s="0"/>
      <c r="JSQ58" s="0"/>
      <c r="JSR58" s="0"/>
      <c r="JSS58" s="0"/>
      <c r="JST58" s="0"/>
      <c r="JSU58" s="0"/>
      <c r="JSV58" s="0"/>
      <c r="JSW58" s="0"/>
      <c r="JSX58" s="0"/>
      <c r="JSY58" s="0"/>
      <c r="JSZ58" s="0"/>
      <c r="JTA58" s="0"/>
      <c r="JTB58" s="0"/>
      <c r="JTC58" s="0"/>
      <c r="JTD58" s="0"/>
      <c r="JTE58" s="0"/>
      <c r="JTF58" s="0"/>
      <c r="JTG58" s="0"/>
      <c r="JTH58" s="0"/>
      <c r="JTI58" s="0"/>
      <c r="JTJ58" s="0"/>
      <c r="JTK58" s="0"/>
      <c r="JTL58" s="0"/>
      <c r="JTM58" s="0"/>
      <c r="JTN58" s="0"/>
      <c r="JTO58" s="0"/>
      <c r="JTP58" s="0"/>
      <c r="JTQ58" s="0"/>
      <c r="JTR58" s="0"/>
      <c r="JTS58" s="0"/>
      <c r="JTT58" s="0"/>
      <c r="JTU58" s="0"/>
      <c r="JTV58" s="0"/>
      <c r="JTW58" s="0"/>
      <c r="JTX58" s="0"/>
      <c r="JTY58" s="0"/>
      <c r="JTZ58" s="0"/>
      <c r="JUA58" s="0"/>
      <c r="JUB58" s="0"/>
      <c r="JUC58" s="0"/>
      <c r="JUD58" s="0"/>
      <c r="JUE58" s="0"/>
      <c r="JUF58" s="0"/>
      <c r="JUG58" s="0"/>
      <c r="JUH58" s="0"/>
      <c r="JUI58" s="0"/>
      <c r="JUJ58" s="0"/>
      <c r="JUK58" s="0"/>
      <c r="JUL58" s="0"/>
      <c r="JUM58" s="0"/>
      <c r="JUN58" s="0"/>
      <c r="JUO58" s="0"/>
      <c r="JUP58" s="0"/>
      <c r="JUQ58" s="0"/>
      <c r="JUR58" s="0"/>
      <c r="JUS58" s="0"/>
      <c r="JUT58" s="0"/>
      <c r="JUU58" s="0"/>
      <c r="JUV58" s="0"/>
      <c r="JUW58" s="0"/>
      <c r="JUX58" s="0"/>
      <c r="JUY58" s="0"/>
      <c r="JUZ58" s="0"/>
      <c r="JVA58" s="0"/>
      <c r="JVB58" s="0"/>
      <c r="JVC58" s="0"/>
      <c r="JVD58" s="0"/>
      <c r="JVE58" s="0"/>
      <c r="JVF58" s="0"/>
      <c r="JVG58" s="0"/>
      <c r="JVH58" s="0"/>
      <c r="JVI58" s="0"/>
      <c r="JVJ58" s="0"/>
      <c r="JVK58" s="0"/>
      <c r="JVL58" s="0"/>
      <c r="JVM58" s="0"/>
      <c r="JVN58" s="0"/>
      <c r="JVO58" s="0"/>
      <c r="JVP58" s="0"/>
      <c r="JVQ58" s="0"/>
      <c r="JVR58" s="0"/>
      <c r="JVS58" s="0"/>
      <c r="JVT58" s="0"/>
      <c r="JVU58" s="0"/>
      <c r="JVV58" s="0"/>
      <c r="JVW58" s="0"/>
      <c r="JVX58" s="0"/>
      <c r="JVY58" s="0"/>
      <c r="JVZ58" s="0"/>
      <c r="JWA58" s="0"/>
      <c r="JWB58" s="0"/>
      <c r="JWC58" s="0"/>
      <c r="JWD58" s="0"/>
      <c r="JWE58" s="0"/>
      <c r="JWF58" s="0"/>
      <c r="JWG58" s="0"/>
      <c r="JWH58" s="0"/>
      <c r="JWI58" s="0"/>
      <c r="JWJ58" s="0"/>
      <c r="JWK58" s="0"/>
      <c r="JWL58" s="0"/>
      <c r="JWM58" s="0"/>
      <c r="JWN58" s="0"/>
      <c r="JWO58" s="0"/>
      <c r="JWP58" s="0"/>
      <c r="JWQ58" s="0"/>
      <c r="JWR58" s="0"/>
      <c r="JWS58" s="0"/>
      <c r="JWT58" s="0"/>
      <c r="JWU58" s="0"/>
      <c r="JWV58" s="0"/>
      <c r="JWW58" s="0"/>
      <c r="JWX58" s="0"/>
      <c r="JWY58" s="0"/>
      <c r="JWZ58" s="0"/>
      <c r="JXA58" s="0"/>
      <c r="JXB58" s="0"/>
      <c r="JXC58" s="0"/>
      <c r="JXD58" s="0"/>
      <c r="JXE58" s="0"/>
      <c r="JXF58" s="0"/>
      <c r="JXG58" s="0"/>
      <c r="JXH58" s="0"/>
      <c r="JXI58" s="0"/>
      <c r="JXJ58" s="0"/>
      <c r="JXK58" s="0"/>
      <c r="JXL58" s="0"/>
      <c r="JXM58" s="0"/>
      <c r="JXN58" s="0"/>
      <c r="JXO58" s="0"/>
      <c r="JXP58" s="0"/>
      <c r="JXQ58" s="0"/>
      <c r="JXR58" s="0"/>
      <c r="JXS58" s="0"/>
      <c r="JXT58" s="0"/>
      <c r="JXU58" s="0"/>
      <c r="JXV58" s="0"/>
      <c r="JXW58" s="0"/>
      <c r="JXX58" s="0"/>
      <c r="JXY58" s="0"/>
      <c r="JXZ58" s="0"/>
      <c r="JYA58" s="0"/>
      <c r="JYB58" s="0"/>
      <c r="JYC58" s="0"/>
      <c r="JYD58" s="0"/>
      <c r="JYE58" s="0"/>
      <c r="JYF58" s="0"/>
      <c r="JYG58" s="0"/>
      <c r="JYH58" s="0"/>
      <c r="JYI58" s="0"/>
      <c r="JYJ58" s="0"/>
      <c r="JYK58" s="0"/>
      <c r="JYL58" s="0"/>
      <c r="JYM58" s="0"/>
      <c r="JYN58" s="0"/>
      <c r="JYO58" s="0"/>
      <c r="JYP58" s="0"/>
      <c r="JYQ58" s="0"/>
      <c r="JYR58" s="0"/>
      <c r="JYS58" s="0"/>
      <c r="JYT58" s="0"/>
      <c r="JYU58" s="0"/>
      <c r="JYV58" s="0"/>
      <c r="JYW58" s="0"/>
      <c r="JYX58" s="0"/>
      <c r="JYY58" s="0"/>
      <c r="JYZ58" s="0"/>
      <c r="JZA58" s="0"/>
      <c r="JZB58" s="0"/>
      <c r="JZC58" s="0"/>
      <c r="JZD58" s="0"/>
      <c r="JZE58" s="0"/>
      <c r="JZF58" s="0"/>
      <c r="JZG58" s="0"/>
      <c r="JZH58" s="0"/>
      <c r="JZI58" s="0"/>
      <c r="JZJ58" s="0"/>
      <c r="JZK58" s="0"/>
      <c r="JZL58" s="0"/>
      <c r="JZM58" s="0"/>
      <c r="JZN58" s="0"/>
      <c r="JZO58" s="0"/>
      <c r="JZP58" s="0"/>
      <c r="JZQ58" s="0"/>
      <c r="JZR58" s="0"/>
      <c r="JZS58" s="0"/>
      <c r="JZT58" s="0"/>
      <c r="JZU58" s="0"/>
      <c r="JZV58" s="0"/>
      <c r="JZW58" s="0"/>
      <c r="JZX58" s="0"/>
      <c r="JZY58" s="0"/>
      <c r="JZZ58" s="0"/>
      <c r="KAA58" s="0"/>
      <c r="KAB58" s="0"/>
      <c r="KAC58" s="0"/>
      <c r="KAD58" s="0"/>
      <c r="KAE58" s="0"/>
      <c r="KAF58" s="0"/>
      <c r="KAG58" s="0"/>
      <c r="KAH58" s="0"/>
      <c r="KAI58" s="0"/>
      <c r="KAJ58" s="0"/>
      <c r="KAK58" s="0"/>
      <c r="KAL58" s="0"/>
      <c r="KAM58" s="0"/>
      <c r="KAN58" s="0"/>
      <c r="KAO58" s="0"/>
      <c r="KAP58" s="0"/>
      <c r="KAQ58" s="0"/>
      <c r="KAR58" s="0"/>
      <c r="KAS58" s="0"/>
      <c r="KAT58" s="0"/>
      <c r="KAU58" s="0"/>
      <c r="KAV58" s="0"/>
      <c r="KAW58" s="0"/>
      <c r="KAX58" s="0"/>
      <c r="KAY58" s="0"/>
      <c r="KAZ58" s="0"/>
      <c r="KBA58" s="0"/>
      <c r="KBB58" s="0"/>
      <c r="KBC58" s="0"/>
      <c r="KBD58" s="0"/>
      <c r="KBE58" s="0"/>
      <c r="KBF58" s="0"/>
      <c r="KBG58" s="0"/>
      <c r="KBH58" s="0"/>
      <c r="KBI58" s="0"/>
      <c r="KBJ58" s="0"/>
      <c r="KBK58" s="0"/>
      <c r="KBL58" s="0"/>
      <c r="KBM58" s="0"/>
      <c r="KBN58" s="0"/>
      <c r="KBO58" s="0"/>
      <c r="KBP58" s="0"/>
      <c r="KBQ58" s="0"/>
      <c r="KBR58" s="0"/>
      <c r="KBS58" s="0"/>
      <c r="KBT58" s="0"/>
      <c r="KBU58" s="0"/>
      <c r="KBV58" s="0"/>
      <c r="KBW58" s="0"/>
      <c r="KBX58" s="0"/>
      <c r="KBY58" s="0"/>
      <c r="KBZ58" s="0"/>
      <c r="KCA58" s="0"/>
      <c r="KCB58" s="0"/>
      <c r="KCC58" s="0"/>
      <c r="KCD58" s="0"/>
      <c r="KCE58" s="0"/>
      <c r="KCF58" s="0"/>
      <c r="KCG58" s="0"/>
      <c r="KCH58" s="0"/>
      <c r="KCI58" s="0"/>
      <c r="KCJ58" s="0"/>
      <c r="KCK58" s="0"/>
      <c r="KCL58" s="0"/>
      <c r="KCM58" s="0"/>
      <c r="KCN58" s="0"/>
      <c r="KCO58" s="0"/>
      <c r="KCP58" s="0"/>
      <c r="KCQ58" s="0"/>
      <c r="KCR58" s="0"/>
      <c r="KCS58" s="0"/>
      <c r="KCT58" s="0"/>
      <c r="KCU58" s="0"/>
      <c r="KCV58" s="0"/>
      <c r="KCW58" s="0"/>
      <c r="KCX58" s="0"/>
      <c r="KCY58" s="0"/>
      <c r="KCZ58" s="0"/>
      <c r="KDA58" s="0"/>
      <c r="KDB58" s="0"/>
      <c r="KDC58" s="0"/>
      <c r="KDD58" s="0"/>
      <c r="KDE58" s="0"/>
      <c r="KDF58" s="0"/>
      <c r="KDG58" s="0"/>
      <c r="KDH58" s="0"/>
      <c r="KDI58" s="0"/>
      <c r="KDJ58" s="0"/>
      <c r="KDK58" s="0"/>
      <c r="KDL58" s="0"/>
      <c r="KDM58" s="0"/>
      <c r="KDN58" s="0"/>
      <c r="KDO58" s="0"/>
      <c r="KDP58" s="0"/>
      <c r="KDQ58" s="0"/>
      <c r="KDR58" s="0"/>
      <c r="KDS58" s="0"/>
      <c r="KDT58" s="0"/>
      <c r="KDU58" s="0"/>
      <c r="KDV58" s="0"/>
      <c r="KDW58" s="0"/>
      <c r="KDX58" s="0"/>
      <c r="KDY58" s="0"/>
      <c r="KDZ58" s="0"/>
      <c r="KEA58" s="0"/>
      <c r="KEB58" s="0"/>
      <c r="KEC58" s="0"/>
      <c r="KED58" s="0"/>
      <c r="KEE58" s="0"/>
      <c r="KEF58" s="0"/>
      <c r="KEG58" s="0"/>
      <c r="KEH58" s="0"/>
      <c r="KEI58" s="0"/>
      <c r="KEJ58" s="0"/>
      <c r="KEK58" s="0"/>
      <c r="KEL58" s="0"/>
      <c r="KEM58" s="0"/>
      <c r="KEN58" s="0"/>
      <c r="KEO58" s="0"/>
      <c r="KEP58" s="0"/>
      <c r="KEQ58" s="0"/>
      <c r="KER58" s="0"/>
      <c r="KES58" s="0"/>
      <c r="KET58" s="0"/>
      <c r="KEU58" s="0"/>
      <c r="KEV58" s="0"/>
      <c r="KEW58" s="0"/>
      <c r="KEX58" s="0"/>
      <c r="KEY58" s="0"/>
      <c r="KEZ58" s="0"/>
      <c r="KFA58" s="0"/>
      <c r="KFB58" s="0"/>
      <c r="KFC58" s="0"/>
      <c r="KFD58" s="0"/>
      <c r="KFE58" s="0"/>
      <c r="KFF58" s="0"/>
      <c r="KFG58" s="0"/>
      <c r="KFH58" s="0"/>
      <c r="KFI58" s="0"/>
      <c r="KFJ58" s="0"/>
      <c r="KFK58" s="0"/>
      <c r="KFL58" s="0"/>
      <c r="KFM58" s="0"/>
      <c r="KFN58" s="0"/>
      <c r="KFO58" s="0"/>
      <c r="KFP58" s="0"/>
      <c r="KFQ58" s="0"/>
      <c r="KFR58" s="0"/>
      <c r="KFS58" s="0"/>
      <c r="KFT58" s="0"/>
      <c r="KFU58" s="0"/>
      <c r="KFV58" s="0"/>
      <c r="KFW58" s="0"/>
      <c r="KFX58" s="0"/>
      <c r="KFY58" s="0"/>
      <c r="KFZ58" s="0"/>
      <c r="KGA58" s="0"/>
      <c r="KGB58" s="0"/>
      <c r="KGC58" s="0"/>
      <c r="KGD58" s="0"/>
      <c r="KGE58" s="0"/>
      <c r="KGF58" s="0"/>
      <c r="KGG58" s="0"/>
      <c r="KGH58" s="0"/>
      <c r="KGI58" s="0"/>
      <c r="KGJ58" s="0"/>
      <c r="KGK58" s="0"/>
      <c r="KGL58" s="0"/>
      <c r="KGM58" s="0"/>
      <c r="KGN58" s="0"/>
      <c r="KGO58" s="0"/>
      <c r="KGP58" s="0"/>
      <c r="KGQ58" s="0"/>
      <c r="KGR58" s="0"/>
      <c r="KGS58" s="0"/>
      <c r="KGT58" s="0"/>
      <c r="KGU58" s="0"/>
      <c r="KGV58" s="0"/>
      <c r="KGW58" s="0"/>
      <c r="KGX58" s="0"/>
      <c r="KGY58" s="0"/>
      <c r="KGZ58" s="0"/>
      <c r="KHA58" s="0"/>
      <c r="KHB58" s="0"/>
      <c r="KHC58" s="0"/>
      <c r="KHD58" s="0"/>
      <c r="KHE58" s="0"/>
      <c r="KHF58" s="0"/>
      <c r="KHG58" s="0"/>
      <c r="KHH58" s="0"/>
      <c r="KHI58" s="0"/>
      <c r="KHJ58" s="0"/>
      <c r="KHK58" s="0"/>
      <c r="KHL58" s="0"/>
      <c r="KHM58" s="0"/>
      <c r="KHN58" s="0"/>
      <c r="KHO58" s="0"/>
      <c r="KHP58" s="0"/>
      <c r="KHQ58" s="0"/>
      <c r="KHR58" s="0"/>
      <c r="KHS58" s="0"/>
      <c r="KHT58" s="0"/>
      <c r="KHU58" s="0"/>
      <c r="KHV58" s="0"/>
      <c r="KHW58" s="0"/>
      <c r="KHX58" s="0"/>
      <c r="KHY58" s="0"/>
      <c r="KHZ58" s="0"/>
      <c r="KIA58" s="0"/>
      <c r="KIB58" s="0"/>
      <c r="KIC58" s="0"/>
      <c r="KID58" s="0"/>
      <c r="KIE58" s="0"/>
      <c r="KIF58" s="0"/>
      <c r="KIG58" s="0"/>
      <c r="KIH58" s="0"/>
      <c r="KII58" s="0"/>
      <c r="KIJ58" s="0"/>
      <c r="KIK58" s="0"/>
      <c r="KIL58" s="0"/>
      <c r="KIM58" s="0"/>
      <c r="KIN58" s="0"/>
      <c r="KIO58" s="0"/>
      <c r="KIP58" s="0"/>
      <c r="KIQ58" s="0"/>
      <c r="KIR58" s="0"/>
      <c r="KIS58" s="0"/>
      <c r="KIT58" s="0"/>
      <c r="KIU58" s="0"/>
      <c r="KIV58" s="0"/>
      <c r="KIW58" s="0"/>
      <c r="KIX58" s="0"/>
      <c r="KIY58" s="0"/>
      <c r="KIZ58" s="0"/>
      <c r="KJA58" s="0"/>
      <c r="KJB58" s="0"/>
      <c r="KJC58" s="0"/>
      <c r="KJD58" s="0"/>
      <c r="KJE58" s="0"/>
      <c r="KJF58" s="0"/>
      <c r="KJG58" s="0"/>
      <c r="KJH58" s="0"/>
      <c r="KJI58" s="0"/>
      <c r="KJJ58" s="0"/>
      <c r="KJK58" s="0"/>
      <c r="KJL58" s="0"/>
      <c r="KJM58" s="0"/>
      <c r="KJN58" s="0"/>
      <c r="KJO58" s="0"/>
      <c r="KJP58" s="0"/>
      <c r="KJQ58" s="0"/>
      <c r="KJR58" s="0"/>
      <c r="KJS58" s="0"/>
      <c r="KJT58" s="0"/>
      <c r="KJU58" s="0"/>
      <c r="KJV58" s="0"/>
      <c r="KJW58" s="0"/>
      <c r="KJX58" s="0"/>
      <c r="KJY58" s="0"/>
      <c r="KJZ58" s="0"/>
      <c r="KKA58" s="0"/>
      <c r="KKB58" s="0"/>
      <c r="KKC58" s="0"/>
      <c r="KKD58" s="0"/>
      <c r="KKE58" s="0"/>
      <c r="KKF58" s="0"/>
      <c r="KKG58" s="0"/>
      <c r="KKH58" s="0"/>
      <c r="KKI58" s="0"/>
      <c r="KKJ58" s="0"/>
      <c r="KKK58" s="0"/>
      <c r="KKL58" s="0"/>
      <c r="KKM58" s="0"/>
      <c r="KKN58" s="0"/>
      <c r="KKO58" s="0"/>
      <c r="KKP58" s="0"/>
      <c r="KKQ58" s="0"/>
      <c r="KKR58" s="0"/>
      <c r="KKS58" s="0"/>
      <c r="KKT58" s="0"/>
      <c r="KKU58" s="0"/>
      <c r="KKV58" s="0"/>
      <c r="KKW58" s="0"/>
      <c r="KKX58" s="0"/>
      <c r="KKY58" s="0"/>
      <c r="KKZ58" s="0"/>
      <c r="KLA58" s="0"/>
      <c r="KLB58" s="0"/>
      <c r="KLC58" s="0"/>
      <c r="KLD58" s="0"/>
      <c r="KLE58" s="0"/>
      <c r="KLF58" s="0"/>
      <c r="KLG58" s="0"/>
      <c r="KLH58" s="0"/>
      <c r="KLI58" s="0"/>
      <c r="KLJ58" s="0"/>
      <c r="KLK58" s="0"/>
      <c r="KLL58" s="0"/>
      <c r="KLM58" s="0"/>
      <c r="KLN58" s="0"/>
      <c r="KLO58" s="0"/>
      <c r="KLP58" s="0"/>
      <c r="KLQ58" s="0"/>
      <c r="KLR58" s="0"/>
      <c r="KLS58" s="0"/>
      <c r="KLT58" s="0"/>
      <c r="KLU58" s="0"/>
      <c r="KLV58" s="0"/>
      <c r="KLW58" s="0"/>
      <c r="KLX58" s="0"/>
      <c r="KLY58" s="0"/>
      <c r="KLZ58" s="0"/>
      <c r="KMA58" s="0"/>
      <c r="KMB58" s="0"/>
      <c r="KMC58" s="0"/>
      <c r="KMD58" s="0"/>
      <c r="KME58" s="0"/>
      <c r="KMF58" s="0"/>
      <c r="KMG58" s="0"/>
      <c r="KMH58" s="0"/>
      <c r="KMI58" s="0"/>
      <c r="KMJ58" s="0"/>
      <c r="KMK58" s="0"/>
      <c r="KML58" s="0"/>
      <c r="KMM58" s="0"/>
      <c r="KMN58" s="0"/>
      <c r="KMO58" s="0"/>
      <c r="KMP58" s="0"/>
      <c r="KMQ58" s="0"/>
      <c r="KMR58" s="0"/>
      <c r="KMS58" s="0"/>
      <c r="KMT58" s="0"/>
      <c r="KMU58" s="0"/>
      <c r="KMV58" s="0"/>
      <c r="KMW58" s="0"/>
      <c r="KMX58" s="0"/>
      <c r="KMY58" s="0"/>
      <c r="KMZ58" s="0"/>
      <c r="KNA58" s="0"/>
      <c r="KNB58" s="0"/>
      <c r="KNC58" s="0"/>
      <c r="KND58" s="0"/>
      <c r="KNE58" s="0"/>
      <c r="KNF58" s="0"/>
      <c r="KNG58" s="0"/>
      <c r="KNH58" s="0"/>
      <c r="KNI58" s="0"/>
      <c r="KNJ58" s="0"/>
      <c r="KNK58" s="0"/>
      <c r="KNL58" s="0"/>
      <c r="KNM58" s="0"/>
      <c r="KNN58" s="0"/>
      <c r="KNO58" s="0"/>
      <c r="KNP58" s="0"/>
      <c r="KNQ58" s="0"/>
      <c r="KNR58" s="0"/>
      <c r="KNS58" s="0"/>
      <c r="KNT58" s="0"/>
      <c r="KNU58" s="0"/>
      <c r="KNV58" s="0"/>
      <c r="KNW58" s="0"/>
      <c r="KNX58" s="0"/>
      <c r="KNY58" s="0"/>
      <c r="KNZ58" s="0"/>
      <c r="KOA58" s="0"/>
      <c r="KOB58" s="0"/>
      <c r="KOC58" s="0"/>
      <c r="KOD58" s="0"/>
      <c r="KOE58" s="0"/>
      <c r="KOF58" s="0"/>
      <c r="KOG58" s="0"/>
      <c r="KOH58" s="0"/>
      <c r="KOI58" s="0"/>
      <c r="KOJ58" s="0"/>
      <c r="KOK58" s="0"/>
      <c r="KOL58" s="0"/>
      <c r="KOM58" s="0"/>
      <c r="KON58" s="0"/>
      <c r="KOO58" s="0"/>
      <c r="KOP58" s="0"/>
      <c r="KOQ58" s="0"/>
      <c r="KOR58" s="0"/>
      <c r="KOS58" s="0"/>
      <c r="KOT58" s="0"/>
      <c r="KOU58" s="0"/>
      <c r="KOV58" s="0"/>
      <c r="KOW58" s="0"/>
      <c r="KOX58" s="0"/>
      <c r="KOY58" s="0"/>
      <c r="KOZ58" s="0"/>
      <c r="KPA58" s="0"/>
      <c r="KPB58" s="0"/>
      <c r="KPC58" s="0"/>
      <c r="KPD58" s="0"/>
      <c r="KPE58" s="0"/>
      <c r="KPF58" s="0"/>
      <c r="KPG58" s="0"/>
      <c r="KPH58" s="0"/>
      <c r="KPI58" s="0"/>
      <c r="KPJ58" s="0"/>
      <c r="KPK58" s="0"/>
      <c r="KPL58" s="0"/>
      <c r="KPM58" s="0"/>
      <c r="KPN58" s="0"/>
      <c r="KPO58" s="0"/>
      <c r="KPP58" s="0"/>
      <c r="KPQ58" s="0"/>
      <c r="KPR58" s="0"/>
      <c r="KPS58" s="0"/>
      <c r="KPT58" s="0"/>
      <c r="KPU58" s="0"/>
      <c r="KPV58" s="0"/>
      <c r="KPW58" s="0"/>
      <c r="KPX58" s="0"/>
      <c r="KPY58" s="0"/>
      <c r="KPZ58" s="0"/>
      <c r="KQA58" s="0"/>
      <c r="KQB58" s="0"/>
      <c r="KQC58" s="0"/>
      <c r="KQD58" s="0"/>
      <c r="KQE58" s="0"/>
      <c r="KQF58" s="0"/>
      <c r="KQG58" s="0"/>
      <c r="KQH58" s="0"/>
      <c r="KQI58" s="0"/>
      <c r="KQJ58" s="0"/>
      <c r="KQK58" s="0"/>
      <c r="KQL58" s="0"/>
      <c r="KQM58" s="0"/>
      <c r="KQN58" s="0"/>
      <c r="KQO58" s="0"/>
      <c r="KQP58" s="0"/>
      <c r="KQQ58" s="0"/>
      <c r="KQR58" s="0"/>
      <c r="KQS58" s="0"/>
      <c r="KQT58" s="0"/>
      <c r="KQU58" s="0"/>
      <c r="KQV58" s="0"/>
      <c r="KQW58" s="0"/>
      <c r="KQX58" s="0"/>
      <c r="KQY58" s="0"/>
      <c r="KQZ58" s="0"/>
      <c r="KRA58" s="0"/>
      <c r="KRB58" s="0"/>
      <c r="KRC58" s="0"/>
      <c r="KRD58" s="0"/>
      <c r="KRE58" s="0"/>
      <c r="KRF58" s="0"/>
      <c r="KRG58" s="0"/>
      <c r="KRH58" s="0"/>
      <c r="KRI58" s="0"/>
      <c r="KRJ58" s="0"/>
      <c r="KRK58" s="0"/>
      <c r="KRL58" s="0"/>
      <c r="KRM58" s="0"/>
      <c r="KRN58" s="0"/>
      <c r="KRO58" s="0"/>
      <c r="KRP58" s="0"/>
      <c r="KRQ58" s="0"/>
      <c r="KRR58" s="0"/>
      <c r="KRS58" s="0"/>
      <c r="KRT58" s="0"/>
      <c r="KRU58" s="0"/>
      <c r="KRV58" s="0"/>
      <c r="KRW58" s="0"/>
      <c r="KRX58" s="0"/>
      <c r="KRY58" s="0"/>
      <c r="KRZ58" s="0"/>
      <c r="KSA58" s="0"/>
      <c r="KSB58" s="0"/>
      <c r="KSC58" s="0"/>
      <c r="KSD58" s="0"/>
      <c r="KSE58" s="0"/>
      <c r="KSF58" s="0"/>
      <c r="KSG58" s="0"/>
      <c r="KSH58" s="0"/>
      <c r="KSI58" s="0"/>
      <c r="KSJ58" s="0"/>
      <c r="KSK58" s="0"/>
      <c r="KSL58" s="0"/>
      <c r="KSM58" s="0"/>
      <c r="KSN58" s="0"/>
      <c r="KSO58" s="0"/>
      <c r="KSP58" s="0"/>
      <c r="KSQ58" s="0"/>
      <c r="KSR58" s="0"/>
      <c r="KSS58" s="0"/>
      <c r="KST58" s="0"/>
      <c r="KSU58" s="0"/>
      <c r="KSV58" s="0"/>
      <c r="KSW58" s="0"/>
      <c r="KSX58" s="0"/>
      <c r="KSY58" s="0"/>
      <c r="KSZ58" s="0"/>
      <c r="KTA58" s="0"/>
      <c r="KTB58" s="0"/>
      <c r="KTC58" s="0"/>
      <c r="KTD58" s="0"/>
      <c r="KTE58" s="0"/>
      <c r="KTF58" s="0"/>
      <c r="KTG58" s="0"/>
      <c r="KTH58" s="0"/>
      <c r="KTI58" s="0"/>
      <c r="KTJ58" s="0"/>
      <c r="KTK58" s="0"/>
      <c r="KTL58" s="0"/>
      <c r="KTM58" s="0"/>
      <c r="KTN58" s="0"/>
      <c r="KTO58" s="0"/>
      <c r="KTP58" s="0"/>
      <c r="KTQ58" s="0"/>
      <c r="KTR58" s="0"/>
      <c r="KTS58" s="0"/>
      <c r="KTT58" s="0"/>
      <c r="KTU58" s="0"/>
      <c r="KTV58" s="0"/>
      <c r="KTW58" s="0"/>
      <c r="KTX58" s="0"/>
      <c r="KTY58" s="0"/>
      <c r="KTZ58" s="0"/>
      <c r="KUA58" s="0"/>
      <c r="KUB58" s="0"/>
      <c r="KUC58" s="0"/>
      <c r="KUD58" s="0"/>
      <c r="KUE58" s="0"/>
      <c r="KUF58" s="0"/>
      <c r="KUG58" s="0"/>
      <c r="KUH58" s="0"/>
      <c r="KUI58" s="0"/>
      <c r="KUJ58" s="0"/>
      <c r="KUK58" s="0"/>
      <c r="KUL58" s="0"/>
      <c r="KUM58" s="0"/>
      <c r="KUN58" s="0"/>
      <c r="KUO58" s="0"/>
      <c r="KUP58" s="0"/>
      <c r="KUQ58" s="0"/>
      <c r="KUR58" s="0"/>
      <c r="KUS58" s="0"/>
      <c r="KUT58" s="0"/>
      <c r="KUU58" s="0"/>
      <c r="KUV58" s="0"/>
      <c r="KUW58" s="0"/>
      <c r="KUX58" s="0"/>
      <c r="KUY58" s="0"/>
      <c r="KUZ58" s="0"/>
      <c r="KVA58" s="0"/>
      <c r="KVB58" s="0"/>
      <c r="KVC58" s="0"/>
      <c r="KVD58" s="0"/>
      <c r="KVE58" s="0"/>
      <c r="KVF58" s="0"/>
      <c r="KVG58" s="0"/>
      <c r="KVH58" s="0"/>
      <c r="KVI58" s="0"/>
      <c r="KVJ58" s="0"/>
      <c r="KVK58" s="0"/>
      <c r="KVL58" s="0"/>
      <c r="KVM58" s="0"/>
      <c r="KVN58" s="0"/>
      <c r="KVO58" s="0"/>
      <c r="KVP58" s="0"/>
      <c r="KVQ58" s="0"/>
      <c r="KVR58" s="0"/>
      <c r="KVS58" s="0"/>
      <c r="KVT58" s="0"/>
      <c r="KVU58" s="0"/>
      <c r="KVV58" s="0"/>
      <c r="KVW58" s="0"/>
      <c r="KVX58" s="0"/>
      <c r="KVY58" s="0"/>
      <c r="KVZ58" s="0"/>
      <c r="KWA58" s="0"/>
      <c r="KWB58" s="0"/>
      <c r="KWC58" s="0"/>
      <c r="KWD58" s="0"/>
      <c r="KWE58" s="0"/>
      <c r="KWF58" s="0"/>
      <c r="KWG58" s="0"/>
      <c r="KWH58" s="0"/>
      <c r="KWI58" s="0"/>
      <c r="KWJ58" s="0"/>
      <c r="KWK58" s="0"/>
      <c r="KWL58" s="0"/>
      <c r="KWM58" s="0"/>
      <c r="KWN58" s="0"/>
      <c r="KWO58" s="0"/>
      <c r="KWP58" s="0"/>
      <c r="KWQ58" s="0"/>
      <c r="KWR58" s="0"/>
      <c r="KWS58" s="0"/>
      <c r="KWT58" s="0"/>
      <c r="KWU58" s="0"/>
      <c r="KWV58" s="0"/>
      <c r="KWW58" s="0"/>
      <c r="KWX58" s="0"/>
      <c r="KWY58" s="0"/>
      <c r="KWZ58" s="0"/>
      <c r="KXA58" s="0"/>
      <c r="KXB58" s="0"/>
      <c r="KXC58" s="0"/>
      <c r="KXD58" s="0"/>
      <c r="KXE58" s="0"/>
      <c r="KXF58" s="0"/>
      <c r="KXG58" s="0"/>
      <c r="KXH58" s="0"/>
      <c r="KXI58" s="0"/>
      <c r="KXJ58" s="0"/>
      <c r="KXK58" s="0"/>
      <c r="KXL58" s="0"/>
      <c r="KXM58" s="0"/>
      <c r="KXN58" s="0"/>
      <c r="KXO58" s="0"/>
      <c r="KXP58" s="0"/>
      <c r="KXQ58" s="0"/>
      <c r="KXR58" s="0"/>
      <c r="KXS58" s="0"/>
      <c r="KXT58" s="0"/>
      <c r="KXU58" s="0"/>
      <c r="KXV58" s="0"/>
      <c r="KXW58" s="0"/>
      <c r="KXX58" s="0"/>
      <c r="KXY58" s="0"/>
      <c r="KXZ58" s="0"/>
      <c r="KYA58" s="0"/>
      <c r="KYB58" s="0"/>
      <c r="KYC58" s="0"/>
      <c r="KYD58" s="0"/>
      <c r="KYE58" s="0"/>
      <c r="KYF58" s="0"/>
      <c r="KYG58" s="0"/>
      <c r="KYH58" s="0"/>
      <c r="KYI58" s="0"/>
      <c r="KYJ58" s="0"/>
      <c r="KYK58" s="0"/>
      <c r="KYL58" s="0"/>
      <c r="KYM58" s="0"/>
      <c r="KYN58" s="0"/>
      <c r="KYO58" s="0"/>
      <c r="KYP58" s="0"/>
      <c r="KYQ58" s="0"/>
      <c r="KYR58" s="0"/>
      <c r="KYS58" s="0"/>
      <c r="KYT58" s="0"/>
      <c r="KYU58" s="0"/>
      <c r="KYV58" s="0"/>
      <c r="KYW58" s="0"/>
      <c r="KYX58" s="0"/>
      <c r="KYY58" s="0"/>
      <c r="KYZ58" s="0"/>
      <c r="KZA58" s="0"/>
      <c r="KZB58" s="0"/>
      <c r="KZC58" s="0"/>
      <c r="KZD58" s="0"/>
      <c r="KZE58" s="0"/>
      <c r="KZF58" s="0"/>
      <c r="KZG58" s="0"/>
      <c r="KZH58" s="0"/>
      <c r="KZI58" s="0"/>
      <c r="KZJ58" s="0"/>
      <c r="KZK58" s="0"/>
      <c r="KZL58" s="0"/>
      <c r="KZM58" s="0"/>
      <c r="KZN58" s="0"/>
      <c r="KZO58" s="0"/>
      <c r="KZP58" s="0"/>
      <c r="KZQ58" s="0"/>
      <c r="KZR58" s="0"/>
      <c r="KZS58" s="0"/>
      <c r="KZT58" s="0"/>
      <c r="KZU58" s="0"/>
      <c r="KZV58" s="0"/>
      <c r="KZW58" s="0"/>
      <c r="KZX58" s="0"/>
      <c r="KZY58" s="0"/>
      <c r="KZZ58" s="0"/>
      <c r="LAA58" s="0"/>
      <c r="LAB58" s="0"/>
      <c r="LAC58" s="0"/>
      <c r="LAD58" s="0"/>
      <c r="LAE58" s="0"/>
      <c r="LAF58" s="0"/>
      <c r="LAG58" s="0"/>
      <c r="LAH58" s="0"/>
      <c r="LAI58" s="0"/>
      <c r="LAJ58" s="0"/>
      <c r="LAK58" s="0"/>
      <c r="LAL58" s="0"/>
      <c r="LAM58" s="0"/>
      <c r="LAN58" s="0"/>
      <c r="LAO58" s="0"/>
      <c r="LAP58" s="0"/>
      <c r="LAQ58" s="0"/>
      <c r="LAR58" s="0"/>
      <c r="LAS58" s="0"/>
      <c r="LAT58" s="0"/>
      <c r="LAU58" s="0"/>
      <c r="LAV58" s="0"/>
      <c r="LAW58" s="0"/>
      <c r="LAX58" s="0"/>
      <c r="LAY58" s="0"/>
      <c r="LAZ58" s="0"/>
      <c r="LBA58" s="0"/>
      <c r="LBB58" s="0"/>
      <c r="LBC58" s="0"/>
      <c r="LBD58" s="0"/>
      <c r="LBE58" s="0"/>
      <c r="LBF58" s="0"/>
      <c r="LBG58" s="0"/>
      <c r="LBH58" s="0"/>
      <c r="LBI58" s="0"/>
      <c r="LBJ58" s="0"/>
      <c r="LBK58" s="0"/>
      <c r="LBL58" s="0"/>
      <c r="LBM58" s="0"/>
      <c r="LBN58" s="0"/>
      <c r="LBO58" s="0"/>
      <c r="LBP58" s="0"/>
      <c r="LBQ58" s="0"/>
      <c r="LBR58" s="0"/>
      <c r="LBS58" s="0"/>
      <c r="LBT58" s="0"/>
      <c r="LBU58" s="0"/>
      <c r="LBV58" s="0"/>
      <c r="LBW58" s="0"/>
      <c r="LBX58" s="0"/>
      <c r="LBY58" s="0"/>
      <c r="LBZ58" s="0"/>
      <c r="LCA58" s="0"/>
      <c r="LCB58" s="0"/>
      <c r="LCC58" s="0"/>
      <c r="LCD58" s="0"/>
      <c r="LCE58" s="0"/>
      <c r="LCF58" s="0"/>
      <c r="LCG58" s="0"/>
      <c r="LCH58" s="0"/>
      <c r="LCI58" s="0"/>
      <c r="LCJ58" s="0"/>
      <c r="LCK58" s="0"/>
      <c r="LCL58" s="0"/>
      <c r="LCM58" s="0"/>
      <c r="LCN58" s="0"/>
      <c r="LCO58" s="0"/>
      <c r="LCP58" s="0"/>
      <c r="LCQ58" s="0"/>
      <c r="LCR58" s="0"/>
      <c r="LCS58" s="0"/>
      <c r="LCT58" s="0"/>
      <c r="LCU58" s="0"/>
      <c r="LCV58" s="0"/>
      <c r="LCW58" s="0"/>
      <c r="LCX58" s="0"/>
      <c r="LCY58" s="0"/>
      <c r="LCZ58" s="0"/>
      <c r="LDA58" s="0"/>
      <c r="LDB58" s="0"/>
      <c r="LDC58" s="0"/>
      <c r="LDD58" s="0"/>
      <c r="LDE58" s="0"/>
      <c r="LDF58" s="0"/>
      <c r="LDG58" s="0"/>
      <c r="LDH58" s="0"/>
      <c r="LDI58" s="0"/>
      <c r="LDJ58" s="0"/>
      <c r="LDK58" s="0"/>
      <c r="LDL58" s="0"/>
      <c r="LDM58" s="0"/>
      <c r="LDN58" s="0"/>
      <c r="LDO58" s="0"/>
      <c r="LDP58" s="0"/>
      <c r="LDQ58" s="0"/>
      <c r="LDR58" s="0"/>
      <c r="LDS58" s="0"/>
      <c r="LDT58" s="0"/>
      <c r="LDU58" s="0"/>
      <c r="LDV58" s="0"/>
      <c r="LDW58" s="0"/>
      <c r="LDX58" s="0"/>
      <c r="LDY58" s="0"/>
      <c r="LDZ58" s="0"/>
      <c r="LEA58" s="0"/>
      <c r="LEB58" s="0"/>
      <c r="LEC58" s="0"/>
      <c r="LED58" s="0"/>
      <c r="LEE58" s="0"/>
      <c r="LEF58" s="0"/>
      <c r="LEG58" s="0"/>
      <c r="LEH58" s="0"/>
      <c r="LEI58" s="0"/>
      <c r="LEJ58" s="0"/>
      <c r="LEK58" s="0"/>
      <c r="LEL58" s="0"/>
      <c r="LEM58" s="0"/>
      <c r="LEN58" s="0"/>
      <c r="LEO58" s="0"/>
      <c r="LEP58" s="0"/>
      <c r="LEQ58" s="0"/>
      <c r="LER58" s="0"/>
      <c r="LES58" s="0"/>
      <c r="LET58" s="0"/>
      <c r="LEU58" s="0"/>
      <c r="LEV58" s="0"/>
      <c r="LEW58" s="0"/>
      <c r="LEX58" s="0"/>
      <c r="LEY58" s="0"/>
      <c r="LEZ58" s="0"/>
      <c r="LFA58" s="0"/>
      <c r="LFB58" s="0"/>
      <c r="LFC58" s="0"/>
      <c r="LFD58" s="0"/>
      <c r="LFE58" s="0"/>
      <c r="LFF58" s="0"/>
      <c r="LFG58" s="0"/>
      <c r="LFH58" s="0"/>
      <c r="LFI58" s="0"/>
      <c r="LFJ58" s="0"/>
      <c r="LFK58" s="0"/>
      <c r="LFL58" s="0"/>
      <c r="LFM58" s="0"/>
      <c r="LFN58" s="0"/>
      <c r="LFO58" s="0"/>
      <c r="LFP58" s="0"/>
      <c r="LFQ58" s="0"/>
      <c r="LFR58" s="0"/>
      <c r="LFS58" s="0"/>
      <c r="LFT58" s="0"/>
      <c r="LFU58" s="0"/>
      <c r="LFV58" s="0"/>
      <c r="LFW58" s="0"/>
      <c r="LFX58" s="0"/>
      <c r="LFY58" s="0"/>
      <c r="LFZ58" s="0"/>
      <c r="LGA58" s="0"/>
      <c r="LGB58" s="0"/>
      <c r="LGC58" s="0"/>
      <c r="LGD58" s="0"/>
      <c r="LGE58" s="0"/>
      <c r="LGF58" s="0"/>
      <c r="LGG58" s="0"/>
      <c r="LGH58" s="0"/>
      <c r="LGI58" s="0"/>
      <c r="LGJ58" s="0"/>
      <c r="LGK58" s="0"/>
      <c r="LGL58" s="0"/>
      <c r="LGM58" s="0"/>
      <c r="LGN58" s="0"/>
      <c r="LGO58" s="0"/>
      <c r="LGP58" s="0"/>
      <c r="LGQ58" s="0"/>
      <c r="LGR58" s="0"/>
      <c r="LGS58" s="0"/>
      <c r="LGT58" s="0"/>
      <c r="LGU58" s="0"/>
      <c r="LGV58" s="0"/>
      <c r="LGW58" s="0"/>
      <c r="LGX58" s="0"/>
      <c r="LGY58" s="0"/>
      <c r="LGZ58" s="0"/>
      <c r="LHA58" s="0"/>
      <c r="LHB58" s="0"/>
      <c r="LHC58" s="0"/>
      <c r="LHD58" s="0"/>
      <c r="LHE58" s="0"/>
      <c r="LHF58" s="0"/>
      <c r="LHG58" s="0"/>
      <c r="LHH58" s="0"/>
      <c r="LHI58" s="0"/>
      <c r="LHJ58" s="0"/>
      <c r="LHK58" s="0"/>
      <c r="LHL58" s="0"/>
      <c r="LHM58" s="0"/>
      <c r="LHN58" s="0"/>
      <c r="LHO58" s="0"/>
      <c r="LHP58" s="0"/>
      <c r="LHQ58" s="0"/>
      <c r="LHR58" s="0"/>
      <c r="LHS58" s="0"/>
      <c r="LHT58" s="0"/>
      <c r="LHU58" s="0"/>
      <c r="LHV58" s="0"/>
      <c r="LHW58" s="0"/>
      <c r="LHX58" s="0"/>
      <c r="LHY58" s="0"/>
      <c r="LHZ58" s="0"/>
      <c r="LIA58" s="0"/>
      <c r="LIB58" s="0"/>
      <c r="LIC58" s="0"/>
      <c r="LID58" s="0"/>
      <c r="LIE58" s="0"/>
      <c r="LIF58" s="0"/>
      <c r="LIG58" s="0"/>
      <c r="LIH58" s="0"/>
      <c r="LII58" s="0"/>
      <c r="LIJ58" s="0"/>
      <c r="LIK58" s="0"/>
      <c r="LIL58" s="0"/>
      <c r="LIM58" s="0"/>
      <c r="LIN58" s="0"/>
      <c r="LIO58" s="0"/>
      <c r="LIP58" s="0"/>
      <c r="LIQ58" s="0"/>
      <c r="LIR58" s="0"/>
      <c r="LIS58" s="0"/>
      <c r="LIT58" s="0"/>
      <c r="LIU58" s="0"/>
      <c r="LIV58" s="0"/>
      <c r="LIW58" s="0"/>
      <c r="LIX58" s="0"/>
      <c r="LIY58" s="0"/>
      <c r="LIZ58" s="0"/>
      <c r="LJA58" s="0"/>
      <c r="LJB58" s="0"/>
      <c r="LJC58" s="0"/>
      <c r="LJD58" s="0"/>
      <c r="LJE58" s="0"/>
      <c r="LJF58" s="0"/>
      <c r="LJG58" s="0"/>
      <c r="LJH58" s="0"/>
      <c r="LJI58" s="0"/>
      <c r="LJJ58" s="0"/>
      <c r="LJK58" s="0"/>
      <c r="LJL58" s="0"/>
      <c r="LJM58" s="0"/>
      <c r="LJN58" s="0"/>
      <c r="LJO58" s="0"/>
      <c r="LJP58" s="0"/>
      <c r="LJQ58" s="0"/>
      <c r="LJR58" s="0"/>
      <c r="LJS58" s="0"/>
      <c r="LJT58" s="0"/>
      <c r="LJU58" s="0"/>
      <c r="LJV58" s="0"/>
      <c r="LJW58" s="0"/>
      <c r="LJX58" s="0"/>
      <c r="LJY58" s="0"/>
      <c r="LJZ58" s="0"/>
      <c r="LKA58" s="0"/>
      <c r="LKB58" s="0"/>
      <c r="LKC58" s="0"/>
      <c r="LKD58" s="0"/>
      <c r="LKE58" s="0"/>
      <c r="LKF58" s="0"/>
      <c r="LKG58" s="0"/>
      <c r="LKH58" s="0"/>
      <c r="LKI58" s="0"/>
      <c r="LKJ58" s="0"/>
      <c r="LKK58" s="0"/>
      <c r="LKL58" s="0"/>
      <c r="LKM58" s="0"/>
      <c r="LKN58" s="0"/>
      <c r="LKO58" s="0"/>
      <c r="LKP58" s="0"/>
      <c r="LKQ58" s="0"/>
      <c r="LKR58" s="0"/>
      <c r="LKS58" s="0"/>
      <c r="LKT58" s="0"/>
      <c r="LKU58" s="0"/>
      <c r="LKV58" s="0"/>
      <c r="LKW58" s="0"/>
      <c r="LKX58" s="0"/>
      <c r="LKY58" s="0"/>
      <c r="LKZ58" s="0"/>
      <c r="LLA58" s="0"/>
      <c r="LLB58" s="0"/>
      <c r="LLC58" s="0"/>
      <c r="LLD58" s="0"/>
      <c r="LLE58" s="0"/>
      <c r="LLF58" s="0"/>
      <c r="LLG58" s="0"/>
      <c r="LLH58" s="0"/>
      <c r="LLI58" s="0"/>
      <c r="LLJ58" s="0"/>
      <c r="LLK58" s="0"/>
      <c r="LLL58" s="0"/>
      <c r="LLM58" s="0"/>
      <c r="LLN58" s="0"/>
      <c r="LLO58" s="0"/>
      <c r="LLP58" s="0"/>
      <c r="LLQ58" s="0"/>
      <c r="LLR58" s="0"/>
      <c r="LLS58" s="0"/>
      <c r="LLT58" s="0"/>
      <c r="LLU58" s="0"/>
      <c r="LLV58" s="0"/>
      <c r="LLW58" s="0"/>
      <c r="LLX58" s="0"/>
      <c r="LLY58" s="0"/>
      <c r="LLZ58" s="0"/>
      <c r="LMA58" s="0"/>
      <c r="LMB58" s="0"/>
      <c r="LMC58" s="0"/>
      <c r="LMD58" s="0"/>
      <c r="LME58" s="0"/>
      <c r="LMF58" s="0"/>
      <c r="LMG58" s="0"/>
      <c r="LMH58" s="0"/>
      <c r="LMI58" s="0"/>
      <c r="LMJ58" s="0"/>
      <c r="LMK58" s="0"/>
      <c r="LML58" s="0"/>
      <c r="LMM58" s="0"/>
      <c r="LMN58" s="0"/>
      <c r="LMO58" s="0"/>
      <c r="LMP58" s="0"/>
      <c r="LMQ58" s="0"/>
      <c r="LMR58" s="0"/>
      <c r="LMS58" s="0"/>
      <c r="LMT58" s="0"/>
      <c r="LMU58" s="0"/>
      <c r="LMV58" s="0"/>
      <c r="LMW58" s="0"/>
      <c r="LMX58" s="0"/>
      <c r="LMY58" s="0"/>
      <c r="LMZ58" s="0"/>
      <c r="LNA58" s="0"/>
      <c r="LNB58" s="0"/>
      <c r="LNC58" s="0"/>
      <c r="LND58" s="0"/>
      <c r="LNE58" s="0"/>
      <c r="LNF58" s="0"/>
      <c r="LNG58" s="0"/>
      <c r="LNH58" s="0"/>
      <c r="LNI58" s="0"/>
      <c r="LNJ58" s="0"/>
      <c r="LNK58" s="0"/>
      <c r="LNL58" s="0"/>
      <c r="LNM58" s="0"/>
      <c r="LNN58" s="0"/>
      <c r="LNO58" s="0"/>
      <c r="LNP58" s="0"/>
      <c r="LNQ58" s="0"/>
      <c r="LNR58" s="0"/>
      <c r="LNS58" s="0"/>
      <c r="LNT58" s="0"/>
      <c r="LNU58" s="0"/>
      <c r="LNV58" s="0"/>
      <c r="LNW58" s="0"/>
      <c r="LNX58" s="0"/>
      <c r="LNY58" s="0"/>
      <c r="LNZ58" s="0"/>
      <c r="LOA58" s="0"/>
      <c r="LOB58" s="0"/>
      <c r="LOC58" s="0"/>
      <c r="LOD58" s="0"/>
      <c r="LOE58" s="0"/>
      <c r="LOF58" s="0"/>
      <c r="LOG58" s="0"/>
      <c r="LOH58" s="0"/>
      <c r="LOI58" s="0"/>
      <c r="LOJ58" s="0"/>
      <c r="LOK58" s="0"/>
      <c r="LOL58" s="0"/>
      <c r="LOM58" s="0"/>
      <c r="LON58" s="0"/>
      <c r="LOO58" s="0"/>
      <c r="LOP58" s="0"/>
      <c r="LOQ58" s="0"/>
      <c r="LOR58" s="0"/>
      <c r="LOS58" s="0"/>
      <c r="LOT58" s="0"/>
      <c r="LOU58" s="0"/>
      <c r="LOV58" s="0"/>
      <c r="LOW58" s="0"/>
      <c r="LOX58" s="0"/>
      <c r="LOY58" s="0"/>
      <c r="LOZ58" s="0"/>
      <c r="LPA58" s="0"/>
      <c r="LPB58" s="0"/>
      <c r="LPC58" s="0"/>
      <c r="LPD58" s="0"/>
      <c r="LPE58" s="0"/>
      <c r="LPF58" s="0"/>
      <c r="LPG58" s="0"/>
      <c r="LPH58" s="0"/>
      <c r="LPI58" s="0"/>
      <c r="LPJ58" s="0"/>
      <c r="LPK58" s="0"/>
      <c r="LPL58" s="0"/>
      <c r="LPM58" s="0"/>
      <c r="LPN58" s="0"/>
      <c r="LPO58" s="0"/>
      <c r="LPP58" s="0"/>
      <c r="LPQ58" s="0"/>
      <c r="LPR58" s="0"/>
      <c r="LPS58" s="0"/>
      <c r="LPT58" s="0"/>
      <c r="LPU58" s="0"/>
      <c r="LPV58" s="0"/>
      <c r="LPW58" s="0"/>
      <c r="LPX58" s="0"/>
      <c r="LPY58" s="0"/>
      <c r="LPZ58" s="0"/>
      <c r="LQA58" s="0"/>
      <c r="LQB58" s="0"/>
      <c r="LQC58" s="0"/>
      <c r="LQD58" s="0"/>
      <c r="LQE58" s="0"/>
      <c r="LQF58" s="0"/>
      <c r="LQG58" s="0"/>
      <c r="LQH58" s="0"/>
      <c r="LQI58" s="0"/>
      <c r="LQJ58" s="0"/>
      <c r="LQK58" s="0"/>
      <c r="LQL58" s="0"/>
      <c r="LQM58" s="0"/>
      <c r="LQN58" s="0"/>
      <c r="LQO58" s="0"/>
      <c r="LQP58" s="0"/>
      <c r="LQQ58" s="0"/>
      <c r="LQR58" s="0"/>
      <c r="LQS58" s="0"/>
      <c r="LQT58" s="0"/>
      <c r="LQU58" s="0"/>
      <c r="LQV58" s="0"/>
      <c r="LQW58" s="0"/>
      <c r="LQX58" s="0"/>
      <c r="LQY58" s="0"/>
      <c r="LQZ58" s="0"/>
      <c r="LRA58" s="0"/>
      <c r="LRB58" s="0"/>
      <c r="LRC58" s="0"/>
      <c r="LRD58" s="0"/>
      <c r="LRE58" s="0"/>
      <c r="LRF58" s="0"/>
      <c r="LRG58" s="0"/>
      <c r="LRH58" s="0"/>
      <c r="LRI58" s="0"/>
      <c r="LRJ58" s="0"/>
      <c r="LRK58" s="0"/>
      <c r="LRL58" s="0"/>
      <c r="LRM58" s="0"/>
      <c r="LRN58" s="0"/>
      <c r="LRO58" s="0"/>
      <c r="LRP58" s="0"/>
      <c r="LRQ58" s="0"/>
      <c r="LRR58" s="0"/>
      <c r="LRS58" s="0"/>
      <c r="LRT58" s="0"/>
      <c r="LRU58" s="0"/>
      <c r="LRV58" s="0"/>
      <c r="LRW58" s="0"/>
      <c r="LRX58" s="0"/>
      <c r="LRY58" s="0"/>
      <c r="LRZ58" s="0"/>
      <c r="LSA58" s="0"/>
      <c r="LSB58" s="0"/>
      <c r="LSC58" s="0"/>
      <c r="LSD58" s="0"/>
      <c r="LSE58" s="0"/>
      <c r="LSF58" s="0"/>
      <c r="LSG58" s="0"/>
      <c r="LSH58" s="0"/>
      <c r="LSI58" s="0"/>
      <c r="LSJ58" s="0"/>
      <c r="LSK58" s="0"/>
      <c r="LSL58" s="0"/>
      <c r="LSM58" s="0"/>
      <c r="LSN58" s="0"/>
      <c r="LSO58" s="0"/>
      <c r="LSP58" s="0"/>
      <c r="LSQ58" s="0"/>
      <c r="LSR58" s="0"/>
      <c r="LSS58" s="0"/>
      <c r="LST58" s="0"/>
      <c r="LSU58" s="0"/>
      <c r="LSV58" s="0"/>
      <c r="LSW58" s="0"/>
      <c r="LSX58" s="0"/>
      <c r="LSY58" s="0"/>
      <c r="LSZ58" s="0"/>
      <c r="LTA58" s="0"/>
      <c r="LTB58" s="0"/>
      <c r="LTC58" s="0"/>
      <c r="LTD58" s="0"/>
      <c r="LTE58" s="0"/>
      <c r="LTF58" s="0"/>
      <c r="LTG58" s="0"/>
      <c r="LTH58" s="0"/>
      <c r="LTI58" s="0"/>
      <c r="LTJ58" s="0"/>
      <c r="LTK58" s="0"/>
      <c r="LTL58" s="0"/>
      <c r="LTM58" s="0"/>
      <c r="LTN58" s="0"/>
      <c r="LTO58" s="0"/>
      <c r="LTP58" s="0"/>
      <c r="LTQ58" s="0"/>
      <c r="LTR58" s="0"/>
      <c r="LTS58" s="0"/>
      <c r="LTT58" s="0"/>
      <c r="LTU58" s="0"/>
      <c r="LTV58" s="0"/>
      <c r="LTW58" s="0"/>
      <c r="LTX58" s="0"/>
      <c r="LTY58" s="0"/>
      <c r="LTZ58" s="0"/>
      <c r="LUA58" s="0"/>
      <c r="LUB58" s="0"/>
      <c r="LUC58" s="0"/>
      <c r="LUD58" s="0"/>
      <c r="LUE58" s="0"/>
      <c r="LUF58" s="0"/>
      <c r="LUG58" s="0"/>
      <c r="LUH58" s="0"/>
      <c r="LUI58" s="0"/>
      <c r="LUJ58" s="0"/>
      <c r="LUK58" s="0"/>
      <c r="LUL58" s="0"/>
      <c r="LUM58" s="0"/>
      <c r="LUN58" s="0"/>
      <c r="LUO58" s="0"/>
      <c r="LUP58" s="0"/>
      <c r="LUQ58" s="0"/>
      <c r="LUR58" s="0"/>
      <c r="LUS58" s="0"/>
      <c r="LUT58" s="0"/>
      <c r="LUU58" s="0"/>
      <c r="LUV58" s="0"/>
      <c r="LUW58" s="0"/>
      <c r="LUX58" s="0"/>
      <c r="LUY58" s="0"/>
      <c r="LUZ58" s="0"/>
      <c r="LVA58" s="0"/>
      <c r="LVB58" s="0"/>
      <c r="LVC58" s="0"/>
      <c r="LVD58" s="0"/>
      <c r="LVE58" s="0"/>
      <c r="LVF58" s="0"/>
      <c r="LVG58" s="0"/>
      <c r="LVH58" s="0"/>
      <c r="LVI58" s="0"/>
      <c r="LVJ58" s="0"/>
      <c r="LVK58" s="0"/>
      <c r="LVL58" s="0"/>
      <c r="LVM58" s="0"/>
      <c r="LVN58" s="0"/>
      <c r="LVO58" s="0"/>
      <c r="LVP58" s="0"/>
      <c r="LVQ58" s="0"/>
      <c r="LVR58" s="0"/>
      <c r="LVS58" s="0"/>
      <c r="LVT58" s="0"/>
      <c r="LVU58" s="0"/>
      <c r="LVV58" s="0"/>
      <c r="LVW58" s="0"/>
      <c r="LVX58" s="0"/>
      <c r="LVY58" s="0"/>
      <c r="LVZ58" s="0"/>
      <c r="LWA58" s="0"/>
      <c r="LWB58" s="0"/>
      <c r="LWC58" s="0"/>
      <c r="LWD58" s="0"/>
      <c r="LWE58" s="0"/>
      <c r="LWF58" s="0"/>
      <c r="LWG58" s="0"/>
      <c r="LWH58" s="0"/>
      <c r="LWI58" s="0"/>
      <c r="LWJ58" s="0"/>
      <c r="LWK58" s="0"/>
      <c r="LWL58" s="0"/>
      <c r="LWM58" s="0"/>
      <c r="LWN58" s="0"/>
      <c r="LWO58" s="0"/>
      <c r="LWP58" s="0"/>
      <c r="LWQ58" s="0"/>
      <c r="LWR58" s="0"/>
      <c r="LWS58" s="0"/>
      <c r="LWT58" s="0"/>
      <c r="LWU58" s="0"/>
      <c r="LWV58" s="0"/>
      <c r="LWW58" s="0"/>
      <c r="LWX58" s="0"/>
      <c r="LWY58" s="0"/>
      <c r="LWZ58" s="0"/>
      <c r="LXA58" s="0"/>
      <c r="LXB58" s="0"/>
      <c r="LXC58" s="0"/>
      <c r="LXD58" s="0"/>
      <c r="LXE58" s="0"/>
      <c r="LXF58" s="0"/>
      <c r="LXG58" s="0"/>
      <c r="LXH58" s="0"/>
      <c r="LXI58" s="0"/>
      <c r="LXJ58" s="0"/>
      <c r="LXK58" s="0"/>
      <c r="LXL58" s="0"/>
      <c r="LXM58" s="0"/>
      <c r="LXN58" s="0"/>
      <c r="LXO58" s="0"/>
      <c r="LXP58" s="0"/>
      <c r="LXQ58" s="0"/>
      <c r="LXR58" s="0"/>
      <c r="LXS58" s="0"/>
      <c r="LXT58" s="0"/>
      <c r="LXU58" s="0"/>
      <c r="LXV58" s="0"/>
      <c r="LXW58" s="0"/>
      <c r="LXX58" s="0"/>
      <c r="LXY58" s="0"/>
      <c r="LXZ58" s="0"/>
      <c r="LYA58" s="0"/>
      <c r="LYB58" s="0"/>
      <c r="LYC58" s="0"/>
      <c r="LYD58" s="0"/>
      <c r="LYE58" s="0"/>
      <c r="LYF58" s="0"/>
      <c r="LYG58" s="0"/>
      <c r="LYH58" s="0"/>
      <c r="LYI58" s="0"/>
      <c r="LYJ58" s="0"/>
      <c r="LYK58" s="0"/>
      <c r="LYL58" s="0"/>
      <c r="LYM58" s="0"/>
      <c r="LYN58" s="0"/>
      <c r="LYO58" s="0"/>
      <c r="LYP58" s="0"/>
      <c r="LYQ58" s="0"/>
      <c r="LYR58" s="0"/>
      <c r="LYS58" s="0"/>
      <c r="LYT58" s="0"/>
      <c r="LYU58" s="0"/>
      <c r="LYV58" s="0"/>
      <c r="LYW58" s="0"/>
      <c r="LYX58" s="0"/>
      <c r="LYY58" s="0"/>
      <c r="LYZ58" s="0"/>
      <c r="LZA58" s="0"/>
      <c r="LZB58" s="0"/>
      <c r="LZC58" s="0"/>
      <c r="LZD58" s="0"/>
      <c r="LZE58" s="0"/>
      <c r="LZF58" s="0"/>
      <c r="LZG58" s="0"/>
      <c r="LZH58" s="0"/>
      <c r="LZI58" s="0"/>
      <c r="LZJ58" s="0"/>
      <c r="LZK58" s="0"/>
      <c r="LZL58" s="0"/>
      <c r="LZM58" s="0"/>
      <c r="LZN58" s="0"/>
      <c r="LZO58" s="0"/>
      <c r="LZP58" s="0"/>
      <c r="LZQ58" s="0"/>
      <c r="LZR58" s="0"/>
      <c r="LZS58" s="0"/>
      <c r="LZT58" s="0"/>
      <c r="LZU58" s="0"/>
      <c r="LZV58" s="0"/>
      <c r="LZW58" s="0"/>
      <c r="LZX58" s="0"/>
      <c r="LZY58" s="0"/>
      <c r="LZZ58" s="0"/>
      <c r="MAA58" s="0"/>
      <c r="MAB58" s="0"/>
      <c r="MAC58" s="0"/>
      <c r="MAD58" s="0"/>
      <c r="MAE58" s="0"/>
      <c r="MAF58" s="0"/>
      <c r="MAG58" s="0"/>
      <c r="MAH58" s="0"/>
      <c r="MAI58" s="0"/>
      <c r="MAJ58" s="0"/>
      <c r="MAK58" s="0"/>
      <c r="MAL58" s="0"/>
      <c r="MAM58" s="0"/>
      <c r="MAN58" s="0"/>
      <c r="MAO58" s="0"/>
      <c r="MAP58" s="0"/>
      <c r="MAQ58" s="0"/>
      <c r="MAR58" s="0"/>
      <c r="MAS58" s="0"/>
      <c r="MAT58" s="0"/>
      <c r="MAU58" s="0"/>
      <c r="MAV58" s="0"/>
      <c r="MAW58" s="0"/>
      <c r="MAX58" s="0"/>
      <c r="MAY58" s="0"/>
      <c r="MAZ58" s="0"/>
      <c r="MBA58" s="0"/>
      <c r="MBB58" s="0"/>
      <c r="MBC58" s="0"/>
      <c r="MBD58" s="0"/>
      <c r="MBE58" s="0"/>
      <c r="MBF58" s="0"/>
      <c r="MBG58" s="0"/>
      <c r="MBH58" s="0"/>
      <c r="MBI58" s="0"/>
      <c r="MBJ58" s="0"/>
      <c r="MBK58" s="0"/>
      <c r="MBL58" s="0"/>
      <c r="MBM58" s="0"/>
      <c r="MBN58" s="0"/>
      <c r="MBO58" s="0"/>
      <c r="MBP58" s="0"/>
      <c r="MBQ58" s="0"/>
      <c r="MBR58" s="0"/>
      <c r="MBS58" s="0"/>
      <c r="MBT58" s="0"/>
      <c r="MBU58" s="0"/>
      <c r="MBV58" s="0"/>
      <c r="MBW58" s="0"/>
      <c r="MBX58" s="0"/>
      <c r="MBY58" s="0"/>
      <c r="MBZ58" s="0"/>
      <c r="MCA58" s="0"/>
      <c r="MCB58" s="0"/>
      <c r="MCC58" s="0"/>
      <c r="MCD58" s="0"/>
      <c r="MCE58" s="0"/>
      <c r="MCF58" s="0"/>
      <c r="MCG58" s="0"/>
      <c r="MCH58" s="0"/>
      <c r="MCI58" s="0"/>
      <c r="MCJ58" s="0"/>
      <c r="MCK58" s="0"/>
      <c r="MCL58" s="0"/>
      <c r="MCM58" s="0"/>
      <c r="MCN58" s="0"/>
      <c r="MCO58" s="0"/>
      <c r="MCP58" s="0"/>
      <c r="MCQ58" s="0"/>
      <c r="MCR58" s="0"/>
      <c r="MCS58" s="0"/>
      <c r="MCT58" s="0"/>
      <c r="MCU58" s="0"/>
      <c r="MCV58" s="0"/>
      <c r="MCW58" s="0"/>
      <c r="MCX58" s="0"/>
      <c r="MCY58" s="0"/>
      <c r="MCZ58" s="0"/>
      <c r="MDA58" s="0"/>
      <c r="MDB58" s="0"/>
      <c r="MDC58" s="0"/>
      <c r="MDD58" s="0"/>
      <c r="MDE58" s="0"/>
      <c r="MDF58" s="0"/>
      <c r="MDG58" s="0"/>
      <c r="MDH58" s="0"/>
      <c r="MDI58" s="0"/>
      <c r="MDJ58" s="0"/>
      <c r="MDK58" s="0"/>
      <c r="MDL58" s="0"/>
      <c r="MDM58" s="0"/>
      <c r="MDN58" s="0"/>
      <c r="MDO58" s="0"/>
      <c r="MDP58" s="0"/>
      <c r="MDQ58" s="0"/>
      <c r="MDR58" s="0"/>
      <c r="MDS58" s="0"/>
      <c r="MDT58" s="0"/>
      <c r="MDU58" s="0"/>
      <c r="MDV58" s="0"/>
      <c r="MDW58" s="0"/>
      <c r="MDX58" s="0"/>
      <c r="MDY58" s="0"/>
      <c r="MDZ58" s="0"/>
      <c r="MEA58" s="0"/>
      <c r="MEB58" s="0"/>
      <c r="MEC58" s="0"/>
      <c r="MED58" s="0"/>
      <c r="MEE58" s="0"/>
      <c r="MEF58" s="0"/>
      <c r="MEG58" s="0"/>
      <c r="MEH58" s="0"/>
      <c r="MEI58" s="0"/>
      <c r="MEJ58" s="0"/>
      <c r="MEK58" s="0"/>
      <c r="MEL58" s="0"/>
      <c r="MEM58" s="0"/>
      <c r="MEN58" s="0"/>
      <c r="MEO58" s="0"/>
      <c r="MEP58" s="0"/>
      <c r="MEQ58" s="0"/>
      <c r="MER58" s="0"/>
      <c r="MES58" s="0"/>
      <c r="MET58" s="0"/>
      <c r="MEU58" s="0"/>
      <c r="MEV58" s="0"/>
      <c r="MEW58" s="0"/>
      <c r="MEX58" s="0"/>
      <c r="MEY58" s="0"/>
      <c r="MEZ58" s="0"/>
      <c r="MFA58" s="0"/>
      <c r="MFB58" s="0"/>
      <c r="MFC58" s="0"/>
      <c r="MFD58" s="0"/>
      <c r="MFE58" s="0"/>
      <c r="MFF58" s="0"/>
      <c r="MFG58" s="0"/>
      <c r="MFH58" s="0"/>
      <c r="MFI58" s="0"/>
      <c r="MFJ58" s="0"/>
      <c r="MFK58" s="0"/>
      <c r="MFL58" s="0"/>
      <c r="MFM58" s="0"/>
      <c r="MFN58" s="0"/>
      <c r="MFO58" s="0"/>
      <c r="MFP58" s="0"/>
      <c r="MFQ58" s="0"/>
      <c r="MFR58" s="0"/>
      <c r="MFS58" s="0"/>
      <c r="MFT58" s="0"/>
      <c r="MFU58" s="0"/>
      <c r="MFV58" s="0"/>
      <c r="MFW58" s="0"/>
      <c r="MFX58" s="0"/>
      <c r="MFY58" s="0"/>
      <c r="MFZ58" s="0"/>
      <c r="MGA58" s="0"/>
      <c r="MGB58" s="0"/>
      <c r="MGC58" s="0"/>
      <c r="MGD58" s="0"/>
      <c r="MGE58" s="0"/>
      <c r="MGF58" s="0"/>
      <c r="MGG58" s="0"/>
      <c r="MGH58" s="0"/>
      <c r="MGI58" s="0"/>
      <c r="MGJ58" s="0"/>
      <c r="MGK58" s="0"/>
      <c r="MGL58" s="0"/>
      <c r="MGM58" s="0"/>
      <c r="MGN58" s="0"/>
      <c r="MGO58" s="0"/>
      <c r="MGP58" s="0"/>
      <c r="MGQ58" s="0"/>
      <c r="MGR58" s="0"/>
      <c r="MGS58" s="0"/>
      <c r="MGT58" s="0"/>
      <c r="MGU58" s="0"/>
      <c r="MGV58" s="0"/>
      <c r="MGW58" s="0"/>
      <c r="MGX58" s="0"/>
      <c r="MGY58" s="0"/>
      <c r="MGZ58" s="0"/>
      <c r="MHA58" s="0"/>
      <c r="MHB58" s="0"/>
      <c r="MHC58" s="0"/>
      <c r="MHD58" s="0"/>
      <c r="MHE58" s="0"/>
      <c r="MHF58" s="0"/>
      <c r="MHG58" s="0"/>
      <c r="MHH58" s="0"/>
      <c r="MHI58" s="0"/>
      <c r="MHJ58" s="0"/>
      <c r="MHK58" s="0"/>
      <c r="MHL58" s="0"/>
      <c r="MHM58" s="0"/>
      <c r="MHN58" s="0"/>
      <c r="MHO58" s="0"/>
      <c r="MHP58" s="0"/>
      <c r="MHQ58" s="0"/>
      <c r="MHR58" s="0"/>
      <c r="MHS58" s="0"/>
      <c r="MHT58" s="0"/>
      <c r="MHU58" s="0"/>
      <c r="MHV58" s="0"/>
      <c r="MHW58" s="0"/>
      <c r="MHX58" s="0"/>
      <c r="MHY58" s="0"/>
      <c r="MHZ58" s="0"/>
      <c r="MIA58" s="0"/>
      <c r="MIB58" s="0"/>
      <c r="MIC58" s="0"/>
      <c r="MID58" s="0"/>
      <c r="MIE58" s="0"/>
      <c r="MIF58" s="0"/>
      <c r="MIG58" s="0"/>
      <c r="MIH58" s="0"/>
      <c r="MII58" s="0"/>
      <c r="MIJ58" s="0"/>
      <c r="MIK58" s="0"/>
      <c r="MIL58" s="0"/>
      <c r="MIM58" s="0"/>
      <c r="MIN58" s="0"/>
      <c r="MIO58" s="0"/>
      <c r="MIP58" s="0"/>
      <c r="MIQ58" s="0"/>
      <c r="MIR58" s="0"/>
      <c r="MIS58" s="0"/>
      <c r="MIT58" s="0"/>
      <c r="MIU58" s="0"/>
      <c r="MIV58" s="0"/>
      <c r="MIW58" s="0"/>
      <c r="MIX58" s="0"/>
      <c r="MIY58" s="0"/>
      <c r="MIZ58" s="0"/>
      <c r="MJA58" s="0"/>
      <c r="MJB58" s="0"/>
      <c r="MJC58" s="0"/>
      <c r="MJD58" s="0"/>
      <c r="MJE58" s="0"/>
      <c r="MJF58" s="0"/>
      <c r="MJG58" s="0"/>
      <c r="MJH58" s="0"/>
      <c r="MJI58" s="0"/>
      <c r="MJJ58" s="0"/>
      <c r="MJK58" s="0"/>
      <c r="MJL58" s="0"/>
      <c r="MJM58" s="0"/>
      <c r="MJN58" s="0"/>
      <c r="MJO58" s="0"/>
      <c r="MJP58" s="0"/>
      <c r="MJQ58" s="0"/>
      <c r="MJR58" s="0"/>
      <c r="MJS58" s="0"/>
      <c r="MJT58" s="0"/>
      <c r="MJU58" s="0"/>
      <c r="MJV58" s="0"/>
      <c r="MJW58" s="0"/>
      <c r="MJX58" s="0"/>
      <c r="MJY58" s="0"/>
      <c r="MJZ58" s="0"/>
      <c r="MKA58" s="0"/>
      <c r="MKB58" s="0"/>
      <c r="MKC58" s="0"/>
      <c r="MKD58" s="0"/>
      <c r="MKE58" s="0"/>
      <c r="MKF58" s="0"/>
      <c r="MKG58" s="0"/>
      <c r="MKH58" s="0"/>
      <c r="MKI58" s="0"/>
      <c r="MKJ58" s="0"/>
      <c r="MKK58" s="0"/>
      <c r="MKL58" s="0"/>
      <c r="MKM58" s="0"/>
      <c r="MKN58" s="0"/>
      <c r="MKO58" s="0"/>
      <c r="MKP58" s="0"/>
      <c r="MKQ58" s="0"/>
      <c r="MKR58" s="0"/>
      <c r="MKS58" s="0"/>
      <c r="MKT58" s="0"/>
      <c r="MKU58" s="0"/>
      <c r="MKV58" s="0"/>
      <c r="MKW58" s="0"/>
      <c r="MKX58" s="0"/>
      <c r="MKY58" s="0"/>
      <c r="MKZ58" s="0"/>
      <c r="MLA58" s="0"/>
      <c r="MLB58" s="0"/>
      <c r="MLC58" s="0"/>
      <c r="MLD58" s="0"/>
      <c r="MLE58" s="0"/>
      <c r="MLF58" s="0"/>
      <c r="MLG58" s="0"/>
      <c r="MLH58" s="0"/>
      <c r="MLI58" s="0"/>
      <c r="MLJ58" s="0"/>
      <c r="MLK58" s="0"/>
      <c r="MLL58" s="0"/>
      <c r="MLM58" s="0"/>
      <c r="MLN58" s="0"/>
      <c r="MLO58" s="0"/>
      <c r="MLP58" s="0"/>
      <c r="MLQ58" s="0"/>
      <c r="MLR58" s="0"/>
      <c r="MLS58" s="0"/>
      <c r="MLT58" s="0"/>
      <c r="MLU58" s="0"/>
      <c r="MLV58" s="0"/>
      <c r="MLW58" s="0"/>
      <c r="MLX58" s="0"/>
      <c r="MLY58" s="0"/>
      <c r="MLZ58" s="0"/>
      <c r="MMA58" s="0"/>
      <c r="MMB58" s="0"/>
      <c r="MMC58" s="0"/>
      <c r="MMD58" s="0"/>
      <c r="MME58" s="0"/>
      <c r="MMF58" s="0"/>
      <c r="MMG58" s="0"/>
      <c r="MMH58" s="0"/>
      <c r="MMI58" s="0"/>
      <c r="MMJ58" s="0"/>
      <c r="MMK58" s="0"/>
      <c r="MML58" s="0"/>
      <c r="MMM58" s="0"/>
      <c r="MMN58" s="0"/>
      <c r="MMO58" s="0"/>
      <c r="MMP58" s="0"/>
      <c r="MMQ58" s="0"/>
      <c r="MMR58" s="0"/>
      <c r="MMS58" s="0"/>
      <c r="MMT58" s="0"/>
      <c r="MMU58" s="0"/>
      <c r="MMV58" s="0"/>
      <c r="MMW58" s="0"/>
      <c r="MMX58" s="0"/>
      <c r="MMY58" s="0"/>
      <c r="MMZ58" s="0"/>
      <c r="MNA58" s="0"/>
      <c r="MNB58" s="0"/>
      <c r="MNC58" s="0"/>
      <c r="MND58" s="0"/>
      <c r="MNE58" s="0"/>
      <c r="MNF58" s="0"/>
      <c r="MNG58" s="0"/>
      <c r="MNH58" s="0"/>
      <c r="MNI58" s="0"/>
      <c r="MNJ58" s="0"/>
      <c r="MNK58" s="0"/>
      <c r="MNL58" s="0"/>
      <c r="MNM58" s="0"/>
      <c r="MNN58" s="0"/>
      <c r="MNO58" s="0"/>
      <c r="MNP58" s="0"/>
      <c r="MNQ58" s="0"/>
      <c r="MNR58" s="0"/>
      <c r="MNS58" s="0"/>
      <c r="MNT58" s="0"/>
      <c r="MNU58" s="0"/>
      <c r="MNV58" s="0"/>
      <c r="MNW58" s="0"/>
      <c r="MNX58" s="0"/>
      <c r="MNY58" s="0"/>
      <c r="MNZ58" s="0"/>
      <c r="MOA58" s="0"/>
      <c r="MOB58" s="0"/>
      <c r="MOC58" s="0"/>
      <c r="MOD58" s="0"/>
      <c r="MOE58" s="0"/>
      <c r="MOF58" s="0"/>
      <c r="MOG58" s="0"/>
      <c r="MOH58" s="0"/>
      <c r="MOI58" s="0"/>
      <c r="MOJ58" s="0"/>
      <c r="MOK58" s="0"/>
      <c r="MOL58" s="0"/>
      <c r="MOM58" s="0"/>
      <c r="MON58" s="0"/>
      <c r="MOO58" s="0"/>
      <c r="MOP58" s="0"/>
      <c r="MOQ58" s="0"/>
      <c r="MOR58" s="0"/>
      <c r="MOS58" s="0"/>
      <c r="MOT58" s="0"/>
      <c r="MOU58" s="0"/>
      <c r="MOV58" s="0"/>
      <c r="MOW58" s="0"/>
      <c r="MOX58" s="0"/>
      <c r="MOY58" s="0"/>
      <c r="MOZ58" s="0"/>
      <c r="MPA58" s="0"/>
      <c r="MPB58" s="0"/>
      <c r="MPC58" s="0"/>
      <c r="MPD58" s="0"/>
      <c r="MPE58" s="0"/>
      <c r="MPF58" s="0"/>
      <c r="MPG58" s="0"/>
      <c r="MPH58" s="0"/>
      <c r="MPI58" s="0"/>
      <c r="MPJ58" s="0"/>
      <c r="MPK58" s="0"/>
      <c r="MPL58" s="0"/>
      <c r="MPM58" s="0"/>
      <c r="MPN58" s="0"/>
      <c r="MPO58" s="0"/>
      <c r="MPP58" s="0"/>
      <c r="MPQ58" s="0"/>
      <c r="MPR58" s="0"/>
      <c r="MPS58" s="0"/>
      <c r="MPT58" s="0"/>
      <c r="MPU58" s="0"/>
      <c r="MPV58" s="0"/>
      <c r="MPW58" s="0"/>
      <c r="MPX58" s="0"/>
      <c r="MPY58" s="0"/>
      <c r="MPZ58" s="0"/>
      <c r="MQA58" s="0"/>
      <c r="MQB58" s="0"/>
      <c r="MQC58" s="0"/>
      <c r="MQD58" s="0"/>
      <c r="MQE58" s="0"/>
      <c r="MQF58" s="0"/>
      <c r="MQG58" s="0"/>
      <c r="MQH58" s="0"/>
      <c r="MQI58" s="0"/>
      <c r="MQJ58" s="0"/>
      <c r="MQK58" s="0"/>
      <c r="MQL58" s="0"/>
      <c r="MQM58" s="0"/>
      <c r="MQN58" s="0"/>
      <c r="MQO58" s="0"/>
      <c r="MQP58" s="0"/>
      <c r="MQQ58" s="0"/>
      <c r="MQR58" s="0"/>
      <c r="MQS58" s="0"/>
      <c r="MQT58" s="0"/>
      <c r="MQU58" s="0"/>
      <c r="MQV58" s="0"/>
      <c r="MQW58" s="0"/>
      <c r="MQX58" s="0"/>
      <c r="MQY58" s="0"/>
      <c r="MQZ58" s="0"/>
      <c r="MRA58" s="0"/>
      <c r="MRB58" s="0"/>
      <c r="MRC58" s="0"/>
      <c r="MRD58" s="0"/>
      <c r="MRE58" s="0"/>
      <c r="MRF58" s="0"/>
      <c r="MRG58" s="0"/>
      <c r="MRH58" s="0"/>
      <c r="MRI58" s="0"/>
      <c r="MRJ58" s="0"/>
      <c r="MRK58" s="0"/>
      <c r="MRL58" s="0"/>
      <c r="MRM58" s="0"/>
      <c r="MRN58" s="0"/>
      <c r="MRO58" s="0"/>
      <c r="MRP58" s="0"/>
      <c r="MRQ58" s="0"/>
      <c r="MRR58" s="0"/>
      <c r="MRS58" s="0"/>
      <c r="MRT58" s="0"/>
      <c r="MRU58" s="0"/>
      <c r="MRV58" s="0"/>
      <c r="MRW58" s="0"/>
      <c r="MRX58" s="0"/>
      <c r="MRY58" s="0"/>
      <c r="MRZ58" s="0"/>
      <c r="MSA58" s="0"/>
      <c r="MSB58" s="0"/>
      <c r="MSC58" s="0"/>
      <c r="MSD58" s="0"/>
      <c r="MSE58" s="0"/>
      <c r="MSF58" s="0"/>
      <c r="MSG58" s="0"/>
      <c r="MSH58" s="0"/>
      <c r="MSI58" s="0"/>
      <c r="MSJ58" s="0"/>
      <c r="MSK58" s="0"/>
      <c r="MSL58" s="0"/>
      <c r="MSM58" s="0"/>
      <c r="MSN58" s="0"/>
      <c r="MSO58" s="0"/>
      <c r="MSP58" s="0"/>
      <c r="MSQ58" s="0"/>
      <c r="MSR58" s="0"/>
      <c r="MSS58" s="0"/>
      <c r="MST58" s="0"/>
      <c r="MSU58" s="0"/>
      <c r="MSV58" s="0"/>
      <c r="MSW58" s="0"/>
      <c r="MSX58" s="0"/>
      <c r="MSY58" s="0"/>
      <c r="MSZ58" s="0"/>
      <c r="MTA58" s="0"/>
      <c r="MTB58" s="0"/>
      <c r="MTC58" s="0"/>
      <c r="MTD58" s="0"/>
      <c r="MTE58" s="0"/>
      <c r="MTF58" s="0"/>
      <c r="MTG58" s="0"/>
      <c r="MTH58" s="0"/>
      <c r="MTI58" s="0"/>
      <c r="MTJ58" s="0"/>
      <c r="MTK58" s="0"/>
      <c r="MTL58" s="0"/>
      <c r="MTM58" s="0"/>
      <c r="MTN58" s="0"/>
      <c r="MTO58" s="0"/>
      <c r="MTP58" s="0"/>
      <c r="MTQ58" s="0"/>
      <c r="MTR58" s="0"/>
      <c r="MTS58" s="0"/>
      <c r="MTT58" s="0"/>
      <c r="MTU58" s="0"/>
      <c r="MTV58" s="0"/>
      <c r="MTW58" s="0"/>
      <c r="MTX58" s="0"/>
      <c r="MTY58" s="0"/>
      <c r="MTZ58" s="0"/>
      <c r="MUA58" s="0"/>
      <c r="MUB58" s="0"/>
      <c r="MUC58" s="0"/>
      <c r="MUD58" s="0"/>
      <c r="MUE58" s="0"/>
      <c r="MUF58" s="0"/>
      <c r="MUG58" s="0"/>
      <c r="MUH58" s="0"/>
      <c r="MUI58" s="0"/>
      <c r="MUJ58" s="0"/>
      <c r="MUK58" s="0"/>
      <c r="MUL58" s="0"/>
      <c r="MUM58" s="0"/>
      <c r="MUN58" s="0"/>
      <c r="MUO58" s="0"/>
      <c r="MUP58" s="0"/>
      <c r="MUQ58" s="0"/>
      <c r="MUR58" s="0"/>
      <c r="MUS58" s="0"/>
      <c r="MUT58" s="0"/>
      <c r="MUU58" s="0"/>
      <c r="MUV58" s="0"/>
      <c r="MUW58" s="0"/>
      <c r="MUX58" s="0"/>
      <c r="MUY58" s="0"/>
      <c r="MUZ58" s="0"/>
      <c r="MVA58" s="0"/>
      <c r="MVB58" s="0"/>
      <c r="MVC58" s="0"/>
      <c r="MVD58" s="0"/>
      <c r="MVE58" s="0"/>
      <c r="MVF58" s="0"/>
      <c r="MVG58" s="0"/>
      <c r="MVH58" s="0"/>
      <c r="MVI58" s="0"/>
      <c r="MVJ58" s="0"/>
      <c r="MVK58" s="0"/>
      <c r="MVL58" s="0"/>
      <c r="MVM58" s="0"/>
      <c r="MVN58" s="0"/>
      <c r="MVO58" s="0"/>
      <c r="MVP58" s="0"/>
      <c r="MVQ58" s="0"/>
      <c r="MVR58" s="0"/>
      <c r="MVS58" s="0"/>
      <c r="MVT58" s="0"/>
      <c r="MVU58" s="0"/>
      <c r="MVV58" s="0"/>
      <c r="MVW58" s="0"/>
      <c r="MVX58" s="0"/>
      <c r="MVY58" s="0"/>
      <c r="MVZ58" s="0"/>
      <c r="MWA58" s="0"/>
      <c r="MWB58" s="0"/>
      <c r="MWC58" s="0"/>
      <c r="MWD58" s="0"/>
      <c r="MWE58" s="0"/>
      <c r="MWF58" s="0"/>
      <c r="MWG58" s="0"/>
      <c r="MWH58" s="0"/>
      <c r="MWI58" s="0"/>
      <c r="MWJ58" s="0"/>
      <c r="MWK58" s="0"/>
      <c r="MWL58" s="0"/>
      <c r="MWM58" s="0"/>
      <c r="MWN58" s="0"/>
      <c r="MWO58" s="0"/>
      <c r="MWP58" s="0"/>
      <c r="MWQ58" s="0"/>
      <c r="MWR58" s="0"/>
      <c r="MWS58" s="0"/>
      <c r="MWT58" s="0"/>
      <c r="MWU58" s="0"/>
      <c r="MWV58" s="0"/>
      <c r="MWW58" s="0"/>
      <c r="MWX58" s="0"/>
      <c r="MWY58" s="0"/>
      <c r="MWZ58" s="0"/>
      <c r="MXA58" s="0"/>
      <c r="MXB58" s="0"/>
      <c r="MXC58" s="0"/>
      <c r="MXD58" s="0"/>
      <c r="MXE58" s="0"/>
      <c r="MXF58" s="0"/>
      <c r="MXG58" s="0"/>
      <c r="MXH58" s="0"/>
      <c r="MXI58" s="0"/>
      <c r="MXJ58" s="0"/>
      <c r="MXK58" s="0"/>
      <c r="MXL58" s="0"/>
      <c r="MXM58" s="0"/>
      <c r="MXN58" s="0"/>
      <c r="MXO58" s="0"/>
      <c r="MXP58" s="0"/>
      <c r="MXQ58" s="0"/>
      <c r="MXR58" s="0"/>
      <c r="MXS58" s="0"/>
      <c r="MXT58" s="0"/>
      <c r="MXU58" s="0"/>
      <c r="MXV58" s="0"/>
      <c r="MXW58" s="0"/>
      <c r="MXX58" s="0"/>
      <c r="MXY58" s="0"/>
      <c r="MXZ58" s="0"/>
      <c r="MYA58" s="0"/>
      <c r="MYB58" s="0"/>
      <c r="MYC58" s="0"/>
      <c r="MYD58" s="0"/>
      <c r="MYE58" s="0"/>
      <c r="MYF58" s="0"/>
      <c r="MYG58" s="0"/>
      <c r="MYH58" s="0"/>
      <c r="MYI58" s="0"/>
      <c r="MYJ58" s="0"/>
      <c r="MYK58" s="0"/>
      <c r="MYL58" s="0"/>
      <c r="MYM58" s="0"/>
      <c r="MYN58" s="0"/>
      <c r="MYO58" s="0"/>
      <c r="MYP58" s="0"/>
      <c r="MYQ58" s="0"/>
      <c r="MYR58" s="0"/>
      <c r="MYS58" s="0"/>
      <c r="MYT58" s="0"/>
      <c r="MYU58" s="0"/>
      <c r="MYV58" s="0"/>
      <c r="MYW58" s="0"/>
      <c r="MYX58" s="0"/>
      <c r="MYY58" s="0"/>
      <c r="MYZ58" s="0"/>
      <c r="MZA58" s="0"/>
      <c r="MZB58" s="0"/>
      <c r="MZC58" s="0"/>
      <c r="MZD58" s="0"/>
      <c r="MZE58" s="0"/>
      <c r="MZF58" s="0"/>
      <c r="MZG58" s="0"/>
      <c r="MZH58" s="0"/>
      <c r="MZI58" s="0"/>
      <c r="MZJ58" s="0"/>
      <c r="MZK58" s="0"/>
      <c r="MZL58" s="0"/>
      <c r="MZM58" s="0"/>
      <c r="MZN58" s="0"/>
      <c r="MZO58" s="0"/>
      <c r="MZP58" s="0"/>
      <c r="MZQ58" s="0"/>
      <c r="MZR58" s="0"/>
      <c r="MZS58" s="0"/>
      <c r="MZT58" s="0"/>
      <c r="MZU58" s="0"/>
      <c r="MZV58" s="0"/>
      <c r="MZW58" s="0"/>
      <c r="MZX58" s="0"/>
      <c r="MZY58" s="0"/>
      <c r="MZZ58" s="0"/>
      <c r="NAA58" s="0"/>
      <c r="NAB58" s="0"/>
      <c r="NAC58" s="0"/>
      <c r="NAD58" s="0"/>
      <c r="NAE58" s="0"/>
      <c r="NAF58" s="0"/>
      <c r="NAG58" s="0"/>
      <c r="NAH58" s="0"/>
      <c r="NAI58" s="0"/>
      <c r="NAJ58" s="0"/>
      <c r="NAK58" s="0"/>
      <c r="NAL58" s="0"/>
      <c r="NAM58" s="0"/>
      <c r="NAN58" s="0"/>
      <c r="NAO58" s="0"/>
      <c r="NAP58" s="0"/>
      <c r="NAQ58" s="0"/>
      <c r="NAR58" s="0"/>
      <c r="NAS58" s="0"/>
      <c r="NAT58" s="0"/>
      <c r="NAU58" s="0"/>
      <c r="NAV58" s="0"/>
      <c r="NAW58" s="0"/>
      <c r="NAX58" s="0"/>
      <c r="NAY58" s="0"/>
      <c r="NAZ58" s="0"/>
      <c r="NBA58" s="0"/>
      <c r="NBB58" s="0"/>
      <c r="NBC58" s="0"/>
      <c r="NBD58" s="0"/>
      <c r="NBE58" s="0"/>
      <c r="NBF58" s="0"/>
      <c r="NBG58" s="0"/>
      <c r="NBH58" s="0"/>
      <c r="NBI58" s="0"/>
      <c r="NBJ58" s="0"/>
      <c r="NBK58" s="0"/>
      <c r="NBL58" s="0"/>
      <c r="NBM58" s="0"/>
      <c r="NBN58" s="0"/>
      <c r="NBO58" s="0"/>
      <c r="NBP58" s="0"/>
      <c r="NBQ58" s="0"/>
      <c r="NBR58" s="0"/>
      <c r="NBS58" s="0"/>
      <c r="NBT58" s="0"/>
      <c r="NBU58" s="0"/>
      <c r="NBV58" s="0"/>
      <c r="NBW58" s="0"/>
      <c r="NBX58" s="0"/>
      <c r="NBY58" s="0"/>
      <c r="NBZ58" s="0"/>
      <c r="NCA58" s="0"/>
      <c r="NCB58" s="0"/>
      <c r="NCC58" s="0"/>
      <c r="NCD58" s="0"/>
      <c r="NCE58" s="0"/>
      <c r="NCF58" s="0"/>
      <c r="NCG58" s="0"/>
      <c r="NCH58" s="0"/>
      <c r="NCI58" s="0"/>
      <c r="NCJ58" s="0"/>
      <c r="NCK58" s="0"/>
      <c r="NCL58" s="0"/>
      <c r="NCM58" s="0"/>
      <c r="NCN58" s="0"/>
      <c r="NCO58" s="0"/>
      <c r="NCP58" s="0"/>
      <c r="NCQ58" s="0"/>
      <c r="NCR58" s="0"/>
      <c r="NCS58" s="0"/>
      <c r="NCT58" s="0"/>
      <c r="NCU58" s="0"/>
      <c r="NCV58" s="0"/>
      <c r="NCW58" s="0"/>
      <c r="NCX58" s="0"/>
      <c r="NCY58" s="0"/>
      <c r="NCZ58" s="0"/>
      <c r="NDA58" s="0"/>
      <c r="NDB58" s="0"/>
      <c r="NDC58" s="0"/>
      <c r="NDD58" s="0"/>
      <c r="NDE58" s="0"/>
      <c r="NDF58" s="0"/>
      <c r="NDG58" s="0"/>
      <c r="NDH58" s="0"/>
      <c r="NDI58" s="0"/>
      <c r="NDJ58" s="0"/>
      <c r="NDK58" s="0"/>
      <c r="NDL58" s="0"/>
      <c r="NDM58" s="0"/>
      <c r="NDN58" s="0"/>
      <c r="NDO58" s="0"/>
      <c r="NDP58" s="0"/>
      <c r="NDQ58" s="0"/>
      <c r="NDR58" s="0"/>
      <c r="NDS58" s="0"/>
      <c r="NDT58" s="0"/>
      <c r="NDU58" s="0"/>
      <c r="NDV58" s="0"/>
      <c r="NDW58" s="0"/>
      <c r="NDX58" s="0"/>
      <c r="NDY58" s="0"/>
      <c r="NDZ58" s="0"/>
      <c r="NEA58" s="0"/>
      <c r="NEB58" s="0"/>
      <c r="NEC58" s="0"/>
      <c r="NED58" s="0"/>
      <c r="NEE58" s="0"/>
      <c r="NEF58" s="0"/>
      <c r="NEG58" s="0"/>
      <c r="NEH58" s="0"/>
      <c r="NEI58" s="0"/>
      <c r="NEJ58" s="0"/>
      <c r="NEK58" s="0"/>
      <c r="NEL58" s="0"/>
      <c r="NEM58" s="0"/>
      <c r="NEN58" s="0"/>
      <c r="NEO58" s="0"/>
      <c r="NEP58" s="0"/>
      <c r="NEQ58" s="0"/>
      <c r="NER58" s="0"/>
      <c r="NES58" s="0"/>
      <c r="NET58" s="0"/>
      <c r="NEU58" s="0"/>
      <c r="NEV58" s="0"/>
      <c r="NEW58" s="0"/>
      <c r="NEX58" s="0"/>
      <c r="NEY58" s="0"/>
      <c r="NEZ58" s="0"/>
      <c r="NFA58" s="0"/>
      <c r="NFB58" s="0"/>
      <c r="NFC58" s="0"/>
      <c r="NFD58" s="0"/>
      <c r="NFE58" s="0"/>
      <c r="NFF58" s="0"/>
      <c r="NFG58" s="0"/>
      <c r="NFH58" s="0"/>
      <c r="NFI58" s="0"/>
      <c r="NFJ58" s="0"/>
      <c r="NFK58" s="0"/>
      <c r="NFL58" s="0"/>
      <c r="NFM58" s="0"/>
      <c r="NFN58" s="0"/>
      <c r="NFO58" s="0"/>
      <c r="NFP58" s="0"/>
      <c r="NFQ58" s="0"/>
      <c r="NFR58" s="0"/>
      <c r="NFS58" s="0"/>
      <c r="NFT58" s="0"/>
      <c r="NFU58" s="0"/>
      <c r="NFV58" s="0"/>
      <c r="NFW58" s="0"/>
      <c r="NFX58" s="0"/>
      <c r="NFY58" s="0"/>
      <c r="NFZ58" s="0"/>
      <c r="NGA58" s="0"/>
      <c r="NGB58" s="0"/>
      <c r="NGC58" s="0"/>
      <c r="NGD58" s="0"/>
      <c r="NGE58" s="0"/>
      <c r="NGF58" s="0"/>
      <c r="NGG58" s="0"/>
      <c r="NGH58" s="0"/>
      <c r="NGI58" s="0"/>
      <c r="NGJ58" s="0"/>
      <c r="NGK58" s="0"/>
      <c r="NGL58" s="0"/>
      <c r="NGM58" s="0"/>
      <c r="NGN58" s="0"/>
      <c r="NGO58" s="0"/>
      <c r="NGP58" s="0"/>
      <c r="NGQ58" s="0"/>
      <c r="NGR58" s="0"/>
      <c r="NGS58" s="0"/>
      <c r="NGT58" s="0"/>
      <c r="NGU58" s="0"/>
      <c r="NGV58" s="0"/>
      <c r="NGW58" s="0"/>
      <c r="NGX58" s="0"/>
      <c r="NGY58" s="0"/>
      <c r="NGZ58" s="0"/>
      <c r="NHA58" s="0"/>
      <c r="NHB58" s="0"/>
      <c r="NHC58" s="0"/>
      <c r="NHD58" s="0"/>
      <c r="NHE58" s="0"/>
      <c r="NHF58" s="0"/>
      <c r="NHG58" s="0"/>
      <c r="NHH58" s="0"/>
      <c r="NHI58" s="0"/>
      <c r="NHJ58" s="0"/>
      <c r="NHK58" s="0"/>
      <c r="NHL58" s="0"/>
      <c r="NHM58" s="0"/>
      <c r="NHN58" s="0"/>
      <c r="NHO58" s="0"/>
      <c r="NHP58" s="0"/>
      <c r="NHQ58" s="0"/>
      <c r="NHR58" s="0"/>
      <c r="NHS58" s="0"/>
      <c r="NHT58" s="0"/>
      <c r="NHU58" s="0"/>
      <c r="NHV58" s="0"/>
      <c r="NHW58" s="0"/>
      <c r="NHX58" s="0"/>
      <c r="NHY58" s="0"/>
      <c r="NHZ58" s="0"/>
      <c r="NIA58" s="0"/>
      <c r="NIB58" s="0"/>
      <c r="NIC58" s="0"/>
      <c r="NID58" s="0"/>
      <c r="NIE58" s="0"/>
      <c r="NIF58" s="0"/>
      <c r="NIG58" s="0"/>
      <c r="NIH58" s="0"/>
      <c r="NII58" s="0"/>
      <c r="NIJ58" s="0"/>
      <c r="NIK58" s="0"/>
      <c r="NIL58" s="0"/>
      <c r="NIM58" s="0"/>
      <c r="NIN58" s="0"/>
      <c r="NIO58" s="0"/>
      <c r="NIP58" s="0"/>
      <c r="NIQ58" s="0"/>
      <c r="NIR58" s="0"/>
      <c r="NIS58" s="0"/>
      <c r="NIT58" s="0"/>
      <c r="NIU58" s="0"/>
      <c r="NIV58" s="0"/>
      <c r="NIW58" s="0"/>
      <c r="NIX58" s="0"/>
      <c r="NIY58" s="0"/>
      <c r="NIZ58" s="0"/>
      <c r="NJA58" s="0"/>
      <c r="NJB58" s="0"/>
      <c r="NJC58" s="0"/>
      <c r="NJD58" s="0"/>
      <c r="NJE58" s="0"/>
      <c r="NJF58" s="0"/>
      <c r="NJG58" s="0"/>
      <c r="NJH58" s="0"/>
      <c r="NJI58" s="0"/>
      <c r="NJJ58" s="0"/>
      <c r="NJK58" s="0"/>
      <c r="NJL58" s="0"/>
      <c r="NJM58" s="0"/>
      <c r="NJN58" s="0"/>
      <c r="NJO58" s="0"/>
      <c r="NJP58" s="0"/>
      <c r="NJQ58" s="0"/>
      <c r="NJR58" s="0"/>
      <c r="NJS58" s="0"/>
      <c r="NJT58" s="0"/>
      <c r="NJU58" s="0"/>
      <c r="NJV58" s="0"/>
      <c r="NJW58" s="0"/>
      <c r="NJX58" s="0"/>
      <c r="NJY58" s="0"/>
      <c r="NJZ58" s="0"/>
      <c r="NKA58" s="0"/>
      <c r="NKB58" s="0"/>
      <c r="NKC58" s="0"/>
      <c r="NKD58" s="0"/>
      <c r="NKE58" s="0"/>
      <c r="NKF58" s="0"/>
      <c r="NKG58" s="0"/>
      <c r="NKH58" s="0"/>
      <c r="NKI58" s="0"/>
      <c r="NKJ58" s="0"/>
      <c r="NKK58" s="0"/>
      <c r="NKL58" s="0"/>
      <c r="NKM58" s="0"/>
      <c r="NKN58" s="0"/>
      <c r="NKO58" s="0"/>
      <c r="NKP58" s="0"/>
      <c r="NKQ58" s="0"/>
      <c r="NKR58" s="0"/>
      <c r="NKS58" s="0"/>
      <c r="NKT58" s="0"/>
      <c r="NKU58" s="0"/>
      <c r="NKV58" s="0"/>
      <c r="NKW58" s="0"/>
      <c r="NKX58" s="0"/>
      <c r="NKY58" s="0"/>
      <c r="NKZ58" s="0"/>
      <c r="NLA58" s="0"/>
      <c r="NLB58" s="0"/>
      <c r="NLC58" s="0"/>
      <c r="NLD58" s="0"/>
      <c r="NLE58" s="0"/>
      <c r="NLF58" s="0"/>
      <c r="NLG58" s="0"/>
      <c r="NLH58" s="0"/>
      <c r="NLI58" s="0"/>
      <c r="NLJ58" s="0"/>
      <c r="NLK58" s="0"/>
      <c r="NLL58" s="0"/>
      <c r="NLM58" s="0"/>
      <c r="NLN58" s="0"/>
      <c r="NLO58" s="0"/>
      <c r="NLP58" s="0"/>
      <c r="NLQ58" s="0"/>
      <c r="NLR58" s="0"/>
      <c r="NLS58" s="0"/>
      <c r="NLT58" s="0"/>
      <c r="NLU58" s="0"/>
      <c r="NLV58" s="0"/>
      <c r="NLW58" s="0"/>
      <c r="NLX58" s="0"/>
      <c r="NLY58" s="0"/>
      <c r="NLZ58" s="0"/>
      <c r="NMA58" s="0"/>
      <c r="NMB58" s="0"/>
      <c r="NMC58" s="0"/>
      <c r="NMD58" s="0"/>
      <c r="NME58" s="0"/>
      <c r="NMF58" s="0"/>
      <c r="NMG58" s="0"/>
      <c r="NMH58" s="0"/>
      <c r="NMI58" s="0"/>
      <c r="NMJ58" s="0"/>
      <c r="NMK58" s="0"/>
      <c r="NML58" s="0"/>
      <c r="NMM58" s="0"/>
      <c r="NMN58" s="0"/>
      <c r="NMO58" s="0"/>
      <c r="NMP58" s="0"/>
      <c r="NMQ58" s="0"/>
      <c r="NMR58" s="0"/>
      <c r="NMS58" s="0"/>
      <c r="NMT58" s="0"/>
      <c r="NMU58" s="0"/>
      <c r="NMV58" s="0"/>
      <c r="NMW58" s="0"/>
      <c r="NMX58" s="0"/>
      <c r="NMY58" s="0"/>
      <c r="NMZ58" s="0"/>
      <c r="NNA58" s="0"/>
      <c r="NNB58" s="0"/>
      <c r="NNC58" s="0"/>
      <c r="NND58" s="0"/>
      <c r="NNE58" s="0"/>
      <c r="NNF58" s="0"/>
      <c r="NNG58" s="0"/>
      <c r="NNH58" s="0"/>
      <c r="NNI58" s="0"/>
      <c r="NNJ58" s="0"/>
      <c r="NNK58" s="0"/>
      <c r="NNL58" s="0"/>
      <c r="NNM58" s="0"/>
      <c r="NNN58" s="0"/>
      <c r="NNO58" s="0"/>
      <c r="NNP58" s="0"/>
      <c r="NNQ58" s="0"/>
      <c r="NNR58" s="0"/>
      <c r="NNS58" s="0"/>
      <c r="NNT58" s="0"/>
      <c r="NNU58" s="0"/>
      <c r="NNV58" s="0"/>
      <c r="NNW58" s="0"/>
      <c r="NNX58" s="0"/>
      <c r="NNY58" s="0"/>
      <c r="NNZ58" s="0"/>
      <c r="NOA58" s="0"/>
      <c r="NOB58" s="0"/>
      <c r="NOC58" s="0"/>
      <c r="NOD58" s="0"/>
      <c r="NOE58" s="0"/>
      <c r="NOF58" s="0"/>
      <c r="NOG58" s="0"/>
      <c r="NOH58" s="0"/>
      <c r="NOI58" s="0"/>
      <c r="NOJ58" s="0"/>
      <c r="NOK58" s="0"/>
      <c r="NOL58" s="0"/>
      <c r="NOM58" s="0"/>
      <c r="NON58" s="0"/>
      <c r="NOO58" s="0"/>
      <c r="NOP58" s="0"/>
      <c r="NOQ58" s="0"/>
      <c r="NOR58" s="0"/>
      <c r="NOS58" s="0"/>
      <c r="NOT58" s="0"/>
      <c r="NOU58" s="0"/>
      <c r="NOV58" s="0"/>
      <c r="NOW58" s="0"/>
      <c r="NOX58" s="0"/>
      <c r="NOY58" s="0"/>
      <c r="NOZ58" s="0"/>
      <c r="NPA58" s="0"/>
      <c r="NPB58" s="0"/>
      <c r="NPC58" s="0"/>
      <c r="NPD58" s="0"/>
      <c r="NPE58" s="0"/>
      <c r="NPF58" s="0"/>
      <c r="NPG58" s="0"/>
      <c r="NPH58" s="0"/>
      <c r="NPI58" s="0"/>
      <c r="NPJ58" s="0"/>
      <c r="NPK58" s="0"/>
      <c r="NPL58" s="0"/>
      <c r="NPM58" s="0"/>
      <c r="NPN58" s="0"/>
      <c r="NPO58" s="0"/>
      <c r="NPP58" s="0"/>
      <c r="NPQ58" s="0"/>
      <c r="NPR58" s="0"/>
      <c r="NPS58" s="0"/>
      <c r="NPT58" s="0"/>
      <c r="NPU58" s="0"/>
      <c r="NPV58" s="0"/>
      <c r="NPW58" s="0"/>
      <c r="NPX58" s="0"/>
      <c r="NPY58" s="0"/>
      <c r="NPZ58" s="0"/>
      <c r="NQA58" s="0"/>
      <c r="NQB58" s="0"/>
      <c r="NQC58" s="0"/>
      <c r="NQD58" s="0"/>
      <c r="NQE58" s="0"/>
      <c r="NQF58" s="0"/>
      <c r="NQG58" s="0"/>
      <c r="NQH58" s="0"/>
      <c r="NQI58" s="0"/>
      <c r="NQJ58" s="0"/>
      <c r="NQK58" s="0"/>
      <c r="NQL58" s="0"/>
      <c r="NQM58" s="0"/>
      <c r="NQN58" s="0"/>
      <c r="NQO58" s="0"/>
      <c r="NQP58" s="0"/>
      <c r="NQQ58" s="0"/>
      <c r="NQR58" s="0"/>
      <c r="NQS58" s="0"/>
      <c r="NQT58" s="0"/>
      <c r="NQU58" s="0"/>
      <c r="NQV58" s="0"/>
      <c r="NQW58" s="0"/>
      <c r="NQX58" s="0"/>
      <c r="NQY58" s="0"/>
      <c r="NQZ58" s="0"/>
      <c r="NRA58" s="0"/>
      <c r="NRB58" s="0"/>
      <c r="NRC58" s="0"/>
      <c r="NRD58" s="0"/>
      <c r="NRE58" s="0"/>
      <c r="NRF58" s="0"/>
      <c r="NRG58" s="0"/>
      <c r="NRH58" s="0"/>
      <c r="NRI58" s="0"/>
      <c r="NRJ58" s="0"/>
      <c r="NRK58" s="0"/>
      <c r="NRL58" s="0"/>
      <c r="NRM58" s="0"/>
      <c r="NRN58" s="0"/>
      <c r="NRO58" s="0"/>
      <c r="NRP58" s="0"/>
      <c r="NRQ58" s="0"/>
      <c r="NRR58" s="0"/>
      <c r="NRS58" s="0"/>
      <c r="NRT58" s="0"/>
      <c r="NRU58" s="0"/>
      <c r="NRV58" s="0"/>
      <c r="NRW58" s="0"/>
      <c r="NRX58" s="0"/>
      <c r="NRY58" s="0"/>
      <c r="NRZ58" s="0"/>
      <c r="NSA58" s="0"/>
      <c r="NSB58" s="0"/>
      <c r="NSC58" s="0"/>
      <c r="NSD58" s="0"/>
      <c r="NSE58" s="0"/>
      <c r="NSF58" s="0"/>
      <c r="NSG58" s="0"/>
      <c r="NSH58" s="0"/>
      <c r="NSI58" s="0"/>
      <c r="NSJ58" s="0"/>
      <c r="NSK58" s="0"/>
      <c r="NSL58" s="0"/>
      <c r="NSM58" s="0"/>
      <c r="NSN58" s="0"/>
      <c r="NSO58" s="0"/>
      <c r="NSP58" s="0"/>
      <c r="NSQ58" s="0"/>
      <c r="NSR58" s="0"/>
      <c r="NSS58" s="0"/>
      <c r="NST58" s="0"/>
      <c r="NSU58" s="0"/>
      <c r="NSV58" s="0"/>
      <c r="NSW58" s="0"/>
      <c r="NSX58" s="0"/>
      <c r="NSY58" s="0"/>
      <c r="NSZ58" s="0"/>
      <c r="NTA58" s="0"/>
      <c r="NTB58" s="0"/>
      <c r="NTC58" s="0"/>
      <c r="NTD58" s="0"/>
      <c r="NTE58" s="0"/>
      <c r="NTF58" s="0"/>
      <c r="NTG58" s="0"/>
      <c r="NTH58" s="0"/>
      <c r="NTI58" s="0"/>
      <c r="NTJ58" s="0"/>
      <c r="NTK58" s="0"/>
      <c r="NTL58" s="0"/>
      <c r="NTM58" s="0"/>
      <c r="NTN58" s="0"/>
      <c r="NTO58" s="0"/>
      <c r="NTP58" s="0"/>
      <c r="NTQ58" s="0"/>
      <c r="NTR58" s="0"/>
      <c r="NTS58" s="0"/>
      <c r="NTT58" s="0"/>
      <c r="NTU58" s="0"/>
      <c r="NTV58" s="0"/>
      <c r="NTW58" s="0"/>
      <c r="NTX58" s="0"/>
      <c r="NTY58" s="0"/>
      <c r="NTZ58" s="0"/>
      <c r="NUA58" s="0"/>
      <c r="NUB58" s="0"/>
      <c r="NUC58" s="0"/>
      <c r="NUD58" s="0"/>
      <c r="NUE58" s="0"/>
      <c r="NUF58" s="0"/>
      <c r="NUG58" s="0"/>
      <c r="NUH58" s="0"/>
      <c r="NUI58" s="0"/>
      <c r="NUJ58" s="0"/>
      <c r="NUK58" s="0"/>
      <c r="NUL58" s="0"/>
      <c r="NUM58" s="0"/>
      <c r="NUN58" s="0"/>
      <c r="NUO58" s="0"/>
      <c r="NUP58" s="0"/>
      <c r="NUQ58" s="0"/>
      <c r="NUR58" s="0"/>
      <c r="NUS58" s="0"/>
      <c r="NUT58" s="0"/>
      <c r="NUU58" s="0"/>
      <c r="NUV58" s="0"/>
      <c r="NUW58" s="0"/>
      <c r="NUX58" s="0"/>
      <c r="NUY58" s="0"/>
      <c r="NUZ58" s="0"/>
      <c r="NVA58" s="0"/>
      <c r="NVB58" s="0"/>
      <c r="NVC58" s="0"/>
      <c r="NVD58" s="0"/>
      <c r="NVE58" s="0"/>
      <c r="NVF58" s="0"/>
      <c r="NVG58" s="0"/>
      <c r="NVH58" s="0"/>
      <c r="NVI58" s="0"/>
      <c r="NVJ58" s="0"/>
      <c r="NVK58" s="0"/>
      <c r="NVL58" s="0"/>
      <c r="NVM58" s="0"/>
      <c r="NVN58" s="0"/>
      <c r="NVO58" s="0"/>
      <c r="NVP58" s="0"/>
      <c r="NVQ58" s="0"/>
      <c r="NVR58" s="0"/>
      <c r="NVS58" s="0"/>
      <c r="NVT58" s="0"/>
      <c r="NVU58" s="0"/>
      <c r="NVV58" s="0"/>
      <c r="NVW58" s="0"/>
      <c r="NVX58" s="0"/>
      <c r="NVY58" s="0"/>
      <c r="NVZ58" s="0"/>
      <c r="NWA58" s="0"/>
      <c r="NWB58" s="0"/>
      <c r="NWC58" s="0"/>
      <c r="NWD58" s="0"/>
      <c r="NWE58" s="0"/>
      <c r="NWF58" s="0"/>
      <c r="NWG58" s="0"/>
      <c r="NWH58" s="0"/>
      <c r="NWI58" s="0"/>
      <c r="NWJ58" s="0"/>
      <c r="NWK58" s="0"/>
      <c r="NWL58" s="0"/>
      <c r="NWM58" s="0"/>
      <c r="NWN58" s="0"/>
      <c r="NWO58" s="0"/>
      <c r="NWP58" s="0"/>
      <c r="NWQ58" s="0"/>
      <c r="NWR58" s="0"/>
      <c r="NWS58" s="0"/>
      <c r="NWT58" s="0"/>
      <c r="NWU58" s="0"/>
      <c r="NWV58" s="0"/>
      <c r="NWW58" s="0"/>
      <c r="NWX58" s="0"/>
      <c r="NWY58" s="0"/>
      <c r="NWZ58" s="0"/>
      <c r="NXA58" s="0"/>
      <c r="NXB58" s="0"/>
      <c r="NXC58" s="0"/>
      <c r="NXD58" s="0"/>
      <c r="NXE58" s="0"/>
      <c r="NXF58" s="0"/>
      <c r="NXG58" s="0"/>
      <c r="NXH58" s="0"/>
      <c r="NXI58" s="0"/>
      <c r="NXJ58" s="0"/>
      <c r="NXK58" s="0"/>
      <c r="NXL58" s="0"/>
      <c r="NXM58" s="0"/>
      <c r="NXN58" s="0"/>
      <c r="NXO58" s="0"/>
      <c r="NXP58" s="0"/>
      <c r="NXQ58" s="0"/>
      <c r="NXR58" s="0"/>
      <c r="NXS58" s="0"/>
      <c r="NXT58" s="0"/>
      <c r="NXU58" s="0"/>
      <c r="NXV58" s="0"/>
      <c r="NXW58" s="0"/>
      <c r="NXX58" s="0"/>
      <c r="NXY58" s="0"/>
      <c r="NXZ58" s="0"/>
      <c r="NYA58" s="0"/>
      <c r="NYB58" s="0"/>
      <c r="NYC58" s="0"/>
      <c r="NYD58" s="0"/>
      <c r="NYE58" s="0"/>
      <c r="NYF58" s="0"/>
      <c r="NYG58" s="0"/>
      <c r="NYH58" s="0"/>
      <c r="NYI58" s="0"/>
      <c r="NYJ58" s="0"/>
      <c r="NYK58" s="0"/>
      <c r="NYL58" s="0"/>
      <c r="NYM58" s="0"/>
      <c r="NYN58" s="0"/>
      <c r="NYO58" s="0"/>
      <c r="NYP58" s="0"/>
      <c r="NYQ58" s="0"/>
      <c r="NYR58" s="0"/>
      <c r="NYS58" s="0"/>
      <c r="NYT58" s="0"/>
      <c r="NYU58" s="0"/>
      <c r="NYV58" s="0"/>
      <c r="NYW58" s="0"/>
      <c r="NYX58" s="0"/>
      <c r="NYY58" s="0"/>
      <c r="NYZ58" s="0"/>
      <c r="NZA58" s="0"/>
      <c r="NZB58" s="0"/>
      <c r="NZC58" s="0"/>
      <c r="NZD58" s="0"/>
      <c r="NZE58" s="0"/>
      <c r="NZF58" s="0"/>
      <c r="NZG58" s="0"/>
      <c r="NZH58" s="0"/>
      <c r="NZI58" s="0"/>
      <c r="NZJ58" s="0"/>
      <c r="NZK58" s="0"/>
      <c r="NZL58" s="0"/>
      <c r="NZM58" s="0"/>
      <c r="NZN58" s="0"/>
      <c r="NZO58" s="0"/>
      <c r="NZP58" s="0"/>
      <c r="NZQ58" s="0"/>
      <c r="NZR58" s="0"/>
      <c r="NZS58" s="0"/>
      <c r="NZT58" s="0"/>
      <c r="NZU58" s="0"/>
      <c r="NZV58" s="0"/>
      <c r="NZW58" s="0"/>
      <c r="NZX58" s="0"/>
      <c r="NZY58" s="0"/>
      <c r="NZZ58" s="0"/>
      <c r="OAA58" s="0"/>
      <c r="OAB58" s="0"/>
      <c r="OAC58" s="0"/>
      <c r="OAD58" s="0"/>
      <c r="OAE58" s="0"/>
      <c r="OAF58" s="0"/>
      <c r="OAG58" s="0"/>
      <c r="OAH58" s="0"/>
      <c r="OAI58" s="0"/>
      <c r="OAJ58" s="0"/>
      <c r="OAK58" s="0"/>
      <c r="OAL58" s="0"/>
      <c r="OAM58" s="0"/>
      <c r="OAN58" s="0"/>
      <c r="OAO58" s="0"/>
      <c r="OAP58" s="0"/>
      <c r="OAQ58" s="0"/>
      <c r="OAR58" s="0"/>
      <c r="OAS58" s="0"/>
      <c r="OAT58" s="0"/>
      <c r="OAU58" s="0"/>
      <c r="OAV58" s="0"/>
      <c r="OAW58" s="0"/>
      <c r="OAX58" s="0"/>
      <c r="OAY58" s="0"/>
      <c r="OAZ58" s="0"/>
      <c r="OBA58" s="0"/>
      <c r="OBB58" s="0"/>
      <c r="OBC58" s="0"/>
      <c r="OBD58" s="0"/>
      <c r="OBE58" s="0"/>
      <c r="OBF58" s="0"/>
      <c r="OBG58" s="0"/>
      <c r="OBH58" s="0"/>
      <c r="OBI58" s="0"/>
      <c r="OBJ58" s="0"/>
      <c r="OBK58" s="0"/>
      <c r="OBL58" s="0"/>
      <c r="OBM58" s="0"/>
      <c r="OBN58" s="0"/>
      <c r="OBO58" s="0"/>
      <c r="OBP58" s="0"/>
      <c r="OBQ58" s="0"/>
      <c r="OBR58" s="0"/>
      <c r="OBS58" s="0"/>
      <c r="OBT58" s="0"/>
      <c r="OBU58" s="0"/>
      <c r="OBV58" s="0"/>
      <c r="OBW58" s="0"/>
      <c r="OBX58" s="0"/>
      <c r="OBY58" s="0"/>
      <c r="OBZ58" s="0"/>
      <c r="OCA58" s="0"/>
      <c r="OCB58" s="0"/>
      <c r="OCC58" s="0"/>
      <c r="OCD58" s="0"/>
      <c r="OCE58" s="0"/>
      <c r="OCF58" s="0"/>
      <c r="OCG58" s="0"/>
      <c r="OCH58" s="0"/>
      <c r="OCI58" s="0"/>
      <c r="OCJ58" s="0"/>
      <c r="OCK58" s="0"/>
      <c r="OCL58" s="0"/>
      <c r="OCM58" s="0"/>
      <c r="OCN58" s="0"/>
      <c r="OCO58" s="0"/>
      <c r="OCP58" s="0"/>
      <c r="OCQ58" s="0"/>
      <c r="OCR58" s="0"/>
      <c r="OCS58" s="0"/>
      <c r="OCT58" s="0"/>
      <c r="OCU58" s="0"/>
      <c r="OCV58" s="0"/>
      <c r="OCW58" s="0"/>
      <c r="OCX58" s="0"/>
      <c r="OCY58" s="0"/>
      <c r="OCZ58" s="0"/>
      <c r="ODA58" s="0"/>
      <c r="ODB58" s="0"/>
      <c r="ODC58" s="0"/>
      <c r="ODD58" s="0"/>
      <c r="ODE58" s="0"/>
      <c r="ODF58" s="0"/>
      <c r="ODG58" s="0"/>
      <c r="ODH58" s="0"/>
      <c r="ODI58" s="0"/>
      <c r="ODJ58" s="0"/>
      <c r="ODK58" s="0"/>
      <c r="ODL58" s="0"/>
      <c r="ODM58" s="0"/>
      <c r="ODN58" s="0"/>
      <c r="ODO58" s="0"/>
      <c r="ODP58" s="0"/>
      <c r="ODQ58" s="0"/>
      <c r="ODR58" s="0"/>
      <c r="ODS58" s="0"/>
      <c r="ODT58" s="0"/>
      <c r="ODU58" s="0"/>
      <c r="ODV58" s="0"/>
      <c r="ODW58" s="0"/>
      <c r="ODX58" s="0"/>
      <c r="ODY58" s="0"/>
      <c r="ODZ58" s="0"/>
      <c r="OEA58" s="0"/>
      <c r="OEB58" s="0"/>
      <c r="OEC58" s="0"/>
      <c r="OED58" s="0"/>
      <c r="OEE58" s="0"/>
      <c r="OEF58" s="0"/>
      <c r="OEG58" s="0"/>
      <c r="OEH58" s="0"/>
      <c r="OEI58" s="0"/>
      <c r="OEJ58" s="0"/>
      <c r="OEK58" s="0"/>
      <c r="OEL58" s="0"/>
      <c r="OEM58" s="0"/>
      <c r="OEN58" s="0"/>
      <c r="OEO58" s="0"/>
      <c r="OEP58" s="0"/>
      <c r="OEQ58" s="0"/>
      <c r="OER58" s="0"/>
      <c r="OES58" s="0"/>
      <c r="OET58" s="0"/>
      <c r="OEU58" s="0"/>
      <c r="OEV58" s="0"/>
      <c r="OEW58" s="0"/>
      <c r="OEX58" s="0"/>
      <c r="OEY58" s="0"/>
      <c r="OEZ58" s="0"/>
      <c r="OFA58" s="0"/>
      <c r="OFB58" s="0"/>
      <c r="OFC58" s="0"/>
      <c r="OFD58" s="0"/>
      <c r="OFE58" s="0"/>
      <c r="OFF58" s="0"/>
      <c r="OFG58" s="0"/>
      <c r="OFH58" s="0"/>
      <c r="OFI58" s="0"/>
      <c r="OFJ58" s="0"/>
      <c r="OFK58" s="0"/>
      <c r="OFL58" s="0"/>
      <c r="OFM58" s="0"/>
      <c r="OFN58" s="0"/>
      <c r="OFO58" s="0"/>
      <c r="OFP58" s="0"/>
      <c r="OFQ58" s="0"/>
      <c r="OFR58" s="0"/>
      <c r="OFS58" s="0"/>
      <c r="OFT58" s="0"/>
      <c r="OFU58" s="0"/>
      <c r="OFV58" s="0"/>
      <c r="OFW58" s="0"/>
      <c r="OFX58" s="0"/>
      <c r="OFY58" s="0"/>
      <c r="OFZ58" s="0"/>
      <c r="OGA58" s="0"/>
      <c r="OGB58" s="0"/>
      <c r="OGC58" s="0"/>
      <c r="OGD58" s="0"/>
      <c r="OGE58" s="0"/>
      <c r="OGF58" s="0"/>
      <c r="OGG58" s="0"/>
      <c r="OGH58" s="0"/>
      <c r="OGI58" s="0"/>
      <c r="OGJ58" s="0"/>
      <c r="OGK58" s="0"/>
      <c r="OGL58" s="0"/>
      <c r="OGM58" s="0"/>
      <c r="OGN58" s="0"/>
      <c r="OGO58" s="0"/>
      <c r="OGP58" s="0"/>
      <c r="OGQ58" s="0"/>
      <c r="OGR58" s="0"/>
      <c r="OGS58" s="0"/>
      <c r="OGT58" s="0"/>
      <c r="OGU58" s="0"/>
      <c r="OGV58" s="0"/>
      <c r="OGW58" s="0"/>
      <c r="OGX58" s="0"/>
      <c r="OGY58" s="0"/>
      <c r="OGZ58" s="0"/>
      <c r="OHA58" s="0"/>
      <c r="OHB58" s="0"/>
      <c r="OHC58" s="0"/>
      <c r="OHD58" s="0"/>
      <c r="OHE58" s="0"/>
      <c r="OHF58" s="0"/>
      <c r="OHG58" s="0"/>
      <c r="OHH58" s="0"/>
      <c r="OHI58" s="0"/>
      <c r="OHJ58" s="0"/>
      <c r="OHK58" s="0"/>
      <c r="OHL58" s="0"/>
      <c r="OHM58" s="0"/>
      <c r="OHN58" s="0"/>
      <c r="OHO58" s="0"/>
      <c r="OHP58" s="0"/>
      <c r="OHQ58" s="0"/>
      <c r="OHR58" s="0"/>
      <c r="OHS58" s="0"/>
      <c r="OHT58" s="0"/>
      <c r="OHU58" s="0"/>
      <c r="OHV58" s="0"/>
      <c r="OHW58" s="0"/>
      <c r="OHX58" s="0"/>
      <c r="OHY58" s="0"/>
      <c r="OHZ58" s="0"/>
      <c r="OIA58" s="0"/>
      <c r="OIB58" s="0"/>
      <c r="OIC58" s="0"/>
      <c r="OID58" s="0"/>
      <c r="OIE58" s="0"/>
      <c r="OIF58" s="0"/>
      <c r="OIG58" s="0"/>
      <c r="OIH58" s="0"/>
      <c r="OII58" s="0"/>
      <c r="OIJ58" s="0"/>
      <c r="OIK58" s="0"/>
      <c r="OIL58" s="0"/>
      <c r="OIM58" s="0"/>
      <c r="OIN58" s="0"/>
      <c r="OIO58" s="0"/>
      <c r="OIP58" s="0"/>
      <c r="OIQ58" s="0"/>
      <c r="OIR58" s="0"/>
      <c r="OIS58" s="0"/>
      <c r="OIT58" s="0"/>
      <c r="OIU58" s="0"/>
      <c r="OIV58" s="0"/>
      <c r="OIW58" s="0"/>
      <c r="OIX58" s="0"/>
      <c r="OIY58" s="0"/>
      <c r="OIZ58" s="0"/>
      <c r="OJA58" s="0"/>
      <c r="OJB58" s="0"/>
      <c r="OJC58" s="0"/>
      <c r="OJD58" s="0"/>
      <c r="OJE58" s="0"/>
      <c r="OJF58" s="0"/>
      <c r="OJG58" s="0"/>
      <c r="OJH58" s="0"/>
      <c r="OJI58" s="0"/>
      <c r="OJJ58" s="0"/>
      <c r="OJK58" s="0"/>
      <c r="OJL58" s="0"/>
      <c r="OJM58" s="0"/>
      <c r="OJN58" s="0"/>
      <c r="OJO58" s="0"/>
      <c r="OJP58" s="0"/>
      <c r="OJQ58" s="0"/>
      <c r="OJR58" s="0"/>
      <c r="OJS58" s="0"/>
      <c r="OJT58" s="0"/>
      <c r="OJU58" s="0"/>
      <c r="OJV58" s="0"/>
      <c r="OJW58" s="0"/>
      <c r="OJX58" s="0"/>
      <c r="OJY58" s="0"/>
      <c r="OJZ58" s="0"/>
      <c r="OKA58" s="0"/>
      <c r="OKB58" s="0"/>
      <c r="OKC58" s="0"/>
      <c r="OKD58" s="0"/>
      <c r="OKE58" s="0"/>
      <c r="OKF58" s="0"/>
      <c r="OKG58" s="0"/>
      <c r="OKH58" s="0"/>
      <c r="OKI58" s="0"/>
      <c r="OKJ58" s="0"/>
      <c r="OKK58" s="0"/>
      <c r="OKL58" s="0"/>
      <c r="OKM58" s="0"/>
      <c r="OKN58" s="0"/>
      <c r="OKO58" s="0"/>
      <c r="OKP58" s="0"/>
      <c r="OKQ58" s="0"/>
      <c r="OKR58" s="0"/>
      <c r="OKS58" s="0"/>
      <c r="OKT58" s="0"/>
      <c r="OKU58" s="0"/>
      <c r="OKV58" s="0"/>
      <c r="OKW58" s="0"/>
      <c r="OKX58" s="0"/>
      <c r="OKY58" s="0"/>
      <c r="OKZ58" s="0"/>
      <c r="OLA58" s="0"/>
      <c r="OLB58" s="0"/>
      <c r="OLC58" s="0"/>
      <c r="OLD58" s="0"/>
      <c r="OLE58" s="0"/>
      <c r="OLF58" s="0"/>
      <c r="OLG58" s="0"/>
      <c r="OLH58" s="0"/>
      <c r="OLI58" s="0"/>
      <c r="OLJ58" s="0"/>
      <c r="OLK58" s="0"/>
      <c r="OLL58" s="0"/>
      <c r="OLM58" s="0"/>
      <c r="OLN58" s="0"/>
      <c r="OLO58" s="0"/>
      <c r="OLP58" s="0"/>
      <c r="OLQ58" s="0"/>
      <c r="OLR58" s="0"/>
      <c r="OLS58" s="0"/>
      <c r="OLT58" s="0"/>
      <c r="OLU58" s="0"/>
      <c r="OLV58" s="0"/>
      <c r="OLW58" s="0"/>
      <c r="OLX58" s="0"/>
      <c r="OLY58" s="0"/>
      <c r="OLZ58" s="0"/>
      <c r="OMA58" s="0"/>
      <c r="OMB58" s="0"/>
      <c r="OMC58" s="0"/>
      <c r="OMD58" s="0"/>
      <c r="OME58" s="0"/>
      <c r="OMF58" s="0"/>
      <c r="OMG58" s="0"/>
      <c r="OMH58" s="0"/>
      <c r="OMI58" s="0"/>
      <c r="OMJ58" s="0"/>
      <c r="OMK58" s="0"/>
      <c r="OML58" s="0"/>
      <c r="OMM58" s="0"/>
      <c r="OMN58" s="0"/>
      <c r="OMO58" s="0"/>
      <c r="OMP58" s="0"/>
      <c r="OMQ58" s="0"/>
      <c r="OMR58" s="0"/>
      <c r="OMS58" s="0"/>
      <c r="OMT58" s="0"/>
      <c r="OMU58" s="0"/>
      <c r="OMV58" s="0"/>
      <c r="OMW58" s="0"/>
      <c r="OMX58" s="0"/>
      <c r="OMY58" s="0"/>
      <c r="OMZ58" s="0"/>
      <c r="ONA58" s="0"/>
      <c r="ONB58" s="0"/>
      <c r="ONC58" s="0"/>
      <c r="OND58" s="0"/>
      <c r="ONE58" s="0"/>
      <c r="ONF58" s="0"/>
      <c r="ONG58" s="0"/>
      <c r="ONH58" s="0"/>
      <c r="ONI58" s="0"/>
      <c r="ONJ58" s="0"/>
      <c r="ONK58" s="0"/>
      <c r="ONL58" s="0"/>
      <c r="ONM58" s="0"/>
      <c r="ONN58" s="0"/>
      <c r="ONO58" s="0"/>
      <c r="ONP58" s="0"/>
      <c r="ONQ58" s="0"/>
      <c r="ONR58" s="0"/>
      <c r="ONS58" s="0"/>
      <c r="ONT58" s="0"/>
      <c r="ONU58" s="0"/>
      <c r="ONV58" s="0"/>
      <c r="ONW58" s="0"/>
      <c r="ONX58" s="0"/>
      <c r="ONY58" s="0"/>
      <c r="ONZ58" s="0"/>
      <c r="OOA58" s="0"/>
      <c r="OOB58" s="0"/>
      <c r="OOC58" s="0"/>
      <c r="OOD58" s="0"/>
      <c r="OOE58" s="0"/>
      <c r="OOF58" s="0"/>
      <c r="OOG58" s="0"/>
      <c r="OOH58" s="0"/>
      <c r="OOI58" s="0"/>
      <c r="OOJ58" s="0"/>
      <c r="OOK58" s="0"/>
      <c r="OOL58" s="0"/>
      <c r="OOM58" s="0"/>
      <c r="OON58" s="0"/>
      <c r="OOO58" s="0"/>
      <c r="OOP58" s="0"/>
      <c r="OOQ58" s="0"/>
      <c r="OOR58" s="0"/>
      <c r="OOS58" s="0"/>
      <c r="OOT58" s="0"/>
      <c r="OOU58" s="0"/>
      <c r="OOV58" s="0"/>
      <c r="OOW58" s="0"/>
      <c r="OOX58" s="0"/>
      <c r="OOY58" s="0"/>
      <c r="OOZ58" s="0"/>
      <c r="OPA58" s="0"/>
      <c r="OPB58" s="0"/>
      <c r="OPC58" s="0"/>
      <c r="OPD58" s="0"/>
      <c r="OPE58" s="0"/>
      <c r="OPF58" s="0"/>
      <c r="OPG58" s="0"/>
      <c r="OPH58" s="0"/>
      <c r="OPI58" s="0"/>
      <c r="OPJ58" s="0"/>
      <c r="OPK58" s="0"/>
      <c r="OPL58" s="0"/>
      <c r="OPM58" s="0"/>
      <c r="OPN58" s="0"/>
      <c r="OPO58" s="0"/>
      <c r="OPP58" s="0"/>
      <c r="OPQ58" s="0"/>
      <c r="OPR58" s="0"/>
      <c r="OPS58" s="0"/>
      <c r="OPT58" s="0"/>
      <c r="OPU58" s="0"/>
      <c r="OPV58" s="0"/>
      <c r="OPW58" s="0"/>
      <c r="OPX58" s="0"/>
      <c r="OPY58" s="0"/>
      <c r="OPZ58" s="0"/>
      <c r="OQA58" s="0"/>
      <c r="OQB58" s="0"/>
      <c r="OQC58" s="0"/>
      <c r="OQD58" s="0"/>
      <c r="OQE58" s="0"/>
      <c r="OQF58" s="0"/>
      <c r="OQG58" s="0"/>
      <c r="OQH58" s="0"/>
      <c r="OQI58" s="0"/>
      <c r="OQJ58" s="0"/>
      <c r="OQK58" s="0"/>
      <c r="OQL58" s="0"/>
      <c r="OQM58" s="0"/>
      <c r="OQN58" s="0"/>
      <c r="OQO58" s="0"/>
      <c r="OQP58" s="0"/>
      <c r="OQQ58" s="0"/>
      <c r="OQR58" s="0"/>
      <c r="OQS58" s="0"/>
      <c r="OQT58" s="0"/>
      <c r="OQU58" s="0"/>
      <c r="OQV58" s="0"/>
      <c r="OQW58" s="0"/>
      <c r="OQX58" s="0"/>
      <c r="OQY58" s="0"/>
      <c r="OQZ58" s="0"/>
      <c r="ORA58" s="0"/>
      <c r="ORB58" s="0"/>
      <c r="ORC58" s="0"/>
      <c r="ORD58" s="0"/>
      <c r="ORE58" s="0"/>
      <c r="ORF58" s="0"/>
      <c r="ORG58" s="0"/>
      <c r="ORH58" s="0"/>
      <c r="ORI58" s="0"/>
      <c r="ORJ58" s="0"/>
      <c r="ORK58" s="0"/>
      <c r="ORL58" s="0"/>
      <c r="ORM58" s="0"/>
      <c r="ORN58" s="0"/>
      <c r="ORO58" s="0"/>
      <c r="ORP58" s="0"/>
      <c r="ORQ58" s="0"/>
      <c r="ORR58" s="0"/>
      <c r="ORS58" s="0"/>
      <c r="ORT58" s="0"/>
      <c r="ORU58" s="0"/>
      <c r="ORV58" s="0"/>
      <c r="ORW58" s="0"/>
      <c r="ORX58" s="0"/>
      <c r="ORY58" s="0"/>
      <c r="ORZ58" s="0"/>
      <c r="OSA58" s="0"/>
      <c r="OSB58" s="0"/>
      <c r="OSC58" s="0"/>
      <c r="OSD58" s="0"/>
      <c r="OSE58" s="0"/>
      <c r="OSF58" s="0"/>
      <c r="OSG58" s="0"/>
      <c r="OSH58" s="0"/>
      <c r="OSI58" s="0"/>
      <c r="OSJ58" s="0"/>
      <c r="OSK58" s="0"/>
      <c r="OSL58" s="0"/>
      <c r="OSM58" s="0"/>
      <c r="OSN58" s="0"/>
      <c r="OSO58" s="0"/>
      <c r="OSP58" s="0"/>
      <c r="OSQ58" s="0"/>
      <c r="OSR58" s="0"/>
      <c r="OSS58" s="0"/>
      <c r="OST58" s="0"/>
      <c r="OSU58" s="0"/>
      <c r="OSV58" s="0"/>
      <c r="OSW58" s="0"/>
      <c r="OSX58" s="0"/>
      <c r="OSY58" s="0"/>
      <c r="OSZ58" s="0"/>
      <c r="OTA58" s="0"/>
      <c r="OTB58" s="0"/>
      <c r="OTC58" s="0"/>
      <c r="OTD58" s="0"/>
      <c r="OTE58" s="0"/>
      <c r="OTF58" s="0"/>
      <c r="OTG58" s="0"/>
      <c r="OTH58" s="0"/>
      <c r="OTI58" s="0"/>
      <c r="OTJ58" s="0"/>
      <c r="OTK58" s="0"/>
      <c r="OTL58" s="0"/>
      <c r="OTM58" s="0"/>
      <c r="OTN58" s="0"/>
      <c r="OTO58" s="0"/>
      <c r="OTP58" s="0"/>
      <c r="OTQ58" s="0"/>
      <c r="OTR58" s="0"/>
      <c r="OTS58" s="0"/>
      <c r="OTT58" s="0"/>
      <c r="OTU58" s="0"/>
      <c r="OTV58" s="0"/>
      <c r="OTW58" s="0"/>
      <c r="OTX58" s="0"/>
      <c r="OTY58" s="0"/>
      <c r="OTZ58" s="0"/>
      <c r="OUA58" s="0"/>
      <c r="OUB58" s="0"/>
      <c r="OUC58" s="0"/>
      <c r="OUD58" s="0"/>
      <c r="OUE58" s="0"/>
      <c r="OUF58" s="0"/>
      <c r="OUG58" s="0"/>
      <c r="OUH58" s="0"/>
      <c r="OUI58" s="0"/>
      <c r="OUJ58" s="0"/>
      <c r="OUK58" s="0"/>
      <c r="OUL58" s="0"/>
      <c r="OUM58" s="0"/>
      <c r="OUN58" s="0"/>
      <c r="OUO58" s="0"/>
      <c r="OUP58" s="0"/>
      <c r="OUQ58" s="0"/>
      <c r="OUR58" s="0"/>
      <c r="OUS58" s="0"/>
      <c r="OUT58" s="0"/>
      <c r="OUU58" s="0"/>
      <c r="OUV58" s="0"/>
      <c r="OUW58" s="0"/>
      <c r="OUX58" s="0"/>
      <c r="OUY58" s="0"/>
      <c r="OUZ58" s="0"/>
      <c r="OVA58" s="0"/>
      <c r="OVB58" s="0"/>
      <c r="OVC58" s="0"/>
      <c r="OVD58" s="0"/>
      <c r="OVE58" s="0"/>
      <c r="OVF58" s="0"/>
      <c r="OVG58" s="0"/>
      <c r="OVH58" s="0"/>
      <c r="OVI58" s="0"/>
      <c r="OVJ58" s="0"/>
      <c r="OVK58" s="0"/>
      <c r="OVL58" s="0"/>
      <c r="OVM58" s="0"/>
      <c r="OVN58" s="0"/>
      <c r="OVO58" s="0"/>
      <c r="OVP58" s="0"/>
      <c r="OVQ58" s="0"/>
      <c r="OVR58" s="0"/>
      <c r="OVS58" s="0"/>
      <c r="OVT58" s="0"/>
      <c r="OVU58" s="0"/>
      <c r="OVV58" s="0"/>
      <c r="OVW58" s="0"/>
      <c r="OVX58" s="0"/>
      <c r="OVY58" s="0"/>
      <c r="OVZ58" s="0"/>
      <c r="OWA58" s="0"/>
      <c r="OWB58" s="0"/>
      <c r="OWC58" s="0"/>
      <c r="OWD58" s="0"/>
      <c r="OWE58" s="0"/>
      <c r="OWF58" s="0"/>
      <c r="OWG58" s="0"/>
      <c r="OWH58" s="0"/>
      <c r="OWI58" s="0"/>
      <c r="OWJ58" s="0"/>
      <c r="OWK58" s="0"/>
      <c r="OWL58" s="0"/>
      <c r="OWM58" s="0"/>
      <c r="OWN58" s="0"/>
      <c r="OWO58" s="0"/>
      <c r="OWP58" s="0"/>
      <c r="OWQ58" s="0"/>
      <c r="OWR58" s="0"/>
      <c r="OWS58" s="0"/>
      <c r="OWT58" s="0"/>
      <c r="OWU58" s="0"/>
      <c r="OWV58" s="0"/>
      <c r="OWW58" s="0"/>
      <c r="OWX58" s="0"/>
      <c r="OWY58" s="0"/>
      <c r="OWZ58" s="0"/>
      <c r="OXA58" s="0"/>
      <c r="OXB58" s="0"/>
      <c r="OXC58" s="0"/>
      <c r="OXD58" s="0"/>
      <c r="OXE58" s="0"/>
      <c r="OXF58" s="0"/>
      <c r="OXG58" s="0"/>
      <c r="OXH58" s="0"/>
      <c r="OXI58" s="0"/>
      <c r="OXJ58" s="0"/>
      <c r="OXK58" s="0"/>
      <c r="OXL58" s="0"/>
      <c r="OXM58" s="0"/>
      <c r="OXN58" s="0"/>
      <c r="OXO58" s="0"/>
      <c r="OXP58" s="0"/>
      <c r="OXQ58" s="0"/>
      <c r="OXR58" s="0"/>
      <c r="OXS58" s="0"/>
      <c r="OXT58" s="0"/>
      <c r="OXU58" s="0"/>
      <c r="OXV58" s="0"/>
      <c r="OXW58" s="0"/>
      <c r="OXX58" s="0"/>
      <c r="OXY58" s="0"/>
      <c r="OXZ58" s="0"/>
      <c r="OYA58" s="0"/>
      <c r="OYB58" s="0"/>
      <c r="OYC58" s="0"/>
      <c r="OYD58" s="0"/>
      <c r="OYE58" s="0"/>
      <c r="OYF58" s="0"/>
      <c r="OYG58" s="0"/>
      <c r="OYH58" s="0"/>
      <c r="OYI58" s="0"/>
      <c r="OYJ58" s="0"/>
      <c r="OYK58" s="0"/>
      <c r="OYL58" s="0"/>
      <c r="OYM58" s="0"/>
      <c r="OYN58" s="0"/>
      <c r="OYO58" s="0"/>
      <c r="OYP58" s="0"/>
      <c r="OYQ58" s="0"/>
      <c r="OYR58" s="0"/>
      <c r="OYS58" s="0"/>
      <c r="OYT58" s="0"/>
      <c r="OYU58" s="0"/>
      <c r="OYV58" s="0"/>
      <c r="OYW58" s="0"/>
      <c r="OYX58" s="0"/>
      <c r="OYY58" s="0"/>
      <c r="OYZ58" s="0"/>
      <c r="OZA58" s="0"/>
      <c r="OZB58" s="0"/>
      <c r="OZC58" s="0"/>
      <c r="OZD58" s="0"/>
      <c r="OZE58" s="0"/>
      <c r="OZF58" s="0"/>
      <c r="OZG58" s="0"/>
      <c r="OZH58" s="0"/>
      <c r="OZI58" s="0"/>
      <c r="OZJ58" s="0"/>
      <c r="OZK58" s="0"/>
      <c r="OZL58" s="0"/>
      <c r="OZM58" s="0"/>
      <c r="OZN58" s="0"/>
      <c r="OZO58" s="0"/>
      <c r="OZP58" s="0"/>
      <c r="OZQ58" s="0"/>
      <c r="OZR58" s="0"/>
      <c r="OZS58" s="0"/>
      <c r="OZT58" s="0"/>
      <c r="OZU58" s="0"/>
      <c r="OZV58" s="0"/>
      <c r="OZW58" s="0"/>
      <c r="OZX58" s="0"/>
      <c r="OZY58" s="0"/>
      <c r="OZZ58" s="0"/>
      <c r="PAA58" s="0"/>
      <c r="PAB58" s="0"/>
      <c r="PAC58" s="0"/>
      <c r="PAD58" s="0"/>
      <c r="PAE58" s="0"/>
      <c r="PAF58" s="0"/>
      <c r="PAG58" s="0"/>
      <c r="PAH58" s="0"/>
      <c r="PAI58" s="0"/>
      <c r="PAJ58" s="0"/>
      <c r="PAK58" s="0"/>
      <c r="PAL58" s="0"/>
      <c r="PAM58" s="0"/>
      <c r="PAN58" s="0"/>
      <c r="PAO58" s="0"/>
      <c r="PAP58" s="0"/>
      <c r="PAQ58" s="0"/>
      <c r="PAR58" s="0"/>
      <c r="PAS58" s="0"/>
      <c r="PAT58" s="0"/>
      <c r="PAU58" s="0"/>
      <c r="PAV58" s="0"/>
      <c r="PAW58" s="0"/>
      <c r="PAX58" s="0"/>
      <c r="PAY58" s="0"/>
      <c r="PAZ58" s="0"/>
      <c r="PBA58" s="0"/>
      <c r="PBB58" s="0"/>
      <c r="PBC58" s="0"/>
      <c r="PBD58" s="0"/>
      <c r="PBE58" s="0"/>
      <c r="PBF58" s="0"/>
      <c r="PBG58" s="0"/>
      <c r="PBH58" s="0"/>
      <c r="PBI58" s="0"/>
      <c r="PBJ58" s="0"/>
      <c r="PBK58" s="0"/>
      <c r="PBL58" s="0"/>
      <c r="PBM58" s="0"/>
      <c r="PBN58" s="0"/>
      <c r="PBO58" s="0"/>
      <c r="PBP58" s="0"/>
      <c r="PBQ58" s="0"/>
      <c r="PBR58" s="0"/>
      <c r="PBS58" s="0"/>
      <c r="PBT58" s="0"/>
      <c r="PBU58" s="0"/>
      <c r="PBV58" s="0"/>
      <c r="PBW58" s="0"/>
      <c r="PBX58" s="0"/>
      <c r="PBY58" s="0"/>
      <c r="PBZ58" s="0"/>
      <c r="PCA58" s="0"/>
      <c r="PCB58" s="0"/>
      <c r="PCC58" s="0"/>
      <c r="PCD58" s="0"/>
      <c r="PCE58" s="0"/>
      <c r="PCF58" s="0"/>
      <c r="PCG58" s="0"/>
      <c r="PCH58" s="0"/>
      <c r="PCI58" s="0"/>
      <c r="PCJ58" s="0"/>
      <c r="PCK58" s="0"/>
      <c r="PCL58" s="0"/>
      <c r="PCM58" s="0"/>
      <c r="PCN58" s="0"/>
      <c r="PCO58" s="0"/>
      <c r="PCP58" s="0"/>
      <c r="PCQ58" s="0"/>
      <c r="PCR58" s="0"/>
      <c r="PCS58" s="0"/>
      <c r="PCT58" s="0"/>
      <c r="PCU58" s="0"/>
      <c r="PCV58" s="0"/>
      <c r="PCW58" s="0"/>
      <c r="PCX58" s="0"/>
      <c r="PCY58" s="0"/>
      <c r="PCZ58" s="0"/>
      <c r="PDA58" s="0"/>
      <c r="PDB58" s="0"/>
      <c r="PDC58" s="0"/>
      <c r="PDD58" s="0"/>
      <c r="PDE58" s="0"/>
      <c r="PDF58" s="0"/>
      <c r="PDG58" s="0"/>
      <c r="PDH58" s="0"/>
      <c r="PDI58" s="0"/>
      <c r="PDJ58" s="0"/>
      <c r="PDK58" s="0"/>
      <c r="PDL58" s="0"/>
      <c r="PDM58" s="0"/>
      <c r="PDN58" s="0"/>
      <c r="PDO58" s="0"/>
      <c r="PDP58" s="0"/>
      <c r="PDQ58" s="0"/>
      <c r="PDR58" s="0"/>
      <c r="PDS58" s="0"/>
      <c r="PDT58" s="0"/>
      <c r="PDU58" s="0"/>
      <c r="PDV58" s="0"/>
      <c r="PDW58" s="0"/>
      <c r="PDX58" s="0"/>
      <c r="PDY58" s="0"/>
      <c r="PDZ58" s="0"/>
      <c r="PEA58" s="0"/>
      <c r="PEB58" s="0"/>
      <c r="PEC58" s="0"/>
      <c r="PED58" s="0"/>
      <c r="PEE58" s="0"/>
      <c r="PEF58" s="0"/>
      <c r="PEG58" s="0"/>
      <c r="PEH58" s="0"/>
      <c r="PEI58" s="0"/>
      <c r="PEJ58" s="0"/>
      <c r="PEK58" s="0"/>
      <c r="PEL58" s="0"/>
      <c r="PEM58" s="0"/>
      <c r="PEN58" s="0"/>
      <c r="PEO58" s="0"/>
      <c r="PEP58" s="0"/>
      <c r="PEQ58" s="0"/>
      <c r="PER58" s="0"/>
      <c r="PES58" s="0"/>
      <c r="PET58" s="0"/>
      <c r="PEU58" s="0"/>
      <c r="PEV58" s="0"/>
      <c r="PEW58" s="0"/>
      <c r="PEX58" s="0"/>
      <c r="PEY58" s="0"/>
      <c r="PEZ58" s="0"/>
      <c r="PFA58" s="0"/>
      <c r="PFB58" s="0"/>
      <c r="PFC58" s="0"/>
      <c r="PFD58" s="0"/>
      <c r="PFE58" s="0"/>
      <c r="PFF58" s="0"/>
      <c r="PFG58" s="0"/>
      <c r="PFH58" s="0"/>
      <c r="PFI58" s="0"/>
      <c r="PFJ58" s="0"/>
      <c r="PFK58" s="0"/>
      <c r="PFL58" s="0"/>
      <c r="PFM58" s="0"/>
      <c r="PFN58" s="0"/>
      <c r="PFO58" s="0"/>
      <c r="PFP58" s="0"/>
      <c r="PFQ58" s="0"/>
      <c r="PFR58" s="0"/>
      <c r="PFS58" s="0"/>
      <c r="PFT58" s="0"/>
      <c r="PFU58" s="0"/>
      <c r="PFV58" s="0"/>
      <c r="PFW58" s="0"/>
      <c r="PFX58" s="0"/>
      <c r="PFY58" s="0"/>
      <c r="PFZ58" s="0"/>
      <c r="PGA58" s="0"/>
      <c r="PGB58" s="0"/>
      <c r="PGC58" s="0"/>
      <c r="PGD58" s="0"/>
      <c r="PGE58" s="0"/>
      <c r="PGF58" s="0"/>
      <c r="PGG58" s="0"/>
      <c r="PGH58" s="0"/>
      <c r="PGI58" s="0"/>
      <c r="PGJ58" s="0"/>
      <c r="PGK58" s="0"/>
      <c r="PGL58" s="0"/>
      <c r="PGM58" s="0"/>
      <c r="PGN58" s="0"/>
      <c r="PGO58" s="0"/>
      <c r="PGP58" s="0"/>
      <c r="PGQ58" s="0"/>
      <c r="PGR58" s="0"/>
      <c r="PGS58" s="0"/>
      <c r="PGT58" s="0"/>
      <c r="PGU58" s="0"/>
      <c r="PGV58" s="0"/>
      <c r="PGW58" s="0"/>
      <c r="PGX58" s="0"/>
      <c r="PGY58" s="0"/>
      <c r="PGZ58" s="0"/>
      <c r="PHA58" s="0"/>
      <c r="PHB58" s="0"/>
      <c r="PHC58" s="0"/>
      <c r="PHD58" s="0"/>
      <c r="PHE58" s="0"/>
      <c r="PHF58" s="0"/>
      <c r="PHG58" s="0"/>
      <c r="PHH58" s="0"/>
      <c r="PHI58" s="0"/>
      <c r="PHJ58" s="0"/>
      <c r="PHK58" s="0"/>
      <c r="PHL58" s="0"/>
      <c r="PHM58" s="0"/>
      <c r="PHN58" s="0"/>
      <c r="PHO58" s="0"/>
      <c r="PHP58" s="0"/>
      <c r="PHQ58" s="0"/>
      <c r="PHR58" s="0"/>
      <c r="PHS58" s="0"/>
      <c r="PHT58" s="0"/>
      <c r="PHU58" s="0"/>
      <c r="PHV58" s="0"/>
      <c r="PHW58" s="0"/>
      <c r="PHX58" s="0"/>
      <c r="PHY58" s="0"/>
      <c r="PHZ58" s="0"/>
      <c r="PIA58" s="0"/>
      <c r="PIB58" s="0"/>
      <c r="PIC58" s="0"/>
      <c r="PID58" s="0"/>
      <c r="PIE58" s="0"/>
      <c r="PIF58" s="0"/>
      <c r="PIG58" s="0"/>
      <c r="PIH58" s="0"/>
      <c r="PII58" s="0"/>
      <c r="PIJ58" s="0"/>
      <c r="PIK58" s="0"/>
      <c r="PIL58" s="0"/>
      <c r="PIM58" s="0"/>
      <c r="PIN58" s="0"/>
      <c r="PIO58" s="0"/>
      <c r="PIP58" s="0"/>
      <c r="PIQ58" s="0"/>
      <c r="PIR58" s="0"/>
      <c r="PIS58" s="0"/>
      <c r="PIT58" s="0"/>
      <c r="PIU58" s="0"/>
      <c r="PIV58" s="0"/>
      <c r="PIW58" s="0"/>
      <c r="PIX58" s="0"/>
      <c r="PIY58" s="0"/>
      <c r="PIZ58" s="0"/>
      <c r="PJA58" s="0"/>
      <c r="PJB58" s="0"/>
      <c r="PJC58" s="0"/>
      <c r="PJD58" s="0"/>
      <c r="PJE58" s="0"/>
      <c r="PJF58" s="0"/>
      <c r="PJG58" s="0"/>
      <c r="PJH58" s="0"/>
      <c r="PJI58" s="0"/>
      <c r="PJJ58" s="0"/>
      <c r="PJK58" s="0"/>
      <c r="PJL58" s="0"/>
      <c r="PJM58" s="0"/>
      <c r="PJN58" s="0"/>
      <c r="PJO58" s="0"/>
      <c r="PJP58" s="0"/>
      <c r="PJQ58" s="0"/>
      <c r="PJR58" s="0"/>
      <c r="PJS58" s="0"/>
      <c r="PJT58" s="0"/>
      <c r="PJU58" s="0"/>
      <c r="PJV58" s="0"/>
      <c r="PJW58" s="0"/>
      <c r="PJX58" s="0"/>
      <c r="PJY58" s="0"/>
      <c r="PJZ58" s="0"/>
      <c r="PKA58" s="0"/>
      <c r="PKB58" s="0"/>
      <c r="PKC58" s="0"/>
      <c r="PKD58" s="0"/>
      <c r="PKE58" s="0"/>
      <c r="PKF58" s="0"/>
      <c r="PKG58" s="0"/>
      <c r="PKH58" s="0"/>
      <c r="PKI58" s="0"/>
      <c r="PKJ58" s="0"/>
      <c r="PKK58" s="0"/>
      <c r="PKL58" s="0"/>
      <c r="PKM58" s="0"/>
      <c r="PKN58" s="0"/>
      <c r="PKO58" s="0"/>
      <c r="PKP58" s="0"/>
      <c r="PKQ58" s="0"/>
      <c r="PKR58" s="0"/>
      <c r="PKS58" s="0"/>
      <c r="PKT58" s="0"/>
      <c r="PKU58" s="0"/>
      <c r="PKV58" s="0"/>
      <c r="PKW58" s="0"/>
      <c r="PKX58" s="0"/>
      <c r="PKY58" s="0"/>
      <c r="PKZ58" s="0"/>
      <c r="PLA58" s="0"/>
      <c r="PLB58" s="0"/>
      <c r="PLC58" s="0"/>
      <c r="PLD58" s="0"/>
      <c r="PLE58" s="0"/>
      <c r="PLF58" s="0"/>
      <c r="PLG58" s="0"/>
      <c r="PLH58" s="0"/>
      <c r="PLI58" s="0"/>
      <c r="PLJ58" s="0"/>
      <c r="PLK58" s="0"/>
      <c r="PLL58" s="0"/>
      <c r="PLM58" s="0"/>
      <c r="PLN58" s="0"/>
      <c r="PLO58" s="0"/>
      <c r="PLP58" s="0"/>
      <c r="PLQ58" s="0"/>
      <c r="PLR58" s="0"/>
      <c r="PLS58" s="0"/>
      <c r="PLT58" s="0"/>
      <c r="PLU58" s="0"/>
      <c r="PLV58" s="0"/>
      <c r="PLW58" s="0"/>
      <c r="PLX58" s="0"/>
      <c r="PLY58" s="0"/>
      <c r="PLZ58" s="0"/>
      <c r="PMA58" s="0"/>
      <c r="PMB58" s="0"/>
      <c r="PMC58" s="0"/>
      <c r="PMD58" s="0"/>
      <c r="PME58" s="0"/>
      <c r="PMF58" s="0"/>
      <c r="PMG58" s="0"/>
      <c r="PMH58" s="0"/>
      <c r="PMI58" s="0"/>
      <c r="PMJ58" s="0"/>
      <c r="PMK58" s="0"/>
      <c r="PML58" s="0"/>
      <c r="PMM58" s="0"/>
      <c r="PMN58" s="0"/>
      <c r="PMO58" s="0"/>
      <c r="PMP58" s="0"/>
      <c r="PMQ58" s="0"/>
      <c r="PMR58" s="0"/>
      <c r="PMS58" s="0"/>
      <c r="PMT58" s="0"/>
      <c r="PMU58" s="0"/>
      <c r="PMV58" s="0"/>
      <c r="PMW58" s="0"/>
      <c r="PMX58" s="0"/>
      <c r="PMY58" s="0"/>
      <c r="PMZ58" s="0"/>
      <c r="PNA58" s="0"/>
      <c r="PNB58" s="0"/>
      <c r="PNC58" s="0"/>
      <c r="PND58" s="0"/>
      <c r="PNE58" s="0"/>
      <c r="PNF58" s="0"/>
      <c r="PNG58" s="0"/>
      <c r="PNH58" s="0"/>
      <c r="PNI58" s="0"/>
      <c r="PNJ58" s="0"/>
      <c r="PNK58" s="0"/>
      <c r="PNL58" s="0"/>
      <c r="PNM58" s="0"/>
      <c r="PNN58" s="0"/>
      <c r="PNO58" s="0"/>
      <c r="PNP58" s="0"/>
      <c r="PNQ58" s="0"/>
      <c r="PNR58" s="0"/>
      <c r="PNS58" s="0"/>
      <c r="PNT58" s="0"/>
      <c r="PNU58" s="0"/>
      <c r="PNV58" s="0"/>
      <c r="PNW58" s="0"/>
      <c r="PNX58" s="0"/>
      <c r="PNY58" s="0"/>
      <c r="PNZ58" s="0"/>
      <c r="POA58" s="0"/>
      <c r="POB58" s="0"/>
      <c r="POC58" s="0"/>
      <c r="POD58" s="0"/>
      <c r="POE58" s="0"/>
      <c r="POF58" s="0"/>
      <c r="POG58" s="0"/>
      <c r="POH58" s="0"/>
      <c r="POI58" s="0"/>
      <c r="POJ58" s="0"/>
      <c r="POK58" s="0"/>
      <c r="POL58" s="0"/>
      <c r="POM58" s="0"/>
      <c r="PON58" s="0"/>
      <c r="POO58" s="0"/>
      <c r="POP58" s="0"/>
      <c r="POQ58" s="0"/>
      <c r="POR58" s="0"/>
      <c r="POS58" s="0"/>
      <c r="POT58" s="0"/>
      <c r="POU58" s="0"/>
      <c r="POV58" s="0"/>
      <c r="POW58" s="0"/>
      <c r="POX58" s="0"/>
      <c r="POY58" s="0"/>
      <c r="POZ58" s="0"/>
      <c r="PPA58" s="0"/>
      <c r="PPB58" s="0"/>
      <c r="PPC58" s="0"/>
      <c r="PPD58" s="0"/>
      <c r="PPE58" s="0"/>
      <c r="PPF58" s="0"/>
      <c r="PPG58" s="0"/>
      <c r="PPH58" s="0"/>
      <c r="PPI58" s="0"/>
      <c r="PPJ58" s="0"/>
      <c r="PPK58" s="0"/>
      <c r="PPL58" s="0"/>
      <c r="PPM58" s="0"/>
      <c r="PPN58" s="0"/>
      <c r="PPO58" s="0"/>
      <c r="PPP58" s="0"/>
      <c r="PPQ58" s="0"/>
      <c r="PPR58" s="0"/>
      <c r="PPS58" s="0"/>
      <c r="PPT58" s="0"/>
      <c r="PPU58" s="0"/>
      <c r="PPV58" s="0"/>
      <c r="PPW58" s="0"/>
      <c r="PPX58" s="0"/>
      <c r="PPY58" s="0"/>
      <c r="PPZ58" s="0"/>
      <c r="PQA58" s="0"/>
      <c r="PQB58" s="0"/>
      <c r="PQC58" s="0"/>
      <c r="PQD58" s="0"/>
      <c r="PQE58" s="0"/>
      <c r="PQF58" s="0"/>
      <c r="PQG58" s="0"/>
      <c r="PQH58" s="0"/>
      <c r="PQI58" s="0"/>
      <c r="PQJ58" s="0"/>
      <c r="PQK58" s="0"/>
      <c r="PQL58" s="0"/>
      <c r="PQM58" s="0"/>
      <c r="PQN58" s="0"/>
      <c r="PQO58" s="0"/>
      <c r="PQP58" s="0"/>
      <c r="PQQ58" s="0"/>
      <c r="PQR58" s="0"/>
      <c r="PQS58" s="0"/>
      <c r="PQT58" s="0"/>
      <c r="PQU58" s="0"/>
      <c r="PQV58" s="0"/>
      <c r="PQW58" s="0"/>
      <c r="PQX58" s="0"/>
      <c r="PQY58" s="0"/>
      <c r="PQZ58" s="0"/>
      <c r="PRA58" s="0"/>
      <c r="PRB58" s="0"/>
      <c r="PRC58" s="0"/>
      <c r="PRD58" s="0"/>
      <c r="PRE58" s="0"/>
      <c r="PRF58" s="0"/>
      <c r="PRG58" s="0"/>
      <c r="PRH58" s="0"/>
      <c r="PRI58" s="0"/>
      <c r="PRJ58" s="0"/>
      <c r="PRK58" s="0"/>
      <c r="PRL58" s="0"/>
      <c r="PRM58" s="0"/>
      <c r="PRN58" s="0"/>
      <c r="PRO58" s="0"/>
      <c r="PRP58" s="0"/>
      <c r="PRQ58" s="0"/>
      <c r="PRR58" s="0"/>
      <c r="PRS58" s="0"/>
      <c r="PRT58" s="0"/>
      <c r="PRU58" s="0"/>
      <c r="PRV58" s="0"/>
      <c r="PRW58" s="0"/>
      <c r="PRX58" s="0"/>
      <c r="PRY58" s="0"/>
      <c r="PRZ58" s="0"/>
      <c r="PSA58" s="0"/>
      <c r="PSB58" s="0"/>
      <c r="PSC58" s="0"/>
      <c r="PSD58" s="0"/>
      <c r="PSE58" s="0"/>
      <c r="PSF58" s="0"/>
      <c r="PSG58" s="0"/>
      <c r="PSH58" s="0"/>
      <c r="PSI58" s="0"/>
      <c r="PSJ58" s="0"/>
      <c r="PSK58" s="0"/>
      <c r="PSL58" s="0"/>
      <c r="PSM58" s="0"/>
      <c r="PSN58" s="0"/>
      <c r="PSO58" s="0"/>
      <c r="PSP58" s="0"/>
      <c r="PSQ58" s="0"/>
      <c r="PSR58" s="0"/>
      <c r="PSS58" s="0"/>
      <c r="PST58" s="0"/>
      <c r="PSU58" s="0"/>
      <c r="PSV58" s="0"/>
      <c r="PSW58" s="0"/>
      <c r="PSX58" s="0"/>
      <c r="PSY58" s="0"/>
      <c r="PSZ58" s="0"/>
      <c r="PTA58" s="0"/>
      <c r="PTB58" s="0"/>
      <c r="PTC58" s="0"/>
      <c r="PTD58" s="0"/>
      <c r="PTE58" s="0"/>
      <c r="PTF58" s="0"/>
      <c r="PTG58" s="0"/>
      <c r="PTH58" s="0"/>
      <c r="PTI58" s="0"/>
      <c r="PTJ58" s="0"/>
      <c r="PTK58" s="0"/>
      <c r="PTL58" s="0"/>
      <c r="PTM58" s="0"/>
      <c r="PTN58" s="0"/>
      <c r="PTO58" s="0"/>
      <c r="PTP58" s="0"/>
      <c r="PTQ58" s="0"/>
      <c r="PTR58" s="0"/>
      <c r="PTS58" s="0"/>
      <c r="PTT58" s="0"/>
      <c r="PTU58" s="0"/>
      <c r="PTV58" s="0"/>
      <c r="PTW58" s="0"/>
      <c r="PTX58" s="0"/>
      <c r="PTY58" s="0"/>
      <c r="PTZ58" s="0"/>
      <c r="PUA58" s="0"/>
      <c r="PUB58" s="0"/>
      <c r="PUC58" s="0"/>
      <c r="PUD58" s="0"/>
      <c r="PUE58" s="0"/>
      <c r="PUF58" s="0"/>
      <c r="PUG58" s="0"/>
      <c r="PUH58" s="0"/>
      <c r="PUI58" s="0"/>
      <c r="PUJ58" s="0"/>
      <c r="PUK58" s="0"/>
      <c r="PUL58" s="0"/>
      <c r="PUM58" s="0"/>
      <c r="PUN58" s="0"/>
      <c r="PUO58" s="0"/>
      <c r="PUP58" s="0"/>
      <c r="PUQ58" s="0"/>
      <c r="PUR58" s="0"/>
      <c r="PUS58" s="0"/>
      <c r="PUT58" s="0"/>
      <c r="PUU58" s="0"/>
      <c r="PUV58" s="0"/>
      <c r="PUW58" s="0"/>
      <c r="PUX58" s="0"/>
      <c r="PUY58" s="0"/>
      <c r="PUZ58" s="0"/>
      <c r="PVA58" s="0"/>
      <c r="PVB58" s="0"/>
      <c r="PVC58" s="0"/>
      <c r="PVD58" s="0"/>
      <c r="PVE58" s="0"/>
      <c r="PVF58" s="0"/>
      <c r="PVG58" s="0"/>
      <c r="PVH58" s="0"/>
      <c r="PVI58" s="0"/>
      <c r="PVJ58" s="0"/>
      <c r="PVK58" s="0"/>
      <c r="PVL58" s="0"/>
      <c r="PVM58" s="0"/>
      <c r="PVN58" s="0"/>
      <c r="PVO58" s="0"/>
      <c r="PVP58" s="0"/>
      <c r="PVQ58" s="0"/>
      <c r="PVR58" s="0"/>
      <c r="PVS58" s="0"/>
      <c r="PVT58" s="0"/>
      <c r="PVU58" s="0"/>
      <c r="PVV58" s="0"/>
      <c r="PVW58" s="0"/>
      <c r="PVX58" s="0"/>
      <c r="PVY58" s="0"/>
      <c r="PVZ58" s="0"/>
      <c r="PWA58" s="0"/>
      <c r="PWB58" s="0"/>
      <c r="PWC58" s="0"/>
      <c r="PWD58" s="0"/>
      <c r="PWE58" s="0"/>
      <c r="PWF58" s="0"/>
      <c r="PWG58" s="0"/>
      <c r="PWH58" s="0"/>
      <c r="PWI58" s="0"/>
      <c r="PWJ58" s="0"/>
      <c r="PWK58" s="0"/>
      <c r="PWL58" s="0"/>
      <c r="PWM58" s="0"/>
      <c r="PWN58" s="0"/>
      <c r="PWO58" s="0"/>
      <c r="PWP58" s="0"/>
      <c r="PWQ58" s="0"/>
      <c r="PWR58" s="0"/>
      <c r="PWS58" s="0"/>
      <c r="PWT58" s="0"/>
      <c r="PWU58" s="0"/>
      <c r="PWV58" s="0"/>
      <c r="PWW58" s="0"/>
      <c r="PWX58" s="0"/>
      <c r="PWY58" s="0"/>
      <c r="PWZ58" s="0"/>
      <c r="PXA58" s="0"/>
      <c r="PXB58" s="0"/>
      <c r="PXC58" s="0"/>
      <c r="PXD58" s="0"/>
      <c r="PXE58" s="0"/>
      <c r="PXF58" s="0"/>
      <c r="PXG58" s="0"/>
      <c r="PXH58" s="0"/>
      <c r="PXI58" s="0"/>
      <c r="PXJ58" s="0"/>
      <c r="PXK58" s="0"/>
      <c r="PXL58" s="0"/>
      <c r="PXM58" s="0"/>
      <c r="PXN58" s="0"/>
      <c r="PXO58" s="0"/>
      <c r="PXP58" s="0"/>
      <c r="PXQ58" s="0"/>
      <c r="PXR58" s="0"/>
      <c r="PXS58" s="0"/>
      <c r="PXT58" s="0"/>
      <c r="PXU58" s="0"/>
      <c r="PXV58" s="0"/>
      <c r="PXW58" s="0"/>
      <c r="PXX58" s="0"/>
      <c r="PXY58" s="0"/>
      <c r="PXZ58" s="0"/>
      <c r="PYA58" s="0"/>
      <c r="PYB58" s="0"/>
      <c r="PYC58" s="0"/>
      <c r="PYD58" s="0"/>
      <c r="PYE58" s="0"/>
      <c r="PYF58" s="0"/>
      <c r="PYG58" s="0"/>
      <c r="PYH58" s="0"/>
      <c r="PYI58" s="0"/>
      <c r="PYJ58" s="0"/>
      <c r="PYK58" s="0"/>
      <c r="PYL58" s="0"/>
      <c r="PYM58" s="0"/>
      <c r="PYN58" s="0"/>
      <c r="PYO58" s="0"/>
      <c r="PYP58" s="0"/>
      <c r="PYQ58" s="0"/>
      <c r="PYR58" s="0"/>
      <c r="PYS58" s="0"/>
      <c r="PYT58" s="0"/>
      <c r="PYU58" s="0"/>
      <c r="PYV58" s="0"/>
      <c r="PYW58" s="0"/>
      <c r="PYX58" s="0"/>
      <c r="PYY58" s="0"/>
      <c r="PYZ58" s="0"/>
      <c r="PZA58" s="0"/>
      <c r="PZB58" s="0"/>
      <c r="PZC58" s="0"/>
      <c r="PZD58" s="0"/>
      <c r="PZE58" s="0"/>
      <c r="PZF58" s="0"/>
      <c r="PZG58" s="0"/>
      <c r="PZH58" s="0"/>
      <c r="PZI58" s="0"/>
      <c r="PZJ58" s="0"/>
      <c r="PZK58" s="0"/>
      <c r="PZL58" s="0"/>
      <c r="PZM58" s="0"/>
      <c r="PZN58" s="0"/>
      <c r="PZO58" s="0"/>
      <c r="PZP58" s="0"/>
      <c r="PZQ58" s="0"/>
      <c r="PZR58" s="0"/>
      <c r="PZS58" s="0"/>
      <c r="PZT58" s="0"/>
      <c r="PZU58" s="0"/>
      <c r="PZV58" s="0"/>
      <c r="PZW58" s="0"/>
      <c r="PZX58" s="0"/>
      <c r="PZY58" s="0"/>
      <c r="PZZ58" s="0"/>
      <c r="QAA58" s="0"/>
      <c r="QAB58" s="0"/>
      <c r="QAC58" s="0"/>
      <c r="QAD58" s="0"/>
      <c r="QAE58" s="0"/>
      <c r="QAF58" s="0"/>
      <c r="QAG58" s="0"/>
      <c r="QAH58" s="0"/>
      <c r="QAI58" s="0"/>
      <c r="QAJ58" s="0"/>
      <c r="QAK58" s="0"/>
      <c r="QAL58" s="0"/>
      <c r="QAM58" s="0"/>
      <c r="QAN58" s="0"/>
      <c r="QAO58" s="0"/>
      <c r="QAP58" s="0"/>
      <c r="QAQ58" s="0"/>
      <c r="QAR58" s="0"/>
      <c r="QAS58" s="0"/>
      <c r="QAT58" s="0"/>
      <c r="QAU58" s="0"/>
      <c r="QAV58" s="0"/>
      <c r="QAW58" s="0"/>
      <c r="QAX58" s="0"/>
      <c r="QAY58" s="0"/>
      <c r="QAZ58" s="0"/>
      <c r="QBA58" s="0"/>
      <c r="QBB58" s="0"/>
      <c r="QBC58" s="0"/>
      <c r="QBD58" s="0"/>
      <c r="QBE58" s="0"/>
      <c r="QBF58" s="0"/>
      <c r="QBG58" s="0"/>
      <c r="QBH58" s="0"/>
      <c r="QBI58" s="0"/>
      <c r="QBJ58" s="0"/>
      <c r="QBK58" s="0"/>
      <c r="QBL58" s="0"/>
      <c r="QBM58" s="0"/>
      <c r="QBN58" s="0"/>
      <c r="QBO58" s="0"/>
      <c r="QBP58" s="0"/>
      <c r="QBQ58" s="0"/>
      <c r="QBR58" s="0"/>
      <c r="QBS58" s="0"/>
      <c r="QBT58" s="0"/>
      <c r="QBU58" s="0"/>
      <c r="QBV58" s="0"/>
      <c r="QBW58" s="0"/>
      <c r="QBX58" s="0"/>
      <c r="QBY58" s="0"/>
      <c r="QBZ58" s="0"/>
      <c r="QCA58" s="0"/>
      <c r="QCB58" s="0"/>
      <c r="QCC58" s="0"/>
      <c r="QCD58" s="0"/>
      <c r="QCE58" s="0"/>
      <c r="QCF58" s="0"/>
      <c r="QCG58" s="0"/>
      <c r="QCH58" s="0"/>
      <c r="QCI58" s="0"/>
      <c r="QCJ58" s="0"/>
      <c r="QCK58" s="0"/>
      <c r="QCL58" s="0"/>
      <c r="QCM58" s="0"/>
      <c r="QCN58" s="0"/>
      <c r="QCO58" s="0"/>
      <c r="QCP58" s="0"/>
      <c r="QCQ58" s="0"/>
      <c r="QCR58" s="0"/>
      <c r="QCS58" s="0"/>
      <c r="QCT58" s="0"/>
      <c r="QCU58" s="0"/>
      <c r="QCV58" s="0"/>
      <c r="QCW58" s="0"/>
      <c r="QCX58" s="0"/>
      <c r="QCY58" s="0"/>
      <c r="QCZ58" s="0"/>
      <c r="QDA58" s="0"/>
      <c r="QDB58" s="0"/>
      <c r="QDC58" s="0"/>
      <c r="QDD58" s="0"/>
      <c r="QDE58" s="0"/>
      <c r="QDF58" s="0"/>
      <c r="QDG58" s="0"/>
      <c r="QDH58" s="0"/>
      <c r="QDI58" s="0"/>
      <c r="QDJ58" s="0"/>
      <c r="QDK58" s="0"/>
      <c r="QDL58" s="0"/>
      <c r="QDM58" s="0"/>
      <c r="QDN58" s="0"/>
      <c r="QDO58" s="0"/>
      <c r="QDP58" s="0"/>
      <c r="QDQ58" s="0"/>
      <c r="QDR58" s="0"/>
      <c r="QDS58" s="0"/>
      <c r="QDT58" s="0"/>
      <c r="QDU58" s="0"/>
      <c r="QDV58" s="0"/>
      <c r="QDW58" s="0"/>
      <c r="QDX58" s="0"/>
      <c r="QDY58" s="0"/>
      <c r="QDZ58" s="0"/>
      <c r="QEA58" s="0"/>
      <c r="QEB58" s="0"/>
      <c r="QEC58" s="0"/>
      <c r="QED58" s="0"/>
      <c r="QEE58" s="0"/>
      <c r="QEF58" s="0"/>
      <c r="QEG58" s="0"/>
      <c r="QEH58" s="0"/>
      <c r="QEI58" s="0"/>
      <c r="QEJ58" s="0"/>
      <c r="QEK58" s="0"/>
      <c r="QEL58" s="0"/>
      <c r="QEM58" s="0"/>
      <c r="QEN58" s="0"/>
      <c r="QEO58" s="0"/>
      <c r="QEP58" s="0"/>
      <c r="QEQ58" s="0"/>
      <c r="QER58" s="0"/>
      <c r="QES58" s="0"/>
      <c r="QET58" s="0"/>
      <c r="QEU58" s="0"/>
      <c r="QEV58" s="0"/>
      <c r="QEW58" s="0"/>
      <c r="QEX58" s="0"/>
      <c r="QEY58" s="0"/>
      <c r="QEZ58" s="0"/>
      <c r="QFA58" s="0"/>
      <c r="QFB58" s="0"/>
      <c r="QFC58" s="0"/>
      <c r="QFD58" s="0"/>
      <c r="QFE58" s="0"/>
      <c r="QFF58" s="0"/>
      <c r="QFG58" s="0"/>
      <c r="QFH58" s="0"/>
      <c r="QFI58" s="0"/>
      <c r="QFJ58" s="0"/>
      <c r="QFK58" s="0"/>
      <c r="QFL58" s="0"/>
      <c r="QFM58" s="0"/>
      <c r="QFN58" s="0"/>
      <c r="QFO58" s="0"/>
      <c r="QFP58" s="0"/>
      <c r="QFQ58" s="0"/>
      <c r="QFR58" s="0"/>
      <c r="QFS58" s="0"/>
      <c r="QFT58" s="0"/>
      <c r="QFU58" s="0"/>
      <c r="QFV58" s="0"/>
      <c r="QFW58" s="0"/>
      <c r="QFX58" s="0"/>
      <c r="QFY58" s="0"/>
      <c r="QFZ58" s="0"/>
      <c r="QGA58" s="0"/>
      <c r="QGB58" s="0"/>
      <c r="QGC58" s="0"/>
      <c r="QGD58" s="0"/>
      <c r="QGE58" s="0"/>
      <c r="QGF58" s="0"/>
      <c r="QGG58" s="0"/>
      <c r="QGH58" s="0"/>
      <c r="QGI58" s="0"/>
      <c r="QGJ58" s="0"/>
      <c r="QGK58" s="0"/>
      <c r="QGL58" s="0"/>
      <c r="QGM58" s="0"/>
      <c r="QGN58" s="0"/>
      <c r="QGO58" s="0"/>
      <c r="QGP58" s="0"/>
      <c r="QGQ58" s="0"/>
      <c r="QGR58" s="0"/>
      <c r="QGS58" s="0"/>
      <c r="QGT58" s="0"/>
      <c r="QGU58" s="0"/>
      <c r="QGV58" s="0"/>
      <c r="QGW58" s="0"/>
      <c r="QGX58" s="0"/>
      <c r="QGY58" s="0"/>
      <c r="QGZ58" s="0"/>
      <c r="QHA58" s="0"/>
      <c r="QHB58" s="0"/>
      <c r="QHC58" s="0"/>
      <c r="QHD58" s="0"/>
      <c r="QHE58" s="0"/>
      <c r="QHF58" s="0"/>
      <c r="QHG58" s="0"/>
      <c r="QHH58" s="0"/>
      <c r="QHI58" s="0"/>
      <c r="QHJ58" s="0"/>
      <c r="QHK58" s="0"/>
      <c r="QHL58" s="0"/>
      <c r="QHM58" s="0"/>
      <c r="QHN58" s="0"/>
      <c r="QHO58" s="0"/>
      <c r="QHP58" s="0"/>
      <c r="QHQ58" s="0"/>
      <c r="QHR58" s="0"/>
      <c r="QHS58" s="0"/>
      <c r="QHT58" s="0"/>
      <c r="QHU58" s="0"/>
      <c r="QHV58" s="0"/>
      <c r="QHW58" s="0"/>
      <c r="QHX58" s="0"/>
      <c r="QHY58" s="0"/>
      <c r="QHZ58" s="0"/>
      <c r="QIA58" s="0"/>
      <c r="QIB58" s="0"/>
      <c r="QIC58" s="0"/>
      <c r="QID58" s="0"/>
      <c r="QIE58" s="0"/>
      <c r="QIF58" s="0"/>
      <c r="QIG58" s="0"/>
      <c r="QIH58" s="0"/>
      <c r="QII58" s="0"/>
      <c r="QIJ58" s="0"/>
      <c r="QIK58" s="0"/>
      <c r="QIL58" s="0"/>
      <c r="QIM58" s="0"/>
      <c r="QIN58" s="0"/>
      <c r="QIO58" s="0"/>
      <c r="QIP58" s="0"/>
      <c r="QIQ58" s="0"/>
      <c r="QIR58" s="0"/>
      <c r="QIS58" s="0"/>
      <c r="QIT58" s="0"/>
      <c r="QIU58" s="0"/>
      <c r="QIV58" s="0"/>
      <c r="QIW58" s="0"/>
      <c r="QIX58" s="0"/>
      <c r="QIY58" s="0"/>
      <c r="QIZ58" s="0"/>
      <c r="QJA58" s="0"/>
      <c r="QJB58" s="0"/>
      <c r="QJC58" s="0"/>
      <c r="QJD58" s="0"/>
      <c r="QJE58" s="0"/>
      <c r="QJF58" s="0"/>
      <c r="QJG58" s="0"/>
      <c r="QJH58" s="0"/>
      <c r="QJI58" s="0"/>
      <c r="QJJ58" s="0"/>
      <c r="QJK58" s="0"/>
      <c r="QJL58" s="0"/>
      <c r="QJM58" s="0"/>
      <c r="QJN58" s="0"/>
      <c r="QJO58" s="0"/>
      <c r="QJP58" s="0"/>
      <c r="QJQ58" s="0"/>
      <c r="QJR58" s="0"/>
      <c r="QJS58" s="0"/>
      <c r="QJT58" s="0"/>
      <c r="QJU58" s="0"/>
      <c r="QJV58" s="0"/>
      <c r="QJW58" s="0"/>
      <c r="QJX58" s="0"/>
      <c r="QJY58" s="0"/>
      <c r="QJZ58" s="0"/>
      <c r="QKA58" s="0"/>
      <c r="QKB58" s="0"/>
      <c r="QKC58" s="0"/>
      <c r="QKD58" s="0"/>
      <c r="QKE58" s="0"/>
      <c r="QKF58" s="0"/>
      <c r="QKG58" s="0"/>
      <c r="QKH58" s="0"/>
      <c r="QKI58" s="0"/>
      <c r="QKJ58" s="0"/>
      <c r="QKK58" s="0"/>
      <c r="QKL58" s="0"/>
      <c r="QKM58" s="0"/>
      <c r="QKN58" s="0"/>
      <c r="QKO58" s="0"/>
      <c r="QKP58" s="0"/>
      <c r="QKQ58" s="0"/>
      <c r="QKR58" s="0"/>
      <c r="QKS58" s="0"/>
      <c r="QKT58" s="0"/>
      <c r="QKU58" s="0"/>
      <c r="QKV58" s="0"/>
      <c r="QKW58" s="0"/>
      <c r="QKX58" s="0"/>
      <c r="QKY58" s="0"/>
      <c r="QKZ58" s="0"/>
      <c r="QLA58" s="0"/>
      <c r="QLB58" s="0"/>
      <c r="QLC58" s="0"/>
      <c r="QLD58" s="0"/>
      <c r="QLE58" s="0"/>
      <c r="QLF58" s="0"/>
      <c r="QLG58" s="0"/>
      <c r="QLH58" s="0"/>
      <c r="QLI58" s="0"/>
      <c r="QLJ58" s="0"/>
      <c r="QLK58" s="0"/>
      <c r="QLL58" s="0"/>
      <c r="QLM58" s="0"/>
      <c r="QLN58" s="0"/>
      <c r="QLO58" s="0"/>
      <c r="QLP58" s="0"/>
      <c r="QLQ58" s="0"/>
      <c r="QLR58" s="0"/>
      <c r="QLS58" s="0"/>
      <c r="QLT58" s="0"/>
      <c r="QLU58" s="0"/>
      <c r="QLV58" s="0"/>
      <c r="QLW58" s="0"/>
      <c r="QLX58" s="0"/>
      <c r="QLY58" s="0"/>
      <c r="QLZ58" s="0"/>
      <c r="QMA58" s="0"/>
      <c r="QMB58" s="0"/>
      <c r="QMC58" s="0"/>
      <c r="QMD58" s="0"/>
      <c r="QME58" s="0"/>
      <c r="QMF58" s="0"/>
      <c r="QMG58" s="0"/>
      <c r="QMH58" s="0"/>
      <c r="QMI58" s="0"/>
      <c r="QMJ58" s="0"/>
      <c r="QMK58" s="0"/>
      <c r="QML58" s="0"/>
      <c r="QMM58" s="0"/>
      <c r="QMN58" s="0"/>
      <c r="QMO58" s="0"/>
      <c r="QMP58" s="0"/>
      <c r="QMQ58" s="0"/>
      <c r="QMR58" s="0"/>
      <c r="QMS58" s="0"/>
      <c r="QMT58" s="0"/>
      <c r="QMU58" s="0"/>
      <c r="QMV58" s="0"/>
      <c r="QMW58" s="0"/>
      <c r="QMX58" s="0"/>
      <c r="QMY58" s="0"/>
      <c r="QMZ58" s="0"/>
      <c r="QNA58" s="0"/>
      <c r="QNB58" s="0"/>
      <c r="QNC58" s="0"/>
      <c r="QND58" s="0"/>
      <c r="QNE58" s="0"/>
      <c r="QNF58" s="0"/>
      <c r="QNG58" s="0"/>
      <c r="QNH58" s="0"/>
      <c r="QNI58" s="0"/>
      <c r="QNJ58" s="0"/>
      <c r="QNK58" s="0"/>
      <c r="QNL58" s="0"/>
      <c r="QNM58" s="0"/>
      <c r="QNN58" s="0"/>
      <c r="QNO58" s="0"/>
      <c r="QNP58" s="0"/>
      <c r="QNQ58" s="0"/>
      <c r="QNR58" s="0"/>
      <c r="QNS58" s="0"/>
      <c r="QNT58" s="0"/>
      <c r="QNU58" s="0"/>
      <c r="QNV58" s="0"/>
      <c r="QNW58" s="0"/>
      <c r="QNX58" s="0"/>
      <c r="QNY58" s="0"/>
      <c r="QNZ58" s="0"/>
      <c r="QOA58" s="0"/>
      <c r="QOB58" s="0"/>
      <c r="QOC58" s="0"/>
      <c r="QOD58" s="0"/>
      <c r="QOE58" s="0"/>
      <c r="QOF58" s="0"/>
      <c r="QOG58" s="0"/>
      <c r="QOH58" s="0"/>
      <c r="QOI58" s="0"/>
      <c r="QOJ58" s="0"/>
      <c r="QOK58" s="0"/>
      <c r="QOL58" s="0"/>
      <c r="QOM58" s="0"/>
      <c r="QON58" s="0"/>
      <c r="QOO58" s="0"/>
      <c r="QOP58" s="0"/>
      <c r="QOQ58" s="0"/>
      <c r="QOR58" s="0"/>
      <c r="QOS58" s="0"/>
      <c r="QOT58" s="0"/>
      <c r="QOU58" s="0"/>
      <c r="QOV58" s="0"/>
      <c r="QOW58" s="0"/>
      <c r="QOX58" s="0"/>
      <c r="QOY58" s="0"/>
      <c r="QOZ58" s="0"/>
      <c r="QPA58" s="0"/>
      <c r="QPB58" s="0"/>
      <c r="QPC58" s="0"/>
      <c r="QPD58" s="0"/>
      <c r="QPE58" s="0"/>
      <c r="QPF58" s="0"/>
      <c r="QPG58" s="0"/>
      <c r="QPH58" s="0"/>
      <c r="QPI58" s="0"/>
      <c r="QPJ58" s="0"/>
      <c r="QPK58" s="0"/>
      <c r="QPL58" s="0"/>
      <c r="QPM58" s="0"/>
      <c r="QPN58" s="0"/>
      <c r="QPO58" s="0"/>
      <c r="QPP58" s="0"/>
      <c r="QPQ58" s="0"/>
      <c r="QPR58" s="0"/>
      <c r="QPS58" s="0"/>
      <c r="QPT58" s="0"/>
      <c r="QPU58" s="0"/>
      <c r="QPV58" s="0"/>
      <c r="QPW58" s="0"/>
      <c r="QPX58" s="0"/>
      <c r="QPY58" s="0"/>
      <c r="QPZ58" s="0"/>
      <c r="QQA58" s="0"/>
      <c r="QQB58" s="0"/>
      <c r="QQC58" s="0"/>
      <c r="QQD58" s="0"/>
      <c r="QQE58" s="0"/>
      <c r="QQF58" s="0"/>
      <c r="QQG58" s="0"/>
      <c r="QQH58" s="0"/>
      <c r="QQI58" s="0"/>
      <c r="QQJ58" s="0"/>
      <c r="QQK58" s="0"/>
      <c r="QQL58" s="0"/>
      <c r="QQM58" s="0"/>
      <c r="QQN58" s="0"/>
      <c r="QQO58" s="0"/>
      <c r="QQP58" s="0"/>
      <c r="QQQ58" s="0"/>
      <c r="QQR58" s="0"/>
      <c r="QQS58" s="0"/>
      <c r="QQT58" s="0"/>
      <c r="QQU58" s="0"/>
      <c r="QQV58" s="0"/>
      <c r="QQW58" s="0"/>
      <c r="QQX58" s="0"/>
      <c r="QQY58" s="0"/>
      <c r="QQZ58" s="0"/>
      <c r="QRA58" s="0"/>
      <c r="QRB58" s="0"/>
      <c r="QRC58" s="0"/>
      <c r="QRD58" s="0"/>
      <c r="QRE58" s="0"/>
      <c r="QRF58" s="0"/>
      <c r="QRG58" s="0"/>
      <c r="QRH58" s="0"/>
      <c r="QRI58" s="0"/>
      <c r="QRJ58" s="0"/>
      <c r="QRK58" s="0"/>
      <c r="QRL58" s="0"/>
      <c r="QRM58" s="0"/>
      <c r="QRN58" s="0"/>
      <c r="QRO58" s="0"/>
      <c r="QRP58" s="0"/>
      <c r="QRQ58" s="0"/>
      <c r="QRR58" s="0"/>
      <c r="QRS58" s="0"/>
      <c r="QRT58" s="0"/>
      <c r="QRU58" s="0"/>
      <c r="QRV58" s="0"/>
      <c r="QRW58" s="0"/>
      <c r="QRX58" s="0"/>
      <c r="QRY58" s="0"/>
      <c r="QRZ58" s="0"/>
      <c r="QSA58" s="0"/>
      <c r="QSB58" s="0"/>
      <c r="QSC58" s="0"/>
      <c r="QSD58" s="0"/>
      <c r="QSE58" s="0"/>
      <c r="QSF58" s="0"/>
      <c r="QSG58" s="0"/>
      <c r="QSH58" s="0"/>
      <c r="QSI58" s="0"/>
      <c r="QSJ58" s="0"/>
      <c r="QSK58" s="0"/>
      <c r="QSL58" s="0"/>
      <c r="QSM58" s="0"/>
      <c r="QSN58" s="0"/>
      <c r="QSO58" s="0"/>
      <c r="QSP58" s="0"/>
      <c r="QSQ58" s="0"/>
      <c r="QSR58" s="0"/>
      <c r="QSS58" s="0"/>
      <c r="QST58" s="0"/>
      <c r="QSU58" s="0"/>
      <c r="QSV58" s="0"/>
      <c r="QSW58" s="0"/>
      <c r="QSX58" s="0"/>
      <c r="QSY58" s="0"/>
      <c r="QSZ58" s="0"/>
      <c r="QTA58" s="0"/>
      <c r="QTB58" s="0"/>
      <c r="QTC58" s="0"/>
      <c r="QTD58" s="0"/>
      <c r="QTE58" s="0"/>
      <c r="QTF58" s="0"/>
      <c r="QTG58" s="0"/>
      <c r="QTH58" s="0"/>
      <c r="QTI58" s="0"/>
      <c r="QTJ58" s="0"/>
      <c r="QTK58" s="0"/>
      <c r="QTL58" s="0"/>
      <c r="QTM58" s="0"/>
      <c r="QTN58" s="0"/>
      <c r="QTO58" s="0"/>
      <c r="QTP58" s="0"/>
      <c r="QTQ58" s="0"/>
      <c r="QTR58" s="0"/>
      <c r="QTS58" s="0"/>
      <c r="QTT58" s="0"/>
      <c r="QTU58" s="0"/>
      <c r="QTV58" s="0"/>
      <c r="QTW58" s="0"/>
      <c r="QTX58" s="0"/>
      <c r="QTY58" s="0"/>
      <c r="QTZ58" s="0"/>
      <c r="QUA58" s="0"/>
      <c r="QUB58" s="0"/>
      <c r="QUC58" s="0"/>
      <c r="QUD58" s="0"/>
      <c r="QUE58" s="0"/>
      <c r="QUF58" s="0"/>
      <c r="QUG58" s="0"/>
      <c r="QUH58" s="0"/>
      <c r="QUI58" s="0"/>
      <c r="QUJ58" s="0"/>
      <c r="QUK58" s="0"/>
      <c r="QUL58" s="0"/>
      <c r="QUM58" s="0"/>
      <c r="QUN58" s="0"/>
      <c r="QUO58" s="0"/>
      <c r="QUP58" s="0"/>
      <c r="QUQ58" s="0"/>
      <c r="QUR58" s="0"/>
      <c r="QUS58" s="0"/>
      <c r="QUT58" s="0"/>
      <c r="QUU58" s="0"/>
      <c r="QUV58" s="0"/>
      <c r="QUW58" s="0"/>
      <c r="QUX58" s="0"/>
      <c r="QUY58" s="0"/>
      <c r="QUZ58" s="0"/>
      <c r="QVA58" s="0"/>
      <c r="QVB58" s="0"/>
      <c r="QVC58" s="0"/>
      <c r="QVD58" s="0"/>
      <c r="QVE58" s="0"/>
      <c r="QVF58" s="0"/>
      <c r="QVG58" s="0"/>
      <c r="QVH58" s="0"/>
      <c r="QVI58" s="0"/>
      <c r="QVJ58" s="0"/>
      <c r="QVK58" s="0"/>
      <c r="QVL58" s="0"/>
      <c r="QVM58" s="0"/>
      <c r="QVN58" s="0"/>
      <c r="QVO58" s="0"/>
      <c r="QVP58" s="0"/>
      <c r="QVQ58" s="0"/>
      <c r="QVR58" s="0"/>
      <c r="QVS58" s="0"/>
      <c r="QVT58" s="0"/>
      <c r="QVU58" s="0"/>
      <c r="QVV58" s="0"/>
      <c r="QVW58" s="0"/>
      <c r="QVX58" s="0"/>
      <c r="QVY58" s="0"/>
      <c r="QVZ58" s="0"/>
      <c r="QWA58" s="0"/>
      <c r="QWB58" s="0"/>
      <c r="QWC58" s="0"/>
      <c r="QWD58" s="0"/>
      <c r="QWE58" s="0"/>
      <c r="QWF58" s="0"/>
      <c r="QWG58" s="0"/>
      <c r="QWH58" s="0"/>
      <c r="QWI58" s="0"/>
      <c r="QWJ58" s="0"/>
      <c r="QWK58" s="0"/>
      <c r="QWL58" s="0"/>
      <c r="QWM58" s="0"/>
      <c r="QWN58" s="0"/>
      <c r="QWO58" s="0"/>
      <c r="QWP58" s="0"/>
      <c r="QWQ58" s="0"/>
      <c r="QWR58" s="0"/>
      <c r="QWS58" s="0"/>
      <c r="QWT58" s="0"/>
      <c r="QWU58" s="0"/>
      <c r="QWV58" s="0"/>
      <c r="QWW58" s="0"/>
      <c r="QWX58" s="0"/>
      <c r="QWY58" s="0"/>
      <c r="QWZ58" s="0"/>
      <c r="QXA58" s="0"/>
      <c r="QXB58" s="0"/>
      <c r="QXC58" s="0"/>
      <c r="QXD58" s="0"/>
      <c r="QXE58" s="0"/>
      <c r="QXF58" s="0"/>
      <c r="QXG58" s="0"/>
      <c r="QXH58" s="0"/>
      <c r="QXI58" s="0"/>
      <c r="QXJ58" s="0"/>
      <c r="QXK58" s="0"/>
      <c r="QXL58" s="0"/>
      <c r="QXM58" s="0"/>
      <c r="QXN58" s="0"/>
      <c r="QXO58" s="0"/>
      <c r="QXP58" s="0"/>
      <c r="QXQ58" s="0"/>
      <c r="QXR58" s="0"/>
      <c r="QXS58" s="0"/>
      <c r="QXT58" s="0"/>
      <c r="QXU58" s="0"/>
      <c r="QXV58" s="0"/>
      <c r="QXW58" s="0"/>
      <c r="QXX58" s="0"/>
      <c r="QXY58" s="0"/>
      <c r="QXZ58" s="0"/>
      <c r="QYA58" s="0"/>
      <c r="QYB58" s="0"/>
      <c r="QYC58" s="0"/>
      <c r="QYD58" s="0"/>
      <c r="QYE58" s="0"/>
      <c r="QYF58" s="0"/>
      <c r="QYG58" s="0"/>
      <c r="QYH58" s="0"/>
      <c r="QYI58" s="0"/>
      <c r="QYJ58" s="0"/>
      <c r="QYK58" s="0"/>
      <c r="QYL58" s="0"/>
      <c r="QYM58" s="0"/>
      <c r="QYN58" s="0"/>
      <c r="QYO58" s="0"/>
      <c r="QYP58" s="0"/>
      <c r="QYQ58" s="0"/>
      <c r="QYR58" s="0"/>
      <c r="QYS58" s="0"/>
      <c r="QYT58" s="0"/>
      <c r="QYU58" s="0"/>
      <c r="QYV58" s="0"/>
      <c r="QYW58" s="0"/>
      <c r="QYX58" s="0"/>
      <c r="QYY58" s="0"/>
      <c r="QYZ58" s="0"/>
      <c r="QZA58" s="0"/>
      <c r="QZB58" s="0"/>
      <c r="QZC58" s="0"/>
      <c r="QZD58" s="0"/>
      <c r="QZE58" s="0"/>
      <c r="QZF58" s="0"/>
      <c r="QZG58" s="0"/>
      <c r="QZH58" s="0"/>
      <c r="QZI58" s="0"/>
      <c r="QZJ58" s="0"/>
      <c r="QZK58" s="0"/>
      <c r="QZL58" s="0"/>
      <c r="QZM58" s="0"/>
      <c r="QZN58" s="0"/>
      <c r="QZO58" s="0"/>
      <c r="QZP58" s="0"/>
      <c r="QZQ58" s="0"/>
      <c r="QZR58" s="0"/>
      <c r="QZS58" s="0"/>
      <c r="QZT58" s="0"/>
      <c r="QZU58" s="0"/>
      <c r="QZV58" s="0"/>
      <c r="QZW58" s="0"/>
      <c r="QZX58" s="0"/>
      <c r="QZY58" s="0"/>
      <c r="QZZ58" s="0"/>
      <c r="RAA58" s="0"/>
      <c r="RAB58" s="0"/>
      <c r="RAC58" s="0"/>
      <c r="RAD58" s="0"/>
      <c r="RAE58" s="0"/>
      <c r="RAF58" s="0"/>
      <c r="RAG58" s="0"/>
      <c r="RAH58" s="0"/>
      <c r="RAI58" s="0"/>
      <c r="RAJ58" s="0"/>
      <c r="RAK58" s="0"/>
      <c r="RAL58" s="0"/>
      <c r="RAM58" s="0"/>
      <c r="RAN58" s="0"/>
      <c r="RAO58" s="0"/>
      <c r="RAP58" s="0"/>
      <c r="RAQ58" s="0"/>
      <c r="RAR58" s="0"/>
      <c r="RAS58" s="0"/>
      <c r="RAT58" s="0"/>
      <c r="RAU58" s="0"/>
      <c r="RAV58" s="0"/>
      <c r="RAW58" s="0"/>
      <c r="RAX58" s="0"/>
      <c r="RAY58" s="0"/>
      <c r="RAZ58" s="0"/>
      <c r="RBA58" s="0"/>
      <c r="RBB58" s="0"/>
      <c r="RBC58" s="0"/>
      <c r="RBD58" s="0"/>
      <c r="RBE58" s="0"/>
      <c r="RBF58" s="0"/>
      <c r="RBG58" s="0"/>
      <c r="RBH58" s="0"/>
      <c r="RBI58" s="0"/>
      <c r="RBJ58" s="0"/>
      <c r="RBK58" s="0"/>
      <c r="RBL58" s="0"/>
      <c r="RBM58" s="0"/>
      <c r="RBN58" s="0"/>
      <c r="RBO58" s="0"/>
      <c r="RBP58" s="0"/>
      <c r="RBQ58" s="0"/>
      <c r="RBR58" s="0"/>
      <c r="RBS58" s="0"/>
      <c r="RBT58" s="0"/>
      <c r="RBU58" s="0"/>
      <c r="RBV58" s="0"/>
      <c r="RBW58" s="0"/>
      <c r="RBX58" s="0"/>
      <c r="RBY58" s="0"/>
      <c r="RBZ58" s="0"/>
      <c r="RCA58" s="0"/>
      <c r="RCB58" s="0"/>
      <c r="RCC58" s="0"/>
      <c r="RCD58" s="0"/>
      <c r="RCE58" s="0"/>
      <c r="RCF58" s="0"/>
      <c r="RCG58" s="0"/>
      <c r="RCH58" s="0"/>
      <c r="RCI58" s="0"/>
      <c r="RCJ58" s="0"/>
      <c r="RCK58" s="0"/>
      <c r="RCL58" s="0"/>
      <c r="RCM58" s="0"/>
      <c r="RCN58" s="0"/>
      <c r="RCO58" s="0"/>
      <c r="RCP58" s="0"/>
      <c r="RCQ58" s="0"/>
      <c r="RCR58" s="0"/>
      <c r="RCS58" s="0"/>
      <c r="RCT58" s="0"/>
      <c r="RCU58" s="0"/>
      <c r="RCV58" s="0"/>
      <c r="RCW58" s="0"/>
      <c r="RCX58" s="0"/>
      <c r="RCY58" s="0"/>
      <c r="RCZ58" s="0"/>
      <c r="RDA58" s="0"/>
      <c r="RDB58" s="0"/>
      <c r="RDC58" s="0"/>
      <c r="RDD58" s="0"/>
      <c r="RDE58" s="0"/>
      <c r="RDF58" s="0"/>
      <c r="RDG58" s="0"/>
      <c r="RDH58" s="0"/>
      <c r="RDI58" s="0"/>
      <c r="RDJ58" s="0"/>
      <c r="RDK58" s="0"/>
      <c r="RDL58" s="0"/>
      <c r="RDM58" s="0"/>
      <c r="RDN58" s="0"/>
      <c r="RDO58" s="0"/>
      <c r="RDP58" s="0"/>
      <c r="RDQ58" s="0"/>
      <c r="RDR58" s="0"/>
      <c r="RDS58" s="0"/>
      <c r="RDT58" s="0"/>
      <c r="RDU58" s="0"/>
      <c r="RDV58" s="0"/>
      <c r="RDW58" s="0"/>
      <c r="RDX58" s="0"/>
      <c r="RDY58" s="0"/>
      <c r="RDZ58" s="0"/>
      <c r="REA58" s="0"/>
      <c r="REB58" s="0"/>
      <c r="REC58" s="0"/>
      <c r="RED58" s="0"/>
      <c r="REE58" s="0"/>
      <c r="REF58" s="0"/>
      <c r="REG58" s="0"/>
      <c r="REH58" s="0"/>
      <c r="REI58" s="0"/>
      <c r="REJ58" s="0"/>
      <c r="REK58" s="0"/>
      <c r="REL58" s="0"/>
      <c r="REM58" s="0"/>
      <c r="REN58" s="0"/>
      <c r="REO58" s="0"/>
      <c r="REP58" s="0"/>
      <c r="REQ58" s="0"/>
      <c r="RER58" s="0"/>
      <c r="RES58" s="0"/>
      <c r="RET58" s="0"/>
      <c r="REU58" s="0"/>
      <c r="REV58" s="0"/>
      <c r="REW58" s="0"/>
      <c r="REX58" s="0"/>
      <c r="REY58" s="0"/>
      <c r="REZ58" s="0"/>
      <c r="RFA58" s="0"/>
      <c r="RFB58" s="0"/>
      <c r="RFC58" s="0"/>
      <c r="RFD58" s="0"/>
      <c r="RFE58" s="0"/>
      <c r="RFF58" s="0"/>
      <c r="RFG58" s="0"/>
      <c r="RFH58" s="0"/>
      <c r="RFI58" s="0"/>
      <c r="RFJ58" s="0"/>
      <c r="RFK58" s="0"/>
      <c r="RFL58" s="0"/>
      <c r="RFM58" s="0"/>
      <c r="RFN58" s="0"/>
      <c r="RFO58" s="0"/>
      <c r="RFP58" s="0"/>
      <c r="RFQ58" s="0"/>
      <c r="RFR58" s="0"/>
      <c r="RFS58" s="0"/>
      <c r="RFT58" s="0"/>
      <c r="RFU58" s="0"/>
      <c r="RFV58" s="0"/>
      <c r="RFW58" s="0"/>
      <c r="RFX58" s="0"/>
      <c r="RFY58" s="0"/>
      <c r="RFZ58" s="0"/>
      <c r="RGA58" s="0"/>
      <c r="RGB58" s="0"/>
      <c r="RGC58" s="0"/>
      <c r="RGD58" s="0"/>
      <c r="RGE58" s="0"/>
      <c r="RGF58" s="0"/>
      <c r="RGG58" s="0"/>
      <c r="RGH58" s="0"/>
      <c r="RGI58" s="0"/>
      <c r="RGJ58" s="0"/>
      <c r="RGK58" s="0"/>
      <c r="RGL58" s="0"/>
      <c r="RGM58" s="0"/>
      <c r="RGN58" s="0"/>
      <c r="RGO58" s="0"/>
      <c r="RGP58" s="0"/>
      <c r="RGQ58" s="0"/>
      <c r="RGR58" s="0"/>
      <c r="RGS58" s="0"/>
      <c r="RGT58" s="0"/>
      <c r="RGU58" s="0"/>
      <c r="RGV58" s="0"/>
      <c r="RGW58" s="0"/>
      <c r="RGX58" s="0"/>
      <c r="RGY58" s="0"/>
      <c r="RGZ58" s="0"/>
      <c r="RHA58" s="0"/>
      <c r="RHB58" s="0"/>
      <c r="RHC58" s="0"/>
      <c r="RHD58" s="0"/>
      <c r="RHE58" s="0"/>
      <c r="RHF58" s="0"/>
      <c r="RHG58" s="0"/>
      <c r="RHH58" s="0"/>
      <c r="RHI58" s="0"/>
      <c r="RHJ58" s="0"/>
      <c r="RHK58" s="0"/>
      <c r="RHL58" s="0"/>
      <c r="RHM58" s="0"/>
      <c r="RHN58" s="0"/>
      <c r="RHO58" s="0"/>
      <c r="RHP58" s="0"/>
      <c r="RHQ58" s="0"/>
      <c r="RHR58" s="0"/>
      <c r="RHS58" s="0"/>
      <c r="RHT58" s="0"/>
      <c r="RHU58" s="0"/>
      <c r="RHV58" s="0"/>
      <c r="RHW58" s="0"/>
      <c r="RHX58" s="0"/>
      <c r="RHY58" s="0"/>
      <c r="RHZ58" s="0"/>
      <c r="RIA58" s="0"/>
      <c r="RIB58" s="0"/>
      <c r="RIC58" s="0"/>
      <c r="RID58" s="0"/>
      <c r="RIE58" s="0"/>
      <c r="RIF58" s="0"/>
      <c r="RIG58" s="0"/>
      <c r="RIH58" s="0"/>
      <c r="RII58" s="0"/>
      <c r="RIJ58" s="0"/>
      <c r="RIK58" s="0"/>
      <c r="RIL58" s="0"/>
      <c r="RIM58" s="0"/>
      <c r="RIN58" s="0"/>
      <c r="RIO58" s="0"/>
      <c r="RIP58" s="0"/>
      <c r="RIQ58" s="0"/>
      <c r="RIR58" s="0"/>
      <c r="RIS58" s="0"/>
      <c r="RIT58" s="0"/>
      <c r="RIU58" s="0"/>
      <c r="RIV58" s="0"/>
      <c r="RIW58" s="0"/>
      <c r="RIX58" s="0"/>
      <c r="RIY58" s="0"/>
      <c r="RIZ58" s="0"/>
      <c r="RJA58" s="0"/>
      <c r="RJB58" s="0"/>
      <c r="RJC58" s="0"/>
      <c r="RJD58" s="0"/>
      <c r="RJE58" s="0"/>
      <c r="RJF58" s="0"/>
      <c r="RJG58" s="0"/>
      <c r="RJH58" s="0"/>
      <c r="RJI58" s="0"/>
      <c r="RJJ58" s="0"/>
      <c r="RJK58" s="0"/>
      <c r="RJL58" s="0"/>
      <c r="RJM58" s="0"/>
      <c r="RJN58" s="0"/>
      <c r="RJO58" s="0"/>
      <c r="RJP58" s="0"/>
      <c r="RJQ58" s="0"/>
      <c r="RJR58" s="0"/>
      <c r="RJS58" s="0"/>
      <c r="RJT58" s="0"/>
      <c r="RJU58" s="0"/>
      <c r="RJV58" s="0"/>
      <c r="RJW58" s="0"/>
      <c r="RJX58" s="0"/>
      <c r="RJY58" s="0"/>
      <c r="RJZ58" s="0"/>
      <c r="RKA58" s="0"/>
      <c r="RKB58" s="0"/>
      <c r="RKC58" s="0"/>
      <c r="RKD58" s="0"/>
      <c r="RKE58" s="0"/>
      <c r="RKF58" s="0"/>
      <c r="RKG58" s="0"/>
      <c r="RKH58" s="0"/>
      <c r="RKI58" s="0"/>
      <c r="RKJ58" s="0"/>
      <c r="RKK58" s="0"/>
      <c r="RKL58" s="0"/>
      <c r="RKM58" s="0"/>
      <c r="RKN58" s="0"/>
      <c r="RKO58" s="0"/>
      <c r="RKP58" s="0"/>
      <c r="RKQ58" s="0"/>
      <c r="RKR58" s="0"/>
      <c r="RKS58" s="0"/>
      <c r="RKT58" s="0"/>
      <c r="RKU58" s="0"/>
      <c r="RKV58" s="0"/>
      <c r="RKW58" s="0"/>
      <c r="RKX58" s="0"/>
      <c r="RKY58" s="0"/>
      <c r="RKZ58" s="0"/>
      <c r="RLA58" s="0"/>
      <c r="RLB58" s="0"/>
      <c r="RLC58" s="0"/>
      <c r="RLD58" s="0"/>
      <c r="RLE58" s="0"/>
      <c r="RLF58" s="0"/>
      <c r="RLG58" s="0"/>
      <c r="RLH58" s="0"/>
      <c r="RLI58" s="0"/>
      <c r="RLJ58" s="0"/>
      <c r="RLK58" s="0"/>
      <c r="RLL58" s="0"/>
      <c r="RLM58" s="0"/>
      <c r="RLN58" s="0"/>
      <c r="RLO58" s="0"/>
      <c r="RLP58" s="0"/>
      <c r="RLQ58" s="0"/>
      <c r="RLR58" s="0"/>
      <c r="RLS58" s="0"/>
      <c r="RLT58" s="0"/>
      <c r="RLU58" s="0"/>
      <c r="RLV58" s="0"/>
      <c r="RLW58" s="0"/>
      <c r="RLX58" s="0"/>
      <c r="RLY58" s="0"/>
      <c r="RLZ58" s="0"/>
      <c r="RMA58" s="0"/>
      <c r="RMB58" s="0"/>
      <c r="RMC58" s="0"/>
      <c r="RMD58" s="0"/>
      <c r="RME58" s="0"/>
      <c r="RMF58" s="0"/>
      <c r="RMG58" s="0"/>
      <c r="RMH58" s="0"/>
      <c r="RMI58" s="0"/>
      <c r="RMJ58" s="0"/>
      <c r="RMK58" s="0"/>
      <c r="RML58" s="0"/>
      <c r="RMM58" s="0"/>
      <c r="RMN58" s="0"/>
      <c r="RMO58" s="0"/>
      <c r="RMP58" s="0"/>
      <c r="RMQ58" s="0"/>
      <c r="RMR58" s="0"/>
      <c r="RMS58" s="0"/>
      <c r="RMT58" s="0"/>
      <c r="RMU58" s="0"/>
      <c r="RMV58" s="0"/>
      <c r="RMW58" s="0"/>
      <c r="RMX58" s="0"/>
      <c r="RMY58" s="0"/>
      <c r="RMZ58" s="0"/>
      <c r="RNA58" s="0"/>
      <c r="RNB58" s="0"/>
      <c r="RNC58" s="0"/>
      <c r="RND58" s="0"/>
      <c r="RNE58" s="0"/>
      <c r="RNF58" s="0"/>
      <c r="RNG58" s="0"/>
      <c r="RNH58" s="0"/>
      <c r="RNI58" s="0"/>
      <c r="RNJ58" s="0"/>
      <c r="RNK58" s="0"/>
      <c r="RNL58" s="0"/>
      <c r="RNM58" s="0"/>
      <c r="RNN58" s="0"/>
      <c r="RNO58" s="0"/>
      <c r="RNP58" s="0"/>
      <c r="RNQ58" s="0"/>
      <c r="RNR58" s="0"/>
      <c r="RNS58" s="0"/>
      <c r="RNT58" s="0"/>
      <c r="RNU58" s="0"/>
      <c r="RNV58" s="0"/>
      <c r="RNW58" s="0"/>
      <c r="RNX58" s="0"/>
      <c r="RNY58" s="0"/>
      <c r="RNZ58" s="0"/>
      <c r="ROA58" s="0"/>
      <c r="ROB58" s="0"/>
      <c r="ROC58" s="0"/>
      <c r="ROD58" s="0"/>
      <c r="ROE58" s="0"/>
      <c r="ROF58" s="0"/>
      <c r="ROG58" s="0"/>
      <c r="ROH58" s="0"/>
      <c r="ROI58" s="0"/>
      <c r="ROJ58" s="0"/>
      <c r="ROK58" s="0"/>
      <c r="ROL58" s="0"/>
      <c r="ROM58" s="0"/>
      <c r="RON58" s="0"/>
      <c r="ROO58" s="0"/>
      <c r="ROP58" s="0"/>
      <c r="ROQ58" s="0"/>
      <c r="ROR58" s="0"/>
      <c r="ROS58" s="0"/>
      <c r="ROT58" s="0"/>
      <c r="ROU58" s="0"/>
      <c r="ROV58" s="0"/>
      <c r="ROW58" s="0"/>
      <c r="ROX58" s="0"/>
      <c r="ROY58" s="0"/>
      <c r="ROZ58" s="0"/>
      <c r="RPA58" s="0"/>
      <c r="RPB58" s="0"/>
      <c r="RPC58" s="0"/>
      <c r="RPD58" s="0"/>
      <c r="RPE58" s="0"/>
      <c r="RPF58" s="0"/>
      <c r="RPG58" s="0"/>
      <c r="RPH58" s="0"/>
      <c r="RPI58" s="0"/>
      <c r="RPJ58" s="0"/>
      <c r="RPK58" s="0"/>
      <c r="RPL58" s="0"/>
      <c r="RPM58" s="0"/>
      <c r="RPN58" s="0"/>
      <c r="RPO58" s="0"/>
      <c r="RPP58" s="0"/>
      <c r="RPQ58" s="0"/>
      <c r="RPR58" s="0"/>
      <c r="RPS58" s="0"/>
      <c r="RPT58" s="0"/>
      <c r="RPU58" s="0"/>
      <c r="RPV58" s="0"/>
      <c r="RPW58" s="0"/>
      <c r="RPX58" s="0"/>
      <c r="RPY58" s="0"/>
      <c r="RPZ58" s="0"/>
      <c r="RQA58" s="0"/>
      <c r="RQB58" s="0"/>
      <c r="RQC58" s="0"/>
      <c r="RQD58" s="0"/>
      <c r="RQE58" s="0"/>
      <c r="RQF58" s="0"/>
      <c r="RQG58" s="0"/>
      <c r="RQH58" s="0"/>
      <c r="RQI58" s="0"/>
      <c r="RQJ58" s="0"/>
      <c r="RQK58" s="0"/>
      <c r="RQL58" s="0"/>
      <c r="RQM58" s="0"/>
      <c r="RQN58" s="0"/>
      <c r="RQO58" s="0"/>
      <c r="RQP58" s="0"/>
      <c r="RQQ58" s="0"/>
      <c r="RQR58" s="0"/>
      <c r="RQS58" s="0"/>
      <c r="RQT58" s="0"/>
      <c r="RQU58" s="0"/>
      <c r="RQV58" s="0"/>
      <c r="RQW58" s="0"/>
      <c r="RQX58" s="0"/>
      <c r="RQY58" s="0"/>
      <c r="RQZ58" s="0"/>
      <c r="RRA58" s="0"/>
      <c r="RRB58" s="0"/>
      <c r="RRC58" s="0"/>
      <c r="RRD58" s="0"/>
      <c r="RRE58" s="0"/>
      <c r="RRF58" s="0"/>
      <c r="RRG58" s="0"/>
      <c r="RRH58" s="0"/>
      <c r="RRI58" s="0"/>
      <c r="RRJ58" s="0"/>
      <c r="RRK58" s="0"/>
      <c r="RRL58" s="0"/>
      <c r="RRM58" s="0"/>
      <c r="RRN58" s="0"/>
      <c r="RRO58" s="0"/>
      <c r="RRP58" s="0"/>
      <c r="RRQ58" s="0"/>
      <c r="RRR58" s="0"/>
      <c r="RRS58" s="0"/>
      <c r="RRT58" s="0"/>
      <c r="RRU58" s="0"/>
      <c r="RRV58" s="0"/>
      <c r="RRW58" s="0"/>
      <c r="RRX58" s="0"/>
      <c r="RRY58" s="0"/>
      <c r="RRZ58" s="0"/>
      <c r="RSA58" s="0"/>
      <c r="RSB58" s="0"/>
      <c r="RSC58" s="0"/>
      <c r="RSD58" s="0"/>
      <c r="RSE58" s="0"/>
      <c r="RSF58" s="0"/>
      <c r="RSG58" s="0"/>
      <c r="RSH58" s="0"/>
      <c r="RSI58" s="0"/>
      <c r="RSJ58" s="0"/>
      <c r="RSK58" s="0"/>
      <c r="RSL58" s="0"/>
      <c r="RSM58" s="0"/>
      <c r="RSN58" s="0"/>
      <c r="RSO58" s="0"/>
      <c r="RSP58" s="0"/>
      <c r="RSQ58" s="0"/>
      <c r="RSR58" s="0"/>
      <c r="RSS58" s="0"/>
      <c r="RST58" s="0"/>
      <c r="RSU58" s="0"/>
      <c r="RSV58" s="0"/>
      <c r="RSW58" s="0"/>
      <c r="RSX58" s="0"/>
      <c r="RSY58" s="0"/>
      <c r="RSZ58" s="0"/>
      <c r="RTA58" s="0"/>
      <c r="RTB58" s="0"/>
      <c r="RTC58" s="0"/>
      <c r="RTD58" s="0"/>
      <c r="RTE58" s="0"/>
      <c r="RTF58" s="0"/>
      <c r="RTG58" s="0"/>
      <c r="RTH58" s="0"/>
      <c r="RTI58" s="0"/>
      <c r="RTJ58" s="0"/>
      <c r="RTK58" s="0"/>
      <c r="RTL58" s="0"/>
      <c r="RTM58" s="0"/>
      <c r="RTN58" s="0"/>
      <c r="RTO58" s="0"/>
      <c r="RTP58" s="0"/>
      <c r="RTQ58" s="0"/>
      <c r="RTR58" s="0"/>
      <c r="RTS58" s="0"/>
      <c r="RTT58" s="0"/>
      <c r="RTU58" s="0"/>
      <c r="RTV58" s="0"/>
      <c r="RTW58" s="0"/>
      <c r="RTX58" s="0"/>
      <c r="RTY58" s="0"/>
      <c r="RTZ58" s="0"/>
      <c r="RUA58" s="0"/>
      <c r="RUB58" s="0"/>
      <c r="RUC58" s="0"/>
      <c r="RUD58" s="0"/>
      <c r="RUE58" s="0"/>
      <c r="RUF58" s="0"/>
      <c r="RUG58" s="0"/>
      <c r="RUH58" s="0"/>
      <c r="RUI58" s="0"/>
      <c r="RUJ58" s="0"/>
      <c r="RUK58" s="0"/>
      <c r="RUL58" s="0"/>
      <c r="RUM58" s="0"/>
      <c r="RUN58" s="0"/>
      <c r="RUO58" s="0"/>
      <c r="RUP58" s="0"/>
      <c r="RUQ58" s="0"/>
      <c r="RUR58" s="0"/>
      <c r="RUS58" s="0"/>
      <c r="RUT58" s="0"/>
      <c r="RUU58" s="0"/>
      <c r="RUV58" s="0"/>
      <c r="RUW58" s="0"/>
      <c r="RUX58" s="0"/>
      <c r="RUY58" s="0"/>
      <c r="RUZ58" s="0"/>
      <c r="RVA58" s="0"/>
      <c r="RVB58" s="0"/>
      <c r="RVC58" s="0"/>
      <c r="RVD58" s="0"/>
      <c r="RVE58" s="0"/>
      <c r="RVF58" s="0"/>
      <c r="RVG58" s="0"/>
      <c r="RVH58" s="0"/>
      <c r="RVI58" s="0"/>
      <c r="RVJ58" s="0"/>
      <c r="RVK58" s="0"/>
      <c r="RVL58" s="0"/>
      <c r="RVM58" s="0"/>
      <c r="RVN58" s="0"/>
      <c r="RVO58" s="0"/>
      <c r="RVP58" s="0"/>
      <c r="RVQ58" s="0"/>
      <c r="RVR58" s="0"/>
      <c r="RVS58" s="0"/>
      <c r="RVT58" s="0"/>
      <c r="RVU58" s="0"/>
      <c r="RVV58" s="0"/>
      <c r="RVW58" s="0"/>
      <c r="RVX58" s="0"/>
      <c r="RVY58" s="0"/>
      <c r="RVZ58" s="0"/>
      <c r="RWA58" s="0"/>
      <c r="RWB58" s="0"/>
      <c r="RWC58" s="0"/>
      <c r="RWD58" s="0"/>
      <c r="RWE58" s="0"/>
      <c r="RWF58" s="0"/>
      <c r="RWG58" s="0"/>
      <c r="RWH58" s="0"/>
      <c r="RWI58" s="0"/>
      <c r="RWJ58" s="0"/>
      <c r="RWK58" s="0"/>
      <c r="RWL58" s="0"/>
      <c r="RWM58" s="0"/>
      <c r="RWN58" s="0"/>
      <c r="RWO58" s="0"/>
      <c r="RWP58" s="0"/>
      <c r="RWQ58" s="0"/>
      <c r="RWR58" s="0"/>
      <c r="RWS58" s="0"/>
      <c r="RWT58" s="0"/>
      <c r="RWU58" s="0"/>
      <c r="RWV58" s="0"/>
      <c r="RWW58" s="0"/>
      <c r="RWX58" s="0"/>
      <c r="RWY58" s="0"/>
      <c r="RWZ58" s="0"/>
      <c r="RXA58" s="0"/>
      <c r="RXB58" s="0"/>
      <c r="RXC58" s="0"/>
      <c r="RXD58" s="0"/>
      <c r="RXE58" s="0"/>
      <c r="RXF58" s="0"/>
      <c r="RXG58" s="0"/>
      <c r="RXH58" s="0"/>
      <c r="RXI58" s="0"/>
      <c r="RXJ58" s="0"/>
      <c r="RXK58" s="0"/>
      <c r="RXL58" s="0"/>
      <c r="RXM58" s="0"/>
      <c r="RXN58" s="0"/>
      <c r="RXO58" s="0"/>
      <c r="RXP58" s="0"/>
      <c r="RXQ58" s="0"/>
      <c r="RXR58" s="0"/>
      <c r="RXS58" s="0"/>
      <c r="RXT58" s="0"/>
      <c r="RXU58" s="0"/>
      <c r="RXV58" s="0"/>
      <c r="RXW58" s="0"/>
      <c r="RXX58" s="0"/>
      <c r="RXY58" s="0"/>
      <c r="RXZ58" s="0"/>
      <c r="RYA58" s="0"/>
      <c r="RYB58" s="0"/>
      <c r="RYC58" s="0"/>
      <c r="RYD58" s="0"/>
      <c r="RYE58" s="0"/>
      <c r="RYF58" s="0"/>
      <c r="RYG58" s="0"/>
      <c r="RYH58" s="0"/>
      <c r="RYI58" s="0"/>
      <c r="RYJ58" s="0"/>
      <c r="RYK58" s="0"/>
      <c r="RYL58" s="0"/>
      <c r="RYM58" s="0"/>
      <c r="RYN58" s="0"/>
      <c r="RYO58" s="0"/>
      <c r="RYP58" s="0"/>
      <c r="RYQ58" s="0"/>
      <c r="RYR58" s="0"/>
      <c r="RYS58" s="0"/>
      <c r="RYT58" s="0"/>
      <c r="RYU58" s="0"/>
      <c r="RYV58" s="0"/>
      <c r="RYW58" s="0"/>
      <c r="RYX58" s="0"/>
      <c r="RYY58" s="0"/>
      <c r="RYZ58" s="0"/>
      <c r="RZA58" s="0"/>
      <c r="RZB58" s="0"/>
      <c r="RZC58" s="0"/>
      <c r="RZD58" s="0"/>
      <c r="RZE58" s="0"/>
      <c r="RZF58" s="0"/>
      <c r="RZG58" s="0"/>
      <c r="RZH58" s="0"/>
      <c r="RZI58" s="0"/>
      <c r="RZJ58" s="0"/>
      <c r="RZK58" s="0"/>
      <c r="RZL58" s="0"/>
      <c r="RZM58" s="0"/>
      <c r="RZN58" s="0"/>
      <c r="RZO58" s="0"/>
      <c r="RZP58" s="0"/>
      <c r="RZQ58" s="0"/>
      <c r="RZR58" s="0"/>
      <c r="RZS58" s="0"/>
      <c r="RZT58" s="0"/>
      <c r="RZU58" s="0"/>
      <c r="RZV58" s="0"/>
      <c r="RZW58" s="0"/>
      <c r="RZX58" s="0"/>
      <c r="RZY58" s="0"/>
      <c r="RZZ58" s="0"/>
      <c r="SAA58" s="0"/>
      <c r="SAB58" s="0"/>
      <c r="SAC58" s="0"/>
      <c r="SAD58" s="0"/>
      <c r="SAE58" s="0"/>
      <c r="SAF58" s="0"/>
      <c r="SAG58" s="0"/>
      <c r="SAH58" s="0"/>
      <c r="SAI58" s="0"/>
      <c r="SAJ58" s="0"/>
      <c r="SAK58" s="0"/>
      <c r="SAL58" s="0"/>
      <c r="SAM58" s="0"/>
      <c r="SAN58" s="0"/>
      <c r="SAO58" s="0"/>
      <c r="SAP58" s="0"/>
      <c r="SAQ58" s="0"/>
      <c r="SAR58" s="0"/>
      <c r="SAS58" s="0"/>
      <c r="SAT58" s="0"/>
      <c r="SAU58" s="0"/>
      <c r="SAV58" s="0"/>
      <c r="SAW58" s="0"/>
      <c r="SAX58" s="0"/>
      <c r="SAY58" s="0"/>
      <c r="SAZ58" s="0"/>
      <c r="SBA58" s="0"/>
      <c r="SBB58" s="0"/>
      <c r="SBC58" s="0"/>
      <c r="SBD58" s="0"/>
      <c r="SBE58" s="0"/>
      <c r="SBF58" s="0"/>
      <c r="SBG58" s="0"/>
      <c r="SBH58" s="0"/>
      <c r="SBI58" s="0"/>
      <c r="SBJ58" s="0"/>
      <c r="SBK58" s="0"/>
      <c r="SBL58" s="0"/>
      <c r="SBM58" s="0"/>
      <c r="SBN58" s="0"/>
      <c r="SBO58" s="0"/>
      <c r="SBP58" s="0"/>
      <c r="SBQ58" s="0"/>
      <c r="SBR58" s="0"/>
      <c r="SBS58" s="0"/>
      <c r="SBT58" s="0"/>
      <c r="SBU58" s="0"/>
      <c r="SBV58" s="0"/>
      <c r="SBW58" s="0"/>
      <c r="SBX58" s="0"/>
      <c r="SBY58" s="0"/>
      <c r="SBZ58" s="0"/>
      <c r="SCA58" s="0"/>
      <c r="SCB58" s="0"/>
      <c r="SCC58" s="0"/>
      <c r="SCD58" s="0"/>
      <c r="SCE58" s="0"/>
      <c r="SCF58" s="0"/>
      <c r="SCG58" s="0"/>
      <c r="SCH58" s="0"/>
      <c r="SCI58" s="0"/>
      <c r="SCJ58" s="0"/>
      <c r="SCK58" s="0"/>
      <c r="SCL58" s="0"/>
      <c r="SCM58" s="0"/>
      <c r="SCN58" s="0"/>
      <c r="SCO58" s="0"/>
      <c r="SCP58" s="0"/>
      <c r="SCQ58" s="0"/>
      <c r="SCR58" s="0"/>
      <c r="SCS58" s="0"/>
      <c r="SCT58" s="0"/>
      <c r="SCU58" s="0"/>
      <c r="SCV58" s="0"/>
      <c r="SCW58" s="0"/>
      <c r="SCX58" s="0"/>
      <c r="SCY58" s="0"/>
      <c r="SCZ58" s="0"/>
      <c r="SDA58" s="0"/>
      <c r="SDB58" s="0"/>
      <c r="SDC58" s="0"/>
      <c r="SDD58" s="0"/>
      <c r="SDE58" s="0"/>
      <c r="SDF58" s="0"/>
      <c r="SDG58" s="0"/>
      <c r="SDH58" s="0"/>
      <c r="SDI58" s="0"/>
      <c r="SDJ58" s="0"/>
      <c r="SDK58" s="0"/>
      <c r="SDL58" s="0"/>
      <c r="SDM58" s="0"/>
      <c r="SDN58" s="0"/>
      <c r="SDO58" s="0"/>
      <c r="SDP58" s="0"/>
      <c r="SDQ58" s="0"/>
      <c r="SDR58" s="0"/>
      <c r="SDS58" s="0"/>
      <c r="SDT58" s="0"/>
      <c r="SDU58" s="0"/>
      <c r="SDV58" s="0"/>
      <c r="SDW58" s="0"/>
      <c r="SDX58" s="0"/>
      <c r="SDY58" s="0"/>
      <c r="SDZ58" s="0"/>
      <c r="SEA58" s="0"/>
      <c r="SEB58" s="0"/>
      <c r="SEC58" s="0"/>
      <c r="SED58" s="0"/>
      <c r="SEE58" s="0"/>
      <c r="SEF58" s="0"/>
      <c r="SEG58" s="0"/>
      <c r="SEH58" s="0"/>
      <c r="SEI58" s="0"/>
      <c r="SEJ58" s="0"/>
      <c r="SEK58" s="0"/>
      <c r="SEL58" s="0"/>
      <c r="SEM58" s="0"/>
      <c r="SEN58" s="0"/>
      <c r="SEO58" s="0"/>
      <c r="SEP58" s="0"/>
      <c r="SEQ58" s="0"/>
      <c r="SER58" s="0"/>
      <c r="SES58" s="0"/>
      <c r="SET58" s="0"/>
      <c r="SEU58" s="0"/>
      <c r="SEV58" s="0"/>
      <c r="SEW58" s="0"/>
      <c r="SEX58" s="0"/>
      <c r="SEY58" s="0"/>
      <c r="SEZ58" s="0"/>
      <c r="SFA58" s="0"/>
      <c r="SFB58" s="0"/>
      <c r="SFC58" s="0"/>
      <c r="SFD58" s="0"/>
      <c r="SFE58" s="0"/>
      <c r="SFF58" s="0"/>
      <c r="SFG58" s="0"/>
      <c r="SFH58" s="0"/>
      <c r="SFI58" s="0"/>
      <c r="SFJ58" s="0"/>
      <c r="SFK58" s="0"/>
      <c r="SFL58" s="0"/>
      <c r="SFM58" s="0"/>
      <c r="SFN58" s="0"/>
      <c r="SFO58" s="0"/>
      <c r="SFP58" s="0"/>
      <c r="SFQ58" s="0"/>
      <c r="SFR58" s="0"/>
      <c r="SFS58" s="0"/>
      <c r="SFT58" s="0"/>
      <c r="SFU58" s="0"/>
      <c r="SFV58" s="0"/>
      <c r="SFW58" s="0"/>
      <c r="SFX58" s="0"/>
      <c r="SFY58" s="0"/>
      <c r="SFZ58" s="0"/>
      <c r="SGA58" s="0"/>
      <c r="SGB58" s="0"/>
      <c r="SGC58" s="0"/>
      <c r="SGD58" s="0"/>
      <c r="SGE58" s="0"/>
      <c r="SGF58" s="0"/>
      <c r="SGG58" s="0"/>
      <c r="SGH58" s="0"/>
      <c r="SGI58" s="0"/>
      <c r="SGJ58" s="0"/>
      <c r="SGK58" s="0"/>
      <c r="SGL58" s="0"/>
      <c r="SGM58" s="0"/>
      <c r="SGN58" s="0"/>
      <c r="SGO58" s="0"/>
      <c r="SGP58" s="0"/>
      <c r="SGQ58" s="0"/>
      <c r="SGR58" s="0"/>
      <c r="SGS58" s="0"/>
      <c r="SGT58" s="0"/>
      <c r="SGU58" s="0"/>
      <c r="SGV58" s="0"/>
      <c r="SGW58" s="0"/>
      <c r="SGX58" s="0"/>
      <c r="SGY58" s="0"/>
      <c r="SGZ58" s="0"/>
      <c r="SHA58" s="0"/>
      <c r="SHB58" s="0"/>
      <c r="SHC58" s="0"/>
      <c r="SHD58" s="0"/>
      <c r="SHE58" s="0"/>
      <c r="SHF58" s="0"/>
      <c r="SHG58" s="0"/>
      <c r="SHH58" s="0"/>
      <c r="SHI58" s="0"/>
      <c r="SHJ58" s="0"/>
      <c r="SHK58" s="0"/>
      <c r="SHL58" s="0"/>
      <c r="SHM58" s="0"/>
      <c r="SHN58" s="0"/>
      <c r="SHO58" s="0"/>
      <c r="SHP58" s="0"/>
      <c r="SHQ58" s="0"/>
      <c r="SHR58" s="0"/>
      <c r="SHS58" s="0"/>
      <c r="SHT58" s="0"/>
      <c r="SHU58" s="0"/>
      <c r="SHV58" s="0"/>
      <c r="SHW58" s="0"/>
      <c r="SHX58" s="0"/>
      <c r="SHY58" s="0"/>
      <c r="SHZ58" s="0"/>
      <c r="SIA58" s="0"/>
      <c r="SIB58" s="0"/>
      <c r="SIC58" s="0"/>
      <c r="SID58" s="0"/>
      <c r="SIE58" s="0"/>
      <c r="SIF58" s="0"/>
      <c r="SIG58" s="0"/>
      <c r="SIH58" s="0"/>
      <c r="SII58" s="0"/>
      <c r="SIJ58" s="0"/>
      <c r="SIK58" s="0"/>
      <c r="SIL58" s="0"/>
      <c r="SIM58" s="0"/>
      <c r="SIN58" s="0"/>
      <c r="SIO58" s="0"/>
      <c r="SIP58" s="0"/>
      <c r="SIQ58" s="0"/>
      <c r="SIR58" s="0"/>
      <c r="SIS58" s="0"/>
      <c r="SIT58" s="0"/>
      <c r="SIU58" s="0"/>
      <c r="SIV58" s="0"/>
      <c r="SIW58" s="0"/>
      <c r="SIX58" s="0"/>
      <c r="SIY58" s="0"/>
      <c r="SIZ58" s="0"/>
      <c r="SJA58" s="0"/>
      <c r="SJB58" s="0"/>
      <c r="SJC58" s="0"/>
      <c r="SJD58" s="0"/>
      <c r="SJE58" s="0"/>
      <c r="SJF58" s="0"/>
      <c r="SJG58" s="0"/>
      <c r="SJH58" s="0"/>
      <c r="SJI58" s="0"/>
      <c r="SJJ58" s="0"/>
      <c r="SJK58" s="0"/>
      <c r="SJL58" s="0"/>
      <c r="SJM58" s="0"/>
      <c r="SJN58" s="0"/>
      <c r="SJO58" s="0"/>
      <c r="SJP58" s="0"/>
      <c r="SJQ58" s="0"/>
      <c r="SJR58" s="0"/>
      <c r="SJS58" s="0"/>
      <c r="SJT58" s="0"/>
      <c r="SJU58" s="0"/>
      <c r="SJV58" s="0"/>
      <c r="SJW58" s="0"/>
      <c r="SJX58" s="0"/>
      <c r="SJY58" s="0"/>
      <c r="SJZ58" s="0"/>
      <c r="SKA58" s="0"/>
      <c r="SKB58" s="0"/>
      <c r="SKC58" s="0"/>
      <c r="SKD58" s="0"/>
      <c r="SKE58" s="0"/>
      <c r="SKF58" s="0"/>
      <c r="SKG58" s="0"/>
      <c r="SKH58" s="0"/>
      <c r="SKI58" s="0"/>
      <c r="SKJ58" s="0"/>
      <c r="SKK58" s="0"/>
      <c r="SKL58" s="0"/>
      <c r="SKM58" s="0"/>
      <c r="SKN58" s="0"/>
      <c r="SKO58" s="0"/>
      <c r="SKP58" s="0"/>
      <c r="SKQ58" s="0"/>
      <c r="SKR58" s="0"/>
      <c r="SKS58" s="0"/>
      <c r="SKT58" s="0"/>
      <c r="SKU58" s="0"/>
      <c r="SKV58" s="0"/>
      <c r="SKW58" s="0"/>
      <c r="SKX58" s="0"/>
      <c r="SKY58" s="0"/>
      <c r="SKZ58" s="0"/>
      <c r="SLA58" s="0"/>
      <c r="SLB58" s="0"/>
      <c r="SLC58" s="0"/>
      <c r="SLD58" s="0"/>
      <c r="SLE58" s="0"/>
      <c r="SLF58" s="0"/>
      <c r="SLG58" s="0"/>
      <c r="SLH58" s="0"/>
      <c r="SLI58" s="0"/>
      <c r="SLJ58" s="0"/>
      <c r="SLK58" s="0"/>
      <c r="SLL58" s="0"/>
      <c r="SLM58" s="0"/>
      <c r="SLN58" s="0"/>
      <c r="SLO58" s="0"/>
      <c r="SLP58" s="0"/>
      <c r="SLQ58" s="0"/>
      <c r="SLR58" s="0"/>
      <c r="SLS58" s="0"/>
      <c r="SLT58" s="0"/>
      <c r="SLU58" s="0"/>
      <c r="SLV58" s="0"/>
      <c r="SLW58" s="0"/>
      <c r="SLX58" s="0"/>
      <c r="SLY58" s="0"/>
      <c r="SLZ58" s="0"/>
      <c r="SMA58" s="0"/>
      <c r="SMB58" s="0"/>
      <c r="SMC58" s="0"/>
      <c r="SMD58" s="0"/>
      <c r="SME58" s="0"/>
      <c r="SMF58" s="0"/>
      <c r="SMG58" s="0"/>
      <c r="SMH58" s="0"/>
      <c r="SMI58" s="0"/>
      <c r="SMJ58" s="0"/>
      <c r="SMK58" s="0"/>
      <c r="SML58" s="0"/>
      <c r="SMM58" s="0"/>
      <c r="SMN58" s="0"/>
      <c r="SMO58" s="0"/>
      <c r="SMP58" s="0"/>
      <c r="SMQ58" s="0"/>
      <c r="SMR58" s="0"/>
      <c r="SMS58" s="0"/>
      <c r="SMT58" s="0"/>
      <c r="SMU58" s="0"/>
      <c r="SMV58" s="0"/>
      <c r="SMW58" s="0"/>
      <c r="SMX58" s="0"/>
      <c r="SMY58" s="0"/>
      <c r="SMZ58" s="0"/>
      <c r="SNA58" s="0"/>
      <c r="SNB58" s="0"/>
      <c r="SNC58" s="0"/>
      <c r="SND58" s="0"/>
      <c r="SNE58" s="0"/>
      <c r="SNF58" s="0"/>
      <c r="SNG58" s="0"/>
      <c r="SNH58" s="0"/>
      <c r="SNI58" s="0"/>
      <c r="SNJ58" s="0"/>
      <c r="SNK58" s="0"/>
      <c r="SNL58" s="0"/>
      <c r="SNM58" s="0"/>
      <c r="SNN58" s="0"/>
      <c r="SNO58" s="0"/>
      <c r="SNP58" s="0"/>
      <c r="SNQ58" s="0"/>
      <c r="SNR58" s="0"/>
      <c r="SNS58" s="0"/>
      <c r="SNT58" s="0"/>
      <c r="SNU58" s="0"/>
      <c r="SNV58" s="0"/>
      <c r="SNW58" s="0"/>
      <c r="SNX58" s="0"/>
      <c r="SNY58" s="0"/>
      <c r="SNZ58" s="0"/>
      <c r="SOA58" s="0"/>
      <c r="SOB58" s="0"/>
      <c r="SOC58" s="0"/>
      <c r="SOD58" s="0"/>
      <c r="SOE58" s="0"/>
      <c r="SOF58" s="0"/>
      <c r="SOG58" s="0"/>
      <c r="SOH58" s="0"/>
      <c r="SOI58" s="0"/>
      <c r="SOJ58" s="0"/>
      <c r="SOK58" s="0"/>
      <c r="SOL58" s="0"/>
      <c r="SOM58" s="0"/>
      <c r="SON58" s="0"/>
      <c r="SOO58" s="0"/>
      <c r="SOP58" s="0"/>
      <c r="SOQ58" s="0"/>
      <c r="SOR58" s="0"/>
      <c r="SOS58" s="0"/>
      <c r="SOT58" s="0"/>
      <c r="SOU58" s="0"/>
      <c r="SOV58" s="0"/>
      <c r="SOW58" s="0"/>
      <c r="SOX58" s="0"/>
      <c r="SOY58" s="0"/>
      <c r="SOZ58" s="0"/>
      <c r="SPA58" s="0"/>
      <c r="SPB58" s="0"/>
      <c r="SPC58" s="0"/>
      <c r="SPD58" s="0"/>
      <c r="SPE58" s="0"/>
      <c r="SPF58" s="0"/>
      <c r="SPG58" s="0"/>
      <c r="SPH58" s="0"/>
      <c r="SPI58" s="0"/>
      <c r="SPJ58" s="0"/>
      <c r="SPK58" s="0"/>
      <c r="SPL58" s="0"/>
      <c r="SPM58" s="0"/>
      <c r="SPN58" s="0"/>
      <c r="SPO58" s="0"/>
      <c r="SPP58" s="0"/>
      <c r="SPQ58" s="0"/>
      <c r="SPR58" s="0"/>
      <c r="SPS58" s="0"/>
      <c r="SPT58" s="0"/>
      <c r="SPU58" s="0"/>
      <c r="SPV58" s="0"/>
      <c r="SPW58" s="0"/>
      <c r="SPX58" s="0"/>
      <c r="SPY58" s="0"/>
      <c r="SPZ58" s="0"/>
      <c r="SQA58" s="0"/>
      <c r="SQB58" s="0"/>
      <c r="SQC58" s="0"/>
      <c r="SQD58" s="0"/>
      <c r="SQE58" s="0"/>
      <c r="SQF58" s="0"/>
      <c r="SQG58" s="0"/>
      <c r="SQH58" s="0"/>
      <c r="SQI58" s="0"/>
      <c r="SQJ58" s="0"/>
      <c r="SQK58" s="0"/>
      <c r="SQL58" s="0"/>
      <c r="SQM58" s="0"/>
      <c r="SQN58" s="0"/>
      <c r="SQO58" s="0"/>
      <c r="SQP58" s="0"/>
      <c r="SQQ58" s="0"/>
      <c r="SQR58" s="0"/>
      <c r="SQS58" s="0"/>
      <c r="SQT58" s="0"/>
      <c r="SQU58" s="0"/>
      <c r="SQV58" s="0"/>
      <c r="SQW58" s="0"/>
      <c r="SQX58" s="0"/>
      <c r="SQY58" s="0"/>
      <c r="SQZ58" s="0"/>
      <c r="SRA58" s="0"/>
      <c r="SRB58" s="0"/>
      <c r="SRC58" s="0"/>
      <c r="SRD58" s="0"/>
      <c r="SRE58" s="0"/>
      <c r="SRF58" s="0"/>
      <c r="SRG58" s="0"/>
      <c r="SRH58" s="0"/>
      <c r="SRI58" s="0"/>
      <c r="SRJ58" s="0"/>
      <c r="SRK58" s="0"/>
      <c r="SRL58" s="0"/>
      <c r="SRM58" s="0"/>
      <c r="SRN58" s="0"/>
      <c r="SRO58" s="0"/>
      <c r="SRP58" s="0"/>
      <c r="SRQ58" s="0"/>
      <c r="SRR58" s="0"/>
      <c r="SRS58" s="0"/>
      <c r="SRT58" s="0"/>
      <c r="SRU58" s="0"/>
      <c r="SRV58" s="0"/>
      <c r="SRW58" s="0"/>
      <c r="SRX58" s="0"/>
      <c r="SRY58" s="0"/>
      <c r="SRZ58" s="0"/>
      <c r="SSA58" s="0"/>
      <c r="SSB58" s="0"/>
      <c r="SSC58" s="0"/>
      <c r="SSD58" s="0"/>
      <c r="SSE58" s="0"/>
      <c r="SSF58" s="0"/>
      <c r="SSG58" s="0"/>
      <c r="SSH58" s="0"/>
      <c r="SSI58" s="0"/>
      <c r="SSJ58" s="0"/>
      <c r="SSK58" s="0"/>
      <c r="SSL58" s="0"/>
      <c r="SSM58" s="0"/>
      <c r="SSN58" s="0"/>
      <c r="SSO58" s="0"/>
      <c r="SSP58" s="0"/>
      <c r="SSQ58" s="0"/>
      <c r="SSR58" s="0"/>
      <c r="SSS58" s="0"/>
      <c r="SST58" s="0"/>
      <c r="SSU58" s="0"/>
      <c r="SSV58" s="0"/>
      <c r="SSW58" s="0"/>
      <c r="SSX58" s="0"/>
      <c r="SSY58" s="0"/>
      <c r="SSZ58" s="0"/>
      <c r="STA58" s="0"/>
      <c r="STB58" s="0"/>
      <c r="STC58" s="0"/>
      <c r="STD58" s="0"/>
      <c r="STE58" s="0"/>
      <c r="STF58" s="0"/>
      <c r="STG58" s="0"/>
      <c r="STH58" s="0"/>
      <c r="STI58" s="0"/>
      <c r="STJ58" s="0"/>
      <c r="STK58" s="0"/>
      <c r="STL58" s="0"/>
      <c r="STM58" s="0"/>
      <c r="STN58" s="0"/>
      <c r="STO58" s="0"/>
      <c r="STP58" s="0"/>
      <c r="STQ58" s="0"/>
      <c r="STR58" s="0"/>
      <c r="STS58" s="0"/>
      <c r="STT58" s="0"/>
      <c r="STU58" s="0"/>
      <c r="STV58" s="0"/>
      <c r="STW58" s="0"/>
      <c r="STX58" s="0"/>
      <c r="STY58" s="0"/>
      <c r="STZ58" s="0"/>
      <c r="SUA58" s="0"/>
      <c r="SUB58" s="0"/>
      <c r="SUC58" s="0"/>
      <c r="SUD58" s="0"/>
      <c r="SUE58" s="0"/>
      <c r="SUF58" s="0"/>
      <c r="SUG58" s="0"/>
      <c r="SUH58" s="0"/>
      <c r="SUI58" s="0"/>
      <c r="SUJ58" s="0"/>
      <c r="SUK58" s="0"/>
      <c r="SUL58" s="0"/>
      <c r="SUM58" s="0"/>
      <c r="SUN58" s="0"/>
      <c r="SUO58" s="0"/>
      <c r="SUP58" s="0"/>
      <c r="SUQ58" s="0"/>
      <c r="SUR58" s="0"/>
      <c r="SUS58" s="0"/>
      <c r="SUT58" s="0"/>
      <c r="SUU58" s="0"/>
      <c r="SUV58" s="0"/>
      <c r="SUW58" s="0"/>
      <c r="SUX58" s="0"/>
      <c r="SUY58" s="0"/>
      <c r="SUZ58" s="0"/>
      <c r="SVA58" s="0"/>
      <c r="SVB58" s="0"/>
      <c r="SVC58" s="0"/>
      <c r="SVD58" s="0"/>
      <c r="SVE58" s="0"/>
      <c r="SVF58" s="0"/>
      <c r="SVG58" s="0"/>
      <c r="SVH58" s="0"/>
      <c r="SVI58" s="0"/>
      <c r="SVJ58" s="0"/>
      <c r="SVK58" s="0"/>
      <c r="SVL58" s="0"/>
      <c r="SVM58" s="0"/>
      <c r="SVN58" s="0"/>
      <c r="SVO58" s="0"/>
      <c r="SVP58" s="0"/>
      <c r="SVQ58" s="0"/>
      <c r="SVR58" s="0"/>
      <c r="SVS58" s="0"/>
      <c r="SVT58" s="0"/>
      <c r="SVU58" s="0"/>
      <c r="SVV58" s="0"/>
      <c r="SVW58" s="0"/>
      <c r="SVX58" s="0"/>
      <c r="SVY58" s="0"/>
      <c r="SVZ58" s="0"/>
      <c r="SWA58" s="0"/>
      <c r="SWB58" s="0"/>
      <c r="SWC58" s="0"/>
      <c r="SWD58" s="0"/>
      <c r="SWE58" s="0"/>
      <c r="SWF58" s="0"/>
      <c r="SWG58" s="0"/>
      <c r="SWH58" s="0"/>
      <c r="SWI58" s="0"/>
      <c r="SWJ58" s="0"/>
      <c r="SWK58" s="0"/>
      <c r="SWL58" s="0"/>
      <c r="SWM58" s="0"/>
      <c r="SWN58" s="0"/>
      <c r="SWO58" s="0"/>
      <c r="SWP58" s="0"/>
      <c r="SWQ58" s="0"/>
      <c r="SWR58" s="0"/>
      <c r="SWS58" s="0"/>
      <c r="SWT58" s="0"/>
      <c r="SWU58" s="0"/>
      <c r="SWV58" s="0"/>
      <c r="SWW58" s="0"/>
      <c r="SWX58" s="0"/>
      <c r="SWY58" s="0"/>
      <c r="SWZ58" s="0"/>
      <c r="SXA58" s="0"/>
      <c r="SXB58" s="0"/>
      <c r="SXC58" s="0"/>
      <c r="SXD58" s="0"/>
      <c r="SXE58" s="0"/>
      <c r="SXF58" s="0"/>
      <c r="SXG58" s="0"/>
      <c r="SXH58" s="0"/>
      <c r="SXI58" s="0"/>
      <c r="SXJ58" s="0"/>
      <c r="SXK58" s="0"/>
      <c r="SXL58" s="0"/>
      <c r="SXM58" s="0"/>
      <c r="SXN58" s="0"/>
      <c r="SXO58" s="0"/>
      <c r="SXP58" s="0"/>
      <c r="SXQ58" s="0"/>
      <c r="SXR58" s="0"/>
      <c r="SXS58" s="0"/>
      <c r="SXT58" s="0"/>
      <c r="SXU58" s="0"/>
      <c r="SXV58" s="0"/>
      <c r="SXW58" s="0"/>
      <c r="SXX58" s="0"/>
      <c r="SXY58" s="0"/>
      <c r="SXZ58" s="0"/>
      <c r="SYA58" s="0"/>
      <c r="SYB58" s="0"/>
      <c r="SYC58" s="0"/>
      <c r="SYD58" s="0"/>
      <c r="SYE58" s="0"/>
      <c r="SYF58" s="0"/>
      <c r="SYG58" s="0"/>
      <c r="SYH58" s="0"/>
      <c r="SYI58" s="0"/>
      <c r="SYJ58" s="0"/>
      <c r="SYK58" s="0"/>
      <c r="SYL58" s="0"/>
      <c r="SYM58" s="0"/>
      <c r="SYN58" s="0"/>
      <c r="SYO58" s="0"/>
      <c r="SYP58" s="0"/>
      <c r="SYQ58" s="0"/>
      <c r="SYR58" s="0"/>
      <c r="SYS58" s="0"/>
      <c r="SYT58" s="0"/>
      <c r="SYU58" s="0"/>
      <c r="SYV58" s="0"/>
      <c r="SYW58" s="0"/>
      <c r="SYX58" s="0"/>
      <c r="SYY58" s="0"/>
      <c r="SYZ58" s="0"/>
      <c r="SZA58" s="0"/>
      <c r="SZB58" s="0"/>
      <c r="SZC58" s="0"/>
      <c r="SZD58" s="0"/>
      <c r="SZE58" s="0"/>
      <c r="SZF58" s="0"/>
      <c r="SZG58" s="0"/>
      <c r="SZH58" s="0"/>
      <c r="SZI58" s="0"/>
      <c r="SZJ58" s="0"/>
      <c r="SZK58" s="0"/>
      <c r="SZL58" s="0"/>
      <c r="SZM58" s="0"/>
      <c r="SZN58" s="0"/>
      <c r="SZO58" s="0"/>
      <c r="SZP58" s="0"/>
      <c r="SZQ58" s="0"/>
      <c r="SZR58" s="0"/>
      <c r="SZS58" s="0"/>
      <c r="SZT58" s="0"/>
      <c r="SZU58" s="0"/>
      <c r="SZV58" s="0"/>
      <c r="SZW58" s="0"/>
      <c r="SZX58" s="0"/>
      <c r="SZY58" s="0"/>
      <c r="SZZ58" s="0"/>
      <c r="TAA58" s="0"/>
      <c r="TAB58" s="0"/>
      <c r="TAC58" s="0"/>
      <c r="TAD58" s="0"/>
      <c r="TAE58" s="0"/>
      <c r="TAF58" s="0"/>
      <c r="TAG58" s="0"/>
      <c r="TAH58" s="0"/>
      <c r="TAI58" s="0"/>
      <c r="TAJ58" s="0"/>
      <c r="TAK58" s="0"/>
      <c r="TAL58" s="0"/>
      <c r="TAM58" s="0"/>
      <c r="TAN58" s="0"/>
      <c r="TAO58" s="0"/>
      <c r="TAP58" s="0"/>
      <c r="TAQ58" s="0"/>
      <c r="TAR58" s="0"/>
      <c r="TAS58" s="0"/>
      <c r="TAT58" s="0"/>
      <c r="TAU58" s="0"/>
      <c r="TAV58" s="0"/>
      <c r="TAW58" s="0"/>
      <c r="TAX58" s="0"/>
      <c r="TAY58" s="0"/>
      <c r="TAZ58" s="0"/>
      <c r="TBA58" s="0"/>
      <c r="TBB58" s="0"/>
      <c r="TBC58" s="0"/>
      <c r="TBD58" s="0"/>
      <c r="TBE58" s="0"/>
      <c r="TBF58" s="0"/>
      <c r="TBG58" s="0"/>
      <c r="TBH58" s="0"/>
      <c r="TBI58" s="0"/>
      <c r="TBJ58" s="0"/>
      <c r="TBK58" s="0"/>
      <c r="TBL58" s="0"/>
      <c r="TBM58" s="0"/>
      <c r="TBN58" s="0"/>
      <c r="TBO58" s="0"/>
      <c r="TBP58" s="0"/>
      <c r="TBQ58" s="0"/>
      <c r="TBR58" s="0"/>
      <c r="TBS58" s="0"/>
      <c r="TBT58" s="0"/>
      <c r="TBU58" s="0"/>
      <c r="TBV58" s="0"/>
      <c r="TBW58" s="0"/>
      <c r="TBX58" s="0"/>
      <c r="TBY58" s="0"/>
      <c r="TBZ58" s="0"/>
      <c r="TCA58" s="0"/>
      <c r="TCB58" s="0"/>
      <c r="TCC58" s="0"/>
      <c r="TCD58" s="0"/>
      <c r="TCE58" s="0"/>
      <c r="TCF58" s="0"/>
      <c r="TCG58" s="0"/>
      <c r="TCH58" s="0"/>
      <c r="TCI58" s="0"/>
      <c r="TCJ58" s="0"/>
      <c r="TCK58" s="0"/>
      <c r="TCL58" s="0"/>
      <c r="TCM58" s="0"/>
      <c r="TCN58" s="0"/>
      <c r="TCO58" s="0"/>
      <c r="TCP58" s="0"/>
      <c r="TCQ58" s="0"/>
      <c r="TCR58" s="0"/>
      <c r="TCS58" s="0"/>
      <c r="TCT58" s="0"/>
      <c r="TCU58" s="0"/>
      <c r="TCV58" s="0"/>
      <c r="TCW58" s="0"/>
      <c r="TCX58" s="0"/>
      <c r="TCY58" s="0"/>
      <c r="TCZ58" s="0"/>
      <c r="TDA58" s="0"/>
      <c r="TDB58" s="0"/>
      <c r="TDC58" s="0"/>
      <c r="TDD58" s="0"/>
      <c r="TDE58" s="0"/>
      <c r="TDF58" s="0"/>
      <c r="TDG58" s="0"/>
      <c r="TDH58" s="0"/>
      <c r="TDI58" s="0"/>
      <c r="TDJ58" s="0"/>
      <c r="TDK58" s="0"/>
      <c r="TDL58" s="0"/>
      <c r="TDM58" s="0"/>
      <c r="TDN58" s="0"/>
      <c r="TDO58" s="0"/>
      <c r="TDP58" s="0"/>
      <c r="TDQ58" s="0"/>
      <c r="TDR58" s="0"/>
      <c r="TDS58" s="0"/>
      <c r="TDT58" s="0"/>
      <c r="TDU58" s="0"/>
      <c r="TDV58" s="0"/>
      <c r="TDW58" s="0"/>
      <c r="TDX58" s="0"/>
      <c r="TDY58" s="0"/>
      <c r="TDZ58" s="0"/>
      <c r="TEA58" s="0"/>
      <c r="TEB58" s="0"/>
      <c r="TEC58" s="0"/>
      <c r="TED58" s="0"/>
      <c r="TEE58" s="0"/>
      <c r="TEF58" s="0"/>
      <c r="TEG58" s="0"/>
      <c r="TEH58" s="0"/>
      <c r="TEI58" s="0"/>
      <c r="TEJ58" s="0"/>
      <c r="TEK58" s="0"/>
      <c r="TEL58" s="0"/>
      <c r="TEM58" s="0"/>
      <c r="TEN58" s="0"/>
      <c r="TEO58" s="0"/>
      <c r="TEP58" s="0"/>
      <c r="TEQ58" s="0"/>
      <c r="TER58" s="0"/>
      <c r="TES58" s="0"/>
      <c r="TET58" s="0"/>
      <c r="TEU58" s="0"/>
      <c r="TEV58" s="0"/>
      <c r="TEW58" s="0"/>
      <c r="TEX58" s="0"/>
      <c r="TEY58" s="0"/>
      <c r="TEZ58" s="0"/>
      <c r="TFA58" s="0"/>
      <c r="TFB58" s="0"/>
      <c r="TFC58" s="0"/>
      <c r="TFD58" s="0"/>
      <c r="TFE58" s="0"/>
      <c r="TFF58" s="0"/>
      <c r="TFG58" s="0"/>
      <c r="TFH58" s="0"/>
      <c r="TFI58" s="0"/>
      <c r="TFJ58" s="0"/>
      <c r="TFK58" s="0"/>
      <c r="TFL58" s="0"/>
      <c r="TFM58" s="0"/>
      <c r="TFN58" s="0"/>
      <c r="TFO58" s="0"/>
      <c r="TFP58" s="0"/>
      <c r="TFQ58" s="0"/>
      <c r="TFR58" s="0"/>
      <c r="TFS58" s="0"/>
      <c r="TFT58" s="0"/>
      <c r="TFU58" s="0"/>
      <c r="TFV58" s="0"/>
      <c r="TFW58" s="0"/>
      <c r="TFX58" s="0"/>
      <c r="TFY58" s="0"/>
      <c r="TFZ58" s="0"/>
      <c r="TGA58" s="0"/>
      <c r="TGB58" s="0"/>
      <c r="TGC58" s="0"/>
      <c r="TGD58" s="0"/>
      <c r="TGE58" s="0"/>
      <c r="TGF58" s="0"/>
      <c r="TGG58" s="0"/>
      <c r="TGH58" s="0"/>
      <c r="TGI58" s="0"/>
      <c r="TGJ58" s="0"/>
      <c r="TGK58" s="0"/>
      <c r="TGL58" s="0"/>
      <c r="TGM58" s="0"/>
      <c r="TGN58" s="0"/>
      <c r="TGO58" s="0"/>
      <c r="TGP58" s="0"/>
      <c r="TGQ58" s="0"/>
      <c r="TGR58" s="0"/>
      <c r="TGS58" s="0"/>
      <c r="TGT58" s="0"/>
      <c r="TGU58" s="0"/>
      <c r="TGV58" s="0"/>
      <c r="TGW58" s="0"/>
      <c r="TGX58" s="0"/>
      <c r="TGY58" s="0"/>
      <c r="TGZ58" s="0"/>
      <c r="THA58" s="0"/>
      <c r="THB58" s="0"/>
      <c r="THC58" s="0"/>
      <c r="THD58" s="0"/>
      <c r="THE58" s="0"/>
      <c r="THF58" s="0"/>
      <c r="THG58" s="0"/>
      <c r="THH58" s="0"/>
      <c r="THI58" s="0"/>
      <c r="THJ58" s="0"/>
      <c r="THK58" s="0"/>
      <c r="THL58" s="0"/>
      <c r="THM58" s="0"/>
      <c r="THN58" s="0"/>
      <c r="THO58" s="0"/>
      <c r="THP58" s="0"/>
      <c r="THQ58" s="0"/>
      <c r="THR58" s="0"/>
      <c r="THS58" s="0"/>
      <c r="THT58" s="0"/>
      <c r="THU58" s="0"/>
      <c r="THV58" s="0"/>
      <c r="THW58" s="0"/>
      <c r="THX58" s="0"/>
      <c r="THY58" s="0"/>
      <c r="THZ58" s="0"/>
      <c r="TIA58" s="0"/>
      <c r="TIB58" s="0"/>
      <c r="TIC58" s="0"/>
      <c r="TID58" s="0"/>
      <c r="TIE58" s="0"/>
      <c r="TIF58" s="0"/>
      <c r="TIG58" s="0"/>
      <c r="TIH58" s="0"/>
      <c r="TII58" s="0"/>
      <c r="TIJ58" s="0"/>
      <c r="TIK58" s="0"/>
      <c r="TIL58" s="0"/>
      <c r="TIM58" s="0"/>
      <c r="TIN58" s="0"/>
      <c r="TIO58" s="0"/>
      <c r="TIP58" s="0"/>
      <c r="TIQ58" s="0"/>
      <c r="TIR58" s="0"/>
      <c r="TIS58" s="0"/>
      <c r="TIT58" s="0"/>
      <c r="TIU58" s="0"/>
      <c r="TIV58" s="0"/>
      <c r="TIW58" s="0"/>
      <c r="TIX58" s="0"/>
      <c r="TIY58" s="0"/>
      <c r="TIZ58" s="0"/>
      <c r="TJA58" s="0"/>
      <c r="TJB58" s="0"/>
      <c r="TJC58" s="0"/>
      <c r="TJD58" s="0"/>
      <c r="TJE58" s="0"/>
      <c r="TJF58" s="0"/>
      <c r="TJG58" s="0"/>
      <c r="TJH58" s="0"/>
      <c r="TJI58" s="0"/>
      <c r="TJJ58" s="0"/>
      <c r="TJK58" s="0"/>
      <c r="TJL58" s="0"/>
      <c r="TJM58" s="0"/>
      <c r="TJN58" s="0"/>
      <c r="TJO58" s="0"/>
      <c r="TJP58" s="0"/>
      <c r="TJQ58" s="0"/>
      <c r="TJR58" s="0"/>
      <c r="TJS58" s="0"/>
      <c r="TJT58" s="0"/>
      <c r="TJU58" s="0"/>
      <c r="TJV58" s="0"/>
      <c r="TJW58" s="0"/>
      <c r="TJX58" s="0"/>
      <c r="TJY58" s="0"/>
      <c r="TJZ58" s="0"/>
      <c r="TKA58" s="0"/>
      <c r="TKB58" s="0"/>
      <c r="TKC58" s="0"/>
      <c r="TKD58" s="0"/>
      <c r="TKE58" s="0"/>
      <c r="TKF58" s="0"/>
      <c r="TKG58" s="0"/>
      <c r="TKH58" s="0"/>
      <c r="TKI58" s="0"/>
      <c r="TKJ58" s="0"/>
      <c r="TKK58" s="0"/>
      <c r="TKL58" s="0"/>
      <c r="TKM58" s="0"/>
      <c r="TKN58" s="0"/>
      <c r="TKO58" s="0"/>
      <c r="TKP58" s="0"/>
      <c r="TKQ58" s="0"/>
      <c r="TKR58" s="0"/>
      <c r="TKS58" s="0"/>
      <c r="TKT58" s="0"/>
      <c r="TKU58" s="0"/>
      <c r="TKV58" s="0"/>
      <c r="TKW58" s="0"/>
      <c r="TKX58" s="0"/>
      <c r="TKY58" s="0"/>
      <c r="TKZ58" s="0"/>
      <c r="TLA58" s="0"/>
      <c r="TLB58" s="0"/>
      <c r="TLC58" s="0"/>
      <c r="TLD58" s="0"/>
      <c r="TLE58" s="0"/>
      <c r="TLF58" s="0"/>
      <c r="TLG58" s="0"/>
      <c r="TLH58" s="0"/>
      <c r="TLI58" s="0"/>
      <c r="TLJ58" s="0"/>
      <c r="TLK58" s="0"/>
      <c r="TLL58" s="0"/>
      <c r="TLM58" s="0"/>
      <c r="TLN58" s="0"/>
      <c r="TLO58" s="0"/>
      <c r="TLP58" s="0"/>
      <c r="TLQ58" s="0"/>
      <c r="TLR58" s="0"/>
      <c r="TLS58" s="0"/>
      <c r="TLT58" s="0"/>
      <c r="TLU58" s="0"/>
      <c r="TLV58" s="0"/>
      <c r="TLW58" s="0"/>
      <c r="TLX58" s="0"/>
      <c r="TLY58" s="0"/>
      <c r="TLZ58" s="0"/>
      <c r="TMA58" s="0"/>
      <c r="TMB58" s="0"/>
      <c r="TMC58" s="0"/>
      <c r="TMD58" s="0"/>
      <c r="TME58" s="0"/>
      <c r="TMF58" s="0"/>
      <c r="TMG58" s="0"/>
      <c r="TMH58" s="0"/>
      <c r="TMI58" s="0"/>
      <c r="TMJ58" s="0"/>
      <c r="TMK58" s="0"/>
      <c r="TML58" s="0"/>
      <c r="TMM58" s="0"/>
      <c r="TMN58" s="0"/>
      <c r="TMO58" s="0"/>
      <c r="TMP58" s="0"/>
      <c r="TMQ58" s="0"/>
      <c r="TMR58" s="0"/>
      <c r="TMS58" s="0"/>
      <c r="TMT58" s="0"/>
      <c r="TMU58" s="0"/>
      <c r="TMV58" s="0"/>
      <c r="TMW58" s="0"/>
      <c r="TMX58" s="0"/>
      <c r="TMY58" s="0"/>
      <c r="TMZ58" s="0"/>
      <c r="TNA58" s="0"/>
      <c r="TNB58" s="0"/>
      <c r="TNC58" s="0"/>
      <c r="TND58" s="0"/>
      <c r="TNE58" s="0"/>
      <c r="TNF58" s="0"/>
      <c r="TNG58" s="0"/>
      <c r="TNH58" s="0"/>
      <c r="TNI58" s="0"/>
      <c r="TNJ58" s="0"/>
      <c r="TNK58" s="0"/>
      <c r="TNL58" s="0"/>
      <c r="TNM58" s="0"/>
      <c r="TNN58" s="0"/>
      <c r="TNO58" s="0"/>
      <c r="TNP58" s="0"/>
      <c r="TNQ58" s="0"/>
      <c r="TNR58" s="0"/>
      <c r="TNS58" s="0"/>
      <c r="TNT58" s="0"/>
      <c r="TNU58" s="0"/>
      <c r="TNV58" s="0"/>
      <c r="TNW58" s="0"/>
      <c r="TNX58" s="0"/>
      <c r="TNY58" s="0"/>
      <c r="TNZ58" s="0"/>
      <c r="TOA58" s="0"/>
      <c r="TOB58" s="0"/>
      <c r="TOC58" s="0"/>
      <c r="TOD58" s="0"/>
      <c r="TOE58" s="0"/>
      <c r="TOF58" s="0"/>
      <c r="TOG58" s="0"/>
      <c r="TOH58" s="0"/>
      <c r="TOI58" s="0"/>
      <c r="TOJ58" s="0"/>
      <c r="TOK58" s="0"/>
      <c r="TOL58" s="0"/>
      <c r="TOM58" s="0"/>
      <c r="TON58" s="0"/>
      <c r="TOO58" s="0"/>
      <c r="TOP58" s="0"/>
      <c r="TOQ58" s="0"/>
      <c r="TOR58" s="0"/>
      <c r="TOS58" s="0"/>
      <c r="TOT58" s="0"/>
      <c r="TOU58" s="0"/>
      <c r="TOV58" s="0"/>
      <c r="TOW58" s="0"/>
      <c r="TOX58" s="0"/>
      <c r="TOY58" s="0"/>
      <c r="TOZ58" s="0"/>
      <c r="TPA58" s="0"/>
      <c r="TPB58" s="0"/>
      <c r="TPC58" s="0"/>
      <c r="TPD58" s="0"/>
      <c r="TPE58" s="0"/>
      <c r="TPF58" s="0"/>
      <c r="TPG58" s="0"/>
      <c r="TPH58" s="0"/>
      <c r="TPI58" s="0"/>
      <c r="TPJ58" s="0"/>
      <c r="TPK58" s="0"/>
      <c r="TPL58" s="0"/>
      <c r="TPM58" s="0"/>
      <c r="TPN58" s="0"/>
      <c r="TPO58" s="0"/>
      <c r="TPP58" s="0"/>
      <c r="TPQ58" s="0"/>
      <c r="TPR58" s="0"/>
      <c r="TPS58" s="0"/>
      <c r="TPT58" s="0"/>
      <c r="TPU58" s="0"/>
      <c r="TPV58" s="0"/>
      <c r="TPW58" s="0"/>
      <c r="TPX58" s="0"/>
      <c r="TPY58" s="0"/>
      <c r="TPZ58" s="0"/>
      <c r="TQA58" s="0"/>
      <c r="TQB58" s="0"/>
      <c r="TQC58" s="0"/>
      <c r="TQD58" s="0"/>
      <c r="TQE58" s="0"/>
      <c r="TQF58" s="0"/>
      <c r="TQG58" s="0"/>
      <c r="TQH58" s="0"/>
      <c r="TQI58" s="0"/>
      <c r="TQJ58" s="0"/>
      <c r="TQK58" s="0"/>
      <c r="TQL58" s="0"/>
      <c r="TQM58" s="0"/>
      <c r="TQN58" s="0"/>
      <c r="TQO58" s="0"/>
      <c r="TQP58" s="0"/>
      <c r="TQQ58" s="0"/>
      <c r="TQR58" s="0"/>
      <c r="TQS58" s="0"/>
      <c r="TQT58" s="0"/>
      <c r="TQU58" s="0"/>
      <c r="TQV58" s="0"/>
      <c r="TQW58" s="0"/>
      <c r="TQX58" s="0"/>
      <c r="TQY58" s="0"/>
      <c r="TQZ58" s="0"/>
      <c r="TRA58" s="0"/>
      <c r="TRB58" s="0"/>
      <c r="TRC58" s="0"/>
      <c r="TRD58" s="0"/>
      <c r="TRE58" s="0"/>
      <c r="TRF58" s="0"/>
      <c r="TRG58" s="0"/>
      <c r="TRH58" s="0"/>
      <c r="TRI58" s="0"/>
      <c r="TRJ58" s="0"/>
      <c r="TRK58" s="0"/>
      <c r="TRL58" s="0"/>
      <c r="TRM58" s="0"/>
      <c r="TRN58" s="0"/>
      <c r="TRO58" s="0"/>
      <c r="TRP58" s="0"/>
      <c r="TRQ58" s="0"/>
      <c r="TRR58" s="0"/>
      <c r="TRS58" s="0"/>
      <c r="TRT58" s="0"/>
      <c r="TRU58" s="0"/>
      <c r="TRV58" s="0"/>
      <c r="TRW58" s="0"/>
      <c r="TRX58" s="0"/>
      <c r="TRY58" s="0"/>
      <c r="TRZ58" s="0"/>
      <c r="TSA58" s="0"/>
      <c r="TSB58" s="0"/>
      <c r="TSC58" s="0"/>
      <c r="TSD58" s="0"/>
      <c r="TSE58" s="0"/>
      <c r="TSF58" s="0"/>
      <c r="TSG58" s="0"/>
      <c r="TSH58" s="0"/>
      <c r="TSI58" s="0"/>
      <c r="TSJ58" s="0"/>
      <c r="TSK58" s="0"/>
      <c r="TSL58" s="0"/>
      <c r="TSM58" s="0"/>
      <c r="TSN58" s="0"/>
      <c r="TSO58" s="0"/>
      <c r="TSP58" s="0"/>
      <c r="TSQ58" s="0"/>
      <c r="TSR58" s="0"/>
      <c r="TSS58" s="0"/>
      <c r="TST58" s="0"/>
      <c r="TSU58" s="0"/>
      <c r="TSV58" s="0"/>
      <c r="TSW58" s="0"/>
      <c r="TSX58" s="0"/>
      <c r="TSY58" s="0"/>
      <c r="TSZ58" s="0"/>
      <c r="TTA58" s="0"/>
      <c r="TTB58" s="0"/>
      <c r="TTC58" s="0"/>
      <c r="TTD58" s="0"/>
      <c r="TTE58" s="0"/>
      <c r="TTF58" s="0"/>
      <c r="TTG58" s="0"/>
      <c r="TTH58" s="0"/>
      <c r="TTI58" s="0"/>
      <c r="TTJ58" s="0"/>
      <c r="TTK58" s="0"/>
      <c r="TTL58" s="0"/>
      <c r="TTM58" s="0"/>
      <c r="TTN58" s="0"/>
      <c r="TTO58" s="0"/>
      <c r="TTP58" s="0"/>
      <c r="TTQ58" s="0"/>
      <c r="TTR58" s="0"/>
      <c r="TTS58" s="0"/>
      <c r="TTT58" s="0"/>
      <c r="TTU58" s="0"/>
      <c r="TTV58" s="0"/>
      <c r="TTW58" s="0"/>
      <c r="TTX58" s="0"/>
      <c r="TTY58" s="0"/>
      <c r="TTZ58" s="0"/>
      <c r="TUA58" s="0"/>
      <c r="TUB58" s="0"/>
      <c r="TUC58" s="0"/>
      <c r="TUD58" s="0"/>
      <c r="TUE58" s="0"/>
      <c r="TUF58" s="0"/>
      <c r="TUG58" s="0"/>
      <c r="TUH58" s="0"/>
      <c r="TUI58" s="0"/>
      <c r="TUJ58" s="0"/>
      <c r="TUK58" s="0"/>
      <c r="TUL58" s="0"/>
      <c r="TUM58" s="0"/>
      <c r="TUN58" s="0"/>
      <c r="TUO58" s="0"/>
      <c r="TUP58" s="0"/>
      <c r="TUQ58" s="0"/>
      <c r="TUR58" s="0"/>
      <c r="TUS58" s="0"/>
      <c r="TUT58" s="0"/>
      <c r="TUU58" s="0"/>
      <c r="TUV58" s="0"/>
      <c r="TUW58" s="0"/>
      <c r="TUX58" s="0"/>
      <c r="TUY58" s="0"/>
      <c r="TUZ58" s="0"/>
      <c r="TVA58" s="0"/>
      <c r="TVB58" s="0"/>
      <c r="TVC58" s="0"/>
      <c r="TVD58" s="0"/>
      <c r="TVE58" s="0"/>
      <c r="TVF58" s="0"/>
      <c r="TVG58" s="0"/>
      <c r="TVH58" s="0"/>
      <c r="TVI58" s="0"/>
      <c r="TVJ58" s="0"/>
      <c r="TVK58" s="0"/>
      <c r="TVL58" s="0"/>
      <c r="TVM58" s="0"/>
      <c r="TVN58" s="0"/>
      <c r="TVO58" s="0"/>
      <c r="TVP58" s="0"/>
      <c r="TVQ58" s="0"/>
      <c r="TVR58" s="0"/>
      <c r="TVS58" s="0"/>
      <c r="TVT58" s="0"/>
      <c r="TVU58" s="0"/>
      <c r="TVV58" s="0"/>
      <c r="TVW58" s="0"/>
      <c r="TVX58" s="0"/>
      <c r="TVY58" s="0"/>
      <c r="TVZ58" s="0"/>
      <c r="TWA58" s="0"/>
      <c r="TWB58" s="0"/>
      <c r="TWC58" s="0"/>
      <c r="TWD58" s="0"/>
      <c r="TWE58" s="0"/>
      <c r="TWF58" s="0"/>
      <c r="TWG58" s="0"/>
      <c r="TWH58" s="0"/>
      <c r="TWI58" s="0"/>
      <c r="TWJ58" s="0"/>
      <c r="TWK58" s="0"/>
      <c r="TWL58" s="0"/>
      <c r="TWM58" s="0"/>
      <c r="TWN58" s="0"/>
      <c r="TWO58" s="0"/>
      <c r="TWP58" s="0"/>
      <c r="TWQ58" s="0"/>
      <c r="TWR58" s="0"/>
      <c r="TWS58" s="0"/>
      <c r="TWT58" s="0"/>
      <c r="TWU58" s="0"/>
      <c r="TWV58" s="0"/>
      <c r="TWW58" s="0"/>
      <c r="TWX58" s="0"/>
      <c r="TWY58" s="0"/>
      <c r="TWZ58" s="0"/>
      <c r="TXA58" s="0"/>
      <c r="TXB58" s="0"/>
      <c r="TXC58" s="0"/>
      <c r="TXD58" s="0"/>
      <c r="TXE58" s="0"/>
      <c r="TXF58" s="0"/>
      <c r="TXG58" s="0"/>
      <c r="TXH58" s="0"/>
      <c r="TXI58" s="0"/>
      <c r="TXJ58" s="0"/>
      <c r="TXK58" s="0"/>
      <c r="TXL58" s="0"/>
      <c r="TXM58" s="0"/>
      <c r="TXN58" s="0"/>
      <c r="TXO58" s="0"/>
      <c r="TXP58" s="0"/>
      <c r="TXQ58" s="0"/>
      <c r="TXR58" s="0"/>
      <c r="TXS58" s="0"/>
      <c r="TXT58" s="0"/>
      <c r="TXU58" s="0"/>
      <c r="TXV58" s="0"/>
      <c r="TXW58" s="0"/>
      <c r="TXX58" s="0"/>
      <c r="TXY58" s="0"/>
      <c r="TXZ58" s="0"/>
      <c r="TYA58" s="0"/>
      <c r="TYB58" s="0"/>
      <c r="TYC58" s="0"/>
      <c r="TYD58" s="0"/>
      <c r="TYE58" s="0"/>
      <c r="TYF58" s="0"/>
      <c r="TYG58" s="0"/>
      <c r="TYH58" s="0"/>
      <c r="TYI58" s="0"/>
      <c r="TYJ58" s="0"/>
      <c r="TYK58" s="0"/>
      <c r="TYL58" s="0"/>
      <c r="TYM58" s="0"/>
      <c r="TYN58" s="0"/>
      <c r="TYO58" s="0"/>
      <c r="TYP58" s="0"/>
      <c r="TYQ58" s="0"/>
      <c r="TYR58" s="0"/>
      <c r="TYS58" s="0"/>
      <c r="TYT58" s="0"/>
      <c r="TYU58" s="0"/>
      <c r="TYV58" s="0"/>
      <c r="TYW58" s="0"/>
      <c r="TYX58" s="0"/>
      <c r="TYY58" s="0"/>
      <c r="TYZ58" s="0"/>
      <c r="TZA58" s="0"/>
      <c r="TZB58" s="0"/>
      <c r="TZC58" s="0"/>
      <c r="TZD58" s="0"/>
      <c r="TZE58" s="0"/>
      <c r="TZF58" s="0"/>
      <c r="TZG58" s="0"/>
      <c r="TZH58" s="0"/>
      <c r="TZI58" s="0"/>
      <c r="TZJ58" s="0"/>
      <c r="TZK58" s="0"/>
      <c r="TZL58" s="0"/>
      <c r="TZM58" s="0"/>
      <c r="TZN58" s="0"/>
      <c r="TZO58" s="0"/>
      <c r="TZP58" s="0"/>
      <c r="TZQ58" s="0"/>
      <c r="TZR58" s="0"/>
      <c r="TZS58" s="0"/>
      <c r="TZT58" s="0"/>
      <c r="TZU58" s="0"/>
      <c r="TZV58" s="0"/>
      <c r="TZW58" s="0"/>
      <c r="TZX58" s="0"/>
      <c r="TZY58" s="0"/>
      <c r="TZZ58" s="0"/>
      <c r="UAA58" s="0"/>
      <c r="UAB58" s="0"/>
      <c r="UAC58" s="0"/>
      <c r="UAD58" s="0"/>
      <c r="UAE58" s="0"/>
      <c r="UAF58" s="0"/>
      <c r="UAG58" s="0"/>
      <c r="UAH58" s="0"/>
      <c r="UAI58" s="0"/>
      <c r="UAJ58" s="0"/>
      <c r="UAK58" s="0"/>
      <c r="UAL58" s="0"/>
      <c r="UAM58" s="0"/>
      <c r="UAN58" s="0"/>
      <c r="UAO58" s="0"/>
      <c r="UAP58" s="0"/>
      <c r="UAQ58" s="0"/>
      <c r="UAR58" s="0"/>
      <c r="UAS58" s="0"/>
      <c r="UAT58" s="0"/>
      <c r="UAU58" s="0"/>
      <c r="UAV58" s="0"/>
      <c r="UAW58" s="0"/>
      <c r="UAX58" s="0"/>
      <c r="UAY58" s="0"/>
      <c r="UAZ58" s="0"/>
      <c r="UBA58" s="0"/>
      <c r="UBB58" s="0"/>
      <c r="UBC58" s="0"/>
      <c r="UBD58" s="0"/>
      <c r="UBE58" s="0"/>
      <c r="UBF58" s="0"/>
      <c r="UBG58" s="0"/>
      <c r="UBH58" s="0"/>
      <c r="UBI58" s="0"/>
      <c r="UBJ58" s="0"/>
      <c r="UBK58" s="0"/>
      <c r="UBL58" s="0"/>
      <c r="UBM58" s="0"/>
      <c r="UBN58" s="0"/>
      <c r="UBO58" s="0"/>
      <c r="UBP58" s="0"/>
      <c r="UBQ58" s="0"/>
      <c r="UBR58" s="0"/>
      <c r="UBS58" s="0"/>
      <c r="UBT58" s="0"/>
      <c r="UBU58" s="0"/>
      <c r="UBV58" s="0"/>
      <c r="UBW58" s="0"/>
      <c r="UBX58" s="0"/>
      <c r="UBY58" s="0"/>
      <c r="UBZ58" s="0"/>
      <c r="UCA58" s="0"/>
      <c r="UCB58" s="0"/>
      <c r="UCC58" s="0"/>
      <c r="UCD58" s="0"/>
      <c r="UCE58" s="0"/>
      <c r="UCF58" s="0"/>
      <c r="UCG58" s="0"/>
      <c r="UCH58" s="0"/>
      <c r="UCI58" s="0"/>
      <c r="UCJ58" s="0"/>
      <c r="UCK58" s="0"/>
      <c r="UCL58" s="0"/>
      <c r="UCM58" s="0"/>
      <c r="UCN58" s="0"/>
      <c r="UCO58" s="0"/>
      <c r="UCP58" s="0"/>
      <c r="UCQ58" s="0"/>
      <c r="UCR58" s="0"/>
      <c r="UCS58" s="0"/>
      <c r="UCT58" s="0"/>
      <c r="UCU58" s="0"/>
      <c r="UCV58" s="0"/>
      <c r="UCW58" s="0"/>
      <c r="UCX58" s="0"/>
      <c r="UCY58" s="0"/>
      <c r="UCZ58" s="0"/>
      <c r="UDA58" s="0"/>
      <c r="UDB58" s="0"/>
      <c r="UDC58" s="0"/>
      <c r="UDD58" s="0"/>
      <c r="UDE58" s="0"/>
      <c r="UDF58" s="0"/>
      <c r="UDG58" s="0"/>
      <c r="UDH58" s="0"/>
      <c r="UDI58" s="0"/>
      <c r="UDJ58" s="0"/>
      <c r="UDK58" s="0"/>
      <c r="UDL58" s="0"/>
      <c r="UDM58" s="0"/>
      <c r="UDN58" s="0"/>
      <c r="UDO58" s="0"/>
      <c r="UDP58" s="0"/>
      <c r="UDQ58" s="0"/>
      <c r="UDR58" s="0"/>
      <c r="UDS58" s="0"/>
      <c r="UDT58" s="0"/>
      <c r="UDU58" s="0"/>
      <c r="UDV58" s="0"/>
      <c r="UDW58" s="0"/>
      <c r="UDX58" s="0"/>
      <c r="UDY58" s="0"/>
      <c r="UDZ58" s="0"/>
      <c r="UEA58" s="0"/>
      <c r="UEB58" s="0"/>
      <c r="UEC58" s="0"/>
      <c r="UED58" s="0"/>
      <c r="UEE58" s="0"/>
      <c r="UEF58" s="0"/>
      <c r="UEG58" s="0"/>
      <c r="UEH58" s="0"/>
      <c r="UEI58" s="0"/>
      <c r="UEJ58" s="0"/>
      <c r="UEK58" s="0"/>
      <c r="UEL58" s="0"/>
      <c r="UEM58" s="0"/>
      <c r="UEN58" s="0"/>
      <c r="UEO58" s="0"/>
      <c r="UEP58" s="0"/>
      <c r="UEQ58" s="0"/>
      <c r="UER58" s="0"/>
      <c r="UES58" s="0"/>
      <c r="UET58" s="0"/>
      <c r="UEU58" s="0"/>
      <c r="UEV58" s="0"/>
      <c r="UEW58" s="0"/>
      <c r="UEX58" s="0"/>
      <c r="UEY58" s="0"/>
      <c r="UEZ58" s="0"/>
      <c r="UFA58" s="0"/>
      <c r="UFB58" s="0"/>
      <c r="UFC58" s="0"/>
      <c r="UFD58" s="0"/>
      <c r="UFE58" s="0"/>
      <c r="UFF58" s="0"/>
      <c r="UFG58" s="0"/>
      <c r="UFH58" s="0"/>
      <c r="UFI58" s="0"/>
      <c r="UFJ58" s="0"/>
      <c r="UFK58" s="0"/>
      <c r="UFL58" s="0"/>
      <c r="UFM58" s="0"/>
      <c r="UFN58" s="0"/>
      <c r="UFO58" s="0"/>
      <c r="UFP58" s="0"/>
      <c r="UFQ58" s="0"/>
      <c r="UFR58" s="0"/>
      <c r="UFS58" s="0"/>
      <c r="UFT58" s="0"/>
      <c r="UFU58" s="0"/>
      <c r="UFV58" s="0"/>
      <c r="UFW58" s="0"/>
      <c r="UFX58" s="0"/>
      <c r="UFY58" s="0"/>
      <c r="UFZ58" s="0"/>
      <c r="UGA58" s="0"/>
      <c r="UGB58" s="0"/>
      <c r="UGC58" s="0"/>
      <c r="UGD58" s="0"/>
      <c r="UGE58" s="0"/>
      <c r="UGF58" s="0"/>
      <c r="UGG58" s="0"/>
      <c r="UGH58" s="0"/>
      <c r="UGI58" s="0"/>
      <c r="UGJ58" s="0"/>
      <c r="UGK58" s="0"/>
      <c r="UGL58" s="0"/>
      <c r="UGM58" s="0"/>
      <c r="UGN58" s="0"/>
      <c r="UGO58" s="0"/>
      <c r="UGP58" s="0"/>
      <c r="UGQ58" s="0"/>
      <c r="UGR58" s="0"/>
      <c r="UGS58" s="0"/>
      <c r="UGT58" s="0"/>
      <c r="UGU58" s="0"/>
      <c r="UGV58" s="0"/>
      <c r="UGW58" s="0"/>
      <c r="UGX58" s="0"/>
      <c r="UGY58" s="0"/>
      <c r="UGZ58" s="0"/>
      <c r="UHA58" s="0"/>
      <c r="UHB58" s="0"/>
      <c r="UHC58" s="0"/>
      <c r="UHD58" s="0"/>
      <c r="UHE58" s="0"/>
      <c r="UHF58" s="0"/>
      <c r="UHG58" s="0"/>
      <c r="UHH58" s="0"/>
      <c r="UHI58" s="0"/>
      <c r="UHJ58" s="0"/>
      <c r="UHK58" s="0"/>
      <c r="UHL58" s="0"/>
      <c r="UHM58" s="0"/>
      <c r="UHN58" s="0"/>
      <c r="UHO58" s="0"/>
      <c r="UHP58" s="0"/>
      <c r="UHQ58" s="0"/>
      <c r="UHR58" s="0"/>
      <c r="UHS58" s="0"/>
      <c r="UHT58" s="0"/>
      <c r="UHU58" s="0"/>
      <c r="UHV58" s="0"/>
      <c r="UHW58" s="0"/>
      <c r="UHX58" s="0"/>
      <c r="UHY58" s="0"/>
      <c r="UHZ58" s="0"/>
      <c r="UIA58" s="0"/>
      <c r="UIB58" s="0"/>
      <c r="UIC58" s="0"/>
      <c r="UID58" s="0"/>
      <c r="UIE58" s="0"/>
      <c r="UIF58" s="0"/>
      <c r="UIG58" s="0"/>
      <c r="UIH58" s="0"/>
      <c r="UII58" s="0"/>
      <c r="UIJ58" s="0"/>
      <c r="UIK58" s="0"/>
      <c r="UIL58" s="0"/>
      <c r="UIM58" s="0"/>
      <c r="UIN58" s="0"/>
      <c r="UIO58" s="0"/>
      <c r="UIP58" s="0"/>
      <c r="UIQ58" s="0"/>
      <c r="UIR58" s="0"/>
      <c r="UIS58" s="0"/>
      <c r="UIT58" s="0"/>
      <c r="UIU58" s="0"/>
      <c r="UIV58" s="0"/>
      <c r="UIW58" s="0"/>
      <c r="UIX58" s="0"/>
      <c r="UIY58" s="0"/>
      <c r="UIZ58" s="0"/>
      <c r="UJA58" s="0"/>
      <c r="UJB58" s="0"/>
      <c r="UJC58" s="0"/>
      <c r="UJD58" s="0"/>
      <c r="UJE58" s="0"/>
      <c r="UJF58" s="0"/>
      <c r="UJG58" s="0"/>
      <c r="UJH58" s="0"/>
      <c r="UJI58" s="0"/>
      <c r="UJJ58" s="0"/>
      <c r="UJK58" s="0"/>
      <c r="UJL58" s="0"/>
      <c r="UJM58" s="0"/>
      <c r="UJN58" s="0"/>
      <c r="UJO58" s="0"/>
      <c r="UJP58" s="0"/>
      <c r="UJQ58" s="0"/>
      <c r="UJR58" s="0"/>
      <c r="UJS58" s="0"/>
      <c r="UJT58" s="0"/>
      <c r="UJU58" s="0"/>
      <c r="UJV58" s="0"/>
      <c r="UJW58" s="0"/>
      <c r="UJX58" s="0"/>
      <c r="UJY58" s="0"/>
      <c r="UJZ58" s="0"/>
      <c r="UKA58" s="0"/>
      <c r="UKB58" s="0"/>
      <c r="UKC58" s="0"/>
      <c r="UKD58" s="0"/>
      <c r="UKE58" s="0"/>
      <c r="UKF58" s="0"/>
      <c r="UKG58" s="0"/>
      <c r="UKH58" s="0"/>
      <c r="UKI58" s="0"/>
      <c r="UKJ58" s="0"/>
      <c r="UKK58" s="0"/>
      <c r="UKL58" s="0"/>
      <c r="UKM58" s="0"/>
      <c r="UKN58" s="0"/>
      <c r="UKO58" s="0"/>
      <c r="UKP58" s="0"/>
      <c r="UKQ58" s="0"/>
      <c r="UKR58" s="0"/>
      <c r="UKS58" s="0"/>
      <c r="UKT58" s="0"/>
      <c r="UKU58" s="0"/>
      <c r="UKV58" s="0"/>
      <c r="UKW58" s="0"/>
      <c r="UKX58" s="0"/>
      <c r="UKY58" s="0"/>
      <c r="UKZ58" s="0"/>
      <c r="ULA58" s="0"/>
      <c r="ULB58" s="0"/>
      <c r="ULC58" s="0"/>
      <c r="ULD58" s="0"/>
      <c r="ULE58" s="0"/>
      <c r="ULF58" s="0"/>
      <c r="ULG58" s="0"/>
      <c r="ULH58" s="0"/>
      <c r="ULI58" s="0"/>
      <c r="ULJ58" s="0"/>
      <c r="ULK58" s="0"/>
      <c r="ULL58" s="0"/>
      <c r="ULM58" s="0"/>
      <c r="ULN58" s="0"/>
      <c r="ULO58" s="0"/>
      <c r="ULP58" s="0"/>
      <c r="ULQ58" s="0"/>
      <c r="ULR58" s="0"/>
      <c r="ULS58" s="0"/>
      <c r="ULT58" s="0"/>
      <c r="ULU58" s="0"/>
      <c r="ULV58" s="0"/>
      <c r="ULW58" s="0"/>
      <c r="ULX58" s="0"/>
      <c r="ULY58" s="0"/>
      <c r="ULZ58" s="0"/>
      <c r="UMA58" s="0"/>
      <c r="UMB58" s="0"/>
      <c r="UMC58" s="0"/>
      <c r="UMD58" s="0"/>
      <c r="UME58" s="0"/>
      <c r="UMF58" s="0"/>
      <c r="UMG58" s="0"/>
      <c r="UMH58" s="0"/>
      <c r="UMI58" s="0"/>
      <c r="UMJ58" s="0"/>
      <c r="UMK58" s="0"/>
      <c r="UML58" s="0"/>
      <c r="UMM58" s="0"/>
      <c r="UMN58" s="0"/>
      <c r="UMO58" s="0"/>
      <c r="UMP58" s="0"/>
      <c r="UMQ58" s="0"/>
      <c r="UMR58" s="0"/>
      <c r="UMS58" s="0"/>
      <c r="UMT58" s="0"/>
      <c r="UMU58" s="0"/>
      <c r="UMV58" s="0"/>
      <c r="UMW58" s="0"/>
      <c r="UMX58" s="0"/>
      <c r="UMY58" s="0"/>
      <c r="UMZ58" s="0"/>
      <c r="UNA58" s="0"/>
      <c r="UNB58" s="0"/>
      <c r="UNC58" s="0"/>
      <c r="UND58" s="0"/>
      <c r="UNE58" s="0"/>
      <c r="UNF58" s="0"/>
      <c r="UNG58" s="0"/>
      <c r="UNH58" s="0"/>
      <c r="UNI58" s="0"/>
      <c r="UNJ58" s="0"/>
      <c r="UNK58" s="0"/>
      <c r="UNL58" s="0"/>
      <c r="UNM58" s="0"/>
      <c r="UNN58" s="0"/>
      <c r="UNO58" s="0"/>
      <c r="UNP58" s="0"/>
      <c r="UNQ58" s="0"/>
      <c r="UNR58" s="0"/>
      <c r="UNS58" s="0"/>
      <c r="UNT58" s="0"/>
      <c r="UNU58" s="0"/>
      <c r="UNV58" s="0"/>
      <c r="UNW58" s="0"/>
      <c r="UNX58" s="0"/>
      <c r="UNY58" s="0"/>
      <c r="UNZ58" s="0"/>
      <c r="UOA58" s="0"/>
      <c r="UOB58" s="0"/>
      <c r="UOC58" s="0"/>
      <c r="UOD58" s="0"/>
      <c r="UOE58" s="0"/>
      <c r="UOF58" s="0"/>
      <c r="UOG58" s="0"/>
      <c r="UOH58" s="0"/>
      <c r="UOI58" s="0"/>
      <c r="UOJ58" s="0"/>
      <c r="UOK58" s="0"/>
      <c r="UOL58" s="0"/>
      <c r="UOM58" s="0"/>
      <c r="UON58" s="0"/>
      <c r="UOO58" s="0"/>
      <c r="UOP58" s="0"/>
      <c r="UOQ58" s="0"/>
      <c r="UOR58" s="0"/>
      <c r="UOS58" s="0"/>
      <c r="UOT58" s="0"/>
      <c r="UOU58" s="0"/>
      <c r="UOV58" s="0"/>
      <c r="UOW58" s="0"/>
      <c r="UOX58" s="0"/>
      <c r="UOY58" s="0"/>
      <c r="UOZ58" s="0"/>
      <c r="UPA58" s="0"/>
      <c r="UPB58" s="0"/>
      <c r="UPC58" s="0"/>
      <c r="UPD58" s="0"/>
      <c r="UPE58" s="0"/>
      <c r="UPF58" s="0"/>
      <c r="UPG58" s="0"/>
      <c r="UPH58" s="0"/>
      <c r="UPI58" s="0"/>
      <c r="UPJ58" s="0"/>
      <c r="UPK58" s="0"/>
      <c r="UPL58" s="0"/>
      <c r="UPM58" s="0"/>
      <c r="UPN58" s="0"/>
      <c r="UPO58" s="0"/>
      <c r="UPP58" s="0"/>
      <c r="UPQ58" s="0"/>
      <c r="UPR58" s="0"/>
      <c r="UPS58" s="0"/>
      <c r="UPT58" s="0"/>
      <c r="UPU58" s="0"/>
      <c r="UPV58" s="0"/>
      <c r="UPW58" s="0"/>
      <c r="UPX58" s="0"/>
      <c r="UPY58" s="0"/>
      <c r="UPZ58" s="0"/>
      <c r="UQA58" s="0"/>
      <c r="UQB58" s="0"/>
      <c r="UQC58" s="0"/>
      <c r="UQD58" s="0"/>
      <c r="UQE58" s="0"/>
      <c r="UQF58" s="0"/>
      <c r="UQG58" s="0"/>
      <c r="UQH58" s="0"/>
      <c r="UQI58" s="0"/>
      <c r="UQJ58" s="0"/>
      <c r="UQK58" s="0"/>
      <c r="UQL58" s="0"/>
      <c r="UQM58" s="0"/>
      <c r="UQN58" s="0"/>
      <c r="UQO58" s="0"/>
      <c r="UQP58" s="0"/>
      <c r="UQQ58" s="0"/>
      <c r="UQR58" s="0"/>
      <c r="UQS58" s="0"/>
      <c r="UQT58" s="0"/>
      <c r="UQU58" s="0"/>
      <c r="UQV58" s="0"/>
      <c r="UQW58" s="0"/>
      <c r="UQX58" s="0"/>
      <c r="UQY58" s="0"/>
      <c r="UQZ58" s="0"/>
      <c r="URA58" s="0"/>
      <c r="URB58" s="0"/>
      <c r="URC58" s="0"/>
      <c r="URD58" s="0"/>
      <c r="URE58" s="0"/>
      <c r="URF58" s="0"/>
      <c r="URG58" s="0"/>
      <c r="URH58" s="0"/>
      <c r="URI58" s="0"/>
      <c r="URJ58" s="0"/>
      <c r="URK58" s="0"/>
      <c r="URL58" s="0"/>
      <c r="URM58" s="0"/>
      <c r="URN58" s="0"/>
      <c r="URO58" s="0"/>
      <c r="URP58" s="0"/>
      <c r="URQ58" s="0"/>
      <c r="URR58" s="0"/>
      <c r="URS58" s="0"/>
      <c r="URT58" s="0"/>
      <c r="URU58" s="0"/>
      <c r="URV58" s="0"/>
      <c r="URW58" s="0"/>
      <c r="URX58" s="0"/>
      <c r="URY58" s="0"/>
      <c r="URZ58" s="0"/>
      <c r="USA58" s="0"/>
      <c r="USB58" s="0"/>
      <c r="USC58" s="0"/>
      <c r="USD58" s="0"/>
      <c r="USE58" s="0"/>
      <c r="USF58" s="0"/>
      <c r="USG58" s="0"/>
      <c r="USH58" s="0"/>
      <c r="USI58" s="0"/>
      <c r="USJ58" s="0"/>
      <c r="USK58" s="0"/>
      <c r="USL58" s="0"/>
      <c r="USM58" s="0"/>
      <c r="USN58" s="0"/>
      <c r="USO58" s="0"/>
      <c r="USP58" s="0"/>
      <c r="USQ58" s="0"/>
      <c r="USR58" s="0"/>
      <c r="USS58" s="0"/>
      <c r="UST58" s="0"/>
      <c r="USU58" s="0"/>
      <c r="USV58" s="0"/>
      <c r="USW58" s="0"/>
      <c r="USX58" s="0"/>
      <c r="USY58" s="0"/>
      <c r="USZ58" s="0"/>
      <c r="UTA58" s="0"/>
      <c r="UTB58" s="0"/>
      <c r="UTC58" s="0"/>
      <c r="UTD58" s="0"/>
      <c r="UTE58" s="0"/>
      <c r="UTF58" s="0"/>
      <c r="UTG58" s="0"/>
      <c r="UTH58" s="0"/>
      <c r="UTI58" s="0"/>
      <c r="UTJ58" s="0"/>
      <c r="UTK58" s="0"/>
      <c r="UTL58" s="0"/>
      <c r="UTM58" s="0"/>
      <c r="UTN58" s="0"/>
      <c r="UTO58" s="0"/>
      <c r="UTP58" s="0"/>
      <c r="UTQ58" s="0"/>
      <c r="UTR58" s="0"/>
      <c r="UTS58" s="0"/>
      <c r="UTT58" s="0"/>
      <c r="UTU58" s="0"/>
      <c r="UTV58" s="0"/>
      <c r="UTW58" s="0"/>
      <c r="UTX58" s="0"/>
      <c r="UTY58" s="0"/>
      <c r="UTZ58" s="0"/>
      <c r="UUA58" s="0"/>
      <c r="UUB58" s="0"/>
      <c r="UUC58" s="0"/>
      <c r="UUD58" s="0"/>
      <c r="UUE58" s="0"/>
      <c r="UUF58" s="0"/>
      <c r="UUG58" s="0"/>
      <c r="UUH58" s="0"/>
      <c r="UUI58" s="0"/>
      <c r="UUJ58" s="0"/>
      <c r="UUK58" s="0"/>
      <c r="UUL58" s="0"/>
      <c r="UUM58" s="0"/>
      <c r="UUN58" s="0"/>
      <c r="UUO58" s="0"/>
      <c r="UUP58" s="0"/>
      <c r="UUQ58" s="0"/>
      <c r="UUR58" s="0"/>
      <c r="UUS58" s="0"/>
      <c r="UUT58" s="0"/>
      <c r="UUU58" s="0"/>
      <c r="UUV58" s="0"/>
      <c r="UUW58" s="0"/>
      <c r="UUX58" s="0"/>
      <c r="UUY58" s="0"/>
      <c r="UUZ58" s="0"/>
      <c r="UVA58" s="0"/>
      <c r="UVB58" s="0"/>
      <c r="UVC58" s="0"/>
      <c r="UVD58" s="0"/>
      <c r="UVE58" s="0"/>
      <c r="UVF58" s="0"/>
      <c r="UVG58" s="0"/>
      <c r="UVH58" s="0"/>
      <c r="UVI58" s="0"/>
      <c r="UVJ58" s="0"/>
      <c r="UVK58" s="0"/>
      <c r="UVL58" s="0"/>
      <c r="UVM58" s="0"/>
      <c r="UVN58" s="0"/>
      <c r="UVO58" s="0"/>
      <c r="UVP58" s="0"/>
      <c r="UVQ58" s="0"/>
      <c r="UVR58" s="0"/>
      <c r="UVS58" s="0"/>
      <c r="UVT58" s="0"/>
      <c r="UVU58" s="0"/>
      <c r="UVV58" s="0"/>
      <c r="UVW58" s="0"/>
      <c r="UVX58" s="0"/>
      <c r="UVY58" s="0"/>
      <c r="UVZ58" s="0"/>
      <c r="UWA58" s="0"/>
      <c r="UWB58" s="0"/>
      <c r="UWC58" s="0"/>
      <c r="UWD58" s="0"/>
      <c r="UWE58" s="0"/>
      <c r="UWF58" s="0"/>
      <c r="UWG58" s="0"/>
      <c r="UWH58" s="0"/>
      <c r="UWI58" s="0"/>
      <c r="UWJ58" s="0"/>
      <c r="UWK58" s="0"/>
      <c r="UWL58" s="0"/>
      <c r="UWM58" s="0"/>
      <c r="UWN58" s="0"/>
      <c r="UWO58" s="0"/>
      <c r="UWP58" s="0"/>
      <c r="UWQ58" s="0"/>
      <c r="UWR58" s="0"/>
      <c r="UWS58" s="0"/>
      <c r="UWT58" s="0"/>
      <c r="UWU58" s="0"/>
      <c r="UWV58" s="0"/>
      <c r="UWW58" s="0"/>
      <c r="UWX58" s="0"/>
      <c r="UWY58" s="0"/>
      <c r="UWZ58" s="0"/>
      <c r="UXA58" s="0"/>
      <c r="UXB58" s="0"/>
      <c r="UXC58" s="0"/>
      <c r="UXD58" s="0"/>
      <c r="UXE58" s="0"/>
      <c r="UXF58" s="0"/>
      <c r="UXG58" s="0"/>
      <c r="UXH58" s="0"/>
      <c r="UXI58" s="0"/>
      <c r="UXJ58" s="0"/>
      <c r="UXK58" s="0"/>
      <c r="UXL58" s="0"/>
      <c r="UXM58" s="0"/>
      <c r="UXN58" s="0"/>
      <c r="UXO58" s="0"/>
      <c r="UXP58" s="0"/>
      <c r="UXQ58" s="0"/>
      <c r="UXR58" s="0"/>
      <c r="UXS58" s="0"/>
      <c r="UXT58" s="0"/>
      <c r="UXU58" s="0"/>
      <c r="UXV58" s="0"/>
      <c r="UXW58" s="0"/>
      <c r="UXX58" s="0"/>
      <c r="UXY58" s="0"/>
      <c r="UXZ58" s="0"/>
      <c r="UYA58" s="0"/>
      <c r="UYB58" s="0"/>
      <c r="UYC58" s="0"/>
      <c r="UYD58" s="0"/>
      <c r="UYE58" s="0"/>
      <c r="UYF58" s="0"/>
      <c r="UYG58" s="0"/>
      <c r="UYH58" s="0"/>
      <c r="UYI58" s="0"/>
      <c r="UYJ58" s="0"/>
      <c r="UYK58" s="0"/>
      <c r="UYL58" s="0"/>
      <c r="UYM58" s="0"/>
      <c r="UYN58" s="0"/>
      <c r="UYO58" s="0"/>
      <c r="UYP58" s="0"/>
      <c r="UYQ58" s="0"/>
      <c r="UYR58" s="0"/>
      <c r="UYS58" s="0"/>
      <c r="UYT58" s="0"/>
      <c r="UYU58" s="0"/>
      <c r="UYV58" s="0"/>
      <c r="UYW58" s="0"/>
      <c r="UYX58" s="0"/>
      <c r="UYY58" s="0"/>
      <c r="UYZ58" s="0"/>
      <c r="UZA58" s="0"/>
      <c r="UZB58" s="0"/>
      <c r="UZC58" s="0"/>
      <c r="UZD58" s="0"/>
      <c r="UZE58" s="0"/>
      <c r="UZF58" s="0"/>
      <c r="UZG58" s="0"/>
      <c r="UZH58" s="0"/>
      <c r="UZI58" s="0"/>
      <c r="UZJ58" s="0"/>
      <c r="UZK58" s="0"/>
      <c r="UZL58" s="0"/>
      <c r="UZM58" s="0"/>
      <c r="UZN58" s="0"/>
      <c r="UZO58" s="0"/>
      <c r="UZP58" s="0"/>
      <c r="UZQ58" s="0"/>
      <c r="UZR58" s="0"/>
      <c r="UZS58" s="0"/>
      <c r="UZT58" s="0"/>
      <c r="UZU58" s="0"/>
      <c r="UZV58" s="0"/>
      <c r="UZW58" s="0"/>
      <c r="UZX58" s="0"/>
      <c r="UZY58" s="0"/>
      <c r="UZZ58" s="0"/>
      <c r="VAA58" s="0"/>
      <c r="VAB58" s="0"/>
      <c r="VAC58" s="0"/>
      <c r="VAD58" s="0"/>
      <c r="VAE58" s="0"/>
      <c r="VAF58" s="0"/>
      <c r="VAG58" s="0"/>
      <c r="VAH58" s="0"/>
      <c r="VAI58" s="0"/>
      <c r="VAJ58" s="0"/>
      <c r="VAK58" s="0"/>
      <c r="VAL58" s="0"/>
      <c r="VAM58" s="0"/>
      <c r="VAN58" s="0"/>
      <c r="VAO58" s="0"/>
      <c r="VAP58" s="0"/>
      <c r="VAQ58" s="0"/>
      <c r="VAR58" s="0"/>
      <c r="VAS58" s="0"/>
      <c r="VAT58" s="0"/>
      <c r="VAU58" s="0"/>
      <c r="VAV58" s="0"/>
      <c r="VAW58" s="0"/>
      <c r="VAX58" s="0"/>
      <c r="VAY58" s="0"/>
      <c r="VAZ58" s="0"/>
      <c r="VBA58" s="0"/>
      <c r="VBB58" s="0"/>
      <c r="VBC58" s="0"/>
      <c r="VBD58" s="0"/>
      <c r="VBE58" s="0"/>
      <c r="VBF58" s="0"/>
      <c r="VBG58" s="0"/>
      <c r="VBH58" s="0"/>
      <c r="VBI58" s="0"/>
      <c r="VBJ58" s="0"/>
      <c r="VBK58" s="0"/>
      <c r="VBL58" s="0"/>
      <c r="VBM58" s="0"/>
      <c r="VBN58" s="0"/>
      <c r="VBO58" s="0"/>
      <c r="VBP58" s="0"/>
      <c r="VBQ58" s="0"/>
      <c r="VBR58" s="0"/>
      <c r="VBS58" s="0"/>
      <c r="VBT58" s="0"/>
      <c r="VBU58" s="0"/>
      <c r="VBV58" s="0"/>
      <c r="VBW58" s="0"/>
      <c r="VBX58" s="0"/>
      <c r="VBY58" s="0"/>
      <c r="VBZ58" s="0"/>
      <c r="VCA58" s="0"/>
      <c r="VCB58" s="0"/>
      <c r="VCC58" s="0"/>
      <c r="VCD58" s="0"/>
      <c r="VCE58" s="0"/>
      <c r="VCF58" s="0"/>
      <c r="VCG58" s="0"/>
      <c r="VCH58" s="0"/>
      <c r="VCI58" s="0"/>
      <c r="VCJ58" s="0"/>
      <c r="VCK58" s="0"/>
      <c r="VCL58" s="0"/>
      <c r="VCM58" s="0"/>
      <c r="VCN58" s="0"/>
      <c r="VCO58" s="0"/>
      <c r="VCP58" s="0"/>
      <c r="VCQ58" s="0"/>
      <c r="VCR58" s="0"/>
      <c r="VCS58" s="0"/>
      <c r="VCT58" s="0"/>
      <c r="VCU58" s="0"/>
      <c r="VCV58" s="0"/>
      <c r="VCW58" s="0"/>
      <c r="VCX58" s="0"/>
      <c r="VCY58" s="0"/>
      <c r="VCZ58" s="0"/>
      <c r="VDA58" s="0"/>
      <c r="VDB58" s="0"/>
      <c r="VDC58" s="0"/>
      <c r="VDD58" s="0"/>
      <c r="VDE58" s="0"/>
      <c r="VDF58" s="0"/>
      <c r="VDG58" s="0"/>
      <c r="VDH58" s="0"/>
      <c r="VDI58" s="0"/>
      <c r="VDJ58" s="0"/>
      <c r="VDK58" s="0"/>
      <c r="VDL58" s="0"/>
      <c r="VDM58" s="0"/>
      <c r="VDN58" s="0"/>
      <c r="VDO58" s="0"/>
      <c r="VDP58" s="0"/>
      <c r="VDQ58" s="0"/>
      <c r="VDR58" s="0"/>
      <c r="VDS58" s="0"/>
      <c r="VDT58" s="0"/>
      <c r="VDU58" s="0"/>
      <c r="VDV58" s="0"/>
      <c r="VDW58" s="0"/>
      <c r="VDX58" s="0"/>
      <c r="VDY58" s="0"/>
      <c r="VDZ58" s="0"/>
      <c r="VEA58" s="0"/>
      <c r="VEB58" s="0"/>
      <c r="VEC58" s="0"/>
      <c r="VED58" s="0"/>
      <c r="VEE58" s="0"/>
      <c r="VEF58" s="0"/>
      <c r="VEG58" s="0"/>
      <c r="VEH58" s="0"/>
      <c r="VEI58" s="0"/>
      <c r="VEJ58" s="0"/>
      <c r="VEK58" s="0"/>
      <c r="VEL58" s="0"/>
      <c r="VEM58" s="0"/>
      <c r="VEN58" s="0"/>
      <c r="VEO58" s="0"/>
      <c r="VEP58" s="0"/>
      <c r="VEQ58" s="0"/>
      <c r="VER58" s="0"/>
      <c r="VES58" s="0"/>
      <c r="VET58" s="0"/>
      <c r="VEU58" s="0"/>
      <c r="VEV58" s="0"/>
      <c r="VEW58" s="0"/>
      <c r="VEX58" s="0"/>
      <c r="VEY58" s="0"/>
      <c r="VEZ58" s="0"/>
      <c r="VFA58" s="0"/>
      <c r="VFB58" s="0"/>
      <c r="VFC58" s="0"/>
      <c r="VFD58" s="0"/>
      <c r="VFE58" s="0"/>
      <c r="VFF58" s="0"/>
      <c r="VFG58" s="0"/>
      <c r="VFH58" s="0"/>
      <c r="VFI58" s="0"/>
      <c r="VFJ58" s="0"/>
      <c r="VFK58" s="0"/>
      <c r="VFL58" s="0"/>
      <c r="VFM58" s="0"/>
      <c r="VFN58" s="0"/>
      <c r="VFO58" s="0"/>
      <c r="VFP58" s="0"/>
      <c r="VFQ58" s="0"/>
      <c r="VFR58" s="0"/>
      <c r="VFS58" s="0"/>
      <c r="VFT58" s="0"/>
      <c r="VFU58" s="0"/>
      <c r="VFV58" s="0"/>
      <c r="VFW58" s="0"/>
      <c r="VFX58" s="0"/>
      <c r="VFY58" s="0"/>
      <c r="VFZ58" s="0"/>
      <c r="VGA58" s="0"/>
      <c r="VGB58" s="0"/>
      <c r="VGC58" s="0"/>
      <c r="VGD58" s="0"/>
      <c r="VGE58" s="0"/>
      <c r="VGF58" s="0"/>
      <c r="VGG58" s="0"/>
      <c r="VGH58" s="0"/>
      <c r="VGI58" s="0"/>
      <c r="VGJ58" s="0"/>
      <c r="VGK58" s="0"/>
      <c r="VGL58" s="0"/>
      <c r="VGM58" s="0"/>
      <c r="VGN58" s="0"/>
      <c r="VGO58" s="0"/>
      <c r="VGP58" s="0"/>
      <c r="VGQ58" s="0"/>
      <c r="VGR58" s="0"/>
      <c r="VGS58" s="0"/>
      <c r="VGT58" s="0"/>
      <c r="VGU58" s="0"/>
      <c r="VGV58" s="0"/>
      <c r="VGW58" s="0"/>
      <c r="VGX58" s="0"/>
      <c r="VGY58" s="0"/>
      <c r="VGZ58" s="0"/>
      <c r="VHA58" s="0"/>
      <c r="VHB58" s="0"/>
      <c r="VHC58" s="0"/>
      <c r="VHD58" s="0"/>
      <c r="VHE58" s="0"/>
      <c r="VHF58" s="0"/>
      <c r="VHG58" s="0"/>
      <c r="VHH58" s="0"/>
      <c r="VHI58" s="0"/>
      <c r="VHJ58" s="0"/>
      <c r="VHK58" s="0"/>
      <c r="VHL58" s="0"/>
      <c r="VHM58" s="0"/>
      <c r="VHN58" s="0"/>
      <c r="VHO58" s="0"/>
      <c r="VHP58" s="0"/>
      <c r="VHQ58" s="0"/>
      <c r="VHR58" s="0"/>
      <c r="VHS58" s="0"/>
      <c r="VHT58" s="0"/>
      <c r="VHU58" s="0"/>
      <c r="VHV58" s="0"/>
      <c r="VHW58" s="0"/>
      <c r="VHX58" s="0"/>
      <c r="VHY58" s="0"/>
      <c r="VHZ58" s="0"/>
      <c r="VIA58" s="0"/>
      <c r="VIB58" s="0"/>
      <c r="VIC58" s="0"/>
      <c r="VID58" s="0"/>
      <c r="VIE58" s="0"/>
      <c r="VIF58" s="0"/>
      <c r="VIG58" s="0"/>
      <c r="VIH58" s="0"/>
      <c r="VII58" s="0"/>
      <c r="VIJ58" s="0"/>
      <c r="VIK58" s="0"/>
      <c r="VIL58" s="0"/>
      <c r="VIM58" s="0"/>
      <c r="VIN58" s="0"/>
      <c r="VIO58" s="0"/>
      <c r="VIP58" s="0"/>
      <c r="VIQ58" s="0"/>
      <c r="VIR58" s="0"/>
      <c r="VIS58" s="0"/>
      <c r="VIT58" s="0"/>
      <c r="VIU58" s="0"/>
      <c r="VIV58" s="0"/>
      <c r="VIW58" s="0"/>
      <c r="VIX58" s="0"/>
      <c r="VIY58" s="0"/>
      <c r="VIZ58" s="0"/>
      <c r="VJA58" s="0"/>
      <c r="VJB58" s="0"/>
      <c r="VJC58" s="0"/>
      <c r="VJD58" s="0"/>
      <c r="VJE58" s="0"/>
      <c r="VJF58" s="0"/>
      <c r="VJG58" s="0"/>
      <c r="VJH58" s="0"/>
      <c r="VJI58" s="0"/>
      <c r="VJJ58" s="0"/>
      <c r="VJK58" s="0"/>
      <c r="VJL58" s="0"/>
      <c r="VJM58" s="0"/>
      <c r="VJN58" s="0"/>
      <c r="VJO58" s="0"/>
      <c r="VJP58" s="0"/>
      <c r="VJQ58" s="0"/>
      <c r="VJR58" s="0"/>
      <c r="VJS58" s="0"/>
      <c r="VJT58" s="0"/>
      <c r="VJU58" s="0"/>
      <c r="VJV58" s="0"/>
      <c r="VJW58" s="0"/>
      <c r="VJX58" s="0"/>
      <c r="VJY58" s="0"/>
      <c r="VJZ58" s="0"/>
      <c r="VKA58" s="0"/>
      <c r="VKB58" s="0"/>
      <c r="VKC58" s="0"/>
      <c r="VKD58" s="0"/>
      <c r="VKE58" s="0"/>
      <c r="VKF58" s="0"/>
      <c r="VKG58" s="0"/>
      <c r="VKH58" s="0"/>
      <c r="VKI58" s="0"/>
      <c r="VKJ58" s="0"/>
      <c r="VKK58" s="0"/>
      <c r="VKL58" s="0"/>
      <c r="VKM58" s="0"/>
      <c r="VKN58" s="0"/>
      <c r="VKO58" s="0"/>
      <c r="VKP58" s="0"/>
      <c r="VKQ58" s="0"/>
      <c r="VKR58" s="0"/>
      <c r="VKS58" s="0"/>
      <c r="VKT58" s="0"/>
      <c r="VKU58" s="0"/>
      <c r="VKV58" s="0"/>
      <c r="VKW58" s="0"/>
      <c r="VKX58" s="0"/>
      <c r="VKY58" s="0"/>
      <c r="VKZ58" s="0"/>
      <c r="VLA58" s="0"/>
      <c r="VLB58" s="0"/>
      <c r="VLC58" s="0"/>
      <c r="VLD58" s="0"/>
      <c r="VLE58" s="0"/>
      <c r="VLF58" s="0"/>
      <c r="VLG58" s="0"/>
      <c r="VLH58" s="0"/>
      <c r="VLI58" s="0"/>
      <c r="VLJ58" s="0"/>
      <c r="VLK58" s="0"/>
      <c r="VLL58" s="0"/>
      <c r="VLM58" s="0"/>
      <c r="VLN58" s="0"/>
      <c r="VLO58" s="0"/>
      <c r="VLP58" s="0"/>
      <c r="VLQ58" s="0"/>
      <c r="VLR58" s="0"/>
      <c r="VLS58" s="0"/>
      <c r="VLT58" s="0"/>
      <c r="VLU58" s="0"/>
      <c r="VLV58" s="0"/>
      <c r="VLW58" s="0"/>
      <c r="VLX58" s="0"/>
      <c r="VLY58" s="0"/>
      <c r="VLZ58" s="0"/>
      <c r="VMA58" s="0"/>
      <c r="VMB58" s="0"/>
      <c r="VMC58" s="0"/>
      <c r="VMD58" s="0"/>
      <c r="VME58" s="0"/>
      <c r="VMF58" s="0"/>
      <c r="VMG58" s="0"/>
      <c r="VMH58" s="0"/>
      <c r="VMI58" s="0"/>
      <c r="VMJ58" s="0"/>
      <c r="VMK58" s="0"/>
      <c r="VML58" s="0"/>
      <c r="VMM58" s="0"/>
      <c r="VMN58" s="0"/>
      <c r="VMO58" s="0"/>
      <c r="VMP58" s="0"/>
      <c r="VMQ58" s="0"/>
      <c r="VMR58" s="0"/>
      <c r="VMS58" s="0"/>
      <c r="VMT58" s="0"/>
      <c r="VMU58" s="0"/>
      <c r="VMV58" s="0"/>
      <c r="VMW58" s="0"/>
      <c r="VMX58" s="0"/>
      <c r="VMY58" s="0"/>
      <c r="VMZ58" s="0"/>
      <c r="VNA58" s="0"/>
      <c r="VNB58" s="0"/>
      <c r="VNC58" s="0"/>
      <c r="VND58" s="0"/>
      <c r="VNE58" s="0"/>
      <c r="VNF58" s="0"/>
      <c r="VNG58" s="0"/>
      <c r="VNH58" s="0"/>
      <c r="VNI58" s="0"/>
      <c r="VNJ58" s="0"/>
      <c r="VNK58" s="0"/>
      <c r="VNL58" s="0"/>
      <c r="VNM58" s="0"/>
      <c r="VNN58" s="0"/>
      <c r="VNO58" s="0"/>
      <c r="VNP58" s="0"/>
      <c r="VNQ58" s="0"/>
      <c r="VNR58" s="0"/>
      <c r="VNS58" s="0"/>
      <c r="VNT58" s="0"/>
      <c r="VNU58" s="0"/>
      <c r="VNV58" s="0"/>
      <c r="VNW58" s="0"/>
      <c r="VNX58" s="0"/>
      <c r="VNY58" s="0"/>
      <c r="VNZ58" s="0"/>
      <c r="VOA58" s="0"/>
      <c r="VOB58" s="0"/>
      <c r="VOC58" s="0"/>
      <c r="VOD58" s="0"/>
      <c r="VOE58" s="0"/>
      <c r="VOF58" s="0"/>
      <c r="VOG58" s="0"/>
      <c r="VOH58" s="0"/>
      <c r="VOI58" s="0"/>
      <c r="VOJ58" s="0"/>
      <c r="VOK58" s="0"/>
      <c r="VOL58" s="0"/>
      <c r="VOM58" s="0"/>
      <c r="VON58" s="0"/>
      <c r="VOO58" s="0"/>
      <c r="VOP58" s="0"/>
      <c r="VOQ58" s="0"/>
      <c r="VOR58" s="0"/>
      <c r="VOS58" s="0"/>
      <c r="VOT58" s="0"/>
      <c r="VOU58" s="0"/>
      <c r="VOV58" s="0"/>
      <c r="VOW58" s="0"/>
      <c r="VOX58" s="0"/>
      <c r="VOY58" s="0"/>
      <c r="VOZ58" s="0"/>
      <c r="VPA58" s="0"/>
      <c r="VPB58" s="0"/>
      <c r="VPC58" s="0"/>
      <c r="VPD58" s="0"/>
      <c r="VPE58" s="0"/>
      <c r="VPF58" s="0"/>
      <c r="VPG58" s="0"/>
      <c r="VPH58" s="0"/>
      <c r="VPI58" s="0"/>
      <c r="VPJ58" s="0"/>
      <c r="VPK58" s="0"/>
      <c r="VPL58" s="0"/>
      <c r="VPM58" s="0"/>
      <c r="VPN58" s="0"/>
      <c r="VPO58" s="0"/>
      <c r="VPP58" s="0"/>
      <c r="VPQ58" s="0"/>
      <c r="VPR58" s="0"/>
      <c r="VPS58" s="0"/>
      <c r="VPT58" s="0"/>
      <c r="VPU58" s="0"/>
      <c r="VPV58" s="0"/>
      <c r="VPW58" s="0"/>
      <c r="VPX58" s="0"/>
      <c r="VPY58" s="0"/>
      <c r="VPZ58" s="0"/>
      <c r="VQA58" s="0"/>
      <c r="VQB58" s="0"/>
      <c r="VQC58" s="0"/>
      <c r="VQD58" s="0"/>
      <c r="VQE58" s="0"/>
      <c r="VQF58" s="0"/>
      <c r="VQG58" s="0"/>
      <c r="VQH58" s="0"/>
      <c r="VQI58" s="0"/>
      <c r="VQJ58" s="0"/>
      <c r="VQK58" s="0"/>
      <c r="VQL58" s="0"/>
      <c r="VQM58" s="0"/>
      <c r="VQN58" s="0"/>
      <c r="VQO58" s="0"/>
      <c r="VQP58" s="0"/>
      <c r="VQQ58" s="0"/>
      <c r="VQR58" s="0"/>
      <c r="VQS58" s="0"/>
      <c r="VQT58" s="0"/>
      <c r="VQU58" s="0"/>
      <c r="VQV58" s="0"/>
      <c r="VQW58" s="0"/>
      <c r="VQX58" s="0"/>
      <c r="VQY58" s="0"/>
      <c r="VQZ58" s="0"/>
      <c r="VRA58" s="0"/>
      <c r="VRB58" s="0"/>
      <c r="VRC58" s="0"/>
      <c r="VRD58" s="0"/>
      <c r="VRE58" s="0"/>
      <c r="VRF58" s="0"/>
      <c r="VRG58" s="0"/>
      <c r="VRH58" s="0"/>
      <c r="VRI58" s="0"/>
      <c r="VRJ58" s="0"/>
      <c r="VRK58" s="0"/>
      <c r="VRL58" s="0"/>
      <c r="VRM58" s="0"/>
      <c r="VRN58" s="0"/>
      <c r="VRO58" s="0"/>
      <c r="VRP58" s="0"/>
      <c r="VRQ58" s="0"/>
      <c r="VRR58" s="0"/>
      <c r="VRS58" s="0"/>
      <c r="VRT58" s="0"/>
      <c r="VRU58" s="0"/>
      <c r="VRV58" s="0"/>
      <c r="VRW58" s="0"/>
      <c r="VRX58" s="0"/>
      <c r="VRY58" s="0"/>
      <c r="VRZ58" s="0"/>
      <c r="VSA58" s="0"/>
      <c r="VSB58" s="0"/>
      <c r="VSC58" s="0"/>
      <c r="VSD58" s="0"/>
      <c r="VSE58" s="0"/>
      <c r="VSF58" s="0"/>
      <c r="VSG58" s="0"/>
      <c r="VSH58" s="0"/>
      <c r="VSI58" s="0"/>
      <c r="VSJ58" s="0"/>
      <c r="VSK58" s="0"/>
      <c r="VSL58" s="0"/>
      <c r="VSM58" s="0"/>
      <c r="VSN58" s="0"/>
      <c r="VSO58" s="0"/>
      <c r="VSP58" s="0"/>
      <c r="VSQ58" s="0"/>
      <c r="VSR58" s="0"/>
      <c r="VSS58" s="0"/>
      <c r="VST58" s="0"/>
      <c r="VSU58" s="0"/>
      <c r="VSV58" s="0"/>
      <c r="VSW58" s="0"/>
      <c r="VSX58" s="0"/>
      <c r="VSY58" s="0"/>
      <c r="VSZ58" s="0"/>
      <c r="VTA58" s="0"/>
      <c r="VTB58" s="0"/>
      <c r="VTC58" s="0"/>
      <c r="VTD58" s="0"/>
      <c r="VTE58" s="0"/>
      <c r="VTF58" s="0"/>
      <c r="VTG58" s="0"/>
      <c r="VTH58" s="0"/>
      <c r="VTI58" s="0"/>
      <c r="VTJ58" s="0"/>
      <c r="VTK58" s="0"/>
      <c r="VTL58" s="0"/>
      <c r="VTM58" s="0"/>
      <c r="VTN58" s="0"/>
      <c r="VTO58" s="0"/>
      <c r="VTP58" s="0"/>
      <c r="VTQ58" s="0"/>
      <c r="VTR58" s="0"/>
      <c r="VTS58" s="0"/>
      <c r="VTT58" s="0"/>
      <c r="VTU58" s="0"/>
      <c r="VTV58" s="0"/>
      <c r="VTW58" s="0"/>
      <c r="VTX58" s="0"/>
      <c r="VTY58" s="0"/>
      <c r="VTZ58" s="0"/>
      <c r="VUA58" s="0"/>
      <c r="VUB58" s="0"/>
      <c r="VUC58" s="0"/>
      <c r="VUD58" s="0"/>
      <c r="VUE58" s="0"/>
      <c r="VUF58" s="0"/>
      <c r="VUG58" s="0"/>
      <c r="VUH58" s="0"/>
      <c r="VUI58" s="0"/>
      <c r="VUJ58" s="0"/>
      <c r="VUK58" s="0"/>
      <c r="VUL58" s="0"/>
      <c r="VUM58" s="0"/>
      <c r="VUN58" s="0"/>
      <c r="VUO58" s="0"/>
      <c r="VUP58" s="0"/>
      <c r="VUQ58" s="0"/>
      <c r="VUR58" s="0"/>
      <c r="VUS58" s="0"/>
      <c r="VUT58" s="0"/>
      <c r="VUU58" s="0"/>
      <c r="VUV58" s="0"/>
      <c r="VUW58" s="0"/>
      <c r="VUX58" s="0"/>
      <c r="VUY58" s="0"/>
      <c r="VUZ58" s="0"/>
      <c r="VVA58" s="0"/>
      <c r="VVB58" s="0"/>
      <c r="VVC58" s="0"/>
      <c r="VVD58" s="0"/>
      <c r="VVE58" s="0"/>
      <c r="VVF58" s="0"/>
      <c r="VVG58" s="0"/>
      <c r="VVH58" s="0"/>
      <c r="VVI58" s="0"/>
      <c r="VVJ58" s="0"/>
      <c r="VVK58" s="0"/>
      <c r="VVL58" s="0"/>
      <c r="VVM58" s="0"/>
      <c r="VVN58" s="0"/>
      <c r="VVO58" s="0"/>
      <c r="VVP58" s="0"/>
      <c r="VVQ58" s="0"/>
      <c r="VVR58" s="0"/>
      <c r="VVS58" s="0"/>
      <c r="VVT58" s="0"/>
      <c r="VVU58" s="0"/>
      <c r="VVV58" s="0"/>
      <c r="VVW58" s="0"/>
      <c r="VVX58" s="0"/>
      <c r="VVY58" s="0"/>
      <c r="VVZ58" s="0"/>
      <c r="VWA58" s="0"/>
      <c r="VWB58" s="0"/>
      <c r="VWC58" s="0"/>
      <c r="VWD58" s="0"/>
      <c r="VWE58" s="0"/>
      <c r="VWF58" s="0"/>
      <c r="VWG58" s="0"/>
      <c r="VWH58" s="0"/>
      <c r="VWI58" s="0"/>
      <c r="VWJ58" s="0"/>
      <c r="VWK58" s="0"/>
      <c r="VWL58" s="0"/>
      <c r="VWM58" s="0"/>
      <c r="VWN58" s="0"/>
      <c r="VWO58" s="0"/>
      <c r="VWP58" s="0"/>
      <c r="VWQ58" s="0"/>
      <c r="VWR58" s="0"/>
      <c r="VWS58" s="0"/>
      <c r="VWT58" s="0"/>
      <c r="VWU58" s="0"/>
      <c r="VWV58" s="0"/>
      <c r="VWW58" s="0"/>
      <c r="VWX58" s="0"/>
      <c r="VWY58" s="0"/>
      <c r="VWZ58" s="0"/>
      <c r="VXA58" s="0"/>
      <c r="VXB58" s="0"/>
      <c r="VXC58" s="0"/>
      <c r="VXD58" s="0"/>
      <c r="VXE58" s="0"/>
      <c r="VXF58" s="0"/>
      <c r="VXG58" s="0"/>
      <c r="VXH58" s="0"/>
      <c r="VXI58" s="0"/>
      <c r="VXJ58" s="0"/>
      <c r="VXK58" s="0"/>
      <c r="VXL58" s="0"/>
      <c r="VXM58" s="0"/>
      <c r="VXN58" s="0"/>
      <c r="VXO58" s="0"/>
      <c r="VXP58" s="0"/>
      <c r="VXQ58" s="0"/>
      <c r="VXR58" s="0"/>
      <c r="VXS58" s="0"/>
      <c r="VXT58" s="0"/>
      <c r="VXU58" s="0"/>
      <c r="VXV58" s="0"/>
      <c r="VXW58" s="0"/>
      <c r="VXX58" s="0"/>
      <c r="VXY58" s="0"/>
      <c r="VXZ58" s="0"/>
      <c r="VYA58" s="0"/>
      <c r="VYB58" s="0"/>
      <c r="VYC58" s="0"/>
      <c r="VYD58" s="0"/>
      <c r="VYE58" s="0"/>
      <c r="VYF58" s="0"/>
      <c r="VYG58" s="0"/>
      <c r="VYH58" s="0"/>
      <c r="VYI58" s="0"/>
      <c r="VYJ58" s="0"/>
      <c r="VYK58" s="0"/>
      <c r="VYL58" s="0"/>
      <c r="VYM58" s="0"/>
      <c r="VYN58" s="0"/>
      <c r="VYO58" s="0"/>
      <c r="VYP58" s="0"/>
      <c r="VYQ58" s="0"/>
      <c r="VYR58" s="0"/>
      <c r="VYS58" s="0"/>
      <c r="VYT58" s="0"/>
      <c r="VYU58" s="0"/>
      <c r="VYV58" s="0"/>
      <c r="VYW58" s="0"/>
      <c r="VYX58" s="0"/>
      <c r="VYY58" s="0"/>
      <c r="VYZ58" s="0"/>
      <c r="VZA58" s="0"/>
      <c r="VZB58" s="0"/>
      <c r="VZC58" s="0"/>
      <c r="VZD58" s="0"/>
      <c r="VZE58" s="0"/>
      <c r="VZF58" s="0"/>
      <c r="VZG58" s="0"/>
      <c r="VZH58" s="0"/>
      <c r="VZI58" s="0"/>
      <c r="VZJ58" s="0"/>
      <c r="VZK58" s="0"/>
      <c r="VZL58" s="0"/>
      <c r="VZM58" s="0"/>
      <c r="VZN58" s="0"/>
      <c r="VZO58" s="0"/>
      <c r="VZP58" s="0"/>
      <c r="VZQ58" s="0"/>
      <c r="VZR58" s="0"/>
      <c r="VZS58" s="0"/>
      <c r="VZT58" s="0"/>
      <c r="VZU58" s="0"/>
      <c r="VZV58" s="0"/>
      <c r="VZW58" s="0"/>
      <c r="VZX58" s="0"/>
      <c r="VZY58" s="0"/>
      <c r="VZZ58" s="0"/>
      <c r="WAA58" s="0"/>
      <c r="WAB58" s="0"/>
      <c r="WAC58" s="0"/>
      <c r="WAD58" s="0"/>
      <c r="WAE58" s="0"/>
      <c r="WAF58" s="0"/>
      <c r="WAG58" s="0"/>
      <c r="WAH58" s="0"/>
      <c r="WAI58" s="0"/>
      <c r="WAJ58" s="0"/>
      <c r="WAK58" s="0"/>
      <c r="WAL58" s="0"/>
      <c r="WAM58" s="0"/>
      <c r="WAN58" s="0"/>
      <c r="WAO58" s="0"/>
      <c r="WAP58" s="0"/>
      <c r="WAQ58" s="0"/>
      <c r="WAR58" s="0"/>
      <c r="WAS58" s="0"/>
      <c r="WAT58" s="0"/>
      <c r="WAU58" s="0"/>
      <c r="WAV58" s="0"/>
      <c r="WAW58" s="0"/>
      <c r="WAX58" s="0"/>
      <c r="WAY58" s="0"/>
      <c r="WAZ58" s="0"/>
      <c r="WBA58" s="0"/>
      <c r="WBB58" s="0"/>
      <c r="WBC58" s="0"/>
      <c r="WBD58" s="0"/>
      <c r="WBE58" s="0"/>
      <c r="WBF58" s="0"/>
      <c r="WBG58" s="0"/>
      <c r="WBH58" s="0"/>
      <c r="WBI58" s="0"/>
      <c r="WBJ58" s="0"/>
      <c r="WBK58" s="0"/>
      <c r="WBL58" s="0"/>
      <c r="WBM58" s="0"/>
      <c r="WBN58" s="0"/>
      <c r="WBO58" s="0"/>
      <c r="WBP58" s="0"/>
      <c r="WBQ58" s="0"/>
      <c r="WBR58" s="0"/>
      <c r="WBS58" s="0"/>
      <c r="WBT58" s="0"/>
      <c r="WBU58" s="0"/>
      <c r="WBV58" s="0"/>
      <c r="WBW58" s="0"/>
      <c r="WBX58" s="0"/>
      <c r="WBY58" s="0"/>
      <c r="WBZ58" s="0"/>
      <c r="WCA58" s="0"/>
      <c r="WCB58" s="0"/>
      <c r="WCC58" s="0"/>
      <c r="WCD58" s="0"/>
      <c r="WCE58" s="0"/>
      <c r="WCF58" s="0"/>
      <c r="WCG58" s="0"/>
      <c r="WCH58" s="0"/>
      <c r="WCI58" s="0"/>
      <c r="WCJ58" s="0"/>
      <c r="WCK58" s="0"/>
      <c r="WCL58" s="0"/>
      <c r="WCM58" s="0"/>
      <c r="WCN58" s="0"/>
      <c r="WCO58" s="0"/>
      <c r="WCP58" s="0"/>
      <c r="WCQ58" s="0"/>
      <c r="WCR58" s="0"/>
      <c r="WCS58" s="0"/>
      <c r="WCT58" s="0"/>
      <c r="WCU58" s="0"/>
      <c r="WCV58" s="0"/>
      <c r="WCW58" s="0"/>
      <c r="WCX58" s="0"/>
      <c r="WCY58" s="0"/>
      <c r="WCZ58" s="0"/>
      <c r="WDA58" s="0"/>
      <c r="WDB58" s="0"/>
      <c r="WDC58" s="0"/>
      <c r="WDD58" s="0"/>
      <c r="WDE58" s="0"/>
      <c r="WDF58" s="0"/>
      <c r="WDG58" s="0"/>
      <c r="WDH58" s="0"/>
      <c r="WDI58" s="0"/>
      <c r="WDJ58" s="0"/>
      <c r="WDK58" s="0"/>
      <c r="WDL58" s="0"/>
      <c r="WDM58" s="0"/>
      <c r="WDN58" s="0"/>
      <c r="WDO58" s="0"/>
      <c r="WDP58" s="0"/>
      <c r="WDQ58" s="0"/>
      <c r="WDR58" s="0"/>
      <c r="WDS58" s="0"/>
      <c r="WDT58" s="0"/>
      <c r="WDU58" s="0"/>
      <c r="WDV58" s="0"/>
      <c r="WDW58" s="0"/>
      <c r="WDX58" s="0"/>
      <c r="WDY58" s="0"/>
      <c r="WDZ58" s="0"/>
      <c r="WEA58" s="0"/>
      <c r="WEB58" s="0"/>
      <c r="WEC58" s="0"/>
      <c r="WED58" s="0"/>
      <c r="WEE58" s="0"/>
      <c r="WEF58" s="0"/>
      <c r="WEG58" s="0"/>
      <c r="WEH58" s="0"/>
      <c r="WEI58" s="0"/>
      <c r="WEJ58" s="0"/>
      <c r="WEK58" s="0"/>
      <c r="WEL58" s="0"/>
      <c r="WEM58" s="0"/>
      <c r="WEN58" s="0"/>
      <c r="WEO58" s="0"/>
      <c r="WEP58" s="0"/>
      <c r="WEQ58" s="0"/>
      <c r="WER58" s="0"/>
      <c r="WES58" s="0"/>
      <c r="WET58" s="0"/>
      <c r="WEU58" s="0"/>
      <c r="WEV58" s="0"/>
      <c r="WEW58" s="0"/>
      <c r="WEX58" s="0"/>
      <c r="WEY58" s="0"/>
      <c r="WEZ58" s="0"/>
      <c r="WFA58" s="0"/>
      <c r="WFB58" s="0"/>
      <c r="WFC58" s="0"/>
      <c r="WFD58" s="0"/>
      <c r="WFE58" s="0"/>
      <c r="WFF58" s="0"/>
      <c r="WFG58" s="0"/>
      <c r="WFH58" s="0"/>
      <c r="WFI58" s="0"/>
      <c r="WFJ58" s="0"/>
      <c r="WFK58" s="0"/>
      <c r="WFL58" s="0"/>
      <c r="WFM58" s="0"/>
      <c r="WFN58" s="0"/>
      <c r="WFO58" s="0"/>
      <c r="WFP58" s="0"/>
      <c r="WFQ58" s="0"/>
      <c r="WFR58" s="0"/>
      <c r="WFS58" s="0"/>
      <c r="WFT58" s="0"/>
      <c r="WFU58" s="0"/>
      <c r="WFV58" s="0"/>
      <c r="WFW58" s="0"/>
      <c r="WFX58" s="0"/>
      <c r="WFY58" s="0"/>
      <c r="WFZ58" s="0"/>
      <c r="WGA58" s="0"/>
      <c r="WGB58" s="0"/>
      <c r="WGC58" s="0"/>
      <c r="WGD58" s="0"/>
      <c r="WGE58" s="0"/>
      <c r="WGF58" s="0"/>
      <c r="WGG58" s="0"/>
      <c r="WGH58" s="0"/>
      <c r="WGI58" s="0"/>
      <c r="WGJ58" s="0"/>
      <c r="WGK58" s="0"/>
      <c r="WGL58" s="0"/>
      <c r="WGM58" s="0"/>
      <c r="WGN58" s="0"/>
      <c r="WGO58" s="0"/>
      <c r="WGP58" s="0"/>
      <c r="WGQ58" s="0"/>
      <c r="WGR58" s="0"/>
      <c r="WGS58" s="0"/>
      <c r="WGT58" s="0"/>
      <c r="WGU58" s="0"/>
      <c r="WGV58" s="0"/>
      <c r="WGW58" s="0"/>
      <c r="WGX58" s="0"/>
      <c r="WGY58" s="0"/>
      <c r="WGZ58" s="0"/>
      <c r="WHA58" s="0"/>
      <c r="WHB58" s="0"/>
      <c r="WHC58" s="0"/>
      <c r="WHD58" s="0"/>
      <c r="WHE58" s="0"/>
      <c r="WHF58" s="0"/>
      <c r="WHG58" s="0"/>
      <c r="WHH58" s="0"/>
      <c r="WHI58" s="0"/>
      <c r="WHJ58" s="0"/>
      <c r="WHK58" s="0"/>
      <c r="WHL58" s="0"/>
      <c r="WHM58" s="0"/>
      <c r="WHN58" s="0"/>
      <c r="WHO58" s="0"/>
      <c r="WHP58" s="0"/>
      <c r="WHQ58" s="0"/>
      <c r="WHR58" s="0"/>
      <c r="WHS58" s="0"/>
      <c r="WHT58" s="0"/>
      <c r="WHU58" s="0"/>
      <c r="WHV58" s="0"/>
      <c r="WHW58" s="0"/>
      <c r="WHX58" s="0"/>
      <c r="WHY58" s="0"/>
      <c r="WHZ58" s="0"/>
      <c r="WIA58" s="0"/>
      <c r="WIB58" s="0"/>
      <c r="WIC58" s="0"/>
      <c r="WID58" s="0"/>
      <c r="WIE58" s="0"/>
      <c r="WIF58" s="0"/>
      <c r="WIG58" s="0"/>
      <c r="WIH58" s="0"/>
      <c r="WII58" s="0"/>
      <c r="WIJ58" s="0"/>
      <c r="WIK58" s="0"/>
      <c r="WIL58" s="0"/>
      <c r="WIM58" s="0"/>
      <c r="WIN58" s="0"/>
      <c r="WIO58" s="0"/>
      <c r="WIP58" s="0"/>
      <c r="WIQ58" s="0"/>
      <c r="WIR58" s="0"/>
      <c r="WIS58" s="0"/>
      <c r="WIT58" s="0"/>
      <c r="WIU58" s="0"/>
      <c r="WIV58" s="0"/>
      <c r="WIW58" s="0"/>
      <c r="WIX58" s="0"/>
      <c r="WIY58" s="0"/>
      <c r="WIZ58" s="0"/>
      <c r="WJA58" s="0"/>
      <c r="WJB58" s="0"/>
      <c r="WJC58" s="0"/>
      <c r="WJD58" s="0"/>
      <c r="WJE58" s="0"/>
      <c r="WJF58" s="0"/>
      <c r="WJG58" s="0"/>
      <c r="WJH58" s="0"/>
      <c r="WJI58" s="0"/>
      <c r="WJJ58" s="0"/>
      <c r="WJK58" s="0"/>
      <c r="WJL58" s="0"/>
      <c r="WJM58" s="0"/>
      <c r="WJN58" s="0"/>
      <c r="WJO58" s="0"/>
      <c r="WJP58" s="0"/>
      <c r="WJQ58" s="0"/>
      <c r="WJR58" s="0"/>
      <c r="WJS58" s="0"/>
      <c r="WJT58" s="0"/>
      <c r="WJU58" s="0"/>
      <c r="WJV58" s="0"/>
      <c r="WJW58" s="0"/>
      <c r="WJX58" s="0"/>
      <c r="WJY58" s="0"/>
      <c r="WJZ58" s="0"/>
      <c r="WKA58" s="0"/>
      <c r="WKB58" s="0"/>
      <c r="WKC58" s="0"/>
      <c r="WKD58" s="0"/>
      <c r="WKE58" s="0"/>
      <c r="WKF58" s="0"/>
      <c r="WKG58" s="0"/>
      <c r="WKH58" s="0"/>
      <c r="WKI58" s="0"/>
      <c r="WKJ58" s="0"/>
      <c r="WKK58" s="0"/>
      <c r="WKL58" s="0"/>
      <c r="WKM58" s="0"/>
      <c r="WKN58" s="0"/>
      <c r="WKO58" s="0"/>
      <c r="WKP58" s="0"/>
      <c r="WKQ58" s="0"/>
      <c r="WKR58" s="0"/>
      <c r="WKS58" s="0"/>
      <c r="WKT58" s="0"/>
      <c r="WKU58" s="0"/>
      <c r="WKV58" s="0"/>
      <c r="WKW58" s="0"/>
      <c r="WKX58" s="0"/>
      <c r="WKY58" s="0"/>
      <c r="WKZ58" s="0"/>
      <c r="WLA58" s="0"/>
      <c r="WLB58" s="0"/>
      <c r="WLC58" s="0"/>
      <c r="WLD58" s="0"/>
      <c r="WLE58" s="0"/>
      <c r="WLF58" s="0"/>
      <c r="WLG58" s="0"/>
      <c r="WLH58" s="0"/>
      <c r="WLI58" s="0"/>
      <c r="WLJ58" s="0"/>
      <c r="WLK58" s="0"/>
      <c r="WLL58" s="0"/>
      <c r="WLM58" s="0"/>
      <c r="WLN58" s="0"/>
      <c r="WLO58" s="0"/>
      <c r="WLP58" s="0"/>
      <c r="WLQ58" s="0"/>
      <c r="WLR58" s="0"/>
      <c r="WLS58" s="0"/>
      <c r="WLT58" s="0"/>
      <c r="WLU58" s="0"/>
      <c r="WLV58" s="0"/>
      <c r="WLW58" s="0"/>
      <c r="WLX58" s="0"/>
      <c r="WLY58" s="0"/>
      <c r="WLZ58" s="0"/>
      <c r="WMA58" s="0"/>
      <c r="WMB58" s="0"/>
      <c r="WMC58" s="0"/>
      <c r="WMD58" s="0"/>
      <c r="WME58" s="0"/>
      <c r="WMF58" s="0"/>
      <c r="WMG58" s="0"/>
      <c r="WMH58" s="0"/>
      <c r="WMI58" s="0"/>
      <c r="WMJ58" s="0"/>
      <c r="WMK58" s="0"/>
      <c r="WML58" s="0"/>
      <c r="WMM58" s="0"/>
      <c r="WMN58" s="0"/>
      <c r="WMO58" s="0"/>
      <c r="WMP58" s="0"/>
      <c r="WMQ58" s="0"/>
      <c r="WMR58" s="0"/>
      <c r="WMS58" s="0"/>
      <c r="WMT58" s="0"/>
      <c r="WMU58" s="0"/>
      <c r="WMV58" s="0"/>
      <c r="WMW58" s="0"/>
      <c r="WMX58" s="0"/>
      <c r="WMY58" s="0"/>
      <c r="WMZ58" s="0"/>
      <c r="WNA58" s="0"/>
      <c r="WNB58" s="0"/>
      <c r="WNC58" s="0"/>
      <c r="WND58" s="0"/>
      <c r="WNE58" s="0"/>
      <c r="WNF58" s="0"/>
      <c r="WNG58" s="0"/>
      <c r="WNH58" s="0"/>
      <c r="WNI58" s="0"/>
      <c r="WNJ58" s="0"/>
      <c r="WNK58" s="0"/>
      <c r="WNL58" s="0"/>
      <c r="WNM58" s="0"/>
      <c r="WNN58" s="0"/>
      <c r="WNO58" s="0"/>
      <c r="WNP58" s="0"/>
      <c r="WNQ58" s="0"/>
      <c r="WNR58" s="0"/>
      <c r="WNS58" s="0"/>
      <c r="WNT58" s="0"/>
      <c r="WNU58" s="0"/>
      <c r="WNV58" s="0"/>
      <c r="WNW58" s="0"/>
      <c r="WNX58" s="0"/>
      <c r="WNY58" s="0"/>
      <c r="WNZ58" s="0"/>
      <c r="WOA58" s="0"/>
      <c r="WOB58" s="0"/>
      <c r="WOC58" s="0"/>
      <c r="WOD58" s="0"/>
      <c r="WOE58" s="0"/>
      <c r="WOF58" s="0"/>
      <c r="WOG58" s="0"/>
      <c r="WOH58" s="0"/>
      <c r="WOI58" s="0"/>
      <c r="WOJ58" s="0"/>
      <c r="WOK58" s="0"/>
      <c r="WOL58" s="0"/>
      <c r="WOM58" s="0"/>
      <c r="WON58" s="0"/>
      <c r="WOO58" s="0"/>
      <c r="WOP58" s="0"/>
      <c r="WOQ58" s="0"/>
      <c r="WOR58" s="0"/>
      <c r="WOS58" s="0"/>
      <c r="WOT58" s="0"/>
      <c r="WOU58" s="0"/>
      <c r="WOV58" s="0"/>
      <c r="WOW58" s="0"/>
      <c r="WOX58" s="0"/>
      <c r="WOY58" s="0"/>
      <c r="WOZ58" s="0"/>
      <c r="WPA58" s="0"/>
      <c r="WPB58" s="0"/>
      <c r="WPC58" s="0"/>
      <c r="WPD58" s="0"/>
      <c r="WPE58" s="0"/>
      <c r="WPF58" s="0"/>
      <c r="WPG58" s="0"/>
      <c r="WPH58" s="0"/>
      <c r="WPI58" s="0"/>
      <c r="WPJ58" s="0"/>
      <c r="WPK58" s="0"/>
      <c r="WPL58" s="0"/>
      <c r="WPM58" s="0"/>
      <c r="WPN58" s="0"/>
      <c r="WPO58" s="0"/>
      <c r="WPP58" s="0"/>
      <c r="WPQ58" s="0"/>
      <c r="WPR58" s="0"/>
      <c r="WPS58" s="0"/>
      <c r="WPT58" s="0"/>
      <c r="WPU58" s="0"/>
      <c r="WPV58" s="0"/>
      <c r="WPW58" s="0"/>
      <c r="WPX58" s="0"/>
      <c r="WPY58" s="0"/>
      <c r="WPZ58" s="0"/>
      <c r="WQA58" s="0"/>
      <c r="WQB58" s="0"/>
      <c r="WQC58" s="0"/>
      <c r="WQD58" s="0"/>
      <c r="WQE58" s="0"/>
      <c r="WQF58" s="0"/>
      <c r="WQG58" s="0"/>
      <c r="WQH58" s="0"/>
      <c r="WQI58" s="0"/>
      <c r="WQJ58" s="0"/>
      <c r="WQK58" s="0"/>
      <c r="WQL58" s="0"/>
      <c r="WQM58" s="0"/>
      <c r="WQN58" s="0"/>
      <c r="WQO58" s="0"/>
      <c r="WQP58" s="0"/>
      <c r="WQQ58" s="0"/>
      <c r="WQR58" s="0"/>
      <c r="WQS58" s="0"/>
      <c r="WQT58" s="0"/>
      <c r="WQU58" s="0"/>
      <c r="WQV58" s="0"/>
      <c r="WQW58" s="0"/>
      <c r="WQX58" s="0"/>
      <c r="WQY58" s="0"/>
      <c r="WQZ58" s="0"/>
      <c r="WRA58" s="0"/>
      <c r="WRB58" s="0"/>
      <c r="WRC58" s="0"/>
      <c r="WRD58" s="0"/>
      <c r="WRE58" s="0"/>
      <c r="WRF58" s="0"/>
      <c r="WRG58" s="0"/>
      <c r="WRH58" s="0"/>
      <c r="WRI58" s="0"/>
      <c r="WRJ58" s="0"/>
      <c r="WRK58" s="0"/>
      <c r="WRL58" s="0"/>
      <c r="WRM58" s="0"/>
      <c r="WRN58" s="0"/>
      <c r="WRO58" s="0"/>
      <c r="WRP58" s="0"/>
      <c r="WRQ58" s="0"/>
      <c r="WRR58" s="0"/>
      <c r="WRS58" s="0"/>
      <c r="WRT58" s="0"/>
      <c r="WRU58" s="0"/>
      <c r="WRV58" s="0"/>
      <c r="WRW58" s="0"/>
      <c r="WRX58" s="0"/>
      <c r="WRY58" s="0"/>
      <c r="WRZ58" s="0"/>
      <c r="WSA58" s="0"/>
      <c r="WSB58" s="0"/>
      <c r="WSC58" s="0"/>
      <c r="WSD58" s="0"/>
      <c r="WSE58" s="0"/>
      <c r="WSF58" s="0"/>
      <c r="WSG58" s="0"/>
      <c r="WSH58" s="0"/>
      <c r="WSI58" s="0"/>
      <c r="WSJ58" s="0"/>
      <c r="WSK58" s="0"/>
      <c r="WSL58" s="0"/>
      <c r="WSM58" s="0"/>
      <c r="WSN58" s="0"/>
      <c r="WSO58" s="0"/>
      <c r="WSP58" s="0"/>
      <c r="WSQ58" s="0"/>
      <c r="WSR58" s="0"/>
      <c r="WSS58" s="0"/>
      <c r="WST58" s="0"/>
      <c r="WSU58" s="0"/>
      <c r="WSV58" s="0"/>
      <c r="WSW58" s="0"/>
      <c r="WSX58" s="0"/>
      <c r="WSY58" s="0"/>
      <c r="WSZ58" s="0"/>
      <c r="WTA58" s="0"/>
      <c r="WTB58" s="0"/>
      <c r="WTC58" s="0"/>
      <c r="WTD58" s="0"/>
      <c r="WTE58" s="0"/>
      <c r="WTF58" s="0"/>
      <c r="WTG58" s="0"/>
      <c r="WTH58" s="0"/>
      <c r="WTI58" s="0"/>
      <c r="WTJ58" s="0"/>
      <c r="WTK58" s="0"/>
      <c r="WTL58" s="0"/>
      <c r="WTM58" s="0"/>
      <c r="WTN58" s="0"/>
      <c r="WTO58" s="0"/>
      <c r="WTP58" s="0"/>
      <c r="WTQ58" s="0"/>
      <c r="WTR58" s="0"/>
      <c r="WTS58" s="0"/>
      <c r="WTT58" s="0"/>
      <c r="WTU58" s="0"/>
      <c r="WTV58" s="0"/>
      <c r="WTW58" s="0"/>
      <c r="WTX58" s="0"/>
      <c r="WTY58" s="0"/>
      <c r="WTZ58" s="0"/>
      <c r="WUA58" s="0"/>
      <c r="WUB58" s="0"/>
      <c r="WUC58" s="0"/>
      <c r="WUD58" s="0"/>
      <c r="WUE58" s="0"/>
      <c r="WUF58" s="0"/>
      <c r="WUG58" s="0"/>
      <c r="WUH58" s="0"/>
      <c r="WUI58" s="0"/>
      <c r="WUJ58" s="0"/>
      <c r="WUK58" s="0"/>
      <c r="WUL58" s="0"/>
      <c r="WUM58" s="0"/>
      <c r="WUN58" s="0"/>
      <c r="WUO58" s="0"/>
      <c r="WUP58" s="0"/>
      <c r="WUQ58" s="0"/>
      <c r="WUR58" s="0"/>
      <c r="WUS58" s="0"/>
      <c r="WUT58" s="0"/>
      <c r="WUU58" s="0"/>
      <c r="WUV58" s="0"/>
      <c r="WUW58" s="0"/>
      <c r="WUX58" s="0"/>
      <c r="WUY58" s="0"/>
      <c r="WUZ58" s="0"/>
      <c r="WVA58" s="0"/>
      <c r="WVB58" s="0"/>
      <c r="WVC58" s="0"/>
      <c r="WVD58" s="0"/>
      <c r="WVE58" s="0"/>
      <c r="WVF58" s="0"/>
      <c r="WVG58" s="0"/>
      <c r="WVH58" s="0"/>
      <c r="WVI58" s="0"/>
      <c r="WVJ58" s="0"/>
      <c r="WVK58" s="0"/>
      <c r="WVL58" s="0"/>
      <c r="WVM58" s="0"/>
      <c r="WVN58" s="0"/>
      <c r="WVO58" s="0"/>
      <c r="WVP58" s="0"/>
      <c r="WVQ58" s="0"/>
      <c r="WVR58" s="0"/>
      <c r="WVS58" s="0"/>
      <c r="WVT58" s="0"/>
      <c r="WVU58" s="0"/>
      <c r="WVV58" s="0"/>
      <c r="WVW58" s="0"/>
      <c r="WVX58" s="0"/>
      <c r="WVY58" s="0"/>
      <c r="WVZ58" s="0"/>
      <c r="WWA58" s="0"/>
      <c r="WWB58" s="0"/>
      <c r="WWC58" s="0"/>
      <c r="WWD58" s="0"/>
      <c r="WWE58" s="0"/>
      <c r="WWF58" s="0"/>
      <c r="WWG58" s="0"/>
      <c r="WWH58" s="0"/>
      <c r="WWI58" s="0"/>
      <c r="WWJ58" s="0"/>
      <c r="WWK58" s="0"/>
      <c r="WWL58" s="0"/>
      <c r="WWM58" s="0"/>
      <c r="WWN58" s="0"/>
      <c r="WWO58" s="0"/>
      <c r="WWP58" s="0"/>
      <c r="WWQ58" s="0"/>
      <c r="WWR58" s="0"/>
      <c r="WWS58" s="0"/>
      <c r="WWT58" s="0"/>
      <c r="WWU58" s="0"/>
      <c r="WWV58" s="0"/>
      <c r="WWW58" s="0"/>
      <c r="WWX58" s="0"/>
      <c r="WWY58" s="0"/>
      <c r="WWZ58" s="0"/>
      <c r="WXA58" s="0"/>
      <c r="WXB58" s="0"/>
      <c r="WXC58" s="0"/>
      <c r="WXD58" s="0"/>
      <c r="WXE58" s="0"/>
      <c r="WXF58" s="0"/>
      <c r="WXG58" s="0"/>
      <c r="WXH58" s="0"/>
      <c r="WXI58" s="0"/>
      <c r="WXJ58" s="0"/>
      <c r="WXK58" s="0"/>
      <c r="WXL58" s="0"/>
      <c r="WXM58" s="0"/>
      <c r="WXN58" s="0"/>
      <c r="WXO58" s="0"/>
      <c r="WXP58" s="0"/>
      <c r="WXQ58" s="0"/>
      <c r="WXR58" s="0"/>
      <c r="WXS58" s="0"/>
      <c r="WXT58" s="0"/>
      <c r="WXU58" s="0"/>
      <c r="WXV58" s="0"/>
      <c r="WXW58" s="0"/>
      <c r="WXX58" s="0"/>
      <c r="WXY58" s="0"/>
      <c r="WXZ58" s="0"/>
      <c r="WYA58" s="0"/>
      <c r="WYB58" s="0"/>
      <c r="WYC58" s="0"/>
      <c r="WYD58" s="0"/>
      <c r="WYE58" s="0"/>
      <c r="WYF58" s="0"/>
      <c r="WYG58" s="0"/>
      <c r="WYH58" s="0"/>
      <c r="WYI58" s="0"/>
      <c r="WYJ58" s="0"/>
      <c r="WYK58" s="0"/>
      <c r="WYL58" s="0"/>
      <c r="WYM58" s="0"/>
      <c r="WYN58" s="0"/>
      <c r="WYO58" s="0"/>
      <c r="WYP58" s="0"/>
      <c r="WYQ58" s="0"/>
      <c r="WYR58" s="0"/>
      <c r="WYS58" s="0"/>
      <c r="WYT58" s="0"/>
      <c r="WYU58" s="0"/>
      <c r="WYV58" s="0"/>
      <c r="WYW58" s="0"/>
      <c r="WYX58" s="0"/>
      <c r="WYY58" s="0"/>
      <c r="WYZ58" s="0"/>
      <c r="WZA58" s="0"/>
      <c r="WZB58" s="0"/>
      <c r="WZC58" s="0"/>
      <c r="WZD58" s="0"/>
      <c r="WZE58" s="0"/>
      <c r="WZF58" s="0"/>
      <c r="WZG58" s="0"/>
      <c r="WZH58" s="0"/>
      <c r="WZI58" s="0"/>
      <c r="WZJ58" s="0"/>
      <c r="WZK58" s="0"/>
      <c r="WZL58" s="0"/>
      <c r="WZM58" s="0"/>
      <c r="WZN58" s="0"/>
      <c r="WZO58" s="0"/>
      <c r="WZP58" s="0"/>
      <c r="WZQ58" s="0"/>
      <c r="WZR58" s="0"/>
      <c r="WZS58" s="0"/>
      <c r="WZT58" s="0"/>
      <c r="WZU58" s="0"/>
      <c r="WZV58" s="0"/>
      <c r="WZW58" s="0"/>
      <c r="WZX58" s="0"/>
      <c r="WZY58" s="0"/>
      <c r="WZZ58" s="0"/>
      <c r="XAA58" s="0"/>
      <c r="XAB58" s="0"/>
      <c r="XAC58" s="0"/>
      <c r="XAD58" s="0"/>
      <c r="XAE58" s="0"/>
      <c r="XAF58" s="0"/>
      <c r="XAG58" s="0"/>
      <c r="XAH58" s="0"/>
      <c r="XAI58" s="0"/>
      <c r="XAJ58" s="0"/>
      <c r="XAK58" s="0"/>
      <c r="XAL58" s="0"/>
      <c r="XAM58" s="0"/>
      <c r="XAN58" s="0"/>
      <c r="XAO58" s="0"/>
      <c r="XAP58" s="0"/>
      <c r="XAQ58" s="0"/>
      <c r="XAR58" s="0"/>
      <c r="XAS58" s="0"/>
      <c r="XAT58" s="0"/>
      <c r="XAU58" s="0"/>
      <c r="XAV58" s="0"/>
      <c r="XAW58" s="0"/>
      <c r="XAX58" s="0"/>
      <c r="XAY58" s="0"/>
      <c r="XAZ58" s="0"/>
      <c r="XBA58" s="0"/>
      <c r="XBB58" s="0"/>
      <c r="XBC58" s="0"/>
      <c r="XBD58" s="0"/>
      <c r="XBE58" s="0"/>
      <c r="XBF58" s="0"/>
      <c r="XBG58" s="0"/>
      <c r="XBH58" s="0"/>
      <c r="XBI58" s="0"/>
      <c r="XBJ58" s="0"/>
      <c r="XBK58" s="0"/>
      <c r="XBL58" s="0"/>
      <c r="XBM58" s="0"/>
      <c r="XBN58" s="0"/>
      <c r="XBO58" s="0"/>
      <c r="XBP58" s="0"/>
      <c r="XBQ58" s="0"/>
      <c r="XBR58" s="0"/>
      <c r="XBS58" s="0"/>
      <c r="XBT58" s="0"/>
      <c r="XBU58" s="0"/>
      <c r="XBV58" s="0"/>
      <c r="XBW58" s="0"/>
      <c r="XBX58" s="0"/>
      <c r="XBY58" s="0"/>
      <c r="XBZ58" s="0"/>
      <c r="XCA58" s="0"/>
      <c r="XCB58" s="0"/>
      <c r="XCC58" s="0"/>
      <c r="XCD58" s="0"/>
      <c r="XCE58" s="0"/>
      <c r="XCF58" s="0"/>
      <c r="XCG58" s="0"/>
      <c r="XCH58" s="0"/>
      <c r="XCI58" s="0"/>
      <c r="XCJ58" s="0"/>
      <c r="XCK58" s="0"/>
      <c r="XCL58" s="0"/>
      <c r="XCM58" s="0"/>
      <c r="XCN58" s="0"/>
      <c r="XCO58" s="0"/>
      <c r="XCP58" s="0"/>
      <c r="XCQ58" s="0"/>
      <c r="XCR58" s="0"/>
      <c r="XCS58" s="0"/>
      <c r="XCT58" s="0"/>
      <c r="XCU58" s="0"/>
      <c r="XCV58" s="0"/>
      <c r="XCW58" s="0"/>
      <c r="XCX58" s="0"/>
      <c r="XCY58" s="0"/>
      <c r="XCZ58" s="0"/>
      <c r="XDA58" s="0"/>
      <c r="XDB58" s="0"/>
      <c r="XDC58" s="0"/>
      <c r="XDD58" s="0"/>
      <c r="XDE58" s="0"/>
      <c r="XDF58" s="0"/>
      <c r="XDG58" s="0"/>
      <c r="XDH58" s="0"/>
      <c r="XDI58" s="0"/>
      <c r="XDJ58" s="0"/>
      <c r="XDK58" s="0"/>
      <c r="XDL58" s="0"/>
      <c r="XDM58" s="0"/>
      <c r="XDN58" s="0"/>
      <c r="XDO58" s="0"/>
      <c r="XDP58" s="0"/>
      <c r="XDQ58" s="0"/>
      <c r="XDR58" s="0"/>
      <c r="XDS58" s="0"/>
      <c r="XDT58" s="0"/>
      <c r="XDU58" s="0"/>
      <c r="XDV58" s="0"/>
      <c r="XDW58" s="0"/>
      <c r="XDX58" s="0"/>
      <c r="XDY58" s="0"/>
      <c r="XDZ58" s="0"/>
      <c r="XEA58" s="0"/>
      <c r="XEB58" s="0"/>
      <c r="XEC58" s="0"/>
      <c r="XED58" s="0"/>
      <c r="XEE58" s="0"/>
      <c r="XEF58" s="0"/>
      <c r="XEG58" s="0"/>
      <c r="XEH58" s="0"/>
      <c r="XEI58" s="0"/>
      <c r="XEJ58" s="0"/>
      <c r="XEK58" s="0"/>
      <c r="XEL58" s="0"/>
      <c r="XEM58" s="0"/>
      <c r="XEN58" s="0"/>
      <c r="XEO58" s="0"/>
      <c r="XEP58" s="0"/>
      <c r="XEQ58" s="0"/>
      <c r="XER58" s="0"/>
      <c r="XES58" s="0"/>
      <c r="XET58" s="0"/>
      <c r="XEU58" s="0"/>
      <c r="XEV58" s="0"/>
      <c r="XEW58" s="0"/>
      <c r="XEX58" s="0"/>
      <c r="XEY58" s="0"/>
      <c r="XEZ58" s="0"/>
      <c r="XFA58" s="0"/>
      <c r="XFB58" s="0"/>
      <c r="XFC58" s="0"/>
      <c r="XFD58" s="0"/>
    </row>
    <row r="59" customFormat="false" ht="13.8" hidden="false" customHeight="false" outlineLevel="0" collapsed="false">
      <c r="A59" s="0" t="s">
        <v>387</v>
      </c>
      <c r="B59" s="0" t="s">
        <v>397</v>
      </c>
      <c r="C59" s="0" t="n">
        <v>442</v>
      </c>
      <c r="D59" s="0" t="n">
        <v>440</v>
      </c>
      <c r="E59" s="0" t="n">
        <v>482</v>
      </c>
      <c r="F59" s="0" t="s">
        <v>89</v>
      </c>
      <c r="G59" s="0" t="s">
        <v>90</v>
      </c>
      <c r="H59" s="0" t="s">
        <v>152</v>
      </c>
      <c r="I59" s="0" t="s">
        <v>153</v>
      </c>
      <c r="J59" s="0" t="n">
        <v>2003</v>
      </c>
      <c r="K59" s="0"/>
      <c r="L59" s="0"/>
      <c r="M59" s="0" t="n">
        <v>7</v>
      </c>
      <c r="N59" s="0" t="n">
        <f aca="false">750*M59</f>
        <v>5250</v>
      </c>
      <c r="O59" s="27"/>
      <c r="P59" s="28"/>
      <c r="Q59" s="28"/>
      <c r="R59" s="28"/>
      <c r="S59" s="28"/>
      <c r="T59" s="28"/>
      <c r="U59" s="28"/>
      <c r="V59" s="28"/>
      <c r="W59" s="0" t="n">
        <f aca="false">W58+(37.3*2)</f>
        <v>298.4</v>
      </c>
      <c r="X59" s="27"/>
      <c r="Y59" s="0" t="n">
        <v>5</v>
      </c>
      <c r="Z59" s="0" t="n">
        <f aca="false">54*M59</f>
        <v>378</v>
      </c>
      <c r="AA59" s="29" t="n">
        <f aca="false">IF(AND(W59&gt;0,Z59&gt;0),(Z59/((W59+X59)*10)),"")</f>
        <v>0.126675603217158</v>
      </c>
      <c r="AB59" s="0" t="n">
        <v>125</v>
      </c>
      <c r="AC59" s="0" t="n">
        <f aca="false">ROUND(AB59*1.6, 0)</f>
        <v>200</v>
      </c>
      <c r="AD59" s="0"/>
      <c r="AE59" s="0"/>
      <c r="AF59" s="0" t="n">
        <v>23.8</v>
      </c>
      <c r="AG59" s="0" t="n">
        <v>23.8</v>
      </c>
      <c r="AH59" s="0" t="n">
        <v>2.73</v>
      </c>
      <c r="AI59" s="0"/>
      <c r="AJ59" s="30" t="n">
        <v>51</v>
      </c>
      <c r="AK59" s="0" t="str">
        <f aca="false">CONCATENATE(VLOOKUP(AL59, 'Voxel Sizes'!$A$2:$B$18,2,FALSE()),"x",INT(AH59*15), "x", INT(AI59*15))</f>
        <v>238x40x0</v>
      </c>
      <c r="AL59" s="0" t="n">
        <f aca="false">ROUND(15*((AG59*10)/256),0)</f>
        <v>14</v>
      </c>
      <c r="AM59" s="0"/>
      <c r="AN59" s="1" t="str">
        <f aca="false">CONCATENATE(VLOOKUP(AL59,Constants!$A$2:$C$16,IF(AM59&lt;&gt;"", 3, 2), FALSE()),IF(AM59&lt;&gt;"",CONCATENATE(",",VLOOKUP(AM59,$B:$AN,38,FALSE())),""))</f>
        <v>4,6,4</v>
      </c>
      <c r="AO59" s="0"/>
      <c r="AP59" s="31"/>
      <c r="AQ59" s="31"/>
      <c r="AR59" s="0" t="s">
        <v>398</v>
      </c>
      <c r="AS59" s="0"/>
      <c r="AT59" s="0" t="s">
        <v>399</v>
      </c>
      <c r="AU59" s="0" t="s">
        <v>390</v>
      </c>
      <c r="AV59" s="0"/>
      <c r="AW59" s="0"/>
      <c r="AX59" s="0" t="n">
        <v>29</v>
      </c>
      <c r="AY59" s="32" t="str">
        <f aca="false">IF(L59&lt;&gt;"",MAX(16,(L59-J59)+8),"")</f>
        <v/>
      </c>
      <c r="AZ59" s="0" t="n">
        <v>-15</v>
      </c>
      <c r="BA59" s="0" t="n">
        <v>-35</v>
      </c>
      <c r="BB59" s="0" t="n">
        <f aca="false">MIN(AB59/150, 1)*30</f>
        <v>25</v>
      </c>
      <c r="BC59" s="0" t="n">
        <f aca="false">MIN(N59/4000, 1)*20</f>
        <v>20</v>
      </c>
      <c r="BD59" s="0" t="n">
        <f aca="false">MIN(Z59/400,1)*20</f>
        <v>18.9</v>
      </c>
      <c r="BE59" s="29" t="n">
        <f aca="false">1-(MAX(J59-1900, 0)/750)</f>
        <v>0.862666666666667</v>
      </c>
      <c r="BF59" s="0" t="n">
        <f aca="false">((MAX($M59,1)*MIN($AJ59/300,1)))*IF(G59="Wagon",50,10)</f>
        <v>11.9</v>
      </c>
      <c r="BG59" s="1" t="n">
        <f aca="false">VLOOKUP($H59,Constants!$I:$K, 2, FALSE())</f>
        <v>1</v>
      </c>
      <c r="BH59" s="1" t="n">
        <f aca="false">VLOOKUP($H59,Constants!$I:$K, 3, FALSE())*IF(AND(G59="multiple_unit",AB59&lt;110),0.75,1)</f>
        <v>2</v>
      </c>
      <c r="BI59" s="1" t="n">
        <f aca="false">INT(POWER(((Constants!$G$2+$BB59+$BC59+$BD59+$BF59)*$BE59)*$BH59, 1.05))+$BA59</f>
        <v>143</v>
      </c>
      <c r="BJ59" s="1" t="n">
        <f aca="false">INT(POWER((((Constants!$G$1+$BB59+$BC59+$BD59+$BF59)*($BE59))*$BG59),IF($G59="wagon",1,1.2)))+$AZ59</f>
        <v>172</v>
      </c>
      <c r="BK59" s="33" t="n">
        <f aca="false">BI59*IF($G59="wagon",62.5,781.25)</f>
        <v>111718.75</v>
      </c>
      <c r="BL59" s="33" t="n">
        <f aca="false">BJ59*IF($G59="wagon",2.73,81.25)</f>
        <v>13975</v>
      </c>
      <c r="BM59" s="0"/>
      <c r="BN59" s="0"/>
      <c r="BO59" s="0"/>
      <c r="BP59" s="0"/>
      <c r="BQ59" s="0" t="s">
        <v>400</v>
      </c>
      <c r="BR59" s="0"/>
      <c r="BS59" s="1" t="s">
        <v>401</v>
      </c>
      <c r="BT59" s="0" t="n">
        <v>10</v>
      </c>
      <c r="BU59" s="0" t="n">
        <v>205</v>
      </c>
      <c r="BV59" s="0"/>
      <c r="BW59" s="0"/>
      <c r="BX59" s="0" t="s">
        <v>95</v>
      </c>
      <c r="BY59" s="1" t="s">
        <v>371</v>
      </c>
      <c r="BZ59" s="34" t="s">
        <v>211</v>
      </c>
      <c r="CA59" s="0" t="str">
        <f aca="false">CONCATENATE(BY59,"_",BZ59)</f>
        <v>prv_DMU (Express)</v>
      </c>
      <c r="CB59" s="0" t="str">
        <f aca="false">_xlfn.CONCAT(H59, "_",I59)</f>
        <v>diesel_RAIL</v>
      </c>
      <c r="CC59" s="20" t="str">
        <f aca="false">_xlfn.CONCAT("{BLACK}Length: {GOLD}", TEXT(ROUNDUP(IF(AQ59&lt;&gt;"",SUM(VALUE(_xlfn.TEXTSPLIT(AQ59, ","))), SUM(VALUE(_xlfn.TEXTSPLIT(AN59, ",")))*IF(M59, M59, 1))/16, 1), "#,##0.0"), " tiles{}")</f>
        <v>{BLACK}Length: {GOLD}6.2 tiles{}</v>
      </c>
      <c r="CD59" s="1" t="str">
        <f aca="false">VLOOKUP($CB59, Constants!$M:$N, 2, FALSE())</f>
        <v>{BLACK}Powered by: {GOLD}Diesel</v>
      </c>
      <c r="CE59" s="1" t="str">
        <f aca="false">IF(M59&gt;1,_xlfn.CONCAT("{BLACK}Cars: {GOLD}", M59),"")</f>
        <v>{BLACK}Cars: {GOLD}7</v>
      </c>
      <c r="CF59" s="0" t="s">
        <v>392</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c r="CI59" s="0"/>
      <c r="CJ59" s="0"/>
      <c r="CK59" s="0"/>
      <c r="CL59" s="0"/>
      <c r="CM59" s="0"/>
      <c r="CN59" s="0"/>
      <c r="CO59" s="0"/>
      <c r="CP59" s="0"/>
      <c r="CQ59" s="0"/>
      <c r="CR59" s="0"/>
      <c r="CS59" s="0"/>
      <c r="CT59" s="0"/>
      <c r="CU59" s="0"/>
      <c r="CV59" s="0"/>
      <c r="CW59" s="0"/>
      <c r="CX59" s="0"/>
      <c r="CY59" s="0"/>
      <c r="CZ59" s="0"/>
      <c r="DA59" s="0"/>
      <c r="DB59" s="0"/>
      <c r="DC59" s="0"/>
      <c r="DD59" s="0"/>
      <c r="DE59" s="0"/>
      <c r="DF59" s="0"/>
      <c r="DG59" s="0"/>
      <c r="DH59" s="0"/>
      <c r="DI59" s="0"/>
      <c r="DJ59" s="0"/>
      <c r="DK59" s="0"/>
      <c r="DL59" s="0"/>
      <c r="DM59" s="0"/>
      <c r="DN59" s="0"/>
      <c r="DO59" s="0"/>
      <c r="DP59" s="0"/>
      <c r="DQ59" s="0"/>
      <c r="DR59" s="0"/>
      <c r="DS59" s="0"/>
      <c r="DT59" s="0"/>
      <c r="DU59" s="0"/>
      <c r="DV59" s="0"/>
      <c r="DW59" s="0"/>
      <c r="DX59" s="0"/>
      <c r="DY59" s="0"/>
      <c r="DZ59" s="0"/>
      <c r="EA59" s="0"/>
      <c r="EB59" s="0"/>
      <c r="EC59" s="0"/>
      <c r="ED59" s="0"/>
      <c r="EE59" s="0"/>
      <c r="EF59" s="0"/>
      <c r="EG59" s="0"/>
      <c r="EH59" s="0"/>
      <c r="EI59" s="0"/>
      <c r="EJ59" s="0"/>
      <c r="EK59" s="0"/>
      <c r="EL59" s="0"/>
      <c r="EM59" s="0"/>
      <c r="EN59" s="0"/>
      <c r="EO59" s="0"/>
      <c r="EP59" s="0"/>
      <c r="EQ59" s="0"/>
      <c r="ER59" s="0"/>
      <c r="ES59" s="0"/>
      <c r="ET59" s="0"/>
      <c r="EU59" s="0"/>
      <c r="EV59" s="0"/>
      <c r="EW59" s="0"/>
      <c r="EX59" s="0"/>
      <c r="EY59" s="0"/>
      <c r="EZ59" s="0"/>
      <c r="FA59" s="0"/>
      <c r="FB59" s="0"/>
      <c r="FC59" s="0"/>
      <c r="FD59" s="0"/>
      <c r="FE59" s="0"/>
      <c r="FF59" s="0"/>
      <c r="FG59" s="0"/>
      <c r="FH59" s="0"/>
      <c r="FI59" s="0"/>
      <c r="FJ59" s="0"/>
      <c r="FK59" s="0"/>
      <c r="FL59" s="0"/>
      <c r="FM59" s="0"/>
      <c r="FN59" s="0"/>
      <c r="FO59" s="0"/>
      <c r="FP59" s="0"/>
      <c r="FQ59" s="0"/>
      <c r="FR59" s="0"/>
      <c r="FS59" s="0"/>
      <c r="FT59" s="0"/>
      <c r="FU59" s="0"/>
      <c r="FV59" s="0"/>
      <c r="FW59" s="0"/>
      <c r="FX59" s="0"/>
      <c r="FY59" s="0"/>
      <c r="FZ59" s="0"/>
      <c r="GA59" s="0"/>
      <c r="GB59" s="0"/>
      <c r="GC59" s="0"/>
      <c r="GD59" s="0"/>
      <c r="GE59" s="0"/>
      <c r="GF59" s="0"/>
      <c r="GG59" s="0"/>
      <c r="GH59" s="0"/>
      <c r="GI59" s="0"/>
      <c r="GJ59" s="0"/>
      <c r="GK59" s="0"/>
      <c r="GL59" s="0"/>
      <c r="GM59" s="0"/>
      <c r="GN59" s="0"/>
      <c r="GO59" s="0"/>
      <c r="GP59" s="0"/>
      <c r="GQ59" s="0"/>
      <c r="GR59" s="0"/>
      <c r="GS59" s="0"/>
      <c r="GT59" s="0"/>
      <c r="GU59" s="0"/>
      <c r="GV59" s="0"/>
      <c r="GW59" s="0"/>
      <c r="GX59" s="0"/>
      <c r="GY59" s="0"/>
      <c r="GZ59" s="0"/>
      <c r="HA59" s="0"/>
      <c r="HB59" s="0"/>
      <c r="HC59" s="0"/>
      <c r="HD59" s="0"/>
      <c r="HE59" s="0"/>
      <c r="HF59" s="0"/>
      <c r="HG59" s="0"/>
      <c r="HH59" s="0"/>
      <c r="HI59" s="0"/>
      <c r="HJ59" s="0"/>
      <c r="HK59" s="0"/>
      <c r="HL59" s="0"/>
      <c r="HM59" s="0"/>
      <c r="HN59" s="0"/>
      <c r="HO59" s="0"/>
      <c r="HP59" s="0"/>
      <c r="HQ59" s="0"/>
      <c r="HR59" s="0"/>
      <c r="HS59" s="0"/>
      <c r="HT59" s="0"/>
      <c r="HU59" s="0"/>
      <c r="HV59" s="0"/>
      <c r="HW59" s="0"/>
      <c r="HX59" s="0"/>
      <c r="HY59" s="0"/>
      <c r="HZ59" s="0"/>
      <c r="IA59" s="0"/>
      <c r="IB59" s="0"/>
      <c r="IC59" s="0"/>
      <c r="ID59" s="0"/>
      <c r="IE59" s="0"/>
      <c r="IF59" s="0"/>
      <c r="IG59" s="0"/>
      <c r="IH59" s="0"/>
      <c r="II59" s="0"/>
      <c r="IJ59" s="0"/>
      <c r="IK59" s="0"/>
      <c r="IL59" s="0"/>
      <c r="IM59" s="0"/>
      <c r="IN59" s="0"/>
      <c r="IO59" s="0"/>
      <c r="IP59" s="0"/>
      <c r="IQ59" s="0"/>
      <c r="IR59" s="0"/>
      <c r="IS59" s="0"/>
      <c r="IT59" s="0"/>
      <c r="IU59" s="0"/>
      <c r="IV59" s="0"/>
      <c r="IW59" s="0"/>
      <c r="IX59" s="0"/>
      <c r="IY59" s="0"/>
      <c r="IZ59" s="0"/>
      <c r="JA59" s="0"/>
      <c r="JB59" s="0"/>
      <c r="JC59" s="0"/>
      <c r="JD59" s="0"/>
      <c r="JE59" s="0"/>
      <c r="JF59" s="0"/>
      <c r="JG59" s="0"/>
      <c r="JH59" s="0"/>
      <c r="JI59" s="0"/>
      <c r="JJ59" s="0"/>
      <c r="JK59" s="0"/>
      <c r="JL59" s="0"/>
      <c r="JM59" s="0"/>
      <c r="JN59" s="0"/>
      <c r="JO59" s="0"/>
      <c r="JP59" s="0"/>
      <c r="JQ59" s="0"/>
      <c r="JR59" s="0"/>
      <c r="JS59" s="0"/>
      <c r="JT59" s="0"/>
      <c r="JU59" s="0"/>
      <c r="JV59" s="0"/>
      <c r="JW59" s="0"/>
      <c r="JX59" s="0"/>
      <c r="JY59" s="0"/>
      <c r="JZ59" s="0"/>
      <c r="KA59" s="0"/>
      <c r="KB59" s="0"/>
      <c r="KC59" s="0"/>
      <c r="KD59" s="0"/>
      <c r="KE59" s="0"/>
      <c r="KF59" s="0"/>
      <c r="KG59" s="0"/>
      <c r="KH59" s="0"/>
      <c r="KI59" s="0"/>
      <c r="KJ59" s="0"/>
      <c r="KK59" s="0"/>
      <c r="KL59" s="0"/>
      <c r="KM59" s="0"/>
      <c r="KN59" s="0"/>
      <c r="KO59" s="0"/>
      <c r="KP59" s="0"/>
      <c r="KQ59" s="0"/>
      <c r="KR59" s="0"/>
      <c r="KS59" s="0"/>
      <c r="KT59" s="0"/>
      <c r="KU59" s="0"/>
      <c r="KV59" s="0"/>
      <c r="KW59" s="0"/>
      <c r="KX59" s="0"/>
      <c r="KY59" s="0"/>
      <c r="KZ59" s="0"/>
      <c r="LA59" s="0"/>
      <c r="LB59" s="0"/>
      <c r="LC59" s="0"/>
      <c r="LD59" s="0"/>
      <c r="LE59" s="0"/>
      <c r="LF59" s="0"/>
      <c r="LG59" s="0"/>
      <c r="LH59" s="0"/>
      <c r="LI59" s="0"/>
      <c r="LJ59" s="0"/>
      <c r="LK59" s="0"/>
      <c r="LL59" s="0"/>
      <c r="LM59" s="0"/>
      <c r="LN59" s="0"/>
      <c r="LO59" s="0"/>
      <c r="LP59" s="0"/>
      <c r="LQ59" s="0"/>
      <c r="LR59" s="0"/>
      <c r="LS59" s="0"/>
      <c r="LT59" s="0"/>
      <c r="LU59" s="0"/>
      <c r="LV59" s="0"/>
      <c r="LW59" s="0"/>
      <c r="LX59" s="0"/>
      <c r="LY59" s="0"/>
      <c r="LZ59" s="0"/>
      <c r="MA59" s="0"/>
      <c r="MB59" s="0"/>
      <c r="MC59" s="0"/>
      <c r="MD59" s="0"/>
      <c r="ME59" s="0"/>
      <c r="MF59" s="0"/>
      <c r="MG59" s="0"/>
      <c r="MH59" s="0"/>
      <c r="MI59" s="0"/>
      <c r="MJ59" s="0"/>
      <c r="MK59" s="0"/>
      <c r="ML59" s="0"/>
      <c r="MM59" s="0"/>
      <c r="MN59" s="0"/>
      <c r="MO59" s="0"/>
      <c r="MP59" s="0"/>
      <c r="MQ59" s="0"/>
      <c r="MR59" s="0"/>
      <c r="MS59" s="0"/>
      <c r="MT59" s="0"/>
      <c r="MU59" s="0"/>
      <c r="MV59" s="0"/>
      <c r="MW59" s="0"/>
      <c r="MX59" s="0"/>
      <c r="MY59" s="0"/>
      <c r="MZ59" s="0"/>
      <c r="NA59" s="0"/>
      <c r="NB59" s="0"/>
      <c r="NC59" s="0"/>
      <c r="ND59" s="0"/>
      <c r="NE59" s="0"/>
      <c r="NF59" s="0"/>
      <c r="NG59" s="0"/>
      <c r="NH59" s="0"/>
      <c r="NI59" s="0"/>
      <c r="NJ59" s="0"/>
      <c r="NK59" s="0"/>
      <c r="NL59" s="0"/>
      <c r="NM59" s="0"/>
      <c r="NN59" s="0"/>
      <c r="NO59" s="0"/>
      <c r="NP59" s="0"/>
      <c r="NQ59" s="0"/>
      <c r="NR59" s="0"/>
      <c r="NS59" s="0"/>
      <c r="NT59" s="0"/>
      <c r="NU59" s="0"/>
      <c r="NV59" s="0"/>
      <c r="NW59" s="0"/>
      <c r="NX59" s="0"/>
      <c r="NY59" s="0"/>
      <c r="NZ59" s="0"/>
      <c r="OA59" s="0"/>
      <c r="OB59" s="0"/>
      <c r="OC59" s="0"/>
      <c r="OD59" s="0"/>
      <c r="OE59" s="0"/>
      <c r="OF59" s="0"/>
      <c r="OG59" s="0"/>
      <c r="OH59" s="0"/>
      <c r="OI59" s="0"/>
      <c r="OJ59" s="0"/>
      <c r="OK59" s="0"/>
      <c r="OL59" s="0"/>
      <c r="OM59" s="0"/>
      <c r="ON59" s="0"/>
      <c r="OO59" s="0"/>
      <c r="OP59" s="0"/>
      <c r="OQ59" s="0"/>
      <c r="OR59" s="0"/>
      <c r="OS59" s="0"/>
      <c r="OT59" s="0"/>
      <c r="OU59" s="0"/>
      <c r="OV59" s="0"/>
      <c r="OW59" s="0"/>
      <c r="OX59" s="0"/>
      <c r="OY59" s="0"/>
      <c r="OZ59" s="0"/>
      <c r="PA59" s="0"/>
      <c r="PB59" s="0"/>
      <c r="PC59" s="0"/>
      <c r="PD59" s="0"/>
      <c r="PE59" s="0"/>
      <c r="PF59" s="0"/>
      <c r="PG59" s="0"/>
      <c r="PH59" s="0"/>
      <c r="PI59" s="0"/>
      <c r="PJ59" s="0"/>
      <c r="PK59" s="0"/>
      <c r="PL59" s="0"/>
      <c r="PM59" s="0"/>
      <c r="PN59" s="0"/>
      <c r="PO59" s="0"/>
      <c r="PP59" s="0"/>
      <c r="PQ59" s="0"/>
      <c r="PR59" s="0"/>
      <c r="PS59" s="0"/>
      <c r="PT59" s="0"/>
      <c r="PU59" s="0"/>
      <c r="PV59" s="0"/>
      <c r="PW59" s="0"/>
      <c r="PX59" s="0"/>
      <c r="PY59" s="0"/>
      <c r="PZ59" s="0"/>
      <c r="QA59" s="0"/>
      <c r="QB59" s="0"/>
      <c r="QC59" s="0"/>
      <c r="QD59" s="0"/>
      <c r="QE59" s="0"/>
      <c r="QF59" s="0"/>
      <c r="QG59" s="0"/>
      <c r="QH59" s="0"/>
      <c r="QI59" s="0"/>
      <c r="QJ59" s="0"/>
      <c r="QK59" s="0"/>
      <c r="QL59" s="0"/>
      <c r="QM59" s="0"/>
      <c r="QN59" s="0"/>
      <c r="QO59" s="0"/>
      <c r="QP59" s="0"/>
      <c r="QQ59" s="0"/>
      <c r="QR59" s="0"/>
      <c r="QS59" s="0"/>
      <c r="QT59" s="0"/>
      <c r="QU59" s="0"/>
      <c r="QV59" s="0"/>
      <c r="QW59" s="0"/>
      <c r="QX59" s="0"/>
      <c r="QY59" s="0"/>
      <c r="QZ59" s="0"/>
      <c r="RA59" s="0"/>
      <c r="RB59" s="0"/>
      <c r="RC59" s="0"/>
      <c r="RD59" s="0"/>
      <c r="RE59" s="0"/>
      <c r="RF59" s="0"/>
      <c r="RG59" s="0"/>
      <c r="RH59" s="0"/>
      <c r="RI59" s="0"/>
      <c r="RJ59" s="0"/>
      <c r="RK59" s="0"/>
      <c r="RL59" s="0"/>
      <c r="RM59" s="0"/>
      <c r="RN59" s="0"/>
      <c r="RO59" s="0"/>
      <c r="RP59" s="0"/>
      <c r="RQ59" s="0"/>
      <c r="RR59" s="0"/>
      <c r="RS59" s="0"/>
      <c r="RT59" s="0"/>
      <c r="RU59" s="0"/>
      <c r="RV59" s="0"/>
      <c r="RW59" s="0"/>
      <c r="RX59" s="0"/>
      <c r="RY59" s="0"/>
      <c r="RZ59" s="0"/>
      <c r="SA59" s="0"/>
      <c r="SB59" s="0"/>
      <c r="SC59" s="0"/>
      <c r="SD59" s="0"/>
      <c r="SE59" s="0"/>
      <c r="SF59" s="0"/>
      <c r="SG59" s="0"/>
      <c r="SH59" s="0"/>
      <c r="SI59" s="0"/>
      <c r="SJ59" s="0"/>
      <c r="SK59" s="0"/>
      <c r="SL59" s="0"/>
      <c r="SM59" s="0"/>
      <c r="SN59" s="0"/>
      <c r="SO59" s="0"/>
      <c r="SP59" s="0"/>
      <c r="SQ59" s="0"/>
      <c r="SR59" s="0"/>
      <c r="SS59" s="0"/>
      <c r="ST59" s="0"/>
      <c r="SU59" s="0"/>
      <c r="SV59" s="0"/>
      <c r="SW59" s="0"/>
      <c r="SX59" s="0"/>
      <c r="SY59" s="0"/>
      <c r="SZ59" s="0"/>
      <c r="TA59" s="0"/>
      <c r="TB59" s="0"/>
      <c r="TC59" s="0"/>
      <c r="TD59" s="0"/>
      <c r="TE59" s="0"/>
      <c r="TF59" s="0"/>
      <c r="TG59" s="0"/>
      <c r="TH59" s="0"/>
      <c r="TI59" s="0"/>
      <c r="TJ59" s="0"/>
      <c r="TK59" s="0"/>
      <c r="TL59" s="0"/>
      <c r="TM59" s="0"/>
      <c r="TN59" s="0"/>
      <c r="TO59" s="0"/>
      <c r="TP59" s="0"/>
      <c r="TQ59" s="0"/>
      <c r="TR59" s="0"/>
      <c r="TS59" s="0"/>
      <c r="TT59" s="0"/>
      <c r="TU59" s="0"/>
      <c r="TV59" s="0"/>
      <c r="TW59" s="0"/>
      <c r="TX59" s="0"/>
      <c r="TY59" s="0"/>
      <c r="TZ59" s="0"/>
      <c r="UA59" s="0"/>
      <c r="UB59" s="0"/>
      <c r="UC59" s="0"/>
      <c r="UD59" s="0"/>
      <c r="UE59" s="0"/>
      <c r="UF59" s="0"/>
      <c r="UG59" s="0"/>
      <c r="UH59" s="0"/>
      <c r="UI59" s="0"/>
      <c r="UJ59" s="0"/>
      <c r="UK59" s="0"/>
      <c r="UL59" s="0"/>
      <c r="UM59" s="0"/>
      <c r="UN59" s="0"/>
      <c r="UO59" s="0"/>
      <c r="UP59" s="0"/>
      <c r="UQ59" s="0"/>
      <c r="UR59" s="0"/>
      <c r="US59" s="0"/>
      <c r="UT59" s="0"/>
      <c r="UU59" s="0"/>
      <c r="UV59" s="0"/>
      <c r="UW59" s="0"/>
      <c r="UX59" s="0"/>
      <c r="UY59" s="0"/>
      <c r="UZ59" s="0"/>
      <c r="VA59" s="0"/>
      <c r="VB59" s="0"/>
      <c r="VC59" s="0"/>
      <c r="VD59" s="0"/>
      <c r="VE59" s="0"/>
      <c r="VF59" s="0"/>
      <c r="VG59" s="0"/>
      <c r="VH59" s="0"/>
      <c r="VI59" s="0"/>
      <c r="VJ59" s="0"/>
      <c r="VK59" s="0"/>
      <c r="VL59" s="0"/>
      <c r="VM59" s="0"/>
      <c r="VN59" s="0"/>
      <c r="VO59" s="0"/>
      <c r="VP59" s="0"/>
      <c r="VQ59" s="0"/>
      <c r="VR59" s="0"/>
      <c r="VS59" s="0"/>
      <c r="VT59" s="0"/>
      <c r="VU59" s="0"/>
      <c r="VV59" s="0"/>
      <c r="VW59" s="0"/>
      <c r="VX59" s="0"/>
      <c r="VY59" s="0"/>
      <c r="VZ59" s="0"/>
      <c r="WA59" s="0"/>
      <c r="WB59" s="0"/>
      <c r="WC59" s="0"/>
      <c r="WD59" s="0"/>
      <c r="WE59" s="0"/>
      <c r="WF59" s="0"/>
      <c r="WG59" s="0"/>
      <c r="WH59" s="0"/>
      <c r="WI59" s="0"/>
      <c r="WJ59" s="0"/>
      <c r="WK59" s="0"/>
      <c r="WL59" s="0"/>
      <c r="WM59" s="0"/>
      <c r="WN59" s="0"/>
      <c r="WO59" s="0"/>
      <c r="WP59" s="0"/>
      <c r="WQ59" s="0"/>
      <c r="WR59" s="0"/>
      <c r="WS59" s="0"/>
      <c r="WT59" s="0"/>
      <c r="WU59" s="0"/>
      <c r="WV59" s="0"/>
      <c r="WW59" s="0"/>
      <c r="WX59" s="0"/>
      <c r="WY59" s="0"/>
      <c r="WZ59" s="0"/>
      <c r="XA59" s="0"/>
      <c r="XB59" s="0"/>
      <c r="XC59" s="0"/>
      <c r="XD59" s="0"/>
      <c r="XE59" s="0"/>
      <c r="XF59" s="0"/>
      <c r="XG59" s="0"/>
      <c r="XH59" s="0"/>
      <c r="XI59" s="0"/>
      <c r="XJ59" s="0"/>
      <c r="XK59" s="0"/>
      <c r="XL59" s="0"/>
      <c r="XM59" s="0"/>
      <c r="XN59" s="0"/>
      <c r="XO59" s="0"/>
      <c r="XP59" s="0"/>
      <c r="XQ59" s="0"/>
      <c r="XR59" s="0"/>
      <c r="XS59" s="0"/>
      <c r="XT59" s="0"/>
      <c r="XU59" s="0"/>
      <c r="XV59" s="0"/>
      <c r="XW59" s="0"/>
      <c r="XX59" s="0"/>
      <c r="XY59" s="0"/>
      <c r="XZ59" s="0"/>
      <c r="YA59" s="0"/>
      <c r="YB59" s="0"/>
      <c r="YC59" s="0"/>
      <c r="YD59" s="0"/>
      <c r="YE59" s="0"/>
      <c r="YF59" s="0"/>
      <c r="YG59" s="0"/>
      <c r="YH59" s="0"/>
      <c r="YI59" s="0"/>
      <c r="YJ59" s="0"/>
      <c r="YK59" s="0"/>
      <c r="YL59" s="0"/>
      <c r="YM59" s="0"/>
      <c r="YN59" s="0"/>
      <c r="YO59" s="0"/>
      <c r="YP59" s="0"/>
      <c r="YQ59" s="0"/>
      <c r="YR59" s="0"/>
      <c r="YS59" s="0"/>
      <c r="YT59" s="0"/>
      <c r="YU59" s="0"/>
      <c r="YV59" s="0"/>
      <c r="YW59" s="0"/>
      <c r="YX59" s="0"/>
      <c r="YY59" s="0"/>
      <c r="YZ59" s="0"/>
      <c r="ZA59" s="0"/>
      <c r="ZB59" s="0"/>
      <c r="ZC59" s="0"/>
      <c r="ZD59" s="0"/>
      <c r="ZE59" s="0"/>
      <c r="ZF59" s="0"/>
      <c r="ZG59" s="0"/>
      <c r="ZH59" s="0"/>
      <c r="ZI59" s="0"/>
      <c r="ZJ59" s="0"/>
      <c r="ZK59" s="0"/>
      <c r="ZL59" s="0"/>
      <c r="ZM59" s="0"/>
      <c r="ZN59" s="0"/>
      <c r="ZO59" s="0"/>
      <c r="ZP59" s="0"/>
      <c r="ZQ59" s="0"/>
      <c r="ZR59" s="0"/>
      <c r="ZS59" s="0"/>
      <c r="ZT59" s="0"/>
      <c r="ZU59" s="0"/>
      <c r="ZV59" s="0"/>
      <c r="ZW59" s="0"/>
      <c r="ZX59" s="0"/>
      <c r="ZY59" s="0"/>
      <c r="ZZ59" s="0"/>
      <c r="AAA59" s="0"/>
      <c r="AAB59" s="0"/>
      <c r="AAC59" s="0"/>
      <c r="AAD59" s="0"/>
      <c r="AAE59" s="0"/>
      <c r="AAF59" s="0"/>
      <c r="AAG59" s="0"/>
      <c r="AAH59" s="0"/>
      <c r="AAI59" s="0"/>
      <c r="AAJ59" s="0"/>
      <c r="AAK59" s="0"/>
      <c r="AAL59" s="0"/>
      <c r="AAM59" s="0"/>
      <c r="AAN59" s="0"/>
      <c r="AAO59" s="0"/>
      <c r="AAP59" s="0"/>
      <c r="AAQ59" s="0"/>
      <c r="AAR59" s="0"/>
      <c r="AAS59" s="0"/>
      <c r="AAT59" s="0"/>
      <c r="AAU59" s="0"/>
      <c r="AAV59" s="0"/>
      <c r="AAW59" s="0"/>
      <c r="AAX59" s="0"/>
      <c r="AAY59" s="0"/>
      <c r="AAZ59" s="0"/>
      <c r="ABA59" s="0"/>
      <c r="ABB59" s="0"/>
      <c r="ABC59" s="0"/>
      <c r="ABD59" s="0"/>
      <c r="ABE59" s="0"/>
      <c r="ABF59" s="0"/>
      <c r="ABG59" s="0"/>
      <c r="ABH59" s="0"/>
      <c r="ABI59" s="0"/>
      <c r="ABJ59" s="0"/>
      <c r="ABK59" s="0"/>
      <c r="ABL59" s="0"/>
      <c r="ABM59" s="0"/>
      <c r="ABN59" s="0"/>
      <c r="ABO59" s="0"/>
      <c r="ABP59" s="0"/>
      <c r="ABQ59" s="0"/>
      <c r="ABR59" s="0"/>
      <c r="ABS59" s="0"/>
      <c r="ABT59" s="0"/>
      <c r="ABU59" s="0"/>
      <c r="ABV59" s="0"/>
      <c r="ABW59" s="0"/>
      <c r="ABX59" s="0"/>
      <c r="ABY59" s="0"/>
      <c r="ABZ59" s="0"/>
      <c r="ACA59" s="0"/>
      <c r="ACB59" s="0"/>
      <c r="ACC59" s="0"/>
      <c r="ACD59" s="0"/>
      <c r="ACE59" s="0"/>
      <c r="ACF59" s="0"/>
      <c r="ACG59" s="0"/>
      <c r="ACH59" s="0"/>
      <c r="ACI59" s="0"/>
      <c r="ACJ59" s="0"/>
      <c r="ACK59" s="0"/>
      <c r="ACL59" s="0"/>
      <c r="ACM59" s="0"/>
      <c r="ACN59" s="0"/>
      <c r="ACO59" s="0"/>
      <c r="ACP59" s="0"/>
      <c r="ACQ59" s="0"/>
      <c r="ACR59" s="0"/>
      <c r="ACS59" s="0"/>
      <c r="ACT59" s="0"/>
      <c r="ACU59" s="0"/>
      <c r="ACV59" s="0"/>
      <c r="ACW59" s="0"/>
      <c r="ACX59" s="0"/>
      <c r="ACY59" s="0"/>
      <c r="ACZ59" s="0"/>
      <c r="ADA59" s="0"/>
      <c r="ADB59" s="0"/>
      <c r="ADC59" s="0"/>
      <c r="ADD59" s="0"/>
      <c r="ADE59" s="0"/>
      <c r="ADF59" s="0"/>
      <c r="ADG59" s="0"/>
      <c r="ADH59" s="0"/>
      <c r="ADI59" s="0"/>
      <c r="ADJ59" s="0"/>
      <c r="ADK59" s="0"/>
      <c r="ADL59" s="0"/>
      <c r="ADM59" s="0"/>
      <c r="ADN59" s="0"/>
      <c r="ADO59" s="0"/>
      <c r="ADP59" s="0"/>
      <c r="ADQ59" s="0"/>
      <c r="ADR59" s="0"/>
      <c r="ADS59" s="0"/>
      <c r="ADT59" s="0"/>
      <c r="ADU59" s="0"/>
      <c r="ADV59" s="0"/>
      <c r="ADW59" s="0"/>
      <c r="ADX59" s="0"/>
      <c r="ADY59" s="0"/>
      <c r="ADZ59" s="0"/>
      <c r="AEA59" s="0"/>
      <c r="AEB59" s="0"/>
      <c r="AEC59" s="0"/>
      <c r="AED59" s="0"/>
      <c r="AEE59" s="0"/>
      <c r="AEF59" s="0"/>
      <c r="AEG59" s="0"/>
      <c r="AEH59" s="0"/>
      <c r="AEI59" s="0"/>
      <c r="AEJ59" s="0"/>
      <c r="AEK59" s="0"/>
      <c r="AEL59" s="0"/>
      <c r="AEM59" s="0"/>
      <c r="AEN59" s="0"/>
      <c r="AEO59" s="0"/>
      <c r="AEP59" s="0"/>
      <c r="AEQ59" s="0"/>
      <c r="AER59" s="0"/>
      <c r="AES59" s="0"/>
      <c r="AET59" s="0"/>
      <c r="AEU59" s="0"/>
      <c r="AEV59" s="0"/>
      <c r="AEW59" s="0"/>
      <c r="AEX59" s="0"/>
      <c r="AEY59" s="0"/>
      <c r="AEZ59" s="0"/>
      <c r="AFA59" s="0"/>
      <c r="AFB59" s="0"/>
      <c r="AFC59" s="0"/>
      <c r="AFD59" s="0"/>
      <c r="AFE59" s="0"/>
      <c r="AFF59" s="0"/>
      <c r="AFG59" s="0"/>
      <c r="AFH59" s="0"/>
      <c r="AFI59" s="0"/>
      <c r="AFJ59" s="0"/>
      <c r="AFK59" s="0"/>
      <c r="AFL59" s="0"/>
      <c r="AFM59" s="0"/>
      <c r="AFN59" s="0"/>
      <c r="AFO59" s="0"/>
      <c r="AFP59" s="0"/>
      <c r="AFQ59" s="0"/>
      <c r="AFR59" s="0"/>
      <c r="AFS59" s="0"/>
      <c r="AFT59" s="0"/>
      <c r="AFU59" s="0"/>
      <c r="AFV59" s="0"/>
      <c r="AFW59" s="0"/>
      <c r="AFX59" s="0"/>
      <c r="AFY59" s="0"/>
      <c r="AFZ59" s="0"/>
      <c r="AGA59" s="0"/>
      <c r="AGB59" s="0"/>
      <c r="AGC59" s="0"/>
      <c r="AGD59" s="0"/>
      <c r="AGE59" s="0"/>
      <c r="AGF59" s="0"/>
      <c r="AGG59" s="0"/>
      <c r="AGH59" s="0"/>
      <c r="AGI59" s="0"/>
      <c r="AGJ59" s="0"/>
      <c r="AGK59" s="0"/>
      <c r="AGL59" s="0"/>
      <c r="AGM59" s="0"/>
      <c r="AGN59" s="0"/>
      <c r="AGO59" s="0"/>
      <c r="AGP59" s="0"/>
      <c r="AGQ59" s="0"/>
      <c r="AGR59" s="0"/>
      <c r="AGS59" s="0"/>
      <c r="AGT59" s="0"/>
      <c r="AGU59" s="0"/>
      <c r="AGV59" s="0"/>
      <c r="AGW59" s="0"/>
      <c r="AGX59" s="0"/>
      <c r="AGY59" s="0"/>
      <c r="AGZ59" s="0"/>
      <c r="AHA59" s="0"/>
      <c r="AHB59" s="0"/>
      <c r="AHC59" s="0"/>
      <c r="AHD59" s="0"/>
      <c r="AHE59" s="0"/>
      <c r="AHF59" s="0"/>
      <c r="AHG59" s="0"/>
      <c r="AHH59" s="0"/>
      <c r="AHI59" s="0"/>
      <c r="AHJ59" s="0"/>
      <c r="AHK59" s="0"/>
      <c r="AHL59" s="0"/>
      <c r="AHM59" s="0"/>
      <c r="AHN59" s="0"/>
      <c r="AHO59" s="0"/>
      <c r="AHP59" s="0"/>
      <c r="AHQ59" s="0"/>
      <c r="AHR59" s="0"/>
      <c r="AHS59" s="0"/>
      <c r="AHT59" s="0"/>
      <c r="AHU59" s="0"/>
      <c r="AHV59" s="0"/>
      <c r="AHW59" s="0"/>
      <c r="AHX59" s="0"/>
      <c r="AHY59" s="0"/>
      <c r="AHZ59" s="0"/>
      <c r="AIA59" s="0"/>
      <c r="AIB59" s="0"/>
      <c r="AIC59" s="0"/>
      <c r="AID59" s="0"/>
      <c r="AIE59" s="0"/>
      <c r="AIF59" s="0"/>
      <c r="AIG59" s="0"/>
      <c r="AIH59" s="0"/>
      <c r="AII59" s="0"/>
      <c r="AIJ59" s="0"/>
      <c r="AIK59" s="0"/>
      <c r="AIL59" s="0"/>
      <c r="AIM59" s="0"/>
      <c r="AIN59" s="0"/>
      <c r="AIO59" s="0"/>
      <c r="AIP59" s="0"/>
      <c r="AIQ59" s="0"/>
      <c r="AIR59" s="0"/>
      <c r="AIS59" s="0"/>
      <c r="AIT59" s="0"/>
      <c r="AIU59" s="0"/>
      <c r="AIV59" s="0"/>
      <c r="AIW59" s="0"/>
      <c r="AIX59" s="0"/>
      <c r="AIY59" s="0"/>
      <c r="AIZ59" s="0"/>
      <c r="AJA59" s="0"/>
      <c r="AJB59" s="0"/>
      <c r="AJC59" s="0"/>
      <c r="AJD59" s="0"/>
      <c r="AJE59" s="0"/>
      <c r="AJF59" s="0"/>
      <c r="AJG59" s="0"/>
      <c r="AJH59" s="0"/>
      <c r="AJI59" s="0"/>
      <c r="AJJ59" s="0"/>
      <c r="AJK59" s="0"/>
      <c r="AJL59" s="0"/>
      <c r="AJM59" s="0"/>
      <c r="AJN59" s="0"/>
      <c r="AJO59" s="0"/>
      <c r="AJP59" s="0"/>
      <c r="AJQ59" s="0"/>
      <c r="AJR59" s="0"/>
      <c r="AJS59" s="0"/>
      <c r="AJT59" s="0"/>
      <c r="AJU59" s="0"/>
      <c r="AJV59" s="0"/>
      <c r="AJW59" s="0"/>
      <c r="AJX59" s="0"/>
      <c r="AJY59" s="0"/>
      <c r="AJZ59" s="0"/>
      <c r="AKA59" s="0"/>
      <c r="AKB59" s="0"/>
      <c r="AKC59" s="0"/>
      <c r="AKD59" s="0"/>
      <c r="AKE59" s="0"/>
      <c r="AKF59" s="0"/>
      <c r="AKG59" s="0"/>
      <c r="AKH59" s="0"/>
      <c r="AKI59" s="0"/>
      <c r="AKJ59" s="0"/>
      <c r="AKK59" s="0"/>
      <c r="AKL59" s="0"/>
      <c r="AKM59" s="0"/>
      <c r="AKN59" s="0"/>
      <c r="AKO59" s="0"/>
      <c r="AKP59" s="0"/>
      <c r="AKQ59" s="0"/>
      <c r="AKR59" s="0"/>
      <c r="AKS59" s="0"/>
      <c r="AKT59" s="0"/>
      <c r="AKU59" s="0"/>
      <c r="AKV59" s="0"/>
      <c r="AKW59" s="0"/>
      <c r="AKX59" s="0"/>
      <c r="AKY59" s="0"/>
      <c r="AKZ59" s="0"/>
      <c r="ALA59" s="0"/>
      <c r="ALB59" s="0"/>
      <c r="ALC59" s="0"/>
      <c r="ALD59" s="0"/>
      <c r="ALE59" s="0"/>
      <c r="ALF59" s="0"/>
      <c r="ALG59" s="0"/>
      <c r="ALH59" s="0"/>
      <c r="ALI59" s="0"/>
      <c r="ALJ59" s="0"/>
      <c r="ALK59" s="0"/>
      <c r="ALL59" s="0"/>
      <c r="ALM59" s="0"/>
      <c r="ALN59" s="0"/>
      <c r="ALO59" s="0"/>
      <c r="ALP59" s="0"/>
      <c r="ALQ59" s="0"/>
      <c r="ALR59" s="0"/>
      <c r="ALS59" s="0"/>
      <c r="ALT59" s="0"/>
      <c r="ALU59" s="0"/>
      <c r="ALV59" s="0"/>
      <c r="ALW59" s="0"/>
      <c r="ALX59" s="0"/>
      <c r="ALY59" s="0"/>
      <c r="ALZ59" s="0"/>
      <c r="AMA59" s="0"/>
      <c r="AMB59" s="0"/>
      <c r="AMC59" s="0"/>
      <c r="AMD59" s="0"/>
      <c r="AME59" s="0"/>
      <c r="AMF59" s="0"/>
      <c r="AMG59" s="0"/>
      <c r="AMH59" s="0"/>
      <c r="AMI59" s="0"/>
      <c r="AMJ59" s="0"/>
      <c r="AMK59" s="0"/>
      <c r="AML59" s="0"/>
      <c r="AMM59" s="0"/>
      <c r="AMN59" s="0"/>
      <c r="AMO59" s="0"/>
      <c r="AMP59" s="0"/>
      <c r="AMQ59" s="0"/>
      <c r="AMR59" s="0"/>
      <c r="AMS59" s="0"/>
      <c r="AMT59" s="0"/>
      <c r="AMU59" s="0"/>
      <c r="AMV59" s="0"/>
      <c r="AMW59" s="0"/>
      <c r="AMX59" s="0"/>
      <c r="AMY59" s="0"/>
      <c r="AMZ59" s="0"/>
      <c r="ANA59" s="0"/>
      <c r="ANB59" s="0"/>
      <c r="ANC59" s="0"/>
      <c r="AND59" s="0"/>
      <c r="ANE59" s="0"/>
      <c r="ANF59" s="0"/>
      <c r="ANG59" s="0"/>
      <c r="ANH59" s="0"/>
      <c r="ANI59" s="0"/>
      <c r="ANJ59" s="0"/>
      <c r="ANK59" s="0"/>
      <c r="ANL59" s="0"/>
      <c r="ANM59" s="0"/>
      <c r="ANN59" s="0"/>
      <c r="ANO59" s="0"/>
      <c r="ANP59" s="0"/>
      <c r="ANQ59" s="0"/>
      <c r="ANR59" s="0"/>
      <c r="ANS59" s="0"/>
      <c r="ANT59" s="0"/>
      <c r="ANU59" s="0"/>
      <c r="ANV59" s="0"/>
      <c r="ANW59" s="0"/>
      <c r="ANX59" s="0"/>
      <c r="ANY59" s="0"/>
      <c r="ANZ59" s="0"/>
      <c r="AOA59" s="0"/>
      <c r="AOB59" s="0"/>
      <c r="AOC59" s="0"/>
      <c r="AOD59" s="0"/>
      <c r="AOE59" s="0"/>
      <c r="AOF59" s="0"/>
      <c r="AOG59" s="0"/>
      <c r="AOH59" s="0"/>
      <c r="AOI59" s="0"/>
      <c r="AOJ59" s="0"/>
      <c r="AOK59" s="0"/>
      <c r="AOL59" s="0"/>
      <c r="AOM59" s="0"/>
      <c r="AON59" s="0"/>
      <c r="AOO59" s="0"/>
      <c r="AOP59" s="0"/>
      <c r="AOQ59" s="0"/>
      <c r="AOR59" s="0"/>
      <c r="AOS59" s="0"/>
      <c r="AOT59" s="0"/>
      <c r="AOU59" s="0"/>
      <c r="AOV59" s="0"/>
      <c r="AOW59" s="0"/>
      <c r="AOX59" s="0"/>
      <c r="AOY59" s="0"/>
      <c r="AOZ59" s="0"/>
      <c r="APA59" s="0"/>
      <c r="APB59" s="0"/>
      <c r="APC59" s="0"/>
      <c r="APD59" s="0"/>
      <c r="APE59" s="0"/>
      <c r="APF59" s="0"/>
      <c r="APG59" s="0"/>
      <c r="APH59" s="0"/>
      <c r="API59" s="0"/>
      <c r="APJ59" s="0"/>
      <c r="APK59" s="0"/>
      <c r="APL59" s="0"/>
      <c r="APM59" s="0"/>
      <c r="APN59" s="0"/>
      <c r="APO59" s="0"/>
      <c r="APP59" s="0"/>
      <c r="APQ59" s="0"/>
      <c r="APR59" s="0"/>
      <c r="APS59" s="0"/>
      <c r="APT59" s="0"/>
      <c r="APU59" s="0"/>
      <c r="APV59" s="0"/>
      <c r="APW59" s="0"/>
      <c r="APX59" s="0"/>
      <c r="APY59" s="0"/>
      <c r="APZ59" s="0"/>
      <c r="AQA59" s="0"/>
      <c r="AQB59" s="0"/>
      <c r="AQC59" s="0"/>
      <c r="AQD59" s="0"/>
      <c r="AQE59" s="0"/>
      <c r="AQF59" s="0"/>
      <c r="AQG59" s="0"/>
      <c r="AQH59" s="0"/>
      <c r="AQI59" s="0"/>
      <c r="AQJ59" s="0"/>
      <c r="AQK59" s="0"/>
      <c r="AQL59" s="0"/>
      <c r="AQM59" s="0"/>
      <c r="AQN59" s="0"/>
      <c r="AQO59" s="0"/>
      <c r="AQP59" s="0"/>
      <c r="AQQ59" s="0"/>
      <c r="AQR59" s="0"/>
      <c r="AQS59" s="0"/>
      <c r="AQT59" s="0"/>
      <c r="AQU59" s="0"/>
      <c r="AQV59" s="0"/>
      <c r="AQW59" s="0"/>
      <c r="AQX59" s="0"/>
      <c r="AQY59" s="0"/>
      <c r="AQZ59" s="0"/>
      <c r="ARA59" s="0"/>
      <c r="ARB59" s="0"/>
      <c r="ARC59" s="0"/>
      <c r="ARD59" s="0"/>
      <c r="ARE59" s="0"/>
      <c r="ARF59" s="0"/>
      <c r="ARG59" s="0"/>
      <c r="ARH59" s="0"/>
      <c r="ARI59" s="0"/>
      <c r="ARJ59" s="0"/>
      <c r="ARK59" s="0"/>
      <c r="ARL59" s="0"/>
      <c r="ARM59" s="0"/>
      <c r="ARN59" s="0"/>
      <c r="ARO59" s="0"/>
      <c r="ARP59" s="0"/>
      <c r="ARQ59" s="0"/>
      <c r="ARR59" s="0"/>
      <c r="ARS59" s="0"/>
      <c r="ART59" s="0"/>
      <c r="ARU59" s="0"/>
      <c r="ARV59" s="0"/>
      <c r="ARW59" s="0"/>
      <c r="ARX59" s="0"/>
      <c r="ARY59" s="0"/>
      <c r="ARZ59" s="0"/>
      <c r="ASA59" s="0"/>
      <c r="ASB59" s="0"/>
      <c r="ASC59" s="0"/>
      <c r="ASD59" s="0"/>
      <c r="ASE59" s="0"/>
      <c r="ASF59" s="0"/>
      <c r="ASG59" s="0"/>
      <c r="ASH59" s="0"/>
      <c r="ASI59" s="0"/>
      <c r="ASJ59" s="0"/>
      <c r="ASK59" s="0"/>
      <c r="ASL59" s="0"/>
      <c r="ASM59" s="0"/>
      <c r="ASN59" s="0"/>
      <c r="ASO59" s="0"/>
      <c r="ASP59" s="0"/>
      <c r="ASQ59" s="0"/>
      <c r="ASR59" s="0"/>
      <c r="ASS59" s="0"/>
      <c r="AST59" s="0"/>
      <c r="ASU59" s="0"/>
      <c r="ASV59" s="0"/>
      <c r="ASW59" s="0"/>
      <c r="ASX59" s="0"/>
      <c r="ASY59" s="0"/>
      <c r="ASZ59" s="0"/>
      <c r="ATA59" s="0"/>
      <c r="ATB59" s="0"/>
      <c r="ATC59" s="0"/>
      <c r="ATD59" s="0"/>
      <c r="ATE59" s="0"/>
      <c r="ATF59" s="0"/>
      <c r="ATG59" s="0"/>
      <c r="ATH59" s="0"/>
      <c r="ATI59" s="0"/>
      <c r="ATJ59" s="0"/>
      <c r="ATK59" s="0"/>
      <c r="ATL59" s="0"/>
      <c r="ATM59" s="0"/>
      <c r="ATN59" s="0"/>
      <c r="ATO59" s="0"/>
      <c r="ATP59" s="0"/>
      <c r="ATQ59" s="0"/>
      <c r="ATR59" s="0"/>
      <c r="ATS59" s="0"/>
      <c r="ATT59" s="0"/>
      <c r="ATU59" s="0"/>
      <c r="ATV59" s="0"/>
      <c r="ATW59" s="0"/>
      <c r="ATX59" s="0"/>
      <c r="ATY59" s="0"/>
      <c r="ATZ59" s="0"/>
      <c r="AUA59" s="0"/>
      <c r="AUB59" s="0"/>
      <c r="AUC59" s="0"/>
      <c r="AUD59" s="0"/>
      <c r="AUE59" s="0"/>
      <c r="AUF59" s="0"/>
      <c r="AUG59" s="0"/>
      <c r="AUH59" s="0"/>
      <c r="AUI59" s="0"/>
      <c r="AUJ59" s="0"/>
      <c r="AUK59" s="0"/>
      <c r="AUL59" s="0"/>
      <c r="AUM59" s="0"/>
      <c r="AUN59" s="0"/>
      <c r="AUO59" s="0"/>
      <c r="AUP59" s="0"/>
      <c r="AUQ59" s="0"/>
      <c r="AUR59" s="0"/>
      <c r="AUS59" s="0"/>
      <c r="AUT59" s="0"/>
      <c r="AUU59" s="0"/>
      <c r="AUV59" s="0"/>
      <c r="AUW59" s="0"/>
      <c r="AUX59" s="0"/>
      <c r="AUY59" s="0"/>
      <c r="AUZ59" s="0"/>
      <c r="AVA59" s="0"/>
      <c r="AVB59" s="0"/>
      <c r="AVC59" s="0"/>
      <c r="AVD59" s="0"/>
      <c r="AVE59" s="0"/>
      <c r="AVF59" s="0"/>
      <c r="AVG59" s="0"/>
      <c r="AVH59" s="0"/>
      <c r="AVI59" s="0"/>
      <c r="AVJ59" s="0"/>
      <c r="AVK59" s="0"/>
      <c r="AVL59" s="0"/>
      <c r="AVM59" s="0"/>
      <c r="AVN59" s="0"/>
      <c r="AVO59" s="0"/>
      <c r="AVP59" s="0"/>
      <c r="AVQ59" s="0"/>
      <c r="AVR59" s="0"/>
      <c r="AVS59" s="0"/>
      <c r="AVT59" s="0"/>
      <c r="AVU59" s="0"/>
      <c r="AVV59" s="0"/>
      <c r="AVW59" s="0"/>
      <c r="AVX59" s="0"/>
      <c r="AVY59" s="0"/>
      <c r="AVZ59" s="0"/>
      <c r="AWA59" s="0"/>
      <c r="AWB59" s="0"/>
      <c r="AWC59" s="0"/>
      <c r="AWD59" s="0"/>
      <c r="AWE59" s="0"/>
      <c r="AWF59" s="0"/>
      <c r="AWG59" s="0"/>
      <c r="AWH59" s="0"/>
      <c r="AWI59" s="0"/>
      <c r="AWJ59" s="0"/>
      <c r="AWK59" s="0"/>
      <c r="AWL59" s="0"/>
      <c r="AWM59" s="0"/>
      <c r="AWN59" s="0"/>
      <c r="AWO59" s="0"/>
      <c r="AWP59" s="0"/>
      <c r="AWQ59" s="0"/>
      <c r="AWR59" s="0"/>
      <c r="AWS59" s="0"/>
      <c r="AWT59" s="0"/>
      <c r="AWU59" s="0"/>
      <c r="AWV59" s="0"/>
      <c r="AWW59" s="0"/>
      <c r="AWX59" s="0"/>
      <c r="AWY59" s="0"/>
      <c r="AWZ59" s="0"/>
      <c r="AXA59" s="0"/>
      <c r="AXB59" s="0"/>
      <c r="AXC59" s="0"/>
      <c r="AXD59" s="0"/>
      <c r="AXE59" s="0"/>
      <c r="AXF59" s="0"/>
      <c r="AXG59" s="0"/>
      <c r="AXH59" s="0"/>
      <c r="AXI59" s="0"/>
      <c r="AXJ59" s="0"/>
      <c r="AXK59" s="0"/>
      <c r="AXL59" s="0"/>
      <c r="AXM59" s="0"/>
      <c r="AXN59" s="0"/>
      <c r="AXO59" s="0"/>
      <c r="AXP59" s="0"/>
      <c r="AXQ59" s="0"/>
      <c r="AXR59" s="0"/>
      <c r="AXS59" s="0"/>
      <c r="AXT59" s="0"/>
      <c r="AXU59" s="0"/>
      <c r="AXV59" s="0"/>
      <c r="AXW59" s="0"/>
      <c r="AXX59" s="0"/>
      <c r="AXY59" s="0"/>
      <c r="AXZ59" s="0"/>
      <c r="AYA59" s="0"/>
      <c r="AYB59" s="0"/>
      <c r="AYC59" s="0"/>
      <c r="AYD59" s="0"/>
      <c r="AYE59" s="0"/>
      <c r="AYF59" s="0"/>
      <c r="AYG59" s="0"/>
      <c r="AYH59" s="0"/>
      <c r="AYI59" s="0"/>
      <c r="AYJ59" s="0"/>
      <c r="AYK59" s="0"/>
      <c r="AYL59" s="0"/>
      <c r="AYM59" s="0"/>
      <c r="AYN59" s="0"/>
      <c r="AYO59" s="0"/>
      <c r="AYP59" s="0"/>
      <c r="AYQ59" s="0"/>
      <c r="AYR59" s="0"/>
      <c r="AYS59" s="0"/>
      <c r="AYT59" s="0"/>
      <c r="AYU59" s="0"/>
      <c r="AYV59" s="0"/>
      <c r="AYW59" s="0"/>
      <c r="AYX59" s="0"/>
      <c r="AYY59" s="0"/>
      <c r="AYZ59" s="0"/>
      <c r="AZA59" s="0"/>
      <c r="AZB59" s="0"/>
      <c r="AZC59" s="0"/>
      <c r="AZD59" s="0"/>
      <c r="AZE59" s="0"/>
      <c r="AZF59" s="0"/>
      <c r="AZG59" s="0"/>
      <c r="AZH59" s="0"/>
      <c r="AZI59" s="0"/>
      <c r="AZJ59" s="0"/>
      <c r="AZK59" s="0"/>
      <c r="AZL59" s="0"/>
      <c r="AZM59" s="0"/>
      <c r="AZN59" s="0"/>
      <c r="AZO59" s="0"/>
      <c r="AZP59" s="0"/>
      <c r="AZQ59" s="0"/>
      <c r="AZR59" s="0"/>
      <c r="AZS59" s="0"/>
      <c r="AZT59" s="0"/>
      <c r="AZU59" s="0"/>
      <c r="AZV59" s="0"/>
      <c r="AZW59" s="0"/>
      <c r="AZX59" s="0"/>
      <c r="AZY59" s="0"/>
      <c r="AZZ59" s="0"/>
      <c r="BAA59" s="0"/>
      <c r="BAB59" s="0"/>
      <c r="BAC59" s="0"/>
      <c r="BAD59" s="0"/>
      <c r="BAE59" s="0"/>
      <c r="BAF59" s="0"/>
      <c r="BAG59" s="0"/>
      <c r="BAH59" s="0"/>
      <c r="BAI59" s="0"/>
      <c r="BAJ59" s="0"/>
      <c r="BAK59" s="0"/>
      <c r="BAL59" s="0"/>
      <c r="BAM59" s="0"/>
      <c r="BAN59" s="0"/>
      <c r="BAO59" s="0"/>
      <c r="BAP59" s="0"/>
      <c r="BAQ59" s="0"/>
      <c r="BAR59" s="0"/>
      <c r="BAS59" s="0"/>
      <c r="BAT59" s="0"/>
      <c r="BAU59" s="0"/>
      <c r="BAV59" s="0"/>
      <c r="BAW59" s="0"/>
      <c r="BAX59" s="0"/>
      <c r="BAY59" s="0"/>
      <c r="BAZ59" s="0"/>
      <c r="BBA59" s="0"/>
      <c r="BBB59" s="0"/>
      <c r="BBC59" s="0"/>
      <c r="BBD59" s="0"/>
      <c r="BBE59" s="0"/>
      <c r="BBF59" s="0"/>
      <c r="BBG59" s="0"/>
      <c r="BBH59" s="0"/>
      <c r="BBI59" s="0"/>
      <c r="BBJ59" s="0"/>
      <c r="BBK59" s="0"/>
      <c r="BBL59" s="0"/>
      <c r="BBM59" s="0"/>
      <c r="BBN59" s="0"/>
      <c r="BBO59" s="0"/>
      <c r="BBP59" s="0"/>
      <c r="BBQ59" s="0"/>
      <c r="BBR59" s="0"/>
      <c r="BBS59" s="0"/>
      <c r="BBT59" s="0"/>
      <c r="BBU59" s="0"/>
      <c r="BBV59" s="0"/>
      <c r="BBW59" s="0"/>
      <c r="BBX59" s="0"/>
      <c r="BBY59" s="0"/>
      <c r="BBZ59" s="0"/>
      <c r="BCA59" s="0"/>
      <c r="BCB59" s="0"/>
      <c r="BCC59" s="0"/>
      <c r="BCD59" s="0"/>
      <c r="BCE59" s="0"/>
      <c r="BCF59" s="0"/>
      <c r="BCG59" s="0"/>
      <c r="BCH59" s="0"/>
      <c r="BCI59" s="0"/>
      <c r="BCJ59" s="0"/>
      <c r="BCK59" s="0"/>
      <c r="BCL59" s="0"/>
      <c r="BCM59" s="0"/>
      <c r="BCN59" s="0"/>
      <c r="BCO59" s="0"/>
      <c r="BCP59" s="0"/>
      <c r="BCQ59" s="0"/>
      <c r="BCR59" s="0"/>
      <c r="BCS59" s="0"/>
      <c r="BCT59" s="0"/>
      <c r="BCU59" s="0"/>
      <c r="BCV59" s="0"/>
      <c r="BCW59" s="0"/>
      <c r="BCX59" s="0"/>
      <c r="BCY59" s="0"/>
      <c r="BCZ59" s="0"/>
      <c r="BDA59" s="0"/>
      <c r="BDB59" s="0"/>
      <c r="BDC59" s="0"/>
      <c r="BDD59" s="0"/>
      <c r="BDE59" s="0"/>
      <c r="BDF59" s="0"/>
      <c r="BDG59" s="0"/>
      <c r="BDH59" s="0"/>
      <c r="BDI59" s="0"/>
      <c r="BDJ59" s="0"/>
      <c r="BDK59" s="0"/>
      <c r="BDL59" s="0"/>
      <c r="BDM59" s="0"/>
      <c r="BDN59" s="0"/>
      <c r="BDO59" s="0"/>
      <c r="BDP59" s="0"/>
      <c r="BDQ59" s="0"/>
      <c r="BDR59" s="0"/>
      <c r="BDS59" s="0"/>
      <c r="BDT59" s="0"/>
      <c r="BDU59" s="0"/>
      <c r="BDV59" s="0"/>
      <c r="BDW59" s="0"/>
      <c r="BDX59" s="0"/>
      <c r="BDY59" s="0"/>
      <c r="BDZ59" s="0"/>
      <c r="BEA59" s="0"/>
      <c r="BEB59" s="0"/>
      <c r="BEC59" s="0"/>
      <c r="BED59" s="0"/>
      <c r="BEE59" s="0"/>
      <c r="BEF59" s="0"/>
      <c r="BEG59" s="0"/>
      <c r="BEH59" s="0"/>
      <c r="BEI59" s="0"/>
      <c r="BEJ59" s="0"/>
      <c r="BEK59" s="0"/>
      <c r="BEL59" s="0"/>
      <c r="BEM59" s="0"/>
      <c r="BEN59" s="0"/>
      <c r="BEO59" s="0"/>
      <c r="BEP59" s="0"/>
      <c r="BEQ59" s="0"/>
      <c r="BER59" s="0"/>
      <c r="BES59" s="0"/>
      <c r="BET59" s="0"/>
      <c r="BEU59" s="0"/>
      <c r="BEV59" s="0"/>
      <c r="BEW59" s="0"/>
      <c r="BEX59" s="0"/>
      <c r="BEY59" s="0"/>
      <c r="BEZ59" s="0"/>
      <c r="BFA59" s="0"/>
      <c r="BFB59" s="0"/>
      <c r="BFC59" s="0"/>
      <c r="BFD59" s="0"/>
      <c r="BFE59" s="0"/>
      <c r="BFF59" s="0"/>
      <c r="BFG59" s="0"/>
      <c r="BFH59" s="0"/>
      <c r="BFI59" s="0"/>
      <c r="BFJ59" s="0"/>
      <c r="BFK59" s="0"/>
      <c r="BFL59" s="0"/>
      <c r="BFM59" s="0"/>
      <c r="BFN59" s="0"/>
      <c r="BFO59" s="0"/>
      <c r="BFP59" s="0"/>
      <c r="BFQ59" s="0"/>
      <c r="BFR59" s="0"/>
      <c r="BFS59" s="0"/>
      <c r="BFT59" s="0"/>
      <c r="BFU59" s="0"/>
      <c r="BFV59" s="0"/>
      <c r="BFW59" s="0"/>
      <c r="BFX59" s="0"/>
      <c r="BFY59" s="0"/>
      <c r="BFZ59" s="0"/>
      <c r="BGA59" s="0"/>
      <c r="BGB59" s="0"/>
      <c r="BGC59" s="0"/>
      <c r="BGD59" s="0"/>
      <c r="BGE59" s="0"/>
      <c r="BGF59" s="0"/>
      <c r="BGG59" s="0"/>
      <c r="BGH59" s="0"/>
      <c r="BGI59" s="0"/>
      <c r="BGJ59" s="0"/>
      <c r="BGK59" s="0"/>
      <c r="BGL59" s="0"/>
      <c r="BGM59" s="0"/>
      <c r="BGN59" s="0"/>
      <c r="BGO59" s="0"/>
      <c r="BGP59" s="0"/>
      <c r="BGQ59" s="0"/>
      <c r="BGR59" s="0"/>
      <c r="BGS59" s="0"/>
      <c r="BGT59" s="0"/>
      <c r="BGU59" s="0"/>
      <c r="BGV59" s="0"/>
      <c r="BGW59" s="0"/>
      <c r="BGX59" s="0"/>
      <c r="BGY59" s="0"/>
      <c r="BGZ59" s="0"/>
      <c r="BHA59" s="0"/>
      <c r="BHB59" s="0"/>
      <c r="BHC59" s="0"/>
      <c r="BHD59" s="0"/>
      <c r="BHE59" s="0"/>
      <c r="BHF59" s="0"/>
      <c r="BHG59" s="0"/>
      <c r="BHH59" s="0"/>
      <c r="BHI59" s="0"/>
      <c r="BHJ59" s="0"/>
      <c r="BHK59" s="0"/>
      <c r="BHL59" s="0"/>
      <c r="BHM59" s="0"/>
      <c r="BHN59" s="0"/>
      <c r="BHO59" s="0"/>
      <c r="BHP59" s="0"/>
      <c r="BHQ59" s="0"/>
      <c r="BHR59" s="0"/>
      <c r="BHS59" s="0"/>
      <c r="BHT59" s="0"/>
      <c r="BHU59" s="0"/>
      <c r="BHV59" s="0"/>
      <c r="BHW59" s="0"/>
      <c r="BHX59" s="0"/>
      <c r="BHY59" s="0"/>
      <c r="BHZ59" s="0"/>
      <c r="BIA59" s="0"/>
      <c r="BIB59" s="0"/>
      <c r="BIC59" s="0"/>
      <c r="BID59" s="0"/>
      <c r="BIE59" s="0"/>
      <c r="BIF59" s="0"/>
      <c r="BIG59" s="0"/>
      <c r="BIH59" s="0"/>
      <c r="BII59" s="0"/>
      <c r="BIJ59" s="0"/>
      <c r="BIK59" s="0"/>
      <c r="BIL59" s="0"/>
      <c r="BIM59" s="0"/>
      <c r="BIN59" s="0"/>
      <c r="BIO59" s="0"/>
      <c r="BIP59" s="0"/>
      <c r="BIQ59" s="0"/>
      <c r="BIR59" s="0"/>
      <c r="BIS59" s="0"/>
      <c r="BIT59" s="0"/>
      <c r="BIU59" s="0"/>
      <c r="BIV59" s="0"/>
      <c r="BIW59" s="0"/>
      <c r="BIX59" s="0"/>
      <c r="BIY59" s="0"/>
      <c r="BIZ59" s="0"/>
      <c r="BJA59" s="0"/>
      <c r="BJB59" s="0"/>
      <c r="BJC59" s="0"/>
      <c r="BJD59" s="0"/>
      <c r="BJE59" s="0"/>
      <c r="BJF59" s="0"/>
      <c r="BJG59" s="0"/>
      <c r="BJH59" s="0"/>
      <c r="BJI59" s="0"/>
      <c r="BJJ59" s="0"/>
      <c r="BJK59" s="0"/>
      <c r="BJL59" s="0"/>
      <c r="BJM59" s="0"/>
      <c r="BJN59" s="0"/>
      <c r="BJO59" s="0"/>
      <c r="BJP59" s="0"/>
      <c r="BJQ59" s="0"/>
      <c r="BJR59" s="0"/>
      <c r="BJS59" s="0"/>
      <c r="BJT59" s="0"/>
      <c r="BJU59" s="0"/>
      <c r="BJV59" s="0"/>
      <c r="BJW59" s="0"/>
      <c r="BJX59" s="0"/>
      <c r="BJY59" s="0"/>
      <c r="BJZ59" s="0"/>
      <c r="BKA59" s="0"/>
      <c r="BKB59" s="0"/>
      <c r="BKC59" s="0"/>
      <c r="BKD59" s="0"/>
      <c r="BKE59" s="0"/>
      <c r="BKF59" s="0"/>
      <c r="BKG59" s="0"/>
      <c r="BKH59" s="0"/>
      <c r="BKI59" s="0"/>
      <c r="BKJ59" s="0"/>
      <c r="BKK59" s="0"/>
      <c r="BKL59" s="0"/>
      <c r="BKM59" s="0"/>
      <c r="BKN59" s="0"/>
      <c r="BKO59" s="0"/>
      <c r="BKP59" s="0"/>
      <c r="BKQ59" s="0"/>
      <c r="BKR59" s="0"/>
      <c r="BKS59" s="0"/>
      <c r="BKT59" s="0"/>
      <c r="BKU59" s="0"/>
      <c r="BKV59" s="0"/>
      <c r="BKW59" s="0"/>
      <c r="BKX59" s="0"/>
      <c r="BKY59" s="0"/>
      <c r="BKZ59" s="0"/>
      <c r="BLA59" s="0"/>
      <c r="BLB59" s="0"/>
      <c r="BLC59" s="0"/>
      <c r="BLD59" s="0"/>
      <c r="BLE59" s="0"/>
      <c r="BLF59" s="0"/>
      <c r="BLG59" s="0"/>
      <c r="BLH59" s="0"/>
      <c r="BLI59" s="0"/>
      <c r="BLJ59" s="0"/>
      <c r="BLK59" s="0"/>
      <c r="BLL59" s="0"/>
      <c r="BLM59" s="0"/>
      <c r="BLN59" s="0"/>
      <c r="BLO59" s="0"/>
      <c r="BLP59" s="0"/>
      <c r="BLQ59" s="0"/>
      <c r="BLR59" s="0"/>
      <c r="BLS59" s="0"/>
      <c r="BLT59" s="0"/>
      <c r="BLU59" s="0"/>
      <c r="BLV59" s="0"/>
      <c r="BLW59" s="0"/>
      <c r="BLX59" s="0"/>
      <c r="BLY59" s="0"/>
      <c r="BLZ59" s="0"/>
      <c r="BMA59" s="0"/>
      <c r="BMB59" s="0"/>
      <c r="BMC59" s="0"/>
      <c r="BMD59" s="0"/>
      <c r="BME59" s="0"/>
      <c r="BMF59" s="0"/>
      <c r="BMG59" s="0"/>
      <c r="BMH59" s="0"/>
      <c r="BMI59" s="0"/>
      <c r="BMJ59" s="0"/>
      <c r="BMK59" s="0"/>
      <c r="BML59" s="0"/>
      <c r="BMM59" s="0"/>
      <c r="BMN59" s="0"/>
      <c r="BMO59" s="0"/>
      <c r="BMP59" s="0"/>
      <c r="BMQ59" s="0"/>
      <c r="BMR59" s="0"/>
      <c r="BMS59" s="0"/>
      <c r="BMT59" s="0"/>
      <c r="BMU59" s="0"/>
      <c r="BMV59" s="0"/>
      <c r="BMW59" s="0"/>
      <c r="BMX59" s="0"/>
      <c r="BMY59" s="0"/>
      <c r="BMZ59" s="0"/>
      <c r="BNA59" s="0"/>
      <c r="BNB59" s="0"/>
      <c r="BNC59" s="0"/>
      <c r="BND59" s="0"/>
      <c r="BNE59" s="0"/>
      <c r="BNF59" s="0"/>
      <c r="BNG59" s="0"/>
      <c r="BNH59" s="0"/>
      <c r="BNI59" s="0"/>
      <c r="BNJ59" s="0"/>
      <c r="BNK59" s="0"/>
      <c r="BNL59" s="0"/>
      <c r="BNM59" s="0"/>
      <c r="BNN59" s="0"/>
      <c r="BNO59" s="0"/>
      <c r="BNP59" s="0"/>
      <c r="BNQ59" s="0"/>
      <c r="BNR59" s="0"/>
      <c r="BNS59" s="0"/>
      <c r="BNT59" s="0"/>
      <c r="BNU59" s="0"/>
      <c r="BNV59" s="0"/>
      <c r="BNW59" s="0"/>
      <c r="BNX59" s="0"/>
      <c r="BNY59" s="0"/>
      <c r="BNZ59" s="0"/>
      <c r="BOA59" s="0"/>
      <c r="BOB59" s="0"/>
      <c r="BOC59" s="0"/>
      <c r="BOD59" s="0"/>
      <c r="BOE59" s="0"/>
      <c r="BOF59" s="0"/>
      <c r="BOG59" s="0"/>
      <c r="BOH59" s="0"/>
      <c r="BOI59" s="0"/>
      <c r="BOJ59" s="0"/>
      <c r="BOK59" s="0"/>
      <c r="BOL59" s="0"/>
      <c r="BOM59" s="0"/>
      <c r="BON59" s="0"/>
      <c r="BOO59" s="0"/>
      <c r="BOP59" s="0"/>
      <c r="BOQ59" s="0"/>
      <c r="BOR59" s="0"/>
      <c r="BOS59" s="0"/>
      <c r="BOT59" s="0"/>
      <c r="BOU59" s="0"/>
      <c r="BOV59" s="0"/>
      <c r="BOW59" s="0"/>
      <c r="BOX59" s="0"/>
      <c r="BOY59" s="0"/>
      <c r="BOZ59" s="0"/>
      <c r="BPA59" s="0"/>
      <c r="BPB59" s="0"/>
      <c r="BPC59" s="0"/>
      <c r="BPD59" s="0"/>
      <c r="BPE59" s="0"/>
      <c r="BPF59" s="0"/>
      <c r="BPG59" s="0"/>
      <c r="BPH59" s="0"/>
      <c r="BPI59" s="0"/>
      <c r="BPJ59" s="0"/>
      <c r="BPK59" s="0"/>
      <c r="BPL59" s="0"/>
      <c r="BPM59" s="0"/>
      <c r="BPN59" s="0"/>
      <c r="BPO59" s="0"/>
      <c r="BPP59" s="0"/>
      <c r="BPQ59" s="0"/>
      <c r="BPR59" s="0"/>
      <c r="BPS59" s="0"/>
      <c r="BPT59" s="0"/>
      <c r="BPU59" s="0"/>
      <c r="BPV59" s="0"/>
      <c r="BPW59" s="0"/>
      <c r="BPX59" s="0"/>
      <c r="BPY59" s="0"/>
      <c r="BPZ59" s="0"/>
      <c r="BQA59" s="0"/>
      <c r="BQB59" s="0"/>
      <c r="BQC59" s="0"/>
      <c r="BQD59" s="0"/>
      <c r="BQE59" s="0"/>
      <c r="BQF59" s="0"/>
      <c r="BQG59" s="0"/>
      <c r="BQH59" s="0"/>
      <c r="BQI59" s="0"/>
      <c r="BQJ59" s="0"/>
      <c r="BQK59" s="0"/>
      <c r="BQL59" s="0"/>
      <c r="BQM59" s="0"/>
      <c r="BQN59" s="0"/>
      <c r="BQO59" s="0"/>
      <c r="BQP59" s="0"/>
      <c r="BQQ59" s="0"/>
      <c r="BQR59" s="0"/>
      <c r="BQS59" s="0"/>
      <c r="BQT59" s="0"/>
      <c r="BQU59" s="0"/>
      <c r="BQV59" s="0"/>
      <c r="BQW59" s="0"/>
      <c r="BQX59" s="0"/>
      <c r="BQY59" s="0"/>
      <c r="BQZ59" s="0"/>
      <c r="BRA59" s="0"/>
      <c r="BRB59" s="0"/>
      <c r="BRC59" s="0"/>
      <c r="BRD59" s="0"/>
      <c r="BRE59" s="0"/>
      <c r="BRF59" s="0"/>
      <c r="BRG59" s="0"/>
      <c r="BRH59" s="0"/>
      <c r="BRI59" s="0"/>
      <c r="BRJ59" s="0"/>
      <c r="BRK59" s="0"/>
      <c r="BRL59" s="0"/>
      <c r="BRM59" s="0"/>
      <c r="BRN59" s="0"/>
      <c r="BRO59" s="0"/>
      <c r="BRP59" s="0"/>
      <c r="BRQ59" s="0"/>
      <c r="BRR59" s="0"/>
      <c r="BRS59" s="0"/>
      <c r="BRT59" s="0"/>
      <c r="BRU59" s="0"/>
      <c r="BRV59" s="0"/>
      <c r="BRW59" s="0"/>
      <c r="BRX59" s="0"/>
      <c r="BRY59" s="0"/>
      <c r="BRZ59" s="0"/>
      <c r="BSA59" s="0"/>
      <c r="BSB59" s="0"/>
      <c r="BSC59" s="0"/>
      <c r="BSD59" s="0"/>
      <c r="BSE59" s="0"/>
      <c r="BSF59" s="0"/>
      <c r="BSG59" s="0"/>
      <c r="BSH59" s="0"/>
      <c r="BSI59" s="0"/>
      <c r="BSJ59" s="0"/>
      <c r="BSK59" s="0"/>
      <c r="BSL59" s="0"/>
      <c r="BSM59" s="0"/>
      <c r="BSN59" s="0"/>
      <c r="BSO59" s="0"/>
      <c r="BSP59" s="0"/>
      <c r="BSQ59" s="0"/>
      <c r="BSR59" s="0"/>
      <c r="BSS59" s="0"/>
      <c r="BST59" s="0"/>
      <c r="BSU59" s="0"/>
      <c r="BSV59" s="0"/>
      <c r="BSW59" s="0"/>
      <c r="BSX59" s="0"/>
      <c r="BSY59" s="0"/>
      <c r="BSZ59" s="0"/>
      <c r="BTA59" s="0"/>
      <c r="BTB59" s="0"/>
      <c r="BTC59" s="0"/>
      <c r="BTD59" s="0"/>
      <c r="BTE59" s="0"/>
      <c r="BTF59" s="0"/>
      <c r="BTG59" s="0"/>
      <c r="BTH59" s="0"/>
      <c r="BTI59" s="0"/>
      <c r="BTJ59" s="0"/>
      <c r="BTK59" s="0"/>
      <c r="BTL59" s="0"/>
      <c r="BTM59" s="0"/>
      <c r="BTN59" s="0"/>
      <c r="BTO59" s="0"/>
      <c r="BTP59" s="0"/>
      <c r="BTQ59" s="0"/>
      <c r="BTR59" s="0"/>
      <c r="BTS59" s="0"/>
      <c r="BTT59" s="0"/>
      <c r="BTU59" s="0"/>
      <c r="BTV59" s="0"/>
      <c r="BTW59" s="0"/>
      <c r="BTX59" s="0"/>
      <c r="BTY59" s="0"/>
      <c r="BTZ59" s="0"/>
      <c r="BUA59" s="0"/>
      <c r="BUB59" s="0"/>
      <c r="BUC59" s="0"/>
      <c r="BUD59" s="0"/>
      <c r="BUE59" s="0"/>
      <c r="BUF59" s="0"/>
      <c r="BUG59" s="0"/>
      <c r="BUH59" s="0"/>
      <c r="BUI59" s="0"/>
      <c r="BUJ59" s="0"/>
      <c r="BUK59" s="0"/>
      <c r="BUL59" s="0"/>
      <c r="BUM59" s="0"/>
      <c r="BUN59" s="0"/>
      <c r="BUO59" s="0"/>
      <c r="BUP59" s="0"/>
      <c r="BUQ59" s="0"/>
      <c r="BUR59" s="0"/>
      <c r="BUS59" s="0"/>
      <c r="BUT59" s="0"/>
      <c r="BUU59" s="0"/>
      <c r="BUV59" s="0"/>
      <c r="BUW59" s="0"/>
      <c r="BUX59" s="0"/>
      <c r="BUY59" s="0"/>
      <c r="BUZ59" s="0"/>
      <c r="BVA59" s="0"/>
      <c r="BVB59" s="0"/>
      <c r="BVC59" s="0"/>
      <c r="BVD59" s="0"/>
      <c r="BVE59" s="0"/>
      <c r="BVF59" s="0"/>
      <c r="BVG59" s="0"/>
      <c r="BVH59" s="0"/>
      <c r="BVI59" s="0"/>
      <c r="BVJ59" s="0"/>
      <c r="BVK59" s="0"/>
      <c r="BVL59" s="0"/>
      <c r="BVM59" s="0"/>
      <c r="BVN59" s="0"/>
      <c r="BVO59" s="0"/>
      <c r="BVP59" s="0"/>
      <c r="BVQ59" s="0"/>
      <c r="BVR59" s="0"/>
      <c r="BVS59" s="0"/>
      <c r="BVT59" s="0"/>
      <c r="BVU59" s="0"/>
      <c r="BVV59" s="0"/>
      <c r="BVW59" s="0"/>
      <c r="BVX59" s="0"/>
      <c r="BVY59" s="0"/>
      <c r="BVZ59" s="0"/>
      <c r="BWA59" s="0"/>
      <c r="BWB59" s="0"/>
      <c r="BWC59" s="0"/>
      <c r="BWD59" s="0"/>
      <c r="BWE59" s="0"/>
      <c r="BWF59" s="0"/>
      <c r="BWG59" s="0"/>
      <c r="BWH59" s="0"/>
      <c r="BWI59" s="0"/>
      <c r="BWJ59" s="0"/>
      <c r="BWK59" s="0"/>
      <c r="BWL59" s="0"/>
      <c r="BWM59" s="0"/>
      <c r="BWN59" s="0"/>
      <c r="BWO59" s="0"/>
      <c r="BWP59" s="0"/>
      <c r="BWQ59" s="0"/>
      <c r="BWR59" s="0"/>
      <c r="BWS59" s="0"/>
      <c r="BWT59" s="0"/>
      <c r="BWU59" s="0"/>
      <c r="BWV59" s="0"/>
      <c r="BWW59" s="0"/>
      <c r="BWX59" s="0"/>
      <c r="BWY59" s="0"/>
      <c r="BWZ59" s="0"/>
      <c r="BXA59" s="0"/>
      <c r="BXB59" s="0"/>
      <c r="BXC59" s="0"/>
      <c r="BXD59" s="0"/>
      <c r="BXE59" s="0"/>
      <c r="BXF59" s="0"/>
      <c r="BXG59" s="0"/>
      <c r="BXH59" s="0"/>
      <c r="BXI59" s="0"/>
      <c r="BXJ59" s="0"/>
      <c r="BXK59" s="0"/>
      <c r="BXL59" s="0"/>
      <c r="BXM59" s="0"/>
      <c r="BXN59" s="0"/>
      <c r="BXO59" s="0"/>
      <c r="BXP59" s="0"/>
      <c r="BXQ59" s="0"/>
      <c r="BXR59" s="0"/>
      <c r="BXS59" s="0"/>
      <c r="BXT59" s="0"/>
      <c r="BXU59" s="0"/>
      <c r="BXV59" s="0"/>
      <c r="BXW59" s="0"/>
      <c r="BXX59" s="0"/>
      <c r="BXY59" s="0"/>
      <c r="BXZ59" s="0"/>
      <c r="BYA59" s="0"/>
      <c r="BYB59" s="0"/>
      <c r="BYC59" s="0"/>
      <c r="BYD59" s="0"/>
      <c r="BYE59" s="0"/>
      <c r="BYF59" s="0"/>
      <c r="BYG59" s="0"/>
      <c r="BYH59" s="0"/>
      <c r="BYI59" s="0"/>
      <c r="BYJ59" s="0"/>
      <c r="BYK59" s="0"/>
      <c r="BYL59" s="0"/>
      <c r="BYM59" s="0"/>
      <c r="BYN59" s="0"/>
      <c r="BYO59" s="0"/>
      <c r="BYP59" s="0"/>
      <c r="BYQ59" s="0"/>
      <c r="BYR59" s="0"/>
      <c r="BYS59" s="0"/>
      <c r="BYT59" s="0"/>
      <c r="BYU59" s="0"/>
      <c r="BYV59" s="0"/>
      <c r="BYW59" s="0"/>
      <c r="BYX59" s="0"/>
      <c r="BYY59" s="0"/>
      <c r="BYZ59" s="0"/>
      <c r="BZA59" s="0"/>
      <c r="BZB59" s="0"/>
      <c r="BZC59" s="0"/>
      <c r="BZD59" s="0"/>
      <c r="BZE59" s="0"/>
      <c r="BZF59" s="0"/>
      <c r="BZG59" s="0"/>
      <c r="BZH59" s="0"/>
      <c r="BZI59" s="0"/>
      <c r="BZJ59" s="0"/>
      <c r="BZK59" s="0"/>
      <c r="BZL59" s="0"/>
      <c r="BZM59" s="0"/>
      <c r="BZN59" s="0"/>
      <c r="BZO59" s="0"/>
      <c r="BZP59" s="0"/>
      <c r="BZQ59" s="0"/>
      <c r="BZR59" s="0"/>
      <c r="BZS59" s="0"/>
      <c r="BZT59" s="0"/>
      <c r="BZU59" s="0"/>
      <c r="BZV59" s="0"/>
      <c r="BZW59" s="0"/>
      <c r="BZX59" s="0"/>
      <c r="BZY59" s="0"/>
      <c r="BZZ59" s="0"/>
      <c r="CAA59" s="0"/>
      <c r="CAB59" s="0"/>
      <c r="CAC59" s="0"/>
      <c r="CAD59" s="0"/>
      <c r="CAE59" s="0"/>
      <c r="CAF59" s="0"/>
      <c r="CAG59" s="0"/>
      <c r="CAH59" s="0"/>
      <c r="CAI59" s="0"/>
      <c r="CAJ59" s="0"/>
      <c r="CAK59" s="0"/>
      <c r="CAL59" s="0"/>
      <c r="CAM59" s="0"/>
      <c r="CAN59" s="0"/>
      <c r="CAO59" s="0"/>
      <c r="CAP59" s="0"/>
      <c r="CAQ59" s="0"/>
      <c r="CAR59" s="0"/>
      <c r="CAS59" s="0"/>
      <c r="CAT59" s="0"/>
      <c r="CAU59" s="0"/>
      <c r="CAV59" s="0"/>
      <c r="CAW59" s="0"/>
      <c r="CAX59" s="0"/>
      <c r="CAY59" s="0"/>
      <c r="CAZ59" s="0"/>
      <c r="CBA59" s="0"/>
      <c r="CBB59" s="0"/>
      <c r="CBC59" s="0"/>
      <c r="CBD59" s="0"/>
      <c r="CBE59" s="0"/>
      <c r="CBF59" s="0"/>
      <c r="CBG59" s="0"/>
      <c r="CBH59" s="0"/>
      <c r="CBI59" s="0"/>
      <c r="CBJ59" s="0"/>
      <c r="CBK59" s="0"/>
      <c r="CBL59" s="0"/>
      <c r="CBM59" s="0"/>
      <c r="CBN59" s="0"/>
      <c r="CBO59" s="0"/>
      <c r="CBP59" s="0"/>
      <c r="CBQ59" s="0"/>
      <c r="CBR59" s="0"/>
      <c r="CBS59" s="0"/>
      <c r="CBT59" s="0"/>
      <c r="CBU59" s="0"/>
      <c r="CBV59" s="0"/>
      <c r="CBW59" s="0"/>
      <c r="CBX59" s="0"/>
      <c r="CBY59" s="0"/>
      <c r="CBZ59" s="0"/>
      <c r="CCA59" s="0"/>
      <c r="CCB59" s="0"/>
      <c r="CCC59" s="0"/>
      <c r="CCD59" s="0"/>
      <c r="CCE59" s="0"/>
      <c r="CCF59" s="0"/>
      <c r="CCG59" s="0"/>
      <c r="CCH59" s="0"/>
      <c r="CCI59" s="0"/>
      <c r="CCJ59" s="0"/>
      <c r="CCK59" s="0"/>
      <c r="CCL59" s="0"/>
      <c r="CCM59" s="0"/>
      <c r="CCN59" s="0"/>
      <c r="CCO59" s="0"/>
      <c r="CCP59" s="0"/>
      <c r="CCQ59" s="0"/>
      <c r="CCR59" s="0"/>
      <c r="CCS59" s="0"/>
      <c r="CCT59" s="0"/>
      <c r="CCU59" s="0"/>
      <c r="CCV59" s="0"/>
      <c r="CCW59" s="0"/>
      <c r="CCX59" s="0"/>
      <c r="CCY59" s="0"/>
      <c r="CCZ59" s="0"/>
      <c r="CDA59" s="0"/>
      <c r="CDB59" s="0"/>
      <c r="CDC59" s="0"/>
      <c r="CDD59" s="0"/>
      <c r="CDE59" s="0"/>
      <c r="CDF59" s="0"/>
      <c r="CDG59" s="0"/>
      <c r="CDH59" s="0"/>
      <c r="CDI59" s="0"/>
      <c r="CDJ59" s="0"/>
      <c r="CDK59" s="0"/>
      <c r="CDL59" s="0"/>
      <c r="CDM59" s="0"/>
      <c r="CDN59" s="0"/>
      <c r="CDO59" s="0"/>
      <c r="CDP59" s="0"/>
      <c r="CDQ59" s="0"/>
      <c r="CDR59" s="0"/>
      <c r="CDS59" s="0"/>
      <c r="CDT59" s="0"/>
      <c r="CDU59" s="0"/>
      <c r="CDV59" s="0"/>
      <c r="CDW59" s="0"/>
      <c r="CDX59" s="0"/>
      <c r="CDY59" s="0"/>
      <c r="CDZ59" s="0"/>
      <c r="CEA59" s="0"/>
      <c r="CEB59" s="0"/>
      <c r="CEC59" s="0"/>
      <c r="CED59" s="0"/>
      <c r="CEE59" s="0"/>
      <c r="CEF59" s="0"/>
      <c r="CEG59" s="0"/>
      <c r="CEH59" s="0"/>
      <c r="CEI59" s="0"/>
      <c r="CEJ59" s="0"/>
      <c r="CEK59" s="0"/>
      <c r="CEL59" s="0"/>
      <c r="CEM59" s="0"/>
      <c r="CEN59" s="0"/>
      <c r="CEO59" s="0"/>
      <c r="CEP59" s="0"/>
      <c r="CEQ59" s="0"/>
      <c r="CER59" s="0"/>
      <c r="CES59" s="0"/>
      <c r="CET59" s="0"/>
      <c r="CEU59" s="0"/>
      <c r="CEV59" s="0"/>
      <c r="CEW59" s="0"/>
      <c r="CEX59" s="0"/>
      <c r="CEY59" s="0"/>
      <c r="CEZ59" s="0"/>
      <c r="CFA59" s="0"/>
      <c r="CFB59" s="0"/>
      <c r="CFC59" s="0"/>
      <c r="CFD59" s="0"/>
      <c r="CFE59" s="0"/>
      <c r="CFF59" s="0"/>
      <c r="CFG59" s="0"/>
      <c r="CFH59" s="0"/>
      <c r="CFI59" s="0"/>
      <c r="CFJ59" s="0"/>
      <c r="CFK59" s="0"/>
      <c r="CFL59" s="0"/>
      <c r="CFM59" s="0"/>
      <c r="CFN59" s="0"/>
      <c r="CFO59" s="0"/>
      <c r="CFP59" s="0"/>
      <c r="CFQ59" s="0"/>
      <c r="CFR59" s="0"/>
      <c r="CFS59" s="0"/>
      <c r="CFT59" s="0"/>
      <c r="CFU59" s="0"/>
      <c r="CFV59" s="0"/>
      <c r="CFW59" s="0"/>
      <c r="CFX59" s="0"/>
      <c r="CFY59" s="0"/>
      <c r="CFZ59" s="0"/>
      <c r="CGA59" s="0"/>
      <c r="CGB59" s="0"/>
      <c r="CGC59" s="0"/>
      <c r="CGD59" s="0"/>
      <c r="CGE59" s="0"/>
      <c r="CGF59" s="0"/>
      <c r="CGG59" s="0"/>
      <c r="CGH59" s="0"/>
      <c r="CGI59" s="0"/>
      <c r="CGJ59" s="0"/>
      <c r="CGK59" s="0"/>
      <c r="CGL59" s="0"/>
      <c r="CGM59" s="0"/>
      <c r="CGN59" s="0"/>
      <c r="CGO59" s="0"/>
      <c r="CGP59" s="0"/>
      <c r="CGQ59" s="0"/>
      <c r="CGR59" s="0"/>
      <c r="CGS59" s="0"/>
      <c r="CGT59" s="0"/>
      <c r="CGU59" s="0"/>
      <c r="CGV59" s="0"/>
      <c r="CGW59" s="0"/>
      <c r="CGX59" s="0"/>
      <c r="CGY59" s="0"/>
      <c r="CGZ59" s="0"/>
      <c r="CHA59" s="0"/>
      <c r="CHB59" s="0"/>
      <c r="CHC59" s="0"/>
      <c r="CHD59" s="0"/>
      <c r="CHE59" s="0"/>
      <c r="CHF59" s="0"/>
      <c r="CHG59" s="0"/>
      <c r="CHH59" s="0"/>
      <c r="CHI59" s="0"/>
      <c r="CHJ59" s="0"/>
      <c r="CHK59" s="0"/>
      <c r="CHL59" s="0"/>
      <c r="CHM59" s="0"/>
      <c r="CHN59" s="0"/>
      <c r="CHO59" s="0"/>
      <c r="CHP59" s="0"/>
      <c r="CHQ59" s="0"/>
      <c r="CHR59" s="0"/>
      <c r="CHS59" s="0"/>
      <c r="CHT59" s="0"/>
      <c r="CHU59" s="0"/>
      <c r="CHV59" s="0"/>
      <c r="CHW59" s="0"/>
      <c r="CHX59" s="0"/>
      <c r="CHY59" s="0"/>
      <c r="CHZ59" s="0"/>
      <c r="CIA59" s="0"/>
      <c r="CIB59" s="0"/>
      <c r="CIC59" s="0"/>
      <c r="CID59" s="0"/>
      <c r="CIE59" s="0"/>
      <c r="CIF59" s="0"/>
      <c r="CIG59" s="0"/>
      <c r="CIH59" s="0"/>
      <c r="CII59" s="0"/>
      <c r="CIJ59" s="0"/>
      <c r="CIK59" s="0"/>
      <c r="CIL59" s="0"/>
      <c r="CIM59" s="0"/>
      <c r="CIN59" s="0"/>
      <c r="CIO59" s="0"/>
      <c r="CIP59" s="0"/>
      <c r="CIQ59" s="0"/>
      <c r="CIR59" s="0"/>
      <c r="CIS59" s="0"/>
      <c r="CIT59" s="0"/>
      <c r="CIU59" s="0"/>
      <c r="CIV59" s="0"/>
      <c r="CIW59" s="0"/>
      <c r="CIX59" s="0"/>
      <c r="CIY59" s="0"/>
      <c r="CIZ59" s="0"/>
      <c r="CJA59" s="0"/>
      <c r="CJB59" s="0"/>
      <c r="CJC59" s="0"/>
      <c r="CJD59" s="0"/>
      <c r="CJE59" s="0"/>
      <c r="CJF59" s="0"/>
      <c r="CJG59" s="0"/>
      <c r="CJH59" s="0"/>
      <c r="CJI59" s="0"/>
      <c r="CJJ59" s="0"/>
      <c r="CJK59" s="0"/>
      <c r="CJL59" s="0"/>
      <c r="CJM59" s="0"/>
      <c r="CJN59" s="0"/>
      <c r="CJO59" s="0"/>
      <c r="CJP59" s="0"/>
      <c r="CJQ59" s="0"/>
      <c r="CJR59" s="0"/>
      <c r="CJS59" s="0"/>
      <c r="CJT59" s="0"/>
      <c r="CJU59" s="0"/>
      <c r="CJV59" s="0"/>
      <c r="CJW59" s="0"/>
      <c r="CJX59" s="0"/>
      <c r="CJY59" s="0"/>
      <c r="CJZ59" s="0"/>
      <c r="CKA59" s="0"/>
      <c r="CKB59" s="0"/>
      <c r="CKC59" s="0"/>
      <c r="CKD59" s="0"/>
      <c r="CKE59" s="0"/>
      <c r="CKF59" s="0"/>
      <c r="CKG59" s="0"/>
      <c r="CKH59" s="0"/>
      <c r="CKI59" s="0"/>
      <c r="CKJ59" s="0"/>
      <c r="CKK59" s="0"/>
      <c r="CKL59" s="0"/>
      <c r="CKM59" s="0"/>
      <c r="CKN59" s="0"/>
      <c r="CKO59" s="0"/>
      <c r="CKP59" s="0"/>
      <c r="CKQ59" s="0"/>
      <c r="CKR59" s="0"/>
      <c r="CKS59" s="0"/>
      <c r="CKT59" s="0"/>
      <c r="CKU59" s="0"/>
      <c r="CKV59" s="0"/>
      <c r="CKW59" s="0"/>
      <c r="CKX59" s="0"/>
      <c r="CKY59" s="0"/>
      <c r="CKZ59" s="0"/>
      <c r="CLA59" s="0"/>
      <c r="CLB59" s="0"/>
      <c r="CLC59" s="0"/>
      <c r="CLD59" s="0"/>
      <c r="CLE59" s="0"/>
      <c r="CLF59" s="0"/>
      <c r="CLG59" s="0"/>
      <c r="CLH59" s="0"/>
      <c r="CLI59" s="0"/>
      <c r="CLJ59" s="0"/>
      <c r="CLK59" s="0"/>
      <c r="CLL59" s="0"/>
      <c r="CLM59" s="0"/>
      <c r="CLN59" s="0"/>
      <c r="CLO59" s="0"/>
      <c r="CLP59" s="0"/>
      <c r="CLQ59" s="0"/>
      <c r="CLR59" s="0"/>
      <c r="CLS59" s="0"/>
      <c r="CLT59" s="0"/>
      <c r="CLU59" s="0"/>
      <c r="CLV59" s="0"/>
      <c r="CLW59" s="0"/>
      <c r="CLX59" s="0"/>
      <c r="CLY59" s="0"/>
      <c r="CLZ59" s="0"/>
      <c r="CMA59" s="0"/>
      <c r="CMB59" s="0"/>
      <c r="CMC59" s="0"/>
      <c r="CMD59" s="0"/>
      <c r="CME59" s="0"/>
      <c r="CMF59" s="0"/>
      <c r="CMG59" s="0"/>
      <c r="CMH59" s="0"/>
      <c r="CMI59" s="0"/>
      <c r="CMJ59" s="0"/>
      <c r="CMK59" s="0"/>
      <c r="CML59" s="0"/>
      <c r="CMM59" s="0"/>
      <c r="CMN59" s="0"/>
      <c r="CMO59" s="0"/>
      <c r="CMP59" s="0"/>
      <c r="CMQ59" s="0"/>
      <c r="CMR59" s="0"/>
      <c r="CMS59" s="0"/>
      <c r="CMT59" s="0"/>
      <c r="CMU59" s="0"/>
      <c r="CMV59" s="0"/>
      <c r="CMW59" s="0"/>
      <c r="CMX59" s="0"/>
      <c r="CMY59" s="0"/>
      <c r="CMZ59" s="0"/>
      <c r="CNA59" s="0"/>
      <c r="CNB59" s="0"/>
      <c r="CNC59" s="0"/>
      <c r="CND59" s="0"/>
      <c r="CNE59" s="0"/>
      <c r="CNF59" s="0"/>
      <c r="CNG59" s="0"/>
      <c r="CNH59" s="0"/>
      <c r="CNI59" s="0"/>
      <c r="CNJ59" s="0"/>
      <c r="CNK59" s="0"/>
      <c r="CNL59" s="0"/>
      <c r="CNM59" s="0"/>
      <c r="CNN59" s="0"/>
      <c r="CNO59" s="0"/>
      <c r="CNP59" s="0"/>
      <c r="CNQ59" s="0"/>
      <c r="CNR59" s="0"/>
      <c r="CNS59" s="0"/>
      <c r="CNT59" s="0"/>
      <c r="CNU59" s="0"/>
      <c r="CNV59" s="0"/>
      <c r="CNW59" s="0"/>
      <c r="CNX59" s="0"/>
      <c r="CNY59" s="0"/>
      <c r="CNZ59" s="0"/>
      <c r="COA59" s="0"/>
      <c r="COB59" s="0"/>
      <c r="COC59" s="0"/>
      <c r="COD59" s="0"/>
      <c r="COE59" s="0"/>
      <c r="COF59" s="0"/>
      <c r="COG59" s="0"/>
      <c r="COH59" s="0"/>
      <c r="COI59" s="0"/>
      <c r="COJ59" s="0"/>
      <c r="COK59" s="0"/>
      <c r="COL59" s="0"/>
      <c r="COM59" s="0"/>
      <c r="CON59" s="0"/>
      <c r="COO59" s="0"/>
      <c r="COP59" s="0"/>
      <c r="COQ59" s="0"/>
      <c r="COR59" s="0"/>
      <c r="COS59" s="0"/>
      <c r="COT59" s="0"/>
      <c r="COU59" s="0"/>
      <c r="COV59" s="0"/>
      <c r="COW59" s="0"/>
      <c r="COX59" s="0"/>
      <c r="COY59" s="0"/>
      <c r="COZ59" s="0"/>
      <c r="CPA59" s="0"/>
      <c r="CPB59" s="0"/>
      <c r="CPC59" s="0"/>
      <c r="CPD59" s="0"/>
      <c r="CPE59" s="0"/>
      <c r="CPF59" s="0"/>
      <c r="CPG59" s="0"/>
      <c r="CPH59" s="0"/>
      <c r="CPI59" s="0"/>
      <c r="CPJ59" s="0"/>
      <c r="CPK59" s="0"/>
      <c r="CPL59" s="0"/>
      <c r="CPM59" s="0"/>
      <c r="CPN59" s="0"/>
      <c r="CPO59" s="0"/>
      <c r="CPP59" s="0"/>
      <c r="CPQ59" s="0"/>
      <c r="CPR59" s="0"/>
      <c r="CPS59" s="0"/>
      <c r="CPT59" s="0"/>
      <c r="CPU59" s="0"/>
      <c r="CPV59" s="0"/>
      <c r="CPW59" s="0"/>
      <c r="CPX59" s="0"/>
      <c r="CPY59" s="0"/>
      <c r="CPZ59" s="0"/>
      <c r="CQA59" s="0"/>
      <c r="CQB59" s="0"/>
      <c r="CQC59" s="0"/>
      <c r="CQD59" s="0"/>
      <c r="CQE59" s="0"/>
      <c r="CQF59" s="0"/>
      <c r="CQG59" s="0"/>
      <c r="CQH59" s="0"/>
      <c r="CQI59" s="0"/>
      <c r="CQJ59" s="0"/>
      <c r="CQK59" s="0"/>
      <c r="CQL59" s="0"/>
      <c r="CQM59" s="0"/>
      <c r="CQN59" s="0"/>
      <c r="CQO59" s="0"/>
      <c r="CQP59" s="0"/>
      <c r="CQQ59" s="0"/>
      <c r="CQR59" s="0"/>
      <c r="CQS59" s="0"/>
      <c r="CQT59" s="0"/>
      <c r="CQU59" s="0"/>
      <c r="CQV59" s="0"/>
      <c r="CQW59" s="0"/>
      <c r="CQX59" s="0"/>
      <c r="CQY59" s="0"/>
      <c r="CQZ59" s="0"/>
      <c r="CRA59" s="0"/>
      <c r="CRB59" s="0"/>
      <c r="CRC59" s="0"/>
      <c r="CRD59" s="0"/>
      <c r="CRE59" s="0"/>
      <c r="CRF59" s="0"/>
      <c r="CRG59" s="0"/>
      <c r="CRH59" s="0"/>
      <c r="CRI59" s="0"/>
      <c r="CRJ59" s="0"/>
      <c r="CRK59" s="0"/>
      <c r="CRL59" s="0"/>
      <c r="CRM59" s="0"/>
      <c r="CRN59" s="0"/>
      <c r="CRO59" s="0"/>
      <c r="CRP59" s="0"/>
      <c r="CRQ59" s="0"/>
      <c r="CRR59" s="0"/>
      <c r="CRS59" s="0"/>
      <c r="CRT59" s="0"/>
      <c r="CRU59" s="0"/>
      <c r="CRV59" s="0"/>
      <c r="CRW59" s="0"/>
      <c r="CRX59" s="0"/>
      <c r="CRY59" s="0"/>
      <c r="CRZ59" s="0"/>
      <c r="CSA59" s="0"/>
      <c r="CSB59" s="0"/>
      <c r="CSC59" s="0"/>
      <c r="CSD59" s="0"/>
      <c r="CSE59" s="0"/>
      <c r="CSF59" s="0"/>
      <c r="CSG59" s="0"/>
      <c r="CSH59" s="0"/>
      <c r="CSI59" s="0"/>
      <c r="CSJ59" s="0"/>
      <c r="CSK59" s="0"/>
      <c r="CSL59" s="0"/>
      <c r="CSM59" s="0"/>
      <c r="CSN59" s="0"/>
      <c r="CSO59" s="0"/>
      <c r="CSP59" s="0"/>
      <c r="CSQ59" s="0"/>
      <c r="CSR59" s="0"/>
      <c r="CSS59" s="0"/>
      <c r="CST59" s="0"/>
      <c r="CSU59" s="0"/>
      <c r="CSV59" s="0"/>
      <c r="CSW59" s="0"/>
      <c r="CSX59" s="0"/>
      <c r="CSY59" s="0"/>
      <c r="CSZ59" s="0"/>
      <c r="CTA59" s="0"/>
      <c r="CTB59" s="0"/>
      <c r="CTC59" s="0"/>
      <c r="CTD59" s="0"/>
      <c r="CTE59" s="0"/>
      <c r="CTF59" s="0"/>
      <c r="CTG59" s="0"/>
      <c r="CTH59" s="0"/>
      <c r="CTI59" s="0"/>
      <c r="CTJ59" s="0"/>
      <c r="CTK59" s="0"/>
      <c r="CTL59" s="0"/>
      <c r="CTM59" s="0"/>
      <c r="CTN59" s="0"/>
      <c r="CTO59" s="0"/>
      <c r="CTP59" s="0"/>
      <c r="CTQ59" s="0"/>
      <c r="CTR59" s="0"/>
      <c r="CTS59" s="0"/>
      <c r="CTT59" s="0"/>
      <c r="CTU59" s="0"/>
      <c r="CTV59" s="0"/>
      <c r="CTW59" s="0"/>
      <c r="CTX59" s="0"/>
      <c r="CTY59" s="0"/>
      <c r="CTZ59" s="0"/>
      <c r="CUA59" s="0"/>
      <c r="CUB59" s="0"/>
      <c r="CUC59" s="0"/>
      <c r="CUD59" s="0"/>
      <c r="CUE59" s="0"/>
      <c r="CUF59" s="0"/>
      <c r="CUG59" s="0"/>
      <c r="CUH59" s="0"/>
      <c r="CUI59" s="0"/>
      <c r="CUJ59" s="0"/>
      <c r="CUK59" s="0"/>
      <c r="CUL59" s="0"/>
      <c r="CUM59" s="0"/>
      <c r="CUN59" s="0"/>
      <c r="CUO59" s="0"/>
      <c r="CUP59" s="0"/>
      <c r="CUQ59" s="0"/>
      <c r="CUR59" s="0"/>
      <c r="CUS59" s="0"/>
      <c r="CUT59" s="0"/>
      <c r="CUU59" s="0"/>
      <c r="CUV59" s="0"/>
      <c r="CUW59" s="0"/>
      <c r="CUX59" s="0"/>
      <c r="CUY59" s="0"/>
      <c r="CUZ59" s="0"/>
      <c r="CVA59" s="0"/>
      <c r="CVB59" s="0"/>
      <c r="CVC59" s="0"/>
      <c r="CVD59" s="0"/>
      <c r="CVE59" s="0"/>
      <c r="CVF59" s="0"/>
      <c r="CVG59" s="0"/>
      <c r="CVH59" s="0"/>
      <c r="CVI59" s="0"/>
      <c r="CVJ59" s="0"/>
      <c r="CVK59" s="0"/>
      <c r="CVL59" s="0"/>
      <c r="CVM59" s="0"/>
      <c r="CVN59" s="0"/>
      <c r="CVO59" s="0"/>
      <c r="CVP59" s="0"/>
      <c r="CVQ59" s="0"/>
      <c r="CVR59" s="0"/>
      <c r="CVS59" s="0"/>
      <c r="CVT59" s="0"/>
      <c r="CVU59" s="0"/>
      <c r="CVV59" s="0"/>
      <c r="CVW59" s="0"/>
      <c r="CVX59" s="0"/>
      <c r="CVY59" s="0"/>
      <c r="CVZ59" s="0"/>
      <c r="CWA59" s="0"/>
      <c r="CWB59" s="0"/>
      <c r="CWC59" s="0"/>
      <c r="CWD59" s="0"/>
      <c r="CWE59" s="0"/>
      <c r="CWF59" s="0"/>
      <c r="CWG59" s="0"/>
      <c r="CWH59" s="0"/>
      <c r="CWI59" s="0"/>
      <c r="CWJ59" s="0"/>
      <c r="CWK59" s="0"/>
      <c r="CWL59" s="0"/>
      <c r="CWM59" s="0"/>
      <c r="CWN59" s="0"/>
      <c r="CWO59" s="0"/>
      <c r="CWP59" s="0"/>
      <c r="CWQ59" s="0"/>
      <c r="CWR59" s="0"/>
      <c r="CWS59" s="0"/>
      <c r="CWT59" s="0"/>
      <c r="CWU59" s="0"/>
      <c r="CWV59" s="0"/>
      <c r="CWW59" s="0"/>
      <c r="CWX59" s="0"/>
      <c r="CWY59" s="0"/>
      <c r="CWZ59" s="0"/>
      <c r="CXA59" s="0"/>
      <c r="CXB59" s="0"/>
      <c r="CXC59" s="0"/>
      <c r="CXD59" s="0"/>
      <c r="CXE59" s="0"/>
      <c r="CXF59" s="0"/>
      <c r="CXG59" s="0"/>
      <c r="CXH59" s="0"/>
      <c r="CXI59" s="0"/>
      <c r="CXJ59" s="0"/>
      <c r="CXK59" s="0"/>
      <c r="CXL59" s="0"/>
      <c r="CXM59" s="0"/>
      <c r="CXN59" s="0"/>
      <c r="CXO59" s="0"/>
      <c r="CXP59" s="0"/>
      <c r="CXQ59" s="0"/>
      <c r="CXR59" s="0"/>
      <c r="CXS59" s="0"/>
      <c r="CXT59" s="0"/>
      <c r="CXU59" s="0"/>
      <c r="CXV59" s="0"/>
      <c r="CXW59" s="0"/>
      <c r="CXX59" s="0"/>
      <c r="CXY59" s="0"/>
      <c r="CXZ59" s="0"/>
      <c r="CYA59" s="0"/>
      <c r="CYB59" s="0"/>
      <c r="CYC59" s="0"/>
      <c r="CYD59" s="0"/>
      <c r="CYE59" s="0"/>
      <c r="CYF59" s="0"/>
      <c r="CYG59" s="0"/>
      <c r="CYH59" s="0"/>
      <c r="CYI59" s="0"/>
      <c r="CYJ59" s="0"/>
      <c r="CYK59" s="0"/>
      <c r="CYL59" s="0"/>
      <c r="CYM59" s="0"/>
      <c r="CYN59" s="0"/>
      <c r="CYO59" s="0"/>
      <c r="CYP59" s="0"/>
      <c r="CYQ59" s="0"/>
      <c r="CYR59" s="0"/>
      <c r="CYS59" s="0"/>
      <c r="CYT59" s="0"/>
      <c r="CYU59" s="0"/>
      <c r="CYV59" s="0"/>
      <c r="CYW59" s="0"/>
      <c r="CYX59" s="0"/>
      <c r="CYY59" s="0"/>
      <c r="CYZ59" s="0"/>
      <c r="CZA59" s="0"/>
      <c r="CZB59" s="0"/>
      <c r="CZC59" s="0"/>
      <c r="CZD59" s="0"/>
      <c r="CZE59" s="0"/>
      <c r="CZF59" s="0"/>
      <c r="CZG59" s="0"/>
      <c r="CZH59" s="0"/>
      <c r="CZI59" s="0"/>
      <c r="CZJ59" s="0"/>
      <c r="CZK59" s="0"/>
      <c r="CZL59" s="0"/>
      <c r="CZM59" s="0"/>
      <c r="CZN59" s="0"/>
      <c r="CZO59" s="0"/>
      <c r="CZP59" s="0"/>
      <c r="CZQ59" s="0"/>
      <c r="CZR59" s="0"/>
      <c r="CZS59" s="0"/>
      <c r="CZT59" s="0"/>
      <c r="CZU59" s="0"/>
      <c r="CZV59" s="0"/>
      <c r="CZW59" s="0"/>
      <c r="CZX59" s="0"/>
      <c r="CZY59" s="0"/>
      <c r="CZZ59" s="0"/>
      <c r="DAA59" s="0"/>
      <c r="DAB59" s="0"/>
      <c r="DAC59" s="0"/>
      <c r="DAD59" s="0"/>
      <c r="DAE59" s="0"/>
      <c r="DAF59" s="0"/>
      <c r="DAG59" s="0"/>
      <c r="DAH59" s="0"/>
      <c r="DAI59" s="0"/>
      <c r="DAJ59" s="0"/>
      <c r="DAK59" s="0"/>
      <c r="DAL59" s="0"/>
      <c r="DAM59" s="0"/>
      <c r="DAN59" s="0"/>
      <c r="DAO59" s="0"/>
      <c r="DAP59" s="0"/>
      <c r="DAQ59" s="0"/>
      <c r="DAR59" s="0"/>
      <c r="DAS59" s="0"/>
      <c r="DAT59" s="0"/>
      <c r="DAU59" s="0"/>
      <c r="DAV59" s="0"/>
      <c r="DAW59" s="0"/>
      <c r="DAX59" s="0"/>
      <c r="DAY59" s="0"/>
      <c r="DAZ59" s="0"/>
      <c r="DBA59" s="0"/>
      <c r="DBB59" s="0"/>
      <c r="DBC59" s="0"/>
      <c r="DBD59" s="0"/>
      <c r="DBE59" s="0"/>
      <c r="DBF59" s="0"/>
      <c r="DBG59" s="0"/>
      <c r="DBH59" s="0"/>
      <c r="DBI59" s="0"/>
      <c r="DBJ59" s="0"/>
      <c r="DBK59" s="0"/>
      <c r="DBL59" s="0"/>
      <c r="DBM59" s="0"/>
      <c r="DBN59" s="0"/>
      <c r="DBO59" s="0"/>
      <c r="DBP59" s="0"/>
      <c r="DBQ59" s="0"/>
      <c r="DBR59" s="0"/>
      <c r="DBS59" s="0"/>
      <c r="DBT59" s="0"/>
      <c r="DBU59" s="0"/>
      <c r="DBV59" s="0"/>
      <c r="DBW59" s="0"/>
      <c r="DBX59" s="0"/>
      <c r="DBY59" s="0"/>
      <c r="DBZ59" s="0"/>
      <c r="DCA59" s="0"/>
      <c r="DCB59" s="0"/>
      <c r="DCC59" s="0"/>
      <c r="DCD59" s="0"/>
      <c r="DCE59" s="0"/>
      <c r="DCF59" s="0"/>
      <c r="DCG59" s="0"/>
      <c r="DCH59" s="0"/>
      <c r="DCI59" s="0"/>
      <c r="DCJ59" s="0"/>
      <c r="DCK59" s="0"/>
      <c r="DCL59" s="0"/>
      <c r="DCM59" s="0"/>
      <c r="DCN59" s="0"/>
      <c r="DCO59" s="0"/>
      <c r="DCP59" s="0"/>
      <c r="DCQ59" s="0"/>
      <c r="DCR59" s="0"/>
      <c r="DCS59" s="0"/>
      <c r="DCT59" s="0"/>
      <c r="DCU59" s="0"/>
      <c r="DCV59" s="0"/>
      <c r="DCW59" s="0"/>
      <c r="DCX59" s="0"/>
      <c r="DCY59" s="0"/>
      <c r="DCZ59" s="0"/>
      <c r="DDA59" s="0"/>
      <c r="DDB59" s="0"/>
      <c r="DDC59" s="0"/>
      <c r="DDD59" s="0"/>
      <c r="DDE59" s="0"/>
      <c r="DDF59" s="0"/>
      <c r="DDG59" s="0"/>
      <c r="DDH59" s="0"/>
      <c r="DDI59" s="0"/>
      <c r="DDJ59" s="0"/>
      <c r="DDK59" s="0"/>
      <c r="DDL59" s="0"/>
      <c r="DDM59" s="0"/>
      <c r="DDN59" s="0"/>
      <c r="DDO59" s="0"/>
      <c r="DDP59" s="0"/>
      <c r="DDQ59" s="0"/>
      <c r="DDR59" s="0"/>
      <c r="DDS59" s="0"/>
      <c r="DDT59" s="0"/>
      <c r="DDU59" s="0"/>
      <c r="DDV59" s="0"/>
      <c r="DDW59" s="0"/>
      <c r="DDX59" s="0"/>
      <c r="DDY59" s="0"/>
      <c r="DDZ59" s="0"/>
      <c r="DEA59" s="0"/>
      <c r="DEB59" s="0"/>
      <c r="DEC59" s="0"/>
      <c r="DED59" s="0"/>
      <c r="DEE59" s="0"/>
      <c r="DEF59" s="0"/>
      <c r="DEG59" s="0"/>
      <c r="DEH59" s="0"/>
      <c r="DEI59" s="0"/>
      <c r="DEJ59" s="0"/>
      <c r="DEK59" s="0"/>
      <c r="DEL59" s="0"/>
      <c r="DEM59" s="0"/>
      <c r="DEN59" s="0"/>
      <c r="DEO59" s="0"/>
      <c r="DEP59" s="0"/>
      <c r="DEQ59" s="0"/>
      <c r="DER59" s="0"/>
      <c r="DES59" s="0"/>
      <c r="DET59" s="0"/>
      <c r="DEU59" s="0"/>
      <c r="DEV59" s="0"/>
      <c r="DEW59" s="0"/>
      <c r="DEX59" s="0"/>
      <c r="DEY59" s="0"/>
      <c r="DEZ59" s="0"/>
      <c r="DFA59" s="0"/>
      <c r="DFB59" s="0"/>
      <c r="DFC59" s="0"/>
      <c r="DFD59" s="0"/>
      <c r="DFE59" s="0"/>
      <c r="DFF59" s="0"/>
      <c r="DFG59" s="0"/>
      <c r="DFH59" s="0"/>
      <c r="DFI59" s="0"/>
      <c r="DFJ59" s="0"/>
      <c r="DFK59" s="0"/>
      <c r="DFL59" s="0"/>
      <c r="DFM59" s="0"/>
      <c r="DFN59" s="0"/>
      <c r="DFO59" s="0"/>
      <c r="DFP59" s="0"/>
      <c r="DFQ59" s="0"/>
      <c r="DFR59" s="0"/>
      <c r="DFS59" s="0"/>
      <c r="DFT59" s="0"/>
      <c r="DFU59" s="0"/>
      <c r="DFV59" s="0"/>
      <c r="DFW59" s="0"/>
      <c r="DFX59" s="0"/>
      <c r="DFY59" s="0"/>
      <c r="DFZ59" s="0"/>
      <c r="DGA59" s="0"/>
      <c r="DGB59" s="0"/>
      <c r="DGC59" s="0"/>
      <c r="DGD59" s="0"/>
      <c r="DGE59" s="0"/>
      <c r="DGF59" s="0"/>
      <c r="DGG59" s="0"/>
      <c r="DGH59" s="0"/>
      <c r="DGI59" s="0"/>
      <c r="DGJ59" s="0"/>
      <c r="DGK59" s="0"/>
      <c r="DGL59" s="0"/>
      <c r="DGM59" s="0"/>
      <c r="DGN59" s="0"/>
      <c r="DGO59" s="0"/>
      <c r="DGP59" s="0"/>
      <c r="DGQ59" s="0"/>
      <c r="DGR59" s="0"/>
      <c r="DGS59" s="0"/>
      <c r="DGT59" s="0"/>
      <c r="DGU59" s="0"/>
      <c r="DGV59" s="0"/>
      <c r="DGW59" s="0"/>
      <c r="DGX59" s="0"/>
      <c r="DGY59" s="0"/>
      <c r="DGZ59" s="0"/>
      <c r="DHA59" s="0"/>
      <c r="DHB59" s="0"/>
      <c r="DHC59" s="0"/>
      <c r="DHD59" s="0"/>
      <c r="DHE59" s="0"/>
      <c r="DHF59" s="0"/>
      <c r="DHG59" s="0"/>
      <c r="DHH59" s="0"/>
      <c r="DHI59" s="0"/>
      <c r="DHJ59" s="0"/>
      <c r="DHK59" s="0"/>
      <c r="DHL59" s="0"/>
      <c r="DHM59" s="0"/>
      <c r="DHN59" s="0"/>
      <c r="DHO59" s="0"/>
      <c r="DHP59" s="0"/>
      <c r="DHQ59" s="0"/>
      <c r="DHR59" s="0"/>
      <c r="DHS59" s="0"/>
      <c r="DHT59" s="0"/>
      <c r="DHU59" s="0"/>
      <c r="DHV59" s="0"/>
      <c r="DHW59" s="0"/>
      <c r="DHX59" s="0"/>
      <c r="DHY59" s="0"/>
      <c r="DHZ59" s="0"/>
      <c r="DIA59" s="0"/>
      <c r="DIB59" s="0"/>
      <c r="DIC59" s="0"/>
      <c r="DID59" s="0"/>
      <c r="DIE59" s="0"/>
      <c r="DIF59" s="0"/>
      <c r="DIG59" s="0"/>
      <c r="DIH59" s="0"/>
      <c r="DII59" s="0"/>
      <c r="DIJ59" s="0"/>
      <c r="DIK59" s="0"/>
      <c r="DIL59" s="0"/>
      <c r="DIM59" s="0"/>
      <c r="DIN59" s="0"/>
      <c r="DIO59" s="0"/>
      <c r="DIP59" s="0"/>
      <c r="DIQ59" s="0"/>
      <c r="DIR59" s="0"/>
      <c r="DIS59" s="0"/>
      <c r="DIT59" s="0"/>
      <c r="DIU59" s="0"/>
      <c r="DIV59" s="0"/>
      <c r="DIW59" s="0"/>
      <c r="DIX59" s="0"/>
      <c r="DIY59" s="0"/>
      <c r="DIZ59" s="0"/>
      <c r="DJA59" s="0"/>
      <c r="DJB59" s="0"/>
      <c r="DJC59" s="0"/>
      <c r="DJD59" s="0"/>
      <c r="DJE59" s="0"/>
      <c r="DJF59" s="0"/>
      <c r="DJG59" s="0"/>
      <c r="DJH59" s="0"/>
      <c r="DJI59" s="0"/>
      <c r="DJJ59" s="0"/>
      <c r="DJK59" s="0"/>
      <c r="DJL59" s="0"/>
      <c r="DJM59" s="0"/>
      <c r="DJN59" s="0"/>
      <c r="DJO59" s="0"/>
      <c r="DJP59" s="0"/>
      <c r="DJQ59" s="0"/>
      <c r="DJR59" s="0"/>
      <c r="DJS59" s="0"/>
      <c r="DJT59" s="0"/>
      <c r="DJU59" s="0"/>
      <c r="DJV59" s="0"/>
      <c r="DJW59" s="0"/>
      <c r="DJX59" s="0"/>
      <c r="DJY59" s="0"/>
      <c r="DJZ59" s="0"/>
      <c r="DKA59" s="0"/>
      <c r="DKB59" s="0"/>
      <c r="DKC59" s="0"/>
      <c r="DKD59" s="0"/>
      <c r="DKE59" s="0"/>
      <c r="DKF59" s="0"/>
      <c r="DKG59" s="0"/>
      <c r="DKH59" s="0"/>
      <c r="DKI59" s="0"/>
      <c r="DKJ59" s="0"/>
      <c r="DKK59" s="0"/>
      <c r="DKL59" s="0"/>
      <c r="DKM59" s="0"/>
      <c r="DKN59" s="0"/>
      <c r="DKO59" s="0"/>
      <c r="DKP59" s="0"/>
      <c r="DKQ59" s="0"/>
      <c r="DKR59" s="0"/>
      <c r="DKS59" s="0"/>
      <c r="DKT59" s="0"/>
      <c r="DKU59" s="0"/>
      <c r="DKV59" s="0"/>
      <c r="DKW59" s="0"/>
      <c r="DKX59" s="0"/>
      <c r="DKY59" s="0"/>
      <c r="DKZ59" s="0"/>
      <c r="DLA59" s="0"/>
      <c r="DLB59" s="0"/>
      <c r="DLC59" s="0"/>
      <c r="DLD59" s="0"/>
      <c r="DLE59" s="0"/>
      <c r="DLF59" s="0"/>
      <c r="DLG59" s="0"/>
      <c r="DLH59" s="0"/>
      <c r="DLI59" s="0"/>
      <c r="DLJ59" s="0"/>
      <c r="DLK59" s="0"/>
      <c r="DLL59" s="0"/>
      <c r="DLM59" s="0"/>
      <c r="DLN59" s="0"/>
      <c r="DLO59" s="0"/>
      <c r="DLP59" s="0"/>
      <c r="DLQ59" s="0"/>
      <c r="DLR59" s="0"/>
      <c r="DLS59" s="0"/>
      <c r="DLT59" s="0"/>
      <c r="DLU59" s="0"/>
      <c r="DLV59" s="0"/>
      <c r="DLW59" s="0"/>
      <c r="DLX59" s="0"/>
      <c r="DLY59" s="0"/>
      <c r="DLZ59" s="0"/>
      <c r="DMA59" s="0"/>
      <c r="DMB59" s="0"/>
      <c r="DMC59" s="0"/>
      <c r="DMD59" s="0"/>
      <c r="DME59" s="0"/>
      <c r="DMF59" s="0"/>
      <c r="DMG59" s="0"/>
      <c r="DMH59" s="0"/>
      <c r="DMI59" s="0"/>
      <c r="DMJ59" s="0"/>
      <c r="DMK59" s="0"/>
      <c r="DML59" s="0"/>
      <c r="DMM59" s="0"/>
      <c r="DMN59" s="0"/>
      <c r="DMO59" s="0"/>
      <c r="DMP59" s="0"/>
      <c r="DMQ59" s="0"/>
      <c r="DMR59" s="0"/>
      <c r="DMS59" s="0"/>
      <c r="DMT59" s="0"/>
      <c r="DMU59" s="0"/>
      <c r="DMV59" s="0"/>
      <c r="DMW59" s="0"/>
      <c r="DMX59" s="0"/>
      <c r="DMY59" s="0"/>
      <c r="DMZ59" s="0"/>
      <c r="DNA59" s="0"/>
      <c r="DNB59" s="0"/>
      <c r="DNC59" s="0"/>
      <c r="DND59" s="0"/>
      <c r="DNE59" s="0"/>
      <c r="DNF59" s="0"/>
      <c r="DNG59" s="0"/>
      <c r="DNH59" s="0"/>
      <c r="DNI59" s="0"/>
      <c r="DNJ59" s="0"/>
      <c r="DNK59" s="0"/>
      <c r="DNL59" s="0"/>
      <c r="DNM59" s="0"/>
      <c r="DNN59" s="0"/>
      <c r="DNO59" s="0"/>
      <c r="DNP59" s="0"/>
      <c r="DNQ59" s="0"/>
      <c r="DNR59" s="0"/>
      <c r="DNS59" s="0"/>
      <c r="DNT59" s="0"/>
      <c r="DNU59" s="0"/>
      <c r="DNV59" s="0"/>
      <c r="DNW59" s="0"/>
      <c r="DNX59" s="0"/>
      <c r="DNY59" s="0"/>
      <c r="DNZ59" s="0"/>
      <c r="DOA59" s="0"/>
      <c r="DOB59" s="0"/>
      <c r="DOC59" s="0"/>
      <c r="DOD59" s="0"/>
      <c r="DOE59" s="0"/>
      <c r="DOF59" s="0"/>
      <c r="DOG59" s="0"/>
      <c r="DOH59" s="0"/>
      <c r="DOI59" s="0"/>
      <c r="DOJ59" s="0"/>
      <c r="DOK59" s="0"/>
      <c r="DOL59" s="0"/>
      <c r="DOM59" s="0"/>
      <c r="DON59" s="0"/>
      <c r="DOO59" s="0"/>
      <c r="DOP59" s="0"/>
      <c r="DOQ59" s="0"/>
      <c r="DOR59" s="0"/>
      <c r="DOS59" s="0"/>
      <c r="DOT59" s="0"/>
      <c r="DOU59" s="0"/>
      <c r="DOV59" s="0"/>
      <c r="DOW59" s="0"/>
      <c r="DOX59" s="0"/>
      <c r="DOY59" s="0"/>
      <c r="DOZ59" s="0"/>
      <c r="DPA59" s="0"/>
      <c r="DPB59" s="0"/>
      <c r="DPC59" s="0"/>
      <c r="DPD59" s="0"/>
      <c r="DPE59" s="0"/>
      <c r="DPF59" s="0"/>
      <c r="DPG59" s="0"/>
      <c r="DPH59" s="0"/>
      <c r="DPI59" s="0"/>
      <c r="DPJ59" s="0"/>
      <c r="DPK59" s="0"/>
      <c r="DPL59" s="0"/>
      <c r="DPM59" s="0"/>
      <c r="DPN59" s="0"/>
      <c r="DPO59" s="0"/>
      <c r="DPP59" s="0"/>
      <c r="DPQ59" s="0"/>
      <c r="DPR59" s="0"/>
      <c r="DPS59" s="0"/>
      <c r="DPT59" s="0"/>
      <c r="DPU59" s="0"/>
      <c r="DPV59" s="0"/>
      <c r="DPW59" s="0"/>
      <c r="DPX59" s="0"/>
      <c r="DPY59" s="0"/>
      <c r="DPZ59" s="0"/>
      <c r="DQA59" s="0"/>
      <c r="DQB59" s="0"/>
      <c r="DQC59" s="0"/>
      <c r="DQD59" s="0"/>
      <c r="DQE59" s="0"/>
      <c r="DQF59" s="0"/>
      <c r="DQG59" s="0"/>
      <c r="DQH59" s="0"/>
      <c r="DQI59" s="0"/>
      <c r="DQJ59" s="0"/>
      <c r="DQK59" s="0"/>
      <c r="DQL59" s="0"/>
      <c r="DQM59" s="0"/>
      <c r="DQN59" s="0"/>
      <c r="DQO59" s="0"/>
      <c r="DQP59" s="0"/>
      <c r="DQQ59" s="0"/>
      <c r="DQR59" s="0"/>
      <c r="DQS59" s="0"/>
      <c r="DQT59" s="0"/>
      <c r="DQU59" s="0"/>
      <c r="DQV59" s="0"/>
      <c r="DQW59" s="0"/>
      <c r="DQX59" s="0"/>
      <c r="DQY59" s="0"/>
      <c r="DQZ59" s="0"/>
      <c r="DRA59" s="0"/>
      <c r="DRB59" s="0"/>
      <c r="DRC59" s="0"/>
      <c r="DRD59" s="0"/>
      <c r="DRE59" s="0"/>
      <c r="DRF59" s="0"/>
      <c r="DRG59" s="0"/>
      <c r="DRH59" s="0"/>
      <c r="DRI59" s="0"/>
      <c r="DRJ59" s="0"/>
      <c r="DRK59" s="0"/>
      <c r="DRL59" s="0"/>
      <c r="DRM59" s="0"/>
      <c r="DRN59" s="0"/>
      <c r="DRO59" s="0"/>
      <c r="DRP59" s="0"/>
      <c r="DRQ59" s="0"/>
      <c r="DRR59" s="0"/>
      <c r="DRS59" s="0"/>
      <c r="DRT59" s="0"/>
      <c r="DRU59" s="0"/>
      <c r="DRV59" s="0"/>
      <c r="DRW59" s="0"/>
      <c r="DRX59" s="0"/>
      <c r="DRY59" s="0"/>
      <c r="DRZ59" s="0"/>
      <c r="DSA59" s="0"/>
      <c r="DSB59" s="0"/>
      <c r="DSC59" s="0"/>
      <c r="DSD59" s="0"/>
      <c r="DSE59" s="0"/>
      <c r="DSF59" s="0"/>
      <c r="DSG59" s="0"/>
      <c r="DSH59" s="0"/>
      <c r="DSI59" s="0"/>
      <c r="DSJ59" s="0"/>
      <c r="DSK59" s="0"/>
      <c r="DSL59" s="0"/>
      <c r="DSM59" s="0"/>
      <c r="DSN59" s="0"/>
      <c r="DSO59" s="0"/>
      <c r="DSP59" s="0"/>
      <c r="DSQ59" s="0"/>
      <c r="DSR59" s="0"/>
      <c r="DSS59" s="0"/>
      <c r="DST59" s="0"/>
      <c r="DSU59" s="0"/>
      <c r="DSV59" s="0"/>
      <c r="DSW59" s="0"/>
      <c r="DSX59" s="0"/>
      <c r="DSY59" s="0"/>
      <c r="DSZ59" s="0"/>
      <c r="DTA59" s="0"/>
      <c r="DTB59" s="0"/>
      <c r="DTC59" s="0"/>
      <c r="DTD59" s="0"/>
      <c r="DTE59" s="0"/>
      <c r="DTF59" s="0"/>
      <c r="DTG59" s="0"/>
      <c r="DTH59" s="0"/>
      <c r="DTI59" s="0"/>
      <c r="DTJ59" s="0"/>
      <c r="DTK59" s="0"/>
      <c r="DTL59" s="0"/>
      <c r="DTM59" s="0"/>
      <c r="DTN59" s="0"/>
      <c r="DTO59" s="0"/>
      <c r="DTP59" s="0"/>
      <c r="DTQ59" s="0"/>
      <c r="DTR59" s="0"/>
      <c r="DTS59" s="0"/>
      <c r="DTT59" s="0"/>
      <c r="DTU59" s="0"/>
      <c r="DTV59" s="0"/>
      <c r="DTW59" s="0"/>
      <c r="DTX59" s="0"/>
      <c r="DTY59" s="0"/>
      <c r="DTZ59" s="0"/>
      <c r="DUA59" s="0"/>
      <c r="DUB59" s="0"/>
      <c r="DUC59" s="0"/>
      <c r="DUD59" s="0"/>
      <c r="DUE59" s="0"/>
      <c r="DUF59" s="0"/>
      <c r="DUG59" s="0"/>
      <c r="DUH59" s="0"/>
      <c r="DUI59" s="0"/>
      <c r="DUJ59" s="0"/>
      <c r="DUK59" s="0"/>
      <c r="DUL59" s="0"/>
      <c r="DUM59" s="0"/>
      <c r="DUN59" s="0"/>
      <c r="DUO59" s="0"/>
      <c r="DUP59" s="0"/>
      <c r="DUQ59" s="0"/>
      <c r="DUR59" s="0"/>
      <c r="DUS59" s="0"/>
      <c r="DUT59" s="0"/>
      <c r="DUU59" s="0"/>
      <c r="DUV59" s="0"/>
      <c r="DUW59" s="0"/>
      <c r="DUX59" s="0"/>
      <c r="DUY59" s="0"/>
      <c r="DUZ59" s="0"/>
      <c r="DVA59" s="0"/>
      <c r="DVB59" s="0"/>
      <c r="DVC59" s="0"/>
      <c r="DVD59" s="0"/>
      <c r="DVE59" s="0"/>
      <c r="DVF59" s="0"/>
      <c r="DVG59" s="0"/>
      <c r="DVH59" s="0"/>
      <c r="DVI59" s="0"/>
      <c r="DVJ59" s="0"/>
      <c r="DVK59" s="0"/>
      <c r="DVL59" s="0"/>
      <c r="DVM59" s="0"/>
      <c r="DVN59" s="0"/>
      <c r="DVO59" s="0"/>
      <c r="DVP59" s="0"/>
      <c r="DVQ59" s="0"/>
      <c r="DVR59" s="0"/>
      <c r="DVS59" s="0"/>
      <c r="DVT59" s="0"/>
      <c r="DVU59" s="0"/>
      <c r="DVV59" s="0"/>
      <c r="DVW59" s="0"/>
      <c r="DVX59" s="0"/>
      <c r="DVY59" s="0"/>
      <c r="DVZ59" s="0"/>
      <c r="DWA59" s="0"/>
      <c r="DWB59" s="0"/>
      <c r="DWC59" s="0"/>
      <c r="DWD59" s="0"/>
      <c r="DWE59" s="0"/>
      <c r="DWF59" s="0"/>
      <c r="DWG59" s="0"/>
      <c r="DWH59" s="0"/>
      <c r="DWI59" s="0"/>
      <c r="DWJ59" s="0"/>
      <c r="DWK59" s="0"/>
      <c r="DWL59" s="0"/>
      <c r="DWM59" s="0"/>
      <c r="DWN59" s="0"/>
      <c r="DWO59" s="0"/>
      <c r="DWP59" s="0"/>
      <c r="DWQ59" s="0"/>
      <c r="DWR59" s="0"/>
      <c r="DWS59" s="0"/>
      <c r="DWT59" s="0"/>
      <c r="DWU59" s="0"/>
      <c r="DWV59" s="0"/>
      <c r="DWW59" s="0"/>
      <c r="DWX59" s="0"/>
      <c r="DWY59" s="0"/>
      <c r="DWZ59" s="0"/>
      <c r="DXA59" s="0"/>
      <c r="DXB59" s="0"/>
      <c r="DXC59" s="0"/>
      <c r="DXD59" s="0"/>
      <c r="DXE59" s="0"/>
      <c r="DXF59" s="0"/>
      <c r="DXG59" s="0"/>
      <c r="DXH59" s="0"/>
      <c r="DXI59" s="0"/>
      <c r="DXJ59" s="0"/>
      <c r="DXK59" s="0"/>
      <c r="DXL59" s="0"/>
      <c r="DXM59" s="0"/>
      <c r="DXN59" s="0"/>
      <c r="DXO59" s="0"/>
      <c r="DXP59" s="0"/>
      <c r="DXQ59" s="0"/>
      <c r="DXR59" s="0"/>
      <c r="DXS59" s="0"/>
      <c r="DXT59" s="0"/>
      <c r="DXU59" s="0"/>
      <c r="DXV59" s="0"/>
      <c r="DXW59" s="0"/>
      <c r="DXX59" s="0"/>
      <c r="DXY59" s="0"/>
      <c r="DXZ59" s="0"/>
      <c r="DYA59" s="0"/>
      <c r="DYB59" s="0"/>
      <c r="DYC59" s="0"/>
      <c r="DYD59" s="0"/>
      <c r="DYE59" s="0"/>
      <c r="DYF59" s="0"/>
      <c r="DYG59" s="0"/>
      <c r="DYH59" s="0"/>
      <c r="DYI59" s="0"/>
      <c r="DYJ59" s="0"/>
      <c r="DYK59" s="0"/>
      <c r="DYL59" s="0"/>
      <c r="DYM59" s="0"/>
      <c r="DYN59" s="0"/>
      <c r="DYO59" s="0"/>
      <c r="DYP59" s="0"/>
      <c r="DYQ59" s="0"/>
      <c r="DYR59" s="0"/>
      <c r="DYS59" s="0"/>
      <c r="DYT59" s="0"/>
      <c r="DYU59" s="0"/>
      <c r="DYV59" s="0"/>
      <c r="DYW59" s="0"/>
      <c r="DYX59" s="0"/>
      <c r="DYY59" s="0"/>
      <c r="DYZ59" s="0"/>
      <c r="DZA59" s="0"/>
      <c r="DZB59" s="0"/>
      <c r="DZC59" s="0"/>
      <c r="DZD59" s="0"/>
      <c r="DZE59" s="0"/>
      <c r="DZF59" s="0"/>
      <c r="DZG59" s="0"/>
      <c r="DZH59" s="0"/>
      <c r="DZI59" s="0"/>
      <c r="DZJ59" s="0"/>
      <c r="DZK59" s="0"/>
      <c r="DZL59" s="0"/>
      <c r="DZM59" s="0"/>
      <c r="DZN59" s="0"/>
      <c r="DZO59" s="0"/>
      <c r="DZP59" s="0"/>
      <c r="DZQ59" s="0"/>
      <c r="DZR59" s="0"/>
      <c r="DZS59" s="0"/>
      <c r="DZT59" s="0"/>
      <c r="DZU59" s="0"/>
      <c r="DZV59" s="0"/>
      <c r="DZW59" s="0"/>
      <c r="DZX59" s="0"/>
      <c r="DZY59" s="0"/>
      <c r="DZZ59" s="0"/>
      <c r="EAA59" s="0"/>
      <c r="EAB59" s="0"/>
      <c r="EAC59" s="0"/>
      <c r="EAD59" s="0"/>
      <c r="EAE59" s="0"/>
      <c r="EAF59" s="0"/>
      <c r="EAG59" s="0"/>
      <c r="EAH59" s="0"/>
      <c r="EAI59" s="0"/>
      <c r="EAJ59" s="0"/>
      <c r="EAK59" s="0"/>
      <c r="EAL59" s="0"/>
      <c r="EAM59" s="0"/>
      <c r="EAN59" s="0"/>
      <c r="EAO59" s="0"/>
      <c r="EAP59" s="0"/>
      <c r="EAQ59" s="0"/>
      <c r="EAR59" s="0"/>
      <c r="EAS59" s="0"/>
      <c r="EAT59" s="0"/>
      <c r="EAU59" s="0"/>
      <c r="EAV59" s="0"/>
      <c r="EAW59" s="0"/>
      <c r="EAX59" s="0"/>
      <c r="EAY59" s="0"/>
      <c r="EAZ59" s="0"/>
      <c r="EBA59" s="0"/>
      <c r="EBB59" s="0"/>
      <c r="EBC59" s="0"/>
      <c r="EBD59" s="0"/>
      <c r="EBE59" s="0"/>
      <c r="EBF59" s="0"/>
      <c r="EBG59" s="0"/>
      <c r="EBH59" s="0"/>
      <c r="EBI59" s="0"/>
      <c r="EBJ59" s="0"/>
      <c r="EBK59" s="0"/>
      <c r="EBL59" s="0"/>
      <c r="EBM59" s="0"/>
      <c r="EBN59" s="0"/>
      <c r="EBO59" s="0"/>
      <c r="EBP59" s="0"/>
      <c r="EBQ59" s="0"/>
      <c r="EBR59" s="0"/>
      <c r="EBS59" s="0"/>
      <c r="EBT59" s="0"/>
      <c r="EBU59" s="0"/>
      <c r="EBV59" s="0"/>
      <c r="EBW59" s="0"/>
      <c r="EBX59" s="0"/>
      <c r="EBY59" s="0"/>
      <c r="EBZ59" s="0"/>
      <c r="ECA59" s="0"/>
      <c r="ECB59" s="0"/>
      <c r="ECC59" s="0"/>
      <c r="ECD59" s="0"/>
      <c r="ECE59" s="0"/>
      <c r="ECF59" s="0"/>
      <c r="ECG59" s="0"/>
      <c r="ECH59" s="0"/>
      <c r="ECI59" s="0"/>
      <c r="ECJ59" s="0"/>
      <c r="ECK59" s="0"/>
      <c r="ECL59" s="0"/>
      <c r="ECM59" s="0"/>
      <c r="ECN59" s="0"/>
      <c r="ECO59" s="0"/>
      <c r="ECP59" s="0"/>
      <c r="ECQ59" s="0"/>
      <c r="ECR59" s="0"/>
      <c r="ECS59" s="0"/>
      <c r="ECT59" s="0"/>
      <c r="ECU59" s="0"/>
      <c r="ECV59" s="0"/>
      <c r="ECW59" s="0"/>
      <c r="ECX59" s="0"/>
      <c r="ECY59" s="0"/>
      <c r="ECZ59" s="0"/>
      <c r="EDA59" s="0"/>
      <c r="EDB59" s="0"/>
      <c r="EDC59" s="0"/>
      <c r="EDD59" s="0"/>
      <c r="EDE59" s="0"/>
      <c r="EDF59" s="0"/>
      <c r="EDG59" s="0"/>
      <c r="EDH59" s="0"/>
      <c r="EDI59" s="0"/>
      <c r="EDJ59" s="0"/>
      <c r="EDK59" s="0"/>
      <c r="EDL59" s="0"/>
      <c r="EDM59" s="0"/>
      <c r="EDN59" s="0"/>
      <c r="EDO59" s="0"/>
      <c r="EDP59" s="0"/>
      <c r="EDQ59" s="0"/>
      <c r="EDR59" s="0"/>
      <c r="EDS59" s="0"/>
      <c r="EDT59" s="0"/>
      <c r="EDU59" s="0"/>
      <c r="EDV59" s="0"/>
      <c r="EDW59" s="0"/>
      <c r="EDX59" s="0"/>
      <c r="EDY59" s="0"/>
      <c r="EDZ59" s="0"/>
      <c r="EEA59" s="0"/>
      <c r="EEB59" s="0"/>
      <c r="EEC59" s="0"/>
      <c r="EED59" s="0"/>
      <c r="EEE59" s="0"/>
      <c r="EEF59" s="0"/>
      <c r="EEG59" s="0"/>
      <c r="EEH59" s="0"/>
      <c r="EEI59" s="0"/>
      <c r="EEJ59" s="0"/>
      <c r="EEK59" s="0"/>
      <c r="EEL59" s="0"/>
      <c r="EEM59" s="0"/>
      <c r="EEN59" s="0"/>
      <c r="EEO59" s="0"/>
      <c r="EEP59" s="0"/>
      <c r="EEQ59" s="0"/>
      <c r="EER59" s="0"/>
      <c r="EES59" s="0"/>
      <c r="EET59" s="0"/>
      <c r="EEU59" s="0"/>
      <c r="EEV59" s="0"/>
      <c r="EEW59" s="0"/>
      <c r="EEX59" s="0"/>
      <c r="EEY59" s="0"/>
      <c r="EEZ59" s="0"/>
      <c r="EFA59" s="0"/>
      <c r="EFB59" s="0"/>
      <c r="EFC59" s="0"/>
      <c r="EFD59" s="0"/>
      <c r="EFE59" s="0"/>
      <c r="EFF59" s="0"/>
      <c r="EFG59" s="0"/>
      <c r="EFH59" s="0"/>
      <c r="EFI59" s="0"/>
      <c r="EFJ59" s="0"/>
      <c r="EFK59" s="0"/>
      <c r="EFL59" s="0"/>
      <c r="EFM59" s="0"/>
      <c r="EFN59" s="0"/>
      <c r="EFO59" s="0"/>
      <c r="EFP59" s="0"/>
      <c r="EFQ59" s="0"/>
      <c r="EFR59" s="0"/>
      <c r="EFS59" s="0"/>
      <c r="EFT59" s="0"/>
      <c r="EFU59" s="0"/>
      <c r="EFV59" s="0"/>
      <c r="EFW59" s="0"/>
      <c r="EFX59" s="0"/>
      <c r="EFY59" s="0"/>
      <c r="EFZ59" s="0"/>
      <c r="EGA59" s="0"/>
      <c r="EGB59" s="0"/>
      <c r="EGC59" s="0"/>
      <c r="EGD59" s="0"/>
      <c r="EGE59" s="0"/>
      <c r="EGF59" s="0"/>
      <c r="EGG59" s="0"/>
      <c r="EGH59" s="0"/>
      <c r="EGI59" s="0"/>
      <c r="EGJ59" s="0"/>
      <c r="EGK59" s="0"/>
      <c r="EGL59" s="0"/>
      <c r="EGM59" s="0"/>
      <c r="EGN59" s="0"/>
      <c r="EGO59" s="0"/>
      <c r="EGP59" s="0"/>
      <c r="EGQ59" s="0"/>
      <c r="EGR59" s="0"/>
      <c r="EGS59" s="0"/>
      <c r="EGT59" s="0"/>
      <c r="EGU59" s="0"/>
      <c r="EGV59" s="0"/>
      <c r="EGW59" s="0"/>
      <c r="EGX59" s="0"/>
      <c r="EGY59" s="0"/>
      <c r="EGZ59" s="0"/>
      <c r="EHA59" s="0"/>
      <c r="EHB59" s="0"/>
      <c r="EHC59" s="0"/>
      <c r="EHD59" s="0"/>
      <c r="EHE59" s="0"/>
      <c r="EHF59" s="0"/>
      <c r="EHG59" s="0"/>
      <c r="EHH59" s="0"/>
      <c r="EHI59" s="0"/>
      <c r="EHJ59" s="0"/>
      <c r="EHK59" s="0"/>
      <c r="EHL59" s="0"/>
      <c r="EHM59" s="0"/>
      <c r="EHN59" s="0"/>
      <c r="EHO59" s="0"/>
      <c r="EHP59" s="0"/>
      <c r="EHQ59" s="0"/>
      <c r="EHR59" s="0"/>
      <c r="EHS59" s="0"/>
      <c r="EHT59" s="0"/>
      <c r="EHU59" s="0"/>
      <c r="EHV59" s="0"/>
      <c r="EHW59" s="0"/>
      <c r="EHX59" s="0"/>
      <c r="EHY59" s="0"/>
      <c r="EHZ59" s="0"/>
      <c r="EIA59" s="0"/>
      <c r="EIB59" s="0"/>
      <c r="EIC59" s="0"/>
      <c r="EID59" s="0"/>
      <c r="EIE59" s="0"/>
      <c r="EIF59" s="0"/>
      <c r="EIG59" s="0"/>
      <c r="EIH59" s="0"/>
      <c r="EII59" s="0"/>
      <c r="EIJ59" s="0"/>
      <c r="EIK59" s="0"/>
      <c r="EIL59" s="0"/>
      <c r="EIM59" s="0"/>
      <c r="EIN59" s="0"/>
      <c r="EIO59" s="0"/>
      <c r="EIP59" s="0"/>
      <c r="EIQ59" s="0"/>
      <c r="EIR59" s="0"/>
      <c r="EIS59" s="0"/>
      <c r="EIT59" s="0"/>
      <c r="EIU59" s="0"/>
      <c r="EIV59" s="0"/>
      <c r="EIW59" s="0"/>
      <c r="EIX59" s="0"/>
      <c r="EIY59" s="0"/>
      <c r="EIZ59" s="0"/>
      <c r="EJA59" s="0"/>
      <c r="EJB59" s="0"/>
      <c r="EJC59" s="0"/>
      <c r="EJD59" s="0"/>
      <c r="EJE59" s="0"/>
      <c r="EJF59" s="0"/>
      <c r="EJG59" s="0"/>
      <c r="EJH59" s="0"/>
      <c r="EJI59" s="0"/>
      <c r="EJJ59" s="0"/>
      <c r="EJK59" s="0"/>
      <c r="EJL59" s="0"/>
      <c r="EJM59" s="0"/>
      <c r="EJN59" s="0"/>
      <c r="EJO59" s="0"/>
      <c r="EJP59" s="0"/>
      <c r="EJQ59" s="0"/>
      <c r="EJR59" s="0"/>
      <c r="EJS59" s="0"/>
      <c r="EJT59" s="0"/>
      <c r="EJU59" s="0"/>
      <c r="EJV59" s="0"/>
      <c r="EJW59" s="0"/>
      <c r="EJX59" s="0"/>
      <c r="EJY59" s="0"/>
      <c r="EJZ59" s="0"/>
      <c r="EKA59" s="0"/>
      <c r="EKB59" s="0"/>
      <c r="EKC59" s="0"/>
      <c r="EKD59" s="0"/>
      <c r="EKE59" s="0"/>
      <c r="EKF59" s="0"/>
      <c r="EKG59" s="0"/>
      <c r="EKH59" s="0"/>
      <c r="EKI59" s="0"/>
      <c r="EKJ59" s="0"/>
      <c r="EKK59" s="0"/>
      <c r="EKL59" s="0"/>
      <c r="EKM59" s="0"/>
      <c r="EKN59" s="0"/>
      <c r="EKO59" s="0"/>
      <c r="EKP59" s="0"/>
      <c r="EKQ59" s="0"/>
      <c r="EKR59" s="0"/>
      <c r="EKS59" s="0"/>
      <c r="EKT59" s="0"/>
      <c r="EKU59" s="0"/>
      <c r="EKV59" s="0"/>
      <c r="EKW59" s="0"/>
      <c r="EKX59" s="0"/>
      <c r="EKY59" s="0"/>
      <c r="EKZ59" s="0"/>
      <c r="ELA59" s="0"/>
      <c r="ELB59" s="0"/>
      <c r="ELC59" s="0"/>
      <c r="ELD59" s="0"/>
      <c r="ELE59" s="0"/>
      <c r="ELF59" s="0"/>
      <c r="ELG59" s="0"/>
      <c r="ELH59" s="0"/>
      <c r="ELI59" s="0"/>
      <c r="ELJ59" s="0"/>
      <c r="ELK59" s="0"/>
      <c r="ELL59" s="0"/>
      <c r="ELM59" s="0"/>
      <c r="ELN59" s="0"/>
      <c r="ELO59" s="0"/>
      <c r="ELP59" s="0"/>
      <c r="ELQ59" s="0"/>
      <c r="ELR59" s="0"/>
      <c r="ELS59" s="0"/>
      <c r="ELT59" s="0"/>
      <c r="ELU59" s="0"/>
      <c r="ELV59" s="0"/>
      <c r="ELW59" s="0"/>
      <c r="ELX59" s="0"/>
      <c r="ELY59" s="0"/>
      <c r="ELZ59" s="0"/>
      <c r="EMA59" s="0"/>
      <c r="EMB59" s="0"/>
      <c r="EMC59" s="0"/>
      <c r="EMD59" s="0"/>
      <c r="EME59" s="0"/>
      <c r="EMF59" s="0"/>
      <c r="EMG59" s="0"/>
      <c r="EMH59" s="0"/>
      <c r="EMI59" s="0"/>
      <c r="EMJ59" s="0"/>
      <c r="EMK59" s="0"/>
      <c r="EML59" s="0"/>
      <c r="EMM59" s="0"/>
      <c r="EMN59" s="0"/>
      <c r="EMO59" s="0"/>
      <c r="EMP59" s="0"/>
      <c r="EMQ59" s="0"/>
      <c r="EMR59" s="0"/>
      <c r="EMS59" s="0"/>
      <c r="EMT59" s="0"/>
      <c r="EMU59" s="0"/>
      <c r="EMV59" s="0"/>
      <c r="EMW59" s="0"/>
      <c r="EMX59" s="0"/>
      <c r="EMY59" s="0"/>
      <c r="EMZ59" s="0"/>
      <c r="ENA59" s="0"/>
      <c r="ENB59" s="0"/>
      <c r="ENC59" s="0"/>
      <c r="END59" s="0"/>
      <c r="ENE59" s="0"/>
      <c r="ENF59" s="0"/>
      <c r="ENG59" s="0"/>
      <c r="ENH59" s="0"/>
      <c r="ENI59" s="0"/>
      <c r="ENJ59" s="0"/>
      <c r="ENK59" s="0"/>
      <c r="ENL59" s="0"/>
      <c r="ENM59" s="0"/>
      <c r="ENN59" s="0"/>
      <c r="ENO59" s="0"/>
      <c r="ENP59" s="0"/>
      <c r="ENQ59" s="0"/>
      <c r="ENR59" s="0"/>
      <c r="ENS59" s="0"/>
      <c r="ENT59" s="0"/>
      <c r="ENU59" s="0"/>
      <c r="ENV59" s="0"/>
      <c r="ENW59" s="0"/>
      <c r="ENX59" s="0"/>
      <c r="ENY59" s="0"/>
      <c r="ENZ59" s="0"/>
      <c r="EOA59" s="0"/>
      <c r="EOB59" s="0"/>
      <c r="EOC59" s="0"/>
      <c r="EOD59" s="0"/>
      <c r="EOE59" s="0"/>
      <c r="EOF59" s="0"/>
      <c r="EOG59" s="0"/>
      <c r="EOH59" s="0"/>
      <c r="EOI59" s="0"/>
      <c r="EOJ59" s="0"/>
      <c r="EOK59" s="0"/>
      <c r="EOL59" s="0"/>
      <c r="EOM59" s="0"/>
      <c r="EON59" s="0"/>
      <c r="EOO59" s="0"/>
      <c r="EOP59" s="0"/>
      <c r="EOQ59" s="0"/>
      <c r="EOR59" s="0"/>
      <c r="EOS59" s="0"/>
      <c r="EOT59" s="0"/>
      <c r="EOU59" s="0"/>
      <c r="EOV59" s="0"/>
      <c r="EOW59" s="0"/>
      <c r="EOX59" s="0"/>
      <c r="EOY59" s="0"/>
      <c r="EOZ59" s="0"/>
      <c r="EPA59" s="0"/>
      <c r="EPB59" s="0"/>
      <c r="EPC59" s="0"/>
      <c r="EPD59" s="0"/>
      <c r="EPE59" s="0"/>
      <c r="EPF59" s="0"/>
      <c r="EPG59" s="0"/>
      <c r="EPH59" s="0"/>
      <c r="EPI59" s="0"/>
      <c r="EPJ59" s="0"/>
      <c r="EPK59" s="0"/>
      <c r="EPL59" s="0"/>
      <c r="EPM59" s="0"/>
      <c r="EPN59" s="0"/>
      <c r="EPO59" s="0"/>
      <c r="EPP59" s="0"/>
      <c r="EPQ59" s="0"/>
      <c r="EPR59" s="0"/>
      <c r="EPS59" s="0"/>
      <c r="EPT59" s="0"/>
      <c r="EPU59" s="0"/>
      <c r="EPV59" s="0"/>
      <c r="EPW59" s="0"/>
      <c r="EPX59" s="0"/>
      <c r="EPY59" s="0"/>
      <c r="EPZ59" s="0"/>
      <c r="EQA59" s="0"/>
      <c r="EQB59" s="0"/>
      <c r="EQC59" s="0"/>
      <c r="EQD59" s="0"/>
      <c r="EQE59" s="0"/>
      <c r="EQF59" s="0"/>
      <c r="EQG59" s="0"/>
      <c r="EQH59" s="0"/>
      <c r="EQI59" s="0"/>
      <c r="EQJ59" s="0"/>
      <c r="EQK59" s="0"/>
      <c r="EQL59" s="0"/>
      <c r="EQM59" s="0"/>
      <c r="EQN59" s="0"/>
      <c r="EQO59" s="0"/>
      <c r="EQP59" s="0"/>
      <c r="EQQ59" s="0"/>
      <c r="EQR59" s="0"/>
      <c r="EQS59" s="0"/>
      <c r="EQT59" s="0"/>
      <c r="EQU59" s="0"/>
      <c r="EQV59" s="0"/>
      <c r="EQW59" s="0"/>
      <c r="EQX59" s="0"/>
      <c r="EQY59" s="0"/>
      <c r="EQZ59" s="0"/>
      <c r="ERA59" s="0"/>
      <c r="ERB59" s="0"/>
      <c r="ERC59" s="0"/>
      <c r="ERD59" s="0"/>
      <c r="ERE59" s="0"/>
      <c r="ERF59" s="0"/>
      <c r="ERG59" s="0"/>
      <c r="ERH59" s="0"/>
      <c r="ERI59" s="0"/>
      <c r="ERJ59" s="0"/>
      <c r="ERK59" s="0"/>
      <c r="ERL59" s="0"/>
      <c r="ERM59" s="0"/>
      <c r="ERN59" s="0"/>
      <c r="ERO59" s="0"/>
      <c r="ERP59" s="0"/>
      <c r="ERQ59" s="0"/>
      <c r="ERR59" s="0"/>
      <c r="ERS59" s="0"/>
      <c r="ERT59" s="0"/>
      <c r="ERU59" s="0"/>
      <c r="ERV59" s="0"/>
      <c r="ERW59" s="0"/>
      <c r="ERX59" s="0"/>
      <c r="ERY59" s="0"/>
      <c r="ERZ59" s="0"/>
      <c r="ESA59" s="0"/>
      <c r="ESB59" s="0"/>
      <c r="ESC59" s="0"/>
      <c r="ESD59" s="0"/>
      <c r="ESE59" s="0"/>
      <c r="ESF59" s="0"/>
      <c r="ESG59" s="0"/>
      <c r="ESH59" s="0"/>
      <c r="ESI59" s="0"/>
      <c r="ESJ59" s="0"/>
      <c r="ESK59" s="0"/>
      <c r="ESL59" s="0"/>
      <c r="ESM59" s="0"/>
      <c r="ESN59" s="0"/>
      <c r="ESO59" s="0"/>
      <c r="ESP59" s="0"/>
      <c r="ESQ59" s="0"/>
      <c r="ESR59" s="0"/>
      <c r="ESS59" s="0"/>
      <c r="EST59" s="0"/>
      <c r="ESU59" s="0"/>
      <c r="ESV59" s="0"/>
      <c r="ESW59" s="0"/>
      <c r="ESX59" s="0"/>
      <c r="ESY59" s="0"/>
      <c r="ESZ59" s="0"/>
      <c r="ETA59" s="0"/>
      <c r="ETB59" s="0"/>
      <c r="ETC59" s="0"/>
      <c r="ETD59" s="0"/>
      <c r="ETE59" s="0"/>
      <c r="ETF59" s="0"/>
      <c r="ETG59" s="0"/>
      <c r="ETH59" s="0"/>
      <c r="ETI59" s="0"/>
      <c r="ETJ59" s="0"/>
      <c r="ETK59" s="0"/>
      <c r="ETL59" s="0"/>
      <c r="ETM59" s="0"/>
      <c r="ETN59" s="0"/>
      <c r="ETO59" s="0"/>
      <c r="ETP59" s="0"/>
      <c r="ETQ59" s="0"/>
      <c r="ETR59" s="0"/>
      <c r="ETS59" s="0"/>
      <c r="ETT59" s="0"/>
      <c r="ETU59" s="0"/>
      <c r="ETV59" s="0"/>
      <c r="ETW59" s="0"/>
      <c r="ETX59" s="0"/>
      <c r="ETY59" s="0"/>
      <c r="ETZ59" s="0"/>
      <c r="EUA59" s="0"/>
      <c r="EUB59" s="0"/>
      <c r="EUC59" s="0"/>
      <c r="EUD59" s="0"/>
      <c r="EUE59" s="0"/>
      <c r="EUF59" s="0"/>
      <c r="EUG59" s="0"/>
      <c r="EUH59" s="0"/>
      <c r="EUI59" s="0"/>
      <c r="EUJ59" s="0"/>
      <c r="EUK59" s="0"/>
      <c r="EUL59" s="0"/>
      <c r="EUM59" s="0"/>
      <c r="EUN59" s="0"/>
      <c r="EUO59" s="0"/>
      <c r="EUP59" s="0"/>
      <c r="EUQ59" s="0"/>
      <c r="EUR59" s="0"/>
      <c r="EUS59" s="0"/>
      <c r="EUT59" s="0"/>
      <c r="EUU59" s="0"/>
      <c r="EUV59" s="0"/>
      <c r="EUW59" s="0"/>
      <c r="EUX59" s="0"/>
      <c r="EUY59" s="0"/>
      <c r="EUZ59" s="0"/>
      <c r="EVA59" s="0"/>
      <c r="EVB59" s="0"/>
      <c r="EVC59" s="0"/>
      <c r="EVD59" s="0"/>
      <c r="EVE59" s="0"/>
      <c r="EVF59" s="0"/>
      <c r="EVG59" s="0"/>
      <c r="EVH59" s="0"/>
      <c r="EVI59" s="0"/>
      <c r="EVJ59" s="0"/>
      <c r="EVK59" s="0"/>
      <c r="EVL59" s="0"/>
      <c r="EVM59" s="0"/>
      <c r="EVN59" s="0"/>
      <c r="EVO59" s="0"/>
      <c r="EVP59" s="0"/>
      <c r="EVQ59" s="0"/>
      <c r="EVR59" s="0"/>
      <c r="EVS59" s="0"/>
      <c r="EVT59" s="0"/>
      <c r="EVU59" s="0"/>
      <c r="EVV59" s="0"/>
      <c r="EVW59" s="0"/>
      <c r="EVX59" s="0"/>
      <c r="EVY59" s="0"/>
      <c r="EVZ59" s="0"/>
      <c r="EWA59" s="0"/>
      <c r="EWB59" s="0"/>
      <c r="EWC59" s="0"/>
      <c r="EWD59" s="0"/>
      <c r="EWE59" s="0"/>
      <c r="EWF59" s="0"/>
      <c r="EWG59" s="0"/>
      <c r="EWH59" s="0"/>
      <c r="EWI59" s="0"/>
      <c r="EWJ59" s="0"/>
      <c r="EWK59" s="0"/>
      <c r="EWL59" s="0"/>
      <c r="EWM59" s="0"/>
      <c r="EWN59" s="0"/>
      <c r="EWO59" s="0"/>
      <c r="EWP59" s="0"/>
      <c r="EWQ59" s="0"/>
      <c r="EWR59" s="0"/>
      <c r="EWS59" s="0"/>
      <c r="EWT59" s="0"/>
      <c r="EWU59" s="0"/>
      <c r="EWV59" s="0"/>
      <c r="EWW59" s="0"/>
      <c r="EWX59" s="0"/>
      <c r="EWY59" s="0"/>
      <c r="EWZ59" s="0"/>
      <c r="EXA59" s="0"/>
      <c r="EXB59" s="0"/>
      <c r="EXC59" s="0"/>
      <c r="EXD59" s="0"/>
      <c r="EXE59" s="0"/>
      <c r="EXF59" s="0"/>
      <c r="EXG59" s="0"/>
      <c r="EXH59" s="0"/>
      <c r="EXI59" s="0"/>
      <c r="EXJ59" s="0"/>
      <c r="EXK59" s="0"/>
      <c r="EXL59" s="0"/>
      <c r="EXM59" s="0"/>
      <c r="EXN59" s="0"/>
      <c r="EXO59" s="0"/>
      <c r="EXP59" s="0"/>
      <c r="EXQ59" s="0"/>
      <c r="EXR59" s="0"/>
      <c r="EXS59" s="0"/>
      <c r="EXT59" s="0"/>
      <c r="EXU59" s="0"/>
      <c r="EXV59" s="0"/>
      <c r="EXW59" s="0"/>
      <c r="EXX59" s="0"/>
      <c r="EXY59" s="0"/>
      <c r="EXZ59" s="0"/>
      <c r="EYA59" s="0"/>
      <c r="EYB59" s="0"/>
      <c r="EYC59" s="0"/>
      <c r="EYD59" s="0"/>
      <c r="EYE59" s="0"/>
      <c r="EYF59" s="0"/>
      <c r="EYG59" s="0"/>
      <c r="EYH59" s="0"/>
      <c r="EYI59" s="0"/>
      <c r="EYJ59" s="0"/>
      <c r="EYK59" s="0"/>
      <c r="EYL59" s="0"/>
      <c r="EYM59" s="0"/>
      <c r="EYN59" s="0"/>
      <c r="EYO59" s="0"/>
      <c r="EYP59" s="0"/>
      <c r="EYQ59" s="0"/>
      <c r="EYR59" s="0"/>
      <c r="EYS59" s="0"/>
      <c r="EYT59" s="0"/>
      <c r="EYU59" s="0"/>
      <c r="EYV59" s="0"/>
      <c r="EYW59" s="0"/>
      <c r="EYX59" s="0"/>
      <c r="EYY59" s="0"/>
      <c r="EYZ59" s="0"/>
      <c r="EZA59" s="0"/>
      <c r="EZB59" s="0"/>
      <c r="EZC59" s="0"/>
      <c r="EZD59" s="0"/>
      <c r="EZE59" s="0"/>
      <c r="EZF59" s="0"/>
      <c r="EZG59" s="0"/>
      <c r="EZH59" s="0"/>
      <c r="EZI59" s="0"/>
      <c r="EZJ59" s="0"/>
      <c r="EZK59" s="0"/>
      <c r="EZL59" s="0"/>
      <c r="EZM59" s="0"/>
      <c r="EZN59" s="0"/>
      <c r="EZO59" s="0"/>
      <c r="EZP59" s="0"/>
      <c r="EZQ59" s="0"/>
      <c r="EZR59" s="0"/>
      <c r="EZS59" s="0"/>
      <c r="EZT59" s="0"/>
      <c r="EZU59" s="0"/>
      <c r="EZV59" s="0"/>
      <c r="EZW59" s="0"/>
      <c r="EZX59" s="0"/>
      <c r="EZY59" s="0"/>
      <c r="EZZ59" s="0"/>
      <c r="FAA59" s="0"/>
      <c r="FAB59" s="0"/>
      <c r="FAC59" s="0"/>
      <c r="FAD59" s="0"/>
      <c r="FAE59" s="0"/>
      <c r="FAF59" s="0"/>
      <c r="FAG59" s="0"/>
      <c r="FAH59" s="0"/>
      <c r="FAI59" s="0"/>
      <c r="FAJ59" s="0"/>
      <c r="FAK59" s="0"/>
      <c r="FAL59" s="0"/>
      <c r="FAM59" s="0"/>
      <c r="FAN59" s="0"/>
      <c r="FAO59" s="0"/>
      <c r="FAP59" s="0"/>
      <c r="FAQ59" s="0"/>
      <c r="FAR59" s="0"/>
      <c r="FAS59" s="0"/>
      <c r="FAT59" s="0"/>
      <c r="FAU59" s="0"/>
      <c r="FAV59" s="0"/>
      <c r="FAW59" s="0"/>
      <c r="FAX59" s="0"/>
      <c r="FAY59" s="0"/>
      <c r="FAZ59" s="0"/>
      <c r="FBA59" s="0"/>
      <c r="FBB59" s="0"/>
      <c r="FBC59" s="0"/>
      <c r="FBD59" s="0"/>
      <c r="FBE59" s="0"/>
      <c r="FBF59" s="0"/>
      <c r="FBG59" s="0"/>
      <c r="FBH59" s="0"/>
      <c r="FBI59" s="0"/>
      <c r="FBJ59" s="0"/>
      <c r="FBK59" s="0"/>
      <c r="FBL59" s="0"/>
      <c r="FBM59" s="0"/>
      <c r="FBN59" s="0"/>
      <c r="FBO59" s="0"/>
      <c r="FBP59" s="0"/>
      <c r="FBQ59" s="0"/>
      <c r="FBR59" s="0"/>
      <c r="FBS59" s="0"/>
      <c r="FBT59" s="0"/>
      <c r="FBU59" s="0"/>
      <c r="FBV59" s="0"/>
      <c r="FBW59" s="0"/>
      <c r="FBX59" s="0"/>
      <c r="FBY59" s="0"/>
      <c r="FBZ59" s="0"/>
      <c r="FCA59" s="0"/>
      <c r="FCB59" s="0"/>
      <c r="FCC59" s="0"/>
      <c r="FCD59" s="0"/>
      <c r="FCE59" s="0"/>
      <c r="FCF59" s="0"/>
      <c r="FCG59" s="0"/>
      <c r="FCH59" s="0"/>
      <c r="FCI59" s="0"/>
      <c r="FCJ59" s="0"/>
      <c r="FCK59" s="0"/>
      <c r="FCL59" s="0"/>
      <c r="FCM59" s="0"/>
      <c r="FCN59" s="0"/>
      <c r="FCO59" s="0"/>
      <c r="FCP59" s="0"/>
      <c r="FCQ59" s="0"/>
      <c r="FCR59" s="0"/>
      <c r="FCS59" s="0"/>
      <c r="FCT59" s="0"/>
      <c r="FCU59" s="0"/>
      <c r="FCV59" s="0"/>
      <c r="FCW59" s="0"/>
      <c r="FCX59" s="0"/>
      <c r="FCY59" s="0"/>
      <c r="FCZ59" s="0"/>
      <c r="FDA59" s="0"/>
      <c r="FDB59" s="0"/>
      <c r="FDC59" s="0"/>
      <c r="FDD59" s="0"/>
      <c r="FDE59" s="0"/>
      <c r="FDF59" s="0"/>
      <c r="FDG59" s="0"/>
      <c r="FDH59" s="0"/>
      <c r="FDI59" s="0"/>
      <c r="FDJ59" s="0"/>
      <c r="FDK59" s="0"/>
      <c r="FDL59" s="0"/>
      <c r="FDM59" s="0"/>
      <c r="FDN59" s="0"/>
      <c r="FDO59" s="0"/>
      <c r="FDP59" s="0"/>
      <c r="FDQ59" s="0"/>
      <c r="FDR59" s="0"/>
      <c r="FDS59" s="0"/>
      <c r="FDT59" s="0"/>
      <c r="FDU59" s="0"/>
      <c r="FDV59" s="0"/>
      <c r="FDW59" s="0"/>
      <c r="FDX59" s="0"/>
      <c r="FDY59" s="0"/>
      <c r="FDZ59" s="0"/>
      <c r="FEA59" s="0"/>
      <c r="FEB59" s="0"/>
      <c r="FEC59" s="0"/>
      <c r="FED59" s="0"/>
      <c r="FEE59" s="0"/>
      <c r="FEF59" s="0"/>
      <c r="FEG59" s="0"/>
      <c r="FEH59" s="0"/>
      <c r="FEI59" s="0"/>
      <c r="FEJ59" s="0"/>
      <c r="FEK59" s="0"/>
      <c r="FEL59" s="0"/>
      <c r="FEM59" s="0"/>
      <c r="FEN59" s="0"/>
      <c r="FEO59" s="0"/>
      <c r="FEP59" s="0"/>
      <c r="FEQ59" s="0"/>
      <c r="FER59" s="0"/>
      <c r="FES59" s="0"/>
      <c r="FET59" s="0"/>
      <c r="FEU59" s="0"/>
      <c r="FEV59" s="0"/>
      <c r="FEW59" s="0"/>
      <c r="FEX59" s="0"/>
      <c r="FEY59" s="0"/>
      <c r="FEZ59" s="0"/>
      <c r="FFA59" s="0"/>
      <c r="FFB59" s="0"/>
      <c r="FFC59" s="0"/>
      <c r="FFD59" s="0"/>
      <c r="FFE59" s="0"/>
      <c r="FFF59" s="0"/>
      <c r="FFG59" s="0"/>
      <c r="FFH59" s="0"/>
      <c r="FFI59" s="0"/>
      <c r="FFJ59" s="0"/>
      <c r="FFK59" s="0"/>
      <c r="FFL59" s="0"/>
      <c r="FFM59" s="0"/>
      <c r="FFN59" s="0"/>
      <c r="FFO59" s="0"/>
      <c r="FFP59" s="0"/>
      <c r="FFQ59" s="0"/>
      <c r="FFR59" s="0"/>
      <c r="FFS59" s="0"/>
      <c r="FFT59" s="0"/>
      <c r="FFU59" s="0"/>
      <c r="FFV59" s="0"/>
      <c r="FFW59" s="0"/>
      <c r="FFX59" s="0"/>
      <c r="FFY59" s="0"/>
      <c r="FFZ59" s="0"/>
      <c r="FGA59" s="0"/>
      <c r="FGB59" s="0"/>
      <c r="FGC59" s="0"/>
      <c r="FGD59" s="0"/>
      <c r="FGE59" s="0"/>
      <c r="FGF59" s="0"/>
      <c r="FGG59" s="0"/>
      <c r="FGH59" s="0"/>
      <c r="FGI59" s="0"/>
      <c r="FGJ59" s="0"/>
      <c r="FGK59" s="0"/>
      <c r="FGL59" s="0"/>
      <c r="FGM59" s="0"/>
      <c r="FGN59" s="0"/>
      <c r="FGO59" s="0"/>
      <c r="FGP59" s="0"/>
      <c r="FGQ59" s="0"/>
      <c r="FGR59" s="0"/>
      <c r="FGS59" s="0"/>
      <c r="FGT59" s="0"/>
      <c r="FGU59" s="0"/>
      <c r="FGV59" s="0"/>
      <c r="FGW59" s="0"/>
      <c r="FGX59" s="0"/>
      <c r="FGY59" s="0"/>
      <c r="FGZ59" s="0"/>
      <c r="FHA59" s="0"/>
      <c r="FHB59" s="0"/>
      <c r="FHC59" s="0"/>
      <c r="FHD59" s="0"/>
      <c r="FHE59" s="0"/>
      <c r="FHF59" s="0"/>
      <c r="FHG59" s="0"/>
      <c r="FHH59" s="0"/>
      <c r="FHI59" s="0"/>
      <c r="FHJ59" s="0"/>
      <c r="FHK59" s="0"/>
      <c r="FHL59" s="0"/>
      <c r="FHM59" s="0"/>
      <c r="FHN59" s="0"/>
      <c r="FHO59" s="0"/>
      <c r="FHP59" s="0"/>
      <c r="FHQ59" s="0"/>
      <c r="FHR59" s="0"/>
      <c r="FHS59" s="0"/>
      <c r="FHT59" s="0"/>
      <c r="FHU59" s="0"/>
      <c r="FHV59" s="0"/>
      <c r="FHW59" s="0"/>
      <c r="FHX59" s="0"/>
      <c r="FHY59" s="0"/>
      <c r="FHZ59" s="0"/>
      <c r="FIA59" s="0"/>
      <c r="FIB59" s="0"/>
      <c r="FIC59" s="0"/>
      <c r="FID59" s="0"/>
      <c r="FIE59" s="0"/>
      <c r="FIF59" s="0"/>
      <c r="FIG59" s="0"/>
      <c r="FIH59" s="0"/>
      <c r="FII59" s="0"/>
      <c r="FIJ59" s="0"/>
      <c r="FIK59" s="0"/>
      <c r="FIL59" s="0"/>
      <c r="FIM59" s="0"/>
      <c r="FIN59" s="0"/>
      <c r="FIO59" s="0"/>
      <c r="FIP59" s="0"/>
      <c r="FIQ59" s="0"/>
      <c r="FIR59" s="0"/>
      <c r="FIS59" s="0"/>
      <c r="FIT59" s="0"/>
      <c r="FIU59" s="0"/>
      <c r="FIV59" s="0"/>
      <c r="FIW59" s="0"/>
      <c r="FIX59" s="0"/>
      <c r="FIY59" s="0"/>
      <c r="FIZ59" s="0"/>
      <c r="FJA59" s="0"/>
      <c r="FJB59" s="0"/>
      <c r="FJC59" s="0"/>
      <c r="FJD59" s="0"/>
      <c r="FJE59" s="0"/>
      <c r="FJF59" s="0"/>
      <c r="FJG59" s="0"/>
      <c r="FJH59" s="0"/>
      <c r="FJI59" s="0"/>
      <c r="FJJ59" s="0"/>
      <c r="FJK59" s="0"/>
      <c r="FJL59" s="0"/>
      <c r="FJM59" s="0"/>
      <c r="FJN59" s="0"/>
      <c r="FJO59" s="0"/>
      <c r="FJP59" s="0"/>
      <c r="FJQ59" s="0"/>
      <c r="FJR59" s="0"/>
      <c r="FJS59" s="0"/>
      <c r="FJT59" s="0"/>
      <c r="FJU59" s="0"/>
      <c r="FJV59" s="0"/>
      <c r="FJW59" s="0"/>
      <c r="FJX59" s="0"/>
      <c r="FJY59" s="0"/>
      <c r="FJZ59" s="0"/>
      <c r="FKA59" s="0"/>
      <c r="FKB59" s="0"/>
      <c r="FKC59" s="0"/>
      <c r="FKD59" s="0"/>
      <c r="FKE59" s="0"/>
      <c r="FKF59" s="0"/>
      <c r="FKG59" s="0"/>
      <c r="FKH59" s="0"/>
      <c r="FKI59" s="0"/>
      <c r="FKJ59" s="0"/>
      <c r="FKK59" s="0"/>
      <c r="FKL59" s="0"/>
      <c r="FKM59" s="0"/>
      <c r="FKN59" s="0"/>
      <c r="FKO59" s="0"/>
      <c r="FKP59" s="0"/>
      <c r="FKQ59" s="0"/>
      <c r="FKR59" s="0"/>
      <c r="FKS59" s="0"/>
      <c r="FKT59" s="0"/>
      <c r="FKU59" s="0"/>
      <c r="FKV59" s="0"/>
      <c r="FKW59" s="0"/>
      <c r="FKX59" s="0"/>
      <c r="FKY59" s="0"/>
      <c r="FKZ59" s="0"/>
      <c r="FLA59" s="0"/>
      <c r="FLB59" s="0"/>
      <c r="FLC59" s="0"/>
      <c r="FLD59" s="0"/>
      <c r="FLE59" s="0"/>
      <c r="FLF59" s="0"/>
      <c r="FLG59" s="0"/>
      <c r="FLH59" s="0"/>
      <c r="FLI59" s="0"/>
      <c r="FLJ59" s="0"/>
      <c r="FLK59" s="0"/>
      <c r="FLL59" s="0"/>
      <c r="FLM59" s="0"/>
      <c r="FLN59" s="0"/>
      <c r="FLO59" s="0"/>
      <c r="FLP59" s="0"/>
      <c r="FLQ59" s="0"/>
      <c r="FLR59" s="0"/>
      <c r="FLS59" s="0"/>
      <c r="FLT59" s="0"/>
      <c r="FLU59" s="0"/>
      <c r="FLV59" s="0"/>
      <c r="FLW59" s="0"/>
      <c r="FLX59" s="0"/>
      <c r="FLY59" s="0"/>
      <c r="FLZ59" s="0"/>
      <c r="FMA59" s="0"/>
      <c r="FMB59" s="0"/>
      <c r="FMC59" s="0"/>
      <c r="FMD59" s="0"/>
      <c r="FME59" s="0"/>
      <c r="FMF59" s="0"/>
      <c r="FMG59" s="0"/>
      <c r="FMH59" s="0"/>
      <c r="FMI59" s="0"/>
      <c r="FMJ59" s="0"/>
      <c r="FMK59" s="0"/>
      <c r="FML59" s="0"/>
      <c r="FMM59" s="0"/>
      <c r="FMN59" s="0"/>
      <c r="FMO59" s="0"/>
      <c r="FMP59" s="0"/>
      <c r="FMQ59" s="0"/>
      <c r="FMR59" s="0"/>
      <c r="FMS59" s="0"/>
      <c r="FMT59" s="0"/>
      <c r="FMU59" s="0"/>
      <c r="FMV59" s="0"/>
      <c r="FMW59" s="0"/>
      <c r="FMX59" s="0"/>
      <c r="FMY59" s="0"/>
      <c r="FMZ59" s="0"/>
      <c r="FNA59" s="0"/>
      <c r="FNB59" s="0"/>
      <c r="FNC59" s="0"/>
      <c r="FND59" s="0"/>
      <c r="FNE59" s="0"/>
      <c r="FNF59" s="0"/>
      <c r="FNG59" s="0"/>
      <c r="FNH59" s="0"/>
      <c r="FNI59" s="0"/>
      <c r="FNJ59" s="0"/>
      <c r="FNK59" s="0"/>
      <c r="FNL59" s="0"/>
      <c r="FNM59" s="0"/>
      <c r="FNN59" s="0"/>
      <c r="FNO59" s="0"/>
      <c r="FNP59" s="0"/>
      <c r="FNQ59" s="0"/>
      <c r="FNR59" s="0"/>
      <c r="FNS59" s="0"/>
      <c r="FNT59" s="0"/>
      <c r="FNU59" s="0"/>
      <c r="FNV59" s="0"/>
      <c r="FNW59" s="0"/>
      <c r="FNX59" s="0"/>
      <c r="FNY59" s="0"/>
      <c r="FNZ59" s="0"/>
      <c r="FOA59" s="0"/>
      <c r="FOB59" s="0"/>
      <c r="FOC59" s="0"/>
      <c r="FOD59" s="0"/>
      <c r="FOE59" s="0"/>
      <c r="FOF59" s="0"/>
      <c r="FOG59" s="0"/>
      <c r="FOH59" s="0"/>
      <c r="FOI59" s="0"/>
      <c r="FOJ59" s="0"/>
      <c r="FOK59" s="0"/>
      <c r="FOL59" s="0"/>
      <c r="FOM59" s="0"/>
      <c r="FON59" s="0"/>
      <c r="FOO59" s="0"/>
      <c r="FOP59" s="0"/>
      <c r="FOQ59" s="0"/>
      <c r="FOR59" s="0"/>
      <c r="FOS59" s="0"/>
      <c r="FOT59" s="0"/>
      <c r="FOU59" s="0"/>
      <c r="FOV59" s="0"/>
      <c r="FOW59" s="0"/>
      <c r="FOX59" s="0"/>
      <c r="FOY59" s="0"/>
      <c r="FOZ59" s="0"/>
      <c r="FPA59" s="0"/>
      <c r="FPB59" s="0"/>
      <c r="FPC59" s="0"/>
      <c r="FPD59" s="0"/>
      <c r="FPE59" s="0"/>
      <c r="FPF59" s="0"/>
      <c r="FPG59" s="0"/>
      <c r="FPH59" s="0"/>
      <c r="FPI59" s="0"/>
      <c r="FPJ59" s="0"/>
      <c r="FPK59" s="0"/>
      <c r="FPL59" s="0"/>
      <c r="FPM59" s="0"/>
      <c r="FPN59" s="0"/>
      <c r="FPO59" s="0"/>
      <c r="FPP59" s="0"/>
      <c r="FPQ59" s="0"/>
      <c r="FPR59" s="0"/>
      <c r="FPS59" s="0"/>
      <c r="FPT59" s="0"/>
      <c r="FPU59" s="0"/>
      <c r="FPV59" s="0"/>
      <c r="FPW59" s="0"/>
      <c r="FPX59" s="0"/>
      <c r="FPY59" s="0"/>
      <c r="FPZ59" s="0"/>
      <c r="FQA59" s="0"/>
      <c r="FQB59" s="0"/>
      <c r="FQC59" s="0"/>
      <c r="FQD59" s="0"/>
      <c r="FQE59" s="0"/>
      <c r="FQF59" s="0"/>
      <c r="FQG59" s="0"/>
      <c r="FQH59" s="0"/>
      <c r="FQI59" s="0"/>
      <c r="FQJ59" s="0"/>
      <c r="FQK59" s="0"/>
      <c r="FQL59" s="0"/>
      <c r="FQM59" s="0"/>
      <c r="FQN59" s="0"/>
      <c r="FQO59" s="0"/>
      <c r="FQP59" s="0"/>
      <c r="FQQ59" s="0"/>
      <c r="FQR59" s="0"/>
      <c r="FQS59" s="0"/>
      <c r="FQT59" s="0"/>
      <c r="FQU59" s="0"/>
      <c r="FQV59" s="0"/>
      <c r="FQW59" s="0"/>
      <c r="FQX59" s="0"/>
      <c r="FQY59" s="0"/>
      <c r="FQZ59" s="0"/>
      <c r="FRA59" s="0"/>
      <c r="FRB59" s="0"/>
      <c r="FRC59" s="0"/>
      <c r="FRD59" s="0"/>
      <c r="FRE59" s="0"/>
      <c r="FRF59" s="0"/>
      <c r="FRG59" s="0"/>
      <c r="FRH59" s="0"/>
      <c r="FRI59" s="0"/>
      <c r="FRJ59" s="0"/>
      <c r="FRK59" s="0"/>
      <c r="FRL59" s="0"/>
      <c r="FRM59" s="0"/>
      <c r="FRN59" s="0"/>
      <c r="FRO59" s="0"/>
      <c r="FRP59" s="0"/>
      <c r="FRQ59" s="0"/>
      <c r="FRR59" s="0"/>
      <c r="FRS59" s="0"/>
      <c r="FRT59" s="0"/>
      <c r="FRU59" s="0"/>
      <c r="FRV59" s="0"/>
      <c r="FRW59" s="0"/>
      <c r="FRX59" s="0"/>
      <c r="FRY59" s="0"/>
      <c r="FRZ59" s="0"/>
      <c r="FSA59" s="0"/>
      <c r="FSB59" s="0"/>
      <c r="FSC59" s="0"/>
      <c r="FSD59" s="0"/>
      <c r="FSE59" s="0"/>
      <c r="FSF59" s="0"/>
      <c r="FSG59" s="0"/>
      <c r="FSH59" s="0"/>
      <c r="FSI59" s="0"/>
      <c r="FSJ59" s="0"/>
      <c r="FSK59" s="0"/>
      <c r="FSL59" s="0"/>
      <c r="FSM59" s="0"/>
      <c r="FSN59" s="0"/>
      <c r="FSO59" s="0"/>
      <c r="FSP59" s="0"/>
      <c r="FSQ59" s="0"/>
      <c r="FSR59" s="0"/>
      <c r="FSS59" s="0"/>
      <c r="FST59" s="0"/>
      <c r="FSU59" s="0"/>
      <c r="FSV59" s="0"/>
      <c r="FSW59" s="0"/>
      <c r="FSX59" s="0"/>
      <c r="FSY59" s="0"/>
      <c r="FSZ59" s="0"/>
      <c r="FTA59" s="0"/>
      <c r="FTB59" s="0"/>
      <c r="FTC59" s="0"/>
      <c r="FTD59" s="0"/>
      <c r="FTE59" s="0"/>
      <c r="FTF59" s="0"/>
      <c r="FTG59" s="0"/>
      <c r="FTH59" s="0"/>
      <c r="FTI59" s="0"/>
      <c r="FTJ59" s="0"/>
      <c r="FTK59" s="0"/>
      <c r="FTL59" s="0"/>
      <c r="FTM59" s="0"/>
      <c r="FTN59" s="0"/>
      <c r="FTO59" s="0"/>
      <c r="FTP59" s="0"/>
      <c r="FTQ59" s="0"/>
      <c r="FTR59" s="0"/>
      <c r="FTS59" s="0"/>
      <c r="FTT59" s="0"/>
      <c r="FTU59" s="0"/>
      <c r="FTV59" s="0"/>
      <c r="FTW59" s="0"/>
      <c r="FTX59" s="0"/>
      <c r="FTY59" s="0"/>
      <c r="FTZ59" s="0"/>
      <c r="FUA59" s="0"/>
      <c r="FUB59" s="0"/>
      <c r="FUC59" s="0"/>
      <c r="FUD59" s="0"/>
      <c r="FUE59" s="0"/>
      <c r="FUF59" s="0"/>
      <c r="FUG59" s="0"/>
      <c r="FUH59" s="0"/>
      <c r="FUI59" s="0"/>
      <c r="FUJ59" s="0"/>
      <c r="FUK59" s="0"/>
      <c r="FUL59" s="0"/>
      <c r="FUM59" s="0"/>
      <c r="FUN59" s="0"/>
      <c r="FUO59" s="0"/>
      <c r="FUP59" s="0"/>
      <c r="FUQ59" s="0"/>
      <c r="FUR59" s="0"/>
      <c r="FUS59" s="0"/>
      <c r="FUT59" s="0"/>
      <c r="FUU59" s="0"/>
      <c r="FUV59" s="0"/>
      <c r="FUW59" s="0"/>
      <c r="FUX59" s="0"/>
      <c r="FUY59" s="0"/>
      <c r="FUZ59" s="0"/>
      <c r="FVA59" s="0"/>
      <c r="FVB59" s="0"/>
      <c r="FVC59" s="0"/>
      <c r="FVD59" s="0"/>
      <c r="FVE59" s="0"/>
      <c r="FVF59" s="0"/>
      <c r="FVG59" s="0"/>
      <c r="FVH59" s="0"/>
      <c r="FVI59" s="0"/>
      <c r="FVJ59" s="0"/>
      <c r="FVK59" s="0"/>
      <c r="FVL59" s="0"/>
      <c r="FVM59" s="0"/>
      <c r="FVN59" s="0"/>
      <c r="FVO59" s="0"/>
      <c r="FVP59" s="0"/>
      <c r="FVQ59" s="0"/>
      <c r="FVR59" s="0"/>
      <c r="FVS59" s="0"/>
      <c r="FVT59" s="0"/>
      <c r="FVU59" s="0"/>
      <c r="FVV59" s="0"/>
      <c r="FVW59" s="0"/>
      <c r="FVX59" s="0"/>
      <c r="FVY59" s="0"/>
      <c r="FVZ59" s="0"/>
      <c r="FWA59" s="0"/>
      <c r="FWB59" s="0"/>
      <c r="FWC59" s="0"/>
      <c r="FWD59" s="0"/>
      <c r="FWE59" s="0"/>
      <c r="FWF59" s="0"/>
      <c r="FWG59" s="0"/>
      <c r="FWH59" s="0"/>
      <c r="FWI59" s="0"/>
      <c r="FWJ59" s="0"/>
      <c r="FWK59" s="0"/>
      <c r="FWL59" s="0"/>
      <c r="FWM59" s="0"/>
      <c r="FWN59" s="0"/>
      <c r="FWO59" s="0"/>
      <c r="FWP59" s="0"/>
      <c r="FWQ59" s="0"/>
      <c r="FWR59" s="0"/>
      <c r="FWS59" s="0"/>
      <c r="FWT59" s="0"/>
      <c r="FWU59" s="0"/>
      <c r="FWV59" s="0"/>
      <c r="FWW59" s="0"/>
      <c r="FWX59" s="0"/>
      <c r="FWY59" s="0"/>
      <c r="FWZ59" s="0"/>
      <c r="FXA59" s="0"/>
      <c r="FXB59" s="0"/>
      <c r="FXC59" s="0"/>
      <c r="FXD59" s="0"/>
      <c r="FXE59" s="0"/>
      <c r="FXF59" s="0"/>
      <c r="FXG59" s="0"/>
      <c r="FXH59" s="0"/>
      <c r="FXI59" s="0"/>
      <c r="FXJ59" s="0"/>
      <c r="FXK59" s="0"/>
      <c r="FXL59" s="0"/>
      <c r="FXM59" s="0"/>
      <c r="FXN59" s="0"/>
      <c r="FXO59" s="0"/>
      <c r="FXP59" s="0"/>
      <c r="FXQ59" s="0"/>
      <c r="FXR59" s="0"/>
      <c r="FXS59" s="0"/>
      <c r="FXT59" s="0"/>
      <c r="FXU59" s="0"/>
      <c r="FXV59" s="0"/>
      <c r="FXW59" s="0"/>
      <c r="FXX59" s="0"/>
      <c r="FXY59" s="0"/>
      <c r="FXZ59" s="0"/>
      <c r="FYA59" s="0"/>
      <c r="FYB59" s="0"/>
      <c r="FYC59" s="0"/>
      <c r="FYD59" s="0"/>
      <c r="FYE59" s="0"/>
      <c r="FYF59" s="0"/>
      <c r="FYG59" s="0"/>
      <c r="FYH59" s="0"/>
      <c r="FYI59" s="0"/>
      <c r="FYJ59" s="0"/>
      <c r="FYK59" s="0"/>
      <c r="FYL59" s="0"/>
      <c r="FYM59" s="0"/>
      <c r="FYN59" s="0"/>
      <c r="FYO59" s="0"/>
      <c r="FYP59" s="0"/>
      <c r="FYQ59" s="0"/>
      <c r="FYR59" s="0"/>
      <c r="FYS59" s="0"/>
      <c r="FYT59" s="0"/>
      <c r="FYU59" s="0"/>
      <c r="FYV59" s="0"/>
      <c r="FYW59" s="0"/>
      <c r="FYX59" s="0"/>
      <c r="FYY59" s="0"/>
      <c r="FYZ59" s="0"/>
      <c r="FZA59" s="0"/>
      <c r="FZB59" s="0"/>
      <c r="FZC59" s="0"/>
      <c r="FZD59" s="0"/>
      <c r="FZE59" s="0"/>
      <c r="FZF59" s="0"/>
      <c r="FZG59" s="0"/>
      <c r="FZH59" s="0"/>
      <c r="FZI59" s="0"/>
      <c r="FZJ59" s="0"/>
      <c r="FZK59" s="0"/>
      <c r="FZL59" s="0"/>
      <c r="FZM59" s="0"/>
      <c r="FZN59" s="0"/>
      <c r="FZO59" s="0"/>
      <c r="FZP59" s="0"/>
      <c r="FZQ59" s="0"/>
      <c r="FZR59" s="0"/>
      <c r="FZS59" s="0"/>
      <c r="FZT59" s="0"/>
      <c r="FZU59" s="0"/>
      <c r="FZV59" s="0"/>
      <c r="FZW59" s="0"/>
      <c r="FZX59" s="0"/>
      <c r="FZY59" s="0"/>
      <c r="FZZ59" s="0"/>
      <c r="GAA59" s="0"/>
      <c r="GAB59" s="0"/>
      <c r="GAC59" s="0"/>
      <c r="GAD59" s="0"/>
      <c r="GAE59" s="0"/>
      <c r="GAF59" s="0"/>
      <c r="GAG59" s="0"/>
      <c r="GAH59" s="0"/>
      <c r="GAI59" s="0"/>
      <c r="GAJ59" s="0"/>
      <c r="GAK59" s="0"/>
      <c r="GAL59" s="0"/>
      <c r="GAM59" s="0"/>
      <c r="GAN59" s="0"/>
      <c r="GAO59" s="0"/>
      <c r="GAP59" s="0"/>
      <c r="GAQ59" s="0"/>
      <c r="GAR59" s="0"/>
      <c r="GAS59" s="0"/>
      <c r="GAT59" s="0"/>
      <c r="GAU59" s="0"/>
      <c r="GAV59" s="0"/>
      <c r="GAW59" s="0"/>
      <c r="GAX59" s="0"/>
      <c r="GAY59" s="0"/>
      <c r="GAZ59" s="0"/>
      <c r="GBA59" s="0"/>
      <c r="GBB59" s="0"/>
      <c r="GBC59" s="0"/>
      <c r="GBD59" s="0"/>
      <c r="GBE59" s="0"/>
      <c r="GBF59" s="0"/>
      <c r="GBG59" s="0"/>
      <c r="GBH59" s="0"/>
      <c r="GBI59" s="0"/>
      <c r="GBJ59" s="0"/>
      <c r="GBK59" s="0"/>
      <c r="GBL59" s="0"/>
      <c r="GBM59" s="0"/>
      <c r="GBN59" s="0"/>
      <c r="GBO59" s="0"/>
      <c r="GBP59" s="0"/>
      <c r="GBQ59" s="0"/>
      <c r="GBR59" s="0"/>
      <c r="GBS59" s="0"/>
      <c r="GBT59" s="0"/>
      <c r="GBU59" s="0"/>
      <c r="GBV59" s="0"/>
      <c r="GBW59" s="0"/>
      <c r="GBX59" s="0"/>
      <c r="GBY59" s="0"/>
      <c r="GBZ59" s="0"/>
      <c r="GCA59" s="0"/>
      <c r="GCB59" s="0"/>
      <c r="GCC59" s="0"/>
      <c r="GCD59" s="0"/>
      <c r="GCE59" s="0"/>
      <c r="GCF59" s="0"/>
      <c r="GCG59" s="0"/>
      <c r="GCH59" s="0"/>
      <c r="GCI59" s="0"/>
      <c r="GCJ59" s="0"/>
      <c r="GCK59" s="0"/>
      <c r="GCL59" s="0"/>
      <c r="GCM59" s="0"/>
      <c r="GCN59" s="0"/>
      <c r="GCO59" s="0"/>
      <c r="GCP59" s="0"/>
      <c r="GCQ59" s="0"/>
      <c r="GCR59" s="0"/>
      <c r="GCS59" s="0"/>
      <c r="GCT59" s="0"/>
      <c r="GCU59" s="0"/>
      <c r="GCV59" s="0"/>
      <c r="GCW59" s="0"/>
      <c r="GCX59" s="0"/>
      <c r="GCY59" s="0"/>
      <c r="GCZ59" s="0"/>
      <c r="GDA59" s="0"/>
      <c r="GDB59" s="0"/>
      <c r="GDC59" s="0"/>
      <c r="GDD59" s="0"/>
      <c r="GDE59" s="0"/>
      <c r="GDF59" s="0"/>
      <c r="GDG59" s="0"/>
      <c r="GDH59" s="0"/>
      <c r="GDI59" s="0"/>
      <c r="GDJ59" s="0"/>
      <c r="GDK59" s="0"/>
      <c r="GDL59" s="0"/>
      <c r="GDM59" s="0"/>
      <c r="GDN59" s="0"/>
      <c r="GDO59" s="0"/>
      <c r="GDP59" s="0"/>
      <c r="GDQ59" s="0"/>
      <c r="GDR59" s="0"/>
      <c r="GDS59" s="0"/>
      <c r="GDT59" s="0"/>
      <c r="GDU59" s="0"/>
      <c r="GDV59" s="0"/>
      <c r="GDW59" s="0"/>
      <c r="GDX59" s="0"/>
      <c r="GDY59" s="0"/>
      <c r="GDZ59" s="0"/>
      <c r="GEA59" s="0"/>
      <c r="GEB59" s="0"/>
      <c r="GEC59" s="0"/>
      <c r="GED59" s="0"/>
      <c r="GEE59" s="0"/>
      <c r="GEF59" s="0"/>
      <c r="GEG59" s="0"/>
      <c r="GEH59" s="0"/>
      <c r="GEI59" s="0"/>
      <c r="GEJ59" s="0"/>
      <c r="GEK59" s="0"/>
      <c r="GEL59" s="0"/>
      <c r="GEM59" s="0"/>
      <c r="GEN59" s="0"/>
      <c r="GEO59" s="0"/>
      <c r="GEP59" s="0"/>
      <c r="GEQ59" s="0"/>
      <c r="GER59" s="0"/>
      <c r="GES59" s="0"/>
      <c r="GET59" s="0"/>
      <c r="GEU59" s="0"/>
      <c r="GEV59" s="0"/>
      <c r="GEW59" s="0"/>
      <c r="GEX59" s="0"/>
      <c r="GEY59" s="0"/>
      <c r="GEZ59" s="0"/>
      <c r="GFA59" s="0"/>
      <c r="GFB59" s="0"/>
      <c r="GFC59" s="0"/>
      <c r="GFD59" s="0"/>
      <c r="GFE59" s="0"/>
      <c r="GFF59" s="0"/>
      <c r="GFG59" s="0"/>
      <c r="GFH59" s="0"/>
      <c r="GFI59" s="0"/>
      <c r="GFJ59" s="0"/>
      <c r="GFK59" s="0"/>
      <c r="GFL59" s="0"/>
      <c r="GFM59" s="0"/>
      <c r="GFN59" s="0"/>
      <c r="GFO59" s="0"/>
      <c r="GFP59" s="0"/>
      <c r="GFQ59" s="0"/>
      <c r="GFR59" s="0"/>
      <c r="GFS59" s="0"/>
      <c r="GFT59" s="0"/>
      <c r="GFU59" s="0"/>
      <c r="GFV59" s="0"/>
      <c r="GFW59" s="0"/>
      <c r="GFX59" s="0"/>
      <c r="GFY59" s="0"/>
      <c r="GFZ59" s="0"/>
      <c r="GGA59" s="0"/>
      <c r="GGB59" s="0"/>
      <c r="GGC59" s="0"/>
      <c r="GGD59" s="0"/>
      <c r="GGE59" s="0"/>
      <c r="GGF59" s="0"/>
      <c r="GGG59" s="0"/>
      <c r="GGH59" s="0"/>
      <c r="GGI59" s="0"/>
      <c r="GGJ59" s="0"/>
      <c r="GGK59" s="0"/>
      <c r="GGL59" s="0"/>
      <c r="GGM59" s="0"/>
      <c r="GGN59" s="0"/>
      <c r="GGO59" s="0"/>
      <c r="GGP59" s="0"/>
      <c r="GGQ59" s="0"/>
      <c r="GGR59" s="0"/>
      <c r="GGS59" s="0"/>
      <c r="GGT59" s="0"/>
      <c r="GGU59" s="0"/>
      <c r="GGV59" s="0"/>
      <c r="GGW59" s="0"/>
      <c r="GGX59" s="0"/>
      <c r="GGY59" s="0"/>
      <c r="GGZ59" s="0"/>
      <c r="GHA59" s="0"/>
      <c r="GHB59" s="0"/>
      <c r="GHC59" s="0"/>
      <c r="GHD59" s="0"/>
      <c r="GHE59" s="0"/>
      <c r="GHF59" s="0"/>
      <c r="GHG59" s="0"/>
      <c r="GHH59" s="0"/>
      <c r="GHI59" s="0"/>
      <c r="GHJ59" s="0"/>
      <c r="GHK59" s="0"/>
      <c r="GHL59" s="0"/>
      <c r="GHM59" s="0"/>
      <c r="GHN59" s="0"/>
      <c r="GHO59" s="0"/>
      <c r="GHP59" s="0"/>
      <c r="GHQ59" s="0"/>
      <c r="GHR59" s="0"/>
      <c r="GHS59" s="0"/>
      <c r="GHT59" s="0"/>
      <c r="GHU59" s="0"/>
      <c r="GHV59" s="0"/>
      <c r="GHW59" s="0"/>
      <c r="GHX59" s="0"/>
      <c r="GHY59" s="0"/>
      <c r="GHZ59" s="0"/>
      <c r="GIA59" s="0"/>
      <c r="GIB59" s="0"/>
      <c r="GIC59" s="0"/>
      <c r="GID59" s="0"/>
      <c r="GIE59" s="0"/>
      <c r="GIF59" s="0"/>
      <c r="GIG59" s="0"/>
      <c r="GIH59" s="0"/>
      <c r="GII59" s="0"/>
      <c r="GIJ59" s="0"/>
      <c r="GIK59" s="0"/>
      <c r="GIL59" s="0"/>
      <c r="GIM59" s="0"/>
      <c r="GIN59" s="0"/>
      <c r="GIO59" s="0"/>
      <c r="GIP59" s="0"/>
      <c r="GIQ59" s="0"/>
      <c r="GIR59" s="0"/>
      <c r="GIS59" s="0"/>
      <c r="GIT59" s="0"/>
      <c r="GIU59" s="0"/>
      <c r="GIV59" s="0"/>
      <c r="GIW59" s="0"/>
      <c r="GIX59" s="0"/>
      <c r="GIY59" s="0"/>
      <c r="GIZ59" s="0"/>
      <c r="GJA59" s="0"/>
      <c r="GJB59" s="0"/>
      <c r="GJC59" s="0"/>
      <c r="GJD59" s="0"/>
      <c r="GJE59" s="0"/>
      <c r="GJF59" s="0"/>
      <c r="GJG59" s="0"/>
      <c r="GJH59" s="0"/>
      <c r="GJI59" s="0"/>
      <c r="GJJ59" s="0"/>
      <c r="GJK59" s="0"/>
      <c r="GJL59" s="0"/>
      <c r="GJM59" s="0"/>
      <c r="GJN59" s="0"/>
      <c r="GJO59" s="0"/>
      <c r="GJP59" s="0"/>
      <c r="GJQ59" s="0"/>
      <c r="GJR59" s="0"/>
      <c r="GJS59" s="0"/>
      <c r="GJT59" s="0"/>
      <c r="GJU59" s="0"/>
      <c r="GJV59" s="0"/>
      <c r="GJW59" s="0"/>
      <c r="GJX59" s="0"/>
      <c r="GJY59" s="0"/>
      <c r="GJZ59" s="0"/>
      <c r="GKA59" s="0"/>
      <c r="GKB59" s="0"/>
      <c r="GKC59" s="0"/>
      <c r="GKD59" s="0"/>
      <c r="GKE59" s="0"/>
      <c r="GKF59" s="0"/>
      <c r="GKG59" s="0"/>
      <c r="GKH59" s="0"/>
      <c r="GKI59" s="0"/>
      <c r="GKJ59" s="0"/>
      <c r="GKK59" s="0"/>
      <c r="GKL59" s="0"/>
      <c r="GKM59" s="0"/>
      <c r="GKN59" s="0"/>
      <c r="GKO59" s="0"/>
      <c r="GKP59" s="0"/>
      <c r="GKQ59" s="0"/>
      <c r="GKR59" s="0"/>
      <c r="GKS59" s="0"/>
      <c r="GKT59" s="0"/>
      <c r="GKU59" s="0"/>
      <c r="GKV59" s="0"/>
      <c r="GKW59" s="0"/>
      <c r="GKX59" s="0"/>
      <c r="GKY59" s="0"/>
      <c r="GKZ59" s="0"/>
      <c r="GLA59" s="0"/>
      <c r="GLB59" s="0"/>
      <c r="GLC59" s="0"/>
      <c r="GLD59" s="0"/>
      <c r="GLE59" s="0"/>
      <c r="GLF59" s="0"/>
      <c r="GLG59" s="0"/>
      <c r="GLH59" s="0"/>
      <c r="GLI59" s="0"/>
      <c r="GLJ59" s="0"/>
      <c r="GLK59" s="0"/>
      <c r="GLL59" s="0"/>
      <c r="GLM59" s="0"/>
      <c r="GLN59" s="0"/>
      <c r="GLO59" s="0"/>
      <c r="GLP59" s="0"/>
      <c r="GLQ59" s="0"/>
      <c r="GLR59" s="0"/>
      <c r="GLS59" s="0"/>
      <c r="GLT59" s="0"/>
      <c r="GLU59" s="0"/>
      <c r="GLV59" s="0"/>
      <c r="GLW59" s="0"/>
      <c r="GLX59" s="0"/>
      <c r="GLY59" s="0"/>
      <c r="GLZ59" s="0"/>
      <c r="GMA59" s="0"/>
      <c r="GMB59" s="0"/>
      <c r="GMC59" s="0"/>
      <c r="GMD59" s="0"/>
      <c r="GME59" s="0"/>
      <c r="GMF59" s="0"/>
      <c r="GMG59" s="0"/>
      <c r="GMH59" s="0"/>
      <c r="GMI59" s="0"/>
      <c r="GMJ59" s="0"/>
      <c r="GMK59" s="0"/>
      <c r="GML59" s="0"/>
      <c r="GMM59" s="0"/>
      <c r="GMN59" s="0"/>
      <c r="GMO59" s="0"/>
      <c r="GMP59" s="0"/>
      <c r="GMQ59" s="0"/>
      <c r="GMR59" s="0"/>
      <c r="GMS59" s="0"/>
      <c r="GMT59" s="0"/>
      <c r="GMU59" s="0"/>
      <c r="GMV59" s="0"/>
      <c r="GMW59" s="0"/>
      <c r="GMX59" s="0"/>
      <c r="GMY59" s="0"/>
      <c r="GMZ59" s="0"/>
      <c r="GNA59" s="0"/>
      <c r="GNB59" s="0"/>
      <c r="GNC59" s="0"/>
      <c r="GND59" s="0"/>
      <c r="GNE59" s="0"/>
      <c r="GNF59" s="0"/>
      <c r="GNG59" s="0"/>
      <c r="GNH59" s="0"/>
      <c r="GNI59" s="0"/>
      <c r="GNJ59" s="0"/>
      <c r="GNK59" s="0"/>
      <c r="GNL59" s="0"/>
      <c r="GNM59" s="0"/>
      <c r="GNN59" s="0"/>
      <c r="GNO59" s="0"/>
      <c r="GNP59" s="0"/>
      <c r="GNQ59" s="0"/>
      <c r="GNR59" s="0"/>
      <c r="GNS59" s="0"/>
      <c r="GNT59" s="0"/>
      <c r="GNU59" s="0"/>
      <c r="GNV59" s="0"/>
      <c r="GNW59" s="0"/>
      <c r="GNX59" s="0"/>
      <c r="GNY59" s="0"/>
      <c r="GNZ59" s="0"/>
      <c r="GOA59" s="0"/>
      <c r="GOB59" s="0"/>
      <c r="GOC59" s="0"/>
      <c r="GOD59" s="0"/>
      <c r="GOE59" s="0"/>
      <c r="GOF59" s="0"/>
      <c r="GOG59" s="0"/>
      <c r="GOH59" s="0"/>
      <c r="GOI59" s="0"/>
      <c r="GOJ59" s="0"/>
      <c r="GOK59" s="0"/>
      <c r="GOL59" s="0"/>
      <c r="GOM59" s="0"/>
      <c r="GON59" s="0"/>
      <c r="GOO59" s="0"/>
      <c r="GOP59" s="0"/>
      <c r="GOQ59" s="0"/>
      <c r="GOR59" s="0"/>
      <c r="GOS59" s="0"/>
      <c r="GOT59" s="0"/>
      <c r="GOU59" s="0"/>
      <c r="GOV59" s="0"/>
      <c r="GOW59" s="0"/>
      <c r="GOX59" s="0"/>
      <c r="GOY59" s="0"/>
      <c r="GOZ59" s="0"/>
      <c r="GPA59" s="0"/>
      <c r="GPB59" s="0"/>
      <c r="GPC59" s="0"/>
      <c r="GPD59" s="0"/>
      <c r="GPE59" s="0"/>
      <c r="GPF59" s="0"/>
      <c r="GPG59" s="0"/>
      <c r="GPH59" s="0"/>
      <c r="GPI59" s="0"/>
      <c r="GPJ59" s="0"/>
      <c r="GPK59" s="0"/>
      <c r="GPL59" s="0"/>
      <c r="GPM59" s="0"/>
      <c r="GPN59" s="0"/>
      <c r="GPO59" s="0"/>
      <c r="GPP59" s="0"/>
      <c r="GPQ59" s="0"/>
      <c r="GPR59" s="0"/>
      <c r="GPS59" s="0"/>
      <c r="GPT59" s="0"/>
      <c r="GPU59" s="0"/>
      <c r="GPV59" s="0"/>
      <c r="GPW59" s="0"/>
      <c r="GPX59" s="0"/>
      <c r="GPY59" s="0"/>
      <c r="GPZ59" s="0"/>
      <c r="GQA59" s="0"/>
      <c r="GQB59" s="0"/>
      <c r="GQC59" s="0"/>
      <c r="GQD59" s="0"/>
      <c r="GQE59" s="0"/>
      <c r="GQF59" s="0"/>
      <c r="GQG59" s="0"/>
      <c r="GQH59" s="0"/>
      <c r="GQI59" s="0"/>
      <c r="GQJ59" s="0"/>
      <c r="GQK59" s="0"/>
      <c r="GQL59" s="0"/>
      <c r="GQM59" s="0"/>
      <c r="GQN59" s="0"/>
      <c r="GQO59" s="0"/>
      <c r="GQP59" s="0"/>
      <c r="GQQ59" s="0"/>
      <c r="GQR59" s="0"/>
      <c r="GQS59" s="0"/>
      <c r="GQT59" s="0"/>
      <c r="GQU59" s="0"/>
      <c r="GQV59" s="0"/>
      <c r="GQW59" s="0"/>
      <c r="GQX59" s="0"/>
      <c r="GQY59" s="0"/>
      <c r="GQZ59" s="0"/>
      <c r="GRA59" s="0"/>
      <c r="GRB59" s="0"/>
      <c r="GRC59" s="0"/>
      <c r="GRD59" s="0"/>
      <c r="GRE59" s="0"/>
      <c r="GRF59" s="0"/>
      <c r="GRG59" s="0"/>
      <c r="GRH59" s="0"/>
      <c r="GRI59" s="0"/>
      <c r="GRJ59" s="0"/>
      <c r="GRK59" s="0"/>
      <c r="GRL59" s="0"/>
      <c r="GRM59" s="0"/>
      <c r="GRN59" s="0"/>
      <c r="GRO59" s="0"/>
      <c r="GRP59" s="0"/>
      <c r="GRQ59" s="0"/>
      <c r="GRR59" s="0"/>
      <c r="GRS59" s="0"/>
      <c r="GRT59" s="0"/>
      <c r="GRU59" s="0"/>
      <c r="GRV59" s="0"/>
      <c r="GRW59" s="0"/>
      <c r="GRX59" s="0"/>
      <c r="GRY59" s="0"/>
      <c r="GRZ59" s="0"/>
      <c r="GSA59" s="0"/>
      <c r="GSB59" s="0"/>
      <c r="GSC59" s="0"/>
      <c r="GSD59" s="0"/>
      <c r="GSE59" s="0"/>
      <c r="GSF59" s="0"/>
      <c r="GSG59" s="0"/>
      <c r="GSH59" s="0"/>
      <c r="GSI59" s="0"/>
      <c r="GSJ59" s="0"/>
      <c r="GSK59" s="0"/>
      <c r="GSL59" s="0"/>
      <c r="GSM59" s="0"/>
      <c r="GSN59" s="0"/>
      <c r="GSO59" s="0"/>
      <c r="GSP59" s="0"/>
      <c r="GSQ59" s="0"/>
      <c r="GSR59" s="0"/>
      <c r="GSS59" s="0"/>
      <c r="GST59" s="0"/>
      <c r="GSU59" s="0"/>
      <c r="GSV59" s="0"/>
      <c r="GSW59" s="0"/>
      <c r="GSX59" s="0"/>
      <c r="GSY59" s="0"/>
      <c r="GSZ59" s="0"/>
      <c r="GTA59" s="0"/>
      <c r="GTB59" s="0"/>
      <c r="GTC59" s="0"/>
      <c r="GTD59" s="0"/>
      <c r="GTE59" s="0"/>
      <c r="GTF59" s="0"/>
      <c r="GTG59" s="0"/>
      <c r="GTH59" s="0"/>
      <c r="GTI59" s="0"/>
      <c r="GTJ59" s="0"/>
      <c r="GTK59" s="0"/>
      <c r="GTL59" s="0"/>
      <c r="GTM59" s="0"/>
      <c r="GTN59" s="0"/>
      <c r="GTO59" s="0"/>
      <c r="GTP59" s="0"/>
      <c r="GTQ59" s="0"/>
      <c r="GTR59" s="0"/>
      <c r="GTS59" s="0"/>
      <c r="GTT59" s="0"/>
      <c r="GTU59" s="0"/>
      <c r="GTV59" s="0"/>
      <c r="GTW59" s="0"/>
      <c r="GTX59" s="0"/>
      <c r="GTY59" s="0"/>
      <c r="GTZ59" s="0"/>
      <c r="GUA59" s="0"/>
      <c r="GUB59" s="0"/>
      <c r="GUC59" s="0"/>
      <c r="GUD59" s="0"/>
      <c r="GUE59" s="0"/>
      <c r="GUF59" s="0"/>
      <c r="GUG59" s="0"/>
      <c r="GUH59" s="0"/>
      <c r="GUI59" s="0"/>
      <c r="GUJ59" s="0"/>
      <c r="GUK59" s="0"/>
      <c r="GUL59" s="0"/>
      <c r="GUM59" s="0"/>
      <c r="GUN59" s="0"/>
      <c r="GUO59" s="0"/>
      <c r="GUP59" s="0"/>
      <c r="GUQ59" s="0"/>
      <c r="GUR59" s="0"/>
      <c r="GUS59" s="0"/>
      <c r="GUT59" s="0"/>
      <c r="GUU59" s="0"/>
      <c r="GUV59" s="0"/>
      <c r="GUW59" s="0"/>
      <c r="GUX59" s="0"/>
      <c r="GUY59" s="0"/>
      <c r="GUZ59" s="0"/>
      <c r="GVA59" s="0"/>
      <c r="GVB59" s="0"/>
      <c r="GVC59" s="0"/>
      <c r="GVD59" s="0"/>
      <c r="GVE59" s="0"/>
      <c r="GVF59" s="0"/>
      <c r="GVG59" s="0"/>
      <c r="GVH59" s="0"/>
      <c r="GVI59" s="0"/>
      <c r="GVJ59" s="0"/>
      <c r="GVK59" s="0"/>
      <c r="GVL59" s="0"/>
      <c r="GVM59" s="0"/>
      <c r="GVN59" s="0"/>
      <c r="GVO59" s="0"/>
      <c r="GVP59" s="0"/>
      <c r="GVQ59" s="0"/>
      <c r="GVR59" s="0"/>
      <c r="GVS59" s="0"/>
      <c r="GVT59" s="0"/>
      <c r="GVU59" s="0"/>
      <c r="GVV59" s="0"/>
      <c r="GVW59" s="0"/>
      <c r="GVX59" s="0"/>
      <c r="GVY59" s="0"/>
      <c r="GVZ59" s="0"/>
      <c r="GWA59" s="0"/>
      <c r="GWB59" s="0"/>
      <c r="GWC59" s="0"/>
      <c r="GWD59" s="0"/>
      <c r="GWE59" s="0"/>
      <c r="GWF59" s="0"/>
      <c r="GWG59" s="0"/>
      <c r="GWH59" s="0"/>
      <c r="GWI59" s="0"/>
      <c r="GWJ59" s="0"/>
      <c r="GWK59" s="0"/>
      <c r="GWL59" s="0"/>
      <c r="GWM59" s="0"/>
      <c r="GWN59" s="0"/>
      <c r="GWO59" s="0"/>
      <c r="GWP59" s="0"/>
      <c r="GWQ59" s="0"/>
      <c r="GWR59" s="0"/>
      <c r="GWS59" s="0"/>
      <c r="GWT59" s="0"/>
      <c r="GWU59" s="0"/>
      <c r="GWV59" s="0"/>
      <c r="GWW59" s="0"/>
      <c r="GWX59" s="0"/>
      <c r="GWY59" s="0"/>
      <c r="GWZ59" s="0"/>
      <c r="GXA59" s="0"/>
      <c r="GXB59" s="0"/>
      <c r="GXC59" s="0"/>
      <c r="GXD59" s="0"/>
      <c r="GXE59" s="0"/>
      <c r="GXF59" s="0"/>
      <c r="GXG59" s="0"/>
      <c r="GXH59" s="0"/>
      <c r="GXI59" s="0"/>
      <c r="GXJ59" s="0"/>
      <c r="GXK59" s="0"/>
      <c r="GXL59" s="0"/>
      <c r="GXM59" s="0"/>
      <c r="GXN59" s="0"/>
      <c r="GXO59" s="0"/>
      <c r="GXP59" s="0"/>
      <c r="GXQ59" s="0"/>
      <c r="GXR59" s="0"/>
      <c r="GXS59" s="0"/>
      <c r="GXT59" s="0"/>
      <c r="GXU59" s="0"/>
      <c r="GXV59" s="0"/>
      <c r="GXW59" s="0"/>
      <c r="GXX59" s="0"/>
      <c r="GXY59" s="0"/>
      <c r="GXZ59" s="0"/>
      <c r="GYA59" s="0"/>
      <c r="GYB59" s="0"/>
      <c r="GYC59" s="0"/>
      <c r="GYD59" s="0"/>
      <c r="GYE59" s="0"/>
      <c r="GYF59" s="0"/>
      <c r="GYG59" s="0"/>
      <c r="GYH59" s="0"/>
      <c r="GYI59" s="0"/>
      <c r="GYJ59" s="0"/>
      <c r="GYK59" s="0"/>
      <c r="GYL59" s="0"/>
      <c r="GYM59" s="0"/>
      <c r="GYN59" s="0"/>
      <c r="GYO59" s="0"/>
      <c r="GYP59" s="0"/>
      <c r="GYQ59" s="0"/>
      <c r="GYR59" s="0"/>
      <c r="GYS59" s="0"/>
      <c r="GYT59" s="0"/>
      <c r="GYU59" s="0"/>
      <c r="GYV59" s="0"/>
      <c r="GYW59" s="0"/>
      <c r="GYX59" s="0"/>
      <c r="GYY59" s="0"/>
      <c r="GYZ59" s="0"/>
      <c r="GZA59" s="0"/>
      <c r="GZB59" s="0"/>
      <c r="GZC59" s="0"/>
      <c r="GZD59" s="0"/>
      <c r="GZE59" s="0"/>
      <c r="GZF59" s="0"/>
      <c r="GZG59" s="0"/>
      <c r="GZH59" s="0"/>
      <c r="GZI59" s="0"/>
      <c r="GZJ59" s="0"/>
      <c r="GZK59" s="0"/>
      <c r="GZL59" s="0"/>
      <c r="GZM59" s="0"/>
      <c r="GZN59" s="0"/>
      <c r="GZO59" s="0"/>
      <c r="GZP59" s="0"/>
      <c r="GZQ59" s="0"/>
      <c r="GZR59" s="0"/>
      <c r="GZS59" s="0"/>
      <c r="GZT59" s="0"/>
      <c r="GZU59" s="0"/>
      <c r="GZV59" s="0"/>
      <c r="GZW59" s="0"/>
      <c r="GZX59" s="0"/>
      <c r="GZY59" s="0"/>
      <c r="GZZ59" s="0"/>
      <c r="HAA59" s="0"/>
      <c r="HAB59" s="0"/>
      <c r="HAC59" s="0"/>
      <c r="HAD59" s="0"/>
      <c r="HAE59" s="0"/>
      <c r="HAF59" s="0"/>
      <c r="HAG59" s="0"/>
      <c r="HAH59" s="0"/>
      <c r="HAI59" s="0"/>
      <c r="HAJ59" s="0"/>
      <c r="HAK59" s="0"/>
      <c r="HAL59" s="0"/>
      <c r="HAM59" s="0"/>
      <c r="HAN59" s="0"/>
      <c r="HAO59" s="0"/>
      <c r="HAP59" s="0"/>
      <c r="HAQ59" s="0"/>
      <c r="HAR59" s="0"/>
      <c r="HAS59" s="0"/>
      <c r="HAT59" s="0"/>
      <c r="HAU59" s="0"/>
      <c r="HAV59" s="0"/>
      <c r="HAW59" s="0"/>
      <c r="HAX59" s="0"/>
      <c r="HAY59" s="0"/>
      <c r="HAZ59" s="0"/>
      <c r="HBA59" s="0"/>
      <c r="HBB59" s="0"/>
      <c r="HBC59" s="0"/>
      <c r="HBD59" s="0"/>
      <c r="HBE59" s="0"/>
      <c r="HBF59" s="0"/>
      <c r="HBG59" s="0"/>
      <c r="HBH59" s="0"/>
      <c r="HBI59" s="0"/>
      <c r="HBJ59" s="0"/>
      <c r="HBK59" s="0"/>
      <c r="HBL59" s="0"/>
      <c r="HBM59" s="0"/>
      <c r="HBN59" s="0"/>
      <c r="HBO59" s="0"/>
      <c r="HBP59" s="0"/>
      <c r="HBQ59" s="0"/>
      <c r="HBR59" s="0"/>
      <c r="HBS59" s="0"/>
      <c r="HBT59" s="0"/>
      <c r="HBU59" s="0"/>
      <c r="HBV59" s="0"/>
      <c r="HBW59" s="0"/>
      <c r="HBX59" s="0"/>
      <c r="HBY59" s="0"/>
      <c r="HBZ59" s="0"/>
      <c r="HCA59" s="0"/>
      <c r="HCB59" s="0"/>
      <c r="HCC59" s="0"/>
      <c r="HCD59" s="0"/>
      <c r="HCE59" s="0"/>
      <c r="HCF59" s="0"/>
      <c r="HCG59" s="0"/>
      <c r="HCH59" s="0"/>
      <c r="HCI59" s="0"/>
      <c r="HCJ59" s="0"/>
      <c r="HCK59" s="0"/>
      <c r="HCL59" s="0"/>
      <c r="HCM59" s="0"/>
      <c r="HCN59" s="0"/>
      <c r="HCO59" s="0"/>
      <c r="HCP59" s="0"/>
      <c r="HCQ59" s="0"/>
      <c r="HCR59" s="0"/>
      <c r="HCS59" s="0"/>
      <c r="HCT59" s="0"/>
      <c r="HCU59" s="0"/>
      <c r="HCV59" s="0"/>
      <c r="HCW59" s="0"/>
      <c r="HCX59" s="0"/>
      <c r="HCY59" s="0"/>
      <c r="HCZ59" s="0"/>
      <c r="HDA59" s="0"/>
      <c r="HDB59" s="0"/>
      <c r="HDC59" s="0"/>
      <c r="HDD59" s="0"/>
      <c r="HDE59" s="0"/>
      <c r="HDF59" s="0"/>
      <c r="HDG59" s="0"/>
      <c r="HDH59" s="0"/>
      <c r="HDI59" s="0"/>
      <c r="HDJ59" s="0"/>
      <c r="HDK59" s="0"/>
      <c r="HDL59" s="0"/>
      <c r="HDM59" s="0"/>
      <c r="HDN59" s="0"/>
      <c r="HDO59" s="0"/>
      <c r="HDP59" s="0"/>
      <c r="HDQ59" s="0"/>
      <c r="HDR59" s="0"/>
      <c r="HDS59" s="0"/>
      <c r="HDT59" s="0"/>
      <c r="HDU59" s="0"/>
      <c r="HDV59" s="0"/>
      <c r="HDW59" s="0"/>
      <c r="HDX59" s="0"/>
      <c r="HDY59" s="0"/>
      <c r="HDZ59" s="0"/>
      <c r="HEA59" s="0"/>
      <c r="HEB59" s="0"/>
      <c r="HEC59" s="0"/>
      <c r="HED59" s="0"/>
      <c r="HEE59" s="0"/>
      <c r="HEF59" s="0"/>
      <c r="HEG59" s="0"/>
      <c r="HEH59" s="0"/>
      <c r="HEI59" s="0"/>
      <c r="HEJ59" s="0"/>
      <c r="HEK59" s="0"/>
      <c r="HEL59" s="0"/>
      <c r="HEM59" s="0"/>
      <c r="HEN59" s="0"/>
      <c r="HEO59" s="0"/>
      <c r="HEP59" s="0"/>
      <c r="HEQ59" s="0"/>
      <c r="HER59" s="0"/>
      <c r="HES59" s="0"/>
      <c r="HET59" s="0"/>
      <c r="HEU59" s="0"/>
      <c r="HEV59" s="0"/>
      <c r="HEW59" s="0"/>
      <c r="HEX59" s="0"/>
      <c r="HEY59" s="0"/>
      <c r="HEZ59" s="0"/>
      <c r="HFA59" s="0"/>
      <c r="HFB59" s="0"/>
      <c r="HFC59" s="0"/>
      <c r="HFD59" s="0"/>
      <c r="HFE59" s="0"/>
      <c r="HFF59" s="0"/>
      <c r="HFG59" s="0"/>
      <c r="HFH59" s="0"/>
      <c r="HFI59" s="0"/>
      <c r="HFJ59" s="0"/>
      <c r="HFK59" s="0"/>
      <c r="HFL59" s="0"/>
      <c r="HFM59" s="0"/>
      <c r="HFN59" s="0"/>
      <c r="HFO59" s="0"/>
      <c r="HFP59" s="0"/>
      <c r="HFQ59" s="0"/>
      <c r="HFR59" s="0"/>
      <c r="HFS59" s="0"/>
      <c r="HFT59" s="0"/>
      <c r="HFU59" s="0"/>
      <c r="HFV59" s="0"/>
      <c r="HFW59" s="0"/>
      <c r="HFX59" s="0"/>
      <c r="HFY59" s="0"/>
      <c r="HFZ59" s="0"/>
      <c r="HGA59" s="0"/>
      <c r="HGB59" s="0"/>
      <c r="HGC59" s="0"/>
      <c r="HGD59" s="0"/>
      <c r="HGE59" s="0"/>
      <c r="HGF59" s="0"/>
      <c r="HGG59" s="0"/>
      <c r="HGH59" s="0"/>
      <c r="HGI59" s="0"/>
      <c r="HGJ59" s="0"/>
      <c r="HGK59" s="0"/>
      <c r="HGL59" s="0"/>
      <c r="HGM59" s="0"/>
      <c r="HGN59" s="0"/>
      <c r="HGO59" s="0"/>
      <c r="HGP59" s="0"/>
      <c r="HGQ59" s="0"/>
      <c r="HGR59" s="0"/>
      <c r="HGS59" s="0"/>
      <c r="HGT59" s="0"/>
      <c r="HGU59" s="0"/>
      <c r="HGV59" s="0"/>
      <c r="HGW59" s="0"/>
      <c r="HGX59" s="0"/>
      <c r="HGY59" s="0"/>
      <c r="HGZ59" s="0"/>
      <c r="HHA59" s="0"/>
      <c r="HHB59" s="0"/>
      <c r="HHC59" s="0"/>
      <c r="HHD59" s="0"/>
      <c r="HHE59" s="0"/>
      <c r="HHF59" s="0"/>
      <c r="HHG59" s="0"/>
      <c r="HHH59" s="0"/>
      <c r="HHI59" s="0"/>
      <c r="HHJ59" s="0"/>
      <c r="HHK59" s="0"/>
      <c r="HHL59" s="0"/>
      <c r="HHM59" s="0"/>
      <c r="HHN59" s="0"/>
      <c r="HHO59" s="0"/>
      <c r="HHP59" s="0"/>
      <c r="HHQ59" s="0"/>
      <c r="HHR59" s="0"/>
      <c r="HHS59" s="0"/>
      <c r="HHT59" s="0"/>
      <c r="HHU59" s="0"/>
      <c r="HHV59" s="0"/>
      <c r="HHW59" s="0"/>
      <c r="HHX59" s="0"/>
      <c r="HHY59" s="0"/>
      <c r="HHZ59" s="0"/>
      <c r="HIA59" s="0"/>
      <c r="HIB59" s="0"/>
      <c r="HIC59" s="0"/>
      <c r="HID59" s="0"/>
      <c r="HIE59" s="0"/>
      <c r="HIF59" s="0"/>
      <c r="HIG59" s="0"/>
      <c r="HIH59" s="0"/>
      <c r="HII59" s="0"/>
      <c r="HIJ59" s="0"/>
      <c r="HIK59" s="0"/>
      <c r="HIL59" s="0"/>
      <c r="HIM59" s="0"/>
      <c r="HIN59" s="0"/>
      <c r="HIO59" s="0"/>
      <c r="HIP59" s="0"/>
      <c r="HIQ59" s="0"/>
      <c r="HIR59" s="0"/>
      <c r="HIS59" s="0"/>
      <c r="HIT59" s="0"/>
      <c r="HIU59" s="0"/>
      <c r="HIV59" s="0"/>
      <c r="HIW59" s="0"/>
      <c r="HIX59" s="0"/>
      <c r="HIY59" s="0"/>
      <c r="HIZ59" s="0"/>
      <c r="HJA59" s="0"/>
      <c r="HJB59" s="0"/>
      <c r="HJC59" s="0"/>
      <c r="HJD59" s="0"/>
      <c r="HJE59" s="0"/>
      <c r="HJF59" s="0"/>
      <c r="HJG59" s="0"/>
      <c r="HJH59" s="0"/>
      <c r="HJI59" s="0"/>
      <c r="HJJ59" s="0"/>
      <c r="HJK59" s="0"/>
      <c r="HJL59" s="0"/>
      <c r="HJM59" s="0"/>
      <c r="HJN59" s="0"/>
      <c r="HJO59" s="0"/>
      <c r="HJP59" s="0"/>
      <c r="HJQ59" s="0"/>
      <c r="HJR59" s="0"/>
      <c r="HJS59" s="0"/>
      <c r="HJT59" s="0"/>
      <c r="HJU59" s="0"/>
      <c r="HJV59" s="0"/>
      <c r="HJW59" s="0"/>
      <c r="HJX59" s="0"/>
      <c r="HJY59" s="0"/>
      <c r="HJZ59" s="0"/>
      <c r="HKA59" s="0"/>
      <c r="HKB59" s="0"/>
      <c r="HKC59" s="0"/>
      <c r="HKD59" s="0"/>
      <c r="HKE59" s="0"/>
      <c r="HKF59" s="0"/>
      <c r="HKG59" s="0"/>
      <c r="HKH59" s="0"/>
      <c r="HKI59" s="0"/>
      <c r="HKJ59" s="0"/>
      <c r="HKK59" s="0"/>
      <c r="HKL59" s="0"/>
      <c r="HKM59" s="0"/>
      <c r="HKN59" s="0"/>
      <c r="HKO59" s="0"/>
      <c r="HKP59" s="0"/>
      <c r="HKQ59" s="0"/>
      <c r="HKR59" s="0"/>
      <c r="HKS59" s="0"/>
      <c r="HKT59" s="0"/>
      <c r="HKU59" s="0"/>
      <c r="HKV59" s="0"/>
      <c r="HKW59" s="0"/>
      <c r="HKX59" s="0"/>
      <c r="HKY59" s="0"/>
      <c r="HKZ59" s="0"/>
      <c r="HLA59" s="0"/>
      <c r="HLB59" s="0"/>
      <c r="HLC59" s="0"/>
      <c r="HLD59" s="0"/>
      <c r="HLE59" s="0"/>
      <c r="HLF59" s="0"/>
      <c r="HLG59" s="0"/>
      <c r="HLH59" s="0"/>
      <c r="HLI59" s="0"/>
      <c r="HLJ59" s="0"/>
      <c r="HLK59" s="0"/>
      <c r="HLL59" s="0"/>
      <c r="HLM59" s="0"/>
      <c r="HLN59" s="0"/>
      <c r="HLO59" s="0"/>
      <c r="HLP59" s="0"/>
      <c r="HLQ59" s="0"/>
      <c r="HLR59" s="0"/>
      <c r="HLS59" s="0"/>
      <c r="HLT59" s="0"/>
      <c r="HLU59" s="0"/>
      <c r="HLV59" s="0"/>
      <c r="HLW59" s="0"/>
      <c r="HLX59" s="0"/>
      <c r="HLY59" s="0"/>
      <c r="HLZ59" s="0"/>
      <c r="HMA59" s="0"/>
      <c r="HMB59" s="0"/>
      <c r="HMC59" s="0"/>
      <c r="HMD59" s="0"/>
      <c r="HME59" s="0"/>
      <c r="HMF59" s="0"/>
      <c r="HMG59" s="0"/>
      <c r="HMH59" s="0"/>
      <c r="HMI59" s="0"/>
      <c r="HMJ59" s="0"/>
      <c r="HMK59" s="0"/>
      <c r="HML59" s="0"/>
      <c r="HMM59" s="0"/>
      <c r="HMN59" s="0"/>
      <c r="HMO59" s="0"/>
      <c r="HMP59" s="0"/>
      <c r="HMQ59" s="0"/>
      <c r="HMR59" s="0"/>
      <c r="HMS59" s="0"/>
      <c r="HMT59" s="0"/>
      <c r="HMU59" s="0"/>
      <c r="HMV59" s="0"/>
      <c r="HMW59" s="0"/>
      <c r="HMX59" s="0"/>
      <c r="HMY59" s="0"/>
      <c r="HMZ59" s="0"/>
      <c r="HNA59" s="0"/>
      <c r="HNB59" s="0"/>
      <c r="HNC59" s="0"/>
      <c r="HND59" s="0"/>
      <c r="HNE59" s="0"/>
      <c r="HNF59" s="0"/>
      <c r="HNG59" s="0"/>
      <c r="HNH59" s="0"/>
      <c r="HNI59" s="0"/>
      <c r="HNJ59" s="0"/>
      <c r="HNK59" s="0"/>
      <c r="HNL59" s="0"/>
      <c r="HNM59" s="0"/>
      <c r="HNN59" s="0"/>
      <c r="HNO59" s="0"/>
      <c r="HNP59" s="0"/>
      <c r="HNQ59" s="0"/>
      <c r="HNR59" s="0"/>
      <c r="HNS59" s="0"/>
      <c r="HNT59" s="0"/>
      <c r="HNU59" s="0"/>
      <c r="HNV59" s="0"/>
      <c r="HNW59" s="0"/>
      <c r="HNX59" s="0"/>
      <c r="HNY59" s="0"/>
      <c r="HNZ59" s="0"/>
      <c r="HOA59" s="0"/>
      <c r="HOB59" s="0"/>
      <c r="HOC59" s="0"/>
      <c r="HOD59" s="0"/>
      <c r="HOE59" s="0"/>
      <c r="HOF59" s="0"/>
      <c r="HOG59" s="0"/>
      <c r="HOH59" s="0"/>
      <c r="HOI59" s="0"/>
      <c r="HOJ59" s="0"/>
      <c r="HOK59" s="0"/>
      <c r="HOL59" s="0"/>
      <c r="HOM59" s="0"/>
      <c r="HON59" s="0"/>
      <c r="HOO59" s="0"/>
      <c r="HOP59" s="0"/>
      <c r="HOQ59" s="0"/>
      <c r="HOR59" s="0"/>
      <c r="HOS59" s="0"/>
      <c r="HOT59" s="0"/>
      <c r="HOU59" s="0"/>
      <c r="HOV59" s="0"/>
      <c r="HOW59" s="0"/>
      <c r="HOX59" s="0"/>
      <c r="HOY59" s="0"/>
      <c r="HOZ59" s="0"/>
      <c r="HPA59" s="0"/>
      <c r="HPB59" s="0"/>
      <c r="HPC59" s="0"/>
      <c r="HPD59" s="0"/>
      <c r="HPE59" s="0"/>
      <c r="HPF59" s="0"/>
      <c r="HPG59" s="0"/>
      <c r="HPH59" s="0"/>
      <c r="HPI59" s="0"/>
      <c r="HPJ59" s="0"/>
      <c r="HPK59" s="0"/>
      <c r="HPL59" s="0"/>
      <c r="HPM59" s="0"/>
      <c r="HPN59" s="0"/>
      <c r="HPO59" s="0"/>
      <c r="HPP59" s="0"/>
      <c r="HPQ59" s="0"/>
      <c r="HPR59" s="0"/>
      <c r="HPS59" s="0"/>
      <c r="HPT59" s="0"/>
      <c r="HPU59" s="0"/>
      <c r="HPV59" s="0"/>
      <c r="HPW59" s="0"/>
      <c r="HPX59" s="0"/>
      <c r="HPY59" s="0"/>
      <c r="HPZ59" s="0"/>
      <c r="HQA59" s="0"/>
      <c r="HQB59" s="0"/>
      <c r="HQC59" s="0"/>
      <c r="HQD59" s="0"/>
      <c r="HQE59" s="0"/>
      <c r="HQF59" s="0"/>
      <c r="HQG59" s="0"/>
      <c r="HQH59" s="0"/>
      <c r="HQI59" s="0"/>
      <c r="HQJ59" s="0"/>
      <c r="HQK59" s="0"/>
      <c r="HQL59" s="0"/>
      <c r="HQM59" s="0"/>
      <c r="HQN59" s="0"/>
      <c r="HQO59" s="0"/>
      <c r="HQP59" s="0"/>
      <c r="HQQ59" s="0"/>
      <c r="HQR59" s="0"/>
      <c r="HQS59" s="0"/>
      <c r="HQT59" s="0"/>
      <c r="HQU59" s="0"/>
      <c r="HQV59" s="0"/>
      <c r="HQW59" s="0"/>
      <c r="HQX59" s="0"/>
      <c r="HQY59" s="0"/>
      <c r="HQZ59" s="0"/>
      <c r="HRA59" s="0"/>
      <c r="HRB59" s="0"/>
      <c r="HRC59" s="0"/>
      <c r="HRD59" s="0"/>
      <c r="HRE59" s="0"/>
      <c r="HRF59" s="0"/>
      <c r="HRG59" s="0"/>
      <c r="HRH59" s="0"/>
      <c r="HRI59" s="0"/>
      <c r="HRJ59" s="0"/>
      <c r="HRK59" s="0"/>
      <c r="HRL59" s="0"/>
      <c r="HRM59" s="0"/>
      <c r="HRN59" s="0"/>
      <c r="HRO59" s="0"/>
      <c r="HRP59" s="0"/>
      <c r="HRQ59" s="0"/>
      <c r="HRR59" s="0"/>
      <c r="HRS59" s="0"/>
      <c r="HRT59" s="0"/>
      <c r="HRU59" s="0"/>
      <c r="HRV59" s="0"/>
      <c r="HRW59" s="0"/>
      <c r="HRX59" s="0"/>
      <c r="HRY59" s="0"/>
      <c r="HRZ59" s="0"/>
      <c r="HSA59" s="0"/>
      <c r="HSB59" s="0"/>
      <c r="HSC59" s="0"/>
      <c r="HSD59" s="0"/>
      <c r="HSE59" s="0"/>
      <c r="HSF59" s="0"/>
      <c r="HSG59" s="0"/>
      <c r="HSH59" s="0"/>
      <c r="HSI59" s="0"/>
      <c r="HSJ59" s="0"/>
      <c r="HSK59" s="0"/>
      <c r="HSL59" s="0"/>
      <c r="HSM59" s="0"/>
      <c r="HSN59" s="0"/>
      <c r="HSO59" s="0"/>
      <c r="HSP59" s="0"/>
      <c r="HSQ59" s="0"/>
      <c r="HSR59" s="0"/>
      <c r="HSS59" s="0"/>
      <c r="HST59" s="0"/>
      <c r="HSU59" s="0"/>
      <c r="HSV59" s="0"/>
      <c r="HSW59" s="0"/>
      <c r="HSX59" s="0"/>
      <c r="HSY59" s="0"/>
      <c r="HSZ59" s="0"/>
      <c r="HTA59" s="0"/>
      <c r="HTB59" s="0"/>
      <c r="HTC59" s="0"/>
      <c r="HTD59" s="0"/>
      <c r="HTE59" s="0"/>
      <c r="HTF59" s="0"/>
      <c r="HTG59" s="0"/>
      <c r="HTH59" s="0"/>
      <c r="HTI59" s="0"/>
      <c r="HTJ59" s="0"/>
      <c r="HTK59" s="0"/>
      <c r="HTL59" s="0"/>
      <c r="HTM59" s="0"/>
      <c r="HTN59" s="0"/>
      <c r="HTO59" s="0"/>
      <c r="HTP59" s="0"/>
      <c r="HTQ59" s="0"/>
      <c r="HTR59" s="0"/>
      <c r="HTS59" s="0"/>
      <c r="HTT59" s="0"/>
      <c r="HTU59" s="0"/>
      <c r="HTV59" s="0"/>
      <c r="HTW59" s="0"/>
      <c r="HTX59" s="0"/>
      <c r="HTY59" s="0"/>
      <c r="HTZ59" s="0"/>
      <c r="HUA59" s="0"/>
      <c r="HUB59" s="0"/>
      <c r="HUC59" s="0"/>
      <c r="HUD59" s="0"/>
      <c r="HUE59" s="0"/>
      <c r="HUF59" s="0"/>
      <c r="HUG59" s="0"/>
      <c r="HUH59" s="0"/>
      <c r="HUI59" s="0"/>
      <c r="HUJ59" s="0"/>
      <c r="HUK59" s="0"/>
      <c r="HUL59" s="0"/>
      <c r="HUM59" s="0"/>
      <c r="HUN59" s="0"/>
      <c r="HUO59" s="0"/>
      <c r="HUP59" s="0"/>
      <c r="HUQ59" s="0"/>
      <c r="HUR59" s="0"/>
      <c r="HUS59" s="0"/>
      <c r="HUT59" s="0"/>
      <c r="HUU59" s="0"/>
      <c r="HUV59" s="0"/>
      <c r="HUW59" s="0"/>
      <c r="HUX59" s="0"/>
      <c r="HUY59" s="0"/>
      <c r="HUZ59" s="0"/>
      <c r="HVA59" s="0"/>
      <c r="HVB59" s="0"/>
      <c r="HVC59" s="0"/>
      <c r="HVD59" s="0"/>
      <c r="HVE59" s="0"/>
      <c r="HVF59" s="0"/>
      <c r="HVG59" s="0"/>
      <c r="HVH59" s="0"/>
      <c r="HVI59" s="0"/>
      <c r="HVJ59" s="0"/>
      <c r="HVK59" s="0"/>
      <c r="HVL59" s="0"/>
      <c r="HVM59" s="0"/>
      <c r="HVN59" s="0"/>
      <c r="HVO59" s="0"/>
      <c r="HVP59" s="0"/>
      <c r="HVQ59" s="0"/>
      <c r="HVR59" s="0"/>
      <c r="HVS59" s="0"/>
      <c r="HVT59" s="0"/>
      <c r="HVU59" s="0"/>
      <c r="HVV59" s="0"/>
      <c r="HVW59" s="0"/>
      <c r="HVX59" s="0"/>
      <c r="HVY59" s="0"/>
      <c r="HVZ59" s="0"/>
      <c r="HWA59" s="0"/>
      <c r="HWB59" s="0"/>
      <c r="HWC59" s="0"/>
      <c r="HWD59" s="0"/>
      <c r="HWE59" s="0"/>
      <c r="HWF59" s="0"/>
      <c r="HWG59" s="0"/>
      <c r="HWH59" s="0"/>
      <c r="HWI59" s="0"/>
      <c r="HWJ59" s="0"/>
      <c r="HWK59" s="0"/>
      <c r="HWL59" s="0"/>
      <c r="HWM59" s="0"/>
      <c r="HWN59" s="0"/>
      <c r="HWO59" s="0"/>
      <c r="HWP59" s="0"/>
      <c r="HWQ59" s="0"/>
      <c r="HWR59" s="0"/>
      <c r="HWS59" s="0"/>
      <c r="HWT59" s="0"/>
      <c r="HWU59" s="0"/>
      <c r="HWV59" s="0"/>
      <c r="HWW59" s="0"/>
      <c r="HWX59" s="0"/>
      <c r="HWY59" s="0"/>
      <c r="HWZ59" s="0"/>
      <c r="HXA59" s="0"/>
      <c r="HXB59" s="0"/>
      <c r="HXC59" s="0"/>
      <c r="HXD59" s="0"/>
      <c r="HXE59" s="0"/>
      <c r="HXF59" s="0"/>
      <c r="HXG59" s="0"/>
      <c r="HXH59" s="0"/>
      <c r="HXI59" s="0"/>
      <c r="HXJ59" s="0"/>
      <c r="HXK59" s="0"/>
      <c r="HXL59" s="0"/>
      <c r="HXM59" s="0"/>
      <c r="HXN59" s="0"/>
      <c r="HXO59" s="0"/>
      <c r="HXP59" s="0"/>
      <c r="HXQ59" s="0"/>
      <c r="HXR59" s="0"/>
      <c r="HXS59" s="0"/>
      <c r="HXT59" s="0"/>
      <c r="HXU59" s="0"/>
      <c r="HXV59" s="0"/>
      <c r="HXW59" s="0"/>
      <c r="HXX59" s="0"/>
      <c r="HXY59" s="0"/>
      <c r="HXZ59" s="0"/>
      <c r="HYA59" s="0"/>
      <c r="HYB59" s="0"/>
      <c r="HYC59" s="0"/>
      <c r="HYD59" s="0"/>
      <c r="HYE59" s="0"/>
      <c r="HYF59" s="0"/>
      <c r="HYG59" s="0"/>
      <c r="HYH59" s="0"/>
      <c r="HYI59" s="0"/>
      <c r="HYJ59" s="0"/>
      <c r="HYK59" s="0"/>
      <c r="HYL59" s="0"/>
      <c r="HYM59" s="0"/>
      <c r="HYN59" s="0"/>
      <c r="HYO59" s="0"/>
      <c r="HYP59" s="0"/>
      <c r="HYQ59" s="0"/>
      <c r="HYR59" s="0"/>
      <c r="HYS59" s="0"/>
      <c r="HYT59" s="0"/>
      <c r="HYU59" s="0"/>
      <c r="HYV59" s="0"/>
      <c r="HYW59" s="0"/>
      <c r="HYX59" s="0"/>
      <c r="HYY59" s="0"/>
      <c r="HYZ59" s="0"/>
      <c r="HZA59" s="0"/>
      <c r="HZB59" s="0"/>
      <c r="HZC59" s="0"/>
      <c r="HZD59" s="0"/>
      <c r="HZE59" s="0"/>
      <c r="HZF59" s="0"/>
      <c r="HZG59" s="0"/>
      <c r="HZH59" s="0"/>
      <c r="HZI59" s="0"/>
      <c r="HZJ59" s="0"/>
      <c r="HZK59" s="0"/>
      <c r="HZL59" s="0"/>
      <c r="HZM59" s="0"/>
      <c r="HZN59" s="0"/>
      <c r="HZO59" s="0"/>
      <c r="HZP59" s="0"/>
      <c r="HZQ59" s="0"/>
      <c r="HZR59" s="0"/>
      <c r="HZS59" s="0"/>
      <c r="HZT59" s="0"/>
      <c r="HZU59" s="0"/>
      <c r="HZV59" s="0"/>
      <c r="HZW59" s="0"/>
      <c r="HZX59" s="0"/>
      <c r="HZY59" s="0"/>
      <c r="HZZ59" s="0"/>
      <c r="IAA59" s="0"/>
      <c r="IAB59" s="0"/>
      <c r="IAC59" s="0"/>
      <c r="IAD59" s="0"/>
      <c r="IAE59" s="0"/>
      <c r="IAF59" s="0"/>
      <c r="IAG59" s="0"/>
      <c r="IAH59" s="0"/>
      <c r="IAI59" s="0"/>
      <c r="IAJ59" s="0"/>
      <c r="IAK59" s="0"/>
      <c r="IAL59" s="0"/>
      <c r="IAM59" s="0"/>
      <c r="IAN59" s="0"/>
      <c r="IAO59" s="0"/>
      <c r="IAP59" s="0"/>
      <c r="IAQ59" s="0"/>
      <c r="IAR59" s="0"/>
      <c r="IAS59" s="0"/>
      <c r="IAT59" s="0"/>
      <c r="IAU59" s="0"/>
      <c r="IAV59" s="0"/>
      <c r="IAW59" s="0"/>
      <c r="IAX59" s="0"/>
      <c r="IAY59" s="0"/>
      <c r="IAZ59" s="0"/>
      <c r="IBA59" s="0"/>
      <c r="IBB59" s="0"/>
      <c r="IBC59" s="0"/>
      <c r="IBD59" s="0"/>
      <c r="IBE59" s="0"/>
      <c r="IBF59" s="0"/>
      <c r="IBG59" s="0"/>
      <c r="IBH59" s="0"/>
      <c r="IBI59" s="0"/>
      <c r="IBJ59" s="0"/>
      <c r="IBK59" s="0"/>
      <c r="IBL59" s="0"/>
      <c r="IBM59" s="0"/>
      <c r="IBN59" s="0"/>
      <c r="IBO59" s="0"/>
      <c r="IBP59" s="0"/>
      <c r="IBQ59" s="0"/>
      <c r="IBR59" s="0"/>
      <c r="IBS59" s="0"/>
      <c r="IBT59" s="0"/>
      <c r="IBU59" s="0"/>
      <c r="IBV59" s="0"/>
      <c r="IBW59" s="0"/>
      <c r="IBX59" s="0"/>
      <c r="IBY59" s="0"/>
      <c r="IBZ59" s="0"/>
      <c r="ICA59" s="0"/>
      <c r="ICB59" s="0"/>
      <c r="ICC59" s="0"/>
      <c r="ICD59" s="0"/>
      <c r="ICE59" s="0"/>
      <c r="ICF59" s="0"/>
      <c r="ICG59" s="0"/>
      <c r="ICH59" s="0"/>
      <c r="ICI59" s="0"/>
      <c r="ICJ59" s="0"/>
      <c r="ICK59" s="0"/>
      <c r="ICL59" s="0"/>
      <c r="ICM59" s="0"/>
      <c r="ICN59" s="0"/>
      <c r="ICO59" s="0"/>
      <c r="ICP59" s="0"/>
      <c r="ICQ59" s="0"/>
      <c r="ICR59" s="0"/>
      <c r="ICS59" s="0"/>
      <c r="ICT59" s="0"/>
      <c r="ICU59" s="0"/>
      <c r="ICV59" s="0"/>
      <c r="ICW59" s="0"/>
      <c r="ICX59" s="0"/>
      <c r="ICY59" s="0"/>
      <c r="ICZ59" s="0"/>
      <c r="IDA59" s="0"/>
      <c r="IDB59" s="0"/>
      <c r="IDC59" s="0"/>
      <c r="IDD59" s="0"/>
      <c r="IDE59" s="0"/>
      <c r="IDF59" s="0"/>
      <c r="IDG59" s="0"/>
      <c r="IDH59" s="0"/>
      <c r="IDI59" s="0"/>
      <c r="IDJ59" s="0"/>
      <c r="IDK59" s="0"/>
      <c r="IDL59" s="0"/>
      <c r="IDM59" s="0"/>
      <c r="IDN59" s="0"/>
      <c r="IDO59" s="0"/>
      <c r="IDP59" s="0"/>
      <c r="IDQ59" s="0"/>
      <c r="IDR59" s="0"/>
      <c r="IDS59" s="0"/>
      <c r="IDT59" s="0"/>
      <c r="IDU59" s="0"/>
      <c r="IDV59" s="0"/>
      <c r="IDW59" s="0"/>
      <c r="IDX59" s="0"/>
      <c r="IDY59" s="0"/>
      <c r="IDZ59" s="0"/>
      <c r="IEA59" s="0"/>
      <c r="IEB59" s="0"/>
      <c r="IEC59" s="0"/>
      <c r="IED59" s="0"/>
      <c r="IEE59" s="0"/>
      <c r="IEF59" s="0"/>
      <c r="IEG59" s="0"/>
      <c r="IEH59" s="0"/>
      <c r="IEI59" s="0"/>
      <c r="IEJ59" s="0"/>
      <c r="IEK59" s="0"/>
      <c r="IEL59" s="0"/>
      <c r="IEM59" s="0"/>
      <c r="IEN59" s="0"/>
      <c r="IEO59" s="0"/>
      <c r="IEP59" s="0"/>
      <c r="IEQ59" s="0"/>
      <c r="IER59" s="0"/>
      <c r="IES59" s="0"/>
      <c r="IET59" s="0"/>
      <c r="IEU59" s="0"/>
      <c r="IEV59" s="0"/>
      <c r="IEW59" s="0"/>
      <c r="IEX59" s="0"/>
      <c r="IEY59" s="0"/>
      <c r="IEZ59" s="0"/>
      <c r="IFA59" s="0"/>
      <c r="IFB59" s="0"/>
      <c r="IFC59" s="0"/>
      <c r="IFD59" s="0"/>
      <c r="IFE59" s="0"/>
      <c r="IFF59" s="0"/>
      <c r="IFG59" s="0"/>
      <c r="IFH59" s="0"/>
      <c r="IFI59" s="0"/>
      <c r="IFJ59" s="0"/>
      <c r="IFK59" s="0"/>
      <c r="IFL59" s="0"/>
      <c r="IFM59" s="0"/>
      <c r="IFN59" s="0"/>
      <c r="IFO59" s="0"/>
      <c r="IFP59" s="0"/>
      <c r="IFQ59" s="0"/>
      <c r="IFR59" s="0"/>
      <c r="IFS59" s="0"/>
      <c r="IFT59" s="0"/>
      <c r="IFU59" s="0"/>
      <c r="IFV59" s="0"/>
      <c r="IFW59" s="0"/>
      <c r="IFX59" s="0"/>
      <c r="IFY59" s="0"/>
      <c r="IFZ59" s="0"/>
      <c r="IGA59" s="0"/>
      <c r="IGB59" s="0"/>
      <c r="IGC59" s="0"/>
      <c r="IGD59" s="0"/>
      <c r="IGE59" s="0"/>
      <c r="IGF59" s="0"/>
      <c r="IGG59" s="0"/>
      <c r="IGH59" s="0"/>
      <c r="IGI59" s="0"/>
      <c r="IGJ59" s="0"/>
      <c r="IGK59" s="0"/>
      <c r="IGL59" s="0"/>
      <c r="IGM59" s="0"/>
      <c r="IGN59" s="0"/>
      <c r="IGO59" s="0"/>
      <c r="IGP59" s="0"/>
      <c r="IGQ59" s="0"/>
      <c r="IGR59" s="0"/>
      <c r="IGS59" s="0"/>
      <c r="IGT59" s="0"/>
      <c r="IGU59" s="0"/>
      <c r="IGV59" s="0"/>
      <c r="IGW59" s="0"/>
      <c r="IGX59" s="0"/>
      <c r="IGY59" s="0"/>
      <c r="IGZ59" s="0"/>
      <c r="IHA59" s="0"/>
      <c r="IHB59" s="0"/>
      <c r="IHC59" s="0"/>
      <c r="IHD59" s="0"/>
      <c r="IHE59" s="0"/>
      <c r="IHF59" s="0"/>
      <c r="IHG59" s="0"/>
      <c r="IHH59" s="0"/>
      <c r="IHI59" s="0"/>
      <c r="IHJ59" s="0"/>
      <c r="IHK59" s="0"/>
      <c r="IHL59" s="0"/>
      <c r="IHM59" s="0"/>
      <c r="IHN59" s="0"/>
      <c r="IHO59" s="0"/>
      <c r="IHP59" s="0"/>
      <c r="IHQ59" s="0"/>
      <c r="IHR59" s="0"/>
      <c r="IHS59" s="0"/>
      <c r="IHT59" s="0"/>
      <c r="IHU59" s="0"/>
      <c r="IHV59" s="0"/>
      <c r="IHW59" s="0"/>
      <c r="IHX59" s="0"/>
      <c r="IHY59" s="0"/>
      <c r="IHZ59" s="0"/>
      <c r="IIA59" s="0"/>
      <c r="IIB59" s="0"/>
      <c r="IIC59" s="0"/>
      <c r="IID59" s="0"/>
      <c r="IIE59" s="0"/>
      <c r="IIF59" s="0"/>
      <c r="IIG59" s="0"/>
      <c r="IIH59" s="0"/>
      <c r="III59" s="0"/>
      <c r="IIJ59" s="0"/>
      <c r="IIK59" s="0"/>
      <c r="IIL59" s="0"/>
      <c r="IIM59" s="0"/>
      <c r="IIN59" s="0"/>
      <c r="IIO59" s="0"/>
      <c r="IIP59" s="0"/>
      <c r="IIQ59" s="0"/>
      <c r="IIR59" s="0"/>
      <c r="IIS59" s="0"/>
      <c r="IIT59" s="0"/>
      <c r="IIU59" s="0"/>
      <c r="IIV59" s="0"/>
      <c r="IIW59" s="0"/>
      <c r="IIX59" s="0"/>
      <c r="IIY59" s="0"/>
      <c r="IIZ59" s="0"/>
      <c r="IJA59" s="0"/>
      <c r="IJB59" s="0"/>
      <c r="IJC59" s="0"/>
      <c r="IJD59" s="0"/>
      <c r="IJE59" s="0"/>
      <c r="IJF59" s="0"/>
      <c r="IJG59" s="0"/>
      <c r="IJH59" s="0"/>
      <c r="IJI59" s="0"/>
      <c r="IJJ59" s="0"/>
      <c r="IJK59" s="0"/>
      <c r="IJL59" s="0"/>
      <c r="IJM59" s="0"/>
      <c r="IJN59" s="0"/>
      <c r="IJO59" s="0"/>
      <c r="IJP59" s="0"/>
      <c r="IJQ59" s="0"/>
      <c r="IJR59" s="0"/>
      <c r="IJS59" s="0"/>
      <c r="IJT59" s="0"/>
      <c r="IJU59" s="0"/>
      <c r="IJV59" s="0"/>
      <c r="IJW59" s="0"/>
      <c r="IJX59" s="0"/>
      <c r="IJY59" s="0"/>
      <c r="IJZ59" s="0"/>
      <c r="IKA59" s="0"/>
      <c r="IKB59" s="0"/>
      <c r="IKC59" s="0"/>
      <c r="IKD59" s="0"/>
      <c r="IKE59" s="0"/>
      <c r="IKF59" s="0"/>
      <c r="IKG59" s="0"/>
      <c r="IKH59" s="0"/>
      <c r="IKI59" s="0"/>
      <c r="IKJ59" s="0"/>
      <c r="IKK59" s="0"/>
      <c r="IKL59" s="0"/>
      <c r="IKM59" s="0"/>
      <c r="IKN59" s="0"/>
      <c r="IKO59" s="0"/>
      <c r="IKP59" s="0"/>
      <c r="IKQ59" s="0"/>
      <c r="IKR59" s="0"/>
      <c r="IKS59" s="0"/>
      <c r="IKT59" s="0"/>
      <c r="IKU59" s="0"/>
      <c r="IKV59" s="0"/>
      <c r="IKW59" s="0"/>
      <c r="IKX59" s="0"/>
      <c r="IKY59" s="0"/>
      <c r="IKZ59" s="0"/>
      <c r="ILA59" s="0"/>
      <c r="ILB59" s="0"/>
      <c r="ILC59" s="0"/>
      <c r="ILD59" s="0"/>
      <c r="ILE59" s="0"/>
      <c r="ILF59" s="0"/>
      <c r="ILG59" s="0"/>
      <c r="ILH59" s="0"/>
      <c r="ILI59" s="0"/>
      <c r="ILJ59" s="0"/>
      <c r="ILK59" s="0"/>
      <c r="ILL59" s="0"/>
      <c r="ILM59" s="0"/>
      <c r="ILN59" s="0"/>
      <c r="ILO59" s="0"/>
      <c r="ILP59" s="0"/>
      <c r="ILQ59" s="0"/>
      <c r="ILR59" s="0"/>
      <c r="ILS59" s="0"/>
      <c r="ILT59" s="0"/>
      <c r="ILU59" s="0"/>
      <c r="ILV59" s="0"/>
      <c r="ILW59" s="0"/>
      <c r="ILX59" s="0"/>
      <c r="ILY59" s="0"/>
      <c r="ILZ59" s="0"/>
      <c r="IMA59" s="0"/>
      <c r="IMB59" s="0"/>
      <c r="IMC59" s="0"/>
      <c r="IMD59" s="0"/>
      <c r="IME59" s="0"/>
      <c r="IMF59" s="0"/>
      <c r="IMG59" s="0"/>
      <c r="IMH59" s="0"/>
      <c r="IMI59" s="0"/>
      <c r="IMJ59" s="0"/>
      <c r="IMK59" s="0"/>
      <c r="IML59" s="0"/>
      <c r="IMM59" s="0"/>
      <c r="IMN59" s="0"/>
      <c r="IMO59" s="0"/>
      <c r="IMP59" s="0"/>
      <c r="IMQ59" s="0"/>
      <c r="IMR59" s="0"/>
      <c r="IMS59" s="0"/>
      <c r="IMT59" s="0"/>
      <c r="IMU59" s="0"/>
      <c r="IMV59" s="0"/>
      <c r="IMW59" s="0"/>
      <c r="IMX59" s="0"/>
      <c r="IMY59" s="0"/>
      <c r="IMZ59" s="0"/>
      <c r="INA59" s="0"/>
      <c r="INB59" s="0"/>
      <c r="INC59" s="0"/>
      <c r="IND59" s="0"/>
      <c r="INE59" s="0"/>
      <c r="INF59" s="0"/>
      <c r="ING59" s="0"/>
      <c r="INH59" s="0"/>
      <c r="INI59" s="0"/>
      <c r="INJ59" s="0"/>
      <c r="INK59" s="0"/>
      <c r="INL59" s="0"/>
      <c r="INM59" s="0"/>
      <c r="INN59" s="0"/>
      <c r="INO59" s="0"/>
      <c r="INP59" s="0"/>
      <c r="INQ59" s="0"/>
      <c r="INR59" s="0"/>
      <c r="INS59" s="0"/>
      <c r="INT59" s="0"/>
      <c r="INU59" s="0"/>
      <c r="INV59" s="0"/>
      <c r="INW59" s="0"/>
      <c r="INX59" s="0"/>
      <c r="INY59" s="0"/>
      <c r="INZ59" s="0"/>
      <c r="IOA59" s="0"/>
      <c r="IOB59" s="0"/>
      <c r="IOC59" s="0"/>
      <c r="IOD59" s="0"/>
      <c r="IOE59" s="0"/>
      <c r="IOF59" s="0"/>
      <c r="IOG59" s="0"/>
      <c r="IOH59" s="0"/>
      <c r="IOI59" s="0"/>
      <c r="IOJ59" s="0"/>
      <c r="IOK59" s="0"/>
      <c r="IOL59" s="0"/>
      <c r="IOM59" s="0"/>
      <c r="ION59" s="0"/>
      <c r="IOO59" s="0"/>
      <c r="IOP59" s="0"/>
      <c r="IOQ59" s="0"/>
      <c r="IOR59" s="0"/>
      <c r="IOS59" s="0"/>
      <c r="IOT59" s="0"/>
      <c r="IOU59" s="0"/>
      <c r="IOV59" s="0"/>
      <c r="IOW59" s="0"/>
      <c r="IOX59" s="0"/>
      <c r="IOY59" s="0"/>
      <c r="IOZ59" s="0"/>
      <c r="IPA59" s="0"/>
      <c r="IPB59" s="0"/>
      <c r="IPC59" s="0"/>
      <c r="IPD59" s="0"/>
      <c r="IPE59" s="0"/>
      <c r="IPF59" s="0"/>
      <c r="IPG59" s="0"/>
      <c r="IPH59" s="0"/>
      <c r="IPI59" s="0"/>
      <c r="IPJ59" s="0"/>
      <c r="IPK59" s="0"/>
      <c r="IPL59" s="0"/>
      <c r="IPM59" s="0"/>
      <c r="IPN59" s="0"/>
      <c r="IPO59" s="0"/>
      <c r="IPP59" s="0"/>
      <c r="IPQ59" s="0"/>
      <c r="IPR59" s="0"/>
      <c r="IPS59" s="0"/>
      <c r="IPT59" s="0"/>
      <c r="IPU59" s="0"/>
      <c r="IPV59" s="0"/>
      <c r="IPW59" s="0"/>
      <c r="IPX59" s="0"/>
      <c r="IPY59" s="0"/>
      <c r="IPZ59" s="0"/>
      <c r="IQA59" s="0"/>
      <c r="IQB59" s="0"/>
      <c r="IQC59" s="0"/>
      <c r="IQD59" s="0"/>
      <c r="IQE59" s="0"/>
      <c r="IQF59" s="0"/>
      <c r="IQG59" s="0"/>
      <c r="IQH59" s="0"/>
      <c r="IQI59" s="0"/>
      <c r="IQJ59" s="0"/>
      <c r="IQK59" s="0"/>
      <c r="IQL59" s="0"/>
      <c r="IQM59" s="0"/>
      <c r="IQN59" s="0"/>
      <c r="IQO59" s="0"/>
      <c r="IQP59" s="0"/>
      <c r="IQQ59" s="0"/>
      <c r="IQR59" s="0"/>
      <c r="IQS59" s="0"/>
      <c r="IQT59" s="0"/>
      <c r="IQU59" s="0"/>
      <c r="IQV59" s="0"/>
      <c r="IQW59" s="0"/>
      <c r="IQX59" s="0"/>
      <c r="IQY59" s="0"/>
      <c r="IQZ59" s="0"/>
      <c r="IRA59" s="0"/>
      <c r="IRB59" s="0"/>
      <c r="IRC59" s="0"/>
      <c r="IRD59" s="0"/>
      <c r="IRE59" s="0"/>
      <c r="IRF59" s="0"/>
      <c r="IRG59" s="0"/>
      <c r="IRH59" s="0"/>
      <c r="IRI59" s="0"/>
      <c r="IRJ59" s="0"/>
      <c r="IRK59" s="0"/>
      <c r="IRL59" s="0"/>
      <c r="IRM59" s="0"/>
      <c r="IRN59" s="0"/>
      <c r="IRO59" s="0"/>
      <c r="IRP59" s="0"/>
      <c r="IRQ59" s="0"/>
      <c r="IRR59" s="0"/>
      <c r="IRS59" s="0"/>
      <c r="IRT59" s="0"/>
      <c r="IRU59" s="0"/>
      <c r="IRV59" s="0"/>
      <c r="IRW59" s="0"/>
      <c r="IRX59" s="0"/>
      <c r="IRY59" s="0"/>
      <c r="IRZ59" s="0"/>
      <c r="ISA59" s="0"/>
      <c r="ISB59" s="0"/>
      <c r="ISC59" s="0"/>
      <c r="ISD59" s="0"/>
      <c r="ISE59" s="0"/>
      <c r="ISF59" s="0"/>
      <c r="ISG59" s="0"/>
      <c r="ISH59" s="0"/>
      <c r="ISI59" s="0"/>
      <c r="ISJ59" s="0"/>
      <c r="ISK59" s="0"/>
      <c r="ISL59" s="0"/>
      <c r="ISM59" s="0"/>
      <c r="ISN59" s="0"/>
      <c r="ISO59" s="0"/>
      <c r="ISP59" s="0"/>
      <c r="ISQ59" s="0"/>
      <c r="ISR59" s="0"/>
      <c r="ISS59" s="0"/>
      <c r="IST59" s="0"/>
      <c r="ISU59" s="0"/>
      <c r="ISV59" s="0"/>
      <c r="ISW59" s="0"/>
      <c r="ISX59" s="0"/>
      <c r="ISY59" s="0"/>
      <c r="ISZ59" s="0"/>
      <c r="ITA59" s="0"/>
      <c r="ITB59" s="0"/>
      <c r="ITC59" s="0"/>
      <c r="ITD59" s="0"/>
      <c r="ITE59" s="0"/>
      <c r="ITF59" s="0"/>
      <c r="ITG59" s="0"/>
      <c r="ITH59" s="0"/>
      <c r="ITI59" s="0"/>
      <c r="ITJ59" s="0"/>
      <c r="ITK59" s="0"/>
      <c r="ITL59" s="0"/>
      <c r="ITM59" s="0"/>
      <c r="ITN59" s="0"/>
      <c r="ITO59" s="0"/>
      <c r="ITP59" s="0"/>
      <c r="ITQ59" s="0"/>
      <c r="ITR59" s="0"/>
      <c r="ITS59" s="0"/>
      <c r="ITT59" s="0"/>
      <c r="ITU59" s="0"/>
      <c r="ITV59" s="0"/>
      <c r="ITW59" s="0"/>
      <c r="ITX59" s="0"/>
      <c r="ITY59" s="0"/>
      <c r="ITZ59" s="0"/>
      <c r="IUA59" s="0"/>
      <c r="IUB59" s="0"/>
      <c r="IUC59" s="0"/>
      <c r="IUD59" s="0"/>
      <c r="IUE59" s="0"/>
      <c r="IUF59" s="0"/>
      <c r="IUG59" s="0"/>
      <c r="IUH59" s="0"/>
      <c r="IUI59" s="0"/>
      <c r="IUJ59" s="0"/>
      <c r="IUK59" s="0"/>
      <c r="IUL59" s="0"/>
      <c r="IUM59" s="0"/>
      <c r="IUN59" s="0"/>
      <c r="IUO59" s="0"/>
      <c r="IUP59" s="0"/>
      <c r="IUQ59" s="0"/>
      <c r="IUR59" s="0"/>
      <c r="IUS59" s="0"/>
      <c r="IUT59" s="0"/>
      <c r="IUU59" s="0"/>
      <c r="IUV59" s="0"/>
      <c r="IUW59" s="0"/>
      <c r="IUX59" s="0"/>
      <c r="IUY59" s="0"/>
      <c r="IUZ59" s="0"/>
      <c r="IVA59" s="0"/>
      <c r="IVB59" s="0"/>
      <c r="IVC59" s="0"/>
      <c r="IVD59" s="0"/>
      <c r="IVE59" s="0"/>
      <c r="IVF59" s="0"/>
      <c r="IVG59" s="0"/>
      <c r="IVH59" s="0"/>
      <c r="IVI59" s="0"/>
      <c r="IVJ59" s="0"/>
      <c r="IVK59" s="0"/>
      <c r="IVL59" s="0"/>
      <c r="IVM59" s="0"/>
      <c r="IVN59" s="0"/>
      <c r="IVO59" s="0"/>
      <c r="IVP59" s="0"/>
      <c r="IVQ59" s="0"/>
      <c r="IVR59" s="0"/>
      <c r="IVS59" s="0"/>
      <c r="IVT59" s="0"/>
      <c r="IVU59" s="0"/>
      <c r="IVV59" s="0"/>
      <c r="IVW59" s="0"/>
      <c r="IVX59" s="0"/>
      <c r="IVY59" s="0"/>
      <c r="IVZ59" s="0"/>
      <c r="IWA59" s="0"/>
      <c r="IWB59" s="0"/>
      <c r="IWC59" s="0"/>
      <c r="IWD59" s="0"/>
      <c r="IWE59" s="0"/>
      <c r="IWF59" s="0"/>
      <c r="IWG59" s="0"/>
      <c r="IWH59" s="0"/>
      <c r="IWI59" s="0"/>
      <c r="IWJ59" s="0"/>
      <c r="IWK59" s="0"/>
      <c r="IWL59" s="0"/>
      <c r="IWM59" s="0"/>
      <c r="IWN59" s="0"/>
      <c r="IWO59" s="0"/>
      <c r="IWP59" s="0"/>
      <c r="IWQ59" s="0"/>
      <c r="IWR59" s="0"/>
      <c r="IWS59" s="0"/>
      <c r="IWT59" s="0"/>
      <c r="IWU59" s="0"/>
      <c r="IWV59" s="0"/>
      <c r="IWW59" s="0"/>
      <c r="IWX59" s="0"/>
      <c r="IWY59" s="0"/>
      <c r="IWZ59" s="0"/>
      <c r="IXA59" s="0"/>
      <c r="IXB59" s="0"/>
      <c r="IXC59" s="0"/>
      <c r="IXD59" s="0"/>
      <c r="IXE59" s="0"/>
      <c r="IXF59" s="0"/>
      <c r="IXG59" s="0"/>
      <c r="IXH59" s="0"/>
      <c r="IXI59" s="0"/>
      <c r="IXJ59" s="0"/>
      <c r="IXK59" s="0"/>
      <c r="IXL59" s="0"/>
      <c r="IXM59" s="0"/>
      <c r="IXN59" s="0"/>
      <c r="IXO59" s="0"/>
      <c r="IXP59" s="0"/>
      <c r="IXQ59" s="0"/>
      <c r="IXR59" s="0"/>
      <c r="IXS59" s="0"/>
      <c r="IXT59" s="0"/>
      <c r="IXU59" s="0"/>
      <c r="IXV59" s="0"/>
      <c r="IXW59" s="0"/>
      <c r="IXX59" s="0"/>
      <c r="IXY59" s="0"/>
      <c r="IXZ59" s="0"/>
      <c r="IYA59" s="0"/>
      <c r="IYB59" s="0"/>
      <c r="IYC59" s="0"/>
      <c r="IYD59" s="0"/>
      <c r="IYE59" s="0"/>
      <c r="IYF59" s="0"/>
      <c r="IYG59" s="0"/>
      <c r="IYH59" s="0"/>
      <c r="IYI59" s="0"/>
      <c r="IYJ59" s="0"/>
      <c r="IYK59" s="0"/>
      <c r="IYL59" s="0"/>
      <c r="IYM59" s="0"/>
      <c r="IYN59" s="0"/>
      <c r="IYO59" s="0"/>
      <c r="IYP59" s="0"/>
      <c r="IYQ59" s="0"/>
      <c r="IYR59" s="0"/>
      <c r="IYS59" s="0"/>
      <c r="IYT59" s="0"/>
      <c r="IYU59" s="0"/>
      <c r="IYV59" s="0"/>
      <c r="IYW59" s="0"/>
      <c r="IYX59" s="0"/>
      <c r="IYY59" s="0"/>
      <c r="IYZ59" s="0"/>
      <c r="IZA59" s="0"/>
      <c r="IZB59" s="0"/>
      <c r="IZC59" s="0"/>
      <c r="IZD59" s="0"/>
      <c r="IZE59" s="0"/>
      <c r="IZF59" s="0"/>
      <c r="IZG59" s="0"/>
      <c r="IZH59" s="0"/>
      <c r="IZI59" s="0"/>
      <c r="IZJ59" s="0"/>
      <c r="IZK59" s="0"/>
      <c r="IZL59" s="0"/>
      <c r="IZM59" s="0"/>
      <c r="IZN59" s="0"/>
      <c r="IZO59" s="0"/>
      <c r="IZP59" s="0"/>
      <c r="IZQ59" s="0"/>
      <c r="IZR59" s="0"/>
      <c r="IZS59" s="0"/>
      <c r="IZT59" s="0"/>
      <c r="IZU59" s="0"/>
      <c r="IZV59" s="0"/>
      <c r="IZW59" s="0"/>
      <c r="IZX59" s="0"/>
      <c r="IZY59" s="0"/>
      <c r="IZZ59" s="0"/>
      <c r="JAA59" s="0"/>
      <c r="JAB59" s="0"/>
      <c r="JAC59" s="0"/>
      <c r="JAD59" s="0"/>
      <c r="JAE59" s="0"/>
      <c r="JAF59" s="0"/>
      <c r="JAG59" s="0"/>
      <c r="JAH59" s="0"/>
      <c r="JAI59" s="0"/>
      <c r="JAJ59" s="0"/>
      <c r="JAK59" s="0"/>
      <c r="JAL59" s="0"/>
      <c r="JAM59" s="0"/>
      <c r="JAN59" s="0"/>
      <c r="JAO59" s="0"/>
      <c r="JAP59" s="0"/>
      <c r="JAQ59" s="0"/>
      <c r="JAR59" s="0"/>
      <c r="JAS59" s="0"/>
      <c r="JAT59" s="0"/>
      <c r="JAU59" s="0"/>
      <c r="JAV59" s="0"/>
      <c r="JAW59" s="0"/>
      <c r="JAX59" s="0"/>
      <c r="JAY59" s="0"/>
      <c r="JAZ59" s="0"/>
      <c r="JBA59" s="0"/>
      <c r="JBB59" s="0"/>
      <c r="JBC59" s="0"/>
      <c r="JBD59" s="0"/>
      <c r="JBE59" s="0"/>
      <c r="JBF59" s="0"/>
      <c r="JBG59" s="0"/>
      <c r="JBH59" s="0"/>
      <c r="JBI59" s="0"/>
      <c r="JBJ59" s="0"/>
      <c r="JBK59" s="0"/>
      <c r="JBL59" s="0"/>
      <c r="JBM59" s="0"/>
      <c r="JBN59" s="0"/>
      <c r="JBO59" s="0"/>
      <c r="JBP59" s="0"/>
      <c r="JBQ59" s="0"/>
      <c r="JBR59" s="0"/>
      <c r="JBS59" s="0"/>
      <c r="JBT59" s="0"/>
      <c r="JBU59" s="0"/>
      <c r="JBV59" s="0"/>
      <c r="JBW59" s="0"/>
      <c r="JBX59" s="0"/>
      <c r="JBY59" s="0"/>
      <c r="JBZ59" s="0"/>
      <c r="JCA59" s="0"/>
      <c r="JCB59" s="0"/>
      <c r="JCC59" s="0"/>
      <c r="JCD59" s="0"/>
      <c r="JCE59" s="0"/>
      <c r="JCF59" s="0"/>
      <c r="JCG59" s="0"/>
      <c r="JCH59" s="0"/>
      <c r="JCI59" s="0"/>
      <c r="JCJ59" s="0"/>
      <c r="JCK59" s="0"/>
      <c r="JCL59" s="0"/>
      <c r="JCM59" s="0"/>
      <c r="JCN59" s="0"/>
      <c r="JCO59" s="0"/>
      <c r="JCP59" s="0"/>
      <c r="JCQ59" s="0"/>
      <c r="JCR59" s="0"/>
      <c r="JCS59" s="0"/>
      <c r="JCT59" s="0"/>
      <c r="JCU59" s="0"/>
      <c r="JCV59" s="0"/>
      <c r="JCW59" s="0"/>
      <c r="JCX59" s="0"/>
      <c r="JCY59" s="0"/>
      <c r="JCZ59" s="0"/>
      <c r="JDA59" s="0"/>
      <c r="JDB59" s="0"/>
      <c r="JDC59" s="0"/>
      <c r="JDD59" s="0"/>
      <c r="JDE59" s="0"/>
      <c r="JDF59" s="0"/>
      <c r="JDG59" s="0"/>
      <c r="JDH59" s="0"/>
      <c r="JDI59" s="0"/>
      <c r="JDJ59" s="0"/>
      <c r="JDK59" s="0"/>
      <c r="JDL59" s="0"/>
      <c r="JDM59" s="0"/>
      <c r="JDN59" s="0"/>
      <c r="JDO59" s="0"/>
      <c r="JDP59" s="0"/>
      <c r="JDQ59" s="0"/>
      <c r="JDR59" s="0"/>
      <c r="JDS59" s="0"/>
      <c r="JDT59" s="0"/>
      <c r="JDU59" s="0"/>
      <c r="JDV59" s="0"/>
      <c r="JDW59" s="0"/>
      <c r="JDX59" s="0"/>
      <c r="JDY59" s="0"/>
      <c r="JDZ59" s="0"/>
      <c r="JEA59" s="0"/>
      <c r="JEB59" s="0"/>
      <c r="JEC59" s="0"/>
      <c r="JED59" s="0"/>
      <c r="JEE59" s="0"/>
      <c r="JEF59" s="0"/>
      <c r="JEG59" s="0"/>
      <c r="JEH59" s="0"/>
      <c r="JEI59" s="0"/>
      <c r="JEJ59" s="0"/>
      <c r="JEK59" s="0"/>
      <c r="JEL59" s="0"/>
      <c r="JEM59" s="0"/>
      <c r="JEN59" s="0"/>
      <c r="JEO59" s="0"/>
      <c r="JEP59" s="0"/>
      <c r="JEQ59" s="0"/>
      <c r="JER59" s="0"/>
      <c r="JES59" s="0"/>
      <c r="JET59" s="0"/>
      <c r="JEU59" s="0"/>
      <c r="JEV59" s="0"/>
      <c r="JEW59" s="0"/>
      <c r="JEX59" s="0"/>
      <c r="JEY59" s="0"/>
      <c r="JEZ59" s="0"/>
      <c r="JFA59" s="0"/>
      <c r="JFB59" s="0"/>
      <c r="JFC59" s="0"/>
      <c r="JFD59" s="0"/>
      <c r="JFE59" s="0"/>
      <c r="JFF59" s="0"/>
      <c r="JFG59" s="0"/>
      <c r="JFH59" s="0"/>
      <c r="JFI59" s="0"/>
      <c r="JFJ59" s="0"/>
      <c r="JFK59" s="0"/>
      <c r="JFL59" s="0"/>
      <c r="JFM59" s="0"/>
      <c r="JFN59" s="0"/>
      <c r="JFO59" s="0"/>
      <c r="JFP59" s="0"/>
      <c r="JFQ59" s="0"/>
      <c r="JFR59" s="0"/>
      <c r="JFS59" s="0"/>
      <c r="JFT59" s="0"/>
      <c r="JFU59" s="0"/>
      <c r="JFV59" s="0"/>
      <c r="JFW59" s="0"/>
      <c r="JFX59" s="0"/>
      <c r="JFY59" s="0"/>
      <c r="JFZ59" s="0"/>
      <c r="JGA59" s="0"/>
      <c r="JGB59" s="0"/>
      <c r="JGC59" s="0"/>
      <c r="JGD59" s="0"/>
      <c r="JGE59" s="0"/>
      <c r="JGF59" s="0"/>
      <c r="JGG59" s="0"/>
      <c r="JGH59" s="0"/>
      <c r="JGI59" s="0"/>
      <c r="JGJ59" s="0"/>
      <c r="JGK59" s="0"/>
      <c r="JGL59" s="0"/>
      <c r="JGM59" s="0"/>
      <c r="JGN59" s="0"/>
      <c r="JGO59" s="0"/>
      <c r="JGP59" s="0"/>
      <c r="JGQ59" s="0"/>
      <c r="JGR59" s="0"/>
      <c r="JGS59" s="0"/>
      <c r="JGT59" s="0"/>
      <c r="JGU59" s="0"/>
      <c r="JGV59" s="0"/>
      <c r="JGW59" s="0"/>
      <c r="JGX59" s="0"/>
      <c r="JGY59" s="0"/>
      <c r="JGZ59" s="0"/>
      <c r="JHA59" s="0"/>
      <c r="JHB59" s="0"/>
      <c r="JHC59" s="0"/>
      <c r="JHD59" s="0"/>
      <c r="JHE59" s="0"/>
      <c r="JHF59" s="0"/>
      <c r="JHG59" s="0"/>
      <c r="JHH59" s="0"/>
      <c r="JHI59" s="0"/>
      <c r="JHJ59" s="0"/>
      <c r="JHK59" s="0"/>
      <c r="JHL59" s="0"/>
      <c r="JHM59" s="0"/>
      <c r="JHN59" s="0"/>
      <c r="JHO59" s="0"/>
      <c r="JHP59" s="0"/>
      <c r="JHQ59" s="0"/>
      <c r="JHR59" s="0"/>
      <c r="JHS59" s="0"/>
      <c r="JHT59" s="0"/>
      <c r="JHU59" s="0"/>
      <c r="JHV59" s="0"/>
      <c r="JHW59" s="0"/>
      <c r="JHX59" s="0"/>
      <c r="JHY59" s="0"/>
      <c r="JHZ59" s="0"/>
      <c r="JIA59" s="0"/>
      <c r="JIB59" s="0"/>
      <c r="JIC59" s="0"/>
      <c r="JID59" s="0"/>
      <c r="JIE59" s="0"/>
      <c r="JIF59" s="0"/>
      <c r="JIG59" s="0"/>
      <c r="JIH59" s="0"/>
      <c r="JII59" s="0"/>
      <c r="JIJ59" s="0"/>
      <c r="JIK59" s="0"/>
      <c r="JIL59" s="0"/>
      <c r="JIM59" s="0"/>
      <c r="JIN59" s="0"/>
      <c r="JIO59" s="0"/>
      <c r="JIP59" s="0"/>
      <c r="JIQ59" s="0"/>
      <c r="JIR59" s="0"/>
      <c r="JIS59" s="0"/>
      <c r="JIT59" s="0"/>
      <c r="JIU59" s="0"/>
      <c r="JIV59" s="0"/>
      <c r="JIW59" s="0"/>
      <c r="JIX59" s="0"/>
      <c r="JIY59" s="0"/>
      <c r="JIZ59" s="0"/>
      <c r="JJA59" s="0"/>
      <c r="JJB59" s="0"/>
      <c r="JJC59" s="0"/>
      <c r="JJD59" s="0"/>
      <c r="JJE59" s="0"/>
      <c r="JJF59" s="0"/>
      <c r="JJG59" s="0"/>
      <c r="JJH59" s="0"/>
      <c r="JJI59" s="0"/>
      <c r="JJJ59" s="0"/>
      <c r="JJK59" s="0"/>
      <c r="JJL59" s="0"/>
      <c r="JJM59" s="0"/>
      <c r="JJN59" s="0"/>
      <c r="JJO59" s="0"/>
      <c r="JJP59" s="0"/>
      <c r="JJQ59" s="0"/>
      <c r="JJR59" s="0"/>
      <c r="JJS59" s="0"/>
      <c r="JJT59" s="0"/>
      <c r="JJU59" s="0"/>
      <c r="JJV59" s="0"/>
      <c r="JJW59" s="0"/>
      <c r="JJX59" s="0"/>
      <c r="JJY59" s="0"/>
      <c r="JJZ59" s="0"/>
      <c r="JKA59" s="0"/>
      <c r="JKB59" s="0"/>
      <c r="JKC59" s="0"/>
      <c r="JKD59" s="0"/>
      <c r="JKE59" s="0"/>
      <c r="JKF59" s="0"/>
      <c r="JKG59" s="0"/>
      <c r="JKH59" s="0"/>
      <c r="JKI59" s="0"/>
      <c r="JKJ59" s="0"/>
      <c r="JKK59" s="0"/>
      <c r="JKL59" s="0"/>
      <c r="JKM59" s="0"/>
      <c r="JKN59" s="0"/>
      <c r="JKO59" s="0"/>
      <c r="JKP59" s="0"/>
      <c r="JKQ59" s="0"/>
      <c r="JKR59" s="0"/>
      <c r="JKS59" s="0"/>
      <c r="JKT59" s="0"/>
      <c r="JKU59" s="0"/>
      <c r="JKV59" s="0"/>
      <c r="JKW59" s="0"/>
      <c r="JKX59" s="0"/>
      <c r="JKY59" s="0"/>
      <c r="JKZ59" s="0"/>
      <c r="JLA59" s="0"/>
      <c r="JLB59" s="0"/>
      <c r="JLC59" s="0"/>
      <c r="JLD59" s="0"/>
      <c r="JLE59" s="0"/>
      <c r="JLF59" s="0"/>
      <c r="JLG59" s="0"/>
      <c r="JLH59" s="0"/>
      <c r="JLI59" s="0"/>
      <c r="JLJ59" s="0"/>
      <c r="JLK59" s="0"/>
      <c r="JLL59" s="0"/>
      <c r="JLM59" s="0"/>
      <c r="JLN59" s="0"/>
      <c r="JLO59" s="0"/>
      <c r="JLP59" s="0"/>
      <c r="JLQ59" s="0"/>
      <c r="JLR59" s="0"/>
      <c r="JLS59" s="0"/>
      <c r="JLT59" s="0"/>
      <c r="JLU59" s="0"/>
      <c r="JLV59" s="0"/>
      <c r="JLW59" s="0"/>
      <c r="JLX59" s="0"/>
      <c r="JLY59" s="0"/>
      <c r="JLZ59" s="0"/>
      <c r="JMA59" s="0"/>
      <c r="JMB59" s="0"/>
      <c r="JMC59" s="0"/>
      <c r="JMD59" s="0"/>
      <c r="JME59" s="0"/>
      <c r="JMF59" s="0"/>
      <c r="JMG59" s="0"/>
      <c r="JMH59" s="0"/>
      <c r="JMI59" s="0"/>
      <c r="JMJ59" s="0"/>
      <c r="JMK59" s="0"/>
      <c r="JML59" s="0"/>
      <c r="JMM59" s="0"/>
      <c r="JMN59" s="0"/>
      <c r="JMO59" s="0"/>
      <c r="JMP59" s="0"/>
      <c r="JMQ59" s="0"/>
      <c r="JMR59" s="0"/>
      <c r="JMS59" s="0"/>
      <c r="JMT59" s="0"/>
      <c r="JMU59" s="0"/>
      <c r="JMV59" s="0"/>
      <c r="JMW59" s="0"/>
      <c r="JMX59" s="0"/>
      <c r="JMY59" s="0"/>
      <c r="JMZ59" s="0"/>
      <c r="JNA59" s="0"/>
      <c r="JNB59" s="0"/>
      <c r="JNC59" s="0"/>
      <c r="JND59" s="0"/>
      <c r="JNE59" s="0"/>
      <c r="JNF59" s="0"/>
      <c r="JNG59" s="0"/>
      <c r="JNH59" s="0"/>
      <c r="JNI59" s="0"/>
      <c r="JNJ59" s="0"/>
      <c r="JNK59" s="0"/>
      <c r="JNL59" s="0"/>
      <c r="JNM59" s="0"/>
      <c r="JNN59" s="0"/>
      <c r="JNO59" s="0"/>
      <c r="JNP59" s="0"/>
      <c r="JNQ59" s="0"/>
      <c r="JNR59" s="0"/>
      <c r="JNS59" s="0"/>
      <c r="JNT59" s="0"/>
      <c r="JNU59" s="0"/>
      <c r="JNV59" s="0"/>
      <c r="JNW59" s="0"/>
      <c r="JNX59" s="0"/>
      <c r="JNY59" s="0"/>
      <c r="JNZ59" s="0"/>
      <c r="JOA59" s="0"/>
      <c r="JOB59" s="0"/>
      <c r="JOC59" s="0"/>
      <c r="JOD59" s="0"/>
      <c r="JOE59" s="0"/>
      <c r="JOF59" s="0"/>
      <c r="JOG59" s="0"/>
      <c r="JOH59" s="0"/>
      <c r="JOI59" s="0"/>
      <c r="JOJ59" s="0"/>
      <c r="JOK59" s="0"/>
      <c r="JOL59" s="0"/>
      <c r="JOM59" s="0"/>
      <c r="JON59" s="0"/>
      <c r="JOO59" s="0"/>
      <c r="JOP59" s="0"/>
      <c r="JOQ59" s="0"/>
      <c r="JOR59" s="0"/>
      <c r="JOS59" s="0"/>
      <c r="JOT59" s="0"/>
      <c r="JOU59" s="0"/>
      <c r="JOV59" s="0"/>
      <c r="JOW59" s="0"/>
      <c r="JOX59" s="0"/>
      <c r="JOY59" s="0"/>
      <c r="JOZ59" s="0"/>
      <c r="JPA59" s="0"/>
      <c r="JPB59" s="0"/>
      <c r="JPC59" s="0"/>
      <c r="JPD59" s="0"/>
      <c r="JPE59" s="0"/>
      <c r="JPF59" s="0"/>
      <c r="JPG59" s="0"/>
      <c r="JPH59" s="0"/>
      <c r="JPI59" s="0"/>
      <c r="JPJ59" s="0"/>
      <c r="JPK59" s="0"/>
      <c r="JPL59" s="0"/>
      <c r="JPM59" s="0"/>
      <c r="JPN59" s="0"/>
      <c r="JPO59" s="0"/>
      <c r="JPP59" s="0"/>
      <c r="JPQ59" s="0"/>
      <c r="JPR59" s="0"/>
      <c r="JPS59" s="0"/>
      <c r="JPT59" s="0"/>
      <c r="JPU59" s="0"/>
      <c r="JPV59" s="0"/>
      <c r="JPW59" s="0"/>
      <c r="JPX59" s="0"/>
      <c r="JPY59" s="0"/>
      <c r="JPZ59" s="0"/>
      <c r="JQA59" s="0"/>
      <c r="JQB59" s="0"/>
      <c r="JQC59" s="0"/>
      <c r="JQD59" s="0"/>
      <c r="JQE59" s="0"/>
      <c r="JQF59" s="0"/>
      <c r="JQG59" s="0"/>
      <c r="JQH59" s="0"/>
      <c r="JQI59" s="0"/>
      <c r="JQJ59" s="0"/>
      <c r="JQK59" s="0"/>
      <c r="JQL59" s="0"/>
      <c r="JQM59" s="0"/>
      <c r="JQN59" s="0"/>
      <c r="JQO59" s="0"/>
      <c r="JQP59" s="0"/>
      <c r="JQQ59" s="0"/>
      <c r="JQR59" s="0"/>
      <c r="JQS59" s="0"/>
      <c r="JQT59" s="0"/>
      <c r="JQU59" s="0"/>
      <c r="JQV59" s="0"/>
      <c r="JQW59" s="0"/>
      <c r="JQX59" s="0"/>
      <c r="JQY59" s="0"/>
      <c r="JQZ59" s="0"/>
      <c r="JRA59" s="0"/>
      <c r="JRB59" s="0"/>
      <c r="JRC59" s="0"/>
      <c r="JRD59" s="0"/>
      <c r="JRE59" s="0"/>
      <c r="JRF59" s="0"/>
      <c r="JRG59" s="0"/>
      <c r="JRH59" s="0"/>
      <c r="JRI59" s="0"/>
      <c r="JRJ59" s="0"/>
      <c r="JRK59" s="0"/>
      <c r="JRL59" s="0"/>
      <c r="JRM59" s="0"/>
      <c r="JRN59" s="0"/>
      <c r="JRO59" s="0"/>
      <c r="JRP59" s="0"/>
      <c r="JRQ59" s="0"/>
      <c r="JRR59" s="0"/>
      <c r="JRS59" s="0"/>
      <c r="JRT59" s="0"/>
      <c r="JRU59" s="0"/>
      <c r="JRV59" s="0"/>
      <c r="JRW59" s="0"/>
      <c r="JRX59" s="0"/>
      <c r="JRY59" s="0"/>
      <c r="JRZ59" s="0"/>
      <c r="JSA59" s="0"/>
      <c r="JSB59" s="0"/>
      <c r="JSC59" s="0"/>
      <c r="JSD59" s="0"/>
      <c r="JSE59" s="0"/>
      <c r="JSF59" s="0"/>
      <c r="JSG59" s="0"/>
      <c r="JSH59" s="0"/>
      <c r="JSI59" s="0"/>
      <c r="JSJ59" s="0"/>
      <c r="JSK59" s="0"/>
      <c r="JSL59" s="0"/>
      <c r="JSM59" s="0"/>
      <c r="JSN59" s="0"/>
      <c r="JSO59" s="0"/>
      <c r="JSP59" s="0"/>
      <c r="JSQ59" s="0"/>
      <c r="JSR59" s="0"/>
      <c r="JSS59" s="0"/>
      <c r="JST59" s="0"/>
      <c r="JSU59" s="0"/>
      <c r="JSV59" s="0"/>
      <c r="JSW59" s="0"/>
      <c r="JSX59" s="0"/>
      <c r="JSY59" s="0"/>
      <c r="JSZ59" s="0"/>
      <c r="JTA59" s="0"/>
      <c r="JTB59" s="0"/>
      <c r="JTC59" s="0"/>
      <c r="JTD59" s="0"/>
      <c r="JTE59" s="0"/>
      <c r="JTF59" s="0"/>
      <c r="JTG59" s="0"/>
      <c r="JTH59" s="0"/>
      <c r="JTI59" s="0"/>
      <c r="JTJ59" s="0"/>
      <c r="JTK59" s="0"/>
      <c r="JTL59" s="0"/>
      <c r="JTM59" s="0"/>
      <c r="JTN59" s="0"/>
      <c r="JTO59" s="0"/>
      <c r="JTP59" s="0"/>
      <c r="JTQ59" s="0"/>
      <c r="JTR59" s="0"/>
      <c r="JTS59" s="0"/>
      <c r="JTT59" s="0"/>
      <c r="JTU59" s="0"/>
      <c r="JTV59" s="0"/>
      <c r="JTW59" s="0"/>
      <c r="JTX59" s="0"/>
      <c r="JTY59" s="0"/>
      <c r="JTZ59" s="0"/>
      <c r="JUA59" s="0"/>
      <c r="JUB59" s="0"/>
      <c r="JUC59" s="0"/>
      <c r="JUD59" s="0"/>
      <c r="JUE59" s="0"/>
      <c r="JUF59" s="0"/>
      <c r="JUG59" s="0"/>
      <c r="JUH59" s="0"/>
      <c r="JUI59" s="0"/>
      <c r="JUJ59" s="0"/>
      <c r="JUK59" s="0"/>
      <c r="JUL59" s="0"/>
      <c r="JUM59" s="0"/>
      <c r="JUN59" s="0"/>
      <c r="JUO59" s="0"/>
      <c r="JUP59" s="0"/>
      <c r="JUQ59" s="0"/>
      <c r="JUR59" s="0"/>
      <c r="JUS59" s="0"/>
      <c r="JUT59" s="0"/>
      <c r="JUU59" s="0"/>
      <c r="JUV59" s="0"/>
      <c r="JUW59" s="0"/>
      <c r="JUX59" s="0"/>
      <c r="JUY59" s="0"/>
      <c r="JUZ59" s="0"/>
      <c r="JVA59" s="0"/>
      <c r="JVB59" s="0"/>
      <c r="JVC59" s="0"/>
      <c r="JVD59" s="0"/>
      <c r="JVE59" s="0"/>
      <c r="JVF59" s="0"/>
      <c r="JVG59" s="0"/>
      <c r="JVH59" s="0"/>
      <c r="JVI59" s="0"/>
      <c r="JVJ59" s="0"/>
      <c r="JVK59" s="0"/>
      <c r="JVL59" s="0"/>
      <c r="JVM59" s="0"/>
      <c r="JVN59" s="0"/>
      <c r="JVO59" s="0"/>
      <c r="JVP59" s="0"/>
      <c r="JVQ59" s="0"/>
      <c r="JVR59" s="0"/>
      <c r="JVS59" s="0"/>
      <c r="JVT59" s="0"/>
      <c r="JVU59" s="0"/>
      <c r="JVV59" s="0"/>
      <c r="JVW59" s="0"/>
      <c r="JVX59" s="0"/>
      <c r="JVY59" s="0"/>
      <c r="JVZ59" s="0"/>
      <c r="JWA59" s="0"/>
      <c r="JWB59" s="0"/>
      <c r="JWC59" s="0"/>
      <c r="JWD59" s="0"/>
      <c r="JWE59" s="0"/>
      <c r="JWF59" s="0"/>
      <c r="JWG59" s="0"/>
      <c r="JWH59" s="0"/>
      <c r="JWI59" s="0"/>
      <c r="JWJ59" s="0"/>
      <c r="JWK59" s="0"/>
      <c r="JWL59" s="0"/>
      <c r="JWM59" s="0"/>
      <c r="JWN59" s="0"/>
      <c r="JWO59" s="0"/>
      <c r="JWP59" s="0"/>
      <c r="JWQ59" s="0"/>
      <c r="JWR59" s="0"/>
      <c r="JWS59" s="0"/>
      <c r="JWT59" s="0"/>
      <c r="JWU59" s="0"/>
      <c r="JWV59" s="0"/>
      <c r="JWW59" s="0"/>
      <c r="JWX59" s="0"/>
      <c r="JWY59" s="0"/>
      <c r="JWZ59" s="0"/>
      <c r="JXA59" s="0"/>
      <c r="JXB59" s="0"/>
      <c r="JXC59" s="0"/>
      <c r="JXD59" s="0"/>
      <c r="JXE59" s="0"/>
      <c r="JXF59" s="0"/>
      <c r="JXG59" s="0"/>
      <c r="JXH59" s="0"/>
      <c r="JXI59" s="0"/>
      <c r="JXJ59" s="0"/>
      <c r="JXK59" s="0"/>
      <c r="JXL59" s="0"/>
      <c r="JXM59" s="0"/>
      <c r="JXN59" s="0"/>
      <c r="JXO59" s="0"/>
      <c r="JXP59" s="0"/>
      <c r="JXQ59" s="0"/>
      <c r="JXR59" s="0"/>
      <c r="JXS59" s="0"/>
      <c r="JXT59" s="0"/>
      <c r="JXU59" s="0"/>
      <c r="JXV59" s="0"/>
      <c r="JXW59" s="0"/>
      <c r="JXX59" s="0"/>
      <c r="JXY59" s="0"/>
      <c r="JXZ59" s="0"/>
      <c r="JYA59" s="0"/>
      <c r="JYB59" s="0"/>
      <c r="JYC59" s="0"/>
      <c r="JYD59" s="0"/>
      <c r="JYE59" s="0"/>
      <c r="JYF59" s="0"/>
      <c r="JYG59" s="0"/>
      <c r="JYH59" s="0"/>
      <c r="JYI59" s="0"/>
      <c r="JYJ59" s="0"/>
      <c r="JYK59" s="0"/>
      <c r="JYL59" s="0"/>
      <c r="JYM59" s="0"/>
      <c r="JYN59" s="0"/>
      <c r="JYO59" s="0"/>
      <c r="JYP59" s="0"/>
      <c r="JYQ59" s="0"/>
      <c r="JYR59" s="0"/>
      <c r="JYS59" s="0"/>
      <c r="JYT59" s="0"/>
      <c r="JYU59" s="0"/>
      <c r="JYV59" s="0"/>
      <c r="JYW59" s="0"/>
      <c r="JYX59" s="0"/>
      <c r="JYY59" s="0"/>
      <c r="JYZ59" s="0"/>
      <c r="JZA59" s="0"/>
      <c r="JZB59" s="0"/>
      <c r="JZC59" s="0"/>
      <c r="JZD59" s="0"/>
      <c r="JZE59" s="0"/>
      <c r="JZF59" s="0"/>
      <c r="JZG59" s="0"/>
      <c r="JZH59" s="0"/>
      <c r="JZI59" s="0"/>
      <c r="JZJ59" s="0"/>
      <c r="JZK59" s="0"/>
      <c r="JZL59" s="0"/>
      <c r="JZM59" s="0"/>
      <c r="JZN59" s="0"/>
      <c r="JZO59" s="0"/>
      <c r="JZP59" s="0"/>
      <c r="JZQ59" s="0"/>
      <c r="JZR59" s="0"/>
      <c r="JZS59" s="0"/>
      <c r="JZT59" s="0"/>
      <c r="JZU59" s="0"/>
      <c r="JZV59" s="0"/>
      <c r="JZW59" s="0"/>
      <c r="JZX59" s="0"/>
      <c r="JZY59" s="0"/>
      <c r="JZZ59" s="0"/>
      <c r="KAA59" s="0"/>
      <c r="KAB59" s="0"/>
      <c r="KAC59" s="0"/>
      <c r="KAD59" s="0"/>
      <c r="KAE59" s="0"/>
      <c r="KAF59" s="0"/>
      <c r="KAG59" s="0"/>
      <c r="KAH59" s="0"/>
      <c r="KAI59" s="0"/>
      <c r="KAJ59" s="0"/>
      <c r="KAK59" s="0"/>
      <c r="KAL59" s="0"/>
      <c r="KAM59" s="0"/>
      <c r="KAN59" s="0"/>
      <c r="KAO59" s="0"/>
      <c r="KAP59" s="0"/>
      <c r="KAQ59" s="0"/>
      <c r="KAR59" s="0"/>
      <c r="KAS59" s="0"/>
      <c r="KAT59" s="0"/>
      <c r="KAU59" s="0"/>
      <c r="KAV59" s="0"/>
      <c r="KAW59" s="0"/>
      <c r="KAX59" s="0"/>
      <c r="KAY59" s="0"/>
      <c r="KAZ59" s="0"/>
      <c r="KBA59" s="0"/>
      <c r="KBB59" s="0"/>
      <c r="KBC59" s="0"/>
      <c r="KBD59" s="0"/>
      <c r="KBE59" s="0"/>
      <c r="KBF59" s="0"/>
      <c r="KBG59" s="0"/>
      <c r="KBH59" s="0"/>
      <c r="KBI59" s="0"/>
      <c r="KBJ59" s="0"/>
      <c r="KBK59" s="0"/>
      <c r="KBL59" s="0"/>
      <c r="KBM59" s="0"/>
      <c r="KBN59" s="0"/>
      <c r="KBO59" s="0"/>
      <c r="KBP59" s="0"/>
      <c r="KBQ59" s="0"/>
      <c r="KBR59" s="0"/>
      <c r="KBS59" s="0"/>
      <c r="KBT59" s="0"/>
      <c r="KBU59" s="0"/>
      <c r="KBV59" s="0"/>
      <c r="KBW59" s="0"/>
      <c r="KBX59" s="0"/>
      <c r="KBY59" s="0"/>
      <c r="KBZ59" s="0"/>
      <c r="KCA59" s="0"/>
      <c r="KCB59" s="0"/>
      <c r="KCC59" s="0"/>
      <c r="KCD59" s="0"/>
      <c r="KCE59" s="0"/>
      <c r="KCF59" s="0"/>
      <c r="KCG59" s="0"/>
      <c r="KCH59" s="0"/>
      <c r="KCI59" s="0"/>
      <c r="KCJ59" s="0"/>
      <c r="KCK59" s="0"/>
      <c r="KCL59" s="0"/>
      <c r="KCM59" s="0"/>
      <c r="KCN59" s="0"/>
      <c r="KCO59" s="0"/>
      <c r="KCP59" s="0"/>
      <c r="KCQ59" s="0"/>
      <c r="KCR59" s="0"/>
      <c r="KCS59" s="0"/>
      <c r="KCT59" s="0"/>
      <c r="KCU59" s="0"/>
      <c r="KCV59" s="0"/>
      <c r="KCW59" s="0"/>
      <c r="KCX59" s="0"/>
      <c r="KCY59" s="0"/>
      <c r="KCZ59" s="0"/>
      <c r="KDA59" s="0"/>
      <c r="KDB59" s="0"/>
      <c r="KDC59" s="0"/>
      <c r="KDD59" s="0"/>
      <c r="KDE59" s="0"/>
      <c r="KDF59" s="0"/>
      <c r="KDG59" s="0"/>
      <c r="KDH59" s="0"/>
      <c r="KDI59" s="0"/>
      <c r="KDJ59" s="0"/>
      <c r="KDK59" s="0"/>
      <c r="KDL59" s="0"/>
      <c r="KDM59" s="0"/>
      <c r="KDN59" s="0"/>
      <c r="KDO59" s="0"/>
      <c r="KDP59" s="0"/>
      <c r="KDQ59" s="0"/>
      <c r="KDR59" s="0"/>
      <c r="KDS59" s="0"/>
      <c r="KDT59" s="0"/>
      <c r="KDU59" s="0"/>
      <c r="KDV59" s="0"/>
      <c r="KDW59" s="0"/>
      <c r="KDX59" s="0"/>
      <c r="KDY59" s="0"/>
      <c r="KDZ59" s="0"/>
      <c r="KEA59" s="0"/>
      <c r="KEB59" s="0"/>
      <c r="KEC59" s="0"/>
      <c r="KED59" s="0"/>
      <c r="KEE59" s="0"/>
      <c r="KEF59" s="0"/>
      <c r="KEG59" s="0"/>
      <c r="KEH59" s="0"/>
      <c r="KEI59" s="0"/>
      <c r="KEJ59" s="0"/>
      <c r="KEK59" s="0"/>
      <c r="KEL59" s="0"/>
      <c r="KEM59" s="0"/>
      <c r="KEN59" s="0"/>
      <c r="KEO59" s="0"/>
      <c r="KEP59" s="0"/>
      <c r="KEQ59" s="0"/>
      <c r="KER59" s="0"/>
      <c r="KES59" s="0"/>
      <c r="KET59" s="0"/>
      <c r="KEU59" s="0"/>
      <c r="KEV59" s="0"/>
      <c r="KEW59" s="0"/>
      <c r="KEX59" s="0"/>
      <c r="KEY59" s="0"/>
      <c r="KEZ59" s="0"/>
      <c r="KFA59" s="0"/>
      <c r="KFB59" s="0"/>
      <c r="KFC59" s="0"/>
      <c r="KFD59" s="0"/>
      <c r="KFE59" s="0"/>
      <c r="KFF59" s="0"/>
      <c r="KFG59" s="0"/>
      <c r="KFH59" s="0"/>
      <c r="KFI59" s="0"/>
      <c r="KFJ59" s="0"/>
      <c r="KFK59" s="0"/>
      <c r="KFL59" s="0"/>
      <c r="KFM59" s="0"/>
      <c r="KFN59" s="0"/>
      <c r="KFO59" s="0"/>
      <c r="KFP59" s="0"/>
      <c r="KFQ59" s="0"/>
      <c r="KFR59" s="0"/>
      <c r="KFS59" s="0"/>
      <c r="KFT59" s="0"/>
      <c r="KFU59" s="0"/>
      <c r="KFV59" s="0"/>
      <c r="KFW59" s="0"/>
      <c r="KFX59" s="0"/>
      <c r="KFY59" s="0"/>
      <c r="KFZ59" s="0"/>
      <c r="KGA59" s="0"/>
      <c r="KGB59" s="0"/>
      <c r="KGC59" s="0"/>
      <c r="KGD59" s="0"/>
      <c r="KGE59" s="0"/>
      <c r="KGF59" s="0"/>
      <c r="KGG59" s="0"/>
      <c r="KGH59" s="0"/>
      <c r="KGI59" s="0"/>
      <c r="KGJ59" s="0"/>
      <c r="KGK59" s="0"/>
      <c r="KGL59" s="0"/>
      <c r="KGM59" s="0"/>
      <c r="KGN59" s="0"/>
      <c r="KGO59" s="0"/>
      <c r="KGP59" s="0"/>
      <c r="KGQ59" s="0"/>
      <c r="KGR59" s="0"/>
      <c r="KGS59" s="0"/>
      <c r="KGT59" s="0"/>
      <c r="KGU59" s="0"/>
      <c r="KGV59" s="0"/>
      <c r="KGW59" s="0"/>
      <c r="KGX59" s="0"/>
      <c r="KGY59" s="0"/>
      <c r="KGZ59" s="0"/>
      <c r="KHA59" s="0"/>
      <c r="KHB59" s="0"/>
      <c r="KHC59" s="0"/>
      <c r="KHD59" s="0"/>
      <c r="KHE59" s="0"/>
      <c r="KHF59" s="0"/>
      <c r="KHG59" s="0"/>
      <c r="KHH59" s="0"/>
      <c r="KHI59" s="0"/>
      <c r="KHJ59" s="0"/>
      <c r="KHK59" s="0"/>
      <c r="KHL59" s="0"/>
      <c r="KHM59" s="0"/>
      <c r="KHN59" s="0"/>
      <c r="KHO59" s="0"/>
      <c r="KHP59" s="0"/>
      <c r="KHQ59" s="0"/>
      <c r="KHR59" s="0"/>
      <c r="KHS59" s="0"/>
      <c r="KHT59" s="0"/>
      <c r="KHU59" s="0"/>
      <c r="KHV59" s="0"/>
      <c r="KHW59" s="0"/>
      <c r="KHX59" s="0"/>
      <c r="KHY59" s="0"/>
      <c r="KHZ59" s="0"/>
      <c r="KIA59" s="0"/>
      <c r="KIB59" s="0"/>
      <c r="KIC59" s="0"/>
      <c r="KID59" s="0"/>
      <c r="KIE59" s="0"/>
      <c r="KIF59" s="0"/>
      <c r="KIG59" s="0"/>
      <c r="KIH59" s="0"/>
      <c r="KII59" s="0"/>
      <c r="KIJ59" s="0"/>
      <c r="KIK59" s="0"/>
      <c r="KIL59" s="0"/>
      <c r="KIM59" s="0"/>
      <c r="KIN59" s="0"/>
      <c r="KIO59" s="0"/>
      <c r="KIP59" s="0"/>
      <c r="KIQ59" s="0"/>
      <c r="KIR59" s="0"/>
      <c r="KIS59" s="0"/>
      <c r="KIT59" s="0"/>
      <c r="KIU59" s="0"/>
      <c r="KIV59" s="0"/>
      <c r="KIW59" s="0"/>
      <c r="KIX59" s="0"/>
      <c r="KIY59" s="0"/>
      <c r="KIZ59" s="0"/>
      <c r="KJA59" s="0"/>
      <c r="KJB59" s="0"/>
      <c r="KJC59" s="0"/>
      <c r="KJD59" s="0"/>
      <c r="KJE59" s="0"/>
      <c r="KJF59" s="0"/>
      <c r="KJG59" s="0"/>
      <c r="KJH59" s="0"/>
      <c r="KJI59" s="0"/>
      <c r="KJJ59" s="0"/>
      <c r="KJK59" s="0"/>
      <c r="KJL59" s="0"/>
      <c r="KJM59" s="0"/>
      <c r="KJN59" s="0"/>
      <c r="KJO59" s="0"/>
      <c r="KJP59" s="0"/>
      <c r="KJQ59" s="0"/>
      <c r="KJR59" s="0"/>
      <c r="KJS59" s="0"/>
      <c r="KJT59" s="0"/>
      <c r="KJU59" s="0"/>
      <c r="KJV59" s="0"/>
      <c r="KJW59" s="0"/>
      <c r="KJX59" s="0"/>
      <c r="KJY59" s="0"/>
      <c r="KJZ59" s="0"/>
      <c r="KKA59" s="0"/>
      <c r="KKB59" s="0"/>
      <c r="KKC59" s="0"/>
      <c r="KKD59" s="0"/>
      <c r="KKE59" s="0"/>
      <c r="KKF59" s="0"/>
      <c r="KKG59" s="0"/>
      <c r="KKH59" s="0"/>
      <c r="KKI59" s="0"/>
      <c r="KKJ59" s="0"/>
      <c r="KKK59" s="0"/>
      <c r="KKL59" s="0"/>
      <c r="KKM59" s="0"/>
      <c r="KKN59" s="0"/>
      <c r="KKO59" s="0"/>
      <c r="KKP59" s="0"/>
      <c r="KKQ59" s="0"/>
      <c r="KKR59" s="0"/>
      <c r="KKS59" s="0"/>
      <c r="KKT59" s="0"/>
      <c r="KKU59" s="0"/>
      <c r="KKV59" s="0"/>
      <c r="KKW59" s="0"/>
      <c r="KKX59" s="0"/>
      <c r="KKY59" s="0"/>
      <c r="KKZ59" s="0"/>
      <c r="KLA59" s="0"/>
      <c r="KLB59" s="0"/>
      <c r="KLC59" s="0"/>
      <c r="KLD59" s="0"/>
      <c r="KLE59" s="0"/>
      <c r="KLF59" s="0"/>
      <c r="KLG59" s="0"/>
      <c r="KLH59" s="0"/>
      <c r="KLI59" s="0"/>
      <c r="KLJ59" s="0"/>
      <c r="KLK59" s="0"/>
      <c r="KLL59" s="0"/>
      <c r="KLM59" s="0"/>
      <c r="KLN59" s="0"/>
      <c r="KLO59" s="0"/>
      <c r="KLP59" s="0"/>
      <c r="KLQ59" s="0"/>
      <c r="KLR59" s="0"/>
      <c r="KLS59" s="0"/>
      <c r="KLT59" s="0"/>
      <c r="KLU59" s="0"/>
      <c r="KLV59" s="0"/>
      <c r="KLW59" s="0"/>
      <c r="KLX59" s="0"/>
      <c r="KLY59" s="0"/>
      <c r="KLZ59" s="0"/>
      <c r="KMA59" s="0"/>
      <c r="KMB59" s="0"/>
      <c r="KMC59" s="0"/>
      <c r="KMD59" s="0"/>
      <c r="KME59" s="0"/>
      <c r="KMF59" s="0"/>
      <c r="KMG59" s="0"/>
      <c r="KMH59" s="0"/>
      <c r="KMI59" s="0"/>
      <c r="KMJ59" s="0"/>
      <c r="KMK59" s="0"/>
      <c r="KML59" s="0"/>
      <c r="KMM59" s="0"/>
      <c r="KMN59" s="0"/>
      <c r="KMO59" s="0"/>
      <c r="KMP59" s="0"/>
      <c r="KMQ59" s="0"/>
      <c r="KMR59" s="0"/>
      <c r="KMS59" s="0"/>
      <c r="KMT59" s="0"/>
      <c r="KMU59" s="0"/>
      <c r="KMV59" s="0"/>
      <c r="KMW59" s="0"/>
      <c r="KMX59" s="0"/>
      <c r="KMY59" s="0"/>
      <c r="KMZ59" s="0"/>
      <c r="KNA59" s="0"/>
      <c r="KNB59" s="0"/>
      <c r="KNC59" s="0"/>
      <c r="KND59" s="0"/>
      <c r="KNE59" s="0"/>
      <c r="KNF59" s="0"/>
      <c r="KNG59" s="0"/>
      <c r="KNH59" s="0"/>
      <c r="KNI59" s="0"/>
      <c r="KNJ59" s="0"/>
      <c r="KNK59" s="0"/>
      <c r="KNL59" s="0"/>
      <c r="KNM59" s="0"/>
      <c r="KNN59" s="0"/>
      <c r="KNO59" s="0"/>
      <c r="KNP59" s="0"/>
      <c r="KNQ59" s="0"/>
      <c r="KNR59" s="0"/>
      <c r="KNS59" s="0"/>
      <c r="KNT59" s="0"/>
      <c r="KNU59" s="0"/>
      <c r="KNV59" s="0"/>
      <c r="KNW59" s="0"/>
      <c r="KNX59" s="0"/>
      <c r="KNY59" s="0"/>
      <c r="KNZ59" s="0"/>
      <c r="KOA59" s="0"/>
      <c r="KOB59" s="0"/>
      <c r="KOC59" s="0"/>
      <c r="KOD59" s="0"/>
      <c r="KOE59" s="0"/>
      <c r="KOF59" s="0"/>
      <c r="KOG59" s="0"/>
      <c r="KOH59" s="0"/>
      <c r="KOI59" s="0"/>
      <c r="KOJ59" s="0"/>
      <c r="KOK59" s="0"/>
      <c r="KOL59" s="0"/>
      <c r="KOM59" s="0"/>
      <c r="KON59" s="0"/>
      <c r="KOO59" s="0"/>
      <c r="KOP59" s="0"/>
      <c r="KOQ59" s="0"/>
      <c r="KOR59" s="0"/>
      <c r="KOS59" s="0"/>
      <c r="KOT59" s="0"/>
      <c r="KOU59" s="0"/>
      <c r="KOV59" s="0"/>
      <c r="KOW59" s="0"/>
      <c r="KOX59" s="0"/>
      <c r="KOY59" s="0"/>
      <c r="KOZ59" s="0"/>
      <c r="KPA59" s="0"/>
      <c r="KPB59" s="0"/>
      <c r="KPC59" s="0"/>
      <c r="KPD59" s="0"/>
      <c r="KPE59" s="0"/>
      <c r="KPF59" s="0"/>
      <c r="KPG59" s="0"/>
      <c r="KPH59" s="0"/>
      <c r="KPI59" s="0"/>
      <c r="KPJ59" s="0"/>
      <c r="KPK59" s="0"/>
      <c r="KPL59" s="0"/>
      <c r="KPM59" s="0"/>
      <c r="KPN59" s="0"/>
      <c r="KPO59" s="0"/>
      <c r="KPP59" s="0"/>
      <c r="KPQ59" s="0"/>
      <c r="KPR59" s="0"/>
      <c r="KPS59" s="0"/>
      <c r="KPT59" s="0"/>
      <c r="KPU59" s="0"/>
      <c r="KPV59" s="0"/>
      <c r="KPW59" s="0"/>
      <c r="KPX59" s="0"/>
      <c r="KPY59" s="0"/>
      <c r="KPZ59" s="0"/>
      <c r="KQA59" s="0"/>
      <c r="KQB59" s="0"/>
      <c r="KQC59" s="0"/>
      <c r="KQD59" s="0"/>
      <c r="KQE59" s="0"/>
      <c r="KQF59" s="0"/>
      <c r="KQG59" s="0"/>
      <c r="KQH59" s="0"/>
      <c r="KQI59" s="0"/>
      <c r="KQJ59" s="0"/>
      <c r="KQK59" s="0"/>
      <c r="KQL59" s="0"/>
      <c r="KQM59" s="0"/>
      <c r="KQN59" s="0"/>
      <c r="KQO59" s="0"/>
      <c r="KQP59" s="0"/>
      <c r="KQQ59" s="0"/>
      <c r="KQR59" s="0"/>
      <c r="KQS59" s="0"/>
      <c r="KQT59" s="0"/>
      <c r="KQU59" s="0"/>
      <c r="KQV59" s="0"/>
      <c r="KQW59" s="0"/>
      <c r="KQX59" s="0"/>
      <c r="KQY59" s="0"/>
      <c r="KQZ59" s="0"/>
      <c r="KRA59" s="0"/>
      <c r="KRB59" s="0"/>
      <c r="KRC59" s="0"/>
      <c r="KRD59" s="0"/>
      <c r="KRE59" s="0"/>
      <c r="KRF59" s="0"/>
      <c r="KRG59" s="0"/>
      <c r="KRH59" s="0"/>
      <c r="KRI59" s="0"/>
      <c r="KRJ59" s="0"/>
      <c r="KRK59" s="0"/>
      <c r="KRL59" s="0"/>
      <c r="KRM59" s="0"/>
      <c r="KRN59" s="0"/>
      <c r="KRO59" s="0"/>
      <c r="KRP59" s="0"/>
      <c r="KRQ59" s="0"/>
      <c r="KRR59" s="0"/>
      <c r="KRS59" s="0"/>
      <c r="KRT59" s="0"/>
      <c r="KRU59" s="0"/>
      <c r="KRV59" s="0"/>
      <c r="KRW59" s="0"/>
      <c r="KRX59" s="0"/>
      <c r="KRY59" s="0"/>
      <c r="KRZ59" s="0"/>
      <c r="KSA59" s="0"/>
      <c r="KSB59" s="0"/>
      <c r="KSC59" s="0"/>
      <c r="KSD59" s="0"/>
      <c r="KSE59" s="0"/>
      <c r="KSF59" s="0"/>
      <c r="KSG59" s="0"/>
      <c r="KSH59" s="0"/>
      <c r="KSI59" s="0"/>
      <c r="KSJ59" s="0"/>
      <c r="KSK59" s="0"/>
      <c r="KSL59" s="0"/>
      <c r="KSM59" s="0"/>
      <c r="KSN59" s="0"/>
      <c r="KSO59" s="0"/>
      <c r="KSP59" s="0"/>
      <c r="KSQ59" s="0"/>
      <c r="KSR59" s="0"/>
      <c r="KSS59" s="0"/>
      <c r="KST59" s="0"/>
      <c r="KSU59" s="0"/>
      <c r="KSV59" s="0"/>
      <c r="KSW59" s="0"/>
      <c r="KSX59" s="0"/>
      <c r="KSY59" s="0"/>
      <c r="KSZ59" s="0"/>
      <c r="KTA59" s="0"/>
      <c r="KTB59" s="0"/>
      <c r="KTC59" s="0"/>
      <c r="KTD59" s="0"/>
      <c r="KTE59" s="0"/>
      <c r="KTF59" s="0"/>
      <c r="KTG59" s="0"/>
      <c r="KTH59" s="0"/>
      <c r="KTI59" s="0"/>
      <c r="KTJ59" s="0"/>
      <c r="KTK59" s="0"/>
      <c r="KTL59" s="0"/>
      <c r="KTM59" s="0"/>
      <c r="KTN59" s="0"/>
      <c r="KTO59" s="0"/>
      <c r="KTP59" s="0"/>
      <c r="KTQ59" s="0"/>
      <c r="KTR59" s="0"/>
      <c r="KTS59" s="0"/>
      <c r="KTT59" s="0"/>
      <c r="KTU59" s="0"/>
      <c r="KTV59" s="0"/>
      <c r="KTW59" s="0"/>
      <c r="KTX59" s="0"/>
      <c r="KTY59" s="0"/>
      <c r="KTZ59" s="0"/>
      <c r="KUA59" s="0"/>
      <c r="KUB59" s="0"/>
      <c r="KUC59" s="0"/>
      <c r="KUD59" s="0"/>
      <c r="KUE59" s="0"/>
      <c r="KUF59" s="0"/>
      <c r="KUG59" s="0"/>
      <c r="KUH59" s="0"/>
      <c r="KUI59" s="0"/>
      <c r="KUJ59" s="0"/>
      <c r="KUK59" s="0"/>
      <c r="KUL59" s="0"/>
      <c r="KUM59" s="0"/>
      <c r="KUN59" s="0"/>
      <c r="KUO59" s="0"/>
      <c r="KUP59" s="0"/>
      <c r="KUQ59" s="0"/>
      <c r="KUR59" s="0"/>
      <c r="KUS59" s="0"/>
      <c r="KUT59" s="0"/>
      <c r="KUU59" s="0"/>
      <c r="KUV59" s="0"/>
      <c r="KUW59" s="0"/>
      <c r="KUX59" s="0"/>
      <c r="KUY59" s="0"/>
      <c r="KUZ59" s="0"/>
      <c r="KVA59" s="0"/>
      <c r="KVB59" s="0"/>
      <c r="KVC59" s="0"/>
      <c r="KVD59" s="0"/>
      <c r="KVE59" s="0"/>
      <c r="KVF59" s="0"/>
      <c r="KVG59" s="0"/>
      <c r="KVH59" s="0"/>
      <c r="KVI59" s="0"/>
      <c r="KVJ59" s="0"/>
      <c r="KVK59" s="0"/>
      <c r="KVL59" s="0"/>
      <c r="KVM59" s="0"/>
      <c r="KVN59" s="0"/>
      <c r="KVO59" s="0"/>
      <c r="KVP59" s="0"/>
      <c r="KVQ59" s="0"/>
      <c r="KVR59" s="0"/>
      <c r="KVS59" s="0"/>
      <c r="KVT59" s="0"/>
      <c r="KVU59" s="0"/>
      <c r="KVV59" s="0"/>
      <c r="KVW59" s="0"/>
      <c r="KVX59" s="0"/>
      <c r="KVY59" s="0"/>
      <c r="KVZ59" s="0"/>
      <c r="KWA59" s="0"/>
      <c r="KWB59" s="0"/>
      <c r="KWC59" s="0"/>
      <c r="KWD59" s="0"/>
      <c r="KWE59" s="0"/>
      <c r="KWF59" s="0"/>
      <c r="KWG59" s="0"/>
      <c r="KWH59" s="0"/>
      <c r="KWI59" s="0"/>
      <c r="KWJ59" s="0"/>
      <c r="KWK59" s="0"/>
      <c r="KWL59" s="0"/>
      <c r="KWM59" s="0"/>
      <c r="KWN59" s="0"/>
      <c r="KWO59" s="0"/>
      <c r="KWP59" s="0"/>
      <c r="KWQ59" s="0"/>
      <c r="KWR59" s="0"/>
      <c r="KWS59" s="0"/>
      <c r="KWT59" s="0"/>
      <c r="KWU59" s="0"/>
      <c r="KWV59" s="0"/>
      <c r="KWW59" s="0"/>
      <c r="KWX59" s="0"/>
      <c r="KWY59" s="0"/>
      <c r="KWZ59" s="0"/>
      <c r="KXA59" s="0"/>
      <c r="KXB59" s="0"/>
      <c r="KXC59" s="0"/>
      <c r="KXD59" s="0"/>
      <c r="KXE59" s="0"/>
      <c r="KXF59" s="0"/>
      <c r="KXG59" s="0"/>
      <c r="KXH59" s="0"/>
      <c r="KXI59" s="0"/>
      <c r="KXJ59" s="0"/>
      <c r="KXK59" s="0"/>
      <c r="KXL59" s="0"/>
      <c r="KXM59" s="0"/>
      <c r="KXN59" s="0"/>
      <c r="KXO59" s="0"/>
      <c r="KXP59" s="0"/>
      <c r="KXQ59" s="0"/>
      <c r="KXR59" s="0"/>
      <c r="KXS59" s="0"/>
      <c r="KXT59" s="0"/>
      <c r="KXU59" s="0"/>
      <c r="KXV59" s="0"/>
      <c r="KXW59" s="0"/>
      <c r="KXX59" s="0"/>
      <c r="KXY59" s="0"/>
      <c r="KXZ59" s="0"/>
      <c r="KYA59" s="0"/>
      <c r="KYB59" s="0"/>
      <c r="KYC59" s="0"/>
      <c r="KYD59" s="0"/>
      <c r="KYE59" s="0"/>
      <c r="KYF59" s="0"/>
      <c r="KYG59" s="0"/>
      <c r="KYH59" s="0"/>
      <c r="KYI59" s="0"/>
      <c r="KYJ59" s="0"/>
      <c r="KYK59" s="0"/>
      <c r="KYL59" s="0"/>
      <c r="KYM59" s="0"/>
      <c r="KYN59" s="0"/>
      <c r="KYO59" s="0"/>
      <c r="KYP59" s="0"/>
      <c r="KYQ59" s="0"/>
      <c r="KYR59" s="0"/>
      <c r="KYS59" s="0"/>
      <c r="KYT59" s="0"/>
      <c r="KYU59" s="0"/>
      <c r="KYV59" s="0"/>
      <c r="KYW59" s="0"/>
      <c r="KYX59" s="0"/>
      <c r="KYY59" s="0"/>
      <c r="KYZ59" s="0"/>
      <c r="KZA59" s="0"/>
      <c r="KZB59" s="0"/>
      <c r="KZC59" s="0"/>
      <c r="KZD59" s="0"/>
      <c r="KZE59" s="0"/>
      <c r="KZF59" s="0"/>
      <c r="KZG59" s="0"/>
      <c r="KZH59" s="0"/>
      <c r="KZI59" s="0"/>
      <c r="KZJ59" s="0"/>
      <c r="KZK59" s="0"/>
      <c r="KZL59" s="0"/>
      <c r="KZM59" s="0"/>
      <c r="KZN59" s="0"/>
      <c r="KZO59" s="0"/>
      <c r="KZP59" s="0"/>
      <c r="KZQ59" s="0"/>
      <c r="KZR59" s="0"/>
      <c r="KZS59" s="0"/>
      <c r="KZT59" s="0"/>
      <c r="KZU59" s="0"/>
      <c r="KZV59" s="0"/>
      <c r="KZW59" s="0"/>
      <c r="KZX59" s="0"/>
      <c r="KZY59" s="0"/>
      <c r="KZZ59" s="0"/>
      <c r="LAA59" s="0"/>
      <c r="LAB59" s="0"/>
      <c r="LAC59" s="0"/>
      <c r="LAD59" s="0"/>
      <c r="LAE59" s="0"/>
      <c r="LAF59" s="0"/>
      <c r="LAG59" s="0"/>
      <c r="LAH59" s="0"/>
      <c r="LAI59" s="0"/>
      <c r="LAJ59" s="0"/>
      <c r="LAK59" s="0"/>
      <c r="LAL59" s="0"/>
      <c r="LAM59" s="0"/>
      <c r="LAN59" s="0"/>
      <c r="LAO59" s="0"/>
      <c r="LAP59" s="0"/>
      <c r="LAQ59" s="0"/>
      <c r="LAR59" s="0"/>
      <c r="LAS59" s="0"/>
      <c r="LAT59" s="0"/>
      <c r="LAU59" s="0"/>
      <c r="LAV59" s="0"/>
      <c r="LAW59" s="0"/>
      <c r="LAX59" s="0"/>
      <c r="LAY59" s="0"/>
      <c r="LAZ59" s="0"/>
      <c r="LBA59" s="0"/>
      <c r="LBB59" s="0"/>
      <c r="LBC59" s="0"/>
      <c r="LBD59" s="0"/>
      <c r="LBE59" s="0"/>
      <c r="LBF59" s="0"/>
      <c r="LBG59" s="0"/>
      <c r="LBH59" s="0"/>
      <c r="LBI59" s="0"/>
      <c r="LBJ59" s="0"/>
      <c r="LBK59" s="0"/>
      <c r="LBL59" s="0"/>
      <c r="LBM59" s="0"/>
      <c r="LBN59" s="0"/>
      <c r="LBO59" s="0"/>
      <c r="LBP59" s="0"/>
      <c r="LBQ59" s="0"/>
      <c r="LBR59" s="0"/>
      <c r="LBS59" s="0"/>
      <c r="LBT59" s="0"/>
      <c r="LBU59" s="0"/>
      <c r="LBV59" s="0"/>
      <c r="LBW59" s="0"/>
      <c r="LBX59" s="0"/>
      <c r="LBY59" s="0"/>
      <c r="LBZ59" s="0"/>
      <c r="LCA59" s="0"/>
      <c r="LCB59" s="0"/>
      <c r="LCC59" s="0"/>
      <c r="LCD59" s="0"/>
      <c r="LCE59" s="0"/>
      <c r="LCF59" s="0"/>
      <c r="LCG59" s="0"/>
      <c r="LCH59" s="0"/>
      <c r="LCI59" s="0"/>
      <c r="LCJ59" s="0"/>
      <c r="LCK59" s="0"/>
      <c r="LCL59" s="0"/>
      <c r="LCM59" s="0"/>
      <c r="LCN59" s="0"/>
      <c r="LCO59" s="0"/>
      <c r="LCP59" s="0"/>
      <c r="LCQ59" s="0"/>
      <c r="LCR59" s="0"/>
      <c r="LCS59" s="0"/>
      <c r="LCT59" s="0"/>
      <c r="LCU59" s="0"/>
      <c r="LCV59" s="0"/>
      <c r="LCW59" s="0"/>
      <c r="LCX59" s="0"/>
      <c r="LCY59" s="0"/>
      <c r="LCZ59" s="0"/>
      <c r="LDA59" s="0"/>
      <c r="LDB59" s="0"/>
      <c r="LDC59" s="0"/>
      <c r="LDD59" s="0"/>
      <c r="LDE59" s="0"/>
      <c r="LDF59" s="0"/>
      <c r="LDG59" s="0"/>
      <c r="LDH59" s="0"/>
      <c r="LDI59" s="0"/>
      <c r="LDJ59" s="0"/>
      <c r="LDK59" s="0"/>
      <c r="LDL59" s="0"/>
      <c r="LDM59" s="0"/>
      <c r="LDN59" s="0"/>
      <c r="LDO59" s="0"/>
      <c r="LDP59" s="0"/>
      <c r="LDQ59" s="0"/>
      <c r="LDR59" s="0"/>
      <c r="LDS59" s="0"/>
      <c r="LDT59" s="0"/>
      <c r="LDU59" s="0"/>
      <c r="LDV59" s="0"/>
      <c r="LDW59" s="0"/>
      <c r="LDX59" s="0"/>
      <c r="LDY59" s="0"/>
      <c r="LDZ59" s="0"/>
      <c r="LEA59" s="0"/>
      <c r="LEB59" s="0"/>
      <c r="LEC59" s="0"/>
      <c r="LED59" s="0"/>
      <c r="LEE59" s="0"/>
      <c r="LEF59" s="0"/>
      <c r="LEG59" s="0"/>
      <c r="LEH59" s="0"/>
      <c r="LEI59" s="0"/>
      <c r="LEJ59" s="0"/>
      <c r="LEK59" s="0"/>
      <c r="LEL59" s="0"/>
      <c r="LEM59" s="0"/>
      <c r="LEN59" s="0"/>
      <c r="LEO59" s="0"/>
      <c r="LEP59" s="0"/>
      <c r="LEQ59" s="0"/>
      <c r="LER59" s="0"/>
      <c r="LES59" s="0"/>
      <c r="LET59" s="0"/>
      <c r="LEU59" s="0"/>
      <c r="LEV59" s="0"/>
      <c r="LEW59" s="0"/>
      <c r="LEX59" s="0"/>
      <c r="LEY59" s="0"/>
      <c r="LEZ59" s="0"/>
      <c r="LFA59" s="0"/>
      <c r="LFB59" s="0"/>
      <c r="LFC59" s="0"/>
      <c r="LFD59" s="0"/>
      <c r="LFE59" s="0"/>
      <c r="LFF59" s="0"/>
      <c r="LFG59" s="0"/>
      <c r="LFH59" s="0"/>
      <c r="LFI59" s="0"/>
      <c r="LFJ59" s="0"/>
      <c r="LFK59" s="0"/>
      <c r="LFL59" s="0"/>
      <c r="LFM59" s="0"/>
      <c r="LFN59" s="0"/>
      <c r="LFO59" s="0"/>
      <c r="LFP59" s="0"/>
      <c r="LFQ59" s="0"/>
      <c r="LFR59" s="0"/>
      <c r="LFS59" s="0"/>
      <c r="LFT59" s="0"/>
      <c r="LFU59" s="0"/>
      <c r="LFV59" s="0"/>
      <c r="LFW59" s="0"/>
      <c r="LFX59" s="0"/>
      <c r="LFY59" s="0"/>
      <c r="LFZ59" s="0"/>
      <c r="LGA59" s="0"/>
      <c r="LGB59" s="0"/>
      <c r="LGC59" s="0"/>
      <c r="LGD59" s="0"/>
      <c r="LGE59" s="0"/>
      <c r="LGF59" s="0"/>
      <c r="LGG59" s="0"/>
      <c r="LGH59" s="0"/>
      <c r="LGI59" s="0"/>
      <c r="LGJ59" s="0"/>
      <c r="LGK59" s="0"/>
      <c r="LGL59" s="0"/>
      <c r="LGM59" s="0"/>
      <c r="LGN59" s="0"/>
      <c r="LGO59" s="0"/>
      <c r="LGP59" s="0"/>
      <c r="LGQ59" s="0"/>
      <c r="LGR59" s="0"/>
      <c r="LGS59" s="0"/>
      <c r="LGT59" s="0"/>
      <c r="LGU59" s="0"/>
      <c r="LGV59" s="0"/>
      <c r="LGW59" s="0"/>
      <c r="LGX59" s="0"/>
      <c r="LGY59" s="0"/>
      <c r="LGZ59" s="0"/>
      <c r="LHA59" s="0"/>
      <c r="LHB59" s="0"/>
      <c r="LHC59" s="0"/>
      <c r="LHD59" s="0"/>
      <c r="LHE59" s="0"/>
      <c r="LHF59" s="0"/>
      <c r="LHG59" s="0"/>
      <c r="LHH59" s="0"/>
      <c r="LHI59" s="0"/>
      <c r="LHJ59" s="0"/>
      <c r="LHK59" s="0"/>
      <c r="LHL59" s="0"/>
      <c r="LHM59" s="0"/>
      <c r="LHN59" s="0"/>
      <c r="LHO59" s="0"/>
      <c r="LHP59" s="0"/>
      <c r="LHQ59" s="0"/>
      <c r="LHR59" s="0"/>
      <c r="LHS59" s="0"/>
      <c r="LHT59" s="0"/>
      <c r="LHU59" s="0"/>
      <c r="LHV59" s="0"/>
      <c r="LHW59" s="0"/>
      <c r="LHX59" s="0"/>
      <c r="LHY59" s="0"/>
      <c r="LHZ59" s="0"/>
      <c r="LIA59" s="0"/>
      <c r="LIB59" s="0"/>
      <c r="LIC59" s="0"/>
      <c r="LID59" s="0"/>
      <c r="LIE59" s="0"/>
      <c r="LIF59" s="0"/>
      <c r="LIG59" s="0"/>
      <c r="LIH59" s="0"/>
      <c r="LII59" s="0"/>
      <c r="LIJ59" s="0"/>
      <c r="LIK59" s="0"/>
      <c r="LIL59" s="0"/>
      <c r="LIM59" s="0"/>
      <c r="LIN59" s="0"/>
      <c r="LIO59" s="0"/>
      <c r="LIP59" s="0"/>
      <c r="LIQ59" s="0"/>
      <c r="LIR59" s="0"/>
      <c r="LIS59" s="0"/>
      <c r="LIT59" s="0"/>
      <c r="LIU59" s="0"/>
      <c r="LIV59" s="0"/>
      <c r="LIW59" s="0"/>
      <c r="LIX59" s="0"/>
      <c r="LIY59" s="0"/>
      <c r="LIZ59" s="0"/>
      <c r="LJA59" s="0"/>
      <c r="LJB59" s="0"/>
      <c r="LJC59" s="0"/>
      <c r="LJD59" s="0"/>
      <c r="LJE59" s="0"/>
      <c r="LJF59" s="0"/>
      <c r="LJG59" s="0"/>
      <c r="LJH59" s="0"/>
      <c r="LJI59" s="0"/>
      <c r="LJJ59" s="0"/>
      <c r="LJK59" s="0"/>
      <c r="LJL59" s="0"/>
      <c r="LJM59" s="0"/>
      <c r="LJN59" s="0"/>
      <c r="LJO59" s="0"/>
      <c r="LJP59" s="0"/>
      <c r="LJQ59" s="0"/>
      <c r="LJR59" s="0"/>
      <c r="LJS59" s="0"/>
      <c r="LJT59" s="0"/>
      <c r="LJU59" s="0"/>
      <c r="LJV59" s="0"/>
      <c r="LJW59" s="0"/>
      <c r="LJX59" s="0"/>
      <c r="LJY59" s="0"/>
      <c r="LJZ59" s="0"/>
      <c r="LKA59" s="0"/>
      <c r="LKB59" s="0"/>
      <c r="LKC59" s="0"/>
      <c r="LKD59" s="0"/>
      <c r="LKE59" s="0"/>
      <c r="LKF59" s="0"/>
      <c r="LKG59" s="0"/>
      <c r="LKH59" s="0"/>
      <c r="LKI59" s="0"/>
      <c r="LKJ59" s="0"/>
      <c r="LKK59" s="0"/>
      <c r="LKL59" s="0"/>
      <c r="LKM59" s="0"/>
      <c r="LKN59" s="0"/>
      <c r="LKO59" s="0"/>
      <c r="LKP59" s="0"/>
      <c r="LKQ59" s="0"/>
      <c r="LKR59" s="0"/>
      <c r="LKS59" s="0"/>
      <c r="LKT59" s="0"/>
      <c r="LKU59" s="0"/>
      <c r="LKV59" s="0"/>
      <c r="LKW59" s="0"/>
      <c r="LKX59" s="0"/>
      <c r="LKY59" s="0"/>
      <c r="LKZ59" s="0"/>
      <c r="LLA59" s="0"/>
      <c r="LLB59" s="0"/>
      <c r="LLC59" s="0"/>
      <c r="LLD59" s="0"/>
      <c r="LLE59" s="0"/>
      <c r="LLF59" s="0"/>
      <c r="LLG59" s="0"/>
      <c r="LLH59" s="0"/>
      <c r="LLI59" s="0"/>
      <c r="LLJ59" s="0"/>
      <c r="LLK59" s="0"/>
      <c r="LLL59" s="0"/>
      <c r="LLM59" s="0"/>
      <c r="LLN59" s="0"/>
      <c r="LLO59" s="0"/>
      <c r="LLP59" s="0"/>
      <c r="LLQ59" s="0"/>
      <c r="LLR59" s="0"/>
      <c r="LLS59" s="0"/>
      <c r="LLT59" s="0"/>
      <c r="LLU59" s="0"/>
      <c r="LLV59" s="0"/>
      <c r="LLW59" s="0"/>
      <c r="LLX59" s="0"/>
      <c r="LLY59" s="0"/>
      <c r="LLZ59" s="0"/>
      <c r="LMA59" s="0"/>
      <c r="LMB59" s="0"/>
      <c r="LMC59" s="0"/>
      <c r="LMD59" s="0"/>
      <c r="LME59" s="0"/>
      <c r="LMF59" s="0"/>
      <c r="LMG59" s="0"/>
      <c r="LMH59" s="0"/>
      <c r="LMI59" s="0"/>
      <c r="LMJ59" s="0"/>
      <c r="LMK59" s="0"/>
      <c r="LML59" s="0"/>
      <c r="LMM59" s="0"/>
      <c r="LMN59" s="0"/>
      <c r="LMO59" s="0"/>
      <c r="LMP59" s="0"/>
      <c r="LMQ59" s="0"/>
      <c r="LMR59" s="0"/>
      <c r="LMS59" s="0"/>
      <c r="LMT59" s="0"/>
      <c r="LMU59" s="0"/>
      <c r="LMV59" s="0"/>
      <c r="LMW59" s="0"/>
      <c r="LMX59" s="0"/>
      <c r="LMY59" s="0"/>
      <c r="LMZ59" s="0"/>
      <c r="LNA59" s="0"/>
      <c r="LNB59" s="0"/>
      <c r="LNC59" s="0"/>
      <c r="LND59" s="0"/>
      <c r="LNE59" s="0"/>
      <c r="LNF59" s="0"/>
      <c r="LNG59" s="0"/>
      <c r="LNH59" s="0"/>
      <c r="LNI59" s="0"/>
      <c r="LNJ59" s="0"/>
      <c r="LNK59" s="0"/>
      <c r="LNL59" s="0"/>
      <c r="LNM59" s="0"/>
      <c r="LNN59" s="0"/>
      <c r="LNO59" s="0"/>
      <c r="LNP59" s="0"/>
      <c r="LNQ59" s="0"/>
      <c r="LNR59" s="0"/>
      <c r="LNS59" s="0"/>
      <c r="LNT59" s="0"/>
      <c r="LNU59" s="0"/>
      <c r="LNV59" s="0"/>
      <c r="LNW59" s="0"/>
      <c r="LNX59" s="0"/>
      <c r="LNY59" s="0"/>
      <c r="LNZ59" s="0"/>
      <c r="LOA59" s="0"/>
      <c r="LOB59" s="0"/>
      <c r="LOC59" s="0"/>
      <c r="LOD59" s="0"/>
      <c r="LOE59" s="0"/>
      <c r="LOF59" s="0"/>
      <c r="LOG59" s="0"/>
      <c r="LOH59" s="0"/>
      <c r="LOI59" s="0"/>
      <c r="LOJ59" s="0"/>
      <c r="LOK59" s="0"/>
      <c r="LOL59" s="0"/>
      <c r="LOM59" s="0"/>
      <c r="LON59" s="0"/>
      <c r="LOO59" s="0"/>
      <c r="LOP59" s="0"/>
      <c r="LOQ59" s="0"/>
      <c r="LOR59" s="0"/>
      <c r="LOS59" s="0"/>
      <c r="LOT59" s="0"/>
      <c r="LOU59" s="0"/>
      <c r="LOV59" s="0"/>
      <c r="LOW59" s="0"/>
      <c r="LOX59" s="0"/>
      <c r="LOY59" s="0"/>
      <c r="LOZ59" s="0"/>
      <c r="LPA59" s="0"/>
      <c r="LPB59" s="0"/>
      <c r="LPC59" s="0"/>
      <c r="LPD59" s="0"/>
      <c r="LPE59" s="0"/>
      <c r="LPF59" s="0"/>
      <c r="LPG59" s="0"/>
      <c r="LPH59" s="0"/>
      <c r="LPI59" s="0"/>
      <c r="LPJ59" s="0"/>
      <c r="LPK59" s="0"/>
      <c r="LPL59" s="0"/>
      <c r="LPM59" s="0"/>
      <c r="LPN59" s="0"/>
      <c r="LPO59" s="0"/>
      <c r="LPP59" s="0"/>
      <c r="LPQ59" s="0"/>
      <c r="LPR59" s="0"/>
      <c r="LPS59" s="0"/>
      <c r="LPT59" s="0"/>
      <c r="LPU59" s="0"/>
      <c r="LPV59" s="0"/>
      <c r="LPW59" s="0"/>
      <c r="LPX59" s="0"/>
      <c r="LPY59" s="0"/>
      <c r="LPZ59" s="0"/>
      <c r="LQA59" s="0"/>
      <c r="LQB59" s="0"/>
      <c r="LQC59" s="0"/>
      <c r="LQD59" s="0"/>
      <c r="LQE59" s="0"/>
      <c r="LQF59" s="0"/>
      <c r="LQG59" s="0"/>
      <c r="LQH59" s="0"/>
      <c r="LQI59" s="0"/>
      <c r="LQJ59" s="0"/>
      <c r="LQK59" s="0"/>
      <c r="LQL59" s="0"/>
      <c r="LQM59" s="0"/>
      <c r="LQN59" s="0"/>
      <c r="LQO59" s="0"/>
      <c r="LQP59" s="0"/>
      <c r="LQQ59" s="0"/>
      <c r="LQR59" s="0"/>
      <c r="LQS59" s="0"/>
      <c r="LQT59" s="0"/>
      <c r="LQU59" s="0"/>
      <c r="LQV59" s="0"/>
      <c r="LQW59" s="0"/>
      <c r="LQX59" s="0"/>
      <c r="LQY59" s="0"/>
      <c r="LQZ59" s="0"/>
      <c r="LRA59" s="0"/>
      <c r="LRB59" s="0"/>
      <c r="LRC59" s="0"/>
      <c r="LRD59" s="0"/>
      <c r="LRE59" s="0"/>
      <c r="LRF59" s="0"/>
      <c r="LRG59" s="0"/>
      <c r="LRH59" s="0"/>
      <c r="LRI59" s="0"/>
      <c r="LRJ59" s="0"/>
      <c r="LRK59" s="0"/>
      <c r="LRL59" s="0"/>
      <c r="LRM59" s="0"/>
      <c r="LRN59" s="0"/>
      <c r="LRO59" s="0"/>
      <c r="LRP59" s="0"/>
      <c r="LRQ59" s="0"/>
      <c r="LRR59" s="0"/>
      <c r="LRS59" s="0"/>
      <c r="LRT59" s="0"/>
      <c r="LRU59" s="0"/>
      <c r="LRV59" s="0"/>
      <c r="LRW59" s="0"/>
      <c r="LRX59" s="0"/>
      <c r="LRY59" s="0"/>
      <c r="LRZ59" s="0"/>
      <c r="LSA59" s="0"/>
      <c r="LSB59" s="0"/>
      <c r="LSC59" s="0"/>
      <c r="LSD59" s="0"/>
      <c r="LSE59" s="0"/>
      <c r="LSF59" s="0"/>
      <c r="LSG59" s="0"/>
      <c r="LSH59" s="0"/>
      <c r="LSI59" s="0"/>
      <c r="LSJ59" s="0"/>
      <c r="LSK59" s="0"/>
      <c r="LSL59" s="0"/>
      <c r="LSM59" s="0"/>
      <c r="LSN59" s="0"/>
      <c r="LSO59" s="0"/>
      <c r="LSP59" s="0"/>
      <c r="LSQ59" s="0"/>
      <c r="LSR59" s="0"/>
      <c r="LSS59" s="0"/>
      <c r="LST59" s="0"/>
      <c r="LSU59" s="0"/>
      <c r="LSV59" s="0"/>
      <c r="LSW59" s="0"/>
      <c r="LSX59" s="0"/>
      <c r="LSY59" s="0"/>
      <c r="LSZ59" s="0"/>
      <c r="LTA59" s="0"/>
      <c r="LTB59" s="0"/>
      <c r="LTC59" s="0"/>
      <c r="LTD59" s="0"/>
      <c r="LTE59" s="0"/>
      <c r="LTF59" s="0"/>
      <c r="LTG59" s="0"/>
      <c r="LTH59" s="0"/>
      <c r="LTI59" s="0"/>
      <c r="LTJ59" s="0"/>
      <c r="LTK59" s="0"/>
      <c r="LTL59" s="0"/>
      <c r="LTM59" s="0"/>
      <c r="LTN59" s="0"/>
      <c r="LTO59" s="0"/>
      <c r="LTP59" s="0"/>
      <c r="LTQ59" s="0"/>
      <c r="LTR59" s="0"/>
      <c r="LTS59" s="0"/>
      <c r="LTT59" s="0"/>
      <c r="LTU59" s="0"/>
      <c r="LTV59" s="0"/>
      <c r="LTW59" s="0"/>
      <c r="LTX59" s="0"/>
      <c r="LTY59" s="0"/>
      <c r="LTZ59" s="0"/>
      <c r="LUA59" s="0"/>
      <c r="LUB59" s="0"/>
      <c r="LUC59" s="0"/>
      <c r="LUD59" s="0"/>
      <c r="LUE59" s="0"/>
      <c r="LUF59" s="0"/>
      <c r="LUG59" s="0"/>
      <c r="LUH59" s="0"/>
      <c r="LUI59" s="0"/>
      <c r="LUJ59" s="0"/>
      <c r="LUK59" s="0"/>
      <c r="LUL59" s="0"/>
      <c r="LUM59" s="0"/>
      <c r="LUN59" s="0"/>
      <c r="LUO59" s="0"/>
      <c r="LUP59" s="0"/>
      <c r="LUQ59" s="0"/>
      <c r="LUR59" s="0"/>
      <c r="LUS59" s="0"/>
      <c r="LUT59" s="0"/>
      <c r="LUU59" s="0"/>
      <c r="LUV59" s="0"/>
      <c r="LUW59" s="0"/>
      <c r="LUX59" s="0"/>
      <c r="LUY59" s="0"/>
      <c r="LUZ59" s="0"/>
      <c r="LVA59" s="0"/>
      <c r="LVB59" s="0"/>
      <c r="LVC59" s="0"/>
      <c r="LVD59" s="0"/>
      <c r="LVE59" s="0"/>
      <c r="LVF59" s="0"/>
      <c r="LVG59" s="0"/>
      <c r="LVH59" s="0"/>
      <c r="LVI59" s="0"/>
      <c r="LVJ59" s="0"/>
      <c r="LVK59" s="0"/>
      <c r="LVL59" s="0"/>
      <c r="LVM59" s="0"/>
      <c r="LVN59" s="0"/>
      <c r="LVO59" s="0"/>
      <c r="LVP59" s="0"/>
      <c r="LVQ59" s="0"/>
      <c r="LVR59" s="0"/>
      <c r="LVS59" s="0"/>
      <c r="LVT59" s="0"/>
      <c r="LVU59" s="0"/>
      <c r="LVV59" s="0"/>
      <c r="LVW59" s="0"/>
      <c r="LVX59" s="0"/>
      <c r="LVY59" s="0"/>
      <c r="LVZ59" s="0"/>
      <c r="LWA59" s="0"/>
      <c r="LWB59" s="0"/>
      <c r="LWC59" s="0"/>
      <c r="LWD59" s="0"/>
      <c r="LWE59" s="0"/>
      <c r="LWF59" s="0"/>
      <c r="LWG59" s="0"/>
      <c r="LWH59" s="0"/>
      <c r="LWI59" s="0"/>
      <c r="LWJ59" s="0"/>
      <c r="LWK59" s="0"/>
      <c r="LWL59" s="0"/>
      <c r="LWM59" s="0"/>
      <c r="LWN59" s="0"/>
      <c r="LWO59" s="0"/>
      <c r="LWP59" s="0"/>
      <c r="LWQ59" s="0"/>
      <c r="LWR59" s="0"/>
      <c r="LWS59" s="0"/>
      <c r="LWT59" s="0"/>
      <c r="LWU59" s="0"/>
      <c r="LWV59" s="0"/>
      <c r="LWW59" s="0"/>
      <c r="LWX59" s="0"/>
      <c r="LWY59" s="0"/>
      <c r="LWZ59" s="0"/>
      <c r="LXA59" s="0"/>
      <c r="LXB59" s="0"/>
      <c r="LXC59" s="0"/>
      <c r="LXD59" s="0"/>
      <c r="LXE59" s="0"/>
      <c r="LXF59" s="0"/>
      <c r="LXG59" s="0"/>
      <c r="LXH59" s="0"/>
      <c r="LXI59" s="0"/>
      <c r="LXJ59" s="0"/>
      <c r="LXK59" s="0"/>
      <c r="LXL59" s="0"/>
      <c r="LXM59" s="0"/>
      <c r="LXN59" s="0"/>
      <c r="LXO59" s="0"/>
      <c r="LXP59" s="0"/>
      <c r="LXQ59" s="0"/>
      <c r="LXR59" s="0"/>
      <c r="LXS59" s="0"/>
      <c r="LXT59" s="0"/>
      <c r="LXU59" s="0"/>
      <c r="LXV59" s="0"/>
      <c r="LXW59" s="0"/>
      <c r="LXX59" s="0"/>
      <c r="LXY59" s="0"/>
      <c r="LXZ59" s="0"/>
      <c r="LYA59" s="0"/>
      <c r="LYB59" s="0"/>
      <c r="LYC59" s="0"/>
      <c r="LYD59" s="0"/>
      <c r="LYE59" s="0"/>
      <c r="LYF59" s="0"/>
      <c r="LYG59" s="0"/>
      <c r="LYH59" s="0"/>
      <c r="LYI59" s="0"/>
      <c r="LYJ59" s="0"/>
      <c r="LYK59" s="0"/>
      <c r="LYL59" s="0"/>
      <c r="LYM59" s="0"/>
      <c r="LYN59" s="0"/>
      <c r="LYO59" s="0"/>
      <c r="LYP59" s="0"/>
      <c r="LYQ59" s="0"/>
      <c r="LYR59" s="0"/>
      <c r="LYS59" s="0"/>
      <c r="LYT59" s="0"/>
      <c r="LYU59" s="0"/>
      <c r="LYV59" s="0"/>
      <c r="LYW59" s="0"/>
      <c r="LYX59" s="0"/>
      <c r="LYY59" s="0"/>
      <c r="LYZ59" s="0"/>
      <c r="LZA59" s="0"/>
      <c r="LZB59" s="0"/>
      <c r="LZC59" s="0"/>
      <c r="LZD59" s="0"/>
      <c r="LZE59" s="0"/>
      <c r="LZF59" s="0"/>
      <c r="LZG59" s="0"/>
      <c r="LZH59" s="0"/>
      <c r="LZI59" s="0"/>
      <c r="LZJ59" s="0"/>
      <c r="LZK59" s="0"/>
      <c r="LZL59" s="0"/>
      <c r="LZM59" s="0"/>
      <c r="LZN59" s="0"/>
      <c r="LZO59" s="0"/>
      <c r="LZP59" s="0"/>
      <c r="LZQ59" s="0"/>
      <c r="LZR59" s="0"/>
      <c r="LZS59" s="0"/>
      <c r="LZT59" s="0"/>
      <c r="LZU59" s="0"/>
      <c r="LZV59" s="0"/>
      <c r="LZW59" s="0"/>
      <c r="LZX59" s="0"/>
      <c r="LZY59" s="0"/>
      <c r="LZZ59" s="0"/>
      <c r="MAA59" s="0"/>
      <c r="MAB59" s="0"/>
      <c r="MAC59" s="0"/>
      <c r="MAD59" s="0"/>
      <c r="MAE59" s="0"/>
      <c r="MAF59" s="0"/>
      <c r="MAG59" s="0"/>
      <c r="MAH59" s="0"/>
      <c r="MAI59" s="0"/>
      <c r="MAJ59" s="0"/>
      <c r="MAK59" s="0"/>
      <c r="MAL59" s="0"/>
      <c r="MAM59" s="0"/>
      <c r="MAN59" s="0"/>
      <c r="MAO59" s="0"/>
      <c r="MAP59" s="0"/>
      <c r="MAQ59" s="0"/>
      <c r="MAR59" s="0"/>
      <c r="MAS59" s="0"/>
      <c r="MAT59" s="0"/>
      <c r="MAU59" s="0"/>
      <c r="MAV59" s="0"/>
      <c r="MAW59" s="0"/>
      <c r="MAX59" s="0"/>
      <c r="MAY59" s="0"/>
      <c r="MAZ59" s="0"/>
      <c r="MBA59" s="0"/>
      <c r="MBB59" s="0"/>
      <c r="MBC59" s="0"/>
      <c r="MBD59" s="0"/>
      <c r="MBE59" s="0"/>
      <c r="MBF59" s="0"/>
      <c r="MBG59" s="0"/>
      <c r="MBH59" s="0"/>
      <c r="MBI59" s="0"/>
      <c r="MBJ59" s="0"/>
      <c r="MBK59" s="0"/>
      <c r="MBL59" s="0"/>
      <c r="MBM59" s="0"/>
      <c r="MBN59" s="0"/>
      <c r="MBO59" s="0"/>
      <c r="MBP59" s="0"/>
      <c r="MBQ59" s="0"/>
      <c r="MBR59" s="0"/>
      <c r="MBS59" s="0"/>
      <c r="MBT59" s="0"/>
      <c r="MBU59" s="0"/>
      <c r="MBV59" s="0"/>
      <c r="MBW59" s="0"/>
      <c r="MBX59" s="0"/>
      <c r="MBY59" s="0"/>
      <c r="MBZ59" s="0"/>
      <c r="MCA59" s="0"/>
      <c r="MCB59" s="0"/>
      <c r="MCC59" s="0"/>
      <c r="MCD59" s="0"/>
      <c r="MCE59" s="0"/>
      <c r="MCF59" s="0"/>
      <c r="MCG59" s="0"/>
      <c r="MCH59" s="0"/>
      <c r="MCI59" s="0"/>
      <c r="MCJ59" s="0"/>
      <c r="MCK59" s="0"/>
      <c r="MCL59" s="0"/>
      <c r="MCM59" s="0"/>
      <c r="MCN59" s="0"/>
      <c r="MCO59" s="0"/>
      <c r="MCP59" s="0"/>
      <c r="MCQ59" s="0"/>
      <c r="MCR59" s="0"/>
      <c r="MCS59" s="0"/>
      <c r="MCT59" s="0"/>
      <c r="MCU59" s="0"/>
      <c r="MCV59" s="0"/>
      <c r="MCW59" s="0"/>
      <c r="MCX59" s="0"/>
      <c r="MCY59" s="0"/>
      <c r="MCZ59" s="0"/>
      <c r="MDA59" s="0"/>
      <c r="MDB59" s="0"/>
      <c r="MDC59" s="0"/>
      <c r="MDD59" s="0"/>
      <c r="MDE59" s="0"/>
      <c r="MDF59" s="0"/>
      <c r="MDG59" s="0"/>
      <c r="MDH59" s="0"/>
      <c r="MDI59" s="0"/>
      <c r="MDJ59" s="0"/>
      <c r="MDK59" s="0"/>
      <c r="MDL59" s="0"/>
      <c r="MDM59" s="0"/>
      <c r="MDN59" s="0"/>
      <c r="MDO59" s="0"/>
      <c r="MDP59" s="0"/>
      <c r="MDQ59" s="0"/>
      <c r="MDR59" s="0"/>
      <c r="MDS59" s="0"/>
      <c r="MDT59" s="0"/>
      <c r="MDU59" s="0"/>
      <c r="MDV59" s="0"/>
      <c r="MDW59" s="0"/>
      <c r="MDX59" s="0"/>
      <c r="MDY59" s="0"/>
      <c r="MDZ59" s="0"/>
      <c r="MEA59" s="0"/>
      <c r="MEB59" s="0"/>
      <c r="MEC59" s="0"/>
      <c r="MED59" s="0"/>
      <c r="MEE59" s="0"/>
      <c r="MEF59" s="0"/>
      <c r="MEG59" s="0"/>
      <c r="MEH59" s="0"/>
      <c r="MEI59" s="0"/>
      <c r="MEJ59" s="0"/>
      <c r="MEK59" s="0"/>
      <c r="MEL59" s="0"/>
      <c r="MEM59" s="0"/>
      <c r="MEN59" s="0"/>
      <c r="MEO59" s="0"/>
      <c r="MEP59" s="0"/>
      <c r="MEQ59" s="0"/>
      <c r="MER59" s="0"/>
      <c r="MES59" s="0"/>
      <c r="MET59" s="0"/>
      <c r="MEU59" s="0"/>
      <c r="MEV59" s="0"/>
      <c r="MEW59" s="0"/>
      <c r="MEX59" s="0"/>
      <c r="MEY59" s="0"/>
      <c r="MEZ59" s="0"/>
      <c r="MFA59" s="0"/>
      <c r="MFB59" s="0"/>
      <c r="MFC59" s="0"/>
      <c r="MFD59" s="0"/>
      <c r="MFE59" s="0"/>
      <c r="MFF59" s="0"/>
      <c r="MFG59" s="0"/>
      <c r="MFH59" s="0"/>
      <c r="MFI59" s="0"/>
      <c r="MFJ59" s="0"/>
      <c r="MFK59" s="0"/>
      <c r="MFL59" s="0"/>
      <c r="MFM59" s="0"/>
      <c r="MFN59" s="0"/>
      <c r="MFO59" s="0"/>
      <c r="MFP59" s="0"/>
      <c r="MFQ59" s="0"/>
      <c r="MFR59" s="0"/>
      <c r="MFS59" s="0"/>
      <c r="MFT59" s="0"/>
      <c r="MFU59" s="0"/>
      <c r="MFV59" s="0"/>
      <c r="MFW59" s="0"/>
      <c r="MFX59" s="0"/>
      <c r="MFY59" s="0"/>
      <c r="MFZ59" s="0"/>
      <c r="MGA59" s="0"/>
      <c r="MGB59" s="0"/>
      <c r="MGC59" s="0"/>
      <c r="MGD59" s="0"/>
      <c r="MGE59" s="0"/>
      <c r="MGF59" s="0"/>
      <c r="MGG59" s="0"/>
      <c r="MGH59" s="0"/>
      <c r="MGI59" s="0"/>
      <c r="MGJ59" s="0"/>
      <c r="MGK59" s="0"/>
      <c r="MGL59" s="0"/>
      <c r="MGM59" s="0"/>
      <c r="MGN59" s="0"/>
      <c r="MGO59" s="0"/>
      <c r="MGP59" s="0"/>
      <c r="MGQ59" s="0"/>
      <c r="MGR59" s="0"/>
      <c r="MGS59" s="0"/>
      <c r="MGT59" s="0"/>
      <c r="MGU59" s="0"/>
      <c r="MGV59" s="0"/>
      <c r="MGW59" s="0"/>
      <c r="MGX59" s="0"/>
      <c r="MGY59" s="0"/>
      <c r="MGZ59" s="0"/>
      <c r="MHA59" s="0"/>
      <c r="MHB59" s="0"/>
      <c r="MHC59" s="0"/>
      <c r="MHD59" s="0"/>
      <c r="MHE59" s="0"/>
      <c r="MHF59" s="0"/>
      <c r="MHG59" s="0"/>
      <c r="MHH59" s="0"/>
      <c r="MHI59" s="0"/>
      <c r="MHJ59" s="0"/>
      <c r="MHK59" s="0"/>
      <c r="MHL59" s="0"/>
      <c r="MHM59" s="0"/>
      <c r="MHN59" s="0"/>
      <c r="MHO59" s="0"/>
      <c r="MHP59" s="0"/>
      <c r="MHQ59" s="0"/>
      <c r="MHR59" s="0"/>
      <c r="MHS59" s="0"/>
      <c r="MHT59" s="0"/>
      <c r="MHU59" s="0"/>
      <c r="MHV59" s="0"/>
      <c r="MHW59" s="0"/>
      <c r="MHX59" s="0"/>
      <c r="MHY59" s="0"/>
      <c r="MHZ59" s="0"/>
      <c r="MIA59" s="0"/>
      <c r="MIB59" s="0"/>
      <c r="MIC59" s="0"/>
      <c r="MID59" s="0"/>
      <c r="MIE59" s="0"/>
      <c r="MIF59" s="0"/>
      <c r="MIG59" s="0"/>
      <c r="MIH59" s="0"/>
      <c r="MII59" s="0"/>
      <c r="MIJ59" s="0"/>
      <c r="MIK59" s="0"/>
      <c r="MIL59" s="0"/>
      <c r="MIM59" s="0"/>
      <c r="MIN59" s="0"/>
      <c r="MIO59" s="0"/>
      <c r="MIP59" s="0"/>
      <c r="MIQ59" s="0"/>
      <c r="MIR59" s="0"/>
      <c r="MIS59" s="0"/>
      <c r="MIT59" s="0"/>
      <c r="MIU59" s="0"/>
      <c r="MIV59" s="0"/>
      <c r="MIW59" s="0"/>
      <c r="MIX59" s="0"/>
      <c r="MIY59" s="0"/>
      <c r="MIZ59" s="0"/>
      <c r="MJA59" s="0"/>
      <c r="MJB59" s="0"/>
      <c r="MJC59" s="0"/>
      <c r="MJD59" s="0"/>
      <c r="MJE59" s="0"/>
      <c r="MJF59" s="0"/>
      <c r="MJG59" s="0"/>
      <c r="MJH59" s="0"/>
      <c r="MJI59" s="0"/>
      <c r="MJJ59" s="0"/>
      <c r="MJK59" s="0"/>
      <c r="MJL59" s="0"/>
      <c r="MJM59" s="0"/>
      <c r="MJN59" s="0"/>
      <c r="MJO59" s="0"/>
      <c r="MJP59" s="0"/>
      <c r="MJQ59" s="0"/>
      <c r="MJR59" s="0"/>
      <c r="MJS59" s="0"/>
      <c r="MJT59" s="0"/>
      <c r="MJU59" s="0"/>
      <c r="MJV59" s="0"/>
      <c r="MJW59" s="0"/>
      <c r="MJX59" s="0"/>
      <c r="MJY59" s="0"/>
      <c r="MJZ59" s="0"/>
      <c r="MKA59" s="0"/>
      <c r="MKB59" s="0"/>
      <c r="MKC59" s="0"/>
      <c r="MKD59" s="0"/>
      <c r="MKE59" s="0"/>
      <c r="MKF59" s="0"/>
      <c r="MKG59" s="0"/>
      <c r="MKH59" s="0"/>
      <c r="MKI59" s="0"/>
      <c r="MKJ59" s="0"/>
      <c r="MKK59" s="0"/>
      <c r="MKL59" s="0"/>
      <c r="MKM59" s="0"/>
      <c r="MKN59" s="0"/>
      <c r="MKO59" s="0"/>
      <c r="MKP59" s="0"/>
      <c r="MKQ59" s="0"/>
      <c r="MKR59" s="0"/>
      <c r="MKS59" s="0"/>
      <c r="MKT59" s="0"/>
      <c r="MKU59" s="0"/>
      <c r="MKV59" s="0"/>
      <c r="MKW59" s="0"/>
      <c r="MKX59" s="0"/>
      <c r="MKY59" s="0"/>
      <c r="MKZ59" s="0"/>
      <c r="MLA59" s="0"/>
      <c r="MLB59" s="0"/>
      <c r="MLC59" s="0"/>
      <c r="MLD59" s="0"/>
      <c r="MLE59" s="0"/>
      <c r="MLF59" s="0"/>
      <c r="MLG59" s="0"/>
      <c r="MLH59" s="0"/>
      <c r="MLI59" s="0"/>
      <c r="MLJ59" s="0"/>
      <c r="MLK59" s="0"/>
      <c r="MLL59" s="0"/>
      <c r="MLM59" s="0"/>
      <c r="MLN59" s="0"/>
      <c r="MLO59" s="0"/>
      <c r="MLP59" s="0"/>
      <c r="MLQ59" s="0"/>
      <c r="MLR59" s="0"/>
      <c r="MLS59" s="0"/>
      <c r="MLT59" s="0"/>
      <c r="MLU59" s="0"/>
      <c r="MLV59" s="0"/>
      <c r="MLW59" s="0"/>
      <c r="MLX59" s="0"/>
      <c r="MLY59" s="0"/>
      <c r="MLZ59" s="0"/>
      <c r="MMA59" s="0"/>
      <c r="MMB59" s="0"/>
      <c r="MMC59" s="0"/>
      <c r="MMD59" s="0"/>
      <c r="MME59" s="0"/>
      <c r="MMF59" s="0"/>
      <c r="MMG59" s="0"/>
      <c r="MMH59" s="0"/>
      <c r="MMI59" s="0"/>
      <c r="MMJ59" s="0"/>
      <c r="MMK59" s="0"/>
      <c r="MML59" s="0"/>
      <c r="MMM59" s="0"/>
      <c r="MMN59" s="0"/>
      <c r="MMO59" s="0"/>
      <c r="MMP59" s="0"/>
      <c r="MMQ59" s="0"/>
      <c r="MMR59" s="0"/>
      <c r="MMS59" s="0"/>
      <c r="MMT59" s="0"/>
      <c r="MMU59" s="0"/>
      <c r="MMV59" s="0"/>
      <c r="MMW59" s="0"/>
      <c r="MMX59" s="0"/>
      <c r="MMY59" s="0"/>
      <c r="MMZ59" s="0"/>
      <c r="MNA59" s="0"/>
      <c r="MNB59" s="0"/>
      <c r="MNC59" s="0"/>
      <c r="MND59" s="0"/>
      <c r="MNE59" s="0"/>
      <c r="MNF59" s="0"/>
      <c r="MNG59" s="0"/>
      <c r="MNH59" s="0"/>
      <c r="MNI59" s="0"/>
      <c r="MNJ59" s="0"/>
      <c r="MNK59" s="0"/>
      <c r="MNL59" s="0"/>
      <c r="MNM59" s="0"/>
      <c r="MNN59" s="0"/>
      <c r="MNO59" s="0"/>
      <c r="MNP59" s="0"/>
      <c r="MNQ59" s="0"/>
      <c r="MNR59" s="0"/>
      <c r="MNS59" s="0"/>
      <c r="MNT59" s="0"/>
      <c r="MNU59" s="0"/>
      <c r="MNV59" s="0"/>
      <c r="MNW59" s="0"/>
      <c r="MNX59" s="0"/>
      <c r="MNY59" s="0"/>
      <c r="MNZ59" s="0"/>
      <c r="MOA59" s="0"/>
      <c r="MOB59" s="0"/>
      <c r="MOC59" s="0"/>
      <c r="MOD59" s="0"/>
      <c r="MOE59" s="0"/>
      <c r="MOF59" s="0"/>
      <c r="MOG59" s="0"/>
      <c r="MOH59" s="0"/>
      <c r="MOI59" s="0"/>
      <c r="MOJ59" s="0"/>
      <c r="MOK59" s="0"/>
      <c r="MOL59" s="0"/>
      <c r="MOM59" s="0"/>
      <c r="MON59" s="0"/>
      <c r="MOO59" s="0"/>
      <c r="MOP59" s="0"/>
      <c r="MOQ59" s="0"/>
      <c r="MOR59" s="0"/>
      <c r="MOS59" s="0"/>
      <c r="MOT59" s="0"/>
      <c r="MOU59" s="0"/>
      <c r="MOV59" s="0"/>
      <c r="MOW59" s="0"/>
      <c r="MOX59" s="0"/>
      <c r="MOY59" s="0"/>
      <c r="MOZ59" s="0"/>
      <c r="MPA59" s="0"/>
      <c r="MPB59" s="0"/>
      <c r="MPC59" s="0"/>
      <c r="MPD59" s="0"/>
      <c r="MPE59" s="0"/>
      <c r="MPF59" s="0"/>
      <c r="MPG59" s="0"/>
      <c r="MPH59" s="0"/>
      <c r="MPI59" s="0"/>
      <c r="MPJ59" s="0"/>
      <c r="MPK59" s="0"/>
      <c r="MPL59" s="0"/>
      <c r="MPM59" s="0"/>
      <c r="MPN59" s="0"/>
      <c r="MPO59" s="0"/>
      <c r="MPP59" s="0"/>
      <c r="MPQ59" s="0"/>
      <c r="MPR59" s="0"/>
      <c r="MPS59" s="0"/>
      <c r="MPT59" s="0"/>
      <c r="MPU59" s="0"/>
      <c r="MPV59" s="0"/>
      <c r="MPW59" s="0"/>
      <c r="MPX59" s="0"/>
      <c r="MPY59" s="0"/>
      <c r="MPZ59" s="0"/>
      <c r="MQA59" s="0"/>
      <c r="MQB59" s="0"/>
      <c r="MQC59" s="0"/>
      <c r="MQD59" s="0"/>
      <c r="MQE59" s="0"/>
      <c r="MQF59" s="0"/>
      <c r="MQG59" s="0"/>
      <c r="MQH59" s="0"/>
      <c r="MQI59" s="0"/>
      <c r="MQJ59" s="0"/>
      <c r="MQK59" s="0"/>
      <c r="MQL59" s="0"/>
      <c r="MQM59" s="0"/>
      <c r="MQN59" s="0"/>
      <c r="MQO59" s="0"/>
      <c r="MQP59" s="0"/>
      <c r="MQQ59" s="0"/>
      <c r="MQR59" s="0"/>
      <c r="MQS59" s="0"/>
      <c r="MQT59" s="0"/>
      <c r="MQU59" s="0"/>
      <c r="MQV59" s="0"/>
      <c r="MQW59" s="0"/>
      <c r="MQX59" s="0"/>
      <c r="MQY59" s="0"/>
      <c r="MQZ59" s="0"/>
      <c r="MRA59" s="0"/>
      <c r="MRB59" s="0"/>
      <c r="MRC59" s="0"/>
      <c r="MRD59" s="0"/>
      <c r="MRE59" s="0"/>
      <c r="MRF59" s="0"/>
      <c r="MRG59" s="0"/>
      <c r="MRH59" s="0"/>
      <c r="MRI59" s="0"/>
      <c r="MRJ59" s="0"/>
      <c r="MRK59" s="0"/>
      <c r="MRL59" s="0"/>
      <c r="MRM59" s="0"/>
      <c r="MRN59" s="0"/>
      <c r="MRO59" s="0"/>
      <c r="MRP59" s="0"/>
      <c r="MRQ59" s="0"/>
      <c r="MRR59" s="0"/>
      <c r="MRS59" s="0"/>
      <c r="MRT59" s="0"/>
      <c r="MRU59" s="0"/>
      <c r="MRV59" s="0"/>
      <c r="MRW59" s="0"/>
      <c r="MRX59" s="0"/>
      <c r="MRY59" s="0"/>
      <c r="MRZ59" s="0"/>
      <c r="MSA59" s="0"/>
      <c r="MSB59" s="0"/>
      <c r="MSC59" s="0"/>
      <c r="MSD59" s="0"/>
      <c r="MSE59" s="0"/>
      <c r="MSF59" s="0"/>
      <c r="MSG59" s="0"/>
      <c r="MSH59" s="0"/>
      <c r="MSI59" s="0"/>
      <c r="MSJ59" s="0"/>
      <c r="MSK59" s="0"/>
      <c r="MSL59" s="0"/>
      <c r="MSM59" s="0"/>
      <c r="MSN59" s="0"/>
      <c r="MSO59" s="0"/>
      <c r="MSP59" s="0"/>
      <c r="MSQ59" s="0"/>
      <c r="MSR59" s="0"/>
      <c r="MSS59" s="0"/>
      <c r="MST59" s="0"/>
      <c r="MSU59" s="0"/>
      <c r="MSV59" s="0"/>
      <c r="MSW59" s="0"/>
      <c r="MSX59" s="0"/>
      <c r="MSY59" s="0"/>
      <c r="MSZ59" s="0"/>
      <c r="MTA59" s="0"/>
      <c r="MTB59" s="0"/>
      <c r="MTC59" s="0"/>
      <c r="MTD59" s="0"/>
      <c r="MTE59" s="0"/>
      <c r="MTF59" s="0"/>
      <c r="MTG59" s="0"/>
      <c r="MTH59" s="0"/>
      <c r="MTI59" s="0"/>
      <c r="MTJ59" s="0"/>
      <c r="MTK59" s="0"/>
      <c r="MTL59" s="0"/>
      <c r="MTM59" s="0"/>
      <c r="MTN59" s="0"/>
      <c r="MTO59" s="0"/>
      <c r="MTP59" s="0"/>
      <c r="MTQ59" s="0"/>
      <c r="MTR59" s="0"/>
      <c r="MTS59" s="0"/>
      <c r="MTT59" s="0"/>
      <c r="MTU59" s="0"/>
      <c r="MTV59" s="0"/>
      <c r="MTW59" s="0"/>
      <c r="MTX59" s="0"/>
      <c r="MTY59" s="0"/>
      <c r="MTZ59" s="0"/>
      <c r="MUA59" s="0"/>
      <c r="MUB59" s="0"/>
      <c r="MUC59" s="0"/>
      <c r="MUD59" s="0"/>
      <c r="MUE59" s="0"/>
      <c r="MUF59" s="0"/>
      <c r="MUG59" s="0"/>
      <c r="MUH59" s="0"/>
      <c r="MUI59" s="0"/>
      <c r="MUJ59" s="0"/>
      <c r="MUK59" s="0"/>
      <c r="MUL59" s="0"/>
      <c r="MUM59" s="0"/>
      <c r="MUN59" s="0"/>
      <c r="MUO59" s="0"/>
      <c r="MUP59" s="0"/>
      <c r="MUQ59" s="0"/>
      <c r="MUR59" s="0"/>
      <c r="MUS59" s="0"/>
      <c r="MUT59" s="0"/>
      <c r="MUU59" s="0"/>
      <c r="MUV59" s="0"/>
      <c r="MUW59" s="0"/>
      <c r="MUX59" s="0"/>
      <c r="MUY59" s="0"/>
      <c r="MUZ59" s="0"/>
      <c r="MVA59" s="0"/>
      <c r="MVB59" s="0"/>
      <c r="MVC59" s="0"/>
      <c r="MVD59" s="0"/>
      <c r="MVE59" s="0"/>
      <c r="MVF59" s="0"/>
      <c r="MVG59" s="0"/>
      <c r="MVH59" s="0"/>
      <c r="MVI59" s="0"/>
      <c r="MVJ59" s="0"/>
      <c r="MVK59" s="0"/>
      <c r="MVL59" s="0"/>
      <c r="MVM59" s="0"/>
      <c r="MVN59" s="0"/>
      <c r="MVO59" s="0"/>
      <c r="MVP59" s="0"/>
      <c r="MVQ59" s="0"/>
      <c r="MVR59" s="0"/>
      <c r="MVS59" s="0"/>
      <c r="MVT59" s="0"/>
      <c r="MVU59" s="0"/>
      <c r="MVV59" s="0"/>
      <c r="MVW59" s="0"/>
      <c r="MVX59" s="0"/>
      <c r="MVY59" s="0"/>
      <c r="MVZ59" s="0"/>
      <c r="MWA59" s="0"/>
      <c r="MWB59" s="0"/>
      <c r="MWC59" s="0"/>
      <c r="MWD59" s="0"/>
      <c r="MWE59" s="0"/>
      <c r="MWF59" s="0"/>
      <c r="MWG59" s="0"/>
      <c r="MWH59" s="0"/>
      <c r="MWI59" s="0"/>
      <c r="MWJ59" s="0"/>
      <c r="MWK59" s="0"/>
      <c r="MWL59" s="0"/>
      <c r="MWM59" s="0"/>
      <c r="MWN59" s="0"/>
      <c r="MWO59" s="0"/>
      <c r="MWP59" s="0"/>
      <c r="MWQ59" s="0"/>
      <c r="MWR59" s="0"/>
      <c r="MWS59" s="0"/>
      <c r="MWT59" s="0"/>
      <c r="MWU59" s="0"/>
      <c r="MWV59" s="0"/>
      <c r="MWW59" s="0"/>
      <c r="MWX59" s="0"/>
      <c r="MWY59" s="0"/>
      <c r="MWZ59" s="0"/>
      <c r="MXA59" s="0"/>
      <c r="MXB59" s="0"/>
      <c r="MXC59" s="0"/>
      <c r="MXD59" s="0"/>
      <c r="MXE59" s="0"/>
      <c r="MXF59" s="0"/>
      <c r="MXG59" s="0"/>
      <c r="MXH59" s="0"/>
      <c r="MXI59" s="0"/>
      <c r="MXJ59" s="0"/>
      <c r="MXK59" s="0"/>
      <c r="MXL59" s="0"/>
      <c r="MXM59" s="0"/>
      <c r="MXN59" s="0"/>
      <c r="MXO59" s="0"/>
      <c r="MXP59" s="0"/>
      <c r="MXQ59" s="0"/>
      <c r="MXR59" s="0"/>
      <c r="MXS59" s="0"/>
      <c r="MXT59" s="0"/>
      <c r="MXU59" s="0"/>
      <c r="MXV59" s="0"/>
      <c r="MXW59" s="0"/>
      <c r="MXX59" s="0"/>
      <c r="MXY59" s="0"/>
      <c r="MXZ59" s="0"/>
      <c r="MYA59" s="0"/>
      <c r="MYB59" s="0"/>
      <c r="MYC59" s="0"/>
      <c r="MYD59" s="0"/>
      <c r="MYE59" s="0"/>
      <c r="MYF59" s="0"/>
      <c r="MYG59" s="0"/>
      <c r="MYH59" s="0"/>
      <c r="MYI59" s="0"/>
      <c r="MYJ59" s="0"/>
      <c r="MYK59" s="0"/>
      <c r="MYL59" s="0"/>
      <c r="MYM59" s="0"/>
      <c r="MYN59" s="0"/>
      <c r="MYO59" s="0"/>
      <c r="MYP59" s="0"/>
      <c r="MYQ59" s="0"/>
      <c r="MYR59" s="0"/>
      <c r="MYS59" s="0"/>
      <c r="MYT59" s="0"/>
      <c r="MYU59" s="0"/>
      <c r="MYV59" s="0"/>
      <c r="MYW59" s="0"/>
      <c r="MYX59" s="0"/>
      <c r="MYY59" s="0"/>
      <c r="MYZ59" s="0"/>
      <c r="MZA59" s="0"/>
      <c r="MZB59" s="0"/>
      <c r="MZC59" s="0"/>
      <c r="MZD59" s="0"/>
      <c r="MZE59" s="0"/>
      <c r="MZF59" s="0"/>
      <c r="MZG59" s="0"/>
      <c r="MZH59" s="0"/>
      <c r="MZI59" s="0"/>
      <c r="MZJ59" s="0"/>
      <c r="MZK59" s="0"/>
      <c r="MZL59" s="0"/>
      <c r="MZM59" s="0"/>
      <c r="MZN59" s="0"/>
      <c r="MZO59" s="0"/>
      <c r="MZP59" s="0"/>
      <c r="MZQ59" s="0"/>
      <c r="MZR59" s="0"/>
      <c r="MZS59" s="0"/>
      <c r="MZT59" s="0"/>
      <c r="MZU59" s="0"/>
      <c r="MZV59" s="0"/>
      <c r="MZW59" s="0"/>
      <c r="MZX59" s="0"/>
      <c r="MZY59" s="0"/>
      <c r="MZZ59" s="0"/>
      <c r="NAA59" s="0"/>
      <c r="NAB59" s="0"/>
      <c r="NAC59" s="0"/>
      <c r="NAD59" s="0"/>
      <c r="NAE59" s="0"/>
      <c r="NAF59" s="0"/>
      <c r="NAG59" s="0"/>
      <c r="NAH59" s="0"/>
      <c r="NAI59" s="0"/>
      <c r="NAJ59" s="0"/>
      <c r="NAK59" s="0"/>
      <c r="NAL59" s="0"/>
      <c r="NAM59" s="0"/>
      <c r="NAN59" s="0"/>
      <c r="NAO59" s="0"/>
      <c r="NAP59" s="0"/>
      <c r="NAQ59" s="0"/>
      <c r="NAR59" s="0"/>
      <c r="NAS59" s="0"/>
      <c r="NAT59" s="0"/>
      <c r="NAU59" s="0"/>
      <c r="NAV59" s="0"/>
      <c r="NAW59" s="0"/>
      <c r="NAX59" s="0"/>
      <c r="NAY59" s="0"/>
      <c r="NAZ59" s="0"/>
      <c r="NBA59" s="0"/>
      <c r="NBB59" s="0"/>
      <c r="NBC59" s="0"/>
      <c r="NBD59" s="0"/>
      <c r="NBE59" s="0"/>
      <c r="NBF59" s="0"/>
      <c r="NBG59" s="0"/>
      <c r="NBH59" s="0"/>
      <c r="NBI59" s="0"/>
      <c r="NBJ59" s="0"/>
      <c r="NBK59" s="0"/>
      <c r="NBL59" s="0"/>
      <c r="NBM59" s="0"/>
      <c r="NBN59" s="0"/>
      <c r="NBO59" s="0"/>
      <c r="NBP59" s="0"/>
      <c r="NBQ59" s="0"/>
      <c r="NBR59" s="0"/>
      <c r="NBS59" s="0"/>
      <c r="NBT59" s="0"/>
      <c r="NBU59" s="0"/>
      <c r="NBV59" s="0"/>
      <c r="NBW59" s="0"/>
      <c r="NBX59" s="0"/>
      <c r="NBY59" s="0"/>
      <c r="NBZ59" s="0"/>
      <c r="NCA59" s="0"/>
      <c r="NCB59" s="0"/>
      <c r="NCC59" s="0"/>
      <c r="NCD59" s="0"/>
      <c r="NCE59" s="0"/>
      <c r="NCF59" s="0"/>
      <c r="NCG59" s="0"/>
      <c r="NCH59" s="0"/>
      <c r="NCI59" s="0"/>
      <c r="NCJ59" s="0"/>
      <c r="NCK59" s="0"/>
      <c r="NCL59" s="0"/>
      <c r="NCM59" s="0"/>
      <c r="NCN59" s="0"/>
      <c r="NCO59" s="0"/>
      <c r="NCP59" s="0"/>
      <c r="NCQ59" s="0"/>
      <c r="NCR59" s="0"/>
      <c r="NCS59" s="0"/>
      <c r="NCT59" s="0"/>
      <c r="NCU59" s="0"/>
      <c r="NCV59" s="0"/>
      <c r="NCW59" s="0"/>
      <c r="NCX59" s="0"/>
      <c r="NCY59" s="0"/>
      <c r="NCZ59" s="0"/>
      <c r="NDA59" s="0"/>
      <c r="NDB59" s="0"/>
      <c r="NDC59" s="0"/>
      <c r="NDD59" s="0"/>
      <c r="NDE59" s="0"/>
      <c r="NDF59" s="0"/>
      <c r="NDG59" s="0"/>
      <c r="NDH59" s="0"/>
      <c r="NDI59" s="0"/>
      <c r="NDJ59" s="0"/>
      <c r="NDK59" s="0"/>
      <c r="NDL59" s="0"/>
      <c r="NDM59" s="0"/>
      <c r="NDN59" s="0"/>
      <c r="NDO59" s="0"/>
      <c r="NDP59" s="0"/>
      <c r="NDQ59" s="0"/>
      <c r="NDR59" s="0"/>
      <c r="NDS59" s="0"/>
      <c r="NDT59" s="0"/>
      <c r="NDU59" s="0"/>
      <c r="NDV59" s="0"/>
      <c r="NDW59" s="0"/>
      <c r="NDX59" s="0"/>
      <c r="NDY59" s="0"/>
      <c r="NDZ59" s="0"/>
      <c r="NEA59" s="0"/>
      <c r="NEB59" s="0"/>
      <c r="NEC59" s="0"/>
      <c r="NED59" s="0"/>
      <c r="NEE59" s="0"/>
      <c r="NEF59" s="0"/>
      <c r="NEG59" s="0"/>
      <c r="NEH59" s="0"/>
      <c r="NEI59" s="0"/>
      <c r="NEJ59" s="0"/>
      <c r="NEK59" s="0"/>
      <c r="NEL59" s="0"/>
      <c r="NEM59" s="0"/>
      <c r="NEN59" s="0"/>
      <c r="NEO59" s="0"/>
      <c r="NEP59" s="0"/>
      <c r="NEQ59" s="0"/>
      <c r="NER59" s="0"/>
      <c r="NES59" s="0"/>
      <c r="NET59" s="0"/>
      <c r="NEU59" s="0"/>
      <c r="NEV59" s="0"/>
      <c r="NEW59" s="0"/>
      <c r="NEX59" s="0"/>
      <c r="NEY59" s="0"/>
      <c r="NEZ59" s="0"/>
      <c r="NFA59" s="0"/>
      <c r="NFB59" s="0"/>
      <c r="NFC59" s="0"/>
      <c r="NFD59" s="0"/>
      <c r="NFE59" s="0"/>
      <c r="NFF59" s="0"/>
      <c r="NFG59" s="0"/>
      <c r="NFH59" s="0"/>
      <c r="NFI59" s="0"/>
      <c r="NFJ59" s="0"/>
      <c r="NFK59" s="0"/>
      <c r="NFL59" s="0"/>
      <c r="NFM59" s="0"/>
      <c r="NFN59" s="0"/>
      <c r="NFO59" s="0"/>
      <c r="NFP59" s="0"/>
      <c r="NFQ59" s="0"/>
      <c r="NFR59" s="0"/>
      <c r="NFS59" s="0"/>
      <c r="NFT59" s="0"/>
      <c r="NFU59" s="0"/>
      <c r="NFV59" s="0"/>
      <c r="NFW59" s="0"/>
      <c r="NFX59" s="0"/>
      <c r="NFY59" s="0"/>
      <c r="NFZ59" s="0"/>
      <c r="NGA59" s="0"/>
      <c r="NGB59" s="0"/>
      <c r="NGC59" s="0"/>
      <c r="NGD59" s="0"/>
      <c r="NGE59" s="0"/>
      <c r="NGF59" s="0"/>
      <c r="NGG59" s="0"/>
      <c r="NGH59" s="0"/>
      <c r="NGI59" s="0"/>
      <c r="NGJ59" s="0"/>
      <c r="NGK59" s="0"/>
      <c r="NGL59" s="0"/>
      <c r="NGM59" s="0"/>
      <c r="NGN59" s="0"/>
      <c r="NGO59" s="0"/>
      <c r="NGP59" s="0"/>
      <c r="NGQ59" s="0"/>
      <c r="NGR59" s="0"/>
      <c r="NGS59" s="0"/>
      <c r="NGT59" s="0"/>
      <c r="NGU59" s="0"/>
      <c r="NGV59" s="0"/>
      <c r="NGW59" s="0"/>
      <c r="NGX59" s="0"/>
      <c r="NGY59" s="0"/>
      <c r="NGZ59" s="0"/>
      <c r="NHA59" s="0"/>
      <c r="NHB59" s="0"/>
      <c r="NHC59" s="0"/>
      <c r="NHD59" s="0"/>
      <c r="NHE59" s="0"/>
      <c r="NHF59" s="0"/>
      <c r="NHG59" s="0"/>
      <c r="NHH59" s="0"/>
      <c r="NHI59" s="0"/>
      <c r="NHJ59" s="0"/>
      <c r="NHK59" s="0"/>
      <c r="NHL59" s="0"/>
      <c r="NHM59" s="0"/>
      <c r="NHN59" s="0"/>
      <c r="NHO59" s="0"/>
      <c r="NHP59" s="0"/>
      <c r="NHQ59" s="0"/>
      <c r="NHR59" s="0"/>
      <c r="NHS59" s="0"/>
      <c r="NHT59" s="0"/>
      <c r="NHU59" s="0"/>
      <c r="NHV59" s="0"/>
      <c r="NHW59" s="0"/>
      <c r="NHX59" s="0"/>
      <c r="NHY59" s="0"/>
      <c r="NHZ59" s="0"/>
      <c r="NIA59" s="0"/>
      <c r="NIB59" s="0"/>
      <c r="NIC59" s="0"/>
      <c r="NID59" s="0"/>
      <c r="NIE59" s="0"/>
      <c r="NIF59" s="0"/>
      <c r="NIG59" s="0"/>
      <c r="NIH59" s="0"/>
      <c r="NII59" s="0"/>
      <c r="NIJ59" s="0"/>
      <c r="NIK59" s="0"/>
      <c r="NIL59" s="0"/>
      <c r="NIM59" s="0"/>
      <c r="NIN59" s="0"/>
      <c r="NIO59" s="0"/>
      <c r="NIP59" s="0"/>
      <c r="NIQ59" s="0"/>
      <c r="NIR59" s="0"/>
      <c r="NIS59" s="0"/>
      <c r="NIT59" s="0"/>
      <c r="NIU59" s="0"/>
      <c r="NIV59" s="0"/>
      <c r="NIW59" s="0"/>
      <c r="NIX59" s="0"/>
      <c r="NIY59" s="0"/>
      <c r="NIZ59" s="0"/>
      <c r="NJA59" s="0"/>
      <c r="NJB59" s="0"/>
      <c r="NJC59" s="0"/>
      <c r="NJD59" s="0"/>
      <c r="NJE59" s="0"/>
      <c r="NJF59" s="0"/>
      <c r="NJG59" s="0"/>
      <c r="NJH59" s="0"/>
      <c r="NJI59" s="0"/>
      <c r="NJJ59" s="0"/>
      <c r="NJK59" s="0"/>
      <c r="NJL59" s="0"/>
      <c r="NJM59" s="0"/>
      <c r="NJN59" s="0"/>
      <c r="NJO59" s="0"/>
      <c r="NJP59" s="0"/>
      <c r="NJQ59" s="0"/>
      <c r="NJR59" s="0"/>
      <c r="NJS59" s="0"/>
      <c r="NJT59" s="0"/>
      <c r="NJU59" s="0"/>
      <c r="NJV59" s="0"/>
      <c r="NJW59" s="0"/>
      <c r="NJX59" s="0"/>
      <c r="NJY59" s="0"/>
      <c r="NJZ59" s="0"/>
      <c r="NKA59" s="0"/>
      <c r="NKB59" s="0"/>
      <c r="NKC59" s="0"/>
      <c r="NKD59" s="0"/>
      <c r="NKE59" s="0"/>
      <c r="NKF59" s="0"/>
      <c r="NKG59" s="0"/>
      <c r="NKH59" s="0"/>
      <c r="NKI59" s="0"/>
      <c r="NKJ59" s="0"/>
      <c r="NKK59" s="0"/>
      <c r="NKL59" s="0"/>
      <c r="NKM59" s="0"/>
      <c r="NKN59" s="0"/>
      <c r="NKO59" s="0"/>
      <c r="NKP59" s="0"/>
      <c r="NKQ59" s="0"/>
      <c r="NKR59" s="0"/>
      <c r="NKS59" s="0"/>
      <c r="NKT59" s="0"/>
      <c r="NKU59" s="0"/>
      <c r="NKV59" s="0"/>
      <c r="NKW59" s="0"/>
      <c r="NKX59" s="0"/>
      <c r="NKY59" s="0"/>
      <c r="NKZ59" s="0"/>
      <c r="NLA59" s="0"/>
      <c r="NLB59" s="0"/>
      <c r="NLC59" s="0"/>
      <c r="NLD59" s="0"/>
      <c r="NLE59" s="0"/>
      <c r="NLF59" s="0"/>
      <c r="NLG59" s="0"/>
      <c r="NLH59" s="0"/>
      <c r="NLI59" s="0"/>
      <c r="NLJ59" s="0"/>
      <c r="NLK59" s="0"/>
      <c r="NLL59" s="0"/>
      <c r="NLM59" s="0"/>
      <c r="NLN59" s="0"/>
      <c r="NLO59" s="0"/>
      <c r="NLP59" s="0"/>
      <c r="NLQ59" s="0"/>
      <c r="NLR59" s="0"/>
      <c r="NLS59" s="0"/>
      <c r="NLT59" s="0"/>
      <c r="NLU59" s="0"/>
      <c r="NLV59" s="0"/>
      <c r="NLW59" s="0"/>
      <c r="NLX59" s="0"/>
      <c r="NLY59" s="0"/>
      <c r="NLZ59" s="0"/>
      <c r="NMA59" s="0"/>
      <c r="NMB59" s="0"/>
      <c r="NMC59" s="0"/>
      <c r="NMD59" s="0"/>
      <c r="NME59" s="0"/>
      <c r="NMF59" s="0"/>
      <c r="NMG59" s="0"/>
      <c r="NMH59" s="0"/>
      <c r="NMI59" s="0"/>
      <c r="NMJ59" s="0"/>
      <c r="NMK59" s="0"/>
      <c r="NML59" s="0"/>
      <c r="NMM59" s="0"/>
      <c r="NMN59" s="0"/>
      <c r="NMO59" s="0"/>
      <c r="NMP59" s="0"/>
      <c r="NMQ59" s="0"/>
      <c r="NMR59" s="0"/>
      <c r="NMS59" s="0"/>
      <c r="NMT59" s="0"/>
      <c r="NMU59" s="0"/>
      <c r="NMV59" s="0"/>
      <c r="NMW59" s="0"/>
      <c r="NMX59" s="0"/>
      <c r="NMY59" s="0"/>
      <c r="NMZ59" s="0"/>
      <c r="NNA59" s="0"/>
      <c r="NNB59" s="0"/>
      <c r="NNC59" s="0"/>
      <c r="NND59" s="0"/>
      <c r="NNE59" s="0"/>
      <c r="NNF59" s="0"/>
      <c r="NNG59" s="0"/>
      <c r="NNH59" s="0"/>
      <c r="NNI59" s="0"/>
      <c r="NNJ59" s="0"/>
      <c r="NNK59" s="0"/>
      <c r="NNL59" s="0"/>
      <c r="NNM59" s="0"/>
      <c r="NNN59" s="0"/>
      <c r="NNO59" s="0"/>
      <c r="NNP59" s="0"/>
      <c r="NNQ59" s="0"/>
      <c r="NNR59" s="0"/>
      <c r="NNS59" s="0"/>
      <c r="NNT59" s="0"/>
      <c r="NNU59" s="0"/>
      <c r="NNV59" s="0"/>
      <c r="NNW59" s="0"/>
      <c r="NNX59" s="0"/>
      <c r="NNY59" s="0"/>
      <c r="NNZ59" s="0"/>
      <c r="NOA59" s="0"/>
      <c r="NOB59" s="0"/>
      <c r="NOC59" s="0"/>
      <c r="NOD59" s="0"/>
      <c r="NOE59" s="0"/>
      <c r="NOF59" s="0"/>
      <c r="NOG59" s="0"/>
      <c r="NOH59" s="0"/>
      <c r="NOI59" s="0"/>
      <c r="NOJ59" s="0"/>
      <c r="NOK59" s="0"/>
      <c r="NOL59" s="0"/>
      <c r="NOM59" s="0"/>
      <c r="NON59" s="0"/>
      <c r="NOO59" s="0"/>
      <c r="NOP59" s="0"/>
      <c r="NOQ59" s="0"/>
      <c r="NOR59" s="0"/>
      <c r="NOS59" s="0"/>
      <c r="NOT59" s="0"/>
      <c r="NOU59" s="0"/>
      <c r="NOV59" s="0"/>
      <c r="NOW59" s="0"/>
      <c r="NOX59" s="0"/>
      <c r="NOY59" s="0"/>
      <c r="NOZ59" s="0"/>
      <c r="NPA59" s="0"/>
      <c r="NPB59" s="0"/>
      <c r="NPC59" s="0"/>
      <c r="NPD59" s="0"/>
      <c r="NPE59" s="0"/>
      <c r="NPF59" s="0"/>
      <c r="NPG59" s="0"/>
      <c r="NPH59" s="0"/>
      <c r="NPI59" s="0"/>
      <c r="NPJ59" s="0"/>
      <c r="NPK59" s="0"/>
      <c r="NPL59" s="0"/>
      <c r="NPM59" s="0"/>
      <c r="NPN59" s="0"/>
      <c r="NPO59" s="0"/>
      <c r="NPP59" s="0"/>
      <c r="NPQ59" s="0"/>
      <c r="NPR59" s="0"/>
      <c r="NPS59" s="0"/>
      <c r="NPT59" s="0"/>
      <c r="NPU59" s="0"/>
      <c r="NPV59" s="0"/>
      <c r="NPW59" s="0"/>
      <c r="NPX59" s="0"/>
      <c r="NPY59" s="0"/>
      <c r="NPZ59" s="0"/>
      <c r="NQA59" s="0"/>
      <c r="NQB59" s="0"/>
      <c r="NQC59" s="0"/>
      <c r="NQD59" s="0"/>
      <c r="NQE59" s="0"/>
      <c r="NQF59" s="0"/>
      <c r="NQG59" s="0"/>
      <c r="NQH59" s="0"/>
      <c r="NQI59" s="0"/>
      <c r="NQJ59" s="0"/>
      <c r="NQK59" s="0"/>
      <c r="NQL59" s="0"/>
      <c r="NQM59" s="0"/>
      <c r="NQN59" s="0"/>
      <c r="NQO59" s="0"/>
      <c r="NQP59" s="0"/>
      <c r="NQQ59" s="0"/>
      <c r="NQR59" s="0"/>
      <c r="NQS59" s="0"/>
      <c r="NQT59" s="0"/>
      <c r="NQU59" s="0"/>
      <c r="NQV59" s="0"/>
      <c r="NQW59" s="0"/>
      <c r="NQX59" s="0"/>
      <c r="NQY59" s="0"/>
      <c r="NQZ59" s="0"/>
      <c r="NRA59" s="0"/>
      <c r="NRB59" s="0"/>
      <c r="NRC59" s="0"/>
      <c r="NRD59" s="0"/>
      <c r="NRE59" s="0"/>
      <c r="NRF59" s="0"/>
      <c r="NRG59" s="0"/>
      <c r="NRH59" s="0"/>
      <c r="NRI59" s="0"/>
      <c r="NRJ59" s="0"/>
      <c r="NRK59" s="0"/>
      <c r="NRL59" s="0"/>
      <c r="NRM59" s="0"/>
      <c r="NRN59" s="0"/>
      <c r="NRO59" s="0"/>
      <c r="NRP59" s="0"/>
      <c r="NRQ59" s="0"/>
      <c r="NRR59" s="0"/>
      <c r="NRS59" s="0"/>
      <c r="NRT59" s="0"/>
      <c r="NRU59" s="0"/>
      <c r="NRV59" s="0"/>
      <c r="NRW59" s="0"/>
      <c r="NRX59" s="0"/>
      <c r="NRY59" s="0"/>
      <c r="NRZ59" s="0"/>
      <c r="NSA59" s="0"/>
      <c r="NSB59" s="0"/>
      <c r="NSC59" s="0"/>
      <c r="NSD59" s="0"/>
      <c r="NSE59" s="0"/>
      <c r="NSF59" s="0"/>
      <c r="NSG59" s="0"/>
      <c r="NSH59" s="0"/>
      <c r="NSI59" s="0"/>
      <c r="NSJ59" s="0"/>
      <c r="NSK59" s="0"/>
      <c r="NSL59" s="0"/>
      <c r="NSM59" s="0"/>
      <c r="NSN59" s="0"/>
      <c r="NSO59" s="0"/>
      <c r="NSP59" s="0"/>
      <c r="NSQ59" s="0"/>
      <c r="NSR59" s="0"/>
      <c r="NSS59" s="0"/>
      <c r="NST59" s="0"/>
      <c r="NSU59" s="0"/>
      <c r="NSV59" s="0"/>
      <c r="NSW59" s="0"/>
      <c r="NSX59" s="0"/>
      <c r="NSY59" s="0"/>
      <c r="NSZ59" s="0"/>
      <c r="NTA59" s="0"/>
      <c r="NTB59" s="0"/>
      <c r="NTC59" s="0"/>
      <c r="NTD59" s="0"/>
      <c r="NTE59" s="0"/>
      <c r="NTF59" s="0"/>
      <c r="NTG59" s="0"/>
      <c r="NTH59" s="0"/>
      <c r="NTI59" s="0"/>
      <c r="NTJ59" s="0"/>
      <c r="NTK59" s="0"/>
      <c r="NTL59" s="0"/>
      <c r="NTM59" s="0"/>
      <c r="NTN59" s="0"/>
      <c r="NTO59" s="0"/>
      <c r="NTP59" s="0"/>
      <c r="NTQ59" s="0"/>
      <c r="NTR59" s="0"/>
      <c r="NTS59" s="0"/>
      <c r="NTT59" s="0"/>
      <c r="NTU59" s="0"/>
      <c r="NTV59" s="0"/>
      <c r="NTW59" s="0"/>
      <c r="NTX59" s="0"/>
      <c r="NTY59" s="0"/>
      <c r="NTZ59" s="0"/>
      <c r="NUA59" s="0"/>
      <c r="NUB59" s="0"/>
      <c r="NUC59" s="0"/>
      <c r="NUD59" s="0"/>
      <c r="NUE59" s="0"/>
      <c r="NUF59" s="0"/>
      <c r="NUG59" s="0"/>
      <c r="NUH59" s="0"/>
      <c r="NUI59" s="0"/>
      <c r="NUJ59" s="0"/>
      <c r="NUK59" s="0"/>
      <c r="NUL59" s="0"/>
      <c r="NUM59" s="0"/>
      <c r="NUN59" s="0"/>
      <c r="NUO59" s="0"/>
      <c r="NUP59" s="0"/>
      <c r="NUQ59" s="0"/>
      <c r="NUR59" s="0"/>
      <c r="NUS59" s="0"/>
      <c r="NUT59" s="0"/>
      <c r="NUU59" s="0"/>
      <c r="NUV59" s="0"/>
      <c r="NUW59" s="0"/>
      <c r="NUX59" s="0"/>
      <c r="NUY59" s="0"/>
      <c r="NUZ59" s="0"/>
      <c r="NVA59" s="0"/>
      <c r="NVB59" s="0"/>
      <c r="NVC59" s="0"/>
      <c r="NVD59" s="0"/>
      <c r="NVE59" s="0"/>
      <c r="NVF59" s="0"/>
      <c r="NVG59" s="0"/>
      <c r="NVH59" s="0"/>
      <c r="NVI59" s="0"/>
      <c r="NVJ59" s="0"/>
      <c r="NVK59" s="0"/>
      <c r="NVL59" s="0"/>
      <c r="NVM59" s="0"/>
      <c r="NVN59" s="0"/>
      <c r="NVO59" s="0"/>
      <c r="NVP59" s="0"/>
      <c r="NVQ59" s="0"/>
      <c r="NVR59" s="0"/>
      <c r="NVS59" s="0"/>
      <c r="NVT59" s="0"/>
      <c r="NVU59" s="0"/>
      <c r="NVV59" s="0"/>
      <c r="NVW59" s="0"/>
      <c r="NVX59" s="0"/>
      <c r="NVY59" s="0"/>
      <c r="NVZ59" s="0"/>
      <c r="NWA59" s="0"/>
      <c r="NWB59" s="0"/>
      <c r="NWC59" s="0"/>
      <c r="NWD59" s="0"/>
      <c r="NWE59" s="0"/>
      <c r="NWF59" s="0"/>
      <c r="NWG59" s="0"/>
      <c r="NWH59" s="0"/>
      <c r="NWI59" s="0"/>
      <c r="NWJ59" s="0"/>
      <c r="NWK59" s="0"/>
      <c r="NWL59" s="0"/>
      <c r="NWM59" s="0"/>
      <c r="NWN59" s="0"/>
      <c r="NWO59" s="0"/>
      <c r="NWP59" s="0"/>
      <c r="NWQ59" s="0"/>
      <c r="NWR59" s="0"/>
      <c r="NWS59" s="0"/>
      <c r="NWT59" s="0"/>
      <c r="NWU59" s="0"/>
      <c r="NWV59" s="0"/>
      <c r="NWW59" s="0"/>
      <c r="NWX59" s="0"/>
      <c r="NWY59" s="0"/>
      <c r="NWZ59" s="0"/>
      <c r="NXA59" s="0"/>
      <c r="NXB59" s="0"/>
      <c r="NXC59" s="0"/>
      <c r="NXD59" s="0"/>
      <c r="NXE59" s="0"/>
      <c r="NXF59" s="0"/>
      <c r="NXG59" s="0"/>
      <c r="NXH59" s="0"/>
      <c r="NXI59" s="0"/>
      <c r="NXJ59" s="0"/>
      <c r="NXK59" s="0"/>
      <c r="NXL59" s="0"/>
      <c r="NXM59" s="0"/>
      <c r="NXN59" s="0"/>
      <c r="NXO59" s="0"/>
      <c r="NXP59" s="0"/>
      <c r="NXQ59" s="0"/>
      <c r="NXR59" s="0"/>
      <c r="NXS59" s="0"/>
      <c r="NXT59" s="0"/>
      <c r="NXU59" s="0"/>
      <c r="NXV59" s="0"/>
      <c r="NXW59" s="0"/>
      <c r="NXX59" s="0"/>
      <c r="NXY59" s="0"/>
      <c r="NXZ59" s="0"/>
      <c r="NYA59" s="0"/>
      <c r="NYB59" s="0"/>
      <c r="NYC59" s="0"/>
      <c r="NYD59" s="0"/>
      <c r="NYE59" s="0"/>
      <c r="NYF59" s="0"/>
      <c r="NYG59" s="0"/>
      <c r="NYH59" s="0"/>
      <c r="NYI59" s="0"/>
      <c r="NYJ59" s="0"/>
      <c r="NYK59" s="0"/>
      <c r="NYL59" s="0"/>
      <c r="NYM59" s="0"/>
      <c r="NYN59" s="0"/>
      <c r="NYO59" s="0"/>
      <c r="NYP59" s="0"/>
      <c r="NYQ59" s="0"/>
      <c r="NYR59" s="0"/>
      <c r="NYS59" s="0"/>
      <c r="NYT59" s="0"/>
      <c r="NYU59" s="0"/>
      <c r="NYV59" s="0"/>
      <c r="NYW59" s="0"/>
      <c r="NYX59" s="0"/>
      <c r="NYY59" s="0"/>
      <c r="NYZ59" s="0"/>
      <c r="NZA59" s="0"/>
      <c r="NZB59" s="0"/>
      <c r="NZC59" s="0"/>
      <c r="NZD59" s="0"/>
      <c r="NZE59" s="0"/>
      <c r="NZF59" s="0"/>
      <c r="NZG59" s="0"/>
      <c r="NZH59" s="0"/>
      <c r="NZI59" s="0"/>
      <c r="NZJ59" s="0"/>
      <c r="NZK59" s="0"/>
      <c r="NZL59" s="0"/>
      <c r="NZM59" s="0"/>
      <c r="NZN59" s="0"/>
      <c r="NZO59" s="0"/>
      <c r="NZP59" s="0"/>
      <c r="NZQ59" s="0"/>
      <c r="NZR59" s="0"/>
      <c r="NZS59" s="0"/>
      <c r="NZT59" s="0"/>
      <c r="NZU59" s="0"/>
      <c r="NZV59" s="0"/>
      <c r="NZW59" s="0"/>
      <c r="NZX59" s="0"/>
      <c r="NZY59" s="0"/>
      <c r="NZZ59" s="0"/>
      <c r="OAA59" s="0"/>
      <c r="OAB59" s="0"/>
      <c r="OAC59" s="0"/>
      <c r="OAD59" s="0"/>
      <c r="OAE59" s="0"/>
      <c r="OAF59" s="0"/>
      <c r="OAG59" s="0"/>
      <c r="OAH59" s="0"/>
      <c r="OAI59" s="0"/>
      <c r="OAJ59" s="0"/>
      <c r="OAK59" s="0"/>
      <c r="OAL59" s="0"/>
      <c r="OAM59" s="0"/>
      <c r="OAN59" s="0"/>
      <c r="OAO59" s="0"/>
      <c r="OAP59" s="0"/>
      <c r="OAQ59" s="0"/>
      <c r="OAR59" s="0"/>
      <c r="OAS59" s="0"/>
      <c r="OAT59" s="0"/>
      <c r="OAU59" s="0"/>
      <c r="OAV59" s="0"/>
      <c r="OAW59" s="0"/>
      <c r="OAX59" s="0"/>
      <c r="OAY59" s="0"/>
      <c r="OAZ59" s="0"/>
      <c r="OBA59" s="0"/>
      <c r="OBB59" s="0"/>
      <c r="OBC59" s="0"/>
      <c r="OBD59" s="0"/>
      <c r="OBE59" s="0"/>
      <c r="OBF59" s="0"/>
      <c r="OBG59" s="0"/>
      <c r="OBH59" s="0"/>
      <c r="OBI59" s="0"/>
      <c r="OBJ59" s="0"/>
      <c r="OBK59" s="0"/>
      <c r="OBL59" s="0"/>
      <c r="OBM59" s="0"/>
      <c r="OBN59" s="0"/>
      <c r="OBO59" s="0"/>
      <c r="OBP59" s="0"/>
      <c r="OBQ59" s="0"/>
      <c r="OBR59" s="0"/>
      <c r="OBS59" s="0"/>
      <c r="OBT59" s="0"/>
      <c r="OBU59" s="0"/>
      <c r="OBV59" s="0"/>
      <c r="OBW59" s="0"/>
      <c r="OBX59" s="0"/>
      <c r="OBY59" s="0"/>
      <c r="OBZ59" s="0"/>
      <c r="OCA59" s="0"/>
      <c r="OCB59" s="0"/>
      <c r="OCC59" s="0"/>
      <c r="OCD59" s="0"/>
      <c r="OCE59" s="0"/>
      <c r="OCF59" s="0"/>
      <c r="OCG59" s="0"/>
      <c r="OCH59" s="0"/>
      <c r="OCI59" s="0"/>
      <c r="OCJ59" s="0"/>
      <c r="OCK59" s="0"/>
      <c r="OCL59" s="0"/>
      <c r="OCM59" s="0"/>
      <c r="OCN59" s="0"/>
      <c r="OCO59" s="0"/>
      <c r="OCP59" s="0"/>
      <c r="OCQ59" s="0"/>
      <c r="OCR59" s="0"/>
      <c r="OCS59" s="0"/>
      <c r="OCT59" s="0"/>
      <c r="OCU59" s="0"/>
      <c r="OCV59" s="0"/>
      <c r="OCW59" s="0"/>
      <c r="OCX59" s="0"/>
      <c r="OCY59" s="0"/>
      <c r="OCZ59" s="0"/>
      <c r="ODA59" s="0"/>
      <c r="ODB59" s="0"/>
      <c r="ODC59" s="0"/>
      <c r="ODD59" s="0"/>
      <c r="ODE59" s="0"/>
      <c r="ODF59" s="0"/>
      <c r="ODG59" s="0"/>
      <c r="ODH59" s="0"/>
      <c r="ODI59" s="0"/>
      <c r="ODJ59" s="0"/>
      <c r="ODK59" s="0"/>
      <c r="ODL59" s="0"/>
      <c r="ODM59" s="0"/>
      <c r="ODN59" s="0"/>
      <c r="ODO59" s="0"/>
      <c r="ODP59" s="0"/>
      <c r="ODQ59" s="0"/>
      <c r="ODR59" s="0"/>
      <c r="ODS59" s="0"/>
      <c r="ODT59" s="0"/>
      <c r="ODU59" s="0"/>
      <c r="ODV59" s="0"/>
      <c r="ODW59" s="0"/>
      <c r="ODX59" s="0"/>
      <c r="ODY59" s="0"/>
      <c r="ODZ59" s="0"/>
      <c r="OEA59" s="0"/>
      <c r="OEB59" s="0"/>
      <c r="OEC59" s="0"/>
      <c r="OED59" s="0"/>
      <c r="OEE59" s="0"/>
      <c r="OEF59" s="0"/>
      <c r="OEG59" s="0"/>
      <c r="OEH59" s="0"/>
      <c r="OEI59" s="0"/>
      <c r="OEJ59" s="0"/>
      <c r="OEK59" s="0"/>
      <c r="OEL59" s="0"/>
      <c r="OEM59" s="0"/>
      <c r="OEN59" s="0"/>
      <c r="OEO59" s="0"/>
      <c r="OEP59" s="0"/>
      <c r="OEQ59" s="0"/>
      <c r="OER59" s="0"/>
      <c r="OES59" s="0"/>
      <c r="OET59" s="0"/>
      <c r="OEU59" s="0"/>
      <c r="OEV59" s="0"/>
      <c r="OEW59" s="0"/>
      <c r="OEX59" s="0"/>
      <c r="OEY59" s="0"/>
      <c r="OEZ59" s="0"/>
      <c r="OFA59" s="0"/>
      <c r="OFB59" s="0"/>
      <c r="OFC59" s="0"/>
      <c r="OFD59" s="0"/>
      <c r="OFE59" s="0"/>
      <c r="OFF59" s="0"/>
      <c r="OFG59" s="0"/>
      <c r="OFH59" s="0"/>
      <c r="OFI59" s="0"/>
      <c r="OFJ59" s="0"/>
      <c r="OFK59" s="0"/>
      <c r="OFL59" s="0"/>
      <c r="OFM59" s="0"/>
      <c r="OFN59" s="0"/>
      <c r="OFO59" s="0"/>
      <c r="OFP59" s="0"/>
      <c r="OFQ59" s="0"/>
      <c r="OFR59" s="0"/>
      <c r="OFS59" s="0"/>
      <c r="OFT59" s="0"/>
      <c r="OFU59" s="0"/>
      <c r="OFV59" s="0"/>
      <c r="OFW59" s="0"/>
      <c r="OFX59" s="0"/>
      <c r="OFY59" s="0"/>
      <c r="OFZ59" s="0"/>
      <c r="OGA59" s="0"/>
      <c r="OGB59" s="0"/>
      <c r="OGC59" s="0"/>
      <c r="OGD59" s="0"/>
      <c r="OGE59" s="0"/>
      <c r="OGF59" s="0"/>
      <c r="OGG59" s="0"/>
      <c r="OGH59" s="0"/>
      <c r="OGI59" s="0"/>
      <c r="OGJ59" s="0"/>
      <c r="OGK59" s="0"/>
      <c r="OGL59" s="0"/>
      <c r="OGM59" s="0"/>
      <c r="OGN59" s="0"/>
      <c r="OGO59" s="0"/>
      <c r="OGP59" s="0"/>
      <c r="OGQ59" s="0"/>
      <c r="OGR59" s="0"/>
      <c r="OGS59" s="0"/>
      <c r="OGT59" s="0"/>
      <c r="OGU59" s="0"/>
      <c r="OGV59" s="0"/>
      <c r="OGW59" s="0"/>
      <c r="OGX59" s="0"/>
      <c r="OGY59" s="0"/>
      <c r="OGZ59" s="0"/>
      <c r="OHA59" s="0"/>
      <c r="OHB59" s="0"/>
      <c r="OHC59" s="0"/>
      <c r="OHD59" s="0"/>
      <c r="OHE59" s="0"/>
      <c r="OHF59" s="0"/>
      <c r="OHG59" s="0"/>
      <c r="OHH59" s="0"/>
      <c r="OHI59" s="0"/>
      <c r="OHJ59" s="0"/>
      <c r="OHK59" s="0"/>
      <c r="OHL59" s="0"/>
      <c r="OHM59" s="0"/>
      <c r="OHN59" s="0"/>
      <c r="OHO59" s="0"/>
      <c r="OHP59" s="0"/>
      <c r="OHQ59" s="0"/>
      <c r="OHR59" s="0"/>
      <c r="OHS59" s="0"/>
      <c r="OHT59" s="0"/>
      <c r="OHU59" s="0"/>
      <c r="OHV59" s="0"/>
      <c r="OHW59" s="0"/>
      <c r="OHX59" s="0"/>
      <c r="OHY59" s="0"/>
      <c r="OHZ59" s="0"/>
      <c r="OIA59" s="0"/>
      <c r="OIB59" s="0"/>
      <c r="OIC59" s="0"/>
      <c r="OID59" s="0"/>
      <c r="OIE59" s="0"/>
      <c r="OIF59" s="0"/>
      <c r="OIG59" s="0"/>
      <c r="OIH59" s="0"/>
      <c r="OII59" s="0"/>
      <c r="OIJ59" s="0"/>
      <c r="OIK59" s="0"/>
      <c r="OIL59" s="0"/>
      <c r="OIM59" s="0"/>
      <c r="OIN59" s="0"/>
      <c r="OIO59" s="0"/>
      <c r="OIP59" s="0"/>
      <c r="OIQ59" s="0"/>
      <c r="OIR59" s="0"/>
      <c r="OIS59" s="0"/>
      <c r="OIT59" s="0"/>
      <c r="OIU59" s="0"/>
      <c r="OIV59" s="0"/>
      <c r="OIW59" s="0"/>
      <c r="OIX59" s="0"/>
      <c r="OIY59" s="0"/>
      <c r="OIZ59" s="0"/>
      <c r="OJA59" s="0"/>
      <c r="OJB59" s="0"/>
      <c r="OJC59" s="0"/>
      <c r="OJD59" s="0"/>
      <c r="OJE59" s="0"/>
      <c r="OJF59" s="0"/>
      <c r="OJG59" s="0"/>
      <c r="OJH59" s="0"/>
      <c r="OJI59" s="0"/>
      <c r="OJJ59" s="0"/>
      <c r="OJK59" s="0"/>
      <c r="OJL59" s="0"/>
      <c r="OJM59" s="0"/>
      <c r="OJN59" s="0"/>
      <c r="OJO59" s="0"/>
      <c r="OJP59" s="0"/>
      <c r="OJQ59" s="0"/>
      <c r="OJR59" s="0"/>
      <c r="OJS59" s="0"/>
      <c r="OJT59" s="0"/>
      <c r="OJU59" s="0"/>
      <c r="OJV59" s="0"/>
      <c r="OJW59" s="0"/>
      <c r="OJX59" s="0"/>
      <c r="OJY59" s="0"/>
      <c r="OJZ59" s="0"/>
      <c r="OKA59" s="0"/>
      <c r="OKB59" s="0"/>
      <c r="OKC59" s="0"/>
      <c r="OKD59" s="0"/>
      <c r="OKE59" s="0"/>
      <c r="OKF59" s="0"/>
      <c r="OKG59" s="0"/>
      <c r="OKH59" s="0"/>
      <c r="OKI59" s="0"/>
      <c r="OKJ59" s="0"/>
      <c r="OKK59" s="0"/>
      <c r="OKL59" s="0"/>
      <c r="OKM59" s="0"/>
      <c r="OKN59" s="0"/>
      <c r="OKO59" s="0"/>
      <c r="OKP59" s="0"/>
      <c r="OKQ59" s="0"/>
      <c r="OKR59" s="0"/>
      <c r="OKS59" s="0"/>
      <c r="OKT59" s="0"/>
      <c r="OKU59" s="0"/>
      <c r="OKV59" s="0"/>
      <c r="OKW59" s="0"/>
      <c r="OKX59" s="0"/>
      <c r="OKY59" s="0"/>
      <c r="OKZ59" s="0"/>
      <c r="OLA59" s="0"/>
      <c r="OLB59" s="0"/>
      <c r="OLC59" s="0"/>
      <c r="OLD59" s="0"/>
      <c r="OLE59" s="0"/>
      <c r="OLF59" s="0"/>
      <c r="OLG59" s="0"/>
      <c r="OLH59" s="0"/>
      <c r="OLI59" s="0"/>
      <c r="OLJ59" s="0"/>
      <c r="OLK59" s="0"/>
      <c r="OLL59" s="0"/>
      <c r="OLM59" s="0"/>
      <c r="OLN59" s="0"/>
      <c r="OLO59" s="0"/>
      <c r="OLP59" s="0"/>
      <c r="OLQ59" s="0"/>
      <c r="OLR59" s="0"/>
      <c r="OLS59" s="0"/>
      <c r="OLT59" s="0"/>
      <c r="OLU59" s="0"/>
      <c r="OLV59" s="0"/>
      <c r="OLW59" s="0"/>
      <c r="OLX59" s="0"/>
      <c r="OLY59" s="0"/>
      <c r="OLZ59" s="0"/>
      <c r="OMA59" s="0"/>
      <c r="OMB59" s="0"/>
      <c r="OMC59" s="0"/>
      <c r="OMD59" s="0"/>
      <c r="OME59" s="0"/>
      <c r="OMF59" s="0"/>
      <c r="OMG59" s="0"/>
      <c r="OMH59" s="0"/>
      <c r="OMI59" s="0"/>
      <c r="OMJ59" s="0"/>
      <c r="OMK59" s="0"/>
      <c r="OML59" s="0"/>
      <c r="OMM59" s="0"/>
      <c r="OMN59" s="0"/>
      <c r="OMO59" s="0"/>
      <c r="OMP59" s="0"/>
      <c r="OMQ59" s="0"/>
      <c r="OMR59" s="0"/>
      <c r="OMS59" s="0"/>
      <c r="OMT59" s="0"/>
      <c r="OMU59" s="0"/>
      <c r="OMV59" s="0"/>
      <c r="OMW59" s="0"/>
      <c r="OMX59" s="0"/>
      <c r="OMY59" s="0"/>
      <c r="OMZ59" s="0"/>
      <c r="ONA59" s="0"/>
      <c r="ONB59" s="0"/>
      <c r="ONC59" s="0"/>
      <c r="OND59" s="0"/>
      <c r="ONE59" s="0"/>
      <c r="ONF59" s="0"/>
      <c r="ONG59" s="0"/>
      <c r="ONH59" s="0"/>
      <c r="ONI59" s="0"/>
      <c r="ONJ59" s="0"/>
      <c r="ONK59" s="0"/>
      <c r="ONL59" s="0"/>
      <c r="ONM59" s="0"/>
      <c r="ONN59" s="0"/>
      <c r="ONO59" s="0"/>
      <c r="ONP59" s="0"/>
      <c r="ONQ59" s="0"/>
      <c r="ONR59" s="0"/>
      <c r="ONS59" s="0"/>
      <c r="ONT59" s="0"/>
      <c r="ONU59" s="0"/>
      <c r="ONV59" s="0"/>
      <c r="ONW59" s="0"/>
      <c r="ONX59" s="0"/>
      <c r="ONY59" s="0"/>
      <c r="ONZ59" s="0"/>
      <c r="OOA59" s="0"/>
      <c r="OOB59" s="0"/>
      <c r="OOC59" s="0"/>
      <c r="OOD59" s="0"/>
      <c r="OOE59" s="0"/>
      <c r="OOF59" s="0"/>
      <c r="OOG59" s="0"/>
      <c r="OOH59" s="0"/>
      <c r="OOI59" s="0"/>
      <c r="OOJ59" s="0"/>
      <c r="OOK59" s="0"/>
      <c r="OOL59" s="0"/>
      <c r="OOM59" s="0"/>
      <c r="OON59" s="0"/>
      <c r="OOO59" s="0"/>
      <c r="OOP59" s="0"/>
      <c r="OOQ59" s="0"/>
      <c r="OOR59" s="0"/>
      <c r="OOS59" s="0"/>
      <c r="OOT59" s="0"/>
      <c r="OOU59" s="0"/>
      <c r="OOV59" s="0"/>
      <c r="OOW59" s="0"/>
      <c r="OOX59" s="0"/>
      <c r="OOY59" s="0"/>
      <c r="OOZ59" s="0"/>
      <c r="OPA59" s="0"/>
      <c r="OPB59" s="0"/>
      <c r="OPC59" s="0"/>
      <c r="OPD59" s="0"/>
      <c r="OPE59" s="0"/>
      <c r="OPF59" s="0"/>
      <c r="OPG59" s="0"/>
      <c r="OPH59" s="0"/>
      <c r="OPI59" s="0"/>
      <c r="OPJ59" s="0"/>
      <c r="OPK59" s="0"/>
      <c r="OPL59" s="0"/>
      <c r="OPM59" s="0"/>
      <c r="OPN59" s="0"/>
      <c r="OPO59" s="0"/>
      <c r="OPP59" s="0"/>
      <c r="OPQ59" s="0"/>
      <c r="OPR59" s="0"/>
      <c r="OPS59" s="0"/>
      <c r="OPT59" s="0"/>
      <c r="OPU59" s="0"/>
      <c r="OPV59" s="0"/>
      <c r="OPW59" s="0"/>
      <c r="OPX59" s="0"/>
      <c r="OPY59" s="0"/>
      <c r="OPZ59" s="0"/>
      <c r="OQA59" s="0"/>
      <c r="OQB59" s="0"/>
      <c r="OQC59" s="0"/>
      <c r="OQD59" s="0"/>
      <c r="OQE59" s="0"/>
      <c r="OQF59" s="0"/>
      <c r="OQG59" s="0"/>
      <c r="OQH59" s="0"/>
      <c r="OQI59" s="0"/>
      <c r="OQJ59" s="0"/>
      <c r="OQK59" s="0"/>
      <c r="OQL59" s="0"/>
      <c r="OQM59" s="0"/>
      <c r="OQN59" s="0"/>
      <c r="OQO59" s="0"/>
      <c r="OQP59" s="0"/>
      <c r="OQQ59" s="0"/>
      <c r="OQR59" s="0"/>
      <c r="OQS59" s="0"/>
      <c r="OQT59" s="0"/>
      <c r="OQU59" s="0"/>
      <c r="OQV59" s="0"/>
      <c r="OQW59" s="0"/>
      <c r="OQX59" s="0"/>
      <c r="OQY59" s="0"/>
      <c r="OQZ59" s="0"/>
      <c r="ORA59" s="0"/>
      <c r="ORB59" s="0"/>
      <c r="ORC59" s="0"/>
      <c r="ORD59" s="0"/>
      <c r="ORE59" s="0"/>
      <c r="ORF59" s="0"/>
      <c r="ORG59" s="0"/>
      <c r="ORH59" s="0"/>
      <c r="ORI59" s="0"/>
      <c r="ORJ59" s="0"/>
      <c r="ORK59" s="0"/>
      <c r="ORL59" s="0"/>
      <c r="ORM59" s="0"/>
      <c r="ORN59" s="0"/>
      <c r="ORO59" s="0"/>
      <c r="ORP59" s="0"/>
      <c r="ORQ59" s="0"/>
      <c r="ORR59" s="0"/>
      <c r="ORS59" s="0"/>
      <c r="ORT59" s="0"/>
      <c r="ORU59" s="0"/>
      <c r="ORV59" s="0"/>
      <c r="ORW59" s="0"/>
      <c r="ORX59" s="0"/>
      <c r="ORY59" s="0"/>
      <c r="ORZ59" s="0"/>
      <c r="OSA59" s="0"/>
      <c r="OSB59" s="0"/>
      <c r="OSC59" s="0"/>
      <c r="OSD59" s="0"/>
      <c r="OSE59" s="0"/>
      <c r="OSF59" s="0"/>
      <c r="OSG59" s="0"/>
      <c r="OSH59" s="0"/>
      <c r="OSI59" s="0"/>
      <c r="OSJ59" s="0"/>
      <c r="OSK59" s="0"/>
      <c r="OSL59" s="0"/>
      <c r="OSM59" s="0"/>
      <c r="OSN59" s="0"/>
      <c r="OSO59" s="0"/>
      <c r="OSP59" s="0"/>
      <c r="OSQ59" s="0"/>
      <c r="OSR59" s="0"/>
      <c r="OSS59" s="0"/>
      <c r="OST59" s="0"/>
      <c r="OSU59" s="0"/>
      <c r="OSV59" s="0"/>
      <c r="OSW59" s="0"/>
      <c r="OSX59" s="0"/>
      <c r="OSY59" s="0"/>
      <c r="OSZ59" s="0"/>
      <c r="OTA59" s="0"/>
      <c r="OTB59" s="0"/>
      <c r="OTC59" s="0"/>
      <c r="OTD59" s="0"/>
      <c r="OTE59" s="0"/>
      <c r="OTF59" s="0"/>
      <c r="OTG59" s="0"/>
      <c r="OTH59" s="0"/>
      <c r="OTI59" s="0"/>
      <c r="OTJ59" s="0"/>
      <c r="OTK59" s="0"/>
      <c r="OTL59" s="0"/>
      <c r="OTM59" s="0"/>
      <c r="OTN59" s="0"/>
      <c r="OTO59" s="0"/>
      <c r="OTP59" s="0"/>
      <c r="OTQ59" s="0"/>
      <c r="OTR59" s="0"/>
      <c r="OTS59" s="0"/>
      <c r="OTT59" s="0"/>
      <c r="OTU59" s="0"/>
      <c r="OTV59" s="0"/>
      <c r="OTW59" s="0"/>
      <c r="OTX59" s="0"/>
      <c r="OTY59" s="0"/>
      <c r="OTZ59" s="0"/>
      <c r="OUA59" s="0"/>
      <c r="OUB59" s="0"/>
      <c r="OUC59" s="0"/>
      <c r="OUD59" s="0"/>
      <c r="OUE59" s="0"/>
      <c r="OUF59" s="0"/>
      <c r="OUG59" s="0"/>
      <c r="OUH59" s="0"/>
      <c r="OUI59" s="0"/>
      <c r="OUJ59" s="0"/>
      <c r="OUK59" s="0"/>
      <c r="OUL59" s="0"/>
      <c r="OUM59" s="0"/>
      <c r="OUN59" s="0"/>
      <c r="OUO59" s="0"/>
      <c r="OUP59" s="0"/>
      <c r="OUQ59" s="0"/>
      <c r="OUR59" s="0"/>
      <c r="OUS59" s="0"/>
      <c r="OUT59" s="0"/>
      <c r="OUU59" s="0"/>
      <c r="OUV59" s="0"/>
      <c r="OUW59" s="0"/>
      <c r="OUX59" s="0"/>
      <c r="OUY59" s="0"/>
      <c r="OUZ59" s="0"/>
      <c r="OVA59" s="0"/>
      <c r="OVB59" s="0"/>
      <c r="OVC59" s="0"/>
      <c r="OVD59" s="0"/>
      <c r="OVE59" s="0"/>
      <c r="OVF59" s="0"/>
      <c r="OVG59" s="0"/>
      <c r="OVH59" s="0"/>
      <c r="OVI59" s="0"/>
      <c r="OVJ59" s="0"/>
      <c r="OVK59" s="0"/>
      <c r="OVL59" s="0"/>
      <c r="OVM59" s="0"/>
      <c r="OVN59" s="0"/>
      <c r="OVO59" s="0"/>
      <c r="OVP59" s="0"/>
      <c r="OVQ59" s="0"/>
      <c r="OVR59" s="0"/>
      <c r="OVS59" s="0"/>
      <c r="OVT59" s="0"/>
      <c r="OVU59" s="0"/>
      <c r="OVV59" s="0"/>
      <c r="OVW59" s="0"/>
      <c r="OVX59" s="0"/>
      <c r="OVY59" s="0"/>
      <c r="OVZ59" s="0"/>
      <c r="OWA59" s="0"/>
      <c r="OWB59" s="0"/>
      <c r="OWC59" s="0"/>
      <c r="OWD59" s="0"/>
      <c r="OWE59" s="0"/>
      <c r="OWF59" s="0"/>
      <c r="OWG59" s="0"/>
      <c r="OWH59" s="0"/>
      <c r="OWI59" s="0"/>
      <c r="OWJ59" s="0"/>
      <c r="OWK59" s="0"/>
      <c r="OWL59" s="0"/>
      <c r="OWM59" s="0"/>
      <c r="OWN59" s="0"/>
      <c r="OWO59" s="0"/>
      <c r="OWP59" s="0"/>
      <c r="OWQ59" s="0"/>
      <c r="OWR59" s="0"/>
      <c r="OWS59" s="0"/>
      <c r="OWT59" s="0"/>
      <c r="OWU59" s="0"/>
      <c r="OWV59" s="0"/>
      <c r="OWW59" s="0"/>
      <c r="OWX59" s="0"/>
      <c r="OWY59" s="0"/>
      <c r="OWZ59" s="0"/>
      <c r="OXA59" s="0"/>
      <c r="OXB59" s="0"/>
      <c r="OXC59" s="0"/>
      <c r="OXD59" s="0"/>
      <c r="OXE59" s="0"/>
      <c r="OXF59" s="0"/>
      <c r="OXG59" s="0"/>
      <c r="OXH59" s="0"/>
      <c r="OXI59" s="0"/>
      <c r="OXJ59" s="0"/>
      <c r="OXK59" s="0"/>
      <c r="OXL59" s="0"/>
      <c r="OXM59" s="0"/>
      <c r="OXN59" s="0"/>
      <c r="OXO59" s="0"/>
      <c r="OXP59" s="0"/>
      <c r="OXQ59" s="0"/>
      <c r="OXR59" s="0"/>
      <c r="OXS59" s="0"/>
      <c r="OXT59" s="0"/>
      <c r="OXU59" s="0"/>
      <c r="OXV59" s="0"/>
      <c r="OXW59" s="0"/>
      <c r="OXX59" s="0"/>
      <c r="OXY59" s="0"/>
      <c r="OXZ59" s="0"/>
      <c r="OYA59" s="0"/>
      <c r="OYB59" s="0"/>
      <c r="OYC59" s="0"/>
      <c r="OYD59" s="0"/>
      <c r="OYE59" s="0"/>
      <c r="OYF59" s="0"/>
      <c r="OYG59" s="0"/>
      <c r="OYH59" s="0"/>
      <c r="OYI59" s="0"/>
      <c r="OYJ59" s="0"/>
      <c r="OYK59" s="0"/>
      <c r="OYL59" s="0"/>
      <c r="OYM59" s="0"/>
      <c r="OYN59" s="0"/>
      <c r="OYO59" s="0"/>
      <c r="OYP59" s="0"/>
      <c r="OYQ59" s="0"/>
      <c r="OYR59" s="0"/>
      <c r="OYS59" s="0"/>
      <c r="OYT59" s="0"/>
      <c r="OYU59" s="0"/>
      <c r="OYV59" s="0"/>
      <c r="OYW59" s="0"/>
      <c r="OYX59" s="0"/>
      <c r="OYY59" s="0"/>
      <c r="OYZ59" s="0"/>
      <c r="OZA59" s="0"/>
      <c r="OZB59" s="0"/>
      <c r="OZC59" s="0"/>
      <c r="OZD59" s="0"/>
      <c r="OZE59" s="0"/>
      <c r="OZF59" s="0"/>
      <c r="OZG59" s="0"/>
      <c r="OZH59" s="0"/>
      <c r="OZI59" s="0"/>
      <c r="OZJ59" s="0"/>
      <c r="OZK59" s="0"/>
      <c r="OZL59" s="0"/>
      <c r="OZM59" s="0"/>
      <c r="OZN59" s="0"/>
      <c r="OZO59" s="0"/>
      <c r="OZP59" s="0"/>
      <c r="OZQ59" s="0"/>
      <c r="OZR59" s="0"/>
      <c r="OZS59" s="0"/>
      <c r="OZT59" s="0"/>
      <c r="OZU59" s="0"/>
      <c r="OZV59" s="0"/>
      <c r="OZW59" s="0"/>
      <c r="OZX59" s="0"/>
      <c r="OZY59" s="0"/>
      <c r="OZZ59" s="0"/>
      <c r="PAA59" s="0"/>
      <c r="PAB59" s="0"/>
      <c r="PAC59" s="0"/>
      <c r="PAD59" s="0"/>
      <c r="PAE59" s="0"/>
      <c r="PAF59" s="0"/>
      <c r="PAG59" s="0"/>
      <c r="PAH59" s="0"/>
      <c r="PAI59" s="0"/>
      <c r="PAJ59" s="0"/>
      <c r="PAK59" s="0"/>
      <c r="PAL59" s="0"/>
      <c r="PAM59" s="0"/>
      <c r="PAN59" s="0"/>
      <c r="PAO59" s="0"/>
      <c r="PAP59" s="0"/>
      <c r="PAQ59" s="0"/>
      <c r="PAR59" s="0"/>
      <c r="PAS59" s="0"/>
      <c r="PAT59" s="0"/>
      <c r="PAU59" s="0"/>
      <c r="PAV59" s="0"/>
      <c r="PAW59" s="0"/>
      <c r="PAX59" s="0"/>
      <c r="PAY59" s="0"/>
      <c r="PAZ59" s="0"/>
      <c r="PBA59" s="0"/>
      <c r="PBB59" s="0"/>
      <c r="PBC59" s="0"/>
      <c r="PBD59" s="0"/>
      <c r="PBE59" s="0"/>
      <c r="PBF59" s="0"/>
      <c r="PBG59" s="0"/>
      <c r="PBH59" s="0"/>
      <c r="PBI59" s="0"/>
      <c r="PBJ59" s="0"/>
      <c r="PBK59" s="0"/>
      <c r="PBL59" s="0"/>
      <c r="PBM59" s="0"/>
      <c r="PBN59" s="0"/>
      <c r="PBO59" s="0"/>
      <c r="PBP59" s="0"/>
      <c r="PBQ59" s="0"/>
      <c r="PBR59" s="0"/>
      <c r="PBS59" s="0"/>
      <c r="PBT59" s="0"/>
      <c r="PBU59" s="0"/>
      <c r="PBV59" s="0"/>
      <c r="PBW59" s="0"/>
      <c r="PBX59" s="0"/>
      <c r="PBY59" s="0"/>
      <c r="PBZ59" s="0"/>
      <c r="PCA59" s="0"/>
      <c r="PCB59" s="0"/>
      <c r="PCC59" s="0"/>
      <c r="PCD59" s="0"/>
      <c r="PCE59" s="0"/>
      <c r="PCF59" s="0"/>
      <c r="PCG59" s="0"/>
      <c r="PCH59" s="0"/>
      <c r="PCI59" s="0"/>
      <c r="PCJ59" s="0"/>
      <c r="PCK59" s="0"/>
      <c r="PCL59" s="0"/>
      <c r="PCM59" s="0"/>
      <c r="PCN59" s="0"/>
      <c r="PCO59" s="0"/>
      <c r="PCP59" s="0"/>
      <c r="PCQ59" s="0"/>
      <c r="PCR59" s="0"/>
      <c r="PCS59" s="0"/>
      <c r="PCT59" s="0"/>
      <c r="PCU59" s="0"/>
      <c r="PCV59" s="0"/>
      <c r="PCW59" s="0"/>
      <c r="PCX59" s="0"/>
      <c r="PCY59" s="0"/>
      <c r="PCZ59" s="0"/>
      <c r="PDA59" s="0"/>
      <c r="PDB59" s="0"/>
      <c r="PDC59" s="0"/>
      <c r="PDD59" s="0"/>
      <c r="PDE59" s="0"/>
      <c r="PDF59" s="0"/>
      <c r="PDG59" s="0"/>
      <c r="PDH59" s="0"/>
      <c r="PDI59" s="0"/>
      <c r="PDJ59" s="0"/>
      <c r="PDK59" s="0"/>
      <c r="PDL59" s="0"/>
      <c r="PDM59" s="0"/>
      <c r="PDN59" s="0"/>
      <c r="PDO59" s="0"/>
      <c r="PDP59" s="0"/>
      <c r="PDQ59" s="0"/>
      <c r="PDR59" s="0"/>
      <c r="PDS59" s="0"/>
      <c r="PDT59" s="0"/>
      <c r="PDU59" s="0"/>
      <c r="PDV59" s="0"/>
      <c r="PDW59" s="0"/>
      <c r="PDX59" s="0"/>
      <c r="PDY59" s="0"/>
      <c r="PDZ59" s="0"/>
      <c r="PEA59" s="0"/>
      <c r="PEB59" s="0"/>
      <c r="PEC59" s="0"/>
      <c r="PED59" s="0"/>
      <c r="PEE59" s="0"/>
      <c r="PEF59" s="0"/>
      <c r="PEG59" s="0"/>
      <c r="PEH59" s="0"/>
      <c r="PEI59" s="0"/>
      <c r="PEJ59" s="0"/>
      <c r="PEK59" s="0"/>
      <c r="PEL59" s="0"/>
      <c r="PEM59" s="0"/>
      <c r="PEN59" s="0"/>
      <c r="PEO59" s="0"/>
      <c r="PEP59" s="0"/>
      <c r="PEQ59" s="0"/>
      <c r="PER59" s="0"/>
      <c r="PES59" s="0"/>
      <c r="PET59" s="0"/>
      <c r="PEU59" s="0"/>
      <c r="PEV59" s="0"/>
      <c r="PEW59" s="0"/>
      <c r="PEX59" s="0"/>
      <c r="PEY59" s="0"/>
      <c r="PEZ59" s="0"/>
      <c r="PFA59" s="0"/>
      <c r="PFB59" s="0"/>
      <c r="PFC59" s="0"/>
      <c r="PFD59" s="0"/>
      <c r="PFE59" s="0"/>
      <c r="PFF59" s="0"/>
      <c r="PFG59" s="0"/>
      <c r="PFH59" s="0"/>
      <c r="PFI59" s="0"/>
      <c r="PFJ59" s="0"/>
      <c r="PFK59" s="0"/>
      <c r="PFL59" s="0"/>
      <c r="PFM59" s="0"/>
      <c r="PFN59" s="0"/>
      <c r="PFO59" s="0"/>
      <c r="PFP59" s="0"/>
      <c r="PFQ59" s="0"/>
      <c r="PFR59" s="0"/>
      <c r="PFS59" s="0"/>
      <c r="PFT59" s="0"/>
      <c r="PFU59" s="0"/>
      <c r="PFV59" s="0"/>
      <c r="PFW59" s="0"/>
      <c r="PFX59" s="0"/>
      <c r="PFY59" s="0"/>
      <c r="PFZ59" s="0"/>
      <c r="PGA59" s="0"/>
      <c r="PGB59" s="0"/>
      <c r="PGC59" s="0"/>
      <c r="PGD59" s="0"/>
      <c r="PGE59" s="0"/>
      <c r="PGF59" s="0"/>
      <c r="PGG59" s="0"/>
      <c r="PGH59" s="0"/>
      <c r="PGI59" s="0"/>
      <c r="PGJ59" s="0"/>
      <c r="PGK59" s="0"/>
      <c r="PGL59" s="0"/>
      <c r="PGM59" s="0"/>
      <c r="PGN59" s="0"/>
      <c r="PGO59" s="0"/>
      <c r="PGP59" s="0"/>
      <c r="PGQ59" s="0"/>
      <c r="PGR59" s="0"/>
      <c r="PGS59" s="0"/>
      <c r="PGT59" s="0"/>
      <c r="PGU59" s="0"/>
      <c r="PGV59" s="0"/>
      <c r="PGW59" s="0"/>
      <c r="PGX59" s="0"/>
      <c r="PGY59" s="0"/>
      <c r="PGZ59" s="0"/>
      <c r="PHA59" s="0"/>
      <c r="PHB59" s="0"/>
      <c r="PHC59" s="0"/>
      <c r="PHD59" s="0"/>
      <c r="PHE59" s="0"/>
      <c r="PHF59" s="0"/>
      <c r="PHG59" s="0"/>
      <c r="PHH59" s="0"/>
      <c r="PHI59" s="0"/>
      <c r="PHJ59" s="0"/>
      <c r="PHK59" s="0"/>
      <c r="PHL59" s="0"/>
      <c r="PHM59" s="0"/>
      <c r="PHN59" s="0"/>
      <c r="PHO59" s="0"/>
      <c r="PHP59" s="0"/>
      <c r="PHQ59" s="0"/>
      <c r="PHR59" s="0"/>
      <c r="PHS59" s="0"/>
      <c r="PHT59" s="0"/>
      <c r="PHU59" s="0"/>
      <c r="PHV59" s="0"/>
      <c r="PHW59" s="0"/>
      <c r="PHX59" s="0"/>
      <c r="PHY59" s="0"/>
      <c r="PHZ59" s="0"/>
      <c r="PIA59" s="0"/>
      <c r="PIB59" s="0"/>
      <c r="PIC59" s="0"/>
      <c r="PID59" s="0"/>
      <c r="PIE59" s="0"/>
      <c r="PIF59" s="0"/>
      <c r="PIG59" s="0"/>
      <c r="PIH59" s="0"/>
      <c r="PII59" s="0"/>
      <c r="PIJ59" s="0"/>
      <c r="PIK59" s="0"/>
      <c r="PIL59" s="0"/>
      <c r="PIM59" s="0"/>
      <c r="PIN59" s="0"/>
      <c r="PIO59" s="0"/>
      <c r="PIP59" s="0"/>
      <c r="PIQ59" s="0"/>
      <c r="PIR59" s="0"/>
      <c r="PIS59" s="0"/>
      <c r="PIT59" s="0"/>
      <c r="PIU59" s="0"/>
      <c r="PIV59" s="0"/>
      <c r="PIW59" s="0"/>
      <c r="PIX59" s="0"/>
      <c r="PIY59" s="0"/>
      <c r="PIZ59" s="0"/>
      <c r="PJA59" s="0"/>
      <c r="PJB59" s="0"/>
      <c r="PJC59" s="0"/>
      <c r="PJD59" s="0"/>
      <c r="PJE59" s="0"/>
      <c r="PJF59" s="0"/>
      <c r="PJG59" s="0"/>
      <c r="PJH59" s="0"/>
      <c r="PJI59" s="0"/>
      <c r="PJJ59" s="0"/>
      <c r="PJK59" s="0"/>
      <c r="PJL59" s="0"/>
      <c r="PJM59" s="0"/>
      <c r="PJN59" s="0"/>
      <c r="PJO59" s="0"/>
      <c r="PJP59" s="0"/>
      <c r="PJQ59" s="0"/>
      <c r="PJR59" s="0"/>
      <c r="PJS59" s="0"/>
      <c r="PJT59" s="0"/>
      <c r="PJU59" s="0"/>
      <c r="PJV59" s="0"/>
      <c r="PJW59" s="0"/>
      <c r="PJX59" s="0"/>
      <c r="PJY59" s="0"/>
      <c r="PJZ59" s="0"/>
      <c r="PKA59" s="0"/>
      <c r="PKB59" s="0"/>
      <c r="PKC59" s="0"/>
      <c r="PKD59" s="0"/>
      <c r="PKE59" s="0"/>
      <c r="PKF59" s="0"/>
      <c r="PKG59" s="0"/>
      <c r="PKH59" s="0"/>
      <c r="PKI59" s="0"/>
      <c r="PKJ59" s="0"/>
      <c r="PKK59" s="0"/>
      <c r="PKL59" s="0"/>
      <c r="PKM59" s="0"/>
      <c r="PKN59" s="0"/>
      <c r="PKO59" s="0"/>
      <c r="PKP59" s="0"/>
      <c r="PKQ59" s="0"/>
      <c r="PKR59" s="0"/>
      <c r="PKS59" s="0"/>
      <c r="PKT59" s="0"/>
      <c r="PKU59" s="0"/>
      <c r="PKV59" s="0"/>
      <c r="PKW59" s="0"/>
      <c r="PKX59" s="0"/>
      <c r="PKY59" s="0"/>
      <c r="PKZ59" s="0"/>
      <c r="PLA59" s="0"/>
      <c r="PLB59" s="0"/>
      <c r="PLC59" s="0"/>
      <c r="PLD59" s="0"/>
      <c r="PLE59" s="0"/>
      <c r="PLF59" s="0"/>
      <c r="PLG59" s="0"/>
      <c r="PLH59" s="0"/>
      <c r="PLI59" s="0"/>
      <c r="PLJ59" s="0"/>
      <c r="PLK59" s="0"/>
      <c r="PLL59" s="0"/>
      <c r="PLM59" s="0"/>
      <c r="PLN59" s="0"/>
      <c r="PLO59" s="0"/>
      <c r="PLP59" s="0"/>
      <c r="PLQ59" s="0"/>
      <c r="PLR59" s="0"/>
      <c r="PLS59" s="0"/>
      <c r="PLT59" s="0"/>
      <c r="PLU59" s="0"/>
      <c r="PLV59" s="0"/>
      <c r="PLW59" s="0"/>
      <c r="PLX59" s="0"/>
      <c r="PLY59" s="0"/>
      <c r="PLZ59" s="0"/>
      <c r="PMA59" s="0"/>
      <c r="PMB59" s="0"/>
      <c r="PMC59" s="0"/>
      <c r="PMD59" s="0"/>
      <c r="PME59" s="0"/>
      <c r="PMF59" s="0"/>
      <c r="PMG59" s="0"/>
      <c r="PMH59" s="0"/>
      <c r="PMI59" s="0"/>
      <c r="PMJ59" s="0"/>
      <c r="PMK59" s="0"/>
      <c r="PML59" s="0"/>
      <c r="PMM59" s="0"/>
      <c r="PMN59" s="0"/>
      <c r="PMO59" s="0"/>
      <c r="PMP59" s="0"/>
      <c r="PMQ59" s="0"/>
      <c r="PMR59" s="0"/>
      <c r="PMS59" s="0"/>
      <c r="PMT59" s="0"/>
      <c r="PMU59" s="0"/>
      <c r="PMV59" s="0"/>
      <c r="PMW59" s="0"/>
      <c r="PMX59" s="0"/>
      <c r="PMY59" s="0"/>
      <c r="PMZ59" s="0"/>
      <c r="PNA59" s="0"/>
      <c r="PNB59" s="0"/>
      <c r="PNC59" s="0"/>
      <c r="PND59" s="0"/>
      <c r="PNE59" s="0"/>
      <c r="PNF59" s="0"/>
      <c r="PNG59" s="0"/>
      <c r="PNH59" s="0"/>
      <c r="PNI59" s="0"/>
      <c r="PNJ59" s="0"/>
      <c r="PNK59" s="0"/>
      <c r="PNL59" s="0"/>
      <c r="PNM59" s="0"/>
      <c r="PNN59" s="0"/>
      <c r="PNO59" s="0"/>
      <c r="PNP59" s="0"/>
      <c r="PNQ59" s="0"/>
      <c r="PNR59" s="0"/>
      <c r="PNS59" s="0"/>
      <c r="PNT59" s="0"/>
      <c r="PNU59" s="0"/>
      <c r="PNV59" s="0"/>
      <c r="PNW59" s="0"/>
      <c r="PNX59" s="0"/>
      <c r="PNY59" s="0"/>
      <c r="PNZ59" s="0"/>
      <c r="POA59" s="0"/>
      <c r="POB59" s="0"/>
      <c r="POC59" s="0"/>
      <c r="POD59" s="0"/>
      <c r="POE59" s="0"/>
      <c r="POF59" s="0"/>
      <c r="POG59" s="0"/>
      <c r="POH59" s="0"/>
      <c r="POI59" s="0"/>
      <c r="POJ59" s="0"/>
      <c r="POK59" s="0"/>
      <c r="POL59" s="0"/>
      <c r="POM59" s="0"/>
      <c r="PON59" s="0"/>
      <c r="POO59" s="0"/>
      <c r="POP59" s="0"/>
      <c r="POQ59" s="0"/>
      <c r="POR59" s="0"/>
      <c r="POS59" s="0"/>
      <c r="POT59" s="0"/>
      <c r="POU59" s="0"/>
      <c r="POV59" s="0"/>
      <c r="POW59" s="0"/>
      <c r="POX59" s="0"/>
      <c r="POY59" s="0"/>
      <c r="POZ59" s="0"/>
      <c r="PPA59" s="0"/>
      <c r="PPB59" s="0"/>
      <c r="PPC59" s="0"/>
      <c r="PPD59" s="0"/>
      <c r="PPE59" s="0"/>
      <c r="PPF59" s="0"/>
      <c r="PPG59" s="0"/>
      <c r="PPH59" s="0"/>
      <c r="PPI59" s="0"/>
      <c r="PPJ59" s="0"/>
      <c r="PPK59" s="0"/>
      <c r="PPL59" s="0"/>
      <c r="PPM59" s="0"/>
      <c r="PPN59" s="0"/>
      <c r="PPO59" s="0"/>
      <c r="PPP59" s="0"/>
      <c r="PPQ59" s="0"/>
      <c r="PPR59" s="0"/>
      <c r="PPS59" s="0"/>
      <c r="PPT59" s="0"/>
      <c r="PPU59" s="0"/>
      <c r="PPV59" s="0"/>
      <c r="PPW59" s="0"/>
      <c r="PPX59" s="0"/>
      <c r="PPY59" s="0"/>
      <c r="PPZ59" s="0"/>
      <c r="PQA59" s="0"/>
      <c r="PQB59" s="0"/>
      <c r="PQC59" s="0"/>
      <c r="PQD59" s="0"/>
      <c r="PQE59" s="0"/>
      <c r="PQF59" s="0"/>
      <c r="PQG59" s="0"/>
      <c r="PQH59" s="0"/>
      <c r="PQI59" s="0"/>
      <c r="PQJ59" s="0"/>
      <c r="PQK59" s="0"/>
      <c r="PQL59" s="0"/>
      <c r="PQM59" s="0"/>
      <c r="PQN59" s="0"/>
      <c r="PQO59" s="0"/>
      <c r="PQP59" s="0"/>
      <c r="PQQ59" s="0"/>
      <c r="PQR59" s="0"/>
      <c r="PQS59" s="0"/>
      <c r="PQT59" s="0"/>
      <c r="PQU59" s="0"/>
      <c r="PQV59" s="0"/>
      <c r="PQW59" s="0"/>
      <c r="PQX59" s="0"/>
      <c r="PQY59" s="0"/>
      <c r="PQZ59" s="0"/>
      <c r="PRA59" s="0"/>
      <c r="PRB59" s="0"/>
      <c r="PRC59" s="0"/>
      <c r="PRD59" s="0"/>
      <c r="PRE59" s="0"/>
      <c r="PRF59" s="0"/>
      <c r="PRG59" s="0"/>
      <c r="PRH59" s="0"/>
      <c r="PRI59" s="0"/>
      <c r="PRJ59" s="0"/>
      <c r="PRK59" s="0"/>
      <c r="PRL59" s="0"/>
      <c r="PRM59" s="0"/>
      <c r="PRN59" s="0"/>
      <c r="PRO59" s="0"/>
      <c r="PRP59" s="0"/>
      <c r="PRQ59" s="0"/>
      <c r="PRR59" s="0"/>
      <c r="PRS59" s="0"/>
      <c r="PRT59" s="0"/>
      <c r="PRU59" s="0"/>
      <c r="PRV59" s="0"/>
      <c r="PRW59" s="0"/>
      <c r="PRX59" s="0"/>
      <c r="PRY59" s="0"/>
      <c r="PRZ59" s="0"/>
      <c r="PSA59" s="0"/>
      <c r="PSB59" s="0"/>
      <c r="PSC59" s="0"/>
      <c r="PSD59" s="0"/>
      <c r="PSE59" s="0"/>
      <c r="PSF59" s="0"/>
      <c r="PSG59" s="0"/>
      <c r="PSH59" s="0"/>
      <c r="PSI59" s="0"/>
      <c r="PSJ59" s="0"/>
      <c r="PSK59" s="0"/>
      <c r="PSL59" s="0"/>
      <c r="PSM59" s="0"/>
      <c r="PSN59" s="0"/>
      <c r="PSO59" s="0"/>
      <c r="PSP59" s="0"/>
      <c r="PSQ59" s="0"/>
      <c r="PSR59" s="0"/>
      <c r="PSS59" s="0"/>
      <c r="PST59" s="0"/>
      <c r="PSU59" s="0"/>
      <c r="PSV59" s="0"/>
      <c r="PSW59" s="0"/>
      <c r="PSX59" s="0"/>
      <c r="PSY59" s="0"/>
      <c r="PSZ59" s="0"/>
      <c r="PTA59" s="0"/>
      <c r="PTB59" s="0"/>
      <c r="PTC59" s="0"/>
      <c r="PTD59" s="0"/>
      <c r="PTE59" s="0"/>
      <c r="PTF59" s="0"/>
      <c r="PTG59" s="0"/>
      <c r="PTH59" s="0"/>
      <c r="PTI59" s="0"/>
      <c r="PTJ59" s="0"/>
      <c r="PTK59" s="0"/>
      <c r="PTL59" s="0"/>
      <c r="PTM59" s="0"/>
      <c r="PTN59" s="0"/>
      <c r="PTO59" s="0"/>
      <c r="PTP59" s="0"/>
      <c r="PTQ59" s="0"/>
      <c r="PTR59" s="0"/>
      <c r="PTS59" s="0"/>
      <c r="PTT59" s="0"/>
      <c r="PTU59" s="0"/>
      <c r="PTV59" s="0"/>
      <c r="PTW59" s="0"/>
      <c r="PTX59" s="0"/>
      <c r="PTY59" s="0"/>
      <c r="PTZ59" s="0"/>
      <c r="PUA59" s="0"/>
      <c r="PUB59" s="0"/>
      <c r="PUC59" s="0"/>
      <c r="PUD59" s="0"/>
      <c r="PUE59" s="0"/>
      <c r="PUF59" s="0"/>
      <c r="PUG59" s="0"/>
      <c r="PUH59" s="0"/>
      <c r="PUI59" s="0"/>
      <c r="PUJ59" s="0"/>
      <c r="PUK59" s="0"/>
      <c r="PUL59" s="0"/>
      <c r="PUM59" s="0"/>
      <c r="PUN59" s="0"/>
      <c r="PUO59" s="0"/>
      <c r="PUP59" s="0"/>
      <c r="PUQ59" s="0"/>
      <c r="PUR59" s="0"/>
      <c r="PUS59" s="0"/>
      <c r="PUT59" s="0"/>
      <c r="PUU59" s="0"/>
      <c r="PUV59" s="0"/>
      <c r="PUW59" s="0"/>
      <c r="PUX59" s="0"/>
      <c r="PUY59" s="0"/>
      <c r="PUZ59" s="0"/>
      <c r="PVA59" s="0"/>
      <c r="PVB59" s="0"/>
      <c r="PVC59" s="0"/>
      <c r="PVD59" s="0"/>
      <c r="PVE59" s="0"/>
      <c r="PVF59" s="0"/>
      <c r="PVG59" s="0"/>
      <c r="PVH59" s="0"/>
      <c r="PVI59" s="0"/>
      <c r="PVJ59" s="0"/>
      <c r="PVK59" s="0"/>
      <c r="PVL59" s="0"/>
      <c r="PVM59" s="0"/>
      <c r="PVN59" s="0"/>
      <c r="PVO59" s="0"/>
      <c r="PVP59" s="0"/>
      <c r="PVQ59" s="0"/>
      <c r="PVR59" s="0"/>
      <c r="PVS59" s="0"/>
      <c r="PVT59" s="0"/>
      <c r="PVU59" s="0"/>
      <c r="PVV59" s="0"/>
      <c r="PVW59" s="0"/>
      <c r="PVX59" s="0"/>
      <c r="PVY59" s="0"/>
      <c r="PVZ59" s="0"/>
      <c r="PWA59" s="0"/>
      <c r="PWB59" s="0"/>
      <c r="PWC59" s="0"/>
      <c r="PWD59" s="0"/>
      <c r="PWE59" s="0"/>
      <c r="PWF59" s="0"/>
      <c r="PWG59" s="0"/>
      <c r="PWH59" s="0"/>
      <c r="PWI59" s="0"/>
      <c r="PWJ59" s="0"/>
      <c r="PWK59" s="0"/>
      <c r="PWL59" s="0"/>
      <c r="PWM59" s="0"/>
      <c r="PWN59" s="0"/>
      <c r="PWO59" s="0"/>
      <c r="PWP59" s="0"/>
      <c r="PWQ59" s="0"/>
      <c r="PWR59" s="0"/>
      <c r="PWS59" s="0"/>
      <c r="PWT59" s="0"/>
      <c r="PWU59" s="0"/>
      <c r="PWV59" s="0"/>
      <c r="PWW59" s="0"/>
      <c r="PWX59" s="0"/>
      <c r="PWY59" s="0"/>
      <c r="PWZ59" s="0"/>
      <c r="PXA59" s="0"/>
      <c r="PXB59" s="0"/>
      <c r="PXC59" s="0"/>
      <c r="PXD59" s="0"/>
      <c r="PXE59" s="0"/>
      <c r="PXF59" s="0"/>
      <c r="PXG59" s="0"/>
      <c r="PXH59" s="0"/>
      <c r="PXI59" s="0"/>
      <c r="PXJ59" s="0"/>
      <c r="PXK59" s="0"/>
      <c r="PXL59" s="0"/>
      <c r="PXM59" s="0"/>
      <c r="PXN59" s="0"/>
      <c r="PXO59" s="0"/>
      <c r="PXP59" s="0"/>
      <c r="PXQ59" s="0"/>
      <c r="PXR59" s="0"/>
      <c r="PXS59" s="0"/>
      <c r="PXT59" s="0"/>
      <c r="PXU59" s="0"/>
      <c r="PXV59" s="0"/>
      <c r="PXW59" s="0"/>
      <c r="PXX59" s="0"/>
      <c r="PXY59" s="0"/>
      <c r="PXZ59" s="0"/>
      <c r="PYA59" s="0"/>
      <c r="PYB59" s="0"/>
      <c r="PYC59" s="0"/>
      <c r="PYD59" s="0"/>
      <c r="PYE59" s="0"/>
      <c r="PYF59" s="0"/>
      <c r="PYG59" s="0"/>
      <c r="PYH59" s="0"/>
      <c r="PYI59" s="0"/>
      <c r="PYJ59" s="0"/>
      <c r="PYK59" s="0"/>
      <c r="PYL59" s="0"/>
      <c r="PYM59" s="0"/>
      <c r="PYN59" s="0"/>
      <c r="PYO59" s="0"/>
      <c r="PYP59" s="0"/>
      <c r="PYQ59" s="0"/>
      <c r="PYR59" s="0"/>
      <c r="PYS59" s="0"/>
      <c r="PYT59" s="0"/>
      <c r="PYU59" s="0"/>
      <c r="PYV59" s="0"/>
      <c r="PYW59" s="0"/>
      <c r="PYX59" s="0"/>
      <c r="PYY59" s="0"/>
      <c r="PYZ59" s="0"/>
      <c r="PZA59" s="0"/>
      <c r="PZB59" s="0"/>
      <c r="PZC59" s="0"/>
      <c r="PZD59" s="0"/>
      <c r="PZE59" s="0"/>
      <c r="PZF59" s="0"/>
      <c r="PZG59" s="0"/>
      <c r="PZH59" s="0"/>
      <c r="PZI59" s="0"/>
      <c r="PZJ59" s="0"/>
      <c r="PZK59" s="0"/>
      <c r="PZL59" s="0"/>
      <c r="PZM59" s="0"/>
      <c r="PZN59" s="0"/>
      <c r="PZO59" s="0"/>
      <c r="PZP59" s="0"/>
      <c r="PZQ59" s="0"/>
      <c r="PZR59" s="0"/>
      <c r="PZS59" s="0"/>
      <c r="PZT59" s="0"/>
      <c r="PZU59" s="0"/>
      <c r="PZV59" s="0"/>
      <c r="PZW59" s="0"/>
      <c r="PZX59" s="0"/>
      <c r="PZY59" s="0"/>
      <c r="PZZ59" s="0"/>
      <c r="QAA59" s="0"/>
      <c r="QAB59" s="0"/>
      <c r="QAC59" s="0"/>
      <c r="QAD59" s="0"/>
      <c r="QAE59" s="0"/>
      <c r="QAF59" s="0"/>
      <c r="QAG59" s="0"/>
      <c r="QAH59" s="0"/>
      <c r="QAI59" s="0"/>
      <c r="QAJ59" s="0"/>
      <c r="QAK59" s="0"/>
      <c r="QAL59" s="0"/>
      <c r="QAM59" s="0"/>
      <c r="QAN59" s="0"/>
      <c r="QAO59" s="0"/>
      <c r="QAP59" s="0"/>
      <c r="QAQ59" s="0"/>
      <c r="QAR59" s="0"/>
      <c r="QAS59" s="0"/>
      <c r="QAT59" s="0"/>
      <c r="QAU59" s="0"/>
      <c r="QAV59" s="0"/>
      <c r="QAW59" s="0"/>
      <c r="QAX59" s="0"/>
      <c r="QAY59" s="0"/>
      <c r="QAZ59" s="0"/>
      <c r="QBA59" s="0"/>
      <c r="QBB59" s="0"/>
      <c r="QBC59" s="0"/>
      <c r="QBD59" s="0"/>
      <c r="QBE59" s="0"/>
      <c r="QBF59" s="0"/>
      <c r="QBG59" s="0"/>
      <c r="QBH59" s="0"/>
      <c r="QBI59" s="0"/>
      <c r="QBJ59" s="0"/>
      <c r="QBK59" s="0"/>
      <c r="QBL59" s="0"/>
      <c r="QBM59" s="0"/>
      <c r="QBN59" s="0"/>
      <c r="QBO59" s="0"/>
      <c r="QBP59" s="0"/>
      <c r="QBQ59" s="0"/>
      <c r="QBR59" s="0"/>
      <c r="QBS59" s="0"/>
      <c r="QBT59" s="0"/>
      <c r="QBU59" s="0"/>
      <c r="QBV59" s="0"/>
      <c r="QBW59" s="0"/>
      <c r="QBX59" s="0"/>
      <c r="QBY59" s="0"/>
      <c r="QBZ59" s="0"/>
      <c r="QCA59" s="0"/>
      <c r="QCB59" s="0"/>
      <c r="QCC59" s="0"/>
      <c r="QCD59" s="0"/>
      <c r="QCE59" s="0"/>
      <c r="QCF59" s="0"/>
      <c r="QCG59" s="0"/>
      <c r="QCH59" s="0"/>
      <c r="QCI59" s="0"/>
      <c r="QCJ59" s="0"/>
      <c r="QCK59" s="0"/>
      <c r="QCL59" s="0"/>
      <c r="QCM59" s="0"/>
      <c r="QCN59" s="0"/>
      <c r="QCO59" s="0"/>
      <c r="QCP59" s="0"/>
      <c r="QCQ59" s="0"/>
      <c r="QCR59" s="0"/>
      <c r="QCS59" s="0"/>
      <c r="QCT59" s="0"/>
      <c r="QCU59" s="0"/>
      <c r="QCV59" s="0"/>
      <c r="QCW59" s="0"/>
      <c r="QCX59" s="0"/>
      <c r="QCY59" s="0"/>
      <c r="QCZ59" s="0"/>
      <c r="QDA59" s="0"/>
      <c r="QDB59" s="0"/>
      <c r="QDC59" s="0"/>
      <c r="QDD59" s="0"/>
      <c r="QDE59" s="0"/>
      <c r="QDF59" s="0"/>
      <c r="QDG59" s="0"/>
      <c r="QDH59" s="0"/>
      <c r="QDI59" s="0"/>
      <c r="QDJ59" s="0"/>
      <c r="QDK59" s="0"/>
      <c r="QDL59" s="0"/>
      <c r="QDM59" s="0"/>
      <c r="QDN59" s="0"/>
      <c r="QDO59" s="0"/>
      <c r="QDP59" s="0"/>
      <c r="QDQ59" s="0"/>
      <c r="QDR59" s="0"/>
      <c r="QDS59" s="0"/>
      <c r="QDT59" s="0"/>
      <c r="QDU59" s="0"/>
      <c r="QDV59" s="0"/>
      <c r="QDW59" s="0"/>
      <c r="QDX59" s="0"/>
      <c r="QDY59" s="0"/>
      <c r="QDZ59" s="0"/>
      <c r="QEA59" s="0"/>
      <c r="QEB59" s="0"/>
      <c r="QEC59" s="0"/>
      <c r="QED59" s="0"/>
      <c r="QEE59" s="0"/>
      <c r="QEF59" s="0"/>
      <c r="QEG59" s="0"/>
      <c r="QEH59" s="0"/>
      <c r="QEI59" s="0"/>
      <c r="QEJ59" s="0"/>
      <c r="QEK59" s="0"/>
      <c r="QEL59" s="0"/>
      <c r="QEM59" s="0"/>
      <c r="QEN59" s="0"/>
      <c r="QEO59" s="0"/>
      <c r="QEP59" s="0"/>
      <c r="QEQ59" s="0"/>
      <c r="QER59" s="0"/>
      <c r="QES59" s="0"/>
      <c r="QET59" s="0"/>
      <c r="QEU59" s="0"/>
      <c r="QEV59" s="0"/>
      <c r="QEW59" s="0"/>
      <c r="QEX59" s="0"/>
      <c r="QEY59" s="0"/>
      <c r="QEZ59" s="0"/>
      <c r="QFA59" s="0"/>
      <c r="QFB59" s="0"/>
      <c r="QFC59" s="0"/>
      <c r="QFD59" s="0"/>
      <c r="QFE59" s="0"/>
      <c r="QFF59" s="0"/>
      <c r="QFG59" s="0"/>
      <c r="QFH59" s="0"/>
      <c r="QFI59" s="0"/>
      <c r="QFJ59" s="0"/>
      <c r="QFK59" s="0"/>
      <c r="QFL59" s="0"/>
      <c r="QFM59" s="0"/>
      <c r="QFN59" s="0"/>
      <c r="QFO59" s="0"/>
      <c r="QFP59" s="0"/>
      <c r="QFQ59" s="0"/>
      <c r="QFR59" s="0"/>
      <c r="QFS59" s="0"/>
      <c r="QFT59" s="0"/>
      <c r="QFU59" s="0"/>
      <c r="QFV59" s="0"/>
      <c r="QFW59" s="0"/>
      <c r="QFX59" s="0"/>
      <c r="QFY59" s="0"/>
      <c r="QFZ59" s="0"/>
      <c r="QGA59" s="0"/>
      <c r="QGB59" s="0"/>
      <c r="QGC59" s="0"/>
      <c r="QGD59" s="0"/>
      <c r="QGE59" s="0"/>
      <c r="QGF59" s="0"/>
      <c r="QGG59" s="0"/>
      <c r="QGH59" s="0"/>
      <c r="QGI59" s="0"/>
      <c r="QGJ59" s="0"/>
      <c r="QGK59" s="0"/>
      <c r="QGL59" s="0"/>
      <c r="QGM59" s="0"/>
      <c r="QGN59" s="0"/>
      <c r="QGO59" s="0"/>
      <c r="QGP59" s="0"/>
      <c r="QGQ59" s="0"/>
      <c r="QGR59" s="0"/>
      <c r="QGS59" s="0"/>
      <c r="QGT59" s="0"/>
      <c r="QGU59" s="0"/>
      <c r="QGV59" s="0"/>
      <c r="QGW59" s="0"/>
      <c r="QGX59" s="0"/>
      <c r="QGY59" s="0"/>
      <c r="QGZ59" s="0"/>
      <c r="QHA59" s="0"/>
      <c r="QHB59" s="0"/>
      <c r="QHC59" s="0"/>
      <c r="QHD59" s="0"/>
      <c r="QHE59" s="0"/>
      <c r="QHF59" s="0"/>
      <c r="QHG59" s="0"/>
      <c r="QHH59" s="0"/>
      <c r="QHI59" s="0"/>
      <c r="QHJ59" s="0"/>
      <c r="QHK59" s="0"/>
      <c r="QHL59" s="0"/>
      <c r="QHM59" s="0"/>
      <c r="QHN59" s="0"/>
      <c r="QHO59" s="0"/>
      <c r="QHP59" s="0"/>
      <c r="QHQ59" s="0"/>
      <c r="QHR59" s="0"/>
      <c r="QHS59" s="0"/>
      <c r="QHT59" s="0"/>
      <c r="QHU59" s="0"/>
      <c r="QHV59" s="0"/>
      <c r="QHW59" s="0"/>
      <c r="QHX59" s="0"/>
      <c r="QHY59" s="0"/>
      <c r="QHZ59" s="0"/>
      <c r="QIA59" s="0"/>
      <c r="QIB59" s="0"/>
      <c r="QIC59" s="0"/>
      <c r="QID59" s="0"/>
      <c r="QIE59" s="0"/>
      <c r="QIF59" s="0"/>
      <c r="QIG59" s="0"/>
      <c r="QIH59" s="0"/>
      <c r="QII59" s="0"/>
      <c r="QIJ59" s="0"/>
      <c r="QIK59" s="0"/>
      <c r="QIL59" s="0"/>
      <c r="QIM59" s="0"/>
      <c r="QIN59" s="0"/>
      <c r="QIO59" s="0"/>
      <c r="QIP59" s="0"/>
      <c r="QIQ59" s="0"/>
      <c r="QIR59" s="0"/>
      <c r="QIS59" s="0"/>
      <c r="QIT59" s="0"/>
      <c r="QIU59" s="0"/>
      <c r="QIV59" s="0"/>
      <c r="QIW59" s="0"/>
      <c r="QIX59" s="0"/>
      <c r="QIY59" s="0"/>
      <c r="QIZ59" s="0"/>
      <c r="QJA59" s="0"/>
      <c r="QJB59" s="0"/>
      <c r="QJC59" s="0"/>
      <c r="QJD59" s="0"/>
      <c r="QJE59" s="0"/>
      <c r="QJF59" s="0"/>
      <c r="QJG59" s="0"/>
      <c r="QJH59" s="0"/>
      <c r="QJI59" s="0"/>
      <c r="QJJ59" s="0"/>
      <c r="QJK59" s="0"/>
      <c r="QJL59" s="0"/>
      <c r="QJM59" s="0"/>
      <c r="QJN59" s="0"/>
      <c r="QJO59" s="0"/>
      <c r="QJP59" s="0"/>
      <c r="QJQ59" s="0"/>
      <c r="QJR59" s="0"/>
      <c r="QJS59" s="0"/>
      <c r="QJT59" s="0"/>
      <c r="QJU59" s="0"/>
      <c r="QJV59" s="0"/>
      <c r="QJW59" s="0"/>
      <c r="QJX59" s="0"/>
      <c r="QJY59" s="0"/>
      <c r="QJZ59" s="0"/>
      <c r="QKA59" s="0"/>
      <c r="QKB59" s="0"/>
      <c r="QKC59" s="0"/>
      <c r="QKD59" s="0"/>
      <c r="QKE59" s="0"/>
      <c r="QKF59" s="0"/>
      <c r="QKG59" s="0"/>
      <c r="QKH59" s="0"/>
      <c r="QKI59" s="0"/>
      <c r="QKJ59" s="0"/>
      <c r="QKK59" s="0"/>
      <c r="QKL59" s="0"/>
      <c r="QKM59" s="0"/>
      <c r="QKN59" s="0"/>
      <c r="QKO59" s="0"/>
      <c r="QKP59" s="0"/>
      <c r="QKQ59" s="0"/>
      <c r="QKR59" s="0"/>
      <c r="QKS59" s="0"/>
      <c r="QKT59" s="0"/>
      <c r="QKU59" s="0"/>
      <c r="QKV59" s="0"/>
      <c r="QKW59" s="0"/>
      <c r="QKX59" s="0"/>
      <c r="QKY59" s="0"/>
      <c r="QKZ59" s="0"/>
      <c r="QLA59" s="0"/>
      <c r="QLB59" s="0"/>
      <c r="QLC59" s="0"/>
      <c r="QLD59" s="0"/>
      <c r="QLE59" s="0"/>
      <c r="QLF59" s="0"/>
      <c r="QLG59" s="0"/>
      <c r="QLH59" s="0"/>
      <c r="QLI59" s="0"/>
      <c r="QLJ59" s="0"/>
      <c r="QLK59" s="0"/>
      <c r="QLL59" s="0"/>
      <c r="QLM59" s="0"/>
      <c r="QLN59" s="0"/>
      <c r="QLO59" s="0"/>
      <c r="QLP59" s="0"/>
      <c r="QLQ59" s="0"/>
      <c r="QLR59" s="0"/>
      <c r="QLS59" s="0"/>
      <c r="QLT59" s="0"/>
      <c r="QLU59" s="0"/>
      <c r="QLV59" s="0"/>
      <c r="QLW59" s="0"/>
      <c r="QLX59" s="0"/>
      <c r="QLY59" s="0"/>
      <c r="QLZ59" s="0"/>
      <c r="QMA59" s="0"/>
      <c r="QMB59" s="0"/>
      <c r="QMC59" s="0"/>
      <c r="QMD59" s="0"/>
      <c r="QME59" s="0"/>
      <c r="QMF59" s="0"/>
      <c r="QMG59" s="0"/>
      <c r="QMH59" s="0"/>
      <c r="QMI59" s="0"/>
      <c r="QMJ59" s="0"/>
      <c r="QMK59" s="0"/>
      <c r="QML59" s="0"/>
      <c r="QMM59" s="0"/>
      <c r="QMN59" s="0"/>
      <c r="QMO59" s="0"/>
      <c r="QMP59" s="0"/>
      <c r="QMQ59" s="0"/>
      <c r="QMR59" s="0"/>
      <c r="QMS59" s="0"/>
      <c r="QMT59" s="0"/>
      <c r="QMU59" s="0"/>
      <c r="QMV59" s="0"/>
      <c r="QMW59" s="0"/>
      <c r="QMX59" s="0"/>
      <c r="QMY59" s="0"/>
      <c r="QMZ59" s="0"/>
      <c r="QNA59" s="0"/>
      <c r="QNB59" s="0"/>
      <c r="QNC59" s="0"/>
      <c r="QND59" s="0"/>
      <c r="QNE59" s="0"/>
      <c r="QNF59" s="0"/>
      <c r="QNG59" s="0"/>
      <c r="QNH59" s="0"/>
      <c r="QNI59" s="0"/>
      <c r="QNJ59" s="0"/>
      <c r="QNK59" s="0"/>
      <c r="QNL59" s="0"/>
      <c r="QNM59" s="0"/>
      <c r="QNN59" s="0"/>
      <c r="QNO59" s="0"/>
      <c r="QNP59" s="0"/>
      <c r="QNQ59" s="0"/>
      <c r="QNR59" s="0"/>
      <c r="QNS59" s="0"/>
      <c r="QNT59" s="0"/>
      <c r="QNU59" s="0"/>
      <c r="QNV59" s="0"/>
      <c r="QNW59" s="0"/>
      <c r="QNX59" s="0"/>
      <c r="QNY59" s="0"/>
      <c r="QNZ59" s="0"/>
      <c r="QOA59" s="0"/>
      <c r="QOB59" s="0"/>
      <c r="QOC59" s="0"/>
      <c r="QOD59" s="0"/>
      <c r="QOE59" s="0"/>
      <c r="QOF59" s="0"/>
      <c r="QOG59" s="0"/>
      <c r="QOH59" s="0"/>
      <c r="QOI59" s="0"/>
      <c r="QOJ59" s="0"/>
      <c r="QOK59" s="0"/>
      <c r="QOL59" s="0"/>
      <c r="QOM59" s="0"/>
      <c r="QON59" s="0"/>
      <c r="QOO59" s="0"/>
      <c r="QOP59" s="0"/>
      <c r="QOQ59" s="0"/>
      <c r="QOR59" s="0"/>
      <c r="QOS59" s="0"/>
      <c r="QOT59" s="0"/>
      <c r="QOU59" s="0"/>
      <c r="QOV59" s="0"/>
      <c r="QOW59" s="0"/>
      <c r="QOX59" s="0"/>
      <c r="QOY59" s="0"/>
      <c r="QOZ59" s="0"/>
      <c r="QPA59" s="0"/>
      <c r="QPB59" s="0"/>
      <c r="QPC59" s="0"/>
      <c r="QPD59" s="0"/>
      <c r="QPE59" s="0"/>
      <c r="QPF59" s="0"/>
      <c r="QPG59" s="0"/>
      <c r="QPH59" s="0"/>
      <c r="QPI59" s="0"/>
      <c r="QPJ59" s="0"/>
      <c r="QPK59" s="0"/>
      <c r="QPL59" s="0"/>
      <c r="QPM59" s="0"/>
      <c r="QPN59" s="0"/>
      <c r="QPO59" s="0"/>
      <c r="QPP59" s="0"/>
      <c r="QPQ59" s="0"/>
      <c r="QPR59" s="0"/>
      <c r="QPS59" s="0"/>
      <c r="QPT59" s="0"/>
      <c r="QPU59" s="0"/>
      <c r="QPV59" s="0"/>
      <c r="QPW59" s="0"/>
      <c r="QPX59" s="0"/>
      <c r="QPY59" s="0"/>
      <c r="QPZ59" s="0"/>
      <c r="QQA59" s="0"/>
      <c r="QQB59" s="0"/>
      <c r="QQC59" s="0"/>
      <c r="QQD59" s="0"/>
      <c r="QQE59" s="0"/>
      <c r="QQF59" s="0"/>
      <c r="QQG59" s="0"/>
      <c r="QQH59" s="0"/>
      <c r="QQI59" s="0"/>
      <c r="QQJ59" s="0"/>
      <c r="QQK59" s="0"/>
      <c r="QQL59" s="0"/>
      <c r="QQM59" s="0"/>
      <c r="QQN59" s="0"/>
      <c r="QQO59" s="0"/>
      <c r="QQP59" s="0"/>
      <c r="QQQ59" s="0"/>
      <c r="QQR59" s="0"/>
      <c r="QQS59" s="0"/>
      <c r="QQT59" s="0"/>
      <c r="QQU59" s="0"/>
      <c r="QQV59" s="0"/>
      <c r="QQW59" s="0"/>
      <c r="QQX59" s="0"/>
      <c r="QQY59" s="0"/>
      <c r="QQZ59" s="0"/>
      <c r="QRA59" s="0"/>
      <c r="QRB59" s="0"/>
      <c r="QRC59" s="0"/>
      <c r="QRD59" s="0"/>
      <c r="QRE59" s="0"/>
      <c r="QRF59" s="0"/>
      <c r="QRG59" s="0"/>
      <c r="QRH59" s="0"/>
      <c r="QRI59" s="0"/>
      <c r="QRJ59" s="0"/>
      <c r="QRK59" s="0"/>
      <c r="QRL59" s="0"/>
      <c r="QRM59" s="0"/>
      <c r="QRN59" s="0"/>
      <c r="QRO59" s="0"/>
      <c r="QRP59" s="0"/>
      <c r="QRQ59" s="0"/>
      <c r="QRR59" s="0"/>
      <c r="QRS59" s="0"/>
      <c r="QRT59" s="0"/>
      <c r="QRU59" s="0"/>
      <c r="QRV59" s="0"/>
      <c r="QRW59" s="0"/>
      <c r="QRX59" s="0"/>
      <c r="QRY59" s="0"/>
      <c r="QRZ59" s="0"/>
      <c r="QSA59" s="0"/>
      <c r="QSB59" s="0"/>
      <c r="QSC59" s="0"/>
      <c r="QSD59" s="0"/>
      <c r="QSE59" s="0"/>
      <c r="QSF59" s="0"/>
      <c r="QSG59" s="0"/>
      <c r="QSH59" s="0"/>
      <c r="QSI59" s="0"/>
      <c r="QSJ59" s="0"/>
      <c r="QSK59" s="0"/>
      <c r="QSL59" s="0"/>
      <c r="QSM59" s="0"/>
      <c r="QSN59" s="0"/>
      <c r="QSO59" s="0"/>
      <c r="QSP59" s="0"/>
      <c r="QSQ59" s="0"/>
      <c r="QSR59" s="0"/>
      <c r="QSS59" s="0"/>
      <c r="QST59" s="0"/>
      <c r="QSU59" s="0"/>
      <c r="QSV59" s="0"/>
      <c r="QSW59" s="0"/>
      <c r="QSX59" s="0"/>
      <c r="QSY59" s="0"/>
      <c r="QSZ59" s="0"/>
      <c r="QTA59" s="0"/>
      <c r="QTB59" s="0"/>
      <c r="QTC59" s="0"/>
      <c r="QTD59" s="0"/>
      <c r="QTE59" s="0"/>
      <c r="QTF59" s="0"/>
      <c r="QTG59" s="0"/>
      <c r="QTH59" s="0"/>
      <c r="QTI59" s="0"/>
      <c r="QTJ59" s="0"/>
      <c r="QTK59" s="0"/>
      <c r="QTL59" s="0"/>
      <c r="QTM59" s="0"/>
      <c r="QTN59" s="0"/>
      <c r="QTO59" s="0"/>
      <c r="QTP59" s="0"/>
      <c r="QTQ59" s="0"/>
      <c r="QTR59" s="0"/>
      <c r="QTS59" s="0"/>
      <c r="QTT59" s="0"/>
      <c r="QTU59" s="0"/>
      <c r="QTV59" s="0"/>
      <c r="QTW59" s="0"/>
      <c r="QTX59" s="0"/>
      <c r="QTY59" s="0"/>
      <c r="QTZ59" s="0"/>
      <c r="QUA59" s="0"/>
      <c r="QUB59" s="0"/>
      <c r="QUC59" s="0"/>
      <c r="QUD59" s="0"/>
      <c r="QUE59" s="0"/>
      <c r="QUF59" s="0"/>
      <c r="QUG59" s="0"/>
      <c r="QUH59" s="0"/>
      <c r="QUI59" s="0"/>
      <c r="QUJ59" s="0"/>
      <c r="QUK59" s="0"/>
      <c r="QUL59" s="0"/>
      <c r="QUM59" s="0"/>
      <c r="QUN59" s="0"/>
      <c r="QUO59" s="0"/>
      <c r="QUP59" s="0"/>
      <c r="QUQ59" s="0"/>
      <c r="QUR59" s="0"/>
      <c r="QUS59" s="0"/>
      <c r="QUT59" s="0"/>
      <c r="QUU59" s="0"/>
      <c r="QUV59" s="0"/>
      <c r="QUW59" s="0"/>
      <c r="QUX59" s="0"/>
      <c r="QUY59" s="0"/>
      <c r="QUZ59" s="0"/>
      <c r="QVA59" s="0"/>
      <c r="QVB59" s="0"/>
      <c r="QVC59" s="0"/>
      <c r="QVD59" s="0"/>
      <c r="QVE59" s="0"/>
      <c r="QVF59" s="0"/>
      <c r="QVG59" s="0"/>
      <c r="QVH59" s="0"/>
      <c r="QVI59" s="0"/>
      <c r="QVJ59" s="0"/>
      <c r="QVK59" s="0"/>
      <c r="QVL59" s="0"/>
      <c r="QVM59" s="0"/>
      <c r="QVN59" s="0"/>
      <c r="QVO59" s="0"/>
      <c r="QVP59" s="0"/>
      <c r="QVQ59" s="0"/>
      <c r="QVR59" s="0"/>
      <c r="QVS59" s="0"/>
      <c r="QVT59" s="0"/>
      <c r="QVU59" s="0"/>
      <c r="QVV59" s="0"/>
      <c r="QVW59" s="0"/>
      <c r="QVX59" s="0"/>
      <c r="QVY59" s="0"/>
      <c r="QVZ59" s="0"/>
      <c r="QWA59" s="0"/>
      <c r="QWB59" s="0"/>
      <c r="QWC59" s="0"/>
      <c r="QWD59" s="0"/>
      <c r="QWE59" s="0"/>
      <c r="QWF59" s="0"/>
      <c r="QWG59" s="0"/>
      <c r="QWH59" s="0"/>
      <c r="QWI59" s="0"/>
      <c r="QWJ59" s="0"/>
      <c r="QWK59" s="0"/>
      <c r="QWL59" s="0"/>
      <c r="QWM59" s="0"/>
      <c r="QWN59" s="0"/>
      <c r="QWO59" s="0"/>
      <c r="QWP59" s="0"/>
      <c r="QWQ59" s="0"/>
      <c r="QWR59" s="0"/>
      <c r="QWS59" s="0"/>
      <c r="QWT59" s="0"/>
      <c r="QWU59" s="0"/>
      <c r="QWV59" s="0"/>
      <c r="QWW59" s="0"/>
      <c r="QWX59" s="0"/>
      <c r="QWY59" s="0"/>
      <c r="QWZ59" s="0"/>
      <c r="QXA59" s="0"/>
      <c r="QXB59" s="0"/>
      <c r="QXC59" s="0"/>
      <c r="QXD59" s="0"/>
      <c r="QXE59" s="0"/>
      <c r="QXF59" s="0"/>
      <c r="QXG59" s="0"/>
      <c r="QXH59" s="0"/>
      <c r="QXI59" s="0"/>
      <c r="QXJ59" s="0"/>
      <c r="QXK59" s="0"/>
      <c r="QXL59" s="0"/>
      <c r="QXM59" s="0"/>
      <c r="QXN59" s="0"/>
      <c r="QXO59" s="0"/>
      <c r="QXP59" s="0"/>
      <c r="QXQ59" s="0"/>
      <c r="QXR59" s="0"/>
      <c r="QXS59" s="0"/>
      <c r="QXT59" s="0"/>
      <c r="QXU59" s="0"/>
      <c r="QXV59" s="0"/>
      <c r="QXW59" s="0"/>
      <c r="QXX59" s="0"/>
      <c r="QXY59" s="0"/>
      <c r="QXZ59" s="0"/>
      <c r="QYA59" s="0"/>
      <c r="QYB59" s="0"/>
      <c r="QYC59" s="0"/>
      <c r="QYD59" s="0"/>
      <c r="QYE59" s="0"/>
      <c r="QYF59" s="0"/>
      <c r="QYG59" s="0"/>
      <c r="QYH59" s="0"/>
      <c r="QYI59" s="0"/>
      <c r="QYJ59" s="0"/>
      <c r="QYK59" s="0"/>
      <c r="QYL59" s="0"/>
      <c r="QYM59" s="0"/>
      <c r="QYN59" s="0"/>
      <c r="QYO59" s="0"/>
      <c r="QYP59" s="0"/>
      <c r="QYQ59" s="0"/>
      <c r="QYR59" s="0"/>
      <c r="QYS59" s="0"/>
      <c r="QYT59" s="0"/>
      <c r="QYU59" s="0"/>
      <c r="QYV59" s="0"/>
      <c r="QYW59" s="0"/>
      <c r="QYX59" s="0"/>
      <c r="QYY59" s="0"/>
      <c r="QYZ59" s="0"/>
      <c r="QZA59" s="0"/>
      <c r="QZB59" s="0"/>
      <c r="QZC59" s="0"/>
      <c r="QZD59" s="0"/>
      <c r="QZE59" s="0"/>
      <c r="QZF59" s="0"/>
      <c r="QZG59" s="0"/>
      <c r="QZH59" s="0"/>
      <c r="QZI59" s="0"/>
      <c r="QZJ59" s="0"/>
      <c r="QZK59" s="0"/>
      <c r="QZL59" s="0"/>
      <c r="QZM59" s="0"/>
      <c r="QZN59" s="0"/>
      <c r="QZO59" s="0"/>
      <c r="QZP59" s="0"/>
      <c r="QZQ59" s="0"/>
      <c r="QZR59" s="0"/>
      <c r="QZS59" s="0"/>
      <c r="QZT59" s="0"/>
      <c r="QZU59" s="0"/>
      <c r="QZV59" s="0"/>
      <c r="QZW59" s="0"/>
      <c r="QZX59" s="0"/>
      <c r="QZY59" s="0"/>
      <c r="QZZ59" s="0"/>
      <c r="RAA59" s="0"/>
      <c r="RAB59" s="0"/>
      <c r="RAC59" s="0"/>
      <c r="RAD59" s="0"/>
      <c r="RAE59" s="0"/>
      <c r="RAF59" s="0"/>
      <c r="RAG59" s="0"/>
      <c r="RAH59" s="0"/>
      <c r="RAI59" s="0"/>
      <c r="RAJ59" s="0"/>
      <c r="RAK59" s="0"/>
      <c r="RAL59" s="0"/>
      <c r="RAM59" s="0"/>
      <c r="RAN59" s="0"/>
      <c r="RAO59" s="0"/>
      <c r="RAP59" s="0"/>
      <c r="RAQ59" s="0"/>
      <c r="RAR59" s="0"/>
      <c r="RAS59" s="0"/>
      <c r="RAT59" s="0"/>
      <c r="RAU59" s="0"/>
      <c r="RAV59" s="0"/>
      <c r="RAW59" s="0"/>
      <c r="RAX59" s="0"/>
      <c r="RAY59" s="0"/>
      <c r="RAZ59" s="0"/>
      <c r="RBA59" s="0"/>
      <c r="RBB59" s="0"/>
      <c r="RBC59" s="0"/>
      <c r="RBD59" s="0"/>
      <c r="RBE59" s="0"/>
      <c r="RBF59" s="0"/>
      <c r="RBG59" s="0"/>
      <c r="RBH59" s="0"/>
      <c r="RBI59" s="0"/>
      <c r="RBJ59" s="0"/>
      <c r="RBK59" s="0"/>
      <c r="RBL59" s="0"/>
      <c r="RBM59" s="0"/>
      <c r="RBN59" s="0"/>
      <c r="RBO59" s="0"/>
      <c r="RBP59" s="0"/>
      <c r="RBQ59" s="0"/>
      <c r="RBR59" s="0"/>
      <c r="RBS59" s="0"/>
      <c r="RBT59" s="0"/>
      <c r="RBU59" s="0"/>
      <c r="RBV59" s="0"/>
      <c r="RBW59" s="0"/>
      <c r="RBX59" s="0"/>
      <c r="RBY59" s="0"/>
      <c r="RBZ59" s="0"/>
      <c r="RCA59" s="0"/>
      <c r="RCB59" s="0"/>
      <c r="RCC59" s="0"/>
      <c r="RCD59" s="0"/>
      <c r="RCE59" s="0"/>
      <c r="RCF59" s="0"/>
      <c r="RCG59" s="0"/>
      <c r="RCH59" s="0"/>
      <c r="RCI59" s="0"/>
      <c r="RCJ59" s="0"/>
      <c r="RCK59" s="0"/>
      <c r="RCL59" s="0"/>
      <c r="RCM59" s="0"/>
      <c r="RCN59" s="0"/>
      <c r="RCO59" s="0"/>
      <c r="RCP59" s="0"/>
      <c r="RCQ59" s="0"/>
      <c r="RCR59" s="0"/>
      <c r="RCS59" s="0"/>
      <c r="RCT59" s="0"/>
      <c r="RCU59" s="0"/>
      <c r="RCV59" s="0"/>
      <c r="RCW59" s="0"/>
      <c r="RCX59" s="0"/>
      <c r="RCY59" s="0"/>
      <c r="RCZ59" s="0"/>
      <c r="RDA59" s="0"/>
      <c r="RDB59" s="0"/>
      <c r="RDC59" s="0"/>
      <c r="RDD59" s="0"/>
      <c r="RDE59" s="0"/>
      <c r="RDF59" s="0"/>
      <c r="RDG59" s="0"/>
      <c r="RDH59" s="0"/>
      <c r="RDI59" s="0"/>
      <c r="RDJ59" s="0"/>
      <c r="RDK59" s="0"/>
      <c r="RDL59" s="0"/>
      <c r="RDM59" s="0"/>
      <c r="RDN59" s="0"/>
      <c r="RDO59" s="0"/>
      <c r="RDP59" s="0"/>
      <c r="RDQ59" s="0"/>
      <c r="RDR59" s="0"/>
      <c r="RDS59" s="0"/>
      <c r="RDT59" s="0"/>
      <c r="RDU59" s="0"/>
      <c r="RDV59" s="0"/>
      <c r="RDW59" s="0"/>
      <c r="RDX59" s="0"/>
      <c r="RDY59" s="0"/>
      <c r="RDZ59" s="0"/>
      <c r="REA59" s="0"/>
      <c r="REB59" s="0"/>
      <c r="REC59" s="0"/>
      <c r="RED59" s="0"/>
      <c r="REE59" s="0"/>
      <c r="REF59" s="0"/>
      <c r="REG59" s="0"/>
      <c r="REH59" s="0"/>
      <c r="REI59" s="0"/>
      <c r="REJ59" s="0"/>
      <c r="REK59" s="0"/>
      <c r="REL59" s="0"/>
      <c r="REM59" s="0"/>
      <c r="REN59" s="0"/>
      <c r="REO59" s="0"/>
      <c r="REP59" s="0"/>
      <c r="REQ59" s="0"/>
      <c r="RER59" s="0"/>
      <c r="RES59" s="0"/>
      <c r="RET59" s="0"/>
      <c r="REU59" s="0"/>
      <c r="REV59" s="0"/>
      <c r="REW59" s="0"/>
      <c r="REX59" s="0"/>
      <c r="REY59" s="0"/>
      <c r="REZ59" s="0"/>
      <c r="RFA59" s="0"/>
      <c r="RFB59" s="0"/>
      <c r="RFC59" s="0"/>
      <c r="RFD59" s="0"/>
      <c r="RFE59" s="0"/>
      <c r="RFF59" s="0"/>
      <c r="RFG59" s="0"/>
      <c r="RFH59" s="0"/>
      <c r="RFI59" s="0"/>
      <c r="RFJ59" s="0"/>
      <c r="RFK59" s="0"/>
      <c r="RFL59" s="0"/>
      <c r="RFM59" s="0"/>
      <c r="RFN59" s="0"/>
      <c r="RFO59" s="0"/>
      <c r="RFP59" s="0"/>
      <c r="RFQ59" s="0"/>
      <c r="RFR59" s="0"/>
      <c r="RFS59" s="0"/>
      <c r="RFT59" s="0"/>
      <c r="RFU59" s="0"/>
      <c r="RFV59" s="0"/>
      <c r="RFW59" s="0"/>
      <c r="RFX59" s="0"/>
      <c r="RFY59" s="0"/>
      <c r="RFZ59" s="0"/>
      <c r="RGA59" s="0"/>
      <c r="RGB59" s="0"/>
      <c r="RGC59" s="0"/>
      <c r="RGD59" s="0"/>
      <c r="RGE59" s="0"/>
      <c r="RGF59" s="0"/>
      <c r="RGG59" s="0"/>
      <c r="RGH59" s="0"/>
      <c r="RGI59" s="0"/>
      <c r="RGJ59" s="0"/>
      <c r="RGK59" s="0"/>
      <c r="RGL59" s="0"/>
      <c r="RGM59" s="0"/>
      <c r="RGN59" s="0"/>
      <c r="RGO59" s="0"/>
      <c r="RGP59" s="0"/>
      <c r="RGQ59" s="0"/>
      <c r="RGR59" s="0"/>
      <c r="RGS59" s="0"/>
      <c r="RGT59" s="0"/>
      <c r="RGU59" s="0"/>
      <c r="RGV59" s="0"/>
      <c r="RGW59" s="0"/>
      <c r="RGX59" s="0"/>
      <c r="RGY59" s="0"/>
      <c r="RGZ59" s="0"/>
      <c r="RHA59" s="0"/>
      <c r="RHB59" s="0"/>
      <c r="RHC59" s="0"/>
      <c r="RHD59" s="0"/>
      <c r="RHE59" s="0"/>
      <c r="RHF59" s="0"/>
      <c r="RHG59" s="0"/>
      <c r="RHH59" s="0"/>
      <c r="RHI59" s="0"/>
      <c r="RHJ59" s="0"/>
      <c r="RHK59" s="0"/>
      <c r="RHL59" s="0"/>
      <c r="RHM59" s="0"/>
      <c r="RHN59" s="0"/>
      <c r="RHO59" s="0"/>
      <c r="RHP59" s="0"/>
      <c r="RHQ59" s="0"/>
      <c r="RHR59" s="0"/>
      <c r="RHS59" s="0"/>
      <c r="RHT59" s="0"/>
      <c r="RHU59" s="0"/>
      <c r="RHV59" s="0"/>
      <c r="RHW59" s="0"/>
      <c r="RHX59" s="0"/>
      <c r="RHY59" s="0"/>
      <c r="RHZ59" s="0"/>
      <c r="RIA59" s="0"/>
      <c r="RIB59" s="0"/>
      <c r="RIC59" s="0"/>
      <c r="RID59" s="0"/>
      <c r="RIE59" s="0"/>
      <c r="RIF59" s="0"/>
      <c r="RIG59" s="0"/>
      <c r="RIH59" s="0"/>
      <c r="RII59" s="0"/>
      <c r="RIJ59" s="0"/>
      <c r="RIK59" s="0"/>
      <c r="RIL59" s="0"/>
      <c r="RIM59" s="0"/>
      <c r="RIN59" s="0"/>
      <c r="RIO59" s="0"/>
      <c r="RIP59" s="0"/>
      <c r="RIQ59" s="0"/>
      <c r="RIR59" s="0"/>
      <c r="RIS59" s="0"/>
      <c r="RIT59" s="0"/>
      <c r="RIU59" s="0"/>
      <c r="RIV59" s="0"/>
      <c r="RIW59" s="0"/>
      <c r="RIX59" s="0"/>
      <c r="RIY59" s="0"/>
      <c r="RIZ59" s="0"/>
      <c r="RJA59" s="0"/>
      <c r="RJB59" s="0"/>
      <c r="RJC59" s="0"/>
      <c r="RJD59" s="0"/>
      <c r="RJE59" s="0"/>
      <c r="RJF59" s="0"/>
      <c r="RJG59" s="0"/>
      <c r="RJH59" s="0"/>
      <c r="RJI59" s="0"/>
      <c r="RJJ59" s="0"/>
      <c r="RJK59" s="0"/>
      <c r="RJL59" s="0"/>
      <c r="RJM59" s="0"/>
      <c r="RJN59" s="0"/>
      <c r="RJO59" s="0"/>
      <c r="RJP59" s="0"/>
      <c r="RJQ59" s="0"/>
      <c r="RJR59" s="0"/>
      <c r="RJS59" s="0"/>
      <c r="RJT59" s="0"/>
      <c r="RJU59" s="0"/>
      <c r="RJV59" s="0"/>
      <c r="RJW59" s="0"/>
      <c r="RJX59" s="0"/>
      <c r="RJY59" s="0"/>
      <c r="RJZ59" s="0"/>
      <c r="RKA59" s="0"/>
      <c r="RKB59" s="0"/>
      <c r="RKC59" s="0"/>
      <c r="RKD59" s="0"/>
      <c r="RKE59" s="0"/>
      <c r="RKF59" s="0"/>
      <c r="RKG59" s="0"/>
      <c r="RKH59" s="0"/>
      <c r="RKI59" s="0"/>
      <c r="RKJ59" s="0"/>
      <c r="RKK59" s="0"/>
      <c r="RKL59" s="0"/>
      <c r="RKM59" s="0"/>
      <c r="RKN59" s="0"/>
      <c r="RKO59" s="0"/>
      <c r="RKP59" s="0"/>
      <c r="RKQ59" s="0"/>
      <c r="RKR59" s="0"/>
      <c r="RKS59" s="0"/>
      <c r="RKT59" s="0"/>
      <c r="RKU59" s="0"/>
      <c r="RKV59" s="0"/>
      <c r="RKW59" s="0"/>
      <c r="RKX59" s="0"/>
      <c r="RKY59" s="0"/>
      <c r="RKZ59" s="0"/>
      <c r="RLA59" s="0"/>
      <c r="RLB59" s="0"/>
      <c r="RLC59" s="0"/>
      <c r="RLD59" s="0"/>
      <c r="RLE59" s="0"/>
      <c r="RLF59" s="0"/>
      <c r="RLG59" s="0"/>
      <c r="RLH59" s="0"/>
      <c r="RLI59" s="0"/>
      <c r="RLJ59" s="0"/>
      <c r="RLK59" s="0"/>
      <c r="RLL59" s="0"/>
      <c r="RLM59" s="0"/>
      <c r="RLN59" s="0"/>
      <c r="RLO59" s="0"/>
      <c r="RLP59" s="0"/>
      <c r="RLQ59" s="0"/>
      <c r="RLR59" s="0"/>
      <c r="RLS59" s="0"/>
      <c r="RLT59" s="0"/>
      <c r="RLU59" s="0"/>
      <c r="RLV59" s="0"/>
      <c r="RLW59" s="0"/>
      <c r="RLX59" s="0"/>
      <c r="RLY59" s="0"/>
      <c r="RLZ59" s="0"/>
      <c r="RMA59" s="0"/>
      <c r="RMB59" s="0"/>
      <c r="RMC59" s="0"/>
      <c r="RMD59" s="0"/>
      <c r="RME59" s="0"/>
      <c r="RMF59" s="0"/>
      <c r="RMG59" s="0"/>
      <c r="RMH59" s="0"/>
      <c r="RMI59" s="0"/>
      <c r="RMJ59" s="0"/>
      <c r="RMK59" s="0"/>
      <c r="RML59" s="0"/>
      <c r="RMM59" s="0"/>
      <c r="RMN59" s="0"/>
      <c r="RMO59" s="0"/>
      <c r="RMP59" s="0"/>
      <c r="RMQ59" s="0"/>
      <c r="RMR59" s="0"/>
      <c r="RMS59" s="0"/>
      <c r="RMT59" s="0"/>
      <c r="RMU59" s="0"/>
      <c r="RMV59" s="0"/>
      <c r="RMW59" s="0"/>
      <c r="RMX59" s="0"/>
      <c r="RMY59" s="0"/>
      <c r="RMZ59" s="0"/>
      <c r="RNA59" s="0"/>
      <c r="RNB59" s="0"/>
      <c r="RNC59" s="0"/>
      <c r="RND59" s="0"/>
      <c r="RNE59" s="0"/>
      <c r="RNF59" s="0"/>
      <c r="RNG59" s="0"/>
      <c r="RNH59" s="0"/>
      <c r="RNI59" s="0"/>
      <c r="RNJ59" s="0"/>
      <c r="RNK59" s="0"/>
      <c r="RNL59" s="0"/>
      <c r="RNM59" s="0"/>
      <c r="RNN59" s="0"/>
      <c r="RNO59" s="0"/>
      <c r="RNP59" s="0"/>
      <c r="RNQ59" s="0"/>
      <c r="RNR59" s="0"/>
      <c r="RNS59" s="0"/>
      <c r="RNT59" s="0"/>
      <c r="RNU59" s="0"/>
      <c r="RNV59" s="0"/>
      <c r="RNW59" s="0"/>
      <c r="RNX59" s="0"/>
      <c r="RNY59" s="0"/>
      <c r="RNZ59" s="0"/>
      <c r="ROA59" s="0"/>
      <c r="ROB59" s="0"/>
      <c r="ROC59" s="0"/>
      <c r="ROD59" s="0"/>
      <c r="ROE59" s="0"/>
      <c r="ROF59" s="0"/>
      <c r="ROG59" s="0"/>
      <c r="ROH59" s="0"/>
      <c r="ROI59" s="0"/>
      <c r="ROJ59" s="0"/>
      <c r="ROK59" s="0"/>
      <c r="ROL59" s="0"/>
      <c r="ROM59" s="0"/>
      <c r="RON59" s="0"/>
      <c r="ROO59" s="0"/>
      <c r="ROP59" s="0"/>
      <c r="ROQ59" s="0"/>
      <c r="ROR59" s="0"/>
      <c r="ROS59" s="0"/>
      <c r="ROT59" s="0"/>
      <c r="ROU59" s="0"/>
      <c r="ROV59" s="0"/>
      <c r="ROW59" s="0"/>
      <c r="ROX59" s="0"/>
      <c r="ROY59" s="0"/>
      <c r="ROZ59" s="0"/>
      <c r="RPA59" s="0"/>
      <c r="RPB59" s="0"/>
      <c r="RPC59" s="0"/>
      <c r="RPD59" s="0"/>
      <c r="RPE59" s="0"/>
      <c r="RPF59" s="0"/>
      <c r="RPG59" s="0"/>
      <c r="RPH59" s="0"/>
      <c r="RPI59" s="0"/>
      <c r="RPJ59" s="0"/>
      <c r="RPK59" s="0"/>
      <c r="RPL59" s="0"/>
      <c r="RPM59" s="0"/>
      <c r="RPN59" s="0"/>
      <c r="RPO59" s="0"/>
      <c r="RPP59" s="0"/>
      <c r="RPQ59" s="0"/>
      <c r="RPR59" s="0"/>
      <c r="RPS59" s="0"/>
      <c r="RPT59" s="0"/>
      <c r="RPU59" s="0"/>
      <c r="RPV59" s="0"/>
      <c r="RPW59" s="0"/>
      <c r="RPX59" s="0"/>
      <c r="RPY59" s="0"/>
      <c r="RPZ59" s="0"/>
      <c r="RQA59" s="0"/>
      <c r="RQB59" s="0"/>
      <c r="RQC59" s="0"/>
      <c r="RQD59" s="0"/>
      <c r="RQE59" s="0"/>
      <c r="RQF59" s="0"/>
      <c r="RQG59" s="0"/>
      <c r="RQH59" s="0"/>
      <c r="RQI59" s="0"/>
      <c r="RQJ59" s="0"/>
      <c r="RQK59" s="0"/>
      <c r="RQL59" s="0"/>
      <c r="RQM59" s="0"/>
      <c r="RQN59" s="0"/>
      <c r="RQO59" s="0"/>
      <c r="RQP59" s="0"/>
      <c r="RQQ59" s="0"/>
      <c r="RQR59" s="0"/>
      <c r="RQS59" s="0"/>
      <c r="RQT59" s="0"/>
      <c r="RQU59" s="0"/>
      <c r="RQV59" s="0"/>
      <c r="RQW59" s="0"/>
      <c r="RQX59" s="0"/>
      <c r="RQY59" s="0"/>
      <c r="RQZ59" s="0"/>
      <c r="RRA59" s="0"/>
      <c r="RRB59" s="0"/>
      <c r="RRC59" s="0"/>
      <c r="RRD59" s="0"/>
      <c r="RRE59" s="0"/>
      <c r="RRF59" s="0"/>
      <c r="RRG59" s="0"/>
      <c r="RRH59" s="0"/>
      <c r="RRI59" s="0"/>
      <c r="RRJ59" s="0"/>
      <c r="RRK59" s="0"/>
      <c r="RRL59" s="0"/>
      <c r="RRM59" s="0"/>
      <c r="RRN59" s="0"/>
      <c r="RRO59" s="0"/>
      <c r="RRP59" s="0"/>
      <c r="RRQ59" s="0"/>
      <c r="RRR59" s="0"/>
      <c r="RRS59" s="0"/>
      <c r="RRT59" s="0"/>
      <c r="RRU59" s="0"/>
      <c r="RRV59" s="0"/>
      <c r="RRW59" s="0"/>
      <c r="RRX59" s="0"/>
      <c r="RRY59" s="0"/>
      <c r="RRZ59" s="0"/>
      <c r="RSA59" s="0"/>
      <c r="RSB59" s="0"/>
      <c r="RSC59" s="0"/>
      <c r="RSD59" s="0"/>
      <c r="RSE59" s="0"/>
      <c r="RSF59" s="0"/>
      <c r="RSG59" s="0"/>
      <c r="RSH59" s="0"/>
      <c r="RSI59" s="0"/>
      <c r="RSJ59" s="0"/>
      <c r="RSK59" s="0"/>
      <c r="RSL59" s="0"/>
      <c r="RSM59" s="0"/>
      <c r="RSN59" s="0"/>
      <c r="RSO59" s="0"/>
      <c r="RSP59" s="0"/>
      <c r="RSQ59" s="0"/>
      <c r="RSR59" s="0"/>
      <c r="RSS59" s="0"/>
      <c r="RST59" s="0"/>
      <c r="RSU59" s="0"/>
      <c r="RSV59" s="0"/>
      <c r="RSW59" s="0"/>
      <c r="RSX59" s="0"/>
      <c r="RSY59" s="0"/>
      <c r="RSZ59" s="0"/>
      <c r="RTA59" s="0"/>
      <c r="RTB59" s="0"/>
      <c r="RTC59" s="0"/>
      <c r="RTD59" s="0"/>
      <c r="RTE59" s="0"/>
      <c r="RTF59" s="0"/>
      <c r="RTG59" s="0"/>
      <c r="RTH59" s="0"/>
      <c r="RTI59" s="0"/>
      <c r="RTJ59" s="0"/>
      <c r="RTK59" s="0"/>
      <c r="RTL59" s="0"/>
      <c r="RTM59" s="0"/>
      <c r="RTN59" s="0"/>
      <c r="RTO59" s="0"/>
      <c r="RTP59" s="0"/>
      <c r="RTQ59" s="0"/>
      <c r="RTR59" s="0"/>
      <c r="RTS59" s="0"/>
      <c r="RTT59" s="0"/>
      <c r="RTU59" s="0"/>
      <c r="RTV59" s="0"/>
      <c r="RTW59" s="0"/>
      <c r="RTX59" s="0"/>
      <c r="RTY59" s="0"/>
      <c r="RTZ59" s="0"/>
      <c r="RUA59" s="0"/>
      <c r="RUB59" s="0"/>
      <c r="RUC59" s="0"/>
      <c r="RUD59" s="0"/>
      <c r="RUE59" s="0"/>
      <c r="RUF59" s="0"/>
      <c r="RUG59" s="0"/>
      <c r="RUH59" s="0"/>
      <c r="RUI59" s="0"/>
      <c r="RUJ59" s="0"/>
      <c r="RUK59" s="0"/>
      <c r="RUL59" s="0"/>
      <c r="RUM59" s="0"/>
      <c r="RUN59" s="0"/>
      <c r="RUO59" s="0"/>
      <c r="RUP59" s="0"/>
      <c r="RUQ59" s="0"/>
      <c r="RUR59" s="0"/>
      <c r="RUS59" s="0"/>
      <c r="RUT59" s="0"/>
      <c r="RUU59" s="0"/>
      <c r="RUV59" s="0"/>
      <c r="RUW59" s="0"/>
      <c r="RUX59" s="0"/>
      <c r="RUY59" s="0"/>
      <c r="RUZ59" s="0"/>
      <c r="RVA59" s="0"/>
      <c r="RVB59" s="0"/>
      <c r="RVC59" s="0"/>
      <c r="RVD59" s="0"/>
      <c r="RVE59" s="0"/>
      <c r="RVF59" s="0"/>
      <c r="RVG59" s="0"/>
      <c r="RVH59" s="0"/>
      <c r="RVI59" s="0"/>
      <c r="RVJ59" s="0"/>
      <c r="RVK59" s="0"/>
      <c r="RVL59" s="0"/>
      <c r="RVM59" s="0"/>
      <c r="RVN59" s="0"/>
      <c r="RVO59" s="0"/>
      <c r="RVP59" s="0"/>
      <c r="RVQ59" s="0"/>
      <c r="RVR59" s="0"/>
      <c r="RVS59" s="0"/>
      <c r="RVT59" s="0"/>
      <c r="RVU59" s="0"/>
      <c r="RVV59" s="0"/>
      <c r="RVW59" s="0"/>
      <c r="RVX59" s="0"/>
      <c r="RVY59" s="0"/>
      <c r="RVZ59" s="0"/>
      <c r="RWA59" s="0"/>
      <c r="RWB59" s="0"/>
      <c r="RWC59" s="0"/>
      <c r="RWD59" s="0"/>
      <c r="RWE59" s="0"/>
      <c r="RWF59" s="0"/>
      <c r="RWG59" s="0"/>
      <c r="RWH59" s="0"/>
      <c r="RWI59" s="0"/>
      <c r="RWJ59" s="0"/>
      <c r="RWK59" s="0"/>
      <c r="RWL59" s="0"/>
      <c r="RWM59" s="0"/>
      <c r="RWN59" s="0"/>
      <c r="RWO59" s="0"/>
      <c r="RWP59" s="0"/>
      <c r="RWQ59" s="0"/>
      <c r="RWR59" s="0"/>
      <c r="RWS59" s="0"/>
      <c r="RWT59" s="0"/>
      <c r="RWU59" s="0"/>
      <c r="RWV59" s="0"/>
      <c r="RWW59" s="0"/>
      <c r="RWX59" s="0"/>
      <c r="RWY59" s="0"/>
      <c r="RWZ59" s="0"/>
      <c r="RXA59" s="0"/>
      <c r="RXB59" s="0"/>
      <c r="RXC59" s="0"/>
      <c r="RXD59" s="0"/>
      <c r="RXE59" s="0"/>
      <c r="RXF59" s="0"/>
      <c r="RXG59" s="0"/>
      <c r="RXH59" s="0"/>
      <c r="RXI59" s="0"/>
      <c r="RXJ59" s="0"/>
      <c r="RXK59" s="0"/>
      <c r="RXL59" s="0"/>
      <c r="RXM59" s="0"/>
      <c r="RXN59" s="0"/>
      <c r="RXO59" s="0"/>
      <c r="RXP59" s="0"/>
      <c r="RXQ59" s="0"/>
      <c r="RXR59" s="0"/>
      <c r="RXS59" s="0"/>
      <c r="RXT59" s="0"/>
      <c r="RXU59" s="0"/>
      <c r="RXV59" s="0"/>
      <c r="RXW59" s="0"/>
      <c r="RXX59" s="0"/>
      <c r="RXY59" s="0"/>
      <c r="RXZ59" s="0"/>
      <c r="RYA59" s="0"/>
      <c r="RYB59" s="0"/>
      <c r="RYC59" s="0"/>
      <c r="RYD59" s="0"/>
      <c r="RYE59" s="0"/>
      <c r="RYF59" s="0"/>
      <c r="RYG59" s="0"/>
      <c r="RYH59" s="0"/>
      <c r="RYI59" s="0"/>
      <c r="RYJ59" s="0"/>
      <c r="RYK59" s="0"/>
      <c r="RYL59" s="0"/>
      <c r="RYM59" s="0"/>
      <c r="RYN59" s="0"/>
      <c r="RYO59" s="0"/>
      <c r="RYP59" s="0"/>
      <c r="RYQ59" s="0"/>
      <c r="RYR59" s="0"/>
      <c r="RYS59" s="0"/>
      <c r="RYT59" s="0"/>
      <c r="RYU59" s="0"/>
      <c r="RYV59" s="0"/>
      <c r="RYW59" s="0"/>
      <c r="RYX59" s="0"/>
      <c r="RYY59" s="0"/>
      <c r="RYZ59" s="0"/>
      <c r="RZA59" s="0"/>
      <c r="RZB59" s="0"/>
      <c r="RZC59" s="0"/>
      <c r="RZD59" s="0"/>
      <c r="RZE59" s="0"/>
      <c r="RZF59" s="0"/>
      <c r="RZG59" s="0"/>
      <c r="RZH59" s="0"/>
      <c r="RZI59" s="0"/>
      <c r="RZJ59" s="0"/>
      <c r="RZK59" s="0"/>
      <c r="RZL59" s="0"/>
      <c r="RZM59" s="0"/>
      <c r="RZN59" s="0"/>
      <c r="RZO59" s="0"/>
      <c r="RZP59" s="0"/>
      <c r="RZQ59" s="0"/>
      <c r="RZR59" s="0"/>
      <c r="RZS59" s="0"/>
      <c r="RZT59" s="0"/>
      <c r="RZU59" s="0"/>
      <c r="RZV59" s="0"/>
      <c r="RZW59" s="0"/>
      <c r="RZX59" s="0"/>
      <c r="RZY59" s="0"/>
      <c r="RZZ59" s="0"/>
      <c r="SAA59" s="0"/>
      <c r="SAB59" s="0"/>
      <c r="SAC59" s="0"/>
      <c r="SAD59" s="0"/>
      <c r="SAE59" s="0"/>
      <c r="SAF59" s="0"/>
      <c r="SAG59" s="0"/>
      <c r="SAH59" s="0"/>
      <c r="SAI59" s="0"/>
      <c r="SAJ59" s="0"/>
      <c r="SAK59" s="0"/>
      <c r="SAL59" s="0"/>
      <c r="SAM59" s="0"/>
      <c r="SAN59" s="0"/>
      <c r="SAO59" s="0"/>
      <c r="SAP59" s="0"/>
      <c r="SAQ59" s="0"/>
      <c r="SAR59" s="0"/>
      <c r="SAS59" s="0"/>
      <c r="SAT59" s="0"/>
      <c r="SAU59" s="0"/>
      <c r="SAV59" s="0"/>
      <c r="SAW59" s="0"/>
      <c r="SAX59" s="0"/>
      <c r="SAY59" s="0"/>
      <c r="SAZ59" s="0"/>
      <c r="SBA59" s="0"/>
      <c r="SBB59" s="0"/>
      <c r="SBC59" s="0"/>
      <c r="SBD59" s="0"/>
      <c r="SBE59" s="0"/>
      <c r="SBF59" s="0"/>
      <c r="SBG59" s="0"/>
      <c r="SBH59" s="0"/>
      <c r="SBI59" s="0"/>
      <c r="SBJ59" s="0"/>
      <c r="SBK59" s="0"/>
      <c r="SBL59" s="0"/>
      <c r="SBM59" s="0"/>
      <c r="SBN59" s="0"/>
      <c r="SBO59" s="0"/>
      <c r="SBP59" s="0"/>
      <c r="SBQ59" s="0"/>
      <c r="SBR59" s="0"/>
      <c r="SBS59" s="0"/>
      <c r="SBT59" s="0"/>
      <c r="SBU59" s="0"/>
      <c r="SBV59" s="0"/>
      <c r="SBW59" s="0"/>
      <c r="SBX59" s="0"/>
      <c r="SBY59" s="0"/>
      <c r="SBZ59" s="0"/>
      <c r="SCA59" s="0"/>
      <c r="SCB59" s="0"/>
      <c r="SCC59" s="0"/>
      <c r="SCD59" s="0"/>
      <c r="SCE59" s="0"/>
      <c r="SCF59" s="0"/>
      <c r="SCG59" s="0"/>
      <c r="SCH59" s="0"/>
      <c r="SCI59" s="0"/>
      <c r="SCJ59" s="0"/>
      <c r="SCK59" s="0"/>
      <c r="SCL59" s="0"/>
      <c r="SCM59" s="0"/>
      <c r="SCN59" s="0"/>
      <c r="SCO59" s="0"/>
      <c r="SCP59" s="0"/>
      <c r="SCQ59" s="0"/>
      <c r="SCR59" s="0"/>
      <c r="SCS59" s="0"/>
      <c r="SCT59" s="0"/>
      <c r="SCU59" s="0"/>
      <c r="SCV59" s="0"/>
      <c r="SCW59" s="0"/>
      <c r="SCX59" s="0"/>
      <c r="SCY59" s="0"/>
      <c r="SCZ59" s="0"/>
      <c r="SDA59" s="0"/>
      <c r="SDB59" s="0"/>
      <c r="SDC59" s="0"/>
      <c r="SDD59" s="0"/>
      <c r="SDE59" s="0"/>
      <c r="SDF59" s="0"/>
      <c r="SDG59" s="0"/>
      <c r="SDH59" s="0"/>
      <c r="SDI59" s="0"/>
      <c r="SDJ59" s="0"/>
      <c r="SDK59" s="0"/>
      <c r="SDL59" s="0"/>
      <c r="SDM59" s="0"/>
      <c r="SDN59" s="0"/>
      <c r="SDO59" s="0"/>
      <c r="SDP59" s="0"/>
      <c r="SDQ59" s="0"/>
      <c r="SDR59" s="0"/>
      <c r="SDS59" s="0"/>
      <c r="SDT59" s="0"/>
      <c r="SDU59" s="0"/>
      <c r="SDV59" s="0"/>
      <c r="SDW59" s="0"/>
      <c r="SDX59" s="0"/>
      <c r="SDY59" s="0"/>
      <c r="SDZ59" s="0"/>
      <c r="SEA59" s="0"/>
      <c r="SEB59" s="0"/>
      <c r="SEC59" s="0"/>
      <c r="SED59" s="0"/>
      <c r="SEE59" s="0"/>
      <c r="SEF59" s="0"/>
      <c r="SEG59" s="0"/>
      <c r="SEH59" s="0"/>
      <c r="SEI59" s="0"/>
      <c r="SEJ59" s="0"/>
      <c r="SEK59" s="0"/>
      <c r="SEL59" s="0"/>
      <c r="SEM59" s="0"/>
      <c r="SEN59" s="0"/>
      <c r="SEO59" s="0"/>
      <c r="SEP59" s="0"/>
      <c r="SEQ59" s="0"/>
      <c r="SER59" s="0"/>
      <c r="SES59" s="0"/>
      <c r="SET59" s="0"/>
      <c r="SEU59" s="0"/>
      <c r="SEV59" s="0"/>
      <c r="SEW59" s="0"/>
      <c r="SEX59" s="0"/>
      <c r="SEY59" s="0"/>
      <c r="SEZ59" s="0"/>
      <c r="SFA59" s="0"/>
      <c r="SFB59" s="0"/>
      <c r="SFC59" s="0"/>
      <c r="SFD59" s="0"/>
      <c r="SFE59" s="0"/>
      <c r="SFF59" s="0"/>
      <c r="SFG59" s="0"/>
      <c r="SFH59" s="0"/>
      <c r="SFI59" s="0"/>
      <c r="SFJ59" s="0"/>
      <c r="SFK59" s="0"/>
      <c r="SFL59" s="0"/>
      <c r="SFM59" s="0"/>
      <c r="SFN59" s="0"/>
      <c r="SFO59" s="0"/>
      <c r="SFP59" s="0"/>
      <c r="SFQ59" s="0"/>
      <c r="SFR59" s="0"/>
      <c r="SFS59" s="0"/>
      <c r="SFT59" s="0"/>
      <c r="SFU59" s="0"/>
      <c r="SFV59" s="0"/>
      <c r="SFW59" s="0"/>
      <c r="SFX59" s="0"/>
      <c r="SFY59" s="0"/>
      <c r="SFZ59" s="0"/>
      <c r="SGA59" s="0"/>
      <c r="SGB59" s="0"/>
      <c r="SGC59" s="0"/>
      <c r="SGD59" s="0"/>
      <c r="SGE59" s="0"/>
      <c r="SGF59" s="0"/>
      <c r="SGG59" s="0"/>
      <c r="SGH59" s="0"/>
      <c r="SGI59" s="0"/>
      <c r="SGJ59" s="0"/>
      <c r="SGK59" s="0"/>
      <c r="SGL59" s="0"/>
      <c r="SGM59" s="0"/>
      <c r="SGN59" s="0"/>
      <c r="SGO59" s="0"/>
      <c r="SGP59" s="0"/>
      <c r="SGQ59" s="0"/>
      <c r="SGR59" s="0"/>
      <c r="SGS59" s="0"/>
      <c r="SGT59" s="0"/>
      <c r="SGU59" s="0"/>
      <c r="SGV59" s="0"/>
      <c r="SGW59" s="0"/>
      <c r="SGX59" s="0"/>
      <c r="SGY59" s="0"/>
      <c r="SGZ59" s="0"/>
      <c r="SHA59" s="0"/>
      <c r="SHB59" s="0"/>
      <c r="SHC59" s="0"/>
      <c r="SHD59" s="0"/>
      <c r="SHE59" s="0"/>
      <c r="SHF59" s="0"/>
      <c r="SHG59" s="0"/>
      <c r="SHH59" s="0"/>
      <c r="SHI59" s="0"/>
      <c r="SHJ59" s="0"/>
      <c r="SHK59" s="0"/>
      <c r="SHL59" s="0"/>
      <c r="SHM59" s="0"/>
      <c r="SHN59" s="0"/>
      <c r="SHO59" s="0"/>
      <c r="SHP59" s="0"/>
      <c r="SHQ59" s="0"/>
      <c r="SHR59" s="0"/>
      <c r="SHS59" s="0"/>
      <c r="SHT59" s="0"/>
      <c r="SHU59" s="0"/>
      <c r="SHV59" s="0"/>
      <c r="SHW59" s="0"/>
      <c r="SHX59" s="0"/>
      <c r="SHY59" s="0"/>
      <c r="SHZ59" s="0"/>
      <c r="SIA59" s="0"/>
      <c r="SIB59" s="0"/>
      <c r="SIC59" s="0"/>
      <c r="SID59" s="0"/>
      <c r="SIE59" s="0"/>
      <c r="SIF59" s="0"/>
      <c r="SIG59" s="0"/>
      <c r="SIH59" s="0"/>
      <c r="SII59" s="0"/>
      <c r="SIJ59" s="0"/>
      <c r="SIK59" s="0"/>
      <c r="SIL59" s="0"/>
      <c r="SIM59" s="0"/>
      <c r="SIN59" s="0"/>
      <c r="SIO59" s="0"/>
      <c r="SIP59" s="0"/>
      <c r="SIQ59" s="0"/>
      <c r="SIR59" s="0"/>
      <c r="SIS59" s="0"/>
      <c r="SIT59" s="0"/>
      <c r="SIU59" s="0"/>
      <c r="SIV59" s="0"/>
      <c r="SIW59" s="0"/>
      <c r="SIX59" s="0"/>
      <c r="SIY59" s="0"/>
      <c r="SIZ59" s="0"/>
      <c r="SJA59" s="0"/>
      <c r="SJB59" s="0"/>
      <c r="SJC59" s="0"/>
      <c r="SJD59" s="0"/>
      <c r="SJE59" s="0"/>
      <c r="SJF59" s="0"/>
      <c r="SJG59" s="0"/>
      <c r="SJH59" s="0"/>
      <c r="SJI59" s="0"/>
      <c r="SJJ59" s="0"/>
      <c r="SJK59" s="0"/>
      <c r="SJL59" s="0"/>
      <c r="SJM59" s="0"/>
      <c r="SJN59" s="0"/>
      <c r="SJO59" s="0"/>
      <c r="SJP59" s="0"/>
      <c r="SJQ59" s="0"/>
      <c r="SJR59" s="0"/>
      <c r="SJS59" s="0"/>
      <c r="SJT59" s="0"/>
      <c r="SJU59" s="0"/>
      <c r="SJV59" s="0"/>
      <c r="SJW59" s="0"/>
      <c r="SJX59" s="0"/>
      <c r="SJY59" s="0"/>
      <c r="SJZ59" s="0"/>
      <c r="SKA59" s="0"/>
      <c r="SKB59" s="0"/>
      <c r="SKC59" s="0"/>
      <c r="SKD59" s="0"/>
      <c r="SKE59" s="0"/>
      <c r="SKF59" s="0"/>
      <c r="SKG59" s="0"/>
      <c r="SKH59" s="0"/>
      <c r="SKI59" s="0"/>
      <c r="SKJ59" s="0"/>
      <c r="SKK59" s="0"/>
      <c r="SKL59" s="0"/>
      <c r="SKM59" s="0"/>
      <c r="SKN59" s="0"/>
      <c r="SKO59" s="0"/>
      <c r="SKP59" s="0"/>
      <c r="SKQ59" s="0"/>
      <c r="SKR59" s="0"/>
      <c r="SKS59" s="0"/>
      <c r="SKT59" s="0"/>
      <c r="SKU59" s="0"/>
      <c r="SKV59" s="0"/>
      <c r="SKW59" s="0"/>
      <c r="SKX59" s="0"/>
      <c r="SKY59" s="0"/>
      <c r="SKZ59" s="0"/>
      <c r="SLA59" s="0"/>
      <c r="SLB59" s="0"/>
      <c r="SLC59" s="0"/>
      <c r="SLD59" s="0"/>
      <c r="SLE59" s="0"/>
      <c r="SLF59" s="0"/>
      <c r="SLG59" s="0"/>
      <c r="SLH59" s="0"/>
      <c r="SLI59" s="0"/>
      <c r="SLJ59" s="0"/>
      <c r="SLK59" s="0"/>
      <c r="SLL59" s="0"/>
      <c r="SLM59" s="0"/>
      <c r="SLN59" s="0"/>
      <c r="SLO59" s="0"/>
      <c r="SLP59" s="0"/>
      <c r="SLQ59" s="0"/>
      <c r="SLR59" s="0"/>
      <c r="SLS59" s="0"/>
      <c r="SLT59" s="0"/>
      <c r="SLU59" s="0"/>
      <c r="SLV59" s="0"/>
      <c r="SLW59" s="0"/>
      <c r="SLX59" s="0"/>
      <c r="SLY59" s="0"/>
      <c r="SLZ59" s="0"/>
      <c r="SMA59" s="0"/>
      <c r="SMB59" s="0"/>
      <c r="SMC59" s="0"/>
      <c r="SMD59" s="0"/>
      <c r="SME59" s="0"/>
      <c r="SMF59" s="0"/>
      <c r="SMG59" s="0"/>
      <c r="SMH59" s="0"/>
      <c r="SMI59" s="0"/>
      <c r="SMJ59" s="0"/>
      <c r="SMK59" s="0"/>
      <c r="SML59" s="0"/>
      <c r="SMM59" s="0"/>
      <c r="SMN59" s="0"/>
      <c r="SMO59" s="0"/>
      <c r="SMP59" s="0"/>
      <c r="SMQ59" s="0"/>
      <c r="SMR59" s="0"/>
      <c r="SMS59" s="0"/>
      <c r="SMT59" s="0"/>
      <c r="SMU59" s="0"/>
      <c r="SMV59" s="0"/>
      <c r="SMW59" s="0"/>
      <c r="SMX59" s="0"/>
      <c r="SMY59" s="0"/>
      <c r="SMZ59" s="0"/>
      <c r="SNA59" s="0"/>
      <c r="SNB59" s="0"/>
      <c r="SNC59" s="0"/>
      <c r="SND59" s="0"/>
      <c r="SNE59" s="0"/>
      <c r="SNF59" s="0"/>
      <c r="SNG59" s="0"/>
      <c r="SNH59" s="0"/>
      <c r="SNI59" s="0"/>
      <c r="SNJ59" s="0"/>
      <c r="SNK59" s="0"/>
      <c r="SNL59" s="0"/>
      <c r="SNM59" s="0"/>
      <c r="SNN59" s="0"/>
      <c r="SNO59" s="0"/>
      <c r="SNP59" s="0"/>
      <c r="SNQ59" s="0"/>
      <c r="SNR59" s="0"/>
      <c r="SNS59" s="0"/>
      <c r="SNT59" s="0"/>
      <c r="SNU59" s="0"/>
      <c r="SNV59" s="0"/>
      <c r="SNW59" s="0"/>
      <c r="SNX59" s="0"/>
      <c r="SNY59" s="0"/>
      <c r="SNZ59" s="0"/>
      <c r="SOA59" s="0"/>
      <c r="SOB59" s="0"/>
      <c r="SOC59" s="0"/>
      <c r="SOD59" s="0"/>
      <c r="SOE59" s="0"/>
      <c r="SOF59" s="0"/>
      <c r="SOG59" s="0"/>
      <c r="SOH59" s="0"/>
      <c r="SOI59" s="0"/>
      <c r="SOJ59" s="0"/>
      <c r="SOK59" s="0"/>
      <c r="SOL59" s="0"/>
      <c r="SOM59" s="0"/>
      <c r="SON59" s="0"/>
      <c r="SOO59" s="0"/>
      <c r="SOP59" s="0"/>
      <c r="SOQ59" s="0"/>
      <c r="SOR59" s="0"/>
      <c r="SOS59" s="0"/>
      <c r="SOT59" s="0"/>
      <c r="SOU59" s="0"/>
      <c r="SOV59" s="0"/>
      <c r="SOW59" s="0"/>
      <c r="SOX59" s="0"/>
      <c r="SOY59" s="0"/>
      <c r="SOZ59" s="0"/>
      <c r="SPA59" s="0"/>
      <c r="SPB59" s="0"/>
      <c r="SPC59" s="0"/>
      <c r="SPD59" s="0"/>
      <c r="SPE59" s="0"/>
      <c r="SPF59" s="0"/>
      <c r="SPG59" s="0"/>
      <c r="SPH59" s="0"/>
      <c r="SPI59" s="0"/>
      <c r="SPJ59" s="0"/>
      <c r="SPK59" s="0"/>
      <c r="SPL59" s="0"/>
      <c r="SPM59" s="0"/>
      <c r="SPN59" s="0"/>
      <c r="SPO59" s="0"/>
      <c r="SPP59" s="0"/>
      <c r="SPQ59" s="0"/>
      <c r="SPR59" s="0"/>
      <c r="SPS59" s="0"/>
      <c r="SPT59" s="0"/>
      <c r="SPU59" s="0"/>
      <c r="SPV59" s="0"/>
      <c r="SPW59" s="0"/>
      <c r="SPX59" s="0"/>
      <c r="SPY59" s="0"/>
      <c r="SPZ59" s="0"/>
      <c r="SQA59" s="0"/>
      <c r="SQB59" s="0"/>
      <c r="SQC59" s="0"/>
      <c r="SQD59" s="0"/>
      <c r="SQE59" s="0"/>
      <c r="SQF59" s="0"/>
      <c r="SQG59" s="0"/>
      <c r="SQH59" s="0"/>
      <c r="SQI59" s="0"/>
      <c r="SQJ59" s="0"/>
      <c r="SQK59" s="0"/>
      <c r="SQL59" s="0"/>
      <c r="SQM59" s="0"/>
      <c r="SQN59" s="0"/>
      <c r="SQO59" s="0"/>
      <c r="SQP59" s="0"/>
      <c r="SQQ59" s="0"/>
      <c r="SQR59" s="0"/>
      <c r="SQS59" s="0"/>
      <c r="SQT59" s="0"/>
      <c r="SQU59" s="0"/>
      <c r="SQV59" s="0"/>
      <c r="SQW59" s="0"/>
      <c r="SQX59" s="0"/>
      <c r="SQY59" s="0"/>
      <c r="SQZ59" s="0"/>
      <c r="SRA59" s="0"/>
      <c r="SRB59" s="0"/>
      <c r="SRC59" s="0"/>
      <c r="SRD59" s="0"/>
      <c r="SRE59" s="0"/>
      <c r="SRF59" s="0"/>
      <c r="SRG59" s="0"/>
      <c r="SRH59" s="0"/>
      <c r="SRI59" s="0"/>
      <c r="SRJ59" s="0"/>
      <c r="SRK59" s="0"/>
      <c r="SRL59" s="0"/>
      <c r="SRM59" s="0"/>
      <c r="SRN59" s="0"/>
      <c r="SRO59" s="0"/>
      <c r="SRP59" s="0"/>
      <c r="SRQ59" s="0"/>
      <c r="SRR59" s="0"/>
      <c r="SRS59" s="0"/>
      <c r="SRT59" s="0"/>
      <c r="SRU59" s="0"/>
      <c r="SRV59" s="0"/>
      <c r="SRW59" s="0"/>
      <c r="SRX59" s="0"/>
      <c r="SRY59" s="0"/>
      <c r="SRZ59" s="0"/>
      <c r="SSA59" s="0"/>
      <c r="SSB59" s="0"/>
      <c r="SSC59" s="0"/>
      <c r="SSD59" s="0"/>
      <c r="SSE59" s="0"/>
      <c r="SSF59" s="0"/>
      <c r="SSG59" s="0"/>
      <c r="SSH59" s="0"/>
      <c r="SSI59" s="0"/>
      <c r="SSJ59" s="0"/>
      <c r="SSK59" s="0"/>
      <c r="SSL59" s="0"/>
      <c r="SSM59" s="0"/>
      <c r="SSN59" s="0"/>
      <c r="SSO59" s="0"/>
      <c r="SSP59" s="0"/>
      <c r="SSQ59" s="0"/>
      <c r="SSR59" s="0"/>
      <c r="SSS59" s="0"/>
      <c r="SST59" s="0"/>
      <c r="SSU59" s="0"/>
      <c r="SSV59" s="0"/>
      <c r="SSW59" s="0"/>
      <c r="SSX59" s="0"/>
      <c r="SSY59" s="0"/>
      <c r="SSZ59" s="0"/>
      <c r="STA59" s="0"/>
      <c r="STB59" s="0"/>
      <c r="STC59" s="0"/>
      <c r="STD59" s="0"/>
      <c r="STE59" s="0"/>
      <c r="STF59" s="0"/>
      <c r="STG59" s="0"/>
      <c r="STH59" s="0"/>
      <c r="STI59" s="0"/>
      <c r="STJ59" s="0"/>
      <c r="STK59" s="0"/>
      <c r="STL59" s="0"/>
      <c r="STM59" s="0"/>
      <c r="STN59" s="0"/>
      <c r="STO59" s="0"/>
      <c r="STP59" s="0"/>
      <c r="STQ59" s="0"/>
      <c r="STR59" s="0"/>
      <c r="STS59" s="0"/>
      <c r="STT59" s="0"/>
      <c r="STU59" s="0"/>
      <c r="STV59" s="0"/>
      <c r="STW59" s="0"/>
      <c r="STX59" s="0"/>
      <c r="STY59" s="0"/>
      <c r="STZ59" s="0"/>
      <c r="SUA59" s="0"/>
      <c r="SUB59" s="0"/>
      <c r="SUC59" s="0"/>
      <c r="SUD59" s="0"/>
      <c r="SUE59" s="0"/>
      <c r="SUF59" s="0"/>
      <c r="SUG59" s="0"/>
      <c r="SUH59" s="0"/>
      <c r="SUI59" s="0"/>
      <c r="SUJ59" s="0"/>
      <c r="SUK59" s="0"/>
      <c r="SUL59" s="0"/>
      <c r="SUM59" s="0"/>
      <c r="SUN59" s="0"/>
      <c r="SUO59" s="0"/>
      <c r="SUP59" s="0"/>
      <c r="SUQ59" s="0"/>
      <c r="SUR59" s="0"/>
      <c r="SUS59" s="0"/>
      <c r="SUT59" s="0"/>
      <c r="SUU59" s="0"/>
      <c r="SUV59" s="0"/>
      <c r="SUW59" s="0"/>
      <c r="SUX59" s="0"/>
      <c r="SUY59" s="0"/>
      <c r="SUZ59" s="0"/>
      <c r="SVA59" s="0"/>
      <c r="SVB59" s="0"/>
      <c r="SVC59" s="0"/>
      <c r="SVD59" s="0"/>
      <c r="SVE59" s="0"/>
      <c r="SVF59" s="0"/>
      <c r="SVG59" s="0"/>
      <c r="SVH59" s="0"/>
      <c r="SVI59" s="0"/>
      <c r="SVJ59" s="0"/>
      <c r="SVK59" s="0"/>
      <c r="SVL59" s="0"/>
      <c r="SVM59" s="0"/>
      <c r="SVN59" s="0"/>
      <c r="SVO59" s="0"/>
      <c r="SVP59" s="0"/>
      <c r="SVQ59" s="0"/>
      <c r="SVR59" s="0"/>
      <c r="SVS59" s="0"/>
      <c r="SVT59" s="0"/>
      <c r="SVU59" s="0"/>
      <c r="SVV59" s="0"/>
      <c r="SVW59" s="0"/>
      <c r="SVX59" s="0"/>
      <c r="SVY59" s="0"/>
      <c r="SVZ59" s="0"/>
      <c r="SWA59" s="0"/>
      <c r="SWB59" s="0"/>
      <c r="SWC59" s="0"/>
      <c r="SWD59" s="0"/>
      <c r="SWE59" s="0"/>
      <c r="SWF59" s="0"/>
      <c r="SWG59" s="0"/>
      <c r="SWH59" s="0"/>
      <c r="SWI59" s="0"/>
      <c r="SWJ59" s="0"/>
      <c r="SWK59" s="0"/>
      <c r="SWL59" s="0"/>
      <c r="SWM59" s="0"/>
      <c r="SWN59" s="0"/>
      <c r="SWO59" s="0"/>
      <c r="SWP59" s="0"/>
      <c r="SWQ59" s="0"/>
      <c r="SWR59" s="0"/>
      <c r="SWS59" s="0"/>
      <c r="SWT59" s="0"/>
      <c r="SWU59" s="0"/>
      <c r="SWV59" s="0"/>
      <c r="SWW59" s="0"/>
      <c r="SWX59" s="0"/>
      <c r="SWY59" s="0"/>
      <c r="SWZ59" s="0"/>
      <c r="SXA59" s="0"/>
      <c r="SXB59" s="0"/>
      <c r="SXC59" s="0"/>
      <c r="SXD59" s="0"/>
      <c r="SXE59" s="0"/>
      <c r="SXF59" s="0"/>
      <c r="SXG59" s="0"/>
      <c r="SXH59" s="0"/>
      <c r="SXI59" s="0"/>
      <c r="SXJ59" s="0"/>
      <c r="SXK59" s="0"/>
      <c r="SXL59" s="0"/>
      <c r="SXM59" s="0"/>
      <c r="SXN59" s="0"/>
      <c r="SXO59" s="0"/>
      <c r="SXP59" s="0"/>
      <c r="SXQ59" s="0"/>
      <c r="SXR59" s="0"/>
      <c r="SXS59" s="0"/>
      <c r="SXT59" s="0"/>
      <c r="SXU59" s="0"/>
      <c r="SXV59" s="0"/>
      <c r="SXW59" s="0"/>
      <c r="SXX59" s="0"/>
      <c r="SXY59" s="0"/>
      <c r="SXZ59" s="0"/>
      <c r="SYA59" s="0"/>
      <c r="SYB59" s="0"/>
      <c r="SYC59" s="0"/>
      <c r="SYD59" s="0"/>
      <c r="SYE59" s="0"/>
      <c r="SYF59" s="0"/>
      <c r="SYG59" s="0"/>
      <c r="SYH59" s="0"/>
      <c r="SYI59" s="0"/>
      <c r="SYJ59" s="0"/>
      <c r="SYK59" s="0"/>
      <c r="SYL59" s="0"/>
      <c r="SYM59" s="0"/>
      <c r="SYN59" s="0"/>
      <c r="SYO59" s="0"/>
      <c r="SYP59" s="0"/>
      <c r="SYQ59" s="0"/>
      <c r="SYR59" s="0"/>
      <c r="SYS59" s="0"/>
      <c r="SYT59" s="0"/>
      <c r="SYU59" s="0"/>
      <c r="SYV59" s="0"/>
      <c r="SYW59" s="0"/>
      <c r="SYX59" s="0"/>
      <c r="SYY59" s="0"/>
      <c r="SYZ59" s="0"/>
      <c r="SZA59" s="0"/>
      <c r="SZB59" s="0"/>
      <c r="SZC59" s="0"/>
      <c r="SZD59" s="0"/>
      <c r="SZE59" s="0"/>
      <c r="SZF59" s="0"/>
      <c r="SZG59" s="0"/>
      <c r="SZH59" s="0"/>
      <c r="SZI59" s="0"/>
      <c r="SZJ59" s="0"/>
      <c r="SZK59" s="0"/>
      <c r="SZL59" s="0"/>
      <c r="SZM59" s="0"/>
      <c r="SZN59" s="0"/>
      <c r="SZO59" s="0"/>
      <c r="SZP59" s="0"/>
      <c r="SZQ59" s="0"/>
      <c r="SZR59" s="0"/>
      <c r="SZS59" s="0"/>
      <c r="SZT59" s="0"/>
      <c r="SZU59" s="0"/>
      <c r="SZV59" s="0"/>
      <c r="SZW59" s="0"/>
      <c r="SZX59" s="0"/>
      <c r="SZY59" s="0"/>
      <c r="SZZ59" s="0"/>
      <c r="TAA59" s="0"/>
      <c r="TAB59" s="0"/>
      <c r="TAC59" s="0"/>
      <c r="TAD59" s="0"/>
      <c r="TAE59" s="0"/>
      <c r="TAF59" s="0"/>
      <c r="TAG59" s="0"/>
      <c r="TAH59" s="0"/>
      <c r="TAI59" s="0"/>
      <c r="TAJ59" s="0"/>
      <c r="TAK59" s="0"/>
      <c r="TAL59" s="0"/>
      <c r="TAM59" s="0"/>
      <c r="TAN59" s="0"/>
      <c r="TAO59" s="0"/>
      <c r="TAP59" s="0"/>
      <c r="TAQ59" s="0"/>
      <c r="TAR59" s="0"/>
      <c r="TAS59" s="0"/>
      <c r="TAT59" s="0"/>
      <c r="TAU59" s="0"/>
      <c r="TAV59" s="0"/>
      <c r="TAW59" s="0"/>
      <c r="TAX59" s="0"/>
      <c r="TAY59" s="0"/>
      <c r="TAZ59" s="0"/>
      <c r="TBA59" s="0"/>
      <c r="TBB59" s="0"/>
      <c r="TBC59" s="0"/>
      <c r="TBD59" s="0"/>
      <c r="TBE59" s="0"/>
      <c r="TBF59" s="0"/>
      <c r="TBG59" s="0"/>
      <c r="TBH59" s="0"/>
      <c r="TBI59" s="0"/>
      <c r="TBJ59" s="0"/>
      <c r="TBK59" s="0"/>
      <c r="TBL59" s="0"/>
      <c r="TBM59" s="0"/>
      <c r="TBN59" s="0"/>
      <c r="TBO59" s="0"/>
      <c r="TBP59" s="0"/>
      <c r="TBQ59" s="0"/>
      <c r="TBR59" s="0"/>
      <c r="TBS59" s="0"/>
      <c r="TBT59" s="0"/>
      <c r="TBU59" s="0"/>
      <c r="TBV59" s="0"/>
      <c r="TBW59" s="0"/>
      <c r="TBX59" s="0"/>
      <c r="TBY59" s="0"/>
      <c r="TBZ59" s="0"/>
      <c r="TCA59" s="0"/>
      <c r="TCB59" s="0"/>
      <c r="TCC59" s="0"/>
      <c r="TCD59" s="0"/>
      <c r="TCE59" s="0"/>
      <c r="TCF59" s="0"/>
      <c r="TCG59" s="0"/>
      <c r="TCH59" s="0"/>
      <c r="TCI59" s="0"/>
      <c r="TCJ59" s="0"/>
      <c r="TCK59" s="0"/>
      <c r="TCL59" s="0"/>
      <c r="TCM59" s="0"/>
      <c r="TCN59" s="0"/>
      <c r="TCO59" s="0"/>
      <c r="TCP59" s="0"/>
      <c r="TCQ59" s="0"/>
      <c r="TCR59" s="0"/>
      <c r="TCS59" s="0"/>
      <c r="TCT59" s="0"/>
      <c r="TCU59" s="0"/>
      <c r="TCV59" s="0"/>
      <c r="TCW59" s="0"/>
      <c r="TCX59" s="0"/>
      <c r="TCY59" s="0"/>
      <c r="TCZ59" s="0"/>
      <c r="TDA59" s="0"/>
      <c r="TDB59" s="0"/>
      <c r="TDC59" s="0"/>
      <c r="TDD59" s="0"/>
      <c r="TDE59" s="0"/>
      <c r="TDF59" s="0"/>
      <c r="TDG59" s="0"/>
      <c r="TDH59" s="0"/>
      <c r="TDI59" s="0"/>
      <c r="TDJ59" s="0"/>
      <c r="TDK59" s="0"/>
      <c r="TDL59" s="0"/>
      <c r="TDM59" s="0"/>
      <c r="TDN59" s="0"/>
      <c r="TDO59" s="0"/>
      <c r="TDP59" s="0"/>
      <c r="TDQ59" s="0"/>
      <c r="TDR59" s="0"/>
      <c r="TDS59" s="0"/>
      <c r="TDT59" s="0"/>
      <c r="TDU59" s="0"/>
      <c r="TDV59" s="0"/>
      <c r="TDW59" s="0"/>
      <c r="TDX59" s="0"/>
      <c r="TDY59" s="0"/>
      <c r="TDZ59" s="0"/>
      <c r="TEA59" s="0"/>
      <c r="TEB59" s="0"/>
      <c r="TEC59" s="0"/>
      <c r="TED59" s="0"/>
      <c r="TEE59" s="0"/>
      <c r="TEF59" s="0"/>
      <c r="TEG59" s="0"/>
      <c r="TEH59" s="0"/>
      <c r="TEI59" s="0"/>
      <c r="TEJ59" s="0"/>
      <c r="TEK59" s="0"/>
      <c r="TEL59" s="0"/>
      <c r="TEM59" s="0"/>
      <c r="TEN59" s="0"/>
      <c r="TEO59" s="0"/>
      <c r="TEP59" s="0"/>
      <c r="TEQ59" s="0"/>
      <c r="TER59" s="0"/>
      <c r="TES59" s="0"/>
      <c r="TET59" s="0"/>
      <c r="TEU59" s="0"/>
      <c r="TEV59" s="0"/>
      <c r="TEW59" s="0"/>
      <c r="TEX59" s="0"/>
      <c r="TEY59" s="0"/>
      <c r="TEZ59" s="0"/>
      <c r="TFA59" s="0"/>
      <c r="TFB59" s="0"/>
      <c r="TFC59" s="0"/>
      <c r="TFD59" s="0"/>
      <c r="TFE59" s="0"/>
      <c r="TFF59" s="0"/>
      <c r="TFG59" s="0"/>
      <c r="TFH59" s="0"/>
      <c r="TFI59" s="0"/>
      <c r="TFJ59" s="0"/>
      <c r="TFK59" s="0"/>
      <c r="TFL59" s="0"/>
      <c r="TFM59" s="0"/>
      <c r="TFN59" s="0"/>
      <c r="TFO59" s="0"/>
      <c r="TFP59" s="0"/>
      <c r="TFQ59" s="0"/>
      <c r="TFR59" s="0"/>
      <c r="TFS59" s="0"/>
      <c r="TFT59" s="0"/>
      <c r="TFU59" s="0"/>
      <c r="TFV59" s="0"/>
      <c r="TFW59" s="0"/>
      <c r="TFX59" s="0"/>
      <c r="TFY59" s="0"/>
      <c r="TFZ59" s="0"/>
      <c r="TGA59" s="0"/>
      <c r="TGB59" s="0"/>
      <c r="TGC59" s="0"/>
      <c r="TGD59" s="0"/>
      <c r="TGE59" s="0"/>
      <c r="TGF59" s="0"/>
      <c r="TGG59" s="0"/>
      <c r="TGH59" s="0"/>
      <c r="TGI59" s="0"/>
      <c r="TGJ59" s="0"/>
      <c r="TGK59" s="0"/>
      <c r="TGL59" s="0"/>
      <c r="TGM59" s="0"/>
      <c r="TGN59" s="0"/>
      <c r="TGO59" s="0"/>
      <c r="TGP59" s="0"/>
      <c r="TGQ59" s="0"/>
      <c r="TGR59" s="0"/>
      <c r="TGS59" s="0"/>
      <c r="TGT59" s="0"/>
      <c r="TGU59" s="0"/>
      <c r="TGV59" s="0"/>
      <c r="TGW59" s="0"/>
      <c r="TGX59" s="0"/>
      <c r="TGY59" s="0"/>
      <c r="TGZ59" s="0"/>
      <c r="THA59" s="0"/>
      <c r="THB59" s="0"/>
      <c r="THC59" s="0"/>
      <c r="THD59" s="0"/>
      <c r="THE59" s="0"/>
      <c r="THF59" s="0"/>
      <c r="THG59" s="0"/>
      <c r="THH59" s="0"/>
      <c r="THI59" s="0"/>
      <c r="THJ59" s="0"/>
      <c r="THK59" s="0"/>
      <c r="THL59" s="0"/>
      <c r="THM59" s="0"/>
      <c r="THN59" s="0"/>
      <c r="THO59" s="0"/>
      <c r="THP59" s="0"/>
      <c r="THQ59" s="0"/>
      <c r="THR59" s="0"/>
      <c r="THS59" s="0"/>
      <c r="THT59" s="0"/>
      <c r="THU59" s="0"/>
      <c r="THV59" s="0"/>
      <c r="THW59" s="0"/>
      <c r="THX59" s="0"/>
      <c r="THY59" s="0"/>
      <c r="THZ59" s="0"/>
      <c r="TIA59" s="0"/>
      <c r="TIB59" s="0"/>
      <c r="TIC59" s="0"/>
      <c r="TID59" s="0"/>
      <c r="TIE59" s="0"/>
      <c r="TIF59" s="0"/>
      <c r="TIG59" s="0"/>
      <c r="TIH59" s="0"/>
      <c r="TII59" s="0"/>
      <c r="TIJ59" s="0"/>
      <c r="TIK59" s="0"/>
      <c r="TIL59" s="0"/>
      <c r="TIM59" s="0"/>
      <c r="TIN59" s="0"/>
      <c r="TIO59" s="0"/>
      <c r="TIP59" s="0"/>
      <c r="TIQ59" s="0"/>
      <c r="TIR59" s="0"/>
      <c r="TIS59" s="0"/>
      <c r="TIT59" s="0"/>
      <c r="TIU59" s="0"/>
      <c r="TIV59" s="0"/>
      <c r="TIW59" s="0"/>
      <c r="TIX59" s="0"/>
      <c r="TIY59" s="0"/>
      <c r="TIZ59" s="0"/>
      <c r="TJA59" s="0"/>
      <c r="TJB59" s="0"/>
      <c r="TJC59" s="0"/>
      <c r="TJD59" s="0"/>
      <c r="TJE59" s="0"/>
      <c r="TJF59" s="0"/>
      <c r="TJG59" s="0"/>
      <c r="TJH59" s="0"/>
      <c r="TJI59" s="0"/>
      <c r="TJJ59" s="0"/>
      <c r="TJK59" s="0"/>
      <c r="TJL59" s="0"/>
      <c r="TJM59" s="0"/>
      <c r="TJN59" s="0"/>
      <c r="TJO59" s="0"/>
      <c r="TJP59" s="0"/>
      <c r="TJQ59" s="0"/>
      <c r="TJR59" s="0"/>
      <c r="TJS59" s="0"/>
      <c r="TJT59" s="0"/>
      <c r="TJU59" s="0"/>
      <c r="TJV59" s="0"/>
      <c r="TJW59" s="0"/>
      <c r="TJX59" s="0"/>
      <c r="TJY59" s="0"/>
      <c r="TJZ59" s="0"/>
      <c r="TKA59" s="0"/>
      <c r="TKB59" s="0"/>
      <c r="TKC59" s="0"/>
      <c r="TKD59" s="0"/>
      <c r="TKE59" s="0"/>
      <c r="TKF59" s="0"/>
      <c r="TKG59" s="0"/>
      <c r="TKH59" s="0"/>
      <c r="TKI59" s="0"/>
      <c r="TKJ59" s="0"/>
      <c r="TKK59" s="0"/>
      <c r="TKL59" s="0"/>
      <c r="TKM59" s="0"/>
      <c r="TKN59" s="0"/>
      <c r="TKO59" s="0"/>
      <c r="TKP59" s="0"/>
      <c r="TKQ59" s="0"/>
      <c r="TKR59" s="0"/>
      <c r="TKS59" s="0"/>
      <c r="TKT59" s="0"/>
      <c r="TKU59" s="0"/>
      <c r="TKV59" s="0"/>
      <c r="TKW59" s="0"/>
      <c r="TKX59" s="0"/>
      <c r="TKY59" s="0"/>
      <c r="TKZ59" s="0"/>
      <c r="TLA59" s="0"/>
      <c r="TLB59" s="0"/>
      <c r="TLC59" s="0"/>
      <c r="TLD59" s="0"/>
      <c r="TLE59" s="0"/>
      <c r="TLF59" s="0"/>
      <c r="TLG59" s="0"/>
      <c r="TLH59" s="0"/>
      <c r="TLI59" s="0"/>
      <c r="TLJ59" s="0"/>
      <c r="TLK59" s="0"/>
      <c r="TLL59" s="0"/>
      <c r="TLM59" s="0"/>
      <c r="TLN59" s="0"/>
      <c r="TLO59" s="0"/>
      <c r="TLP59" s="0"/>
      <c r="TLQ59" s="0"/>
      <c r="TLR59" s="0"/>
      <c r="TLS59" s="0"/>
      <c r="TLT59" s="0"/>
      <c r="TLU59" s="0"/>
      <c r="TLV59" s="0"/>
      <c r="TLW59" s="0"/>
      <c r="TLX59" s="0"/>
      <c r="TLY59" s="0"/>
      <c r="TLZ59" s="0"/>
      <c r="TMA59" s="0"/>
      <c r="TMB59" s="0"/>
      <c r="TMC59" s="0"/>
      <c r="TMD59" s="0"/>
      <c r="TME59" s="0"/>
      <c r="TMF59" s="0"/>
      <c r="TMG59" s="0"/>
      <c r="TMH59" s="0"/>
      <c r="TMI59" s="0"/>
      <c r="TMJ59" s="0"/>
      <c r="TMK59" s="0"/>
      <c r="TML59" s="0"/>
      <c r="TMM59" s="0"/>
      <c r="TMN59" s="0"/>
      <c r="TMO59" s="0"/>
      <c r="TMP59" s="0"/>
      <c r="TMQ59" s="0"/>
      <c r="TMR59" s="0"/>
      <c r="TMS59" s="0"/>
      <c r="TMT59" s="0"/>
      <c r="TMU59" s="0"/>
      <c r="TMV59" s="0"/>
      <c r="TMW59" s="0"/>
      <c r="TMX59" s="0"/>
      <c r="TMY59" s="0"/>
      <c r="TMZ59" s="0"/>
      <c r="TNA59" s="0"/>
      <c r="TNB59" s="0"/>
      <c r="TNC59" s="0"/>
      <c r="TND59" s="0"/>
      <c r="TNE59" s="0"/>
      <c r="TNF59" s="0"/>
      <c r="TNG59" s="0"/>
      <c r="TNH59" s="0"/>
      <c r="TNI59" s="0"/>
      <c r="TNJ59" s="0"/>
      <c r="TNK59" s="0"/>
      <c r="TNL59" s="0"/>
      <c r="TNM59" s="0"/>
      <c r="TNN59" s="0"/>
      <c r="TNO59" s="0"/>
      <c r="TNP59" s="0"/>
      <c r="TNQ59" s="0"/>
      <c r="TNR59" s="0"/>
      <c r="TNS59" s="0"/>
      <c r="TNT59" s="0"/>
      <c r="TNU59" s="0"/>
      <c r="TNV59" s="0"/>
      <c r="TNW59" s="0"/>
      <c r="TNX59" s="0"/>
      <c r="TNY59" s="0"/>
      <c r="TNZ59" s="0"/>
      <c r="TOA59" s="0"/>
      <c r="TOB59" s="0"/>
      <c r="TOC59" s="0"/>
      <c r="TOD59" s="0"/>
      <c r="TOE59" s="0"/>
      <c r="TOF59" s="0"/>
      <c r="TOG59" s="0"/>
      <c r="TOH59" s="0"/>
      <c r="TOI59" s="0"/>
      <c r="TOJ59" s="0"/>
      <c r="TOK59" s="0"/>
      <c r="TOL59" s="0"/>
      <c r="TOM59" s="0"/>
      <c r="TON59" s="0"/>
      <c r="TOO59" s="0"/>
      <c r="TOP59" s="0"/>
      <c r="TOQ59" s="0"/>
      <c r="TOR59" s="0"/>
      <c r="TOS59" s="0"/>
      <c r="TOT59" s="0"/>
      <c r="TOU59" s="0"/>
      <c r="TOV59" s="0"/>
      <c r="TOW59" s="0"/>
      <c r="TOX59" s="0"/>
      <c r="TOY59" s="0"/>
      <c r="TOZ59" s="0"/>
      <c r="TPA59" s="0"/>
      <c r="TPB59" s="0"/>
      <c r="TPC59" s="0"/>
      <c r="TPD59" s="0"/>
      <c r="TPE59" s="0"/>
      <c r="TPF59" s="0"/>
      <c r="TPG59" s="0"/>
      <c r="TPH59" s="0"/>
      <c r="TPI59" s="0"/>
      <c r="TPJ59" s="0"/>
      <c r="TPK59" s="0"/>
      <c r="TPL59" s="0"/>
      <c r="TPM59" s="0"/>
      <c r="TPN59" s="0"/>
      <c r="TPO59" s="0"/>
      <c r="TPP59" s="0"/>
      <c r="TPQ59" s="0"/>
      <c r="TPR59" s="0"/>
      <c r="TPS59" s="0"/>
      <c r="TPT59" s="0"/>
      <c r="TPU59" s="0"/>
      <c r="TPV59" s="0"/>
      <c r="TPW59" s="0"/>
      <c r="TPX59" s="0"/>
      <c r="TPY59" s="0"/>
      <c r="TPZ59" s="0"/>
      <c r="TQA59" s="0"/>
      <c r="TQB59" s="0"/>
      <c r="TQC59" s="0"/>
      <c r="TQD59" s="0"/>
      <c r="TQE59" s="0"/>
      <c r="TQF59" s="0"/>
      <c r="TQG59" s="0"/>
      <c r="TQH59" s="0"/>
      <c r="TQI59" s="0"/>
      <c r="TQJ59" s="0"/>
      <c r="TQK59" s="0"/>
      <c r="TQL59" s="0"/>
      <c r="TQM59" s="0"/>
      <c r="TQN59" s="0"/>
      <c r="TQO59" s="0"/>
      <c r="TQP59" s="0"/>
      <c r="TQQ59" s="0"/>
      <c r="TQR59" s="0"/>
      <c r="TQS59" s="0"/>
      <c r="TQT59" s="0"/>
      <c r="TQU59" s="0"/>
      <c r="TQV59" s="0"/>
      <c r="TQW59" s="0"/>
      <c r="TQX59" s="0"/>
      <c r="TQY59" s="0"/>
      <c r="TQZ59" s="0"/>
      <c r="TRA59" s="0"/>
      <c r="TRB59" s="0"/>
      <c r="TRC59" s="0"/>
      <c r="TRD59" s="0"/>
      <c r="TRE59" s="0"/>
      <c r="TRF59" s="0"/>
      <c r="TRG59" s="0"/>
      <c r="TRH59" s="0"/>
      <c r="TRI59" s="0"/>
      <c r="TRJ59" s="0"/>
      <c r="TRK59" s="0"/>
      <c r="TRL59" s="0"/>
      <c r="TRM59" s="0"/>
      <c r="TRN59" s="0"/>
      <c r="TRO59" s="0"/>
      <c r="TRP59" s="0"/>
      <c r="TRQ59" s="0"/>
      <c r="TRR59" s="0"/>
      <c r="TRS59" s="0"/>
      <c r="TRT59" s="0"/>
      <c r="TRU59" s="0"/>
      <c r="TRV59" s="0"/>
      <c r="TRW59" s="0"/>
      <c r="TRX59" s="0"/>
      <c r="TRY59" s="0"/>
      <c r="TRZ59" s="0"/>
      <c r="TSA59" s="0"/>
      <c r="TSB59" s="0"/>
      <c r="TSC59" s="0"/>
      <c r="TSD59" s="0"/>
      <c r="TSE59" s="0"/>
      <c r="TSF59" s="0"/>
      <c r="TSG59" s="0"/>
      <c r="TSH59" s="0"/>
      <c r="TSI59" s="0"/>
      <c r="TSJ59" s="0"/>
      <c r="TSK59" s="0"/>
      <c r="TSL59" s="0"/>
      <c r="TSM59" s="0"/>
      <c r="TSN59" s="0"/>
      <c r="TSO59" s="0"/>
      <c r="TSP59" s="0"/>
      <c r="TSQ59" s="0"/>
      <c r="TSR59" s="0"/>
      <c r="TSS59" s="0"/>
      <c r="TST59" s="0"/>
      <c r="TSU59" s="0"/>
      <c r="TSV59" s="0"/>
      <c r="TSW59" s="0"/>
      <c r="TSX59" s="0"/>
      <c r="TSY59" s="0"/>
      <c r="TSZ59" s="0"/>
      <c r="TTA59" s="0"/>
      <c r="TTB59" s="0"/>
      <c r="TTC59" s="0"/>
      <c r="TTD59" s="0"/>
      <c r="TTE59" s="0"/>
      <c r="TTF59" s="0"/>
      <c r="TTG59" s="0"/>
      <c r="TTH59" s="0"/>
      <c r="TTI59" s="0"/>
      <c r="TTJ59" s="0"/>
      <c r="TTK59" s="0"/>
      <c r="TTL59" s="0"/>
      <c r="TTM59" s="0"/>
      <c r="TTN59" s="0"/>
      <c r="TTO59" s="0"/>
      <c r="TTP59" s="0"/>
      <c r="TTQ59" s="0"/>
      <c r="TTR59" s="0"/>
      <c r="TTS59" s="0"/>
      <c r="TTT59" s="0"/>
      <c r="TTU59" s="0"/>
      <c r="TTV59" s="0"/>
      <c r="TTW59" s="0"/>
      <c r="TTX59" s="0"/>
      <c r="TTY59" s="0"/>
      <c r="TTZ59" s="0"/>
      <c r="TUA59" s="0"/>
      <c r="TUB59" s="0"/>
      <c r="TUC59" s="0"/>
      <c r="TUD59" s="0"/>
      <c r="TUE59" s="0"/>
      <c r="TUF59" s="0"/>
      <c r="TUG59" s="0"/>
      <c r="TUH59" s="0"/>
      <c r="TUI59" s="0"/>
      <c r="TUJ59" s="0"/>
      <c r="TUK59" s="0"/>
      <c r="TUL59" s="0"/>
      <c r="TUM59" s="0"/>
      <c r="TUN59" s="0"/>
      <c r="TUO59" s="0"/>
      <c r="TUP59" s="0"/>
      <c r="TUQ59" s="0"/>
      <c r="TUR59" s="0"/>
      <c r="TUS59" s="0"/>
      <c r="TUT59" s="0"/>
      <c r="TUU59" s="0"/>
      <c r="TUV59" s="0"/>
      <c r="TUW59" s="0"/>
      <c r="TUX59" s="0"/>
      <c r="TUY59" s="0"/>
      <c r="TUZ59" s="0"/>
      <c r="TVA59" s="0"/>
      <c r="TVB59" s="0"/>
      <c r="TVC59" s="0"/>
      <c r="TVD59" s="0"/>
      <c r="TVE59" s="0"/>
      <c r="TVF59" s="0"/>
      <c r="TVG59" s="0"/>
      <c r="TVH59" s="0"/>
      <c r="TVI59" s="0"/>
      <c r="TVJ59" s="0"/>
      <c r="TVK59" s="0"/>
      <c r="TVL59" s="0"/>
      <c r="TVM59" s="0"/>
      <c r="TVN59" s="0"/>
      <c r="TVO59" s="0"/>
      <c r="TVP59" s="0"/>
      <c r="TVQ59" s="0"/>
      <c r="TVR59" s="0"/>
      <c r="TVS59" s="0"/>
      <c r="TVT59" s="0"/>
      <c r="TVU59" s="0"/>
      <c r="TVV59" s="0"/>
      <c r="TVW59" s="0"/>
      <c r="TVX59" s="0"/>
      <c r="TVY59" s="0"/>
      <c r="TVZ59" s="0"/>
      <c r="TWA59" s="0"/>
      <c r="TWB59" s="0"/>
      <c r="TWC59" s="0"/>
      <c r="TWD59" s="0"/>
      <c r="TWE59" s="0"/>
      <c r="TWF59" s="0"/>
      <c r="TWG59" s="0"/>
      <c r="TWH59" s="0"/>
      <c r="TWI59" s="0"/>
      <c r="TWJ59" s="0"/>
      <c r="TWK59" s="0"/>
      <c r="TWL59" s="0"/>
      <c r="TWM59" s="0"/>
      <c r="TWN59" s="0"/>
      <c r="TWO59" s="0"/>
      <c r="TWP59" s="0"/>
      <c r="TWQ59" s="0"/>
      <c r="TWR59" s="0"/>
      <c r="TWS59" s="0"/>
      <c r="TWT59" s="0"/>
      <c r="TWU59" s="0"/>
      <c r="TWV59" s="0"/>
      <c r="TWW59" s="0"/>
      <c r="TWX59" s="0"/>
      <c r="TWY59" s="0"/>
      <c r="TWZ59" s="0"/>
      <c r="TXA59" s="0"/>
      <c r="TXB59" s="0"/>
      <c r="TXC59" s="0"/>
      <c r="TXD59" s="0"/>
      <c r="TXE59" s="0"/>
      <c r="TXF59" s="0"/>
      <c r="TXG59" s="0"/>
      <c r="TXH59" s="0"/>
      <c r="TXI59" s="0"/>
      <c r="TXJ59" s="0"/>
      <c r="TXK59" s="0"/>
      <c r="TXL59" s="0"/>
      <c r="TXM59" s="0"/>
      <c r="TXN59" s="0"/>
      <c r="TXO59" s="0"/>
      <c r="TXP59" s="0"/>
      <c r="TXQ59" s="0"/>
      <c r="TXR59" s="0"/>
      <c r="TXS59" s="0"/>
      <c r="TXT59" s="0"/>
      <c r="TXU59" s="0"/>
      <c r="TXV59" s="0"/>
      <c r="TXW59" s="0"/>
      <c r="TXX59" s="0"/>
      <c r="TXY59" s="0"/>
      <c r="TXZ59" s="0"/>
      <c r="TYA59" s="0"/>
      <c r="TYB59" s="0"/>
      <c r="TYC59" s="0"/>
      <c r="TYD59" s="0"/>
      <c r="TYE59" s="0"/>
      <c r="TYF59" s="0"/>
      <c r="TYG59" s="0"/>
      <c r="TYH59" s="0"/>
      <c r="TYI59" s="0"/>
      <c r="TYJ59" s="0"/>
      <c r="TYK59" s="0"/>
      <c r="TYL59" s="0"/>
      <c r="TYM59" s="0"/>
      <c r="TYN59" s="0"/>
      <c r="TYO59" s="0"/>
      <c r="TYP59" s="0"/>
      <c r="TYQ59" s="0"/>
      <c r="TYR59" s="0"/>
      <c r="TYS59" s="0"/>
      <c r="TYT59" s="0"/>
      <c r="TYU59" s="0"/>
      <c r="TYV59" s="0"/>
      <c r="TYW59" s="0"/>
      <c r="TYX59" s="0"/>
      <c r="TYY59" s="0"/>
      <c r="TYZ59" s="0"/>
      <c r="TZA59" s="0"/>
      <c r="TZB59" s="0"/>
      <c r="TZC59" s="0"/>
      <c r="TZD59" s="0"/>
      <c r="TZE59" s="0"/>
      <c r="TZF59" s="0"/>
      <c r="TZG59" s="0"/>
      <c r="TZH59" s="0"/>
      <c r="TZI59" s="0"/>
      <c r="TZJ59" s="0"/>
      <c r="TZK59" s="0"/>
      <c r="TZL59" s="0"/>
      <c r="TZM59" s="0"/>
      <c r="TZN59" s="0"/>
      <c r="TZO59" s="0"/>
      <c r="TZP59" s="0"/>
      <c r="TZQ59" s="0"/>
      <c r="TZR59" s="0"/>
      <c r="TZS59" s="0"/>
      <c r="TZT59" s="0"/>
      <c r="TZU59" s="0"/>
      <c r="TZV59" s="0"/>
      <c r="TZW59" s="0"/>
      <c r="TZX59" s="0"/>
      <c r="TZY59" s="0"/>
      <c r="TZZ59" s="0"/>
      <c r="UAA59" s="0"/>
      <c r="UAB59" s="0"/>
      <c r="UAC59" s="0"/>
      <c r="UAD59" s="0"/>
      <c r="UAE59" s="0"/>
      <c r="UAF59" s="0"/>
      <c r="UAG59" s="0"/>
      <c r="UAH59" s="0"/>
      <c r="UAI59" s="0"/>
      <c r="UAJ59" s="0"/>
      <c r="UAK59" s="0"/>
      <c r="UAL59" s="0"/>
      <c r="UAM59" s="0"/>
      <c r="UAN59" s="0"/>
      <c r="UAO59" s="0"/>
      <c r="UAP59" s="0"/>
      <c r="UAQ59" s="0"/>
      <c r="UAR59" s="0"/>
      <c r="UAS59" s="0"/>
      <c r="UAT59" s="0"/>
      <c r="UAU59" s="0"/>
      <c r="UAV59" s="0"/>
      <c r="UAW59" s="0"/>
      <c r="UAX59" s="0"/>
      <c r="UAY59" s="0"/>
      <c r="UAZ59" s="0"/>
      <c r="UBA59" s="0"/>
      <c r="UBB59" s="0"/>
      <c r="UBC59" s="0"/>
      <c r="UBD59" s="0"/>
      <c r="UBE59" s="0"/>
      <c r="UBF59" s="0"/>
      <c r="UBG59" s="0"/>
      <c r="UBH59" s="0"/>
      <c r="UBI59" s="0"/>
      <c r="UBJ59" s="0"/>
      <c r="UBK59" s="0"/>
      <c r="UBL59" s="0"/>
      <c r="UBM59" s="0"/>
      <c r="UBN59" s="0"/>
      <c r="UBO59" s="0"/>
      <c r="UBP59" s="0"/>
      <c r="UBQ59" s="0"/>
      <c r="UBR59" s="0"/>
      <c r="UBS59" s="0"/>
      <c r="UBT59" s="0"/>
      <c r="UBU59" s="0"/>
      <c r="UBV59" s="0"/>
      <c r="UBW59" s="0"/>
      <c r="UBX59" s="0"/>
      <c r="UBY59" s="0"/>
      <c r="UBZ59" s="0"/>
      <c r="UCA59" s="0"/>
      <c r="UCB59" s="0"/>
      <c r="UCC59" s="0"/>
      <c r="UCD59" s="0"/>
      <c r="UCE59" s="0"/>
      <c r="UCF59" s="0"/>
      <c r="UCG59" s="0"/>
      <c r="UCH59" s="0"/>
      <c r="UCI59" s="0"/>
      <c r="UCJ59" s="0"/>
      <c r="UCK59" s="0"/>
      <c r="UCL59" s="0"/>
      <c r="UCM59" s="0"/>
      <c r="UCN59" s="0"/>
      <c r="UCO59" s="0"/>
      <c r="UCP59" s="0"/>
      <c r="UCQ59" s="0"/>
      <c r="UCR59" s="0"/>
      <c r="UCS59" s="0"/>
      <c r="UCT59" s="0"/>
      <c r="UCU59" s="0"/>
      <c r="UCV59" s="0"/>
      <c r="UCW59" s="0"/>
      <c r="UCX59" s="0"/>
      <c r="UCY59" s="0"/>
      <c r="UCZ59" s="0"/>
      <c r="UDA59" s="0"/>
      <c r="UDB59" s="0"/>
      <c r="UDC59" s="0"/>
      <c r="UDD59" s="0"/>
      <c r="UDE59" s="0"/>
      <c r="UDF59" s="0"/>
      <c r="UDG59" s="0"/>
      <c r="UDH59" s="0"/>
      <c r="UDI59" s="0"/>
      <c r="UDJ59" s="0"/>
      <c r="UDK59" s="0"/>
      <c r="UDL59" s="0"/>
      <c r="UDM59" s="0"/>
      <c r="UDN59" s="0"/>
      <c r="UDO59" s="0"/>
      <c r="UDP59" s="0"/>
      <c r="UDQ59" s="0"/>
      <c r="UDR59" s="0"/>
      <c r="UDS59" s="0"/>
      <c r="UDT59" s="0"/>
      <c r="UDU59" s="0"/>
      <c r="UDV59" s="0"/>
      <c r="UDW59" s="0"/>
      <c r="UDX59" s="0"/>
      <c r="UDY59" s="0"/>
      <c r="UDZ59" s="0"/>
      <c r="UEA59" s="0"/>
      <c r="UEB59" s="0"/>
      <c r="UEC59" s="0"/>
      <c r="UED59" s="0"/>
      <c r="UEE59" s="0"/>
      <c r="UEF59" s="0"/>
      <c r="UEG59" s="0"/>
      <c r="UEH59" s="0"/>
      <c r="UEI59" s="0"/>
      <c r="UEJ59" s="0"/>
      <c r="UEK59" s="0"/>
      <c r="UEL59" s="0"/>
      <c r="UEM59" s="0"/>
      <c r="UEN59" s="0"/>
      <c r="UEO59" s="0"/>
      <c r="UEP59" s="0"/>
      <c r="UEQ59" s="0"/>
      <c r="UER59" s="0"/>
      <c r="UES59" s="0"/>
      <c r="UET59" s="0"/>
      <c r="UEU59" s="0"/>
      <c r="UEV59" s="0"/>
      <c r="UEW59" s="0"/>
      <c r="UEX59" s="0"/>
      <c r="UEY59" s="0"/>
      <c r="UEZ59" s="0"/>
      <c r="UFA59" s="0"/>
      <c r="UFB59" s="0"/>
      <c r="UFC59" s="0"/>
      <c r="UFD59" s="0"/>
      <c r="UFE59" s="0"/>
      <c r="UFF59" s="0"/>
      <c r="UFG59" s="0"/>
      <c r="UFH59" s="0"/>
      <c r="UFI59" s="0"/>
      <c r="UFJ59" s="0"/>
      <c r="UFK59" s="0"/>
      <c r="UFL59" s="0"/>
      <c r="UFM59" s="0"/>
      <c r="UFN59" s="0"/>
      <c r="UFO59" s="0"/>
      <c r="UFP59" s="0"/>
      <c r="UFQ59" s="0"/>
      <c r="UFR59" s="0"/>
      <c r="UFS59" s="0"/>
      <c r="UFT59" s="0"/>
      <c r="UFU59" s="0"/>
      <c r="UFV59" s="0"/>
      <c r="UFW59" s="0"/>
      <c r="UFX59" s="0"/>
      <c r="UFY59" s="0"/>
      <c r="UFZ59" s="0"/>
      <c r="UGA59" s="0"/>
      <c r="UGB59" s="0"/>
      <c r="UGC59" s="0"/>
      <c r="UGD59" s="0"/>
      <c r="UGE59" s="0"/>
      <c r="UGF59" s="0"/>
      <c r="UGG59" s="0"/>
      <c r="UGH59" s="0"/>
      <c r="UGI59" s="0"/>
      <c r="UGJ59" s="0"/>
      <c r="UGK59" s="0"/>
      <c r="UGL59" s="0"/>
      <c r="UGM59" s="0"/>
      <c r="UGN59" s="0"/>
      <c r="UGO59" s="0"/>
      <c r="UGP59" s="0"/>
      <c r="UGQ59" s="0"/>
      <c r="UGR59" s="0"/>
      <c r="UGS59" s="0"/>
      <c r="UGT59" s="0"/>
      <c r="UGU59" s="0"/>
      <c r="UGV59" s="0"/>
      <c r="UGW59" s="0"/>
      <c r="UGX59" s="0"/>
      <c r="UGY59" s="0"/>
      <c r="UGZ59" s="0"/>
      <c r="UHA59" s="0"/>
      <c r="UHB59" s="0"/>
      <c r="UHC59" s="0"/>
      <c r="UHD59" s="0"/>
      <c r="UHE59" s="0"/>
      <c r="UHF59" s="0"/>
      <c r="UHG59" s="0"/>
      <c r="UHH59" s="0"/>
      <c r="UHI59" s="0"/>
      <c r="UHJ59" s="0"/>
      <c r="UHK59" s="0"/>
      <c r="UHL59" s="0"/>
      <c r="UHM59" s="0"/>
      <c r="UHN59" s="0"/>
      <c r="UHO59" s="0"/>
      <c r="UHP59" s="0"/>
      <c r="UHQ59" s="0"/>
      <c r="UHR59" s="0"/>
      <c r="UHS59" s="0"/>
      <c r="UHT59" s="0"/>
      <c r="UHU59" s="0"/>
      <c r="UHV59" s="0"/>
      <c r="UHW59" s="0"/>
      <c r="UHX59" s="0"/>
      <c r="UHY59" s="0"/>
      <c r="UHZ59" s="0"/>
      <c r="UIA59" s="0"/>
      <c r="UIB59" s="0"/>
      <c r="UIC59" s="0"/>
      <c r="UID59" s="0"/>
      <c r="UIE59" s="0"/>
      <c r="UIF59" s="0"/>
      <c r="UIG59" s="0"/>
      <c r="UIH59" s="0"/>
      <c r="UII59" s="0"/>
      <c r="UIJ59" s="0"/>
      <c r="UIK59" s="0"/>
      <c r="UIL59" s="0"/>
      <c r="UIM59" s="0"/>
      <c r="UIN59" s="0"/>
      <c r="UIO59" s="0"/>
      <c r="UIP59" s="0"/>
      <c r="UIQ59" s="0"/>
      <c r="UIR59" s="0"/>
      <c r="UIS59" s="0"/>
      <c r="UIT59" s="0"/>
      <c r="UIU59" s="0"/>
      <c r="UIV59" s="0"/>
      <c r="UIW59" s="0"/>
      <c r="UIX59" s="0"/>
      <c r="UIY59" s="0"/>
      <c r="UIZ59" s="0"/>
      <c r="UJA59" s="0"/>
      <c r="UJB59" s="0"/>
      <c r="UJC59" s="0"/>
      <c r="UJD59" s="0"/>
      <c r="UJE59" s="0"/>
      <c r="UJF59" s="0"/>
      <c r="UJG59" s="0"/>
      <c r="UJH59" s="0"/>
      <c r="UJI59" s="0"/>
      <c r="UJJ59" s="0"/>
      <c r="UJK59" s="0"/>
      <c r="UJL59" s="0"/>
      <c r="UJM59" s="0"/>
      <c r="UJN59" s="0"/>
      <c r="UJO59" s="0"/>
      <c r="UJP59" s="0"/>
      <c r="UJQ59" s="0"/>
      <c r="UJR59" s="0"/>
      <c r="UJS59" s="0"/>
      <c r="UJT59" s="0"/>
      <c r="UJU59" s="0"/>
      <c r="UJV59" s="0"/>
      <c r="UJW59" s="0"/>
      <c r="UJX59" s="0"/>
      <c r="UJY59" s="0"/>
      <c r="UJZ59" s="0"/>
      <c r="UKA59" s="0"/>
      <c r="UKB59" s="0"/>
      <c r="UKC59" s="0"/>
      <c r="UKD59" s="0"/>
      <c r="UKE59" s="0"/>
      <c r="UKF59" s="0"/>
      <c r="UKG59" s="0"/>
      <c r="UKH59" s="0"/>
      <c r="UKI59" s="0"/>
      <c r="UKJ59" s="0"/>
      <c r="UKK59" s="0"/>
      <c r="UKL59" s="0"/>
      <c r="UKM59" s="0"/>
      <c r="UKN59" s="0"/>
      <c r="UKO59" s="0"/>
      <c r="UKP59" s="0"/>
      <c r="UKQ59" s="0"/>
      <c r="UKR59" s="0"/>
      <c r="UKS59" s="0"/>
      <c r="UKT59" s="0"/>
      <c r="UKU59" s="0"/>
      <c r="UKV59" s="0"/>
      <c r="UKW59" s="0"/>
      <c r="UKX59" s="0"/>
      <c r="UKY59" s="0"/>
      <c r="UKZ59" s="0"/>
      <c r="ULA59" s="0"/>
      <c r="ULB59" s="0"/>
      <c r="ULC59" s="0"/>
      <c r="ULD59" s="0"/>
      <c r="ULE59" s="0"/>
      <c r="ULF59" s="0"/>
      <c r="ULG59" s="0"/>
      <c r="ULH59" s="0"/>
      <c r="ULI59" s="0"/>
      <c r="ULJ59" s="0"/>
      <c r="ULK59" s="0"/>
      <c r="ULL59" s="0"/>
      <c r="ULM59" s="0"/>
      <c r="ULN59" s="0"/>
      <c r="ULO59" s="0"/>
      <c r="ULP59" s="0"/>
      <c r="ULQ59" s="0"/>
      <c r="ULR59" s="0"/>
      <c r="ULS59" s="0"/>
      <c r="ULT59" s="0"/>
      <c r="ULU59" s="0"/>
      <c r="ULV59" s="0"/>
      <c r="ULW59" s="0"/>
      <c r="ULX59" s="0"/>
      <c r="ULY59" s="0"/>
      <c r="ULZ59" s="0"/>
      <c r="UMA59" s="0"/>
      <c r="UMB59" s="0"/>
      <c r="UMC59" s="0"/>
      <c r="UMD59" s="0"/>
      <c r="UME59" s="0"/>
      <c r="UMF59" s="0"/>
      <c r="UMG59" s="0"/>
      <c r="UMH59" s="0"/>
      <c r="UMI59" s="0"/>
      <c r="UMJ59" s="0"/>
      <c r="UMK59" s="0"/>
      <c r="UML59" s="0"/>
      <c r="UMM59" s="0"/>
      <c r="UMN59" s="0"/>
      <c r="UMO59" s="0"/>
      <c r="UMP59" s="0"/>
      <c r="UMQ59" s="0"/>
      <c r="UMR59" s="0"/>
      <c r="UMS59" s="0"/>
      <c r="UMT59" s="0"/>
      <c r="UMU59" s="0"/>
      <c r="UMV59" s="0"/>
      <c r="UMW59" s="0"/>
      <c r="UMX59" s="0"/>
      <c r="UMY59" s="0"/>
      <c r="UMZ59" s="0"/>
      <c r="UNA59" s="0"/>
      <c r="UNB59" s="0"/>
      <c r="UNC59" s="0"/>
      <c r="UND59" s="0"/>
      <c r="UNE59" s="0"/>
      <c r="UNF59" s="0"/>
      <c r="UNG59" s="0"/>
      <c r="UNH59" s="0"/>
      <c r="UNI59" s="0"/>
      <c r="UNJ59" s="0"/>
      <c r="UNK59" s="0"/>
      <c r="UNL59" s="0"/>
      <c r="UNM59" s="0"/>
      <c r="UNN59" s="0"/>
      <c r="UNO59" s="0"/>
      <c r="UNP59" s="0"/>
      <c r="UNQ59" s="0"/>
      <c r="UNR59" s="0"/>
      <c r="UNS59" s="0"/>
      <c r="UNT59" s="0"/>
      <c r="UNU59" s="0"/>
      <c r="UNV59" s="0"/>
      <c r="UNW59" s="0"/>
      <c r="UNX59" s="0"/>
      <c r="UNY59" s="0"/>
      <c r="UNZ59" s="0"/>
      <c r="UOA59" s="0"/>
      <c r="UOB59" s="0"/>
      <c r="UOC59" s="0"/>
      <c r="UOD59" s="0"/>
      <c r="UOE59" s="0"/>
      <c r="UOF59" s="0"/>
      <c r="UOG59" s="0"/>
      <c r="UOH59" s="0"/>
      <c r="UOI59" s="0"/>
      <c r="UOJ59" s="0"/>
      <c r="UOK59" s="0"/>
      <c r="UOL59" s="0"/>
      <c r="UOM59" s="0"/>
      <c r="UON59" s="0"/>
      <c r="UOO59" s="0"/>
      <c r="UOP59" s="0"/>
      <c r="UOQ59" s="0"/>
      <c r="UOR59" s="0"/>
      <c r="UOS59" s="0"/>
      <c r="UOT59" s="0"/>
      <c r="UOU59" s="0"/>
      <c r="UOV59" s="0"/>
      <c r="UOW59" s="0"/>
      <c r="UOX59" s="0"/>
      <c r="UOY59" s="0"/>
      <c r="UOZ59" s="0"/>
      <c r="UPA59" s="0"/>
      <c r="UPB59" s="0"/>
      <c r="UPC59" s="0"/>
      <c r="UPD59" s="0"/>
      <c r="UPE59" s="0"/>
      <c r="UPF59" s="0"/>
      <c r="UPG59" s="0"/>
      <c r="UPH59" s="0"/>
      <c r="UPI59" s="0"/>
      <c r="UPJ59" s="0"/>
      <c r="UPK59" s="0"/>
      <c r="UPL59" s="0"/>
      <c r="UPM59" s="0"/>
      <c r="UPN59" s="0"/>
      <c r="UPO59" s="0"/>
      <c r="UPP59" s="0"/>
      <c r="UPQ59" s="0"/>
      <c r="UPR59" s="0"/>
      <c r="UPS59" s="0"/>
      <c r="UPT59" s="0"/>
      <c r="UPU59" s="0"/>
      <c r="UPV59" s="0"/>
      <c r="UPW59" s="0"/>
      <c r="UPX59" s="0"/>
      <c r="UPY59" s="0"/>
      <c r="UPZ59" s="0"/>
      <c r="UQA59" s="0"/>
      <c r="UQB59" s="0"/>
      <c r="UQC59" s="0"/>
      <c r="UQD59" s="0"/>
      <c r="UQE59" s="0"/>
      <c r="UQF59" s="0"/>
      <c r="UQG59" s="0"/>
      <c r="UQH59" s="0"/>
      <c r="UQI59" s="0"/>
      <c r="UQJ59" s="0"/>
      <c r="UQK59" s="0"/>
      <c r="UQL59" s="0"/>
      <c r="UQM59" s="0"/>
      <c r="UQN59" s="0"/>
      <c r="UQO59" s="0"/>
      <c r="UQP59" s="0"/>
      <c r="UQQ59" s="0"/>
      <c r="UQR59" s="0"/>
      <c r="UQS59" s="0"/>
      <c r="UQT59" s="0"/>
      <c r="UQU59" s="0"/>
      <c r="UQV59" s="0"/>
      <c r="UQW59" s="0"/>
      <c r="UQX59" s="0"/>
      <c r="UQY59" s="0"/>
      <c r="UQZ59" s="0"/>
      <c r="URA59" s="0"/>
      <c r="URB59" s="0"/>
      <c r="URC59" s="0"/>
      <c r="URD59" s="0"/>
      <c r="URE59" s="0"/>
      <c r="URF59" s="0"/>
      <c r="URG59" s="0"/>
      <c r="URH59" s="0"/>
      <c r="URI59" s="0"/>
      <c r="URJ59" s="0"/>
      <c r="URK59" s="0"/>
      <c r="URL59" s="0"/>
      <c r="URM59" s="0"/>
      <c r="URN59" s="0"/>
      <c r="URO59" s="0"/>
      <c r="URP59" s="0"/>
      <c r="URQ59" s="0"/>
      <c r="URR59" s="0"/>
      <c r="URS59" s="0"/>
      <c r="URT59" s="0"/>
      <c r="URU59" s="0"/>
      <c r="URV59" s="0"/>
      <c r="URW59" s="0"/>
      <c r="URX59" s="0"/>
      <c r="URY59" s="0"/>
      <c r="URZ59" s="0"/>
      <c r="USA59" s="0"/>
      <c r="USB59" s="0"/>
      <c r="USC59" s="0"/>
      <c r="USD59" s="0"/>
      <c r="USE59" s="0"/>
      <c r="USF59" s="0"/>
      <c r="USG59" s="0"/>
      <c r="USH59" s="0"/>
      <c r="USI59" s="0"/>
      <c r="USJ59" s="0"/>
      <c r="USK59" s="0"/>
      <c r="USL59" s="0"/>
      <c r="USM59" s="0"/>
      <c r="USN59" s="0"/>
      <c r="USO59" s="0"/>
      <c r="USP59" s="0"/>
      <c r="USQ59" s="0"/>
      <c r="USR59" s="0"/>
      <c r="USS59" s="0"/>
      <c r="UST59" s="0"/>
      <c r="USU59" s="0"/>
      <c r="USV59" s="0"/>
      <c r="USW59" s="0"/>
      <c r="USX59" s="0"/>
      <c r="USY59" s="0"/>
      <c r="USZ59" s="0"/>
      <c r="UTA59" s="0"/>
      <c r="UTB59" s="0"/>
      <c r="UTC59" s="0"/>
      <c r="UTD59" s="0"/>
      <c r="UTE59" s="0"/>
      <c r="UTF59" s="0"/>
      <c r="UTG59" s="0"/>
      <c r="UTH59" s="0"/>
      <c r="UTI59" s="0"/>
      <c r="UTJ59" s="0"/>
      <c r="UTK59" s="0"/>
      <c r="UTL59" s="0"/>
      <c r="UTM59" s="0"/>
      <c r="UTN59" s="0"/>
      <c r="UTO59" s="0"/>
      <c r="UTP59" s="0"/>
      <c r="UTQ59" s="0"/>
      <c r="UTR59" s="0"/>
      <c r="UTS59" s="0"/>
      <c r="UTT59" s="0"/>
      <c r="UTU59" s="0"/>
      <c r="UTV59" s="0"/>
      <c r="UTW59" s="0"/>
      <c r="UTX59" s="0"/>
      <c r="UTY59" s="0"/>
      <c r="UTZ59" s="0"/>
      <c r="UUA59" s="0"/>
      <c r="UUB59" s="0"/>
      <c r="UUC59" s="0"/>
      <c r="UUD59" s="0"/>
      <c r="UUE59" s="0"/>
      <c r="UUF59" s="0"/>
      <c r="UUG59" s="0"/>
      <c r="UUH59" s="0"/>
      <c r="UUI59" s="0"/>
      <c r="UUJ59" s="0"/>
      <c r="UUK59" s="0"/>
      <c r="UUL59" s="0"/>
      <c r="UUM59" s="0"/>
      <c r="UUN59" s="0"/>
      <c r="UUO59" s="0"/>
      <c r="UUP59" s="0"/>
      <c r="UUQ59" s="0"/>
      <c r="UUR59" s="0"/>
      <c r="UUS59" s="0"/>
      <c r="UUT59" s="0"/>
      <c r="UUU59" s="0"/>
      <c r="UUV59" s="0"/>
      <c r="UUW59" s="0"/>
      <c r="UUX59" s="0"/>
      <c r="UUY59" s="0"/>
      <c r="UUZ59" s="0"/>
      <c r="UVA59" s="0"/>
      <c r="UVB59" s="0"/>
      <c r="UVC59" s="0"/>
      <c r="UVD59" s="0"/>
      <c r="UVE59" s="0"/>
      <c r="UVF59" s="0"/>
      <c r="UVG59" s="0"/>
      <c r="UVH59" s="0"/>
      <c r="UVI59" s="0"/>
      <c r="UVJ59" s="0"/>
      <c r="UVK59" s="0"/>
      <c r="UVL59" s="0"/>
      <c r="UVM59" s="0"/>
      <c r="UVN59" s="0"/>
      <c r="UVO59" s="0"/>
      <c r="UVP59" s="0"/>
      <c r="UVQ59" s="0"/>
      <c r="UVR59" s="0"/>
      <c r="UVS59" s="0"/>
      <c r="UVT59" s="0"/>
      <c r="UVU59" s="0"/>
      <c r="UVV59" s="0"/>
      <c r="UVW59" s="0"/>
      <c r="UVX59" s="0"/>
      <c r="UVY59" s="0"/>
      <c r="UVZ59" s="0"/>
      <c r="UWA59" s="0"/>
      <c r="UWB59" s="0"/>
      <c r="UWC59" s="0"/>
      <c r="UWD59" s="0"/>
      <c r="UWE59" s="0"/>
      <c r="UWF59" s="0"/>
      <c r="UWG59" s="0"/>
      <c r="UWH59" s="0"/>
      <c r="UWI59" s="0"/>
      <c r="UWJ59" s="0"/>
      <c r="UWK59" s="0"/>
      <c r="UWL59" s="0"/>
      <c r="UWM59" s="0"/>
      <c r="UWN59" s="0"/>
      <c r="UWO59" s="0"/>
      <c r="UWP59" s="0"/>
      <c r="UWQ59" s="0"/>
      <c r="UWR59" s="0"/>
      <c r="UWS59" s="0"/>
      <c r="UWT59" s="0"/>
      <c r="UWU59" s="0"/>
      <c r="UWV59" s="0"/>
      <c r="UWW59" s="0"/>
      <c r="UWX59" s="0"/>
      <c r="UWY59" s="0"/>
      <c r="UWZ59" s="0"/>
      <c r="UXA59" s="0"/>
      <c r="UXB59" s="0"/>
      <c r="UXC59" s="0"/>
      <c r="UXD59" s="0"/>
      <c r="UXE59" s="0"/>
      <c r="UXF59" s="0"/>
      <c r="UXG59" s="0"/>
      <c r="UXH59" s="0"/>
      <c r="UXI59" s="0"/>
      <c r="UXJ59" s="0"/>
      <c r="UXK59" s="0"/>
      <c r="UXL59" s="0"/>
      <c r="UXM59" s="0"/>
      <c r="UXN59" s="0"/>
      <c r="UXO59" s="0"/>
      <c r="UXP59" s="0"/>
      <c r="UXQ59" s="0"/>
      <c r="UXR59" s="0"/>
      <c r="UXS59" s="0"/>
      <c r="UXT59" s="0"/>
      <c r="UXU59" s="0"/>
      <c r="UXV59" s="0"/>
      <c r="UXW59" s="0"/>
      <c r="UXX59" s="0"/>
      <c r="UXY59" s="0"/>
      <c r="UXZ59" s="0"/>
      <c r="UYA59" s="0"/>
      <c r="UYB59" s="0"/>
      <c r="UYC59" s="0"/>
      <c r="UYD59" s="0"/>
      <c r="UYE59" s="0"/>
      <c r="UYF59" s="0"/>
      <c r="UYG59" s="0"/>
      <c r="UYH59" s="0"/>
      <c r="UYI59" s="0"/>
      <c r="UYJ59" s="0"/>
      <c r="UYK59" s="0"/>
      <c r="UYL59" s="0"/>
      <c r="UYM59" s="0"/>
      <c r="UYN59" s="0"/>
      <c r="UYO59" s="0"/>
      <c r="UYP59" s="0"/>
      <c r="UYQ59" s="0"/>
      <c r="UYR59" s="0"/>
      <c r="UYS59" s="0"/>
      <c r="UYT59" s="0"/>
      <c r="UYU59" s="0"/>
      <c r="UYV59" s="0"/>
      <c r="UYW59" s="0"/>
      <c r="UYX59" s="0"/>
      <c r="UYY59" s="0"/>
      <c r="UYZ59" s="0"/>
      <c r="UZA59" s="0"/>
      <c r="UZB59" s="0"/>
      <c r="UZC59" s="0"/>
      <c r="UZD59" s="0"/>
      <c r="UZE59" s="0"/>
      <c r="UZF59" s="0"/>
      <c r="UZG59" s="0"/>
      <c r="UZH59" s="0"/>
      <c r="UZI59" s="0"/>
      <c r="UZJ59" s="0"/>
      <c r="UZK59" s="0"/>
      <c r="UZL59" s="0"/>
      <c r="UZM59" s="0"/>
      <c r="UZN59" s="0"/>
      <c r="UZO59" s="0"/>
      <c r="UZP59" s="0"/>
      <c r="UZQ59" s="0"/>
      <c r="UZR59" s="0"/>
      <c r="UZS59" s="0"/>
      <c r="UZT59" s="0"/>
      <c r="UZU59" s="0"/>
      <c r="UZV59" s="0"/>
      <c r="UZW59" s="0"/>
      <c r="UZX59" s="0"/>
      <c r="UZY59" s="0"/>
      <c r="UZZ59" s="0"/>
      <c r="VAA59" s="0"/>
      <c r="VAB59" s="0"/>
      <c r="VAC59" s="0"/>
      <c r="VAD59" s="0"/>
      <c r="VAE59" s="0"/>
      <c r="VAF59" s="0"/>
      <c r="VAG59" s="0"/>
      <c r="VAH59" s="0"/>
      <c r="VAI59" s="0"/>
      <c r="VAJ59" s="0"/>
      <c r="VAK59" s="0"/>
      <c r="VAL59" s="0"/>
      <c r="VAM59" s="0"/>
      <c r="VAN59" s="0"/>
      <c r="VAO59" s="0"/>
      <c r="VAP59" s="0"/>
      <c r="VAQ59" s="0"/>
      <c r="VAR59" s="0"/>
      <c r="VAS59" s="0"/>
      <c r="VAT59" s="0"/>
      <c r="VAU59" s="0"/>
      <c r="VAV59" s="0"/>
      <c r="VAW59" s="0"/>
      <c r="VAX59" s="0"/>
      <c r="VAY59" s="0"/>
      <c r="VAZ59" s="0"/>
      <c r="VBA59" s="0"/>
      <c r="VBB59" s="0"/>
      <c r="VBC59" s="0"/>
      <c r="VBD59" s="0"/>
      <c r="VBE59" s="0"/>
      <c r="VBF59" s="0"/>
      <c r="VBG59" s="0"/>
      <c r="VBH59" s="0"/>
      <c r="VBI59" s="0"/>
      <c r="VBJ59" s="0"/>
      <c r="VBK59" s="0"/>
      <c r="VBL59" s="0"/>
      <c r="VBM59" s="0"/>
      <c r="VBN59" s="0"/>
      <c r="VBO59" s="0"/>
      <c r="VBP59" s="0"/>
      <c r="VBQ59" s="0"/>
      <c r="VBR59" s="0"/>
      <c r="VBS59" s="0"/>
      <c r="VBT59" s="0"/>
      <c r="VBU59" s="0"/>
      <c r="VBV59" s="0"/>
      <c r="VBW59" s="0"/>
      <c r="VBX59" s="0"/>
      <c r="VBY59" s="0"/>
      <c r="VBZ59" s="0"/>
      <c r="VCA59" s="0"/>
      <c r="VCB59" s="0"/>
      <c r="VCC59" s="0"/>
      <c r="VCD59" s="0"/>
      <c r="VCE59" s="0"/>
      <c r="VCF59" s="0"/>
      <c r="VCG59" s="0"/>
      <c r="VCH59" s="0"/>
      <c r="VCI59" s="0"/>
      <c r="VCJ59" s="0"/>
      <c r="VCK59" s="0"/>
      <c r="VCL59" s="0"/>
      <c r="VCM59" s="0"/>
      <c r="VCN59" s="0"/>
      <c r="VCO59" s="0"/>
      <c r="VCP59" s="0"/>
      <c r="VCQ59" s="0"/>
      <c r="VCR59" s="0"/>
      <c r="VCS59" s="0"/>
      <c r="VCT59" s="0"/>
      <c r="VCU59" s="0"/>
      <c r="VCV59" s="0"/>
      <c r="VCW59" s="0"/>
      <c r="VCX59" s="0"/>
      <c r="VCY59" s="0"/>
      <c r="VCZ59" s="0"/>
      <c r="VDA59" s="0"/>
      <c r="VDB59" s="0"/>
      <c r="VDC59" s="0"/>
      <c r="VDD59" s="0"/>
      <c r="VDE59" s="0"/>
      <c r="VDF59" s="0"/>
      <c r="VDG59" s="0"/>
      <c r="VDH59" s="0"/>
      <c r="VDI59" s="0"/>
      <c r="VDJ59" s="0"/>
      <c r="VDK59" s="0"/>
      <c r="VDL59" s="0"/>
      <c r="VDM59" s="0"/>
      <c r="VDN59" s="0"/>
      <c r="VDO59" s="0"/>
      <c r="VDP59" s="0"/>
      <c r="VDQ59" s="0"/>
      <c r="VDR59" s="0"/>
      <c r="VDS59" s="0"/>
      <c r="VDT59" s="0"/>
      <c r="VDU59" s="0"/>
      <c r="VDV59" s="0"/>
      <c r="VDW59" s="0"/>
      <c r="VDX59" s="0"/>
      <c r="VDY59" s="0"/>
      <c r="VDZ59" s="0"/>
      <c r="VEA59" s="0"/>
      <c r="VEB59" s="0"/>
      <c r="VEC59" s="0"/>
      <c r="VED59" s="0"/>
      <c r="VEE59" s="0"/>
      <c r="VEF59" s="0"/>
      <c r="VEG59" s="0"/>
      <c r="VEH59" s="0"/>
      <c r="VEI59" s="0"/>
      <c r="VEJ59" s="0"/>
      <c r="VEK59" s="0"/>
      <c r="VEL59" s="0"/>
      <c r="VEM59" s="0"/>
      <c r="VEN59" s="0"/>
      <c r="VEO59" s="0"/>
      <c r="VEP59" s="0"/>
      <c r="VEQ59" s="0"/>
      <c r="VER59" s="0"/>
      <c r="VES59" s="0"/>
      <c r="VET59" s="0"/>
      <c r="VEU59" s="0"/>
      <c r="VEV59" s="0"/>
      <c r="VEW59" s="0"/>
      <c r="VEX59" s="0"/>
      <c r="VEY59" s="0"/>
      <c r="VEZ59" s="0"/>
      <c r="VFA59" s="0"/>
      <c r="VFB59" s="0"/>
      <c r="VFC59" s="0"/>
      <c r="VFD59" s="0"/>
      <c r="VFE59" s="0"/>
      <c r="VFF59" s="0"/>
      <c r="VFG59" s="0"/>
      <c r="VFH59" s="0"/>
      <c r="VFI59" s="0"/>
      <c r="VFJ59" s="0"/>
      <c r="VFK59" s="0"/>
      <c r="VFL59" s="0"/>
      <c r="VFM59" s="0"/>
      <c r="VFN59" s="0"/>
      <c r="VFO59" s="0"/>
      <c r="VFP59" s="0"/>
      <c r="VFQ59" s="0"/>
      <c r="VFR59" s="0"/>
      <c r="VFS59" s="0"/>
      <c r="VFT59" s="0"/>
      <c r="VFU59" s="0"/>
      <c r="VFV59" s="0"/>
      <c r="VFW59" s="0"/>
      <c r="VFX59" s="0"/>
      <c r="VFY59" s="0"/>
      <c r="VFZ59" s="0"/>
      <c r="VGA59" s="0"/>
      <c r="VGB59" s="0"/>
      <c r="VGC59" s="0"/>
      <c r="VGD59" s="0"/>
      <c r="VGE59" s="0"/>
      <c r="VGF59" s="0"/>
      <c r="VGG59" s="0"/>
      <c r="VGH59" s="0"/>
      <c r="VGI59" s="0"/>
      <c r="VGJ59" s="0"/>
      <c r="VGK59" s="0"/>
      <c r="VGL59" s="0"/>
      <c r="VGM59" s="0"/>
      <c r="VGN59" s="0"/>
      <c r="VGO59" s="0"/>
      <c r="VGP59" s="0"/>
      <c r="VGQ59" s="0"/>
      <c r="VGR59" s="0"/>
      <c r="VGS59" s="0"/>
      <c r="VGT59" s="0"/>
      <c r="VGU59" s="0"/>
      <c r="VGV59" s="0"/>
      <c r="VGW59" s="0"/>
      <c r="VGX59" s="0"/>
      <c r="VGY59" s="0"/>
      <c r="VGZ59" s="0"/>
      <c r="VHA59" s="0"/>
      <c r="VHB59" s="0"/>
      <c r="VHC59" s="0"/>
      <c r="VHD59" s="0"/>
      <c r="VHE59" s="0"/>
      <c r="VHF59" s="0"/>
      <c r="VHG59" s="0"/>
      <c r="VHH59" s="0"/>
      <c r="VHI59" s="0"/>
      <c r="VHJ59" s="0"/>
      <c r="VHK59" s="0"/>
      <c r="VHL59" s="0"/>
      <c r="VHM59" s="0"/>
      <c r="VHN59" s="0"/>
      <c r="VHO59" s="0"/>
      <c r="VHP59" s="0"/>
      <c r="VHQ59" s="0"/>
      <c r="VHR59" s="0"/>
      <c r="VHS59" s="0"/>
      <c r="VHT59" s="0"/>
      <c r="VHU59" s="0"/>
      <c r="VHV59" s="0"/>
      <c r="VHW59" s="0"/>
      <c r="VHX59" s="0"/>
      <c r="VHY59" s="0"/>
      <c r="VHZ59" s="0"/>
      <c r="VIA59" s="0"/>
      <c r="VIB59" s="0"/>
      <c r="VIC59" s="0"/>
      <c r="VID59" s="0"/>
      <c r="VIE59" s="0"/>
      <c r="VIF59" s="0"/>
      <c r="VIG59" s="0"/>
      <c r="VIH59" s="0"/>
      <c r="VII59" s="0"/>
      <c r="VIJ59" s="0"/>
      <c r="VIK59" s="0"/>
      <c r="VIL59" s="0"/>
      <c r="VIM59" s="0"/>
      <c r="VIN59" s="0"/>
      <c r="VIO59" s="0"/>
      <c r="VIP59" s="0"/>
      <c r="VIQ59" s="0"/>
      <c r="VIR59" s="0"/>
      <c r="VIS59" s="0"/>
      <c r="VIT59" s="0"/>
      <c r="VIU59" s="0"/>
      <c r="VIV59" s="0"/>
      <c r="VIW59" s="0"/>
      <c r="VIX59" s="0"/>
      <c r="VIY59" s="0"/>
      <c r="VIZ59" s="0"/>
      <c r="VJA59" s="0"/>
      <c r="VJB59" s="0"/>
      <c r="VJC59" s="0"/>
      <c r="VJD59" s="0"/>
      <c r="VJE59" s="0"/>
      <c r="VJF59" s="0"/>
      <c r="VJG59" s="0"/>
      <c r="VJH59" s="0"/>
      <c r="VJI59" s="0"/>
      <c r="VJJ59" s="0"/>
      <c r="VJK59" s="0"/>
      <c r="VJL59" s="0"/>
      <c r="VJM59" s="0"/>
      <c r="VJN59" s="0"/>
      <c r="VJO59" s="0"/>
      <c r="VJP59" s="0"/>
      <c r="VJQ59" s="0"/>
      <c r="VJR59" s="0"/>
      <c r="VJS59" s="0"/>
      <c r="VJT59" s="0"/>
      <c r="VJU59" s="0"/>
      <c r="VJV59" s="0"/>
      <c r="VJW59" s="0"/>
      <c r="VJX59" s="0"/>
      <c r="VJY59" s="0"/>
      <c r="VJZ59" s="0"/>
      <c r="VKA59" s="0"/>
      <c r="VKB59" s="0"/>
      <c r="VKC59" s="0"/>
      <c r="VKD59" s="0"/>
      <c r="VKE59" s="0"/>
      <c r="VKF59" s="0"/>
      <c r="VKG59" s="0"/>
      <c r="VKH59" s="0"/>
      <c r="VKI59" s="0"/>
      <c r="VKJ59" s="0"/>
      <c r="VKK59" s="0"/>
      <c r="VKL59" s="0"/>
      <c r="VKM59" s="0"/>
      <c r="VKN59" s="0"/>
      <c r="VKO59" s="0"/>
      <c r="VKP59" s="0"/>
      <c r="VKQ59" s="0"/>
      <c r="VKR59" s="0"/>
      <c r="VKS59" s="0"/>
      <c r="VKT59" s="0"/>
      <c r="VKU59" s="0"/>
      <c r="VKV59" s="0"/>
      <c r="VKW59" s="0"/>
      <c r="VKX59" s="0"/>
      <c r="VKY59" s="0"/>
      <c r="VKZ59" s="0"/>
      <c r="VLA59" s="0"/>
      <c r="VLB59" s="0"/>
      <c r="VLC59" s="0"/>
      <c r="VLD59" s="0"/>
      <c r="VLE59" s="0"/>
      <c r="VLF59" s="0"/>
      <c r="VLG59" s="0"/>
      <c r="VLH59" s="0"/>
      <c r="VLI59" s="0"/>
      <c r="VLJ59" s="0"/>
      <c r="VLK59" s="0"/>
      <c r="VLL59" s="0"/>
      <c r="VLM59" s="0"/>
      <c r="VLN59" s="0"/>
      <c r="VLO59" s="0"/>
      <c r="VLP59" s="0"/>
      <c r="VLQ59" s="0"/>
      <c r="VLR59" s="0"/>
      <c r="VLS59" s="0"/>
      <c r="VLT59" s="0"/>
      <c r="VLU59" s="0"/>
      <c r="VLV59" s="0"/>
      <c r="VLW59" s="0"/>
      <c r="VLX59" s="0"/>
      <c r="VLY59" s="0"/>
      <c r="VLZ59" s="0"/>
      <c r="VMA59" s="0"/>
      <c r="VMB59" s="0"/>
      <c r="VMC59" s="0"/>
      <c r="VMD59" s="0"/>
      <c r="VME59" s="0"/>
      <c r="VMF59" s="0"/>
      <c r="VMG59" s="0"/>
      <c r="VMH59" s="0"/>
      <c r="VMI59" s="0"/>
      <c r="VMJ59" s="0"/>
      <c r="VMK59" s="0"/>
      <c r="VML59" s="0"/>
      <c r="VMM59" s="0"/>
      <c r="VMN59" s="0"/>
      <c r="VMO59" s="0"/>
      <c r="VMP59" s="0"/>
      <c r="VMQ59" s="0"/>
      <c r="VMR59" s="0"/>
      <c r="VMS59" s="0"/>
      <c r="VMT59" s="0"/>
      <c r="VMU59" s="0"/>
      <c r="VMV59" s="0"/>
      <c r="VMW59" s="0"/>
      <c r="VMX59" s="0"/>
      <c r="VMY59" s="0"/>
      <c r="VMZ59" s="0"/>
      <c r="VNA59" s="0"/>
      <c r="VNB59" s="0"/>
      <c r="VNC59" s="0"/>
      <c r="VND59" s="0"/>
      <c r="VNE59" s="0"/>
      <c r="VNF59" s="0"/>
      <c r="VNG59" s="0"/>
      <c r="VNH59" s="0"/>
      <c r="VNI59" s="0"/>
      <c r="VNJ59" s="0"/>
      <c r="VNK59" s="0"/>
      <c r="VNL59" s="0"/>
      <c r="VNM59" s="0"/>
      <c r="VNN59" s="0"/>
      <c r="VNO59" s="0"/>
      <c r="VNP59" s="0"/>
      <c r="VNQ59" s="0"/>
      <c r="VNR59" s="0"/>
      <c r="VNS59" s="0"/>
      <c r="VNT59" s="0"/>
      <c r="VNU59" s="0"/>
      <c r="VNV59" s="0"/>
      <c r="VNW59" s="0"/>
      <c r="VNX59" s="0"/>
      <c r="VNY59" s="0"/>
      <c r="VNZ59" s="0"/>
      <c r="VOA59" s="0"/>
      <c r="VOB59" s="0"/>
      <c r="VOC59" s="0"/>
      <c r="VOD59" s="0"/>
      <c r="VOE59" s="0"/>
      <c r="VOF59" s="0"/>
      <c r="VOG59" s="0"/>
      <c r="VOH59" s="0"/>
      <c r="VOI59" s="0"/>
      <c r="VOJ59" s="0"/>
      <c r="VOK59" s="0"/>
      <c r="VOL59" s="0"/>
      <c r="VOM59" s="0"/>
      <c r="VON59" s="0"/>
      <c r="VOO59" s="0"/>
      <c r="VOP59" s="0"/>
      <c r="VOQ59" s="0"/>
      <c r="VOR59" s="0"/>
      <c r="VOS59" s="0"/>
      <c r="VOT59" s="0"/>
      <c r="VOU59" s="0"/>
      <c r="VOV59" s="0"/>
      <c r="VOW59" s="0"/>
      <c r="VOX59" s="0"/>
      <c r="VOY59" s="0"/>
      <c r="VOZ59" s="0"/>
      <c r="VPA59" s="0"/>
      <c r="VPB59" s="0"/>
      <c r="VPC59" s="0"/>
      <c r="VPD59" s="0"/>
      <c r="VPE59" s="0"/>
      <c r="VPF59" s="0"/>
      <c r="VPG59" s="0"/>
      <c r="VPH59" s="0"/>
      <c r="VPI59" s="0"/>
      <c r="VPJ59" s="0"/>
      <c r="VPK59" s="0"/>
      <c r="VPL59" s="0"/>
      <c r="VPM59" s="0"/>
      <c r="VPN59" s="0"/>
      <c r="VPO59" s="0"/>
      <c r="VPP59" s="0"/>
      <c r="VPQ59" s="0"/>
      <c r="VPR59" s="0"/>
      <c r="VPS59" s="0"/>
      <c r="VPT59" s="0"/>
      <c r="VPU59" s="0"/>
      <c r="VPV59" s="0"/>
      <c r="VPW59" s="0"/>
      <c r="VPX59" s="0"/>
      <c r="VPY59" s="0"/>
      <c r="VPZ59" s="0"/>
      <c r="VQA59" s="0"/>
      <c r="VQB59" s="0"/>
      <c r="VQC59" s="0"/>
      <c r="VQD59" s="0"/>
      <c r="VQE59" s="0"/>
      <c r="VQF59" s="0"/>
      <c r="VQG59" s="0"/>
      <c r="VQH59" s="0"/>
      <c r="VQI59" s="0"/>
      <c r="VQJ59" s="0"/>
      <c r="VQK59" s="0"/>
      <c r="VQL59" s="0"/>
      <c r="VQM59" s="0"/>
      <c r="VQN59" s="0"/>
      <c r="VQO59" s="0"/>
      <c r="VQP59" s="0"/>
      <c r="VQQ59" s="0"/>
      <c r="VQR59" s="0"/>
      <c r="VQS59" s="0"/>
      <c r="VQT59" s="0"/>
      <c r="VQU59" s="0"/>
      <c r="VQV59" s="0"/>
      <c r="VQW59" s="0"/>
      <c r="VQX59" s="0"/>
      <c r="VQY59" s="0"/>
      <c r="VQZ59" s="0"/>
      <c r="VRA59" s="0"/>
      <c r="VRB59" s="0"/>
      <c r="VRC59" s="0"/>
      <c r="VRD59" s="0"/>
      <c r="VRE59" s="0"/>
      <c r="VRF59" s="0"/>
      <c r="VRG59" s="0"/>
      <c r="VRH59" s="0"/>
      <c r="VRI59" s="0"/>
      <c r="VRJ59" s="0"/>
      <c r="VRK59" s="0"/>
      <c r="VRL59" s="0"/>
      <c r="VRM59" s="0"/>
      <c r="VRN59" s="0"/>
      <c r="VRO59" s="0"/>
      <c r="VRP59" s="0"/>
      <c r="VRQ59" s="0"/>
      <c r="VRR59" s="0"/>
      <c r="VRS59" s="0"/>
      <c r="VRT59" s="0"/>
      <c r="VRU59" s="0"/>
      <c r="VRV59" s="0"/>
      <c r="VRW59" s="0"/>
      <c r="VRX59" s="0"/>
      <c r="VRY59" s="0"/>
      <c r="VRZ59" s="0"/>
      <c r="VSA59" s="0"/>
      <c r="VSB59" s="0"/>
      <c r="VSC59" s="0"/>
      <c r="VSD59" s="0"/>
      <c r="VSE59" s="0"/>
      <c r="VSF59" s="0"/>
      <c r="VSG59" s="0"/>
      <c r="VSH59" s="0"/>
      <c r="VSI59" s="0"/>
      <c r="VSJ59" s="0"/>
      <c r="VSK59" s="0"/>
      <c r="VSL59" s="0"/>
      <c r="VSM59" s="0"/>
      <c r="VSN59" s="0"/>
      <c r="VSO59" s="0"/>
      <c r="VSP59" s="0"/>
      <c r="VSQ59" s="0"/>
      <c r="VSR59" s="0"/>
      <c r="VSS59" s="0"/>
      <c r="VST59" s="0"/>
      <c r="VSU59" s="0"/>
      <c r="VSV59" s="0"/>
      <c r="VSW59" s="0"/>
      <c r="VSX59" s="0"/>
      <c r="VSY59" s="0"/>
      <c r="VSZ59" s="0"/>
      <c r="VTA59" s="0"/>
      <c r="VTB59" s="0"/>
      <c r="VTC59" s="0"/>
      <c r="VTD59" s="0"/>
      <c r="VTE59" s="0"/>
      <c r="VTF59" s="0"/>
      <c r="VTG59" s="0"/>
      <c r="VTH59" s="0"/>
      <c r="VTI59" s="0"/>
      <c r="VTJ59" s="0"/>
      <c r="VTK59" s="0"/>
      <c r="VTL59" s="0"/>
      <c r="VTM59" s="0"/>
      <c r="VTN59" s="0"/>
      <c r="VTO59" s="0"/>
      <c r="VTP59" s="0"/>
      <c r="VTQ59" s="0"/>
      <c r="VTR59" s="0"/>
      <c r="VTS59" s="0"/>
      <c r="VTT59" s="0"/>
      <c r="VTU59" s="0"/>
      <c r="VTV59" s="0"/>
      <c r="VTW59" s="0"/>
      <c r="VTX59" s="0"/>
      <c r="VTY59" s="0"/>
      <c r="VTZ59" s="0"/>
      <c r="VUA59" s="0"/>
      <c r="VUB59" s="0"/>
      <c r="VUC59" s="0"/>
      <c r="VUD59" s="0"/>
      <c r="VUE59" s="0"/>
      <c r="VUF59" s="0"/>
      <c r="VUG59" s="0"/>
      <c r="VUH59" s="0"/>
      <c r="VUI59" s="0"/>
      <c r="VUJ59" s="0"/>
      <c r="VUK59" s="0"/>
      <c r="VUL59" s="0"/>
      <c r="VUM59" s="0"/>
      <c r="VUN59" s="0"/>
      <c r="VUO59" s="0"/>
      <c r="VUP59" s="0"/>
      <c r="VUQ59" s="0"/>
      <c r="VUR59" s="0"/>
      <c r="VUS59" s="0"/>
      <c r="VUT59" s="0"/>
      <c r="VUU59" s="0"/>
      <c r="VUV59" s="0"/>
      <c r="VUW59" s="0"/>
      <c r="VUX59" s="0"/>
      <c r="VUY59" s="0"/>
      <c r="VUZ59" s="0"/>
      <c r="VVA59" s="0"/>
      <c r="VVB59" s="0"/>
      <c r="VVC59" s="0"/>
      <c r="VVD59" s="0"/>
      <c r="VVE59" s="0"/>
      <c r="VVF59" s="0"/>
      <c r="VVG59" s="0"/>
      <c r="VVH59" s="0"/>
      <c r="VVI59" s="0"/>
      <c r="VVJ59" s="0"/>
      <c r="VVK59" s="0"/>
      <c r="VVL59" s="0"/>
      <c r="VVM59" s="0"/>
      <c r="VVN59" s="0"/>
      <c r="VVO59" s="0"/>
      <c r="VVP59" s="0"/>
      <c r="VVQ59" s="0"/>
      <c r="VVR59" s="0"/>
      <c r="VVS59" s="0"/>
      <c r="VVT59" s="0"/>
      <c r="VVU59" s="0"/>
      <c r="VVV59" s="0"/>
      <c r="VVW59" s="0"/>
      <c r="VVX59" s="0"/>
      <c r="VVY59" s="0"/>
      <c r="VVZ59" s="0"/>
      <c r="VWA59" s="0"/>
      <c r="VWB59" s="0"/>
      <c r="VWC59" s="0"/>
      <c r="VWD59" s="0"/>
      <c r="VWE59" s="0"/>
      <c r="VWF59" s="0"/>
      <c r="VWG59" s="0"/>
      <c r="VWH59" s="0"/>
      <c r="VWI59" s="0"/>
      <c r="VWJ59" s="0"/>
      <c r="VWK59" s="0"/>
      <c r="VWL59" s="0"/>
      <c r="VWM59" s="0"/>
      <c r="VWN59" s="0"/>
      <c r="VWO59" s="0"/>
      <c r="VWP59" s="0"/>
      <c r="VWQ59" s="0"/>
      <c r="VWR59" s="0"/>
      <c r="VWS59" s="0"/>
      <c r="VWT59" s="0"/>
      <c r="VWU59" s="0"/>
      <c r="VWV59" s="0"/>
      <c r="VWW59" s="0"/>
      <c r="VWX59" s="0"/>
      <c r="VWY59" s="0"/>
      <c r="VWZ59" s="0"/>
      <c r="VXA59" s="0"/>
      <c r="VXB59" s="0"/>
      <c r="VXC59" s="0"/>
      <c r="VXD59" s="0"/>
      <c r="VXE59" s="0"/>
      <c r="VXF59" s="0"/>
      <c r="VXG59" s="0"/>
      <c r="VXH59" s="0"/>
      <c r="VXI59" s="0"/>
      <c r="VXJ59" s="0"/>
      <c r="VXK59" s="0"/>
      <c r="VXL59" s="0"/>
      <c r="VXM59" s="0"/>
      <c r="VXN59" s="0"/>
      <c r="VXO59" s="0"/>
      <c r="VXP59" s="0"/>
      <c r="VXQ59" s="0"/>
      <c r="VXR59" s="0"/>
      <c r="VXS59" s="0"/>
      <c r="VXT59" s="0"/>
      <c r="VXU59" s="0"/>
      <c r="VXV59" s="0"/>
      <c r="VXW59" s="0"/>
      <c r="VXX59" s="0"/>
      <c r="VXY59" s="0"/>
      <c r="VXZ59" s="0"/>
      <c r="VYA59" s="0"/>
      <c r="VYB59" s="0"/>
      <c r="VYC59" s="0"/>
      <c r="VYD59" s="0"/>
      <c r="VYE59" s="0"/>
      <c r="VYF59" s="0"/>
      <c r="VYG59" s="0"/>
      <c r="VYH59" s="0"/>
      <c r="VYI59" s="0"/>
      <c r="VYJ59" s="0"/>
      <c r="VYK59" s="0"/>
      <c r="VYL59" s="0"/>
      <c r="VYM59" s="0"/>
      <c r="VYN59" s="0"/>
      <c r="VYO59" s="0"/>
      <c r="VYP59" s="0"/>
      <c r="VYQ59" s="0"/>
      <c r="VYR59" s="0"/>
      <c r="VYS59" s="0"/>
      <c r="VYT59" s="0"/>
      <c r="VYU59" s="0"/>
      <c r="VYV59" s="0"/>
      <c r="VYW59" s="0"/>
      <c r="VYX59" s="0"/>
      <c r="VYY59" s="0"/>
      <c r="VYZ59" s="0"/>
      <c r="VZA59" s="0"/>
      <c r="VZB59" s="0"/>
      <c r="VZC59" s="0"/>
      <c r="VZD59" s="0"/>
      <c r="VZE59" s="0"/>
      <c r="VZF59" s="0"/>
      <c r="VZG59" s="0"/>
      <c r="VZH59" s="0"/>
      <c r="VZI59" s="0"/>
      <c r="VZJ59" s="0"/>
      <c r="VZK59" s="0"/>
      <c r="VZL59" s="0"/>
      <c r="VZM59" s="0"/>
      <c r="VZN59" s="0"/>
      <c r="VZO59" s="0"/>
      <c r="VZP59" s="0"/>
      <c r="VZQ59" s="0"/>
      <c r="VZR59" s="0"/>
      <c r="VZS59" s="0"/>
      <c r="VZT59" s="0"/>
      <c r="VZU59" s="0"/>
      <c r="VZV59" s="0"/>
      <c r="VZW59" s="0"/>
      <c r="VZX59" s="0"/>
      <c r="VZY59" s="0"/>
      <c r="VZZ59" s="0"/>
      <c r="WAA59" s="0"/>
      <c r="WAB59" s="0"/>
      <c r="WAC59" s="0"/>
      <c r="WAD59" s="0"/>
      <c r="WAE59" s="0"/>
      <c r="WAF59" s="0"/>
      <c r="WAG59" s="0"/>
      <c r="WAH59" s="0"/>
      <c r="WAI59" s="0"/>
      <c r="WAJ59" s="0"/>
      <c r="WAK59" s="0"/>
      <c r="WAL59" s="0"/>
      <c r="WAM59" s="0"/>
      <c r="WAN59" s="0"/>
      <c r="WAO59" s="0"/>
      <c r="WAP59" s="0"/>
      <c r="WAQ59" s="0"/>
      <c r="WAR59" s="0"/>
      <c r="WAS59" s="0"/>
      <c r="WAT59" s="0"/>
      <c r="WAU59" s="0"/>
      <c r="WAV59" s="0"/>
      <c r="WAW59" s="0"/>
      <c r="WAX59" s="0"/>
      <c r="WAY59" s="0"/>
      <c r="WAZ59" s="0"/>
      <c r="WBA59" s="0"/>
      <c r="WBB59" s="0"/>
      <c r="WBC59" s="0"/>
      <c r="WBD59" s="0"/>
      <c r="WBE59" s="0"/>
      <c r="WBF59" s="0"/>
      <c r="WBG59" s="0"/>
      <c r="WBH59" s="0"/>
      <c r="WBI59" s="0"/>
      <c r="WBJ59" s="0"/>
      <c r="WBK59" s="0"/>
      <c r="WBL59" s="0"/>
      <c r="WBM59" s="0"/>
      <c r="WBN59" s="0"/>
      <c r="WBO59" s="0"/>
      <c r="WBP59" s="0"/>
      <c r="WBQ59" s="0"/>
      <c r="WBR59" s="0"/>
      <c r="WBS59" s="0"/>
      <c r="WBT59" s="0"/>
      <c r="WBU59" s="0"/>
      <c r="WBV59" s="0"/>
      <c r="WBW59" s="0"/>
      <c r="WBX59" s="0"/>
      <c r="WBY59" s="0"/>
      <c r="WBZ59" s="0"/>
      <c r="WCA59" s="0"/>
      <c r="WCB59" s="0"/>
      <c r="WCC59" s="0"/>
      <c r="WCD59" s="0"/>
      <c r="WCE59" s="0"/>
      <c r="WCF59" s="0"/>
      <c r="WCG59" s="0"/>
      <c r="WCH59" s="0"/>
      <c r="WCI59" s="0"/>
      <c r="WCJ59" s="0"/>
      <c r="WCK59" s="0"/>
      <c r="WCL59" s="0"/>
      <c r="WCM59" s="0"/>
      <c r="WCN59" s="0"/>
      <c r="WCO59" s="0"/>
      <c r="WCP59" s="0"/>
      <c r="WCQ59" s="0"/>
      <c r="WCR59" s="0"/>
      <c r="WCS59" s="0"/>
      <c r="WCT59" s="0"/>
      <c r="WCU59" s="0"/>
      <c r="WCV59" s="0"/>
      <c r="WCW59" s="0"/>
      <c r="WCX59" s="0"/>
      <c r="WCY59" s="0"/>
      <c r="WCZ59" s="0"/>
      <c r="WDA59" s="0"/>
      <c r="WDB59" s="0"/>
      <c r="WDC59" s="0"/>
      <c r="WDD59" s="0"/>
      <c r="WDE59" s="0"/>
      <c r="WDF59" s="0"/>
      <c r="WDG59" s="0"/>
      <c r="WDH59" s="0"/>
      <c r="WDI59" s="0"/>
      <c r="WDJ59" s="0"/>
      <c r="WDK59" s="0"/>
      <c r="WDL59" s="0"/>
      <c r="WDM59" s="0"/>
      <c r="WDN59" s="0"/>
      <c r="WDO59" s="0"/>
      <c r="WDP59" s="0"/>
      <c r="WDQ59" s="0"/>
      <c r="WDR59" s="0"/>
      <c r="WDS59" s="0"/>
      <c r="WDT59" s="0"/>
      <c r="WDU59" s="0"/>
      <c r="WDV59" s="0"/>
      <c r="WDW59" s="0"/>
      <c r="WDX59" s="0"/>
      <c r="WDY59" s="0"/>
      <c r="WDZ59" s="0"/>
      <c r="WEA59" s="0"/>
      <c r="WEB59" s="0"/>
      <c r="WEC59" s="0"/>
      <c r="WED59" s="0"/>
      <c r="WEE59" s="0"/>
      <c r="WEF59" s="0"/>
      <c r="WEG59" s="0"/>
      <c r="WEH59" s="0"/>
      <c r="WEI59" s="0"/>
      <c r="WEJ59" s="0"/>
      <c r="WEK59" s="0"/>
      <c r="WEL59" s="0"/>
      <c r="WEM59" s="0"/>
      <c r="WEN59" s="0"/>
      <c r="WEO59" s="0"/>
      <c r="WEP59" s="0"/>
      <c r="WEQ59" s="0"/>
      <c r="WER59" s="0"/>
      <c r="WES59" s="0"/>
      <c r="WET59" s="0"/>
      <c r="WEU59" s="0"/>
      <c r="WEV59" s="0"/>
      <c r="WEW59" s="0"/>
      <c r="WEX59" s="0"/>
      <c r="WEY59" s="0"/>
      <c r="WEZ59" s="0"/>
      <c r="WFA59" s="0"/>
      <c r="WFB59" s="0"/>
      <c r="WFC59" s="0"/>
      <c r="WFD59" s="0"/>
      <c r="WFE59" s="0"/>
      <c r="WFF59" s="0"/>
      <c r="WFG59" s="0"/>
      <c r="WFH59" s="0"/>
      <c r="WFI59" s="0"/>
      <c r="WFJ59" s="0"/>
      <c r="WFK59" s="0"/>
      <c r="WFL59" s="0"/>
      <c r="WFM59" s="0"/>
      <c r="WFN59" s="0"/>
      <c r="WFO59" s="0"/>
      <c r="WFP59" s="0"/>
      <c r="WFQ59" s="0"/>
      <c r="WFR59" s="0"/>
      <c r="WFS59" s="0"/>
      <c r="WFT59" s="0"/>
      <c r="WFU59" s="0"/>
      <c r="WFV59" s="0"/>
      <c r="WFW59" s="0"/>
      <c r="WFX59" s="0"/>
      <c r="WFY59" s="0"/>
      <c r="WFZ59" s="0"/>
      <c r="WGA59" s="0"/>
      <c r="WGB59" s="0"/>
      <c r="WGC59" s="0"/>
      <c r="WGD59" s="0"/>
      <c r="WGE59" s="0"/>
      <c r="WGF59" s="0"/>
      <c r="WGG59" s="0"/>
      <c r="WGH59" s="0"/>
      <c r="WGI59" s="0"/>
      <c r="WGJ59" s="0"/>
      <c r="WGK59" s="0"/>
      <c r="WGL59" s="0"/>
      <c r="WGM59" s="0"/>
      <c r="WGN59" s="0"/>
      <c r="WGO59" s="0"/>
      <c r="WGP59" s="0"/>
      <c r="WGQ59" s="0"/>
      <c r="WGR59" s="0"/>
      <c r="WGS59" s="0"/>
      <c r="WGT59" s="0"/>
      <c r="WGU59" s="0"/>
      <c r="WGV59" s="0"/>
      <c r="WGW59" s="0"/>
      <c r="WGX59" s="0"/>
      <c r="WGY59" s="0"/>
      <c r="WGZ59" s="0"/>
      <c r="WHA59" s="0"/>
      <c r="WHB59" s="0"/>
      <c r="WHC59" s="0"/>
      <c r="WHD59" s="0"/>
      <c r="WHE59" s="0"/>
      <c r="WHF59" s="0"/>
      <c r="WHG59" s="0"/>
      <c r="WHH59" s="0"/>
      <c r="WHI59" s="0"/>
      <c r="WHJ59" s="0"/>
      <c r="WHK59" s="0"/>
      <c r="WHL59" s="0"/>
      <c r="WHM59" s="0"/>
      <c r="WHN59" s="0"/>
      <c r="WHO59" s="0"/>
      <c r="WHP59" s="0"/>
      <c r="WHQ59" s="0"/>
      <c r="WHR59" s="0"/>
      <c r="WHS59" s="0"/>
      <c r="WHT59" s="0"/>
      <c r="WHU59" s="0"/>
      <c r="WHV59" s="0"/>
      <c r="WHW59" s="0"/>
      <c r="WHX59" s="0"/>
      <c r="WHY59" s="0"/>
      <c r="WHZ59" s="0"/>
      <c r="WIA59" s="0"/>
      <c r="WIB59" s="0"/>
      <c r="WIC59" s="0"/>
      <c r="WID59" s="0"/>
      <c r="WIE59" s="0"/>
      <c r="WIF59" s="0"/>
      <c r="WIG59" s="0"/>
      <c r="WIH59" s="0"/>
      <c r="WII59" s="0"/>
      <c r="WIJ59" s="0"/>
      <c r="WIK59" s="0"/>
      <c r="WIL59" s="0"/>
      <c r="WIM59" s="0"/>
      <c r="WIN59" s="0"/>
      <c r="WIO59" s="0"/>
      <c r="WIP59" s="0"/>
      <c r="WIQ59" s="0"/>
      <c r="WIR59" s="0"/>
      <c r="WIS59" s="0"/>
      <c r="WIT59" s="0"/>
      <c r="WIU59" s="0"/>
      <c r="WIV59" s="0"/>
      <c r="WIW59" s="0"/>
      <c r="WIX59" s="0"/>
      <c r="WIY59" s="0"/>
      <c r="WIZ59" s="0"/>
      <c r="WJA59" s="0"/>
      <c r="WJB59" s="0"/>
      <c r="WJC59" s="0"/>
      <c r="WJD59" s="0"/>
      <c r="WJE59" s="0"/>
      <c r="WJF59" s="0"/>
      <c r="WJG59" s="0"/>
      <c r="WJH59" s="0"/>
      <c r="WJI59" s="0"/>
      <c r="WJJ59" s="0"/>
      <c r="WJK59" s="0"/>
      <c r="WJL59" s="0"/>
      <c r="WJM59" s="0"/>
      <c r="WJN59" s="0"/>
      <c r="WJO59" s="0"/>
      <c r="WJP59" s="0"/>
      <c r="WJQ59" s="0"/>
      <c r="WJR59" s="0"/>
      <c r="WJS59" s="0"/>
      <c r="WJT59" s="0"/>
      <c r="WJU59" s="0"/>
      <c r="WJV59" s="0"/>
      <c r="WJW59" s="0"/>
      <c r="WJX59" s="0"/>
      <c r="WJY59" s="0"/>
      <c r="WJZ59" s="0"/>
      <c r="WKA59" s="0"/>
      <c r="WKB59" s="0"/>
      <c r="WKC59" s="0"/>
      <c r="WKD59" s="0"/>
      <c r="WKE59" s="0"/>
      <c r="WKF59" s="0"/>
      <c r="WKG59" s="0"/>
      <c r="WKH59" s="0"/>
      <c r="WKI59" s="0"/>
      <c r="WKJ59" s="0"/>
      <c r="WKK59" s="0"/>
      <c r="WKL59" s="0"/>
      <c r="WKM59" s="0"/>
      <c r="WKN59" s="0"/>
      <c r="WKO59" s="0"/>
      <c r="WKP59" s="0"/>
      <c r="WKQ59" s="0"/>
      <c r="WKR59" s="0"/>
      <c r="WKS59" s="0"/>
      <c r="WKT59" s="0"/>
      <c r="WKU59" s="0"/>
      <c r="WKV59" s="0"/>
      <c r="WKW59" s="0"/>
      <c r="WKX59" s="0"/>
      <c r="WKY59" s="0"/>
      <c r="WKZ59" s="0"/>
      <c r="WLA59" s="0"/>
      <c r="WLB59" s="0"/>
      <c r="WLC59" s="0"/>
      <c r="WLD59" s="0"/>
      <c r="WLE59" s="0"/>
      <c r="WLF59" s="0"/>
      <c r="WLG59" s="0"/>
      <c r="WLH59" s="0"/>
      <c r="WLI59" s="0"/>
      <c r="WLJ59" s="0"/>
      <c r="WLK59" s="0"/>
      <c r="WLL59" s="0"/>
      <c r="WLM59" s="0"/>
      <c r="WLN59" s="0"/>
      <c r="WLO59" s="0"/>
      <c r="WLP59" s="0"/>
      <c r="WLQ59" s="0"/>
      <c r="WLR59" s="0"/>
      <c r="WLS59" s="0"/>
      <c r="WLT59" s="0"/>
      <c r="WLU59" s="0"/>
      <c r="WLV59" s="0"/>
      <c r="WLW59" s="0"/>
      <c r="WLX59" s="0"/>
      <c r="WLY59" s="0"/>
      <c r="WLZ59" s="0"/>
      <c r="WMA59" s="0"/>
      <c r="WMB59" s="0"/>
      <c r="WMC59" s="0"/>
      <c r="WMD59" s="0"/>
      <c r="WME59" s="0"/>
      <c r="WMF59" s="0"/>
      <c r="WMG59" s="0"/>
      <c r="WMH59" s="0"/>
      <c r="WMI59" s="0"/>
      <c r="WMJ59" s="0"/>
      <c r="WMK59" s="0"/>
      <c r="WML59" s="0"/>
      <c r="WMM59" s="0"/>
      <c r="WMN59" s="0"/>
      <c r="WMO59" s="0"/>
      <c r="WMP59" s="0"/>
      <c r="WMQ59" s="0"/>
      <c r="WMR59" s="0"/>
      <c r="WMS59" s="0"/>
      <c r="WMT59" s="0"/>
      <c r="WMU59" s="0"/>
      <c r="WMV59" s="0"/>
      <c r="WMW59" s="0"/>
      <c r="WMX59" s="0"/>
      <c r="WMY59" s="0"/>
      <c r="WMZ59" s="0"/>
      <c r="WNA59" s="0"/>
      <c r="WNB59" s="0"/>
      <c r="WNC59" s="0"/>
      <c r="WND59" s="0"/>
      <c r="WNE59" s="0"/>
      <c r="WNF59" s="0"/>
      <c r="WNG59" s="0"/>
      <c r="WNH59" s="0"/>
      <c r="WNI59" s="0"/>
      <c r="WNJ59" s="0"/>
      <c r="WNK59" s="0"/>
      <c r="WNL59" s="0"/>
      <c r="WNM59" s="0"/>
      <c r="WNN59" s="0"/>
      <c r="WNO59" s="0"/>
      <c r="WNP59" s="0"/>
      <c r="WNQ59" s="0"/>
      <c r="WNR59" s="0"/>
      <c r="WNS59" s="0"/>
      <c r="WNT59" s="0"/>
      <c r="WNU59" s="0"/>
      <c r="WNV59" s="0"/>
      <c r="WNW59" s="0"/>
      <c r="WNX59" s="0"/>
      <c r="WNY59" s="0"/>
      <c r="WNZ59" s="0"/>
      <c r="WOA59" s="0"/>
      <c r="WOB59" s="0"/>
      <c r="WOC59" s="0"/>
      <c r="WOD59" s="0"/>
      <c r="WOE59" s="0"/>
      <c r="WOF59" s="0"/>
      <c r="WOG59" s="0"/>
      <c r="WOH59" s="0"/>
      <c r="WOI59" s="0"/>
      <c r="WOJ59" s="0"/>
      <c r="WOK59" s="0"/>
      <c r="WOL59" s="0"/>
      <c r="WOM59" s="0"/>
      <c r="WON59" s="0"/>
      <c r="WOO59" s="0"/>
      <c r="WOP59" s="0"/>
      <c r="WOQ59" s="0"/>
      <c r="WOR59" s="0"/>
      <c r="WOS59" s="0"/>
      <c r="WOT59" s="0"/>
      <c r="WOU59" s="0"/>
      <c r="WOV59" s="0"/>
      <c r="WOW59" s="0"/>
      <c r="WOX59" s="0"/>
      <c r="WOY59" s="0"/>
      <c r="WOZ59" s="0"/>
      <c r="WPA59" s="0"/>
      <c r="WPB59" s="0"/>
      <c r="WPC59" s="0"/>
      <c r="WPD59" s="0"/>
      <c r="WPE59" s="0"/>
      <c r="WPF59" s="0"/>
      <c r="WPG59" s="0"/>
      <c r="WPH59" s="0"/>
      <c r="WPI59" s="0"/>
      <c r="WPJ59" s="0"/>
      <c r="WPK59" s="0"/>
      <c r="WPL59" s="0"/>
      <c r="WPM59" s="0"/>
      <c r="WPN59" s="0"/>
      <c r="WPO59" s="0"/>
      <c r="WPP59" s="0"/>
      <c r="WPQ59" s="0"/>
      <c r="WPR59" s="0"/>
      <c r="WPS59" s="0"/>
      <c r="WPT59" s="0"/>
      <c r="WPU59" s="0"/>
      <c r="WPV59" s="0"/>
      <c r="WPW59" s="0"/>
      <c r="WPX59" s="0"/>
      <c r="WPY59" s="0"/>
      <c r="WPZ59" s="0"/>
      <c r="WQA59" s="0"/>
      <c r="WQB59" s="0"/>
      <c r="WQC59" s="0"/>
      <c r="WQD59" s="0"/>
      <c r="WQE59" s="0"/>
      <c r="WQF59" s="0"/>
      <c r="WQG59" s="0"/>
      <c r="WQH59" s="0"/>
      <c r="WQI59" s="0"/>
      <c r="WQJ59" s="0"/>
      <c r="WQK59" s="0"/>
      <c r="WQL59" s="0"/>
      <c r="WQM59" s="0"/>
      <c r="WQN59" s="0"/>
      <c r="WQO59" s="0"/>
      <c r="WQP59" s="0"/>
      <c r="WQQ59" s="0"/>
      <c r="WQR59" s="0"/>
      <c r="WQS59" s="0"/>
      <c r="WQT59" s="0"/>
      <c r="WQU59" s="0"/>
      <c r="WQV59" s="0"/>
      <c r="WQW59" s="0"/>
      <c r="WQX59" s="0"/>
      <c r="WQY59" s="0"/>
      <c r="WQZ59" s="0"/>
      <c r="WRA59" s="0"/>
      <c r="WRB59" s="0"/>
      <c r="WRC59" s="0"/>
      <c r="WRD59" s="0"/>
      <c r="WRE59" s="0"/>
      <c r="WRF59" s="0"/>
      <c r="WRG59" s="0"/>
      <c r="WRH59" s="0"/>
      <c r="WRI59" s="0"/>
      <c r="WRJ59" s="0"/>
      <c r="WRK59" s="0"/>
      <c r="WRL59" s="0"/>
      <c r="WRM59" s="0"/>
      <c r="WRN59" s="0"/>
      <c r="WRO59" s="0"/>
      <c r="WRP59" s="0"/>
      <c r="WRQ59" s="0"/>
      <c r="WRR59" s="0"/>
      <c r="WRS59" s="0"/>
      <c r="WRT59" s="0"/>
      <c r="WRU59" s="0"/>
      <c r="WRV59" s="0"/>
      <c r="WRW59" s="0"/>
      <c r="WRX59" s="0"/>
      <c r="WRY59" s="0"/>
      <c r="WRZ59" s="0"/>
      <c r="WSA59" s="0"/>
      <c r="WSB59" s="0"/>
      <c r="WSC59" s="0"/>
      <c r="WSD59" s="0"/>
      <c r="WSE59" s="0"/>
      <c r="WSF59" s="0"/>
      <c r="WSG59" s="0"/>
      <c r="WSH59" s="0"/>
      <c r="WSI59" s="0"/>
      <c r="WSJ59" s="0"/>
      <c r="WSK59" s="0"/>
      <c r="WSL59" s="0"/>
      <c r="WSM59" s="0"/>
      <c r="WSN59" s="0"/>
      <c r="WSO59" s="0"/>
      <c r="WSP59" s="0"/>
      <c r="WSQ59" s="0"/>
      <c r="WSR59" s="0"/>
      <c r="WSS59" s="0"/>
      <c r="WST59" s="0"/>
      <c r="WSU59" s="0"/>
      <c r="WSV59" s="0"/>
      <c r="WSW59" s="0"/>
      <c r="WSX59" s="0"/>
      <c r="WSY59" s="0"/>
      <c r="WSZ59" s="0"/>
      <c r="WTA59" s="0"/>
      <c r="WTB59" s="0"/>
      <c r="WTC59" s="0"/>
      <c r="WTD59" s="0"/>
      <c r="WTE59" s="0"/>
      <c r="WTF59" s="0"/>
      <c r="WTG59" s="0"/>
      <c r="WTH59" s="0"/>
      <c r="WTI59" s="0"/>
      <c r="WTJ59" s="0"/>
      <c r="WTK59" s="0"/>
      <c r="WTL59" s="0"/>
      <c r="WTM59" s="0"/>
      <c r="WTN59" s="0"/>
      <c r="WTO59" s="0"/>
      <c r="WTP59" s="0"/>
      <c r="WTQ59" s="0"/>
      <c r="WTR59" s="0"/>
      <c r="WTS59" s="0"/>
      <c r="WTT59" s="0"/>
      <c r="WTU59" s="0"/>
      <c r="WTV59" s="0"/>
      <c r="WTW59" s="0"/>
      <c r="WTX59" s="0"/>
      <c r="WTY59" s="0"/>
      <c r="WTZ59" s="0"/>
      <c r="WUA59" s="0"/>
      <c r="WUB59" s="0"/>
      <c r="WUC59" s="0"/>
      <c r="WUD59" s="0"/>
      <c r="WUE59" s="0"/>
      <c r="WUF59" s="0"/>
      <c r="WUG59" s="0"/>
      <c r="WUH59" s="0"/>
      <c r="WUI59" s="0"/>
      <c r="WUJ59" s="0"/>
      <c r="WUK59" s="0"/>
      <c r="WUL59" s="0"/>
      <c r="WUM59" s="0"/>
      <c r="WUN59" s="0"/>
      <c r="WUO59" s="0"/>
      <c r="WUP59" s="0"/>
      <c r="WUQ59" s="0"/>
      <c r="WUR59" s="0"/>
      <c r="WUS59" s="0"/>
      <c r="WUT59" s="0"/>
      <c r="WUU59" s="0"/>
      <c r="WUV59" s="0"/>
      <c r="WUW59" s="0"/>
      <c r="WUX59" s="0"/>
      <c r="WUY59" s="0"/>
      <c r="WUZ59" s="0"/>
      <c r="WVA59" s="0"/>
      <c r="WVB59" s="0"/>
      <c r="WVC59" s="0"/>
      <c r="WVD59" s="0"/>
      <c r="WVE59" s="0"/>
      <c r="WVF59" s="0"/>
      <c r="WVG59" s="0"/>
      <c r="WVH59" s="0"/>
      <c r="WVI59" s="0"/>
      <c r="WVJ59" s="0"/>
      <c r="WVK59" s="0"/>
      <c r="WVL59" s="0"/>
      <c r="WVM59" s="0"/>
      <c r="WVN59" s="0"/>
      <c r="WVO59" s="0"/>
      <c r="WVP59" s="0"/>
      <c r="WVQ59" s="0"/>
      <c r="WVR59" s="0"/>
      <c r="WVS59" s="0"/>
      <c r="WVT59" s="0"/>
      <c r="WVU59" s="0"/>
      <c r="WVV59" s="0"/>
      <c r="WVW59" s="0"/>
      <c r="WVX59" s="0"/>
      <c r="WVY59" s="0"/>
      <c r="WVZ59" s="0"/>
      <c r="WWA59" s="0"/>
      <c r="WWB59" s="0"/>
      <c r="WWC59" s="0"/>
      <c r="WWD59" s="0"/>
      <c r="WWE59" s="0"/>
      <c r="WWF59" s="0"/>
      <c r="WWG59" s="0"/>
      <c r="WWH59" s="0"/>
      <c r="WWI59" s="0"/>
      <c r="WWJ59" s="0"/>
      <c r="WWK59" s="0"/>
      <c r="WWL59" s="0"/>
      <c r="WWM59" s="0"/>
      <c r="WWN59" s="0"/>
      <c r="WWO59" s="0"/>
      <c r="WWP59" s="0"/>
      <c r="WWQ59" s="0"/>
      <c r="WWR59" s="0"/>
      <c r="WWS59" s="0"/>
      <c r="WWT59" s="0"/>
      <c r="WWU59" s="0"/>
      <c r="WWV59" s="0"/>
      <c r="WWW59" s="0"/>
      <c r="WWX59" s="0"/>
      <c r="WWY59" s="0"/>
      <c r="WWZ59" s="0"/>
      <c r="WXA59" s="0"/>
      <c r="WXB59" s="0"/>
      <c r="WXC59" s="0"/>
      <c r="WXD59" s="0"/>
      <c r="WXE59" s="0"/>
      <c r="WXF59" s="0"/>
      <c r="WXG59" s="0"/>
      <c r="WXH59" s="0"/>
      <c r="WXI59" s="0"/>
      <c r="WXJ59" s="0"/>
      <c r="WXK59" s="0"/>
      <c r="WXL59" s="0"/>
      <c r="WXM59" s="0"/>
      <c r="WXN59" s="0"/>
      <c r="WXO59" s="0"/>
      <c r="WXP59" s="0"/>
      <c r="WXQ59" s="0"/>
      <c r="WXR59" s="0"/>
      <c r="WXS59" s="0"/>
      <c r="WXT59" s="0"/>
      <c r="WXU59" s="0"/>
      <c r="WXV59" s="0"/>
      <c r="WXW59" s="0"/>
      <c r="WXX59" s="0"/>
      <c r="WXY59" s="0"/>
      <c r="WXZ59" s="0"/>
      <c r="WYA59" s="0"/>
      <c r="WYB59" s="0"/>
      <c r="WYC59" s="0"/>
      <c r="WYD59" s="0"/>
      <c r="WYE59" s="0"/>
      <c r="WYF59" s="0"/>
      <c r="WYG59" s="0"/>
      <c r="WYH59" s="0"/>
      <c r="WYI59" s="0"/>
      <c r="WYJ59" s="0"/>
      <c r="WYK59" s="0"/>
      <c r="WYL59" s="0"/>
      <c r="WYM59" s="0"/>
      <c r="WYN59" s="0"/>
      <c r="WYO59" s="0"/>
      <c r="WYP59" s="0"/>
      <c r="WYQ59" s="0"/>
      <c r="WYR59" s="0"/>
      <c r="WYS59" s="0"/>
      <c r="WYT59" s="0"/>
      <c r="WYU59" s="0"/>
      <c r="WYV59" s="0"/>
      <c r="WYW59" s="0"/>
      <c r="WYX59" s="0"/>
      <c r="WYY59" s="0"/>
      <c r="WYZ59" s="0"/>
      <c r="WZA59" s="0"/>
      <c r="WZB59" s="0"/>
      <c r="WZC59" s="0"/>
      <c r="WZD59" s="0"/>
      <c r="WZE59" s="0"/>
      <c r="WZF59" s="0"/>
      <c r="WZG59" s="0"/>
      <c r="WZH59" s="0"/>
      <c r="WZI59" s="0"/>
      <c r="WZJ59" s="0"/>
      <c r="WZK59" s="0"/>
      <c r="WZL59" s="0"/>
      <c r="WZM59" s="0"/>
      <c r="WZN59" s="0"/>
      <c r="WZO59" s="0"/>
      <c r="WZP59" s="0"/>
      <c r="WZQ59" s="0"/>
      <c r="WZR59" s="0"/>
      <c r="WZS59" s="0"/>
      <c r="WZT59" s="0"/>
      <c r="WZU59" s="0"/>
      <c r="WZV59" s="0"/>
      <c r="WZW59" s="0"/>
      <c r="WZX59" s="0"/>
      <c r="WZY59" s="0"/>
      <c r="WZZ59" s="0"/>
      <c r="XAA59" s="0"/>
      <c r="XAB59" s="0"/>
      <c r="XAC59" s="0"/>
      <c r="XAD59" s="0"/>
      <c r="XAE59" s="0"/>
      <c r="XAF59" s="0"/>
      <c r="XAG59" s="0"/>
      <c r="XAH59" s="0"/>
      <c r="XAI59" s="0"/>
      <c r="XAJ59" s="0"/>
      <c r="XAK59" s="0"/>
      <c r="XAL59" s="0"/>
      <c r="XAM59" s="0"/>
      <c r="XAN59" s="0"/>
      <c r="XAO59" s="0"/>
      <c r="XAP59" s="0"/>
      <c r="XAQ59" s="0"/>
      <c r="XAR59" s="0"/>
      <c r="XAS59" s="0"/>
      <c r="XAT59" s="0"/>
      <c r="XAU59" s="0"/>
      <c r="XAV59" s="0"/>
      <c r="XAW59" s="0"/>
      <c r="XAX59" s="0"/>
      <c r="XAY59" s="0"/>
      <c r="XAZ59" s="0"/>
      <c r="XBA59" s="0"/>
      <c r="XBB59" s="0"/>
      <c r="XBC59" s="0"/>
      <c r="XBD59" s="0"/>
      <c r="XBE59" s="0"/>
      <c r="XBF59" s="0"/>
      <c r="XBG59" s="0"/>
      <c r="XBH59" s="0"/>
      <c r="XBI59" s="0"/>
      <c r="XBJ59" s="0"/>
      <c r="XBK59" s="0"/>
      <c r="XBL59" s="0"/>
      <c r="XBM59" s="0"/>
      <c r="XBN59" s="0"/>
      <c r="XBO59" s="0"/>
      <c r="XBP59" s="0"/>
      <c r="XBQ59" s="0"/>
      <c r="XBR59" s="0"/>
      <c r="XBS59" s="0"/>
      <c r="XBT59" s="0"/>
      <c r="XBU59" s="0"/>
      <c r="XBV59" s="0"/>
      <c r="XBW59" s="0"/>
      <c r="XBX59" s="0"/>
      <c r="XBY59" s="0"/>
      <c r="XBZ59" s="0"/>
      <c r="XCA59" s="0"/>
      <c r="XCB59" s="0"/>
      <c r="XCC59" s="0"/>
      <c r="XCD59" s="0"/>
      <c r="XCE59" s="0"/>
      <c r="XCF59" s="0"/>
      <c r="XCG59" s="0"/>
      <c r="XCH59" s="0"/>
      <c r="XCI59" s="0"/>
      <c r="XCJ59" s="0"/>
      <c r="XCK59" s="0"/>
      <c r="XCL59" s="0"/>
      <c r="XCM59" s="0"/>
      <c r="XCN59" s="0"/>
      <c r="XCO59" s="0"/>
      <c r="XCP59" s="0"/>
      <c r="XCQ59" s="0"/>
      <c r="XCR59" s="0"/>
      <c r="XCS59" s="0"/>
      <c r="XCT59" s="0"/>
      <c r="XCU59" s="0"/>
      <c r="XCV59" s="0"/>
      <c r="XCW59" s="0"/>
      <c r="XCX59" s="0"/>
      <c r="XCY59" s="0"/>
      <c r="XCZ59" s="0"/>
      <c r="XDA59" s="0"/>
      <c r="XDB59" s="0"/>
      <c r="XDC59" s="0"/>
      <c r="XDD59" s="0"/>
      <c r="XDE59" s="0"/>
      <c r="XDF59" s="0"/>
      <c r="XDG59" s="0"/>
      <c r="XDH59" s="0"/>
      <c r="XDI59" s="0"/>
      <c r="XDJ59" s="0"/>
      <c r="XDK59" s="0"/>
      <c r="XDL59" s="0"/>
      <c r="XDM59" s="0"/>
      <c r="XDN59" s="0"/>
      <c r="XDO59" s="0"/>
      <c r="XDP59" s="0"/>
      <c r="XDQ59" s="0"/>
      <c r="XDR59" s="0"/>
      <c r="XDS59" s="0"/>
      <c r="XDT59" s="0"/>
      <c r="XDU59" s="0"/>
      <c r="XDV59" s="0"/>
      <c r="XDW59" s="0"/>
      <c r="XDX59" s="0"/>
      <c r="XDY59" s="0"/>
      <c r="XDZ59" s="0"/>
      <c r="XEA59" s="0"/>
      <c r="XEB59" s="0"/>
      <c r="XEC59" s="0"/>
      <c r="XED59" s="0"/>
      <c r="XEE59" s="0"/>
      <c r="XEF59" s="0"/>
      <c r="XEG59" s="0"/>
      <c r="XEH59" s="0"/>
      <c r="XEI59" s="0"/>
      <c r="XEJ59" s="0"/>
      <c r="XEK59" s="0"/>
      <c r="XEL59" s="0"/>
      <c r="XEM59" s="0"/>
      <c r="XEN59" s="0"/>
      <c r="XEO59" s="0"/>
      <c r="XEP59" s="0"/>
      <c r="XEQ59" s="0"/>
      <c r="XER59" s="0"/>
      <c r="XES59" s="0"/>
      <c r="XET59" s="0"/>
      <c r="XEU59" s="0"/>
      <c r="XEV59" s="0"/>
      <c r="XEW59" s="0"/>
      <c r="XEX59" s="0"/>
      <c r="XEY59" s="0"/>
      <c r="XEZ59" s="0"/>
      <c r="XFA59" s="0"/>
      <c r="XFB59" s="0"/>
      <c r="XFC59" s="0"/>
      <c r="XFD59" s="0"/>
    </row>
    <row r="60" customFormat="false" ht="13.8" hidden="false" customHeight="false" outlineLevel="0" collapsed="false">
      <c r="A60" s="0" t="s">
        <v>387</v>
      </c>
      <c r="B60" s="0" t="s">
        <v>402</v>
      </c>
      <c r="C60" s="0" t="n">
        <v>443</v>
      </c>
      <c r="D60" s="0" t="n">
        <v>440</v>
      </c>
      <c r="E60" s="0" t="n">
        <v>483</v>
      </c>
      <c r="F60" s="0" t="s">
        <v>89</v>
      </c>
      <c r="G60" s="0" t="s">
        <v>90</v>
      </c>
      <c r="H60" s="0" t="s">
        <v>152</v>
      </c>
      <c r="I60" s="0" t="s">
        <v>153</v>
      </c>
      <c r="J60" s="0" t="n">
        <v>2003</v>
      </c>
      <c r="K60" s="0"/>
      <c r="L60" s="0"/>
      <c r="M60" s="0" t="n">
        <v>9</v>
      </c>
      <c r="N60" s="0" t="n">
        <f aca="false">750*M60</f>
        <v>6750</v>
      </c>
      <c r="O60" s="27"/>
      <c r="P60" s="28"/>
      <c r="Q60" s="28"/>
      <c r="R60" s="28"/>
      <c r="S60" s="28"/>
      <c r="T60" s="28"/>
      <c r="U60" s="28"/>
      <c r="V60" s="28"/>
      <c r="W60" s="0" t="n">
        <f aca="false">W59+(37.3*2)</f>
        <v>373</v>
      </c>
      <c r="X60" s="27"/>
      <c r="Y60" s="0" t="n">
        <v>5</v>
      </c>
      <c r="Z60" s="0" t="n">
        <f aca="false">54*M60</f>
        <v>486</v>
      </c>
      <c r="AA60" s="29" t="n">
        <f aca="false">IF(AND(W60&gt;0,Z60&gt;0),(Z60/((W60+X60)*10)),"")</f>
        <v>0.13029490616622</v>
      </c>
      <c r="AB60" s="0" t="n">
        <v>125</v>
      </c>
      <c r="AC60" s="0" t="n">
        <f aca="false">ROUND(AB60*1.6, 0)</f>
        <v>200</v>
      </c>
      <c r="AD60" s="0"/>
      <c r="AE60" s="0"/>
      <c r="AF60" s="0" t="n">
        <v>23.8</v>
      </c>
      <c r="AG60" s="0" t="n">
        <v>23.8</v>
      </c>
      <c r="AH60" s="0" t="n">
        <v>2.73</v>
      </c>
      <c r="AI60" s="0"/>
      <c r="AJ60" s="30" t="n">
        <v>51</v>
      </c>
      <c r="AK60" s="0" t="str">
        <f aca="false">CONCATENATE(VLOOKUP(AL60, 'Voxel Sizes'!$A$2:$B$18,2,FALSE()),"x",INT(AH60*15), "x", INT(AI60*15))</f>
        <v>238x40x0</v>
      </c>
      <c r="AL60" s="0" t="n">
        <f aca="false">ROUND(15*((AG60*10)/256),0)</f>
        <v>14</v>
      </c>
      <c r="AM60" s="0"/>
      <c r="AN60" s="1" t="str">
        <f aca="false">CONCATENATE(VLOOKUP(AL60,Constants!$A$2:$C$16,IF(AM60&lt;&gt;"", 3, 2), FALSE()),IF(AM60&lt;&gt;"",CONCATENATE(",",VLOOKUP(AM60,$B:$AN,38,FALSE())),""))</f>
        <v>4,6,4</v>
      </c>
      <c r="AO60" s="0"/>
      <c r="AP60" s="31"/>
      <c r="AQ60" s="31"/>
      <c r="AR60" s="0" t="s">
        <v>403</v>
      </c>
      <c r="AS60" s="0"/>
      <c r="AT60" s="0" t="s">
        <v>404</v>
      </c>
      <c r="AU60" s="0" t="s">
        <v>390</v>
      </c>
      <c r="AV60" s="0"/>
      <c r="AW60" s="0"/>
      <c r="AX60" s="0" t="n">
        <v>29</v>
      </c>
      <c r="AY60" s="32" t="str">
        <f aca="false">IF(L60&lt;&gt;"",MAX(16,(L60-J60)+8),"")</f>
        <v/>
      </c>
      <c r="AZ60" s="0" t="n">
        <v>-15</v>
      </c>
      <c r="BA60" s="0" t="n">
        <v>-35</v>
      </c>
      <c r="BB60" s="0" t="n">
        <f aca="false">MIN(AB60/150, 1)*30</f>
        <v>25</v>
      </c>
      <c r="BC60" s="0" t="n">
        <f aca="false">MIN(N60/4000, 1)*20</f>
        <v>20</v>
      </c>
      <c r="BD60" s="0" t="n">
        <f aca="false">MIN(Z60/400,1)*20</f>
        <v>20</v>
      </c>
      <c r="BE60" s="29" t="n">
        <f aca="false">1-(MAX(J60-1900, 0)/750)</f>
        <v>0.862666666666667</v>
      </c>
      <c r="BF60" s="0" t="n">
        <f aca="false">((MAX($M60,1)*MIN($AJ60/300,1)))*IF(G60="Wagon",50,10)</f>
        <v>15.3</v>
      </c>
      <c r="BG60" s="1" t="n">
        <f aca="false">VLOOKUP($H60,Constants!$I:$K, 2, FALSE())</f>
        <v>1</v>
      </c>
      <c r="BH60" s="1" t="n">
        <f aca="false">VLOOKUP($H60,Constants!$I:$K, 3, FALSE())*IF(AND(G60="multiple_unit",AB60&lt;110),0.75,1)</f>
        <v>2</v>
      </c>
      <c r="BI60" s="1" t="n">
        <f aca="false">INT(POWER(((Constants!$G$2+$BB60+$BC60+$BD60+$BF60)*$BE60)*$BH60, 1.05))+$BA60</f>
        <v>153</v>
      </c>
      <c r="BJ60" s="1" t="n">
        <f aca="false">INT(POWER((((Constants!$G$1+$BB60+$BC60+$BD60+$BF60)*($BE60))*$BG60),IF($G60="wagon",1,1.2)))+$AZ60</f>
        <v>183</v>
      </c>
      <c r="BK60" s="33" t="n">
        <f aca="false">BI60*IF($G60="wagon",62.5,781.25)</f>
        <v>119531.25</v>
      </c>
      <c r="BL60" s="33" t="n">
        <f aca="false">BJ60*IF($G60="wagon",2.73,81.25)</f>
        <v>14868.75</v>
      </c>
      <c r="BM60" s="0"/>
      <c r="BN60" s="0"/>
      <c r="BO60" s="0"/>
      <c r="BP60" s="0"/>
      <c r="BQ60" s="0" t="s">
        <v>405</v>
      </c>
      <c r="BR60" s="0"/>
      <c r="BS60" s="1" t="s">
        <v>401</v>
      </c>
      <c r="BT60" s="0" t="n">
        <v>10</v>
      </c>
      <c r="BU60" s="0" t="n">
        <v>205</v>
      </c>
      <c r="BV60" s="0"/>
      <c r="BW60" s="0"/>
      <c r="BX60" s="0" t="s">
        <v>95</v>
      </c>
      <c r="BY60" s="1" t="s">
        <v>371</v>
      </c>
      <c r="BZ60" s="34" t="s">
        <v>211</v>
      </c>
      <c r="CA60" s="0" t="str">
        <f aca="false">CONCATENATE(BY60,"_",BZ60)</f>
        <v>prv_DMU (Express)</v>
      </c>
      <c r="CB60" s="0" t="str">
        <f aca="false">_xlfn.CONCAT(H60, "_",I60)</f>
        <v>diesel_RAIL</v>
      </c>
      <c r="CC60" s="20" t="str">
        <f aca="false">_xlfn.CONCAT("{BLACK}Length: {GOLD}", TEXT(ROUNDUP(IF(AQ60&lt;&gt;"",SUM(VALUE(_xlfn.TEXTSPLIT(AQ60, ","))), SUM(VALUE(_xlfn.TEXTSPLIT(AN60, ",")))*IF(M60, M60, 1))/16, 1), "#,##0.0"), " tiles{}")</f>
        <v>{BLACK}Length: {GOLD}7.9 tiles{}</v>
      </c>
      <c r="CD60" s="1" t="str">
        <f aca="false">VLOOKUP($CB60, Constants!$M:$N, 2, FALSE())</f>
        <v>{BLACK}Powered by: {GOLD}Diesel</v>
      </c>
      <c r="CE60" s="1" t="str">
        <f aca="false">IF(M60&gt;1,_xlfn.CONCAT("{BLACK}Cars: {GOLD}", M60),"")</f>
        <v>{BLACK}Cars: {GOLD}9</v>
      </c>
      <c r="CF60" s="0" t="s">
        <v>392</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{YELLOW}10% bonus for long distance travel{}</v>
      </c>
      <c r="CH60" s="1" t="str">
        <f aca="false">_xlfn.CONCAT(CD60,IF(CD60 &lt;&gt; "", " ", ""),CE60,IF(OR(CE60&lt;&gt;"", CD60&lt;&gt;""), "{}",""), CC60, CG60,"{SILVER}", CF60)</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c r="CI60" s="0"/>
      <c r="CJ60" s="0"/>
      <c r="CK60" s="0"/>
      <c r="CL60" s="0"/>
      <c r="CM60" s="0"/>
      <c r="CN60" s="0"/>
      <c r="CO60" s="0"/>
      <c r="CP60" s="0"/>
      <c r="CQ60" s="0"/>
      <c r="CR60" s="0"/>
      <c r="CS60" s="0"/>
      <c r="CT60" s="0"/>
      <c r="CU60" s="0"/>
      <c r="CV60" s="0"/>
      <c r="CW60" s="0"/>
      <c r="CX60" s="0"/>
      <c r="CY60" s="0"/>
      <c r="CZ60" s="0"/>
      <c r="DA60" s="0"/>
      <c r="DB60" s="0"/>
      <c r="DC60" s="0"/>
      <c r="DD60" s="0"/>
      <c r="DE60" s="0"/>
      <c r="DF60" s="0"/>
      <c r="DG60" s="0"/>
      <c r="DH60" s="0"/>
      <c r="DI60" s="0"/>
      <c r="DJ60" s="0"/>
      <c r="DK60" s="0"/>
      <c r="DL60" s="0"/>
      <c r="DM60" s="0"/>
      <c r="DN60" s="0"/>
      <c r="DO60" s="0"/>
      <c r="DP60" s="0"/>
      <c r="DQ60" s="0"/>
      <c r="DR60" s="0"/>
      <c r="DS60" s="0"/>
      <c r="DT60" s="0"/>
      <c r="DU60" s="0"/>
      <c r="DV60" s="0"/>
      <c r="DW60" s="0"/>
      <c r="DX60" s="0"/>
      <c r="DY60" s="0"/>
      <c r="DZ60" s="0"/>
      <c r="EA60" s="0"/>
      <c r="EB60" s="0"/>
      <c r="EC60" s="0"/>
      <c r="ED60" s="0"/>
      <c r="EE60" s="0"/>
      <c r="EF60" s="0"/>
      <c r="EG60" s="0"/>
      <c r="EH60" s="0"/>
      <c r="EI60" s="0"/>
      <c r="EJ60" s="0"/>
      <c r="EK60" s="0"/>
      <c r="EL60" s="0"/>
      <c r="EM60" s="0"/>
      <c r="EN60" s="0"/>
      <c r="EO60" s="0"/>
      <c r="EP60" s="0"/>
      <c r="EQ60" s="0"/>
      <c r="ER60" s="0"/>
      <c r="ES60" s="0"/>
      <c r="ET60" s="0"/>
      <c r="EU60" s="0"/>
      <c r="EV60" s="0"/>
      <c r="EW60" s="0"/>
      <c r="EX60" s="0"/>
      <c r="EY60" s="0"/>
      <c r="EZ60" s="0"/>
      <c r="FA60" s="0"/>
      <c r="FB60" s="0"/>
      <c r="FC60" s="0"/>
      <c r="FD60" s="0"/>
      <c r="FE60" s="0"/>
      <c r="FF60" s="0"/>
      <c r="FG60" s="0"/>
      <c r="FH60" s="0"/>
      <c r="FI60" s="0"/>
      <c r="FJ60" s="0"/>
      <c r="FK60" s="0"/>
      <c r="FL60" s="0"/>
      <c r="FM60" s="0"/>
      <c r="FN60" s="0"/>
      <c r="FO60" s="0"/>
      <c r="FP60" s="0"/>
      <c r="FQ60" s="0"/>
      <c r="FR60" s="0"/>
      <c r="FS60" s="0"/>
      <c r="FT60" s="0"/>
      <c r="FU60" s="0"/>
      <c r="FV60" s="0"/>
      <c r="FW60" s="0"/>
      <c r="FX60" s="0"/>
      <c r="FY60" s="0"/>
      <c r="FZ60" s="0"/>
      <c r="GA60" s="0"/>
      <c r="GB60" s="0"/>
      <c r="GC60" s="0"/>
      <c r="GD60" s="0"/>
      <c r="GE60" s="0"/>
      <c r="GF60" s="0"/>
      <c r="GG60" s="0"/>
      <c r="GH60" s="0"/>
      <c r="GI60" s="0"/>
      <c r="GJ60" s="0"/>
      <c r="GK60" s="0"/>
      <c r="GL60" s="0"/>
      <c r="GM60" s="0"/>
      <c r="GN60" s="0"/>
      <c r="GO60" s="0"/>
      <c r="GP60" s="0"/>
      <c r="GQ60" s="0"/>
      <c r="GR60" s="0"/>
      <c r="GS60" s="0"/>
      <c r="GT60" s="0"/>
      <c r="GU60" s="0"/>
      <c r="GV60" s="0"/>
      <c r="GW60" s="0"/>
      <c r="GX60" s="0"/>
      <c r="GY60" s="0"/>
      <c r="GZ60" s="0"/>
      <c r="HA60" s="0"/>
      <c r="HB60" s="0"/>
      <c r="HC60" s="0"/>
      <c r="HD60" s="0"/>
      <c r="HE60" s="0"/>
      <c r="HF60" s="0"/>
      <c r="HG60" s="0"/>
      <c r="HH60" s="0"/>
      <c r="HI60" s="0"/>
      <c r="HJ60" s="0"/>
      <c r="HK60" s="0"/>
      <c r="HL60" s="0"/>
      <c r="HM60" s="0"/>
      <c r="HN60" s="0"/>
      <c r="HO60" s="0"/>
      <c r="HP60" s="0"/>
      <c r="HQ60" s="0"/>
      <c r="HR60" s="0"/>
      <c r="HS60" s="0"/>
      <c r="HT60" s="0"/>
      <c r="HU60" s="0"/>
      <c r="HV60" s="0"/>
      <c r="HW60" s="0"/>
      <c r="HX60" s="0"/>
      <c r="HY60" s="0"/>
      <c r="HZ60" s="0"/>
      <c r="IA60" s="0"/>
      <c r="IB60" s="0"/>
      <c r="IC60" s="0"/>
      <c r="ID60" s="0"/>
      <c r="IE60" s="0"/>
      <c r="IF60" s="0"/>
      <c r="IG60" s="0"/>
      <c r="IH60" s="0"/>
      <c r="II60" s="0"/>
      <c r="IJ60" s="0"/>
      <c r="IK60" s="0"/>
      <c r="IL60" s="0"/>
      <c r="IM60" s="0"/>
      <c r="IN60" s="0"/>
      <c r="IO60" s="0"/>
      <c r="IP60" s="0"/>
      <c r="IQ60" s="0"/>
      <c r="IR60" s="0"/>
      <c r="IS60" s="0"/>
      <c r="IT60" s="0"/>
      <c r="IU60" s="0"/>
      <c r="IV60" s="0"/>
      <c r="IW60" s="0"/>
      <c r="IX60" s="0"/>
      <c r="IY60" s="0"/>
      <c r="IZ60" s="0"/>
      <c r="JA60" s="0"/>
      <c r="JB60" s="0"/>
      <c r="JC60" s="0"/>
      <c r="JD60" s="0"/>
      <c r="JE60" s="0"/>
      <c r="JF60" s="0"/>
      <c r="JG60" s="0"/>
      <c r="JH60" s="0"/>
      <c r="JI60" s="0"/>
      <c r="JJ60" s="0"/>
      <c r="JK60" s="0"/>
      <c r="JL60" s="0"/>
      <c r="JM60" s="0"/>
      <c r="JN60" s="0"/>
      <c r="JO60" s="0"/>
      <c r="JP60" s="0"/>
      <c r="JQ60" s="0"/>
      <c r="JR60" s="0"/>
      <c r="JS60" s="0"/>
      <c r="JT60" s="0"/>
      <c r="JU60" s="0"/>
      <c r="JV60" s="0"/>
      <c r="JW60" s="0"/>
      <c r="JX60" s="0"/>
      <c r="JY60" s="0"/>
      <c r="JZ60" s="0"/>
      <c r="KA60" s="0"/>
      <c r="KB60" s="0"/>
      <c r="KC60" s="0"/>
      <c r="KD60" s="0"/>
      <c r="KE60" s="0"/>
      <c r="KF60" s="0"/>
      <c r="KG60" s="0"/>
      <c r="KH60" s="0"/>
      <c r="KI60" s="0"/>
      <c r="KJ60" s="0"/>
      <c r="KK60" s="0"/>
      <c r="KL60" s="0"/>
      <c r="KM60" s="0"/>
      <c r="KN60" s="0"/>
      <c r="KO60" s="0"/>
      <c r="KP60" s="0"/>
      <c r="KQ60" s="0"/>
      <c r="KR60" s="0"/>
      <c r="KS60" s="0"/>
      <c r="KT60" s="0"/>
      <c r="KU60" s="0"/>
      <c r="KV60" s="0"/>
      <c r="KW60" s="0"/>
      <c r="KX60" s="0"/>
      <c r="KY60" s="0"/>
      <c r="KZ60" s="0"/>
      <c r="LA60" s="0"/>
      <c r="LB60" s="0"/>
      <c r="LC60" s="0"/>
      <c r="LD60" s="0"/>
      <c r="LE60" s="0"/>
      <c r="LF60" s="0"/>
      <c r="LG60" s="0"/>
      <c r="LH60" s="0"/>
      <c r="LI60" s="0"/>
      <c r="LJ60" s="0"/>
      <c r="LK60" s="0"/>
      <c r="LL60" s="0"/>
      <c r="LM60" s="0"/>
      <c r="LN60" s="0"/>
      <c r="LO60" s="0"/>
      <c r="LP60" s="0"/>
      <c r="LQ60" s="0"/>
      <c r="LR60" s="0"/>
      <c r="LS60" s="0"/>
      <c r="LT60" s="0"/>
      <c r="LU60" s="0"/>
      <c r="LV60" s="0"/>
      <c r="LW60" s="0"/>
      <c r="LX60" s="0"/>
      <c r="LY60" s="0"/>
      <c r="LZ60" s="0"/>
      <c r="MA60" s="0"/>
      <c r="MB60" s="0"/>
      <c r="MC60" s="0"/>
      <c r="MD60" s="0"/>
      <c r="ME60" s="0"/>
      <c r="MF60" s="0"/>
      <c r="MG60" s="0"/>
      <c r="MH60" s="0"/>
      <c r="MI60" s="0"/>
      <c r="MJ60" s="0"/>
      <c r="MK60" s="0"/>
      <c r="ML60" s="0"/>
      <c r="MM60" s="0"/>
      <c r="MN60" s="0"/>
      <c r="MO60" s="0"/>
      <c r="MP60" s="0"/>
      <c r="MQ60" s="0"/>
      <c r="MR60" s="0"/>
      <c r="MS60" s="0"/>
      <c r="MT60" s="0"/>
      <c r="MU60" s="0"/>
      <c r="MV60" s="0"/>
      <c r="MW60" s="0"/>
      <c r="MX60" s="0"/>
      <c r="MY60" s="0"/>
      <c r="MZ60" s="0"/>
      <c r="NA60" s="0"/>
      <c r="NB60" s="0"/>
      <c r="NC60" s="0"/>
      <c r="ND60" s="0"/>
      <c r="NE60" s="0"/>
      <c r="NF60" s="0"/>
      <c r="NG60" s="0"/>
      <c r="NH60" s="0"/>
      <c r="NI60" s="0"/>
      <c r="NJ60" s="0"/>
      <c r="NK60" s="0"/>
      <c r="NL60" s="0"/>
      <c r="NM60" s="0"/>
      <c r="NN60" s="0"/>
      <c r="NO60" s="0"/>
      <c r="NP60" s="0"/>
      <c r="NQ60" s="0"/>
      <c r="NR60" s="0"/>
      <c r="NS60" s="0"/>
      <c r="NT60" s="0"/>
      <c r="NU60" s="0"/>
      <c r="NV60" s="0"/>
      <c r="NW60" s="0"/>
      <c r="NX60" s="0"/>
      <c r="NY60" s="0"/>
      <c r="NZ60" s="0"/>
      <c r="OA60" s="0"/>
      <c r="OB60" s="0"/>
      <c r="OC60" s="0"/>
      <c r="OD60" s="0"/>
      <c r="OE60" s="0"/>
      <c r="OF60" s="0"/>
      <c r="OG60" s="0"/>
      <c r="OH60" s="0"/>
      <c r="OI60" s="0"/>
      <c r="OJ60" s="0"/>
      <c r="OK60" s="0"/>
      <c r="OL60" s="0"/>
      <c r="OM60" s="0"/>
      <c r="ON60" s="0"/>
      <c r="OO60" s="0"/>
      <c r="OP60" s="0"/>
      <c r="OQ60" s="0"/>
      <c r="OR60" s="0"/>
      <c r="OS60" s="0"/>
      <c r="OT60" s="0"/>
      <c r="OU60" s="0"/>
      <c r="OV60" s="0"/>
      <c r="OW60" s="0"/>
      <c r="OX60" s="0"/>
      <c r="OY60" s="0"/>
      <c r="OZ60" s="0"/>
      <c r="PA60" s="0"/>
      <c r="PB60" s="0"/>
      <c r="PC60" s="0"/>
      <c r="PD60" s="0"/>
      <c r="PE60" s="0"/>
      <c r="PF60" s="0"/>
      <c r="PG60" s="0"/>
      <c r="PH60" s="0"/>
      <c r="PI60" s="0"/>
      <c r="PJ60" s="0"/>
      <c r="PK60" s="0"/>
      <c r="PL60" s="0"/>
      <c r="PM60" s="0"/>
      <c r="PN60" s="0"/>
      <c r="PO60" s="0"/>
      <c r="PP60" s="0"/>
      <c r="PQ60" s="0"/>
      <c r="PR60" s="0"/>
      <c r="PS60" s="0"/>
      <c r="PT60" s="0"/>
      <c r="PU60" s="0"/>
      <c r="PV60" s="0"/>
      <c r="PW60" s="0"/>
      <c r="PX60" s="0"/>
      <c r="PY60" s="0"/>
      <c r="PZ60" s="0"/>
      <c r="QA60" s="0"/>
      <c r="QB60" s="0"/>
      <c r="QC60" s="0"/>
      <c r="QD60" s="0"/>
      <c r="QE60" s="0"/>
      <c r="QF60" s="0"/>
      <c r="QG60" s="0"/>
      <c r="QH60" s="0"/>
      <c r="QI60" s="0"/>
      <c r="QJ60" s="0"/>
      <c r="QK60" s="0"/>
      <c r="QL60" s="0"/>
      <c r="QM60" s="0"/>
      <c r="QN60" s="0"/>
      <c r="QO60" s="0"/>
      <c r="QP60" s="0"/>
      <c r="QQ60" s="0"/>
      <c r="QR60" s="0"/>
      <c r="QS60" s="0"/>
      <c r="QT60" s="0"/>
      <c r="QU60" s="0"/>
      <c r="QV60" s="0"/>
      <c r="QW60" s="0"/>
      <c r="QX60" s="0"/>
      <c r="QY60" s="0"/>
      <c r="QZ60" s="0"/>
      <c r="RA60" s="0"/>
      <c r="RB60" s="0"/>
      <c r="RC60" s="0"/>
      <c r="RD60" s="0"/>
      <c r="RE60" s="0"/>
      <c r="RF60" s="0"/>
      <c r="RG60" s="0"/>
      <c r="RH60" s="0"/>
      <c r="RI60" s="0"/>
      <c r="RJ60" s="0"/>
      <c r="RK60" s="0"/>
      <c r="RL60" s="0"/>
      <c r="RM60" s="0"/>
      <c r="RN60" s="0"/>
      <c r="RO60" s="0"/>
      <c r="RP60" s="0"/>
      <c r="RQ60" s="0"/>
      <c r="RR60" s="0"/>
      <c r="RS60" s="0"/>
      <c r="RT60" s="0"/>
      <c r="RU60" s="0"/>
      <c r="RV60" s="0"/>
      <c r="RW60" s="0"/>
      <c r="RX60" s="0"/>
      <c r="RY60" s="0"/>
      <c r="RZ60" s="0"/>
      <c r="SA60" s="0"/>
      <c r="SB60" s="0"/>
      <c r="SC60" s="0"/>
      <c r="SD60" s="0"/>
      <c r="SE60" s="0"/>
      <c r="SF60" s="0"/>
      <c r="SG60" s="0"/>
      <c r="SH60" s="0"/>
      <c r="SI60" s="0"/>
      <c r="SJ60" s="0"/>
      <c r="SK60" s="0"/>
      <c r="SL60" s="0"/>
      <c r="SM60" s="0"/>
      <c r="SN60" s="0"/>
      <c r="SO60" s="0"/>
      <c r="SP60" s="0"/>
      <c r="SQ60" s="0"/>
      <c r="SR60" s="0"/>
      <c r="SS60" s="0"/>
      <c r="ST60" s="0"/>
      <c r="SU60" s="0"/>
      <c r="SV60" s="0"/>
      <c r="SW60" s="0"/>
      <c r="SX60" s="0"/>
      <c r="SY60" s="0"/>
      <c r="SZ60" s="0"/>
      <c r="TA60" s="0"/>
      <c r="TB60" s="0"/>
      <c r="TC60" s="0"/>
      <c r="TD60" s="0"/>
      <c r="TE60" s="0"/>
      <c r="TF60" s="0"/>
      <c r="TG60" s="0"/>
      <c r="TH60" s="0"/>
      <c r="TI60" s="0"/>
      <c r="TJ60" s="0"/>
      <c r="TK60" s="0"/>
      <c r="TL60" s="0"/>
      <c r="TM60" s="0"/>
      <c r="TN60" s="0"/>
      <c r="TO60" s="0"/>
      <c r="TP60" s="0"/>
      <c r="TQ60" s="0"/>
      <c r="TR60" s="0"/>
      <c r="TS60" s="0"/>
      <c r="TT60" s="0"/>
      <c r="TU60" s="0"/>
      <c r="TV60" s="0"/>
      <c r="TW60" s="0"/>
      <c r="TX60" s="0"/>
      <c r="TY60" s="0"/>
      <c r="TZ60" s="0"/>
      <c r="UA60" s="0"/>
      <c r="UB60" s="0"/>
      <c r="UC60" s="0"/>
      <c r="UD60" s="0"/>
      <c r="UE60" s="0"/>
      <c r="UF60" s="0"/>
      <c r="UG60" s="0"/>
      <c r="UH60" s="0"/>
      <c r="UI60" s="0"/>
      <c r="UJ60" s="0"/>
      <c r="UK60" s="0"/>
      <c r="UL60" s="0"/>
      <c r="UM60" s="0"/>
      <c r="UN60" s="0"/>
      <c r="UO60" s="0"/>
      <c r="UP60" s="0"/>
      <c r="UQ60" s="0"/>
      <c r="UR60" s="0"/>
      <c r="US60" s="0"/>
      <c r="UT60" s="0"/>
      <c r="UU60" s="0"/>
      <c r="UV60" s="0"/>
      <c r="UW60" s="0"/>
      <c r="UX60" s="0"/>
      <c r="UY60" s="0"/>
      <c r="UZ60" s="0"/>
      <c r="VA60" s="0"/>
      <c r="VB60" s="0"/>
      <c r="VC60" s="0"/>
      <c r="VD60" s="0"/>
      <c r="VE60" s="0"/>
      <c r="VF60" s="0"/>
      <c r="VG60" s="0"/>
      <c r="VH60" s="0"/>
      <c r="VI60" s="0"/>
      <c r="VJ60" s="0"/>
      <c r="VK60" s="0"/>
      <c r="VL60" s="0"/>
      <c r="VM60" s="0"/>
      <c r="VN60" s="0"/>
      <c r="VO60" s="0"/>
      <c r="VP60" s="0"/>
      <c r="VQ60" s="0"/>
      <c r="VR60" s="0"/>
      <c r="VS60" s="0"/>
      <c r="VT60" s="0"/>
      <c r="VU60" s="0"/>
      <c r="VV60" s="0"/>
      <c r="VW60" s="0"/>
      <c r="VX60" s="0"/>
      <c r="VY60" s="0"/>
      <c r="VZ60" s="0"/>
      <c r="WA60" s="0"/>
      <c r="WB60" s="0"/>
      <c r="WC60" s="0"/>
      <c r="WD60" s="0"/>
      <c r="WE60" s="0"/>
      <c r="WF60" s="0"/>
      <c r="WG60" s="0"/>
      <c r="WH60" s="0"/>
      <c r="WI60" s="0"/>
      <c r="WJ60" s="0"/>
      <c r="WK60" s="0"/>
      <c r="WL60" s="0"/>
      <c r="WM60" s="0"/>
      <c r="WN60" s="0"/>
      <c r="WO60" s="0"/>
      <c r="WP60" s="0"/>
      <c r="WQ60" s="0"/>
      <c r="WR60" s="0"/>
      <c r="WS60" s="0"/>
      <c r="WT60" s="0"/>
      <c r="WU60" s="0"/>
      <c r="WV60" s="0"/>
      <c r="WW60" s="0"/>
      <c r="WX60" s="0"/>
      <c r="WY60" s="0"/>
      <c r="WZ60" s="0"/>
      <c r="XA60" s="0"/>
      <c r="XB60" s="0"/>
      <c r="XC60" s="0"/>
      <c r="XD60" s="0"/>
      <c r="XE60" s="0"/>
      <c r="XF60" s="0"/>
      <c r="XG60" s="0"/>
      <c r="XH60" s="0"/>
      <c r="XI60" s="0"/>
      <c r="XJ60" s="0"/>
      <c r="XK60" s="0"/>
      <c r="XL60" s="0"/>
      <c r="XM60" s="0"/>
      <c r="XN60" s="0"/>
      <c r="XO60" s="0"/>
      <c r="XP60" s="0"/>
      <c r="XQ60" s="0"/>
      <c r="XR60" s="0"/>
      <c r="XS60" s="0"/>
      <c r="XT60" s="0"/>
      <c r="XU60" s="0"/>
      <c r="XV60" s="0"/>
      <c r="XW60" s="0"/>
      <c r="XX60" s="0"/>
      <c r="XY60" s="0"/>
      <c r="XZ60" s="0"/>
      <c r="YA60" s="0"/>
      <c r="YB60" s="0"/>
      <c r="YC60" s="0"/>
      <c r="YD60" s="0"/>
      <c r="YE60" s="0"/>
      <c r="YF60" s="0"/>
      <c r="YG60" s="0"/>
      <c r="YH60" s="0"/>
      <c r="YI60" s="0"/>
      <c r="YJ60" s="0"/>
      <c r="YK60" s="0"/>
      <c r="YL60" s="0"/>
      <c r="YM60" s="0"/>
      <c r="YN60" s="0"/>
      <c r="YO60" s="0"/>
      <c r="YP60" s="0"/>
      <c r="YQ60" s="0"/>
      <c r="YR60" s="0"/>
      <c r="YS60" s="0"/>
      <c r="YT60" s="0"/>
      <c r="YU60" s="0"/>
      <c r="YV60" s="0"/>
      <c r="YW60" s="0"/>
      <c r="YX60" s="0"/>
      <c r="YY60" s="0"/>
      <c r="YZ60" s="0"/>
      <c r="ZA60" s="0"/>
      <c r="ZB60" s="0"/>
      <c r="ZC60" s="0"/>
      <c r="ZD60" s="0"/>
      <c r="ZE60" s="0"/>
      <c r="ZF60" s="0"/>
      <c r="ZG60" s="0"/>
      <c r="ZH60" s="0"/>
      <c r="ZI60" s="0"/>
      <c r="ZJ60" s="0"/>
      <c r="ZK60" s="0"/>
      <c r="ZL60" s="0"/>
      <c r="ZM60" s="0"/>
      <c r="ZN60" s="0"/>
      <c r="ZO60" s="0"/>
      <c r="ZP60" s="0"/>
      <c r="ZQ60" s="0"/>
      <c r="ZR60" s="0"/>
      <c r="ZS60" s="0"/>
      <c r="ZT60" s="0"/>
      <c r="ZU60" s="0"/>
      <c r="ZV60" s="0"/>
      <c r="ZW60" s="0"/>
      <c r="ZX60" s="0"/>
      <c r="ZY60" s="0"/>
      <c r="ZZ60" s="0"/>
      <c r="AAA60" s="0"/>
      <c r="AAB60" s="0"/>
      <c r="AAC60" s="0"/>
      <c r="AAD60" s="0"/>
      <c r="AAE60" s="0"/>
      <c r="AAF60" s="0"/>
      <c r="AAG60" s="0"/>
      <c r="AAH60" s="0"/>
      <c r="AAI60" s="0"/>
      <c r="AAJ60" s="0"/>
      <c r="AAK60" s="0"/>
      <c r="AAL60" s="0"/>
      <c r="AAM60" s="0"/>
      <c r="AAN60" s="0"/>
      <c r="AAO60" s="0"/>
      <c r="AAP60" s="0"/>
      <c r="AAQ60" s="0"/>
      <c r="AAR60" s="0"/>
      <c r="AAS60" s="0"/>
      <c r="AAT60" s="0"/>
      <c r="AAU60" s="0"/>
      <c r="AAV60" s="0"/>
      <c r="AAW60" s="0"/>
      <c r="AAX60" s="0"/>
      <c r="AAY60" s="0"/>
      <c r="AAZ60" s="0"/>
      <c r="ABA60" s="0"/>
      <c r="ABB60" s="0"/>
      <c r="ABC60" s="0"/>
      <c r="ABD60" s="0"/>
      <c r="ABE60" s="0"/>
      <c r="ABF60" s="0"/>
      <c r="ABG60" s="0"/>
      <c r="ABH60" s="0"/>
      <c r="ABI60" s="0"/>
      <c r="ABJ60" s="0"/>
      <c r="ABK60" s="0"/>
      <c r="ABL60" s="0"/>
      <c r="ABM60" s="0"/>
      <c r="ABN60" s="0"/>
      <c r="ABO60" s="0"/>
      <c r="ABP60" s="0"/>
      <c r="ABQ60" s="0"/>
      <c r="ABR60" s="0"/>
      <c r="ABS60" s="0"/>
      <c r="ABT60" s="0"/>
      <c r="ABU60" s="0"/>
      <c r="ABV60" s="0"/>
      <c r="ABW60" s="0"/>
      <c r="ABX60" s="0"/>
      <c r="ABY60" s="0"/>
      <c r="ABZ60" s="0"/>
      <c r="ACA60" s="0"/>
      <c r="ACB60" s="0"/>
      <c r="ACC60" s="0"/>
      <c r="ACD60" s="0"/>
      <c r="ACE60" s="0"/>
      <c r="ACF60" s="0"/>
      <c r="ACG60" s="0"/>
      <c r="ACH60" s="0"/>
      <c r="ACI60" s="0"/>
      <c r="ACJ60" s="0"/>
      <c r="ACK60" s="0"/>
      <c r="ACL60" s="0"/>
      <c r="ACM60" s="0"/>
      <c r="ACN60" s="0"/>
      <c r="ACO60" s="0"/>
      <c r="ACP60" s="0"/>
      <c r="ACQ60" s="0"/>
      <c r="ACR60" s="0"/>
      <c r="ACS60" s="0"/>
      <c r="ACT60" s="0"/>
      <c r="ACU60" s="0"/>
      <c r="ACV60" s="0"/>
      <c r="ACW60" s="0"/>
      <c r="ACX60" s="0"/>
      <c r="ACY60" s="0"/>
      <c r="ACZ60" s="0"/>
      <c r="ADA60" s="0"/>
      <c r="ADB60" s="0"/>
      <c r="ADC60" s="0"/>
      <c r="ADD60" s="0"/>
      <c r="ADE60" s="0"/>
      <c r="ADF60" s="0"/>
      <c r="ADG60" s="0"/>
      <c r="ADH60" s="0"/>
      <c r="ADI60" s="0"/>
      <c r="ADJ60" s="0"/>
      <c r="ADK60" s="0"/>
      <c r="ADL60" s="0"/>
      <c r="ADM60" s="0"/>
      <c r="ADN60" s="0"/>
      <c r="ADO60" s="0"/>
      <c r="ADP60" s="0"/>
      <c r="ADQ60" s="0"/>
      <c r="ADR60" s="0"/>
      <c r="ADS60" s="0"/>
      <c r="ADT60" s="0"/>
      <c r="ADU60" s="0"/>
      <c r="ADV60" s="0"/>
      <c r="ADW60" s="0"/>
      <c r="ADX60" s="0"/>
      <c r="ADY60" s="0"/>
      <c r="ADZ60" s="0"/>
      <c r="AEA60" s="0"/>
      <c r="AEB60" s="0"/>
      <c r="AEC60" s="0"/>
      <c r="AED60" s="0"/>
      <c r="AEE60" s="0"/>
      <c r="AEF60" s="0"/>
      <c r="AEG60" s="0"/>
      <c r="AEH60" s="0"/>
      <c r="AEI60" s="0"/>
      <c r="AEJ60" s="0"/>
      <c r="AEK60" s="0"/>
      <c r="AEL60" s="0"/>
      <c r="AEM60" s="0"/>
      <c r="AEN60" s="0"/>
      <c r="AEO60" s="0"/>
      <c r="AEP60" s="0"/>
      <c r="AEQ60" s="0"/>
      <c r="AER60" s="0"/>
      <c r="AES60" s="0"/>
      <c r="AET60" s="0"/>
      <c r="AEU60" s="0"/>
      <c r="AEV60" s="0"/>
      <c r="AEW60" s="0"/>
      <c r="AEX60" s="0"/>
      <c r="AEY60" s="0"/>
      <c r="AEZ60" s="0"/>
      <c r="AFA60" s="0"/>
      <c r="AFB60" s="0"/>
      <c r="AFC60" s="0"/>
      <c r="AFD60" s="0"/>
      <c r="AFE60" s="0"/>
      <c r="AFF60" s="0"/>
      <c r="AFG60" s="0"/>
      <c r="AFH60" s="0"/>
      <c r="AFI60" s="0"/>
      <c r="AFJ60" s="0"/>
      <c r="AFK60" s="0"/>
      <c r="AFL60" s="0"/>
      <c r="AFM60" s="0"/>
      <c r="AFN60" s="0"/>
      <c r="AFO60" s="0"/>
      <c r="AFP60" s="0"/>
      <c r="AFQ60" s="0"/>
      <c r="AFR60" s="0"/>
      <c r="AFS60" s="0"/>
      <c r="AFT60" s="0"/>
      <c r="AFU60" s="0"/>
      <c r="AFV60" s="0"/>
      <c r="AFW60" s="0"/>
      <c r="AFX60" s="0"/>
      <c r="AFY60" s="0"/>
      <c r="AFZ60" s="0"/>
      <c r="AGA60" s="0"/>
      <c r="AGB60" s="0"/>
      <c r="AGC60" s="0"/>
      <c r="AGD60" s="0"/>
      <c r="AGE60" s="0"/>
      <c r="AGF60" s="0"/>
      <c r="AGG60" s="0"/>
      <c r="AGH60" s="0"/>
      <c r="AGI60" s="0"/>
      <c r="AGJ60" s="0"/>
      <c r="AGK60" s="0"/>
      <c r="AGL60" s="0"/>
      <c r="AGM60" s="0"/>
      <c r="AGN60" s="0"/>
      <c r="AGO60" s="0"/>
      <c r="AGP60" s="0"/>
      <c r="AGQ60" s="0"/>
      <c r="AGR60" s="0"/>
      <c r="AGS60" s="0"/>
      <c r="AGT60" s="0"/>
      <c r="AGU60" s="0"/>
      <c r="AGV60" s="0"/>
      <c r="AGW60" s="0"/>
      <c r="AGX60" s="0"/>
      <c r="AGY60" s="0"/>
      <c r="AGZ60" s="0"/>
      <c r="AHA60" s="0"/>
      <c r="AHB60" s="0"/>
      <c r="AHC60" s="0"/>
      <c r="AHD60" s="0"/>
      <c r="AHE60" s="0"/>
      <c r="AHF60" s="0"/>
      <c r="AHG60" s="0"/>
      <c r="AHH60" s="0"/>
      <c r="AHI60" s="0"/>
      <c r="AHJ60" s="0"/>
      <c r="AHK60" s="0"/>
      <c r="AHL60" s="0"/>
      <c r="AHM60" s="0"/>
      <c r="AHN60" s="0"/>
      <c r="AHO60" s="0"/>
      <c r="AHP60" s="0"/>
      <c r="AHQ60" s="0"/>
      <c r="AHR60" s="0"/>
      <c r="AHS60" s="0"/>
      <c r="AHT60" s="0"/>
      <c r="AHU60" s="0"/>
      <c r="AHV60" s="0"/>
      <c r="AHW60" s="0"/>
      <c r="AHX60" s="0"/>
      <c r="AHY60" s="0"/>
      <c r="AHZ60" s="0"/>
      <c r="AIA60" s="0"/>
      <c r="AIB60" s="0"/>
      <c r="AIC60" s="0"/>
      <c r="AID60" s="0"/>
      <c r="AIE60" s="0"/>
      <c r="AIF60" s="0"/>
      <c r="AIG60" s="0"/>
      <c r="AIH60" s="0"/>
      <c r="AII60" s="0"/>
      <c r="AIJ60" s="0"/>
      <c r="AIK60" s="0"/>
      <c r="AIL60" s="0"/>
      <c r="AIM60" s="0"/>
      <c r="AIN60" s="0"/>
      <c r="AIO60" s="0"/>
      <c r="AIP60" s="0"/>
      <c r="AIQ60" s="0"/>
      <c r="AIR60" s="0"/>
      <c r="AIS60" s="0"/>
      <c r="AIT60" s="0"/>
      <c r="AIU60" s="0"/>
      <c r="AIV60" s="0"/>
      <c r="AIW60" s="0"/>
      <c r="AIX60" s="0"/>
      <c r="AIY60" s="0"/>
      <c r="AIZ60" s="0"/>
      <c r="AJA60" s="0"/>
      <c r="AJB60" s="0"/>
      <c r="AJC60" s="0"/>
      <c r="AJD60" s="0"/>
      <c r="AJE60" s="0"/>
      <c r="AJF60" s="0"/>
      <c r="AJG60" s="0"/>
      <c r="AJH60" s="0"/>
      <c r="AJI60" s="0"/>
      <c r="AJJ60" s="0"/>
      <c r="AJK60" s="0"/>
      <c r="AJL60" s="0"/>
      <c r="AJM60" s="0"/>
      <c r="AJN60" s="0"/>
      <c r="AJO60" s="0"/>
      <c r="AJP60" s="0"/>
      <c r="AJQ60" s="0"/>
      <c r="AJR60" s="0"/>
      <c r="AJS60" s="0"/>
      <c r="AJT60" s="0"/>
      <c r="AJU60" s="0"/>
      <c r="AJV60" s="0"/>
      <c r="AJW60" s="0"/>
      <c r="AJX60" s="0"/>
      <c r="AJY60" s="0"/>
      <c r="AJZ60" s="0"/>
      <c r="AKA60" s="0"/>
      <c r="AKB60" s="0"/>
      <c r="AKC60" s="0"/>
      <c r="AKD60" s="0"/>
      <c r="AKE60" s="0"/>
      <c r="AKF60" s="0"/>
      <c r="AKG60" s="0"/>
      <c r="AKH60" s="0"/>
      <c r="AKI60" s="0"/>
      <c r="AKJ60" s="0"/>
      <c r="AKK60" s="0"/>
      <c r="AKL60" s="0"/>
      <c r="AKM60" s="0"/>
      <c r="AKN60" s="0"/>
      <c r="AKO60" s="0"/>
      <c r="AKP60" s="0"/>
      <c r="AKQ60" s="0"/>
      <c r="AKR60" s="0"/>
      <c r="AKS60" s="0"/>
      <c r="AKT60" s="0"/>
      <c r="AKU60" s="0"/>
      <c r="AKV60" s="0"/>
      <c r="AKW60" s="0"/>
      <c r="AKX60" s="0"/>
      <c r="AKY60" s="0"/>
      <c r="AKZ60" s="0"/>
      <c r="ALA60" s="0"/>
      <c r="ALB60" s="0"/>
      <c r="ALC60" s="0"/>
      <c r="ALD60" s="0"/>
      <c r="ALE60" s="0"/>
      <c r="ALF60" s="0"/>
      <c r="ALG60" s="0"/>
      <c r="ALH60" s="0"/>
      <c r="ALI60" s="0"/>
      <c r="ALJ60" s="0"/>
      <c r="ALK60" s="0"/>
      <c r="ALL60" s="0"/>
      <c r="ALM60" s="0"/>
      <c r="ALN60" s="0"/>
      <c r="ALO60" s="0"/>
      <c r="ALP60" s="0"/>
      <c r="ALQ60" s="0"/>
      <c r="ALR60" s="0"/>
      <c r="ALS60" s="0"/>
      <c r="ALT60" s="0"/>
      <c r="ALU60" s="0"/>
      <c r="ALV60" s="0"/>
      <c r="ALW60" s="0"/>
      <c r="ALX60" s="0"/>
      <c r="ALY60" s="0"/>
      <c r="ALZ60" s="0"/>
      <c r="AMA60" s="0"/>
      <c r="AMB60" s="0"/>
      <c r="AMC60" s="0"/>
      <c r="AMD60" s="0"/>
      <c r="AME60" s="0"/>
      <c r="AMF60" s="0"/>
      <c r="AMG60" s="0"/>
      <c r="AMH60" s="0"/>
      <c r="AMI60" s="0"/>
      <c r="AMJ60" s="0"/>
      <c r="AMK60" s="0"/>
      <c r="AML60" s="0"/>
      <c r="AMM60" s="0"/>
      <c r="AMN60" s="0"/>
      <c r="AMO60" s="0"/>
      <c r="AMP60" s="0"/>
      <c r="AMQ60" s="0"/>
      <c r="AMR60" s="0"/>
      <c r="AMS60" s="0"/>
      <c r="AMT60" s="0"/>
      <c r="AMU60" s="0"/>
      <c r="AMV60" s="0"/>
      <c r="AMW60" s="0"/>
      <c r="AMX60" s="0"/>
      <c r="AMY60" s="0"/>
      <c r="AMZ60" s="0"/>
      <c r="ANA60" s="0"/>
      <c r="ANB60" s="0"/>
      <c r="ANC60" s="0"/>
      <c r="AND60" s="0"/>
      <c r="ANE60" s="0"/>
      <c r="ANF60" s="0"/>
      <c r="ANG60" s="0"/>
      <c r="ANH60" s="0"/>
      <c r="ANI60" s="0"/>
      <c r="ANJ60" s="0"/>
      <c r="ANK60" s="0"/>
      <c r="ANL60" s="0"/>
      <c r="ANM60" s="0"/>
      <c r="ANN60" s="0"/>
      <c r="ANO60" s="0"/>
      <c r="ANP60" s="0"/>
      <c r="ANQ60" s="0"/>
      <c r="ANR60" s="0"/>
      <c r="ANS60" s="0"/>
      <c r="ANT60" s="0"/>
      <c r="ANU60" s="0"/>
      <c r="ANV60" s="0"/>
      <c r="ANW60" s="0"/>
      <c r="ANX60" s="0"/>
      <c r="ANY60" s="0"/>
      <c r="ANZ60" s="0"/>
      <c r="AOA60" s="0"/>
      <c r="AOB60" s="0"/>
      <c r="AOC60" s="0"/>
      <c r="AOD60" s="0"/>
      <c r="AOE60" s="0"/>
      <c r="AOF60" s="0"/>
      <c r="AOG60" s="0"/>
      <c r="AOH60" s="0"/>
      <c r="AOI60" s="0"/>
      <c r="AOJ60" s="0"/>
      <c r="AOK60" s="0"/>
      <c r="AOL60" s="0"/>
      <c r="AOM60" s="0"/>
      <c r="AON60" s="0"/>
      <c r="AOO60" s="0"/>
      <c r="AOP60" s="0"/>
      <c r="AOQ60" s="0"/>
      <c r="AOR60" s="0"/>
      <c r="AOS60" s="0"/>
      <c r="AOT60" s="0"/>
      <c r="AOU60" s="0"/>
      <c r="AOV60" s="0"/>
      <c r="AOW60" s="0"/>
      <c r="AOX60" s="0"/>
      <c r="AOY60" s="0"/>
      <c r="AOZ60" s="0"/>
      <c r="APA60" s="0"/>
      <c r="APB60" s="0"/>
      <c r="APC60" s="0"/>
      <c r="APD60" s="0"/>
      <c r="APE60" s="0"/>
      <c r="APF60" s="0"/>
      <c r="APG60" s="0"/>
      <c r="APH60" s="0"/>
      <c r="API60" s="0"/>
      <c r="APJ60" s="0"/>
      <c r="APK60" s="0"/>
      <c r="APL60" s="0"/>
      <c r="APM60" s="0"/>
      <c r="APN60" s="0"/>
      <c r="APO60" s="0"/>
      <c r="APP60" s="0"/>
      <c r="APQ60" s="0"/>
      <c r="APR60" s="0"/>
      <c r="APS60" s="0"/>
      <c r="APT60" s="0"/>
      <c r="APU60" s="0"/>
      <c r="APV60" s="0"/>
      <c r="APW60" s="0"/>
      <c r="APX60" s="0"/>
      <c r="APY60" s="0"/>
      <c r="APZ60" s="0"/>
      <c r="AQA60" s="0"/>
      <c r="AQB60" s="0"/>
      <c r="AQC60" s="0"/>
      <c r="AQD60" s="0"/>
      <c r="AQE60" s="0"/>
      <c r="AQF60" s="0"/>
      <c r="AQG60" s="0"/>
      <c r="AQH60" s="0"/>
      <c r="AQI60" s="0"/>
      <c r="AQJ60" s="0"/>
      <c r="AQK60" s="0"/>
      <c r="AQL60" s="0"/>
      <c r="AQM60" s="0"/>
      <c r="AQN60" s="0"/>
      <c r="AQO60" s="0"/>
      <c r="AQP60" s="0"/>
      <c r="AQQ60" s="0"/>
      <c r="AQR60" s="0"/>
      <c r="AQS60" s="0"/>
      <c r="AQT60" s="0"/>
      <c r="AQU60" s="0"/>
      <c r="AQV60" s="0"/>
      <c r="AQW60" s="0"/>
      <c r="AQX60" s="0"/>
      <c r="AQY60" s="0"/>
      <c r="AQZ60" s="0"/>
      <c r="ARA60" s="0"/>
      <c r="ARB60" s="0"/>
      <c r="ARC60" s="0"/>
      <c r="ARD60" s="0"/>
      <c r="ARE60" s="0"/>
      <c r="ARF60" s="0"/>
      <c r="ARG60" s="0"/>
      <c r="ARH60" s="0"/>
      <c r="ARI60" s="0"/>
      <c r="ARJ60" s="0"/>
      <c r="ARK60" s="0"/>
      <c r="ARL60" s="0"/>
      <c r="ARM60" s="0"/>
      <c r="ARN60" s="0"/>
      <c r="ARO60" s="0"/>
      <c r="ARP60" s="0"/>
      <c r="ARQ60" s="0"/>
      <c r="ARR60" s="0"/>
      <c r="ARS60" s="0"/>
      <c r="ART60" s="0"/>
      <c r="ARU60" s="0"/>
      <c r="ARV60" s="0"/>
      <c r="ARW60" s="0"/>
      <c r="ARX60" s="0"/>
      <c r="ARY60" s="0"/>
      <c r="ARZ60" s="0"/>
      <c r="ASA60" s="0"/>
      <c r="ASB60" s="0"/>
      <c r="ASC60" s="0"/>
      <c r="ASD60" s="0"/>
      <c r="ASE60" s="0"/>
      <c r="ASF60" s="0"/>
      <c r="ASG60" s="0"/>
      <c r="ASH60" s="0"/>
      <c r="ASI60" s="0"/>
      <c r="ASJ60" s="0"/>
      <c r="ASK60" s="0"/>
      <c r="ASL60" s="0"/>
      <c r="ASM60" s="0"/>
      <c r="ASN60" s="0"/>
      <c r="ASO60" s="0"/>
      <c r="ASP60" s="0"/>
      <c r="ASQ60" s="0"/>
      <c r="ASR60" s="0"/>
      <c r="ASS60" s="0"/>
      <c r="AST60" s="0"/>
      <c r="ASU60" s="0"/>
      <c r="ASV60" s="0"/>
      <c r="ASW60" s="0"/>
      <c r="ASX60" s="0"/>
      <c r="ASY60" s="0"/>
      <c r="ASZ60" s="0"/>
      <c r="ATA60" s="0"/>
      <c r="ATB60" s="0"/>
      <c r="ATC60" s="0"/>
      <c r="ATD60" s="0"/>
      <c r="ATE60" s="0"/>
      <c r="ATF60" s="0"/>
      <c r="ATG60" s="0"/>
      <c r="ATH60" s="0"/>
      <c r="ATI60" s="0"/>
      <c r="ATJ60" s="0"/>
      <c r="ATK60" s="0"/>
      <c r="ATL60" s="0"/>
      <c r="ATM60" s="0"/>
      <c r="ATN60" s="0"/>
      <c r="ATO60" s="0"/>
      <c r="ATP60" s="0"/>
      <c r="ATQ60" s="0"/>
      <c r="ATR60" s="0"/>
      <c r="ATS60" s="0"/>
      <c r="ATT60" s="0"/>
      <c r="ATU60" s="0"/>
      <c r="ATV60" s="0"/>
      <c r="ATW60" s="0"/>
      <c r="ATX60" s="0"/>
      <c r="ATY60" s="0"/>
      <c r="ATZ60" s="0"/>
      <c r="AUA60" s="0"/>
      <c r="AUB60" s="0"/>
      <c r="AUC60" s="0"/>
      <c r="AUD60" s="0"/>
      <c r="AUE60" s="0"/>
      <c r="AUF60" s="0"/>
      <c r="AUG60" s="0"/>
      <c r="AUH60" s="0"/>
      <c r="AUI60" s="0"/>
      <c r="AUJ60" s="0"/>
      <c r="AUK60" s="0"/>
      <c r="AUL60" s="0"/>
      <c r="AUM60" s="0"/>
      <c r="AUN60" s="0"/>
      <c r="AUO60" s="0"/>
      <c r="AUP60" s="0"/>
      <c r="AUQ60" s="0"/>
      <c r="AUR60" s="0"/>
      <c r="AUS60" s="0"/>
      <c r="AUT60" s="0"/>
      <c r="AUU60" s="0"/>
      <c r="AUV60" s="0"/>
      <c r="AUW60" s="0"/>
      <c r="AUX60" s="0"/>
      <c r="AUY60" s="0"/>
      <c r="AUZ60" s="0"/>
      <c r="AVA60" s="0"/>
      <c r="AVB60" s="0"/>
      <c r="AVC60" s="0"/>
      <c r="AVD60" s="0"/>
      <c r="AVE60" s="0"/>
      <c r="AVF60" s="0"/>
      <c r="AVG60" s="0"/>
      <c r="AVH60" s="0"/>
      <c r="AVI60" s="0"/>
      <c r="AVJ60" s="0"/>
      <c r="AVK60" s="0"/>
      <c r="AVL60" s="0"/>
      <c r="AVM60" s="0"/>
      <c r="AVN60" s="0"/>
      <c r="AVO60" s="0"/>
      <c r="AVP60" s="0"/>
      <c r="AVQ60" s="0"/>
      <c r="AVR60" s="0"/>
      <c r="AVS60" s="0"/>
      <c r="AVT60" s="0"/>
      <c r="AVU60" s="0"/>
      <c r="AVV60" s="0"/>
      <c r="AVW60" s="0"/>
      <c r="AVX60" s="0"/>
      <c r="AVY60" s="0"/>
      <c r="AVZ60" s="0"/>
      <c r="AWA60" s="0"/>
      <c r="AWB60" s="0"/>
      <c r="AWC60" s="0"/>
      <c r="AWD60" s="0"/>
      <c r="AWE60" s="0"/>
      <c r="AWF60" s="0"/>
      <c r="AWG60" s="0"/>
      <c r="AWH60" s="0"/>
      <c r="AWI60" s="0"/>
      <c r="AWJ60" s="0"/>
      <c r="AWK60" s="0"/>
      <c r="AWL60" s="0"/>
      <c r="AWM60" s="0"/>
      <c r="AWN60" s="0"/>
      <c r="AWO60" s="0"/>
      <c r="AWP60" s="0"/>
      <c r="AWQ60" s="0"/>
      <c r="AWR60" s="0"/>
      <c r="AWS60" s="0"/>
      <c r="AWT60" s="0"/>
      <c r="AWU60" s="0"/>
      <c r="AWV60" s="0"/>
      <c r="AWW60" s="0"/>
      <c r="AWX60" s="0"/>
      <c r="AWY60" s="0"/>
      <c r="AWZ60" s="0"/>
      <c r="AXA60" s="0"/>
      <c r="AXB60" s="0"/>
      <c r="AXC60" s="0"/>
      <c r="AXD60" s="0"/>
      <c r="AXE60" s="0"/>
      <c r="AXF60" s="0"/>
      <c r="AXG60" s="0"/>
      <c r="AXH60" s="0"/>
      <c r="AXI60" s="0"/>
      <c r="AXJ60" s="0"/>
      <c r="AXK60" s="0"/>
      <c r="AXL60" s="0"/>
      <c r="AXM60" s="0"/>
      <c r="AXN60" s="0"/>
      <c r="AXO60" s="0"/>
      <c r="AXP60" s="0"/>
      <c r="AXQ60" s="0"/>
      <c r="AXR60" s="0"/>
      <c r="AXS60" s="0"/>
      <c r="AXT60" s="0"/>
      <c r="AXU60" s="0"/>
      <c r="AXV60" s="0"/>
      <c r="AXW60" s="0"/>
      <c r="AXX60" s="0"/>
      <c r="AXY60" s="0"/>
      <c r="AXZ60" s="0"/>
      <c r="AYA60" s="0"/>
      <c r="AYB60" s="0"/>
      <c r="AYC60" s="0"/>
      <c r="AYD60" s="0"/>
      <c r="AYE60" s="0"/>
      <c r="AYF60" s="0"/>
      <c r="AYG60" s="0"/>
      <c r="AYH60" s="0"/>
      <c r="AYI60" s="0"/>
      <c r="AYJ60" s="0"/>
      <c r="AYK60" s="0"/>
      <c r="AYL60" s="0"/>
      <c r="AYM60" s="0"/>
      <c r="AYN60" s="0"/>
      <c r="AYO60" s="0"/>
      <c r="AYP60" s="0"/>
      <c r="AYQ60" s="0"/>
      <c r="AYR60" s="0"/>
      <c r="AYS60" s="0"/>
      <c r="AYT60" s="0"/>
      <c r="AYU60" s="0"/>
      <c r="AYV60" s="0"/>
      <c r="AYW60" s="0"/>
      <c r="AYX60" s="0"/>
      <c r="AYY60" s="0"/>
      <c r="AYZ60" s="0"/>
      <c r="AZA60" s="0"/>
      <c r="AZB60" s="0"/>
      <c r="AZC60" s="0"/>
      <c r="AZD60" s="0"/>
      <c r="AZE60" s="0"/>
      <c r="AZF60" s="0"/>
      <c r="AZG60" s="0"/>
      <c r="AZH60" s="0"/>
      <c r="AZI60" s="0"/>
      <c r="AZJ60" s="0"/>
      <c r="AZK60" s="0"/>
      <c r="AZL60" s="0"/>
      <c r="AZM60" s="0"/>
      <c r="AZN60" s="0"/>
      <c r="AZO60" s="0"/>
      <c r="AZP60" s="0"/>
      <c r="AZQ60" s="0"/>
      <c r="AZR60" s="0"/>
      <c r="AZS60" s="0"/>
      <c r="AZT60" s="0"/>
      <c r="AZU60" s="0"/>
      <c r="AZV60" s="0"/>
      <c r="AZW60" s="0"/>
      <c r="AZX60" s="0"/>
      <c r="AZY60" s="0"/>
      <c r="AZZ60" s="0"/>
      <c r="BAA60" s="0"/>
      <c r="BAB60" s="0"/>
      <c r="BAC60" s="0"/>
      <c r="BAD60" s="0"/>
      <c r="BAE60" s="0"/>
      <c r="BAF60" s="0"/>
      <c r="BAG60" s="0"/>
      <c r="BAH60" s="0"/>
      <c r="BAI60" s="0"/>
      <c r="BAJ60" s="0"/>
      <c r="BAK60" s="0"/>
      <c r="BAL60" s="0"/>
      <c r="BAM60" s="0"/>
      <c r="BAN60" s="0"/>
      <c r="BAO60" s="0"/>
      <c r="BAP60" s="0"/>
      <c r="BAQ60" s="0"/>
      <c r="BAR60" s="0"/>
      <c r="BAS60" s="0"/>
      <c r="BAT60" s="0"/>
      <c r="BAU60" s="0"/>
      <c r="BAV60" s="0"/>
      <c r="BAW60" s="0"/>
      <c r="BAX60" s="0"/>
      <c r="BAY60" s="0"/>
      <c r="BAZ60" s="0"/>
      <c r="BBA60" s="0"/>
      <c r="BBB60" s="0"/>
      <c r="BBC60" s="0"/>
      <c r="BBD60" s="0"/>
      <c r="BBE60" s="0"/>
      <c r="BBF60" s="0"/>
      <c r="BBG60" s="0"/>
      <c r="BBH60" s="0"/>
      <c r="BBI60" s="0"/>
      <c r="BBJ60" s="0"/>
      <c r="BBK60" s="0"/>
      <c r="BBL60" s="0"/>
      <c r="BBM60" s="0"/>
      <c r="BBN60" s="0"/>
      <c r="BBO60" s="0"/>
      <c r="BBP60" s="0"/>
      <c r="BBQ60" s="0"/>
      <c r="BBR60" s="0"/>
      <c r="BBS60" s="0"/>
      <c r="BBT60" s="0"/>
      <c r="BBU60" s="0"/>
      <c r="BBV60" s="0"/>
      <c r="BBW60" s="0"/>
      <c r="BBX60" s="0"/>
      <c r="BBY60" s="0"/>
      <c r="BBZ60" s="0"/>
      <c r="BCA60" s="0"/>
      <c r="BCB60" s="0"/>
      <c r="BCC60" s="0"/>
      <c r="BCD60" s="0"/>
      <c r="BCE60" s="0"/>
      <c r="BCF60" s="0"/>
      <c r="BCG60" s="0"/>
      <c r="BCH60" s="0"/>
      <c r="BCI60" s="0"/>
      <c r="BCJ60" s="0"/>
      <c r="BCK60" s="0"/>
      <c r="BCL60" s="0"/>
      <c r="BCM60" s="0"/>
      <c r="BCN60" s="0"/>
      <c r="BCO60" s="0"/>
      <c r="BCP60" s="0"/>
      <c r="BCQ60" s="0"/>
      <c r="BCR60" s="0"/>
      <c r="BCS60" s="0"/>
      <c r="BCT60" s="0"/>
      <c r="BCU60" s="0"/>
      <c r="BCV60" s="0"/>
      <c r="BCW60" s="0"/>
      <c r="BCX60" s="0"/>
      <c r="BCY60" s="0"/>
      <c r="BCZ60" s="0"/>
      <c r="BDA60" s="0"/>
      <c r="BDB60" s="0"/>
      <c r="BDC60" s="0"/>
      <c r="BDD60" s="0"/>
      <c r="BDE60" s="0"/>
      <c r="BDF60" s="0"/>
      <c r="BDG60" s="0"/>
      <c r="BDH60" s="0"/>
      <c r="BDI60" s="0"/>
      <c r="BDJ60" s="0"/>
      <c r="BDK60" s="0"/>
      <c r="BDL60" s="0"/>
      <c r="BDM60" s="0"/>
      <c r="BDN60" s="0"/>
      <c r="BDO60" s="0"/>
      <c r="BDP60" s="0"/>
      <c r="BDQ60" s="0"/>
      <c r="BDR60" s="0"/>
      <c r="BDS60" s="0"/>
      <c r="BDT60" s="0"/>
      <c r="BDU60" s="0"/>
      <c r="BDV60" s="0"/>
      <c r="BDW60" s="0"/>
      <c r="BDX60" s="0"/>
      <c r="BDY60" s="0"/>
      <c r="BDZ60" s="0"/>
      <c r="BEA60" s="0"/>
      <c r="BEB60" s="0"/>
      <c r="BEC60" s="0"/>
      <c r="BED60" s="0"/>
      <c r="BEE60" s="0"/>
      <c r="BEF60" s="0"/>
      <c r="BEG60" s="0"/>
      <c r="BEH60" s="0"/>
      <c r="BEI60" s="0"/>
      <c r="BEJ60" s="0"/>
      <c r="BEK60" s="0"/>
      <c r="BEL60" s="0"/>
      <c r="BEM60" s="0"/>
      <c r="BEN60" s="0"/>
      <c r="BEO60" s="0"/>
      <c r="BEP60" s="0"/>
      <c r="BEQ60" s="0"/>
      <c r="BER60" s="0"/>
      <c r="BES60" s="0"/>
      <c r="BET60" s="0"/>
      <c r="BEU60" s="0"/>
      <c r="BEV60" s="0"/>
      <c r="BEW60" s="0"/>
      <c r="BEX60" s="0"/>
      <c r="BEY60" s="0"/>
      <c r="BEZ60" s="0"/>
      <c r="BFA60" s="0"/>
      <c r="BFB60" s="0"/>
      <c r="BFC60" s="0"/>
      <c r="BFD60" s="0"/>
      <c r="BFE60" s="0"/>
      <c r="BFF60" s="0"/>
      <c r="BFG60" s="0"/>
      <c r="BFH60" s="0"/>
      <c r="BFI60" s="0"/>
      <c r="BFJ60" s="0"/>
      <c r="BFK60" s="0"/>
      <c r="BFL60" s="0"/>
      <c r="BFM60" s="0"/>
      <c r="BFN60" s="0"/>
      <c r="BFO60" s="0"/>
      <c r="BFP60" s="0"/>
      <c r="BFQ60" s="0"/>
      <c r="BFR60" s="0"/>
      <c r="BFS60" s="0"/>
      <c r="BFT60" s="0"/>
      <c r="BFU60" s="0"/>
      <c r="BFV60" s="0"/>
      <c r="BFW60" s="0"/>
      <c r="BFX60" s="0"/>
      <c r="BFY60" s="0"/>
      <c r="BFZ60" s="0"/>
      <c r="BGA60" s="0"/>
      <c r="BGB60" s="0"/>
      <c r="BGC60" s="0"/>
      <c r="BGD60" s="0"/>
      <c r="BGE60" s="0"/>
      <c r="BGF60" s="0"/>
      <c r="BGG60" s="0"/>
      <c r="BGH60" s="0"/>
      <c r="BGI60" s="0"/>
      <c r="BGJ60" s="0"/>
      <c r="BGK60" s="0"/>
      <c r="BGL60" s="0"/>
      <c r="BGM60" s="0"/>
      <c r="BGN60" s="0"/>
      <c r="BGO60" s="0"/>
      <c r="BGP60" s="0"/>
      <c r="BGQ60" s="0"/>
      <c r="BGR60" s="0"/>
      <c r="BGS60" s="0"/>
      <c r="BGT60" s="0"/>
      <c r="BGU60" s="0"/>
      <c r="BGV60" s="0"/>
      <c r="BGW60" s="0"/>
      <c r="BGX60" s="0"/>
      <c r="BGY60" s="0"/>
      <c r="BGZ60" s="0"/>
      <c r="BHA60" s="0"/>
      <c r="BHB60" s="0"/>
      <c r="BHC60" s="0"/>
      <c r="BHD60" s="0"/>
      <c r="BHE60" s="0"/>
      <c r="BHF60" s="0"/>
      <c r="BHG60" s="0"/>
      <c r="BHH60" s="0"/>
      <c r="BHI60" s="0"/>
      <c r="BHJ60" s="0"/>
      <c r="BHK60" s="0"/>
      <c r="BHL60" s="0"/>
      <c r="BHM60" s="0"/>
      <c r="BHN60" s="0"/>
      <c r="BHO60" s="0"/>
      <c r="BHP60" s="0"/>
      <c r="BHQ60" s="0"/>
      <c r="BHR60" s="0"/>
      <c r="BHS60" s="0"/>
      <c r="BHT60" s="0"/>
      <c r="BHU60" s="0"/>
      <c r="BHV60" s="0"/>
      <c r="BHW60" s="0"/>
      <c r="BHX60" s="0"/>
      <c r="BHY60" s="0"/>
      <c r="BHZ60" s="0"/>
      <c r="BIA60" s="0"/>
      <c r="BIB60" s="0"/>
      <c r="BIC60" s="0"/>
      <c r="BID60" s="0"/>
      <c r="BIE60" s="0"/>
      <c r="BIF60" s="0"/>
      <c r="BIG60" s="0"/>
      <c r="BIH60" s="0"/>
      <c r="BII60" s="0"/>
      <c r="BIJ60" s="0"/>
      <c r="BIK60" s="0"/>
      <c r="BIL60" s="0"/>
      <c r="BIM60" s="0"/>
      <c r="BIN60" s="0"/>
      <c r="BIO60" s="0"/>
      <c r="BIP60" s="0"/>
      <c r="BIQ60" s="0"/>
      <c r="BIR60" s="0"/>
      <c r="BIS60" s="0"/>
      <c r="BIT60" s="0"/>
      <c r="BIU60" s="0"/>
      <c r="BIV60" s="0"/>
      <c r="BIW60" s="0"/>
      <c r="BIX60" s="0"/>
      <c r="BIY60" s="0"/>
      <c r="BIZ60" s="0"/>
      <c r="BJA60" s="0"/>
      <c r="BJB60" s="0"/>
      <c r="BJC60" s="0"/>
      <c r="BJD60" s="0"/>
      <c r="BJE60" s="0"/>
      <c r="BJF60" s="0"/>
      <c r="BJG60" s="0"/>
      <c r="BJH60" s="0"/>
      <c r="BJI60" s="0"/>
      <c r="BJJ60" s="0"/>
      <c r="BJK60" s="0"/>
      <c r="BJL60" s="0"/>
      <c r="BJM60" s="0"/>
      <c r="BJN60" s="0"/>
      <c r="BJO60" s="0"/>
      <c r="BJP60" s="0"/>
      <c r="BJQ60" s="0"/>
      <c r="BJR60" s="0"/>
      <c r="BJS60" s="0"/>
      <c r="BJT60" s="0"/>
      <c r="BJU60" s="0"/>
      <c r="BJV60" s="0"/>
      <c r="BJW60" s="0"/>
      <c r="BJX60" s="0"/>
      <c r="BJY60" s="0"/>
      <c r="BJZ60" s="0"/>
      <c r="BKA60" s="0"/>
      <c r="BKB60" s="0"/>
      <c r="BKC60" s="0"/>
      <c r="BKD60" s="0"/>
      <c r="BKE60" s="0"/>
      <c r="BKF60" s="0"/>
      <c r="BKG60" s="0"/>
      <c r="BKH60" s="0"/>
      <c r="BKI60" s="0"/>
      <c r="BKJ60" s="0"/>
      <c r="BKK60" s="0"/>
      <c r="BKL60" s="0"/>
      <c r="BKM60" s="0"/>
      <c r="BKN60" s="0"/>
      <c r="BKO60" s="0"/>
      <c r="BKP60" s="0"/>
      <c r="BKQ60" s="0"/>
      <c r="BKR60" s="0"/>
      <c r="BKS60" s="0"/>
      <c r="BKT60" s="0"/>
      <c r="BKU60" s="0"/>
      <c r="BKV60" s="0"/>
      <c r="BKW60" s="0"/>
      <c r="BKX60" s="0"/>
      <c r="BKY60" s="0"/>
      <c r="BKZ60" s="0"/>
      <c r="BLA60" s="0"/>
      <c r="BLB60" s="0"/>
      <c r="BLC60" s="0"/>
      <c r="BLD60" s="0"/>
      <c r="BLE60" s="0"/>
      <c r="BLF60" s="0"/>
      <c r="BLG60" s="0"/>
      <c r="BLH60" s="0"/>
      <c r="BLI60" s="0"/>
      <c r="BLJ60" s="0"/>
      <c r="BLK60" s="0"/>
      <c r="BLL60" s="0"/>
      <c r="BLM60" s="0"/>
      <c r="BLN60" s="0"/>
      <c r="BLO60" s="0"/>
      <c r="BLP60" s="0"/>
      <c r="BLQ60" s="0"/>
      <c r="BLR60" s="0"/>
      <c r="BLS60" s="0"/>
      <c r="BLT60" s="0"/>
      <c r="BLU60" s="0"/>
      <c r="BLV60" s="0"/>
      <c r="BLW60" s="0"/>
      <c r="BLX60" s="0"/>
      <c r="BLY60" s="0"/>
      <c r="BLZ60" s="0"/>
      <c r="BMA60" s="0"/>
      <c r="BMB60" s="0"/>
      <c r="BMC60" s="0"/>
      <c r="BMD60" s="0"/>
      <c r="BME60" s="0"/>
      <c r="BMF60" s="0"/>
      <c r="BMG60" s="0"/>
      <c r="BMH60" s="0"/>
      <c r="BMI60" s="0"/>
      <c r="BMJ60" s="0"/>
      <c r="BMK60" s="0"/>
      <c r="BML60" s="0"/>
      <c r="BMM60" s="0"/>
      <c r="BMN60" s="0"/>
      <c r="BMO60" s="0"/>
      <c r="BMP60" s="0"/>
      <c r="BMQ60" s="0"/>
      <c r="BMR60" s="0"/>
      <c r="BMS60" s="0"/>
      <c r="BMT60" s="0"/>
      <c r="BMU60" s="0"/>
      <c r="BMV60" s="0"/>
      <c r="BMW60" s="0"/>
      <c r="BMX60" s="0"/>
      <c r="BMY60" s="0"/>
      <c r="BMZ60" s="0"/>
      <c r="BNA60" s="0"/>
      <c r="BNB60" s="0"/>
      <c r="BNC60" s="0"/>
      <c r="BND60" s="0"/>
      <c r="BNE60" s="0"/>
      <c r="BNF60" s="0"/>
      <c r="BNG60" s="0"/>
      <c r="BNH60" s="0"/>
      <c r="BNI60" s="0"/>
      <c r="BNJ60" s="0"/>
      <c r="BNK60" s="0"/>
      <c r="BNL60" s="0"/>
      <c r="BNM60" s="0"/>
      <c r="BNN60" s="0"/>
      <c r="BNO60" s="0"/>
      <c r="BNP60" s="0"/>
      <c r="BNQ60" s="0"/>
      <c r="BNR60" s="0"/>
      <c r="BNS60" s="0"/>
      <c r="BNT60" s="0"/>
      <c r="BNU60" s="0"/>
      <c r="BNV60" s="0"/>
      <c r="BNW60" s="0"/>
      <c r="BNX60" s="0"/>
      <c r="BNY60" s="0"/>
      <c r="BNZ60" s="0"/>
      <c r="BOA60" s="0"/>
      <c r="BOB60" s="0"/>
      <c r="BOC60" s="0"/>
      <c r="BOD60" s="0"/>
      <c r="BOE60" s="0"/>
      <c r="BOF60" s="0"/>
      <c r="BOG60" s="0"/>
      <c r="BOH60" s="0"/>
      <c r="BOI60" s="0"/>
      <c r="BOJ60" s="0"/>
      <c r="BOK60" s="0"/>
      <c r="BOL60" s="0"/>
      <c r="BOM60" s="0"/>
      <c r="BON60" s="0"/>
      <c r="BOO60" s="0"/>
      <c r="BOP60" s="0"/>
      <c r="BOQ60" s="0"/>
      <c r="BOR60" s="0"/>
      <c r="BOS60" s="0"/>
      <c r="BOT60" s="0"/>
      <c r="BOU60" s="0"/>
      <c r="BOV60" s="0"/>
      <c r="BOW60" s="0"/>
      <c r="BOX60" s="0"/>
      <c r="BOY60" s="0"/>
      <c r="BOZ60" s="0"/>
      <c r="BPA60" s="0"/>
      <c r="BPB60" s="0"/>
      <c r="BPC60" s="0"/>
      <c r="BPD60" s="0"/>
      <c r="BPE60" s="0"/>
      <c r="BPF60" s="0"/>
      <c r="BPG60" s="0"/>
      <c r="BPH60" s="0"/>
      <c r="BPI60" s="0"/>
      <c r="BPJ60" s="0"/>
      <c r="BPK60" s="0"/>
      <c r="BPL60" s="0"/>
      <c r="BPM60" s="0"/>
      <c r="BPN60" s="0"/>
      <c r="BPO60" s="0"/>
      <c r="BPP60" s="0"/>
      <c r="BPQ60" s="0"/>
      <c r="BPR60" s="0"/>
      <c r="BPS60" s="0"/>
      <c r="BPT60" s="0"/>
      <c r="BPU60" s="0"/>
      <c r="BPV60" s="0"/>
      <c r="BPW60" s="0"/>
      <c r="BPX60" s="0"/>
      <c r="BPY60" s="0"/>
      <c r="BPZ60" s="0"/>
      <c r="BQA60" s="0"/>
      <c r="BQB60" s="0"/>
      <c r="BQC60" s="0"/>
      <c r="BQD60" s="0"/>
      <c r="BQE60" s="0"/>
      <c r="BQF60" s="0"/>
      <c r="BQG60" s="0"/>
      <c r="BQH60" s="0"/>
      <c r="BQI60" s="0"/>
      <c r="BQJ60" s="0"/>
      <c r="BQK60" s="0"/>
      <c r="BQL60" s="0"/>
      <c r="BQM60" s="0"/>
      <c r="BQN60" s="0"/>
      <c r="BQO60" s="0"/>
      <c r="BQP60" s="0"/>
      <c r="BQQ60" s="0"/>
      <c r="BQR60" s="0"/>
      <c r="BQS60" s="0"/>
      <c r="BQT60" s="0"/>
      <c r="BQU60" s="0"/>
      <c r="BQV60" s="0"/>
      <c r="BQW60" s="0"/>
      <c r="BQX60" s="0"/>
      <c r="BQY60" s="0"/>
      <c r="BQZ60" s="0"/>
      <c r="BRA60" s="0"/>
      <c r="BRB60" s="0"/>
      <c r="BRC60" s="0"/>
      <c r="BRD60" s="0"/>
      <c r="BRE60" s="0"/>
      <c r="BRF60" s="0"/>
      <c r="BRG60" s="0"/>
      <c r="BRH60" s="0"/>
      <c r="BRI60" s="0"/>
      <c r="BRJ60" s="0"/>
      <c r="BRK60" s="0"/>
      <c r="BRL60" s="0"/>
      <c r="BRM60" s="0"/>
      <c r="BRN60" s="0"/>
      <c r="BRO60" s="0"/>
      <c r="BRP60" s="0"/>
      <c r="BRQ60" s="0"/>
      <c r="BRR60" s="0"/>
      <c r="BRS60" s="0"/>
      <c r="BRT60" s="0"/>
      <c r="BRU60" s="0"/>
      <c r="BRV60" s="0"/>
      <c r="BRW60" s="0"/>
      <c r="BRX60" s="0"/>
      <c r="BRY60" s="0"/>
      <c r="BRZ60" s="0"/>
      <c r="BSA60" s="0"/>
      <c r="BSB60" s="0"/>
      <c r="BSC60" s="0"/>
      <c r="BSD60" s="0"/>
      <c r="BSE60" s="0"/>
      <c r="BSF60" s="0"/>
      <c r="BSG60" s="0"/>
      <c r="BSH60" s="0"/>
      <c r="BSI60" s="0"/>
      <c r="BSJ60" s="0"/>
      <c r="BSK60" s="0"/>
      <c r="BSL60" s="0"/>
      <c r="BSM60" s="0"/>
      <c r="BSN60" s="0"/>
      <c r="BSO60" s="0"/>
      <c r="BSP60" s="0"/>
      <c r="BSQ60" s="0"/>
      <c r="BSR60" s="0"/>
      <c r="BSS60" s="0"/>
      <c r="BST60" s="0"/>
      <c r="BSU60" s="0"/>
      <c r="BSV60" s="0"/>
      <c r="BSW60" s="0"/>
      <c r="BSX60" s="0"/>
      <c r="BSY60" s="0"/>
      <c r="BSZ60" s="0"/>
      <c r="BTA60" s="0"/>
      <c r="BTB60" s="0"/>
      <c r="BTC60" s="0"/>
      <c r="BTD60" s="0"/>
      <c r="BTE60" s="0"/>
      <c r="BTF60" s="0"/>
      <c r="BTG60" s="0"/>
      <c r="BTH60" s="0"/>
      <c r="BTI60" s="0"/>
      <c r="BTJ60" s="0"/>
      <c r="BTK60" s="0"/>
      <c r="BTL60" s="0"/>
      <c r="BTM60" s="0"/>
      <c r="BTN60" s="0"/>
      <c r="BTO60" s="0"/>
      <c r="BTP60" s="0"/>
      <c r="BTQ60" s="0"/>
      <c r="BTR60" s="0"/>
      <c r="BTS60" s="0"/>
      <c r="BTT60" s="0"/>
      <c r="BTU60" s="0"/>
      <c r="BTV60" s="0"/>
      <c r="BTW60" s="0"/>
      <c r="BTX60" s="0"/>
      <c r="BTY60" s="0"/>
      <c r="BTZ60" s="0"/>
      <c r="BUA60" s="0"/>
      <c r="BUB60" s="0"/>
      <c r="BUC60" s="0"/>
      <c r="BUD60" s="0"/>
      <c r="BUE60" s="0"/>
      <c r="BUF60" s="0"/>
      <c r="BUG60" s="0"/>
      <c r="BUH60" s="0"/>
      <c r="BUI60" s="0"/>
      <c r="BUJ60" s="0"/>
      <c r="BUK60" s="0"/>
      <c r="BUL60" s="0"/>
      <c r="BUM60" s="0"/>
      <c r="BUN60" s="0"/>
      <c r="BUO60" s="0"/>
      <c r="BUP60" s="0"/>
      <c r="BUQ60" s="0"/>
      <c r="BUR60" s="0"/>
      <c r="BUS60" s="0"/>
      <c r="BUT60" s="0"/>
      <c r="BUU60" s="0"/>
      <c r="BUV60" s="0"/>
      <c r="BUW60" s="0"/>
      <c r="BUX60" s="0"/>
      <c r="BUY60" s="0"/>
      <c r="BUZ60" s="0"/>
      <c r="BVA60" s="0"/>
      <c r="BVB60" s="0"/>
      <c r="BVC60" s="0"/>
      <c r="BVD60" s="0"/>
      <c r="BVE60" s="0"/>
      <c r="BVF60" s="0"/>
      <c r="BVG60" s="0"/>
      <c r="BVH60" s="0"/>
      <c r="BVI60" s="0"/>
      <c r="BVJ60" s="0"/>
      <c r="BVK60" s="0"/>
      <c r="BVL60" s="0"/>
      <c r="BVM60" s="0"/>
      <c r="BVN60" s="0"/>
      <c r="BVO60" s="0"/>
      <c r="BVP60" s="0"/>
      <c r="BVQ60" s="0"/>
      <c r="BVR60" s="0"/>
      <c r="BVS60" s="0"/>
      <c r="BVT60" s="0"/>
      <c r="BVU60" s="0"/>
      <c r="BVV60" s="0"/>
      <c r="BVW60" s="0"/>
      <c r="BVX60" s="0"/>
      <c r="BVY60" s="0"/>
      <c r="BVZ60" s="0"/>
      <c r="BWA60" s="0"/>
      <c r="BWB60" s="0"/>
      <c r="BWC60" s="0"/>
      <c r="BWD60" s="0"/>
      <c r="BWE60" s="0"/>
      <c r="BWF60" s="0"/>
      <c r="BWG60" s="0"/>
      <c r="BWH60" s="0"/>
      <c r="BWI60" s="0"/>
      <c r="BWJ60" s="0"/>
      <c r="BWK60" s="0"/>
      <c r="BWL60" s="0"/>
      <c r="BWM60" s="0"/>
      <c r="BWN60" s="0"/>
      <c r="BWO60" s="0"/>
      <c r="BWP60" s="0"/>
      <c r="BWQ60" s="0"/>
      <c r="BWR60" s="0"/>
      <c r="BWS60" s="0"/>
      <c r="BWT60" s="0"/>
      <c r="BWU60" s="0"/>
      <c r="BWV60" s="0"/>
      <c r="BWW60" s="0"/>
      <c r="BWX60" s="0"/>
      <c r="BWY60" s="0"/>
      <c r="BWZ60" s="0"/>
      <c r="BXA60" s="0"/>
      <c r="BXB60" s="0"/>
      <c r="BXC60" s="0"/>
      <c r="BXD60" s="0"/>
      <c r="BXE60" s="0"/>
      <c r="BXF60" s="0"/>
      <c r="BXG60" s="0"/>
      <c r="BXH60" s="0"/>
      <c r="BXI60" s="0"/>
      <c r="BXJ60" s="0"/>
      <c r="BXK60" s="0"/>
      <c r="BXL60" s="0"/>
      <c r="BXM60" s="0"/>
      <c r="BXN60" s="0"/>
      <c r="BXO60" s="0"/>
      <c r="BXP60" s="0"/>
      <c r="BXQ60" s="0"/>
      <c r="BXR60" s="0"/>
      <c r="BXS60" s="0"/>
      <c r="BXT60" s="0"/>
      <c r="BXU60" s="0"/>
      <c r="BXV60" s="0"/>
      <c r="BXW60" s="0"/>
      <c r="BXX60" s="0"/>
      <c r="BXY60" s="0"/>
      <c r="BXZ60" s="0"/>
      <c r="BYA60" s="0"/>
      <c r="BYB60" s="0"/>
      <c r="BYC60" s="0"/>
      <c r="BYD60" s="0"/>
      <c r="BYE60" s="0"/>
      <c r="BYF60" s="0"/>
      <c r="BYG60" s="0"/>
      <c r="BYH60" s="0"/>
      <c r="BYI60" s="0"/>
      <c r="BYJ60" s="0"/>
      <c r="BYK60" s="0"/>
      <c r="BYL60" s="0"/>
      <c r="BYM60" s="0"/>
      <c r="BYN60" s="0"/>
      <c r="BYO60" s="0"/>
      <c r="BYP60" s="0"/>
      <c r="BYQ60" s="0"/>
      <c r="BYR60" s="0"/>
      <c r="BYS60" s="0"/>
      <c r="BYT60" s="0"/>
      <c r="BYU60" s="0"/>
      <c r="BYV60" s="0"/>
      <c r="BYW60" s="0"/>
      <c r="BYX60" s="0"/>
      <c r="BYY60" s="0"/>
      <c r="BYZ60" s="0"/>
      <c r="BZA60" s="0"/>
      <c r="BZB60" s="0"/>
      <c r="BZC60" s="0"/>
      <c r="BZD60" s="0"/>
      <c r="BZE60" s="0"/>
      <c r="BZF60" s="0"/>
      <c r="BZG60" s="0"/>
      <c r="BZH60" s="0"/>
      <c r="BZI60" s="0"/>
      <c r="BZJ60" s="0"/>
      <c r="BZK60" s="0"/>
      <c r="BZL60" s="0"/>
      <c r="BZM60" s="0"/>
      <c r="BZN60" s="0"/>
      <c r="BZO60" s="0"/>
      <c r="BZP60" s="0"/>
      <c r="BZQ60" s="0"/>
      <c r="BZR60" s="0"/>
      <c r="BZS60" s="0"/>
      <c r="BZT60" s="0"/>
      <c r="BZU60" s="0"/>
      <c r="BZV60" s="0"/>
      <c r="BZW60" s="0"/>
      <c r="BZX60" s="0"/>
      <c r="BZY60" s="0"/>
      <c r="BZZ60" s="0"/>
      <c r="CAA60" s="0"/>
      <c r="CAB60" s="0"/>
      <c r="CAC60" s="0"/>
      <c r="CAD60" s="0"/>
      <c r="CAE60" s="0"/>
      <c r="CAF60" s="0"/>
      <c r="CAG60" s="0"/>
      <c r="CAH60" s="0"/>
      <c r="CAI60" s="0"/>
      <c r="CAJ60" s="0"/>
      <c r="CAK60" s="0"/>
      <c r="CAL60" s="0"/>
      <c r="CAM60" s="0"/>
      <c r="CAN60" s="0"/>
      <c r="CAO60" s="0"/>
      <c r="CAP60" s="0"/>
      <c r="CAQ60" s="0"/>
      <c r="CAR60" s="0"/>
      <c r="CAS60" s="0"/>
      <c r="CAT60" s="0"/>
      <c r="CAU60" s="0"/>
      <c r="CAV60" s="0"/>
      <c r="CAW60" s="0"/>
      <c r="CAX60" s="0"/>
      <c r="CAY60" s="0"/>
      <c r="CAZ60" s="0"/>
      <c r="CBA60" s="0"/>
      <c r="CBB60" s="0"/>
      <c r="CBC60" s="0"/>
      <c r="CBD60" s="0"/>
      <c r="CBE60" s="0"/>
      <c r="CBF60" s="0"/>
      <c r="CBG60" s="0"/>
      <c r="CBH60" s="0"/>
      <c r="CBI60" s="0"/>
      <c r="CBJ60" s="0"/>
      <c r="CBK60" s="0"/>
      <c r="CBL60" s="0"/>
      <c r="CBM60" s="0"/>
      <c r="CBN60" s="0"/>
      <c r="CBO60" s="0"/>
      <c r="CBP60" s="0"/>
      <c r="CBQ60" s="0"/>
      <c r="CBR60" s="0"/>
      <c r="CBS60" s="0"/>
      <c r="CBT60" s="0"/>
      <c r="CBU60" s="0"/>
      <c r="CBV60" s="0"/>
      <c r="CBW60" s="0"/>
      <c r="CBX60" s="0"/>
      <c r="CBY60" s="0"/>
      <c r="CBZ60" s="0"/>
      <c r="CCA60" s="0"/>
      <c r="CCB60" s="0"/>
      <c r="CCC60" s="0"/>
      <c r="CCD60" s="0"/>
      <c r="CCE60" s="0"/>
      <c r="CCF60" s="0"/>
      <c r="CCG60" s="0"/>
      <c r="CCH60" s="0"/>
      <c r="CCI60" s="0"/>
      <c r="CCJ60" s="0"/>
      <c r="CCK60" s="0"/>
      <c r="CCL60" s="0"/>
      <c r="CCM60" s="0"/>
      <c r="CCN60" s="0"/>
      <c r="CCO60" s="0"/>
      <c r="CCP60" s="0"/>
      <c r="CCQ60" s="0"/>
      <c r="CCR60" s="0"/>
      <c r="CCS60" s="0"/>
      <c r="CCT60" s="0"/>
      <c r="CCU60" s="0"/>
      <c r="CCV60" s="0"/>
      <c r="CCW60" s="0"/>
      <c r="CCX60" s="0"/>
      <c r="CCY60" s="0"/>
      <c r="CCZ60" s="0"/>
      <c r="CDA60" s="0"/>
      <c r="CDB60" s="0"/>
      <c r="CDC60" s="0"/>
      <c r="CDD60" s="0"/>
      <c r="CDE60" s="0"/>
      <c r="CDF60" s="0"/>
      <c r="CDG60" s="0"/>
      <c r="CDH60" s="0"/>
      <c r="CDI60" s="0"/>
      <c r="CDJ60" s="0"/>
      <c r="CDK60" s="0"/>
      <c r="CDL60" s="0"/>
      <c r="CDM60" s="0"/>
      <c r="CDN60" s="0"/>
      <c r="CDO60" s="0"/>
      <c r="CDP60" s="0"/>
      <c r="CDQ60" s="0"/>
      <c r="CDR60" s="0"/>
      <c r="CDS60" s="0"/>
      <c r="CDT60" s="0"/>
      <c r="CDU60" s="0"/>
      <c r="CDV60" s="0"/>
      <c r="CDW60" s="0"/>
      <c r="CDX60" s="0"/>
      <c r="CDY60" s="0"/>
      <c r="CDZ60" s="0"/>
      <c r="CEA60" s="0"/>
      <c r="CEB60" s="0"/>
      <c r="CEC60" s="0"/>
      <c r="CED60" s="0"/>
      <c r="CEE60" s="0"/>
      <c r="CEF60" s="0"/>
      <c r="CEG60" s="0"/>
      <c r="CEH60" s="0"/>
      <c r="CEI60" s="0"/>
      <c r="CEJ60" s="0"/>
      <c r="CEK60" s="0"/>
      <c r="CEL60" s="0"/>
      <c r="CEM60" s="0"/>
      <c r="CEN60" s="0"/>
      <c r="CEO60" s="0"/>
      <c r="CEP60" s="0"/>
      <c r="CEQ60" s="0"/>
      <c r="CER60" s="0"/>
      <c r="CES60" s="0"/>
      <c r="CET60" s="0"/>
      <c r="CEU60" s="0"/>
      <c r="CEV60" s="0"/>
      <c r="CEW60" s="0"/>
      <c r="CEX60" s="0"/>
      <c r="CEY60" s="0"/>
      <c r="CEZ60" s="0"/>
      <c r="CFA60" s="0"/>
      <c r="CFB60" s="0"/>
      <c r="CFC60" s="0"/>
      <c r="CFD60" s="0"/>
      <c r="CFE60" s="0"/>
      <c r="CFF60" s="0"/>
      <c r="CFG60" s="0"/>
      <c r="CFH60" s="0"/>
      <c r="CFI60" s="0"/>
      <c r="CFJ60" s="0"/>
      <c r="CFK60" s="0"/>
      <c r="CFL60" s="0"/>
      <c r="CFM60" s="0"/>
      <c r="CFN60" s="0"/>
      <c r="CFO60" s="0"/>
      <c r="CFP60" s="0"/>
      <c r="CFQ60" s="0"/>
      <c r="CFR60" s="0"/>
      <c r="CFS60" s="0"/>
      <c r="CFT60" s="0"/>
      <c r="CFU60" s="0"/>
      <c r="CFV60" s="0"/>
      <c r="CFW60" s="0"/>
      <c r="CFX60" s="0"/>
      <c r="CFY60" s="0"/>
      <c r="CFZ60" s="0"/>
      <c r="CGA60" s="0"/>
      <c r="CGB60" s="0"/>
      <c r="CGC60" s="0"/>
      <c r="CGD60" s="0"/>
      <c r="CGE60" s="0"/>
      <c r="CGF60" s="0"/>
      <c r="CGG60" s="0"/>
      <c r="CGH60" s="0"/>
      <c r="CGI60" s="0"/>
      <c r="CGJ60" s="0"/>
      <c r="CGK60" s="0"/>
      <c r="CGL60" s="0"/>
      <c r="CGM60" s="0"/>
      <c r="CGN60" s="0"/>
      <c r="CGO60" s="0"/>
      <c r="CGP60" s="0"/>
      <c r="CGQ60" s="0"/>
      <c r="CGR60" s="0"/>
      <c r="CGS60" s="0"/>
      <c r="CGT60" s="0"/>
      <c r="CGU60" s="0"/>
      <c r="CGV60" s="0"/>
      <c r="CGW60" s="0"/>
      <c r="CGX60" s="0"/>
      <c r="CGY60" s="0"/>
      <c r="CGZ60" s="0"/>
      <c r="CHA60" s="0"/>
      <c r="CHB60" s="0"/>
      <c r="CHC60" s="0"/>
      <c r="CHD60" s="0"/>
      <c r="CHE60" s="0"/>
      <c r="CHF60" s="0"/>
      <c r="CHG60" s="0"/>
      <c r="CHH60" s="0"/>
      <c r="CHI60" s="0"/>
      <c r="CHJ60" s="0"/>
      <c r="CHK60" s="0"/>
      <c r="CHL60" s="0"/>
      <c r="CHM60" s="0"/>
      <c r="CHN60" s="0"/>
      <c r="CHO60" s="0"/>
      <c r="CHP60" s="0"/>
      <c r="CHQ60" s="0"/>
      <c r="CHR60" s="0"/>
      <c r="CHS60" s="0"/>
      <c r="CHT60" s="0"/>
      <c r="CHU60" s="0"/>
      <c r="CHV60" s="0"/>
      <c r="CHW60" s="0"/>
      <c r="CHX60" s="0"/>
      <c r="CHY60" s="0"/>
      <c r="CHZ60" s="0"/>
      <c r="CIA60" s="0"/>
      <c r="CIB60" s="0"/>
      <c r="CIC60" s="0"/>
      <c r="CID60" s="0"/>
      <c r="CIE60" s="0"/>
      <c r="CIF60" s="0"/>
      <c r="CIG60" s="0"/>
      <c r="CIH60" s="0"/>
      <c r="CII60" s="0"/>
      <c r="CIJ60" s="0"/>
      <c r="CIK60" s="0"/>
      <c r="CIL60" s="0"/>
      <c r="CIM60" s="0"/>
      <c r="CIN60" s="0"/>
      <c r="CIO60" s="0"/>
      <c r="CIP60" s="0"/>
      <c r="CIQ60" s="0"/>
      <c r="CIR60" s="0"/>
      <c r="CIS60" s="0"/>
      <c r="CIT60" s="0"/>
      <c r="CIU60" s="0"/>
      <c r="CIV60" s="0"/>
      <c r="CIW60" s="0"/>
      <c r="CIX60" s="0"/>
      <c r="CIY60" s="0"/>
      <c r="CIZ60" s="0"/>
      <c r="CJA60" s="0"/>
      <c r="CJB60" s="0"/>
      <c r="CJC60" s="0"/>
      <c r="CJD60" s="0"/>
      <c r="CJE60" s="0"/>
      <c r="CJF60" s="0"/>
      <c r="CJG60" s="0"/>
      <c r="CJH60" s="0"/>
      <c r="CJI60" s="0"/>
      <c r="CJJ60" s="0"/>
      <c r="CJK60" s="0"/>
      <c r="CJL60" s="0"/>
      <c r="CJM60" s="0"/>
      <c r="CJN60" s="0"/>
      <c r="CJO60" s="0"/>
      <c r="CJP60" s="0"/>
      <c r="CJQ60" s="0"/>
      <c r="CJR60" s="0"/>
      <c r="CJS60" s="0"/>
      <c r="CJT60" s="0"/>
      <c r="CJU60" s="0"/>
      <c r="CJV60" s="0"/>
      <c r="CJW60" s="0"/>
      <c r="CJX60" s="0"/>
      <c r="CJY60" s="0"/>
      <c r="CJZ60" s="0"/>
      <c r="CKA60" s="0"/>
      <c r="CKB60" s="0"/>
      <c r="CKC60" s="0"/>
      <c r="CKD60" s="0"/>
      <c r="CKE60" s="0"/>
      <c r="CKF60" s="0"/>
      <c r="CKG60" s="0"/>
      <c r="CKH60" s="0"/>
      <c r="CKI60" s="0"/>
      <c r="CKJ60" s="0"/>
      <c r="CKK60" s="0"/>
      <c r="CKL60" s="0"/>
      <c r="CKM60" s="0"/>
      <c r="CKN60" s="0"/>
      <c r="CKO60" s="0"/>
      <c r="CKP60" s="0"/>
      <c r="CKQ60" s="0"/>
      <c r="CKR60" s="0"/>
      <c r="CKS60" s="0"/>
      <c r="CKT60" s="0"/>
      <c r="CKU60" s="0"/>
      <c r="CKV60" s="0"/>
      <c r="CKW60" s="0"/>
      <c r="CKX60" s="0"/>
      <c r="CKY60" s="0"/>
      <c r="CKZ60" s="0"/>
      <c r="CLA60" s="0"/>
      <c r="CLB60" s="0"/>
      <c r="CLC60" s="0"/>
      <c r="CLD60" s="0"/>
      <c r="CLE60" s="0"/>
      <c r="CLF60" s="0"/>
      <c r="CLG60" s="0"/>
      <c r="CLH60" s="0"/>
      <c r="CLI60" s="0"/>
      <c r="CLJ60" s="0"/>
      <c r="CLK60" s="0"/>
      <c r="CLL60" s="0"/>
      <c r="CLM60" s="0"/>
      <c r="CLN60" s="0"/>
      <c r="CLO60" s="0"/>
      <c r="CLP60" s="0"/>
      <c r="CLQ60" s="0"/>
      <c r="CLR60" s="0"/>
      <c r="CLS60" s="0"/>
      <c r="CLT60" s="0"/>
      <c r="CLU60" s="0"/>
      <c r="CLV60" s="0"/>
      <c r="CLW60" s="0"/>
      <c r="CLX60" s="0"/>
      <c r="CLY60" s="0"/>
      <c r="CLZ60" s="0"/>
      <c r="CMA60" s="0"/>
      <c r="CMB60" s="0"/>
      <c r="CMC60" s="0"/>
      <c r="CMD60" s="0"/>
      <c r="CME60" s="0"/>
      <c r="CMF60" s="0"/>
      <c r="CMG60" s="0"/>
      <c r="CMH60" s="0"/>
      <c r="CMI60" s="0"/>
      <c r="CMJ60" s="0"/>
      <c r="CMK60" s="0"/>
      <c r="CML60" s="0"/>
      <c r="CMM60" s="0"/>
      <c r="CMN60" s="0"/>
      <c r="CMO60" s="0"/>
      <c r="CMP60" s="0"/>
      <c r="CMQ60" s="0"/>
      <c r="CMR60" s="0"/>
      <c r="CMS60" s="0"/>
      <c r="CMT60" s="0"/>
      <c r="CMU60" s="0"/>
      <c r="CMV60" s="0"/>
      <c r="CMW60" s="0"/>
      <c r="CMX60" s="0"/>
      <c r="CMY60" s="0"/>
      <c r="CMZ60" s="0"/>
      <c r="CNA60" s="0"/>
      <c r="CNB60" s="0"/>
      <c r="CNC60" s="0"/>
      <c r="CND60" s="0"/>
      <c r="CNE60" s="0"/>
      <c r="CNF60" s="0"/>
      <c r="CNG60" s="0"/>
      <c r="CNH60" s="0"/>
      <c r="CNI60" s="0"/>
      <c r="CNJ60" s="0"/>
      <c r="CNK60" s="0"/>
      <c r="CNL60" s="0"/>
      <c r="CNM60" s="0"/>
      <c r="CNN60" s="0"/>
      <c r="CNO60" s="0"/>
      <c r="CNP60" s="0"/>
      <c r="CNQ60" s="0"/>
      <c r="CNR60" s="0"/>
      <c r="CNS60" s="0"/>
      <c r="CNT60" s="0"/>
      <c r="CNU60" s="0"/>
      <c r="CNV60" s="0"/>
      <c r="CNW60" s="0"/>
      <c r="CNX60" s="0"/>
      <c r="CNY60" s="0"/>
      <c r="CNZ60" s="0"/>
      <c r="COA60" s="0"/>
      <c r="COB60" s="0"/>
      <c r="COC60" s="0"/>
      <c r="COD60" s="0"/>
      <c r="COE60" s="0"/>
      <c r="COF60" s="0"/>
      <c r="COG60" s="0"/>
      <c r="COH60" s="0"/>
      <c r="COI60" s="0"/>
      <c r="COJ60" s="0"/>
      <c r="COK60" s="0"/>
      <c r="COL60" s="0"/>
      <c r="COM60" s="0"/>
      <c r="CON60" s="0"/>
      <c r="COO60" s="0"/>
      <c r="COP60" s="0"/>
      <c r="COQ60" s="0"/>
      <c r="COR60" s="0"/>
      <c r="COS60" s="0"/>
      <c r="COT60" s="0"/>
      <c r="COU60" s="0"/>
      <c r="COV60" s="0"/>
      <c r="COW60" s="0"/>
      <c r="COX60" s="0"/>
      <c r="COY60" s="0"/>
      <c r="COZ60" s="0"/>
      <c r="CPA60" s="0"/>
      <c r="CPB60" s="0"/>
      <c r="CPC60" s="0"/>
      <c r="CPD60" s="0"/>
      <c r="CPE60" s="0"/>
      <c r="CPF60" s="0"/>
      <c r="CPG60" s="0"/>
      <c r="CPH60" s="0"/>
      <c r="CPI60" s="0"/>
      <c r="CPJ60" s="0"/>
      <c r="CPK60" s="0"/>
      <c r="CPL60" s="0"/>
      <c r="CPM60" s="0"/>
      <c r="CPN60" s="0"/>
      <c r="CPO60" s="0"/>
      <c r="CPP60" s="0"/>
      <c r="CPQ60" s="0"/>
      <c r="CPR60" s="0"/>
      <c r="CPS60" s="0"/>
      <c r="CPT60" s="0"/>
      <c r="CPU60" s="0"/>
      <c r="CPV60" s="0"/>
      <c r="CPW60" s="0"/>
      <c r="CPX60" s="0"/>
      <c r="CPY60" s="0"/>
      <c r="CPZ60" s="0"/>
      <c r="CQA60" s="0"/>
      <c r="CQB60" s="0"/>
      <c r="CQC60" s="0"/>
      <c r="CQD60" s="0"/>
      <c r="CQE60" s="0"/>
      <c r="CQF60" s="0"/>
      <c r="CQG60" s="0"/>
      <c r="CQH60" s="0"/>
      <c r="CQI60" s="0"/>
      <c r="CQJ60" s="0"/>
      <c r="CQK60" s="0"/>
      <c r="CQL60" s="0"/>
      <c r="CQM60" s="0"/>
      <c r="CQN60" s="0"/>
      <c r="CQO60" s="0"/>
      <c r="CQP60" s="0"/>
      <c r="CQQ60" s="0"/>
      <c r="CQR60" s="0"/>
      <c r="CQS60" s="0"/>
      <c r="CQT60" s="0"/>
      <c r="CQU60" s="0"/>
      <c r="CQV60" s="0"/>
      <c r="CQW60" s="0"/>
      <c r="CQX60" s="0"/>
      <c r="CQY60" s="0"/>
      <c r="CQZ60" s="0"/>
      <c r="CRA60" s="0"/>
      <c r="CRB60" s="0"/>
      <c r="CRC60" s="0"/>
      <c r="CRD60" s="0"/>
      <c r="CRE60" s="0"/>
      <c r="CRF60" s="0"/>
      <c r="CRG60" s="0"/>
      <c r="CRH60" s="0"/>
      <c r="CRI60" s="0"/>
      <c r="CRJ60" s="0"/>
      <c r="CRK60" s="0"/>
      <c r="CRL60" s="0"/>
      <c r="CRM60" s="0"/>
      <c r="CRN60" s="0"/>
      <c r="CRO60" s="0"/>
      <c r="CRP60" s="0"/>
      <c r="CRQ60" s="0"/>
      <c r="CRR60" s="0"/>
      <c r="CRS60" s="0"/>
      <c r="CRT60" s="0"/>
      <c r="CRU60" s="0"/>
      <c r="CRV60" s="0"/>
      <c r="CRW60" s="0"/>
      <c r="CRX60" s="0"/>
      <c r="CRY60" s="0"/>
      <c r="CRZ60" s="0"/>
      <c r="CSA60" s="0"/>
      <c r="CSB60" s="0"/>
      <c r="CSC60" s="0"/>
      <c r="CSD60" s="0"/>
      <c r="CSE60" s="0"/>
      <c r="CSF60" s="0"/>
      <c r="CSG60" s="0"/>
      <c r="CSH60" s="0"/>
      <c r="CSI60" s="0"/>
      <c r="CSJ60" s="0"/>
      <c r="CSK60" s="0"/>
      <c r="CSL60" s="0"/>
      <c r="CSM60" s="0"/>
      <c r="CSN60" s="0"/>
      <c r="CSO60" s="0"/>
      <c r="CSP60" s="0"/>
      <c r="CSQ60" s="0"/>
      <c r="CSR60" s="0"/>
      <c r="CSS60" s="0"/>
      <c r="CST60" s="0"/>
      <c r="CSU60" s="0"/>
      <c r="CSV60" s="0"/>
      <c r="CSW60" s="0"/>
      <c r="CSX60" s="0"/>
      <c r="CSY60" s="0"/>
      <c r="CSZ60" s="0"/>
      <c r="CTA60" s="0"/>
      <c r="CTB60" s="0"/>
      <c r="CTC60" s="0"/>
      <c r="CTD60" s="0"/>
      <c r="CTE60" s="0"/>
      <c r="CTF60" s="0"/>
      <c r="CTG60" s="0"/>
      <c r="CTH60" s="0"/>
      <c r="CTI60" s="0"/>
      <c r="CTJ60" s="0"/>
      <c r="CTK60" s="0"/>
      <c r="CTL60" s="0"/>
      <c r="CTM60" s="0"/>
      <c r="CTN60" s="0"/>
      <c r="CTO60" s="0"/>
      <c r="CTP60" s="0"/>
      <c r="CTQ60" s="0"/>
      <c r="CTR60" s="0"/>
      <c r="CTS60" s="0"/>
      <c r="CTT60" s="0"/>
      <c r="CTU60" s="0"/>
      <c r="CTV60" s="0"/>
      <c r="CTW60" s="0"/>
      <c r="CTX60" s="0"/>
      <c r="CTY60" s="0"/>
      <c r="CTZ60" s="0"/>
      <c r="CUA60" s="0"/>
      <c r="CUB60" s="0"/>
      <c r="CUC60" s="0"/>
      <c r="CUD60" s="0"/>
      <c r="CUE60" s="0"/>
      <c r="CUF60" s="0"/>
      <c r="CUG60" s="0"/>
      <c r="CUH60" s="0"/>
      <c r="CUI60" s="0"/>
      <c r="CUJ60" s="0"/>
      <c r="CUK60" s="0"/>
      <c r="CUL60" s="0"/>
      <c r="CUM60" s="0"/>
      <c r="CUN60" s="0"/>
      <c r="CUO60" s="0"/>
      <c r="CUP60" s="0"/>
      <c r="CUQ60" s="0"/>
      <c r="CUR60" s="0"/>
      <c r="CUS60" s="0"/>
      <c r="CUT60" s="0"/>
      <c r="CUU60" s="0"/>
      <c r="CUV60" s="0"/>
      <c r="CUW60" s="0"/>
      <c r="CUX60" s="0"/>
      <c r="CUY60" s="0"/>
      <c r="CUZ60" s="0"/>
      <c r="CVA60" s="0"/>
      <c r="CVB60" s="0"/>
      <c r="CVC60" s="0"/>
      <c r="CVD60" s="0"/>
      <c r="CVE60" s="0"/>
      <c r="CVF60" s="0"/>
      <c r="CVG60" s="0"/>
      <c r="CVH60" s="0"/>
      <c r="CVI60" s="0"/>
      <c r="CVJ60" s="0"/>
      <c r="CVK60" s="0"/>
      <c r="CVL60" s="0"/>
      <c r="CVM60" s="0"/>
      <c r="CVN60" s="0"/>
      <c r="CVO60" s="0"/>
      <c r="CVP60" s="0"/>
      <c r="CVQ60" s="0"/>
      <c r="CVR60" s="0"/>
      <c r="CVS60" s="0"/>
      <c r="CVT60" s="0"/>
      <c r="CVU60" s="0"/>
      <c r="CVV60" s="0"/>
      <c r="CVW60" s="0"/>
      <c r="CVX60" s="0"/>
      <c r="CVY60" s="0"/>
      <c r="CVZ60" s="0"/>
      <c r="CWA60" s="0"/>
      <c r="CWB60" s="0"/>
      <c r="CWC60" s="0"/>
      <c r="CWD60" s="0"/>
      <c r="CWE60" s="0"/>
      <c r="CWF60" s="0"/>
      <c r="CWG60" s="0"/>
      <c r="CWH60" s="0"/>
      <c r="CWI60" s="0"/>
      <c r="CWJ60" s="0"/>
      <c r="CWK60" s="0"/>
      <c r="CWL60" s="0"/>
      <c r="CWM60" s="0"/>
      <c r="CWN60" s="0"/>
      <c r="CWO60" s="0"/>
      <c r="CWP60" s="0"/>
      <c r="CWQ60" s="0"/>
      <c r="CWR60" s="0"/>
      <c r="CWS60" s="0"/>
      <c r="CWT60" s="0"/>
      <c r="CWU60" s="0"/>
      <c r="CWV60" s="0"/>
      <c r="CWW60" s="0"/>
      <c r="CWX60" s="0"/>
      <c r="CWY60" s="0"/>
      <c r="CWZ60" s="0"/>
      <c r="CXA60" s="0"/>
      <c r="CXB60" s="0"/>
      <c r="CXC60" s="0"/>
      <c r="CXD60" s="0"/>
      <c r="CXE60" s="0"/>
      <c r="CXF60" s="0"/>
      <c r="CXG60" s="0"/>
      <c r="CXH60" s="0"/>
      <c r="CXI60" s="0"/>
      <c r="CXJ60" s="0"/>
      <c r="CXK60" s="0"/>
      <c r="CXL60" s="0"/>
      <c r="CXM60" s="0"/>
      <c r="CXN60" s="0"/>
      <c r="CXO60" s="0"/>
      <c r="CXP60" s="0"/>
      <c r="CXQ60" s="0"/>
      <c r="CXR60" s="0"/>
      <c r="CXS60" s="0"/>
      <c r="CXT60" s="0"/>
      <c r="CXU60" s="0"/>
      <c r="CXV60" s="0"/>
      <c r="CXW60" s="0"/>
      <c r="CXX60" s="0"/>
      <c r="CXY60" s="0"/>
      <c r="CXZ60" s="0"/>
      <c r="CYA60" s="0"/>
      <c r="CYB60" s="0"/>
      <c r="CYC60" s="0"/>
      <c r="CYD60" s="0"/>
      <c r="CYE60" s="0"/>
      <c r="CYF60" s="0"/>
      <c r="CYG60" s="0"/>
      <c r="CYH60" s="0"/>
      <c r="CYI60" s="0"/>
      <c r="CYJ60" s="0"/>
      <c r="CYK60" s="0"/>
      <c r="CYL60" s="0"/>
      <c r="CYM60" s="0"/>
      <c r="CYN60" s="0"/>
      <c r="CYO60" s="0"/>
      <c r="CYP60" s="0"/>
      <c r="CYQ60" s="0"/>
      <c r="CYR60" s="0"/>
      <c r="CYS60" s="0"/>
      <c r="CYT60" s="0"/>
      <c r="CYU60" s="0"/>
      <c r="CYV60" s="0"/>
      <c r="CYW60" s="0"/>
      <c r="CYX60" s="0"/>
      <c r="CYY60" s="0"/>
      <c r="CYZ60" s="0"/>
      <c r="CZA60" s="0"/>
      <c r="CZB60" s="0"/>
      <c r="CZC60" s="0"/>
      <c r="CZD60" s="0"/>
      <c r="CZE60" s="0"/>
      <c r="CZF60" s="0"/>
      <c r="CZG60" s="0"/>
      <c r="CZH60" s="0"/>
      <c r="CZI60" s="0"/>
      <c r="CZJ60" s="0"/>
      <c r="CZK60" s="0"/>
      <c r="CZL60" s="0"/>
      <c r="CZM60" s="0"/>
      <c r="CZN60" s="0"/>
      <c r="CZO60" s="0"/>
      <c r="CZP60" s="0"/>
      <c r="CZQ60" s="0"/>
      <c r="CZR60" s="0"/>
      <c r="CZS60" s="0"/>
      <c r="CZT60" s="0"/>
      <c r="CZU60" s="0"/>
      <c r="CZV60" s="0"/>
      <c r="CZW60" s="0"/>
      <c r="CZX60" s="0"/>
      <c r="CZY60" s="0"/>
      <c r="CZZ60" s="0"/>
      <c r="DAA60" s="0"/>
      <c r="DAB60" s="0"/>
      <c r="DAC60" s="0"/>
      <c r="DAD60" s="0"/>
      <c r="DAE60" s="0"/>
      <c r="DAF60" s="0"/>
      <c r="DAG60" s="0"/>
      <c r="DAH60" s="0"/>
      <c r="DAI60" s="0"/>
      <c r="DAJ60" s="0"/>
      <c r="DAK60" s="0"/>
      <c r="DAL60" s="0"/>
      <c r="DAM60" s="0"/>
      <c r="DAN60" s="0"/>
      <c r="DAO60" s="0"/>
      <c r="DAP60" s="0"/>
      <c r="DAQ60" s="0"/>
      <c r="DAR60" s="0"/>
      <c r="DAS60" s="0"/>
      <c r="DAT60" s="0"/>
      <c r="DAU60" s="0"/>
      <c r="DAV60" s="0"/>
      <c r="DAW60" s="0"/>
      <c r="DAX60" s="0"/>
      <c r="DAY60" s="0"/>
      <c r="DAZ60" s="0"/>
      <c r="DBA60" s="0"/>
      <c r="DBB60" s="0"/>
      <c r="DBC60" s="0"/>
      <c r="DBD60" s="0"/>
      <c r="DBE60" s="0"/>
      <c r="DBF60" s="0"/>
      <c r="DBG60" s="0"/>
      <c r="DBH60" s="0"/>
      <c r="DBI60" s="0"/>
      <c r="DBJ60" s="0"/>
      <c r="DBK60" s="0"/>
      <c r="DBL60" s="0"/>
      <c r="DBM60" s="0"/>
      <c r="DBN60" s="0"/>
      <c r="DBO60" s="0"/>
      <c r="DBP60" s="0"/>
      <c r="DBQ60" s="0"/>
      <c r="DBR60" s="0"/>
      <c r="DBS60" s="0"/>
      <c r="DBT60" s="0"/>
      <c r="DBU60" s="0"/>
      <c r="DBV60" s="0"/>
      <c r="DBW60" s="0"/>
      <c r="DBX60" s="0"/>
      <c r="DBY60" s="0"/>
      <c r="DBZ60" s="0"/>
      <c r="DCA60" s="0"/>
      <c r="DCB60" s="0"/>
      <c r="DCC60" s="0"/>
      <c r="DCD60" s="0"/>
      <c r="DCE60" s="0"/>
      <c r="DCF60" s="0"/>
      <c r="DCG60" s="0"/>
      <c r="DCH60" s="0"/>
      <c r="DCI60" s="0"/>
      <c r="DCJ60" s="0"/>
      <c r="DCK60" s="0"/>
      <c r="DCL60" s="0"/>
      <c r="DCM60" s="0"/>
      <c r="DCN60" s="0"/>
      <c r="DCO60" s="0"/>
      <c r="DCP60" s="0"/>
      <c r="DCQ60" s="0"/>
      <c r="DCR60" s="0"/>
      <c r="DCS60" s="0"/>
      <c r="DCT60" s="0"/>
      <c r="DCU60" s="0"/>
      <c r="DCV60" s="0"/>
      <c r="DCW60" s="0"/>
      <c r="DCX60" s="0"/>
      <c r="DCY60" s="0"/>
      <c r="DCZ60" s="0"/>
      <c r="DDA60" s="0"/>
      <c r="DDB60" s="0"/>
      <c r="DDC60" s="0"/>
      <c r="DDD60" s="0"/>
      <c r="DDE60" s="0"/>
      <c r="DDF60" s="0"/>
      <c r="DDG60" s="0"/>
      <c r="DDH60" s="0"/>
      <c r="DDI60" s="0"/>
      <c r="DDJ60" s="0"/>
      <c r="DDK60" s="0"/>
      <c r="DDL60" s="0"/>
      <c r="DDM60" s="0"/>
      <c r="DDN60" s="0"/>
      <c r="DDO60" s="0"/>
      <c r="DDP60" s="0"/>
      <c r="DDQ60" s="0"/>
      <c r="DDR60" s="0"/>
      <c r="DDS60" s="0"/>
      <c r="DDT60" s="0"/>
      <c r="DDU60" s="0"/>
      <c r="DDV60" s="0"/>
      <c r="DDW60" s="0"/>
      <c r="DDX60" s="0"/>
      <c r="DDY60" s="0"/>
      <c r="DDZ60" s="0"/>
      <c r="DEA60" s="0"/>
      <c r="DEB60" s="0"/>
      <c r="DEC60" s="0"/>
      <c r="DED60" s="0"/>
      <c r="DEE60" s="0"/>
      <c r="DEF60" s="0"/>
      <c r="DEG60" s="0"/>
      <c r="DEH60" s="0"/>
      <c r="DEI60" s="0"/>
      <c r="DEJ60" s="0"/>
      <c r="DEK60" s="0"/>
      <c r="DEL60" s="0"/>
      <c r="DEM60" s="0"/>
      <c r="DEN60" s="0"/>
      <c r="DEO60" s="0"/>
      <c r="DEP60" s="0"/>
      <c r="DEQ60" s="0"/>
      <c r="DER60" s="0"/>
      <c r="DES60" s="0"/>
      <c r="DET60" s="0"/>
      <c r="DEU60" s="0"/>
      <c r="DEV60" s="0"/>
      <c r="DEW60" s="0"/>
      <c r="DEX60" s="0"/>
      <c r="DEY60" s="0"/>
      <c r="DEZ60" s="0"/>
      <c r="DFA60" s="0"/>
      <c r="DFB60" s="0"/>
      <c r="DFC60" s="0"/>
      <c r="DFD60" s="0"/>
      <c r="DFE60" s="0"/>
      <c r="DFF60" s="0"/>
      <c r="DFG60" s="0"/>
      <c r="DFH60" s="0"/>
      <c r="DFI60" s="0"/>
      <c r="DFJ60" s="0"/>
      <c r="DFK60" s="0"/>
      <c r="DFL60" s="0"/>
      <c r="DFM60" s="0"/>
      <c r="DFN60" s="0"/>
      <c r="DFO60" s="0"/>
      <c r="DFP60" s="0"/>
      <c r="DFQ60" s="0"/>
      <c r="DFR60" s="0"/>
      <c r="DFS60" s="0"/>
      <c r="DFT60" s="0"/>
      <c r="DFU60" s="0"/>
      <c r="DFV60" s="0"/>
      <c r="DFW60" s="0"/>
      <c r="DFX60" s="0"/>
      <c r="DFY60" s="0"/>
      <c r="DFZ60" s="0"/>
      <c r="DGA60" s="0"/>
      <c r="DGB60" s="0"/>
      <c r="DGC60" s="0"/>
      <c r="DGD60" s="0"/>
      <c r="DGE60" s="0"/>
      <c r="DGF60" s="0"/>
      <c r="DGG60" s="0"/>
      <c r="DGH60" s="0"/>
      <c r="DGI60" s="0"/>
      <c r="DGJ60" s="0"/>
      <c r="DGK60" s="0"/>
      <c r="DGL60" s="0"/>
      <c r="DGM60" s="0"/>
      <c r="DGN60" s="0"/>
      <c r="DGO60" s="0"/>
      <c r="DGP60" s="0"/>
      <c r="DGQ60" s="0"/>
      <c r="DGR60" s="0"/>
      <c r="DGS60" s="0"/>
      <c r="DGT60" s="0"/>
      <c r="DGU60" s="0"/>
      <c r="DGV60" s="0"/>
      <c r="DGW60" s="0"/>
      <c r="DGX60" s="0"/>
      <c r="DGY60" s="0"/>
      <c r="DGZ60" s="0"/>
      <c r="DHA60" s="0"/>
      <c r="DHB60" s="0"/>
      <c r="DHC60" s="0"/>
      <c r="DHD60" s="0"/>
      <c r="DHE60" s="0"/>
      <c r="DHF60" s="0"/>
      <c r="DHG60" s="0"/>
      <c r="DHH60" s="0"/>
      <c r="DHI60" s="0"/>
      <c r="DHJ60" s="0"/>
      <c r="DHK60" s="0"/>
      <c r="DHL60" s="0"/>
      <c r="DHM60" s="0"/>
      <c r="DHN60" s="0"/>
      <c r="DHO60" s="0"/>
      <c r="DHP60" s="0"/>
      <c r="DHQ60" s="0"/>
      <c r="DHR60" s="0"/>
      <c r="DHS60" s="0"/>
      <c r="DHT60" s="0"/>
      <c r="DHU60" s="0"/>
      <c r="DHV60" s="0"/>
      <c r="DHW60" s="0"/>
      <c r="DHX60" s="0"/>
      <c r="DHY60" s="0"/>
      <c r="DHZ60" s="0"/>
      <c r="DIA60" s="0"/>
      <c r="DIB60" s="0"/>
      <c r="DIC60" s="0"/>
      <c r="DID60" s="0"/>
      <c r="DIE60" s="0"/>
      <c r="DIF60" s="0"/>
      <c r="DIG60" s="0"/>
      <c r="DIH60" s="0"/>
      <c r="DII60" s="0"/>
      <c r="DIJ60" s="0"/>
      <c r="DIK60" s="0"/>
      <c r="DIL60" s="0"/>
      <c r="DIM60" s="0"/>
      <c r="DIN60" s="0"/>
      <c r="DIO60" s="0"/>
      <c r="DIP60" s="0"/>
      <c r="DIQ60" s="0"/>
      <c r="DIR60" s="0"/>
      <c r="DIS60" s="0"/>
      <c r="DIT60" s="0"/>
      <c r="DIU60" s="0"/>
      <c r="DIV60" s="0"/>
      <c r="DIW60" s="0"/>
      <c r="DIX60" s="0"/>
      <c r="DIY60" s="0"/>
      <c r="DIZ60" s="0"/>
      <c r="DJA60" s="0"/>
      <c r="DJB60" s="0"/>
      <c r="DJC60" s="0"/>
      <c r="DJD60" s="0"/>
      <c r="DJE60" s="0"/>
      <c r="DJF60" s="0"/>
      <c r="DJG60" s="0"/>
      <c r="DJH60" s="0"/>
      <c r="DJI60" s="0"/>
      <c r="DJJ60" s="0"/>
      <c r="DJK60" s="0"/>
      <c r="DJL60" s="0"/>
      <c r="DJM60" s="0"/>
      <c r="DJN60" s="0"/>
      <c r="DJO60" s="0"/>
      <c r="DJP60" s="0"/>
      <c r="DJQ60" s="0"/>
      <c r="DJR60" s="0"/>
      <c r="DJS60" s="0"/>
      <c r="DJT60" s="0"/>
      <c r="DJU60" s="0"/>
      <c r="DJV60" s="0"/>
      <c r="DJW60" s="0"/>
      <c r="DJX60" s="0"/>
      <c r="DJY60" s="0"/>
      <c r="DJZ60" s="0"/>
      <c r="DKA60" s="0"/>
      <c r="DKB60" s="0"/>
      <c r="DKC60" s="0"/>
      <c r="DKD60" s="0"/>
      <c r="DKE60" s="0"/>
      <c r="DKF60" s="0"/>
      <c r="DKG60" s="0"/>
      <c r="DKH60" s="0"/>
      <c r="DKI60" s="0"/>
      <c r="DKJ60" s="0"/>
      <c r="DKK60" s="0"/>
      <c r="DKL60" s="0"/>
      <c r="DKM60" s="0"/>
      <c r="DKN60" s="0"/>
      <c r="DKO60" s="0"/>
      <c r="DKP60" s="0"/>
      <c r="DKQ60" s="0"/>
      <c r="DKR60" s="0"/>
      <c r="DKS60" s="0"/>
      <c r="DKT60" s="0"/>
      <c r="DKU60" s="0"/>
      <c r="DKV60" s="0"/>
      <c r="DKW60" s="0"/>
      <c r="DKX60" s="0"/>
      <c r="DKY60" s="0"/>
      <c r="DKZ60" s="0"/>
      <c r="DLA60" s="0"/>
      <c r="DLB60" s="0"/>
      <c r="DLC60" s="0"/>
      <c r="DLD60" s="0"/>
      <c r="DLE60" s="0"/>
      <c r="DLF60" s="0"/>
      <c r="DLG60" s="0"/>
      <c r="DLH60" s="0"/>
      <c r="DLI60" s="0"/>
      <c r="DLJ60" s="0"/>
      <c r="DLK60" s="0"/>
      <c r="DLL60" s="0"/>
      <c r="DLM60" s="0"/>
      <c r="DLN60" s="0"/>
      <c r="DLO60" s="0"/>
      <c r="DLP60" s="0"/>
      <c r="DLQ60" s="0"/>
      <c r="DLR60" s="0"/>
      <c r="DLS60" s="0"/>
      <c r="DLT60" s="0"/>
      <c r="DLU60" s="0"/>
      <c r="DLV60" s="0"/>
      <c r="DLW60" s="0"/>
      <c r="DLX60" s="0"/>
      <c r="DLY60" s="0"/>
      <c r="DLZ60" s="0"/>
      <c r="DMA60" s="0"/>
      <c r="DMB60" s="0"/>
      <c r="DMC60" s="0"/>
      <c r="DMD60" s="0"/>
      <c r="DME60" s="0"/>
      <c r="DMF60" s="0"/>
      <c r="DMG60" s="0"/>
      <c r="DMH60" s="0"/>
      <c r="DMI60" s="0"/>
      <c r="DMJ60" s="0"/>
      <c r="DMK60" s="0"/>
      <c r="DML60" s="0"/>
      <c r="DMM60" s="0"/>
      <c r="DMN60" s="0"/>
      <c r="DMO60" s="0"/>
      <c r="DMP60" s="0"/>
      <c r="DMQ60" s="0"/>
      <c r="DMR60" s="0"/>
      <c r="DMS60" s="0"/>
      <c r="DMT60" s="0"/>
      <c r="DMU60" s="0"/>
      <c r="DMV60" s="0"/>
      <c r="DMW60" s="0"/>
      <c r="DMX60" s="0"/>
      <c r="DMY60" s="0"/>
      <c r="DMZ60" s="0"/>
      <c r="DNA60" s="0"/>
      <c r="DNB60" s="0"/>
      <c r="DNC60" s="0"/>
      <c r="DND60" s="0"/>
      <c r="DNE60" s="0"/>
      <c r="DNF60" s="0"/>
      <c r="DNG60" s="0"/>
      <c r="DNH60" s="0"/>
      <c r="DNI60" s="0"/>
      <c r="DNJ60" s="0"/>
      <c r="DNK60" s="0"/>
      <c r="DNL60" s="0"/>
      <c r="DNM60" s="0"/>
      <c r="DNN60" s="0"/>
      <c r="DNO60" s="0"/>
      <c r="DNP60" s="0"/>
      <c r="DNQ60" s="0"/>
      <c r="DNR60" s="0"/>
      <c r="DNS60" s="0"/>
      <c r="DNT60" s="0"/>
      <c r="DNU60" s="0"/>
      <c r="DNV60" s="0"/>
      <c r="DNW60" s="0"/>
      <c r="DNX60" s="0"/>
      <c r="DNY60" s="0"/>
      <c r="DNZ60" s="0"/>
      <c r="DOA60" s="0"/>
      <c r="DOB60" s="0"/>
      <c r="DOC60" s="0"/>
      <c r="DOD60" s="0"/>
      <c r="DOE60" s="0"/>
      <c r="DOF60" s="0"/>
      <c r="DOG60" s="0"/>
      <c r="DOH60" s="0"/>
      <c r="DOI60" s="0"/>
      <c r="DOJ60" s="0"/>
      <c r="DOK60" s="0"/>
      <c r="DOL60" s="0"/>
      <c r="DOM60" s="0"/>
      <c r="DON60" s="0"/>
      <c r="DOO60" s="0"/>
      <c r="DOP60" s="0"/>
      <c r="DOQ60" s="0"/>
      <c r="DOR60" s="0"/>
      <c r="DOS60" s="0"/>
      <c r="DOT60" s="0"/>
      <c r="DOU60" s="0"/>
      <c r="DOV60" s="0"/>
      <c r="DOW60" s="0"/>
      <c r="DOX60" s="0"/>
      <c r="DOY60" s="0"/>
      <c r="DOZ60" s="0"/>
      <c r="DPA60" s="0"/>
      <c r="DPB60" s="0"/>
      <c r="DPC60" s="0"/>
      <c r="DPD60" s="0"/>
      <c r="DPE60" s="0"/>
      <c r="DPF60" s="0"/>
      <c r="DPG60" s="0"/>
      <c r="DPH60" s="0"/>
      <c r="DPI60" s="0"/>
      <c r="DPJ60" s="0"/>
      <c r="DPK60" s="0"/>
      <c r="DPL60" s="0"/>
      <c r="DPM60" s="0"/>
      <c r="DPN60" s="0"/>
      <c r="DPO60" s="0"/>
      <c r="DPP60" s="0"/>
      <c r="DPQ60" s="0"/>
      <c r="DPR60" s="0"/>
      <c r="DPS60" s="0"/>
      <c r="DPT60" s="0"/>
      <c r="DPU60" s="0"/>
      <c r="DPV60" s="0"/>
      <c r="DPW60" s="0"/>
      <c r="DPX60" s="0"/>
      <c r="DPY60" s="0"/>
      <c r="DPZ60" s="0"/>
      <c r="DQA60" s="0"/>
      <c r="DQB60" s="0"/>
      <c r="DQC60" s="0"/>
      <c r="DQD60" s="0"/>
      <c r="DQE60" s="0"/>
      <c r="DQF60" s="0"/>
      <c r="DQG60" s="0"/>
      <c r="DQH60" s="0"/>
      <c r="DQI60" s="0"/>
      <c r="DQJ60" s="0"/>
      <c r="DQK60" s="0"/>
      <c r="DQL60" s="0"/>
      <c r="DQM60" s="0"/>
      <c r="DQN60" s="0"/>
      <c r="DQO60" s="0"/>
      <c r="DQP60" s="0"/>
      <c r="DQQ60" s="0"/>
      <c r="DQR60" s="0"/>
      <c r="DQS60" s="0"/>
      <c r="DQT60" s="0"/>
      <c r="DQU60" s="0"/>
      <c r="DQV60" s="0"/>
      <c r="DQW60" s="0"/>
      <c r="DQX60" s="0"/>
      <c r="DQY60" s="0"/>
      <c r="DQZ60" s="0"/>
      <c r="DRA60" s="0"/>
      <c r="DRB60" s="0"/>
      <c r="DRC60" s="0"/>
      <c r="DRD60" s="0"/>
      <c r="DRE60" s="0"/>
      <c r="DRF60" s="0"/>
      <c r="DRG60" s="0"/>
      <c r="DRH60" s="0"/>
      <c r="DRI60" s="0"/>
      <c r="DRJ60" s="0"/>
      <c r="DRK60" s="0"/>
      <c r="DRL60" s="0"/>
      <c r="DRM60" s="0"/>
      <c r="DRN60" s="0"/>
      <c r="DRO60" s="0"/>
      <c r="DRP60" s="0"/>
      <c r="DRQ60" s="0"/>
      <c r="DRR60" s="0"/>
      <c r="DRS60" s="0"/>
      <c r="DRT60" s="0"/>
      <c r="DRU60" s="0"/>
      <c r="DRV60" s="0"/>
      <c r="DRW60" s="0"/>
      <c r="DRX60" s="0"/>
      <c r="DRY60" s="0"/>
      <c r="DRZ60" s="0"/>
      <c r="DSA60" s="0"/>
      <c r="DSB60" s="0"/>
      <c r="DSC60" s="0"/>
      <c r="DSD60" s="0"/>
      <c r="DSE60" s="0"/>
      <c r="DSF60" s="0"/>
      <c r="DSG60" s="0"/>
      <c r="DSH60" s="0"/>
      <c r="DSI60" s="0"/>
      <c r="DSJ60" s="0"/>
      <c r="DSK60" s="0"/>
      <c r="DSL60" s="0"/>
      <c r="DSM60" s="0"/>
      <c r="DSN60" s="0"/>
      <c r="DSO60" s="0"/>
      <c r="DSP60" s="0"/>
      <c r="DSQ60" s="0"/>
      <c r="DSR60" s="0"/>
      <c r="DSS60" s="0"/>
      <c r="DST60" s="0"/>
      <c r="DSU60" s="0"/>
      <c r="DSV60" s="0"/>
      <c r="DSW60" s="0"/>
      <c r="DSX60" s="0"/>
      <c r="DSY60" s="0"/>
      <c r="DSZ60" s="0"/>
      <c r="DTA60" s="0"/>
      <c r="DTB60" s="0"/>
      <c r="DTC60" s="0"/>
      <c r="DTD60" s="0"/>
      <c r="DTE60" s="0"/>
      <c r="DTF60" s="0"/>
      <c r="DTG60" s="0"/>
      <c r="DTH60" s="0"/>
      <c r="DTI60" s="0"/>
      <c r="DTJ60" s="0"/>
      <c r="DTK60" s="0"/>
      <c r="DTL60" s="0"/>
      <c r="DTM60" s="0"/>
      <c r="DTN60" s="0"/>
      <c r="DTO60" s="0"/>
      <c r="DTP60" s="0"/>
      <c r="DTQ60" s="0"/>
      <c r="DTR60" s="0"/>
      <c r="DTS60" s="0"/>
      <c r="DTT60" s="0"/>
      <c r="DTU60" s="0"/>
      <c r="DTV60" s="0"/>
      <c r="DTW60" s="0"/>
      <c r="DTX60" s="0"/>
      <c r="DTY60" s="0"/>
      <c r="DTZ60" s="0"/>
      <c r="DUA60" s="0"/>
      <c r="DUB60" s="0"/>
      <c r="DUC60" s="0"/>
      <c r="DUD60" s="0"/>
      <c r="DUE60" s="0"/>
      <c r="DUF60" s="0"/>
      <c r="DUG60" s="0"/>
      <c r="DUH60" s="0"/>
      <c r="DUI60" s="0"/>
      <c r="DUJ60" s="0"/>
      <c r="DUK60" s="0"/>
      <c r="DUL60" s="0"/>
      <c r="DUM60" s="0"/>
      <c r="DUN60" s="0"/>
      <c r="DUO60" s="0"/>
      <c r="DUP60" s="0"/>
      <c r="DUQ60" s="0"/>
      <c r="DUR60" s="0"/>
      <c r="DUS60" s="0"/>
      <c r="DUT60" s="0"/>
      <c r="DUU60" s="0"/>
      <c r="DUV60" s="0"/>
      <c r="DUW60" s="0"/>
      <c r="DUX60" s="0"/>
      <c r="DUY60" s="0"/>
      <c r="DUZ60" s="0"/>
      <c r="DVA60" s="0"/>
      <c r="DVB60" s="0"/>
      <c r="DVC60" s="0"/>
      <c r="DVD60" s="0"/>
      <c r="DVE60" s="0"/>
      <c r="DVF60" s="0"/>
      <c r="DVG60" s="0"/>
      <c r="DVH60" s="0"/>
      <c r="DVI60" s="0"/>
      <c r="DVJ60" s="0"/>
      <c r="DVK60" s="0"/>
      <c r="DVL60" s="0"/>
      <c r="DVM60" s="0"/>
      <c r="DVN60" s="0"/>
      <c r="DVO60" s="0"/>
      <c r="DVP60" s="0"/>
      <c r="DVQ60" s="0"/>
      <c r="DVR60" s="0"/>
      <c r="DVS60" s="0"/>
      <c r="DVT60" s="0"/>
      <c r="DVU60" s="0"/>
      <c r="DVV60" s="0"/>
      <c r="DVW60" s="0"/>
      <c r="DVX60" s="0"/>
      <c r="DVY60" s="0"/>
      <c r="DVZ60" s="0"/>
      <c r="DWA60" s="0"/>
      <c r="DWB60" s="0"/>
      <c r="DWC60" s="0"/>
      <c r="DWD60" s="0"/>
      <c r="DWE60" s="0"/>
      <c r="DWF60" s="0"/>
      <c r="DWG60" s="0"/>
      <c r="DWH60" s="0"/>
      <c r="DWI60" s="0"/>
      <c r="DWJ60" s="0"/>
      <c r="DWK60" s="0"/>
      <c r="DWL60" s="0"/>
      <c r="DWM60" s="0"/>
      <c r="DWN60" s="0"/>
      <c r="DWO60" s="0"/>
      <c r="DWP60" s="0"/>
      <c r="DWQ60" s="0"/>
      <c r="DWR60" s="0"/>
      <c r="DWS60" s="0"/>
      <c r="DWT60" s="0"/>
      <c r="DWU60" s="0"/>
      <c r="DWV60" s="0"/>
      <c r="DWW60" s="0"/>
      <c r="DWX60" s="0"/>
      <c r="DWY60" s="0"/>
      <c r="DWZ60" s="0"/>
      <c r="DXA60" s="0"/>
      <c r="DXB60" s="0"/>
      <c r="DXC60" s="0"/>
      <c r="DXD60" s="0"/>
      <c r="DXE60" s="0"/>
      <c r="DXF60" s="0"/>
      <c r="DXG60" s="0"/>
      <c r="DXH60" s="0"/>
      <c r="DXI60" s="0"/>
      <c r="DXJ60" s="0"/>
      <c r="DXK60" s="0"/>
      <c r="DXL60" s="0"/>
      <c r="DXM60" s="0"/>
      <c r="DXN60" s="0"/>
      <c r="DXO60" s="0"/>
      <c r="DXP60" s="0"/>
      <c r="DXQ60" s="0"/>
      <c r="DXR60" s="0"/>
      <c r="DXS60" s="0"/>
      <c r="DXT60" s="0"/>
      <c r="DXU60" s="0"/>
      <c r="DXV60" s="0"/>
      <c r="DXW60" s="0"/>
      <c r="DXX60" s="0"/>
      <c r="DXY60" s="0"/>
      <c r="DXZ60" s="0"/>
      <c r="DYA60" s="0"/>
      <c r="DYB60" s="0"/>
      <c r="DYC60" s="0"/>
      <c r="DYD60" s="0"/>
      <c r="DYE60" s="0"/>
      <c r="DYF60" s="0"/>
      <c r="DYG60" s="0"/>
      <c r="DYH60" s="0"/>
      <c r="DYI60" s="0"/>
      <c r="DYJ60" s="0"/>
      <c r="DYK60" s="0"/>
      <c r="DYL60" s="0"/>
      <c r="DYM60" s="0"/>
      <c r="DYN60" s="0"/>
      <c r="DYO60" s="0"/>
      <c r="DYP60" s="0"/>
      <c r="DYQ60" s="0"/>
      <c r="DYR60" s="0"/>
      <c r="DYS60" s="0"/>
      <c r="DYT60" s="0"/>
      <c r="DYU60" s="0"/>
      <c r="DYV60" s="0"/>
      <c r="DYW60" s="0"/>
      <c r="DYX60" s="0"/>
      <c r="DYY60" s="0"/>
      <c r="DYZ60" s="0"/>
      <c r="DZA60" s="0"/>
      <c r="DZB60" s="0"/>
      <c r="DZC60" s="0"/>
      <c r="DZD60" s="0"/>
      <c r="DZE60" s="0"/>
      <c r="DZF60" s="0"/>
      <c r="DZG60" s="0"/>
      <c r="DZH60" s="0"/>
      <c r="DZI60" s="0"/>
      <c r="DZJ60" s="0"/>
      <c r="DZK60" s="0"/>
      <c r="DZL60" s="0"/>
      <c r="DZM60" s="0"/>
      <c r="DZN60" s="0"/>
      <c r="DZO60" s="0"/>
      <c r="DZP60" s="0"/>
      <c r="DZQ60" s="0"/>
      <c r="DZR60" s="0"/>
      <c r="DZS60" s="0"/>
      <c r="DZT60" s="0"/>
      <c r="DZU60" s="0"/>
      <c r="DZV60" s="0"/>
      <c r="DZW60" s="0"/>
      <c r="DZX60" s="0"/>
      <c r="DZY60" s="0"/>
      <c r="DZZ60" s="0"/>
      <c r="EAA60" s="0"/>
      <c r="EAB60" s="0"/>
      <c r="EAC60" s="0"/>
      <c r="EAD60" s="0"/>
      <c r="EAE60" s="0"/>
      <c r="EAF60" s="0"/>
      <c r="EAG60" s="0"/>
      <c r="EAH60" s="0"/>
      <c r="EAI60" s="0"/>
      <c r="EAJ60" s="0"/>
      <c r="EAK60" s="0"/>
      <c r="EAL60" s="0"/>
      <c r="EAM60" s="0"/>
      <c r="EAN60" s="0"/>
      <c r="EAO60" s="0"/>
      <c r="EAP60" s="0"/>
      <c r="EAQ60" s="0"/>
      <c r="EAR60" s="0"/>
      <c r="EAS60" s="0"/>
      <c r="EAT60" s="0"/>
      <c r="EAU60" s="0"/>
      <c r="EAV60" s="0"/>
      <c r="EAW60" s="0"/>
      <c r="EAX60" s="0"/>
      <c r="EAY60" s="0"/>
      <c r="EAZ60" s="0"/>
      <c r="EBA60" s="0"/>
      <c r="EBB60" s="0"/>
      <c r="EBC60" s="0"/>
      <c r="EBD60" s="0"/>
      <c r="EBE60" s="0"/>
      <c r="EBF60" s="0"/>
      <c r="EBG60" s="0"/>
      <c r="EBH60" s="0"/>
      <c r="EBI60" s="0"/>
      <c r="EBJ60" s="0"/>
      <c r="EBK60" s="0"/>
      <c r="EBL60" s="0"/>
      <c r="EBM60" s="0"/>
      <c r="EBN60" s="0"/>
      <c r="EBO60" s="0"/>
      <c r="EBP60" s="0"/>
      <c r="EBQ60" s="0"/>
      <c r="EBR60" s="0"/>
      <c r="EBS60" s="0"/>
      <c r="EBT60" s="0"/>
      <c r="EBU60" s="0"/>
      <c r="EBV60" s="0"/>
      <c r="EBW60" s="0"/>
      <c r="EBX60" s="0"/>
      <c r="EBY60" s="0"/>
      <c r="EBZ60" s="0"/>
      <c r="ECA60" s="0"/>
      <c r="ECB60" s="0"/>
      <c r="ECC60" s="0"/>
      <c r="ECD60" s="0"/>
      <c r="ECE60" s="0"/>
      <c r="ECF60" s="0"/>
      <c r="ECG60" s="0"/>
      <c r="ECH60" s="0"/>
      <c r="ECI60" s="0"/>
      <c r="ECJ60" s="0"/>
      <c r="ECK60" s="0"/>
      <c r="ECL60" s="0"/>
      <c r="ECM60" s="0"/>
      <c r="ECN60" s="0"/>
      <c r="ECO60" s="0"/>
      <c r="ECP60" s="0"/>
      <c r="ECQ60" s="0"/>
      <c r="ECR60" s="0"/>
      <c r="ECS60" s="0"/>
      <c r="ECT60" s="0"/>
      <c r="ECU60" s="0"/>
      <c r="ECV60" s="0"/>
      <c r="ECW60" s="0"/>
      <c r="ECX60" s="0"/>
      <c r="ECY60" s="0"/>
      <c r="ECZ60" s="0"/>
      <c r="EDA60" s="0"/>
      <c r="EDB60" s="0"/>
      <c r="EDC60" s="0"/>
      <c r="EDD60" s="0"/>
      <c r="EDE60" s="0"/>
      <c r="EDF60" s="0"/>
      <c r="EDG60" s="0"/>
      <c r="EDH60" s="0"/>
      <c r="EDI60" s="0"/>
      <c r="EDJ60" s="0"/>
      <c r="EDK60" s="0"/>
      <c r="EDL60" s="0"/>
      <c r="EDM60" s="0"/>
      <c r="EDN60" s="0"/>
      <c r="EDO60" s="0"/>
      <c r="EDP60" s="0"/>
      <c r="EDQ60" s="0"/>
      <c r="EDR60" s="0"/>
      <c r="EDS60" s="0"/>
      <c r="EDT60" s="0"/>
      <c r="EDU60" s="0"/>
      <c r="EDV60" s="0"/>
      <c r="EDW60" s="0"/>
      <c r="EDX60" s="0"/>
      <c r="EDY60" s="0"/>
      <c r="EDZ60" s="0"/>
      <c r="EEA60" s="0"/>
      <c r="EEB60" s="0"/>
      <c r="EEC60" s="0"/>
      <c r="EED60" s="0"/>
      <c r="EEE60" s="0"/>
      <c r="EEF60" s="0"/>
      <c r="EEG60" s="0"/>
      <c r="EEH60" s="0"/>
      <c r="EEI60" s="0"/>
      <c r="EEJ60" s="0"/>
      <c r="EEK60" s="0"/>
      <c r="EEL60" s="0"/>
      <c r="EEM60" s="0"/>
      <c r="EEN60" s="0"/>
      <c r="EEO60" s="0"/>
      <c r="EEP60" s="0"/>
      <c r="EEQ60" s="0"/>
      <c r="EER60" s="0"/>
      <c r="EES60" s="0"/>
      <c r="EET60" s="0"/>
      <c r="EEU60" s="0"/>
      <c r="EEV60" s="0"/>
      <c r="EEW60" s="0"/>
      <c r="EEX60" s="0"/>
      <c r="EEY60" s="0"/>
      <c r="EEZ60" s="0"/>
      <c r="EFA60" s="0"/>
      <c r="EFB60" s="0"/>
      <c r="EFC60" s="0"/>
      <c r="EFD60" s="0"/>
      <c r="EFE60" s="0"/>
      <c r="EFF60" s="0"/>
      <c r="EFG60" s="0"/>
      <c r="EFH60" s="0"/>
      <c r="EFI60" s="0"/>
      <c r="EFJ60" s="0"/>
      <c r="EFK60" s="0"/>
      <c r="EFL60" s="0"/>
      <c r="EFM60" s="0"/>
      <c r="EFN60" s="0"/>
      <c r="EFO60" s="0"/>
      <c r="EFP60" s="0"/>
      <c r="EFQ60" s="0"/>
      <c r="EFR60" s="0"/>
      <c r="EFS60" s="0"/>
      <c r="EFT60" s="0"/>
      <c r="EFU60" s="0"/>
      <c r="EFV60" s="0"/>
      <c r="EFW60" s="0"/>
      <c r="EFX60" s="0"/>
      <c r="EFY60" s="0"/>
      <c r="EFZ60" s="0"/>
      <c r="EGA60" s="0"/>
      <c r="EGB60" s="0"/>
      <c r="EGC60" s="0"/>
      <c r="EGD60" s="0"/>
      <c r="EGE60" s="0"/>
      <c r="EGF60" s="0"/>
      <c r="EGG60" s="0"/>
      <c r="EGH60" s="0"/>
      <c r="EGI60" s="0"/>
      <c r="EGJ60" s="0"/>
      <c r="EGK60" s="0"/>
      <c r="EGL60" s="0"/>
      <c r="EGM60" s="0"/>
      <c r="EGN60" s="0"/>
      <c r="EGO60" s="0"/>
      <c r="EGP60" s="0"/>
      <c r="EGQ60" s="0"/>
      <c r="EGR60" s="0"/>
      <c r="EGS60" s="0"/>
      <c r="EGT60" s="0"/>
      <c r="EGU60" s="0"/>
      <c r="EGV60" s="0"/>
      <c r="EGW60" s="0"/>
      <c r="EGX60" s="0"/>
      <c r="EGY60" s="0"/>
      <c r="EGZ60" s="0"/>
      <c r="EHA60" s="0"/>
      <c r="EHB60" s="0"/>
      <c r="EHC60" s="0"/>
      <c r="EHD60" s="0"/>
      <c r="EHE60" s="0"/>
      <c r="EHF60" s="0"/>
      <c r="EHG60" s="0"/>
      <c r="EHH60" s="0"/>
      <c r="EHI60" s="0"/>
      <c r="EHJ60" s="0"/>
      <c r="EHK60" s="0"/>
      <c r="EHL60" s="0"/>
      <c r="EHM60" s="0"/>
      <c r="EHN60" s="0"/>
      <c r="EHO60" s="0"/>
      <c r="EHP60" s="0"/>
      <c r="EHQ60" s="0"/>
      <c r="EHR60" s="0"/>
      <c r="EHS60" s="0"/>
      <c r="EHT60" s="0"/>
      <c r="EHU60" s="0"/>
      <c r="EHV60" s="0"/>
      <c r="EHW60" s="0"/>
      <c r="EHX60" s="0"/>
      <c r="EHY60" s="0"/>
      <c r="EHZ60" s="0"/>
      <c r="EIA60" s="0"/>
      <c r="EIB60" s="0"/>
      <c r="EIC60" s="0"/>
      <c r="EID60" s="0"/>
      <c r="EIE60" s="0"/>
      <c r="EIF60" s="0"/>
      <c r="EIG60" s="0"/>
      <c r="EIH60" s="0"/>
      <c r="EII60" s="0"/>
      <c r="EIJ60" s="0"/>
      <c r="EIK60" s="0"/>
      <c r="EIL60" s="0"/>
      <c r="EIM60" s="0"/>
      <c r="EIN60" s="0"/>
      <c r="EIO60" s="0"/>
      <c r="EIP60" s="0"/>
      <c r="EIQ60" s="0"/>
      <c r="EIR60" s="0"/>
      <c r="EIS60" s="0"/>
      <c r="EIT60" s="0"/>
      <c r="EIU60" s="0"/>
      <c r="EIV60" s="0"/>
      <c r="EIW60" s="0"/>
      <c r="EIX60" s="0"/>
      <c r="EIY60" s="0"/>
      <c r="EIZ60" s="0"/>
      <c r="EJA60" s="0"/>
      <c r="EJB60" s="0"/>
      <c r="EJC60" s="0"/>
      <c r="EJD60" s="0"/>
      <c r="EJE60" s="0"/>
      <c r="EJF60" s="0"/>
      <c r="EJG60" s="0"/>
      <c r="EJH60" s="0"/>
      <c r="EJI60" s="0"/>
      <c r="EJJ60" s="0"/>
      <c r="EJK60" s="0"/>
      <c r="EJL60" s="0"/>
      <c r="EJM60" s="0"/>
      <c r="EJN60" s="0"/>
      <c r="EJO60" s="0"/>
      <c r="EJP60" s="0"/>
      <c r="EJQ60" s="0"/>
      <c r="EJR60" s="0"/>
      <c r="EJS60" s="0"/>
      <c r="EJT60" s="0"/>
      <c r="EJU60" s="0"/>
      <c r="EJV60" s="0"/>
      <c r="EJW60" s="0"/>
      <c r="EJX60" s="0"/>
      <c r="EJY60" s="0"/>
      <c r="EJZ60" s="0"/>
      <c r="EKA60" s="0"/>
      <c r="EKB60" s="0"/>
      <c r="EKC60" s="0"/>
      <c r="EKD60" s="0"/>
      <c r="EKE60" s="0"/>
      <c r="EKF60" s="0"/>
      <c r="EKG60" s="0"/>
      <c r="EKH60" s="0"/>
      <c r="EKI60" s="0"/>
      <c r="EKJ60" s="0"/>
      <c r="EKK60" s="0"/>
      <c r="EKL60" s="0"/>
      <c r="EKM60" s="0"/>
      <c r="EKN60" s="0"/>
      <c r="EKO60" s="0"/>
      <c r="EKP60" s="0"/>
      <c r="EKQ60" s="0"/>
      <c r="EKR60" s="0"/>
      <c r="EKS60" s="0"/>
      <c r="EKT60" s="0"/>
      <c r="EKU60" s="0"/>
      <c r="EKV60" s="0"/>
      <c r="EKW60" s="0"/>
      <c r="EKX60" s="0"/>
      <c r="EKY60" s="0"/>
      <c r="EKZ60" s="0"/>
      <c r="ELA60" s="0"/>
      <c r="ELB60" s="0"/>
      <c r="ELC60" s="0"/>
      <c r="ELD60" s="0"/>
      <c r="ELE60" s="0"/>
      <c r="ELF60" s="0"/>
      <c r="ELG60" s="0"/>
      <c r="ELH60" s="0"/>
      <c r="ELI60" s="0"/>
      <c r="ELJ60" s="0"/>
      <c r="ELK60" s="0"/>
      <c r="ELL60" s="0"/>
      <c r="ELM60" s="0"/>
      <c r="ELN60" s="0"/>
      <c r="ELO60" s="0"/>
      <c r="ELP60" s="0"/>
      <c r="ELQ60" s="0"/>
      <c r="ELR60" s="0"/>
      <c r="ELS60" s="0"/>
      <c r="ELT60" s="0"/>
      <c r="ELU60" s="0"/>
      <c r="ELV60" s="0"/>
      <c r="ELW60" s="0"/>
      <c r="ELX60" s="0"/>
      <c r="ELY60" s="0"/>
      <c r="ELZ60" s="0"/>
      <c r="EMA60" s="0"/>
      <c r="EMB60" s="0"/>
      <c r="EMC60" s="0"/>
      <c r="EMD60" s="0"/>
      <c r="EME60" s="0"/>
      <c r="EMF60" s="0"/>
      <c r="EMG60" s="0"/>
      <c r="EMH60" s="0"/>
      <c r="EMI60" s="0"/>
      <c r="EMJ60" s="0"/>
      <c r="EMK60" s="0"/>
      <c r="EML60" s="0"/>
      <c r="EMM60" s="0"/>
      <c r="EMN60" s="0"/>
      <c r="EMO60" s="0"/>
      <c r="EMP60" s="0"/>
      <c r="EMQ60" s="0"/>
      <c r="EMR60" s="0"/>
      <c r="EMS60" s="0"/>
      <c r="EMT60" s="0"/>
      <c r="EMU60" s="0"/>
      <c r="EMV60" s="0"/>
      <c r="EMW60" s="0"/>
      <c r="EMX60" s="0"/>
      <c r="EMY60" s="0"/>
      <c r="EMZ60" s="0"/>
      <c r="ENA60" s="0"/>
      <c r="ENB60" s="0"/>
      <c r="ENC60" s="0"/>
      <c r="END60" s="0"/>
      <c r="ENE60" s="0"/>
      <c r="ENF60" s="0"/>
      <c r="ENG60" s="0"/>
      <c r="ENH60" s="0"/>
      <c r="ENI60" s="0"/>
      <c r="ENJ60" s="0"/>
      <c r="ENK60" s="0"/>
      <c r="ENL60" s="0"/>
      <c r="ENM60" s="0"/>
      <c r="ENN60" s="0"/>
      <c r="ENO60" s="0"/>
      <c r="ENP60" s="0"/>
      <c r="ENQ60" s="0"/>
      <c r="ENR60" s="0"/>
      <c r="ENS60" s="0"/>
      <c r="ENT60" s="0"/>
      <c r="ENU60" s="0"/>
      <c r="ENV60" s="0"/>
      <c r="ENW60" s="0"/>
      <c r="ENX60" s="0"/>
      <c r="ENY60" s="0"/>
      <c r="ENZ60" s="0"/>
      <c r="EOA60" s="0"/>
      <c r="EOB60" s="0"/>
      <c r="EOC60" s="0"/>
      <c r="EOD60" s="0"/>
      <c r="EOE60" s="0"/>
      <c r="EOF60" s="0"/>
      <c r="EOG60" s="0"/>
      <c r="EOH60" s="0"/>
      <c r="EOI60" s="0"/>
      <c r="EOJ60" s="0"/>
      <c r="EOK60" s="0"/>
      <c r="EOL60" s="0"/>
      <c r="EOM60" s="0"/>
      <c r="EON60" s="0"/>
      <c r="EOO60" s="0"/>
      <c r="EOP60" s="0"/>
      <c r="EOQ60" s="0"/>
      <c r="EOR60" s="0"/>
      <c r="EOS60" s="0"/>
      <c r="EOT60" s="0"/>
      <c r="EOU60" s="0"/>
      <c r="EOV60" s="0"/>
      <c r="EOW60" s="0"/>
      <c r="EOX60" s="0"/>
      <c r="EOY60" s="0"/>
      <c r="EOZ60" s="0"/>
      <c r="EPA60" s="0"/>
      <c r="EPB60" s="0"/>
      <c r="EPC60" s="0"/>
      <c r="EPD60" s="0"/>
      <c r="EPE60" s="0"/>
      <c r="EPF60" s="0"/>
      <c r="EPG60" s="0"/>
      <c r="EPH60" s="0"/>
      <c r="EPI60" s="0"/>
      <c r="EPJ60" s="0"/>
      <c r="EPK60" s="0"/>
      <c r="EPL60" s="0"/>
      <c r="EPM60" s="0"/>
      <c r="EPN60" s="0"/>
      <c r="EPO60" s="0"/>
      <c r="EPP60" s="0"/>
      <c r="EPQ60" s="0"/>
      <c r="EPR60" s="0"/>
      <c r="EPS60" s="0"/>
      <c r="EPT60" s="0"/>
      <c r="EPU60" s="0"/>
      <c r="EPV60" s="0"/>
      <c r="EPW60" s="0"/>
      <c r="EPX60" s="0"/>
      <c r="EPY60" s="0"/>
      <c r="EPZ60" s="0"/>
      <c r="EQA60" s="0"/>
      <c r="EQB60" s="0"/>
      <c r="EQC60" s="0"/>
      <c r="EQD60" s="0"/>
      <c r="EQE60" s="0"/>
      <c r="EQF60" s="0"/>
      <c r="EQG60" s="0"/>
      <c r="EQH60" s="0"/>
      <c r="EQI60" s="0"/>
      <c r="EQJ60" s="0"/>
      <c r="EQK60" s="0"/>
      <c r="EQL60" s="0"/>
      <c r="EQM60" s="0"/>
      <c r="EQN60" s="0"/>
      <c r="EQO60" s="0"/>
      <c r="EQP60" s="0"/>
      <c r="EQQ60" s="0"/>
      <c r="EQR60" s="0"/>
      <c r="EQS60" s="0"/>
      <c r="EQT60" s="0"/>
      <c r="EQU60" s="0"/>
      <c r="EQV60" s="0"/>
      <c r="EQW60" s="0"/>
      <c r="EQX60" s="0"/>
      <c r="EQY60" s="0"/>
      <c r="EQZ60" s="0"/>
      <c r="ERA60" s="0"/>
      <c r="ERB60" s="0"/>
      <c r="ERC60" s="0"/>
      <c r="ERD60" s="0"/>
      <c r="ERE60" s="0"/>
      <c r="ERF60" s="0"/>
      <c r="ERG60" s="0"/>
      <c r="ERH60" s="0"/>
      <c r="ERI60" s="0"/>
      <c r="ERJ60" s="0"/>
      <c r="ERK60" s="0"/>
      <c r="ERL60" s="0"/>
      <c r="ERM60" s="0"/>
      <c r="ERN60" s="0"/>
      <c r="ERO60" s="0"/>
      <c r="ERP60" s="0"/>
      <c r="ERQ60" s="0"/>
      <c r="ERR60" s="0"/>
      <c r="ERS60" s="0"/>
      <c r="ERT60" s="0"/>
      <c r="ERU60" s="0"/>
      <c r="ERV60" s="0"/>
      <c r="ERW60" s="0"/>
      <c r="ERX60" s="0"/>
      <c r="ERY60" s="0"/>
      <c r="ERZ60" s="0"/>
      <c r="ESA60" s="0"/>
      <c r="ESB60" s="0"/>
      <c r="ESC60" s="0"/>
      <c r="ESD60" s="0"/>
      <c r="ESE60" s="0"/>
      <c r="ESF60" s="0"/>
      <c r="ESG60" s="0"/>
      <c r="ESH60" s="0"/>
      <c r="ESI60" s="0"/>
      <c r="ESJ60" s="0"/>
      <c r="ESK60" s="0"/>
      <c r="ESL60" s="0"/>
      <c r="ESM60" s="0"/>
      <c r="ESN60" s="0"/>
      <c r="ESO60" s="0"/>
      <c r="ESP60" s="0"/>
      <c r="ESQ60" s="0"/>
      <c r="ESR60" s="0"/>
      <c r="ESS60" s="0"/>
      <c r="EST60" s="0"/>
      <c r="ESU60" s="0"/>
      <c r="ESV60" s="0"/>
      <c r="ESW60" s="0"/>
      <c r="ESX60" s="0"/>
      <c r="ESY60" s="0"/>
      <c r="ESZ60" s="0"/>
      <c r="ETA60" s="0"/>
      <c r="ETB60" s="0"/>
      <c r="ETC60" s="0"/>
      <c r="ETD60" s="0"/>
      <c r="ETE60" s="0"/>
      <c r="ETF60" s="0"/>
      <c r="ETG60" s="0"/>
      <c r="ETH60" s="0"/>
      <c r="ETI60" s="0"/>
      <c r="ETJ60" s="0"/>
      <c r="ETK60" s="0"/>
      <c r="ETL60" s="0"/>
      <c r="ETM60" s="0"/>
      <c r="ETN60" s="0"/>
      <c r="ETO60" s="0"/>
      <c r="ETP60" s="0"/>
      <c r="ETQ60" s="0"/>
      <c r="ETR60" s="0"/>
      <c r="ETS60" s="0"/>
      <c r="ETT60" s="0"/>
      <c r="ETU60" s="0"/>
      <c r="ETV60" s="0"/>
      <c r="ETW60" s="0"/>
      <c r="ETX60" s="0"/>
      <c r="ETY60" s="0"/>
      <c r="ETZ60" s="0"/>
      <c r="EUA60" s="0"/>
      <c r="EUB60" s="0"/>
      <c r="EUC60" s="0"/>
      <c r="EUD60" s="0"/>
      <c r="EUE60" s="0"/>
      <c r="EUF60" s="0"/>
      <c r="EUG60" s="0"/>
      <c r="EUH60" s="0"/>
      <c r="EUI60" s="0"/>
      <c r="EUJ60" s="0"/>
      <c r="EUK60" s="0"/>
      <c r="EUL60" s="0"/>
      <c r="EUM60" s="0"/>
      <c r="EUN60" s="0"/>
      <c r="EUO60" s="0"/>
      <c r="EUP60" s="0"/>
      <c r="EUQ60" s="0"/>
      <c r="EUR60" s="0"/>
      <c r="EUS60" s="0"/>
      <c r="EUT60" s="0"/>
      <c r="EUU60" s="0"/>
      <c r="EUV60" s="0"/>
      <c r="EUW60" s="0"/>
      <c r="EUX60" s="0"/>
      <c r="EUY60" s="0"/>
      <c r="EUZ60" s="0"/>
      <c r="EVA60" s="0"/>
      <c r="EVB60" s="0"/>
      <c r="EVC60" s="0"/>
      <c r="EVD60" s="0"/>
      <c r="EVE60" s="0"/>
      <c r="EVF60" s="0"/>
      <c r="EVG60" s="0"/>
      <c r="EVH60" s="0"/>
      <c r="EVI60" s="0"/>
      <c r="EVJ60" s="0"/>
      <c r="EVK60" s="0"/>
      <c r="EVL60" s="0"/>
      <c r="EVM60" s="0"/>
      <c r="EVN60" s="0"/>
      <c r="EVO60" s="0"/>
      <c r="EVP60" s="0"/>
      <c r="EVQ60" s="0"/>
      <c r="EVR60" s="0"/>
      <c r="EVS60" s="0"/>
      <c r="EVT60" s="0"/>
      <c r="EVU60" s="0"/>
      <c r="EVV60" s="0"/>
      <c r="EVW60" s="0"/>
      <c r="EVX60" s="0"/>
      <c r="EVY60" s="0"/>
      <c r="EVZ60" s="0"/>
      <c r="EWA60" s="0"/>
      <c r="EWB60" s="0"/>
      <c r="EWC60" s="0"/>
      <c r="EWD60" s="0"/>
      <c r="EWE60" s="0"/>
      <c r="EWF60" s="0"/>
      <c r="EWG60" s="0"/>
      <c r="EWH60" s="0"/>
      <c r="EWI60" s="0"/>
      <c r="EWJ60" s="0"/>
      <c r="EWK60" s="0"/>
      <c r="EWL60" s="0"/>
      <c r="EWM60" s="0"/>
      <c r="EWN60" s="0"/>
      <c r="EWO60" s="0"/>
      <c r="EWP60" s="0"/>
      <c r="EWQ60" s="0"/>
      <c r="EWR60" s="0"/>
      <c r="EWS60" s="0"/>
      <c r="EWT60" s="0"/>
      <c r="EWU60" s="0"/>
      <c r="EWV60" s="0"/>
      <c r="EWW60" s="0"/>
      <c r="EWX60" s="0"/>
      <c r="EWY60" s="0"/>
      <c r="EWZ60" s="0"/>
      <c r="EXA60" s="0"/>
      <c r="EXB60" s="0"/>
      <c r="EXC60" s="0"/>
      <c r="EXD60" s="0"/>
      <c r="EXE60" s="0"/>
      <c r="EXF60" s="0"/>
      <c r="EXG60" s="0"/>
      <c r="EXH60" s="0"/>
      <c r="EXI60" s="0"/>
      <c r="EXJ60" s="0"/>
      <c r="EXK60" s="0"/>
      <c r="EXL60" s="0"/>
      <c r="EXM60" s="0"/>
      <c r="EXN60" s="0"/>
      <c r="EXO60" s="0"/>
      <c r="EXP60" s="0"/>
      <c r="EXQ60" s="0"/>
      <c r="EXR60" s="0"/>
      <c r="EXS60" s="0"/>
      <c r="EXT60" s="0"/>
      <c r="EXU60" s="0"/>
      <c r="EXV60" s="0"/>
      <c r="EXW60" s="0"/>
      <c r="EXX60" s="0"/>
      <c r="EXY60" s="0"/>
      <c r="EXZ60" s="0"/>
      <c r="EYA60" s="0"/>
      <c r="EYB60" s="0"/>
      <c r="EYC60" s="0"/>
      <c r="EYD60" s="0"/>
      <c r="EYE60" s="0"/>
      <c r="EYF60" s="0"/>
      <c r="EYG60" s="0"/>
      <c r="EYH60" s="0"/>
      <c r="EYI60" s="0"/>
      <c r="EYJ60" s="0"/>
      <c r="EYK60" s="0"/>
      <c r="EYL60" s="0"/>
      <c r="EYM60" s="0"/>
      <c r="EYN60" s="0"/>
      <c r="EYO60" s="0"/>
      <c r="EYP60" s="0"/>
      <c r="EYQ60" s="0"/>
      <c r="EYR60" s="0"/>
      <c r="EYS60" s="0"/>
      <c r="EYT60" s="0"/>
      <c r="EYU60" s="0"/>
      <c r="EYV60" s="0"/>
      <c r="EYW60" s="0"/>
      <c r="EYX60" s="0"/>
      <c r="EYY60" s="0"/>
      <c r="EYZ60" s="0"/>
      <c r="EZA60" s="0"/>
      <c r="EZB60" s="0"/>
      <c r="EZC60" s="0"/>
      <c r="EZD60" s="0"/>
      <c r="EZE60" s="0"/>
      <c r="EZF60" s="0"/>
      <c r="EZG60" s="0"/>
      <c r="EZH60" s="0"/>
      <c r="EZI60" s="0"/>
      <c r="EZJ60" s="0"/>
      <c r="EZK60" s="0"/>
      <c r="EZL60" s="0"/>
      <c r="EZM60" s="0"/>
      <c r="EZN60" s="0"/>
      <c r="EZO60" s="0"/>
      <c r="EZP60" s="0"/>
      <c r="EZQ60" s="0"/>
      <c r="EZR60" s="0"/>
      <c r="EZS60" s="0"/>
      <c r="EZT60" s="0"/>
      <c r="EZU60" s="0"/>
      <c r="EZV60" s="0"/>
      <c r="EZW60" s="0"/>
      <c r="EZX60" s="0"/>
      <c r="EZY60" s="0"/>
      <c r="EZZ60" s="0"/>
      <c r="FAA60" s="0"/>
      <c r="FAB60" s="0"/>
      <c r="FAC60" s="0"/>
      <c r="FAD60" s="0"/>
      <c r="FAE60" s="0"/>
      <c r="FAF60" s="0"/>
      <c r="FAG60" s="0"/>
      <c r="FAH60" s="0"/>
      <c r="FAI60" s="0"/>
      <c r="FAJ60" s="0"/>
      <c r="FAK60" s="0"/>
      <c r="FAL60" s="0"/>
      <c r="FAM60" s="0"/>
      <c r="FAN60" s="0"/>
      <c r="FAO60" s="0"/>
      <c r="FAP60" s="0"/>
      <c r="FAQ60" s="0"/>
      <c r="FAR60" s="0"/>
      <c r="FAS60" s="0"/>
      <c r="FAT60" s="0"/>
      <c r="FAU60" s="0"/>
      <c r="FAV60" s="0"/>
      <c r="FAW60" s="0"/>
      <c r="FAX60" s="0"/>
      <c r="FAY60" s="0"/>
      <c r="FAZ60" s="0"/>
      <c r="FBA60" s="0"/>
      <c r="FBB60" s="0"/>
      <c r="FBC60" s="0"/>
      <c r="FBD60" s="0"/>
      <c r="FBE60" s="0"/>
      <c r="FBF60" s="0"/>
      <c r="FBG60" s="0"/>
      <c r="FBH60" s="0"/>
      <c r="FBI60" s="0"/>
      <c r="FBJ60" s="0"/>
      <c r="FBK60" s="0"/>
      <c r="FBL60" s="0"/>
      <c r="FBM60" s="0"/>
      <c r="FBN60" s="0"/>
      <c r="FBO60" s="0"/>
      <c r="FBP60" s="0"/>
      <c r="FBQ60" s="0"/>
      <c r="FBR60" s="0"/>
      <c r="FBS60" s="0"/>
      <c r="FBT60" s="0"/>
      <c r="FBU60" s="0"/>
      <c r="FBV60" s="0"/>
      <c r="FBW60" s="0"/>
      <c r="FBX60" s="0"/>
      <c r="FBY60" s="0"/>
      <c r="FBZ60" s="0"/>
      <c r="FCA60" s="0"/>
      <c r="FCB60" s="0"/>
      <c r="FCC60" s="0"/>
      <c r="FCD60" s="0"/>
      <c r="FCE60" s="0"/>
      <c r="FCF60" s="0"/>
      <c r="FCG60" s="0"/>
      <c r="FCH60" s="0"/>
      <c r="FCI60" s="0"/>
      <c r="FCJ60" s="0"/>
      <c r="FCK60" s="0"/>
      <c r="FCL60" s="0"/>
      <c r="FCM60" s="0"/>
      <c r="FCN60" s="0"/>
      <c r="FCO60" s="0"/>
      <c r="FCP60" s="0"/>
      <c r="FCQ60" s="0"/>
      <c r="FCR60" s="0"/>
      <c r="FCS60" s="0"/>
      <c r="FCT60" s="0"/>
      <c r="FCU60" s="0"/>
      <c r="FCV60" s="0"/>
      <c r="FCW60" s="0"/>
      <c r="FCX60" s="0"/>
      <c r="FCY60" s="0"/>
      <c r="FCZ60" s="0"/>
      <c r="FDA60" s="0"/>
      <c r="FDB60" s="0"/>
      <c r="FDC60" s="0"/>
      <c r="FDD60" s="0"/>
      <c r="FDE60" s="0"/>
      <c r="FDF60" s="0"/>
      <c r="FDG60" s="0"/>
      <c r="FDH60" s="0"/>
      <c r="FDI60" s="0"/>
      <c r="FDJ60" s="0"/>
      <c r="FDK60" s="0"/>
      <c r="FDL60" s="0"/>
      <c r="FDM60" s="0"/>
      <c r="FDN60" s="0"/>
      <c r="FDO60" s="0"/>
      <c r="FDP60" s="0"/>
      <c r="FDQ60" s="0"/>
      <c r="FDR60" s="0"/>
      <c r="FDS60" s="0"/>
      <c r="FDT60" s="0"/>
      <c r="FDU60" s="0"/>
      <c r="FDV60" s="0"/>
      <c r="FDW60" s="0"/>
      <c r="FDX60" s="0"/>
      <c r="FDY60" s="0"/>
      <c r="FDZ60" s="0"/>
      <c r="FEA60" s="0"/>
      <c r="FEB60" s="0"/>
      <c r="FEC60" s="0"/>
      <c r="FED60" s="0"/>
      <c r="FEE60" s="0"/>
      <c r="FEF60" s="0"/>
      <c r="FEG60" s="0"/>
      <c r="FEH60" s="0"/>
      <c r="FEI60" s="0"/>
      <c r="FEJ60" s="0"/>
      <c r="FEK60" s="0"/>
      <c r="FEL60" s="0"/>
      <c r="FEM60" s="0"/>
      <c r="FEN60" s="0"/>
      <c r="FEO60" s="0"/>
      <c r="FEP60" s="0"/>
      <c r="FEQ60" s="0"/>
      <c r="FER60" s="0"/>
      <c r="FES60" s="0"/>
      <c r="FET60" s="0"/>
      <c r="FEU60" s="0"/>
      <c r="FEV60" s="0"/>
      <c r="FEW60" s="0"/>
      <c r="FEX60" s="0"/>
      <c r="FEY60" s="0"/>
      <c r="FEZ60" s="0"/>
      <c r="FFA60" s="0"/>
      <c r="FFB60" s="0"/>
      <c r="FFC60" s="0"/>
      <c r="FFD60" s="0"/>
      <c r="FFE60" s="0"/>
      <c r="FFF60" s="0"/>
      <c r="FFG60" s="0"/>
      <c r="FFH60" s="0"/>
      <c r="FFI60" s="0"/>
      <c r="FFJ60" s="0"/>
      <c r="FFK60" s="0"/>
      <c r="FFL60" s="0"/>
      <c r="FFM60" s="0"/>
      <c r="FFN60" s="0"/>
      <c r="FFO60" s="0"/>
      <c r="FFP60" s="0"/>
      <c r="FFQ60" s="0"/>
      <c r="FFR60" s="0"/>
      <c r="FFS60" s="0"/>
      <c r="FFT60" s="0"/>
      <c r="FFU60" s="0"/>
      <c r="FFV60" s="0"/>
      <c r="FFW60" s="0"/>
      <c r="FFX60" s="0"/>
      <c r="FFY60" s="0"/>
      <c r="FFZ60" s="0"/>
      <c r="FGA60" s="0"/>
      <c r="FGB60" s="0"/>
      <c r="FGC60" s="0"/>
      <c r="FGD60" s="0"/>
      <c r="FGE60" s="0"/>
      <c r="FGF60" s="0"/>
      <c r="FGG60" s="0"/>
      <c r="FGH60" s="0"/>
      <c r="FGI60" s="0"/>
      <c r="FGJ60" s="0"/>
      <c r="FGK60" s="0"/>
      <c r="FGL60" s="0"/>
      <c r="FGM60" s="0"/>
      <c r="FGN60" s="0"/>
      <c r="FGO60" s="0"/>
      <c r="FGP60" s="0"/>
      <c r="FGQ60" s="0"/>
      <c r="FGR60" s="0"/>
      <c r="FGS60" s="0"/>
      <c r="FGT60" s="0"/>
      <c r="FGU60" s="0"/>
      <c r="FGV60" s="0"/>
      <c r="FGW60" s="0"/>
      <c r="FGX60" s="0"/>
      <c r="FGY60" s="0"/>
      <c r="FGZ60" s="0"/>
      <c r="FHA60" s="0"/>
      <c r="FHB60" s="0"/>
      <c r="FHC60" s="0"/>
      <c r="FHD60" s="0"/>
      <c r="FHE60" s="0"/>
      <c r="FHF60" s="0"/>
      <c r="FHG60" s="0"/>
      <c r="FHH60" s="0"/>
      <c r="FHI60" s="0"/>
      <c r="FHJ60" s="0"/>
      <c r="FHK60" s="0"/>
      <c r="FHL60" s="0"/>
      <c r="FHM60" s="0"/>
      <c r="FHN60" s="0"/>
      <c r="FHO60" s="0"/>
      <c r="FHP60" s="0"/>
      <c r="FHQ60" s="0"/>
      <c r="FHR60" s="0"/>
      <c r="FHS60" s="0"/>
      <c r="FHT60" s="0"/>
      <c r="FHU60" s="0"/>
      <c r="FHV60" s="0"/>
      <c r="FHW60" s="0"/>
      <c r="FHX60" s="0"/>
      <c r="FHY60" s="0"/>
      <c r="FHZ60" s="0"/>
      <c r="FIA60" s="0"/>
      <c r="FIB60" s="0"/>
      <c r="FIC60" s="0"/>
      <c r="FID60" s="0"/>
      <c r="FIE60" s="0"/>
      <c r="FIF60" s="0"/>
      <c r="FIG60" s="0"/>
      <c r="FIH60" s="0"/>
      <c r="FII60" s="0"/>
      <c r="FIJ60" s="0"/>
      <c r="FIK60" s="0"/>
      <c r="FIL60" s="0"/>
      <c r="FIM60" s="0"/>
      <c r="FIN60" s="0"/>
      <c r="FIO60" s="0"/>
      <c r="FIP60" s="0"/>
      <c r="FIQ60" s="0"/>
      <c r="FIR60" s="0"/>
      <c r="FIS60" s="0"/>
      <c r="FIT60" s="0"/>
      <c r="FIU60" s="0"/>
      <c r="FIV60" s="0"/>
      <c r="FIW60" s="0"/>
      <c r="FIX60" s="0"/>
      <c r="FIY60" s="0"/>
      <c r="FIZ60" s="0"/>
      <c r="FJA60" s="0"/>
      <c r="FJB60" s="0"/>
      <c r="FJC60" s="0"/>
      <c r="FJD60" s="0"/>
      <c r="FJE60" s="0"/>
      <c r="FJF60" s="0"/>
      <c r="FJG60" s="0"/>
      <c r="FJH60" s="0"/>
      <c r="FJI60" s="0"/>
      <c r="FJJ60" s="0"/>
      <c r="FJK60" s="0"/>
      <c r="FJL60" s="0"/>
      <c r="FJM60" s="0"/>
      <c r="FJN60" s="0"/>
      <c r="FJO60" s="0"/>
      <c r="FJP60" s="0"/>
      <c r="FJQ60" s="0"/>
      <c r="FJR60" s="0"/>
      <c r="FJS60" s="0"/>
      <c r="FJT60" s="0"/>
      <c r="FJU60" s="0"/>
      <c r="FJV60" s="0"/>
      <c r="FJW60" s="0"/>
      <c r="FJX60" s="0"/>
      <c r="FJY60" s="0"/>
      <c r="FJZ60" s="0"/>
      <c r="FKA60" s="0"/>
      <c r="FKB60" s="0"/>
      <c r="FKC60" s="0"/>
      <c r="FKD60" s="0"/>
      <c r="FKE60" s="0"/>
      <c r="FKF60" s="0"/>
      <c r="FKG60" s="0"/>
      <c r="FKH60" s="0"/>
      <c r="FKI60" s="0"/>
      <c r="FKJ60" s="0"/>
      <c r="FKK60" s="0"/>
      <c r="FKL60" s="0"/>
      <c r="FKM60" s="0"/>
      <c r="FKN60" s="0"/>
      <c r="FKO60" s="0"/>
      <c r="FKP60" s="0"/>
      <c r="FKQ60" s="0"/>
      <c r="FKR60" s="0"/>
      <c r="FKS60" s="0"/>
      <c r="FKT60" s="0"/>
      <c r="FKU60" s="0"/>
      <c r="FKV60" s="0"/>
      <c r="FKW60" s="0"/>
      <c r="FKX60" s="0"/>
      <c r="FKY60" s="0"/>
      <c r="FKZ60" s="0"/>
      <c r="FLA60" s="0"/>
      <c r="FLB60" s="0"/>
      <c r="FLC60" s="0"/>
      <c r="FLD60" s="0"/>
      <c r="FLE60" s="0"/>
      <c r="FLF60" s="0"/>
      <c r="FLG60" s="0"/>
      <c r="FLH60" s="0"/>
      <c r="FLI60" s="0"/>
      <c r="FLJ60" s="0"/>
      <c r="FLK60" s="0"/>
      <c r="FLL60" s="0"/>
      <c r="FLM60" s="0"/>
      <c r="FLN60" s="0"/>
      <c r="FLO60" s="0"/>
      <c r="FLP60" s="0"/>
      <c r="FLQ60" s="0"/>
      <c r="FLR60" s="0"/>
      <c r="FLS60" s="0"/>
      <c r="FLT60" s="0"/>
      <c r="FLU60" s="0"/>
      <c r="FLV60" s="0"/>
      <c r="FLW60" s="0"/>
      <c r="FLX60" s="0"/>
      <c r="FLY60" s="0"/>
      <c r="FLZ60" s="0"/>
      <c r="FMA60" s="0"/>
      <c r="FMB60" s="0"/>
      <c r="FMC60" s="0"/>
      <c r="FMD60" s="0"/>
      <c r="FME60" s="0"/>
      <c r="FMF60" s="0"/>
      <c r="FMG60" s="0"/>
      <c r="FMH60" s="0"/>
      <c r="FMI60" s="0"/>
      <c r="FMJ60" s="0"/>
      <c r="FMK60" s="0"/>
      <c r="FML60" s="0"/>
      <c r="FMM60" s="0"/>
      <c r="FMN60" s="0"/>
      <c r="FMO60" s="0"/>
      <c r="FMP60" s="0"/>
      <c r="FMQ60" s="0"/>
      <c r="FMR60" s="0"/>
      <c r="FMS60" s="0"/>
      <c r="FMT60" s="0"/>
      <c r="FMU60" s="0"/>
      <c r="FMV60" s="0"/>
      <c r="FMW60" s="0"/>
      <c r="FMX60" s="0"/>
      <c r="FMY60" s="0"/>
      <c r="FMZ60" s="0"/>
      <c r="FNA60" s="0"/>
      <c r="FNB60" s="0"/>
      <c r="FNC60" s="0"/>
      <c r="FND60" s="0"/>
      <c r="FNE60" s="0"/>
      <c r="FNF60" s="0"/>
      <c r="FNG60" s="0"/>
      <c r="FNH60" s="0"/>
      <c r="FNI60" s="0"/>
      <c r="FNJ60" s="0"/>
      <c r="FNK60" s="0"/>
      <c r="FNL60" s="0"/>
      <c r="FNM60" s="0"/>
      <c r="FNN60" s="0"/>
      <c r="FNO60" s="0"/>
      <c r="FNP60" s="0"/>
      <c r="FNQ60" s="0"/>
      <c r="FNR60" s="0"/>
      <c r="FNS60" s="0"/>
      <c r="FNT60" s="0"/>
      <c r="FNU60" s="0"/>
      <c r="FNV60" s="0"/>
      <c r="FNW60" s="0"/>
      <c r="FNX60" s="0"/>
      <c r="FNY60" s="0"/>
      <c r="FNZ60" s="0"/>
      <c r="FOA60" s="0"/>
      <c r="FOB60" s="0"/>
      <c r="FOC60" s="0"/>
      <c r="FOD60" s="0"/>
      <c r="FOE60" s="0"/>
      <c r="FOF60" s="0"/>
      <c r="FOG60" s="0"/>
      <c r="FOH60" s="0"/>
      <c r="FOI60" s="0"/>
      <c r="FOJ60" s="0"/>
      <c r="FOK60" s="0"/>
      <c r="FOL60" s="0"/>
      <c r="FOM60" s="0"/>
      <c r="FON60" s="0"/>
      <c r="FOO60" s="0"/>
      <c r="FOP60" s="0"/>
      <c r="FOQ60" s="0"/>
      <c r="FOR60" s="0"/>
      <c r="FOS60" s="0"/>
      <c r="FOT60" s="0"/>
      <c r="FOU60" s="0"/>
      <c r="FOV60" s="0"/>
      <c r="FOW60" s="0"/>
      <c r="FOX60" s="0"/>
      <c r="FOY60" s="0"/>
      <c r="FOZ60" s="0"/>
      <c r="FPA60" s="0"/>
      <c r="FPB60" s="0"/>
      <c r="FPC60" s="0"/>
      <c r="FPD60" s="0"/>
      <c r="FPE60" s="0"/>
      <c r="FPF60" s="0"/>
      <c r="FPG60" s="0"/>
      <c r="FPH60" s="0"/>
      <c r="FPI60" s="0"/>
      <c r="FPJ60" s="0"/>
      <c r="FPK60" s="0"/>
      <c r="FPL60" s="0"/>
      <c r="FPM60" s="0"/>
      <c r="FPN60" s="0"/>
      <c r="FPO60" s="0"/>
      <c r="FPP60" s="0"/>
      <c r="FPQ60" s="0"/>
      <c r="FPR60" s="0"/>
      <c r="FPS60" s="0"/>
      <c r="FPT60" s="0"/>
      <c r="FPU60" s="0"/>
      <c r="FPV60" s="0"/>
      <c r="FPW60" s="0"/>
      <c r="FPX60" s="0"/>
      <c r="FPY60" s="0"/>
      <c r="FPZ60" s="0"/>
      <c r="FQA60" s="0"/>
      <c r="FQB60" s="0"/>
      <c r="FQC60" s="0"/>
      <c r="FQD60" s="0"/>
      <c r="FQE60" s="0"/>
      <c r="FQF60" s="0"/>
      <c r="FQG60" s="0"/>
      <c r="FQH60" s="0"/>
      <c r="FQI60" s="0"/>
      <c r="FQJ60" s="0"/>
      <c r="FQK60" s="0"/>
      <c r="FQL60" s="0"/>
      <c r="FQM60" s="0"/>
      <c r="FQN60" s="0"/>
      <c r="FQO60" s="0"/>
      <c r="FQP60" s="0"/>
      <c r="FQQ60" s="0"/>
      <c r="FQR60" s="0"/>
      <c r="FQS60" s="0"/>
      <c r="FQT60" s="0"/>
      <c r="FQU60" s="0"/>
      <c r="FQV60" s="0"/>
      <c r="FQW60" s="0"/>
      <c r="FQX60" s="0"/>
      <c r="FQY60" s="0"/>
      <c r="FQZ60" s="0"/>
      <c r="FRA60" s="0"/>
      <c r="FRB60" s="0"/>
      <c r="FRC60" s="0"/>
      <c r="FRD60" s="0"/>
      <c r="FRE60" s="0"/>
      <c r="FRF60" s="0"/>
      <c r="FRG60" s="0"/>
      <c r="FRH60" s="0"/>
      <c r="FRI60" s="0"/>
      <c r="FRJ60" s="0"/>
      <c r="FRK60" s="0"/>
      <c r="FRL60" s="0"/>
      <c r="FRM60" s="0"/>
      <c r="FRN60" s="0"/>
      <c r="FRO60" s="0"/>
      <c r="FRP60" s="0"/>
      <c r="FRQ60" s="0"/>
      <c r="FRR60" s="0"/>
      <c r="FRS60" s="0"/>
      <c r="FRT60" s="0"/>
      <c r="FRU60" s="0"/>
      <c r="FRV60" s="0"/>
      <c r="FRW60" s="0"/>
      <c r="FRX60" s="0"/>
      <c r="FRY60" s="0"/>
      <c r="FRZ60" s="0"/>
      <c r="FSA60" s="0"/>
      <c r="FSB60" s="0"/>
      <c r="FSC60" s="0"/>
      <c r="FSD60" s="0"/>
      <c r="FSE60" s="0"/>
      <c r="FSF60" s="0"/>
      <c r="FSG60" s="0"/>
      <c r="FSH60" s="0"/>
      <c r="FSI60" s="0"/>
      <c r="FSJ60" s="0"/>
      <c r="FSK60" s="0"/>
      <c r="FSL60" s="0"/>
      <c r="FSM60" s="0"/>
      <c r="FSN60" s="0"/>
      <c r="FSO60" s="0"/>
      <c r="FSP60" s="0"/>
      <c r="FSQ60" s="0"/>
      <c r="FSR60" s="0"/>
      <c r="FSS60" s="0"/>
      <c r="FST60" s="0"/>
      <c r="FSU60" s="0"/>
      <c r="FSV60" s="0"/>
      <c r="FSW60" s="0"/>
      <c r="FSX60" s="0"/>
      <c r="FSY60" s="0"/>
      <c r="FSZ60" s="0"/>
      <c r="FTA60" s="0"/>
      <c r="FTB60" s="0"/>
      <c r="FTC60" s="0"/>
      <c r="FTD60" s="0"/>
      <c r="FTE60" s="0"/>
      <c r="FTF60" s="0"/>
      <c r="FTG60" s="0"/>
      <c r="FTH60" s="0"/>
      <c r="FTI60" s="0"/>
      <c r="FTJ60" s="0"/>
      <c r="FTK60" s="0"/>
      <c r="FTL60" s="0"/>
      <c r="FTM60" s="0"/>
      <c r="FTN60" s="0"/>
      <c r="FTO60" s="0"/>
      <c r="FTP60" s="0"/>
      <c r="FTQ60" s="0"/>
      <c r="FTR60" s="0"/>
      <c r="FTS60" s="0"/>
      <c r="FTT60" s="0"/>
      <c r="FTU60" s="0"/>
      <c r="FTV60" s="0"/>
      <c r="FTW60" s="0"/>
      <c r="FTX60" s="0"/>
      <c r="FTY60" s="0"/>
      <c r="FTZ60" s="0"/>
      <c r="FUA60" s="0"/>
      <c r="FUB60" s="0"/>
      <c r="FUC60" s="0"/>
      <c r="FUD60" s="0"/>
      <c r="FUE60" s="0"/>
      <c r="FUF60" s="0"/>
      <c r="FUG60" s="0"/>
      <c r="FUH60" s="0"/>
      <c r="FUI60" s="0"/>
      <c r="FUJ60" s="0"/>
      <c r="FUK60" s="0"/>
      <c r="FUL60" s="0"/>
      <c r="FUM60" s="0"/>
      <c r="FUN60" s="0"/>
      <c r="FUO60" s="0"/>
      <c r="FUP60" s="0"/>
      <c r="FUQ60" s="0"/>
      <c r="FUR60" s="0"/>
      <c r="FUS60" s="0"/>
      <c r="FUT60" s="0"/>
      <c r="FUU60" s="0"/>
      <c r="FUV60" s="0"/>
      <c r="FUW60" s="0"/>
      <c r="FUX60" s="0"/>
      <c r="FUY60" s="0"/>
      <c r="FUZ60" s="0"/>
      <c r="FVA60" s="0"/>
      <c r="FVB60" s="0"/>
      <c r="FVC60" s="0"/>
      <c r="FVD60" s="0"/>
      <c r="FVE60" s="0"/>
      <c r="FVF60" s="0"/>
      <c r="FVG60" s="0"/>
      <c r="FVH60" s="0"/>
      <c r="FVI60" s="0"/>
      <c r="FVJ60" s="0"/>
      <c r="FVK60" s="0"/>
      <c r="FVL60" s="0"/>
      <c r="FVM60" s="0"/>
      <c r="FVN60" s="0"/>
      <c r="FVO60" s="0"/>
      <c r="FVP60" s="0"/>
      <c r="FVQ60" s="0"/>
      <c r="FVR60" s="0"/>
      <c r="FVS60" s="0"/>
      <c r="FVT60" s="0"/>
      <c r="FVU60" s="0"/>
      <c r="FVV60" s="0"/>
      <c r="FVW60" s="0"/>
      <c r="FVX60" s="0"/>
      <c r="FVY60" s="0"/>
      <c r="FVZ60" s="0"/>
      <c r="FWA60" s="0"/>
      <c r="FWB60" s="0"/>
      <c r="FWC60" s="0"/>
      <c r="FWD60" s="0"/>
      <c r="FWE60" s="0"/>
      <c r="FWF60" s="0"/>
      <c r="FWG60" s="0"/>
      <c r="FWH60" s="0"/>
      <c r="FWI60" s="0"/>
      <c r="FWJ60" s="0"/>
      <c r="FWK60" s="0"/>
      <c r="FWL60" s="0"/>
      <c r="FWM60" s="0"/>
      <c r="FWN60" s="0"/>
      <c r="FWO60" s="0"/>
      <c r="FWP60" s="0"/>
      <c r="FWQ60" s="0"/>
      <c r="FWR60" s="0"/>
      <c r="FWS60" s="0"/>
      <c r="FWT60" s="0"/>
      <c r="FWU60" s="0"/>
      <c r="FWV60" s="0"/>
      <c r="FWW60" s="0"/>
      <c r="FWX60" s="0"/>
      <c r="FWY60" s="0"/>
      <c r="FWZ60" s="0"/>
      <c r="FXA60" s="0"/>
      <c r="FXB60" s="0"/>
      <c r="FXC60" s="0"/>
      <c r="FXD60" s="0"/>
      <c r="FXE60" s="0"/>
      <c r="FXF60" s="0"/>
      <c r="FXG60" s="0"/>
      <c r="FXH60" s="0"/>
      <c r="FXI60" s="0"/>
      <c r="FXJ60" s="0"/>
      <c r="FXK60" s="0"/>
      <c r="FXL60" s="0"/>
      <c r="FXM60" s="0"/>
      <c r="FXN60" s="0"/>
      <c r="FXO60" s="0"/>
      <c r="FXP60" s="0"/>
      <c r="FXQ60" s="0"/>
      <c r="FXR60" s="0"/>
      <c r="FXS60" s="0"/>
      <c r="FXT60" s="0"/>
      <c r="FXU60" s="0"/>
      <c r="FXV60" s="0"/>
      <c r="FXW60" s="0"/>
      <c r="FXX60" s="0"/>
      <c r="FXY60" s="0"/>
      <c r="FXZ60" s="0"/>
      <c r="FYA60" s="0"/>
      <c r="FYB60" s="0"/>
      <c r="FYC60" s="0"/>
      <c r="FYD60" s="0"/>
      <c r="FYE60" s="0"/>
      <c r="FYF60" s="0"/>
      <c r="FYG60" s="0"/>
      <c r="FYH60" s="0"/>
      <c r="FYI60" s="0"/>
      <c r="FYJ60" s="0"/>
      <c r="FYK60" s="0"/>
      <c r="FYL60" s="0"/>
      <c r="FYM60" s="0"/>
      <c r="FYN60" s="0"/>
      <c r="FYO60" s="0"/>
      <c r="FYP60" s="0"/>
      <c r="FYQ60" s="0"/>
      <c r="FYR60" s="0"/>
      <c r="FYS60" s="0"/>
      <c r="FYT60" s="0"/>
      <c r="FYU60" s="0"/>
      <c r="FYV60" s="0"/>
      <c r="FYW60" s="0"/>
      <c r="FYX60" s="0"/>
      <c r="FYY60" s="0"/>
      <c r="FYZ60" s="0"/>
      <c r="FZA60" s="0"/>
      <c r="FZB60" s="0"/>
      <c r="FZC60" s="0"/>
      <c r="FZD60" s="0"/>
      <c r="FZE60" s="0"/>
      <c r="FZF60" s="0"/>
      <c r="FZG60" s="0"/>
      <c r="FZH60" s="0"/>
      <c r="FZI60" s="0"/>
      <c r="FZJ60" s="0"/>
      <c r="FZK60" s="0"/>
      <c r="FZL60" s="0"/>
      <c r="FZM60" s="0"/>
      <c r="FZN60" s="0"/>
      <c r="FZO60" s="0"/>
      <c r="FZP60" s="0"/>
      <c r="FZQ60" s="0"/>
      <c r="FZR60" s="0"/>
      <c r="FZS60" s="0"/>
      <c r="FZT60" s="0"/>
      <c r="FZU60" s="0"/>
      <c r="FZV60" s="0"/>
      <c r="FZW60" s="0"/>
      <c r="FZX60" s="0"/>
      <c r="FZY60" s="0"/>
      <c r="FZZ60" s="0"/>
      <c r="GAA60" s="0"/>
      <c r="GAB60" s="0"/>
      <c r="GAC60" s="0"/>
      <c r="GAD60" s="0"/>
      <c r="GAE60" s="0"/>
      <c r="GAF60" s="0"/>
      <c r="GAG60" s="0"/>
      <c r="GAH60" s="0"/>
      <c r="GAI60" s="0"/>
      <c r="GAJ60" s="0"/>
      <c r="GAK60" s="0"/>
      <c r="GAL60" s="0"/>
      <c r="GAM60" s="0"/>
      <c r="GAN60" s="0"/>
      <c r="GAO60" s="0"/>
      <c r="GAP60" s="0"/>
      <c r="GAQ60" s="0"/>
      <c r="GAR60" s="0"/>
      <c r="GAS60" s="0"/>
      <c r="GAT60" s="0"/>
      <c r="GAU60" s="0"/>
      <c r="GAV60" s="0"/>
      <c r="GAW60" s="0"/>
      <c r="GAX60" s="0"/>
      <c r="GAY60" s="0"/>
      <c r="GAZ60" s="0"/>
      <c r="GBA60" s="0"/>
      <c r="GBB60" s="0"/>
      <c r="GBC60" s="0"/>
      <c r="GBD60" s="0"/>
      <c r="GBE60" s="0"/>
      <c r="GBF60" s="0"/>
      <c r="GBG60" s="0"/>
      <c r="GBH60" s="0"/>
      <c r="GBI60" s="0"/>
      <c r="GBJ60" s="0"/>
      <c r="GBK60" s="0"/>
      <c r="GBL60" s="0"/>
      <c r="GBM60" s="0"/>
      <c r="GBN60" s="0"/>
      <c r="GBO60" s="0"/>
      <c r="GBP60" s="0"/>
      <c r="GBQ60" s="0"/>
      <c r="GBR60" s="0"/>
      <c r="GBS60" s="0"/>
      <c r="GBT60" s="0"/>
      <c r="GBU60" s="0"/>
      <c r="GBV60" s="0"/>
      <c r="GBW60" s="0"/>
      <c r="GBX60" s="0"/>
      <c r="GBY60" s="0"/>
      <c r="GBZ60" s="0"/>
      <c r="GCA60" s="0"/>
      <c r="GCB60" s="0"/>
      <c r="GCC60" s="0"/>
      <c r="GCD60" s="0"/>
      <c r="GCE60" s="0"/>
      <c r="GCF60" s="0"/>
      <c r="GCG60" s="0"/>
      <c r="GCH60" s="0"/>
      <c r="GCI60" s="0"/>
      <c r="GCJ60" s="0"/>
      <c r="GCK60" s="0"/>
      <c r="GCL60" s="0"/>
      <c r="GCM60" s="0"/>
      <c r="GCN60" s="0"/>
      <c r="GCO60" s="0"/>
      <c r="GCP60" s="0"/>
      <c r="GCQ60" s="0"/>
      <c r="GCR60" s="0"/>
      <c r="GCS60" s="0"/>
      <c r="GCT60" s="0"/>
      <c r="GCU60" s="0"/>
      <c r="GCV60" s="0"/>
      <c r="GCW60" s="0"/>
      <c r="GCX60" s="0"/>
      <c r="GCY60" s="0"/>
      <c r="GCZ60" s="0"/>
      <c r="GDA60" s="0"/>
      <c r="GDB60" s="0"/>
      <c r="GDC60" s="0"/>
      <c r="GDD60" s="0"/>
      <c r="GDE60" s="0"/>
      <c r="GDF60" s="0"/>
      <c r="GDG60" s="0"/>
      <c r="GDH60" s="0"/>
      <c r="GDI60" s="0"/>
      <c r="GDJ60" s="0"/>
      <c r="GDK60" s="0"/>
      <c r="GDL60" s="0"/>
      <c r="GDM60" s="0"/>
      <c r="GDN60" s="0"/>
      <c r="GDO60" s="0"/>
      <c r="GDP60" s="0"/>
      <c r="GDQ60" s="0"/>
      <c r="GDR60" s="0"/>
      <c r="GDS60" s="0"/>
      <c r="GDT60" s="0"/>
      <c r="GDU60" s="0"/>
      <c r="GDV60" s="0"/>
      <c r="GDW60" s="0"/>
      <c r="GDX60" s="0"/>
      <c r="GDY60" s="0"/>
      <c r="GDZ60" s="0"/>
      <c r="GEA60" s="0"/>
      <c r="GEB60" s="0"/>
      <c r="GEC60" s="0"/>
      <c r="GED60" s="0"/>
      <c r="GEE60" s="0"/>
      <c r="GEF60" s="0"/>
      <c r="GEG60" s="0"/>
      <c r="GEH60" s="0"/>
      <c r="GEI60" s="0"/>
      <c r="GEJ60" s="0"/>
      <c r="GEK60" s="0"/>
      <c r="GEL60" s="0"/>
      <c r="GEM60" s="0"/>
      <c r="GEN60" s="0"/>
      <c r="GEO60" s="0"/>
      <c r="GEP60" s="0"/>
      <c r="GEQ60" s="0"/>
      <c r="GER60" s="0"/>
      <c r="GES60" s="0"/>
      <c r="GET60" s="0"/>
      <c r="GEU60" s="0"/>
      <c r="GEV60" s="0"/>
      <c r="GEW60" s="0"/>
      <c r="GEX60" s="0"/>
      <c r="GEY60" s="0"/>
      <c r="GEZ60" s="0"/>
      <c r="GFA60" s="0"/>
      <c r="GFB60" s="0"/>
      <c r="GFC60" s="0"/>
      <c r="GFD60" s="0"/>
      <c r="GFE60" s="0"/>
      <c r="GFF60" s="0"/>
      <c r="GFG60" s="0"/>
      <c r="GFH60" s="0"/>
      <c r="GFI60" s="0"/>
      <c r="GFJ60" s="0"/>
      <c r="GFK60" s="0"/>
      <c r="GFL60" s="0"/>
      <c r="GFM60" s="0"/>
      <c r="GFN60" s="0"/>
      <c r="GFO60" s="0"/>
      <c r="GFP60" s="0"/>
      <c r="GFQ60" s="0"/>
      <c r="GFR60" s="0"/>
      <c r="GFS60" s="0"/>
      <c r="GFT60" s="0"/>
      <c r="GFU60" s="0"/>
      <c r="GFV60" s="0"/>
      <c r="GFW60" s="0"/>
      <c r="GFX60" s="0"/>
      <c r="GFY60" s="0"/>
      <c r="GFZ60" s="0"/>
      <c r="GGA60" s="0"/>
      <c r="GGB60" s="0"/>
      <c r="GGC60" s="0"/>
      <c r="GGD60" s="0"/>
      <c r="GGE60" s="0"/>
      <c r="GGF60" s="0"/>
      <c r="GGG60" s="0"/>
      <c r="GGH60" s="0"/>
      <c r="GGI60" s="0"/>
      <c r="GGJ60" s="0"/>
      <c r="GGK60" s="0"/>
      <c r="GGL60" s="0"/>
      <c r="GGM60" s="0"/>
      <c r="GGN60" s="0"/>
      <c r="GGO60" s="0"/>
      <c r="GGP60" s="0"/>
      <c r="GGQ60" s="0"/>
      <c r="GGR60" s="0"/>
      <c r="GGS60" s="0"/>
      <c r="GGT60" s="0"/>
      <c r="GGU60" s="0"/>
      <c r="GGV60" s="0"/>
      <c r="GGW60" s="0"/>
      <c r="GGX60" s="0"/>
      <c r="GGY60" s="0"/>
      <c r="GGZ60" s="0"/>
      <c r="GHA60" s="0"/>
      <c r="GHB60" s="0"/>
      <c r="GHC60" s="0"/>
      <c r="GHD60" s="0"/>
      <c r="GHE60" s="0"/>
      <c r="GHF60" s="0"/>
      <c r="GHG60" s="0"/>
      <c r="GHH60" s="0"/>
      <c r="GHI60" s="0"/>
      <c r="GHJ60" s="0"/>
      <c r="GHK60" s="0"/>
      <c r="GHL60" s="0"/>
      <c r="GHM60" s="0"/>
      <c r="GHN60" s="0"/>
      <c r="GHO60" s="0"/>
      <c r="GHP60" s="0"/>
      <c r="GHQ60" s="0"/>
      <c r="GHR60" s="0"/>
      <c r="GHS60" s="0"/>
      <c r="GHT60" s="0"/>
      <c r="GHU60" s="0"/>
      <c r="GHV60" s="0"/>
      <c r="GHW60" s="0"/>
      <c r="GHX60" s="0"/>
      <c r="GHY60" s="0"/>
      <c r="GHZ60" s="0"/>
      <c r="GIA60" s="0"/>
      <c r="GIB60" s="0"/>
      <c r="GIC60" s="0"/>
      <c r="GID60" s="0"/>
      <c r="GIE60" s="0"/>
      <c r="GIF60" s="0"/>
      <c r="GIG60" s="0"/>
      <c r="GIH60" s="0"/>
      <c r="GII60" s="0"/>
      <c r="GIJ60" s="0"/>
      <c r="GIK60" s="0"/>
      <c r="GIL60" s="0"/>
      <c r="GIM60" s="0"/>
      <c r="GIN60" s="0"/>
      <c r="GIO60" s="0"/>
      <c r="GIP60" s="0"/>
      <c r="GIQ60" s="0"/>
      <c r="GIR60" s="0"/>
      <c r="GIS60" s="0"/>
      <c r="GIT60" s="0"/>
      <c r="GIU60" s="0"/>
      <c r="GIV60" s="0"/>
      <c r="GIW60" s="0"/>
      <c r="GIX60" s="0"/>
      <c r="GIY60" s="0"/>
      <c r="GIZ60" s="0"/>
      <c r="GJA60" s="0"/>
      <c r="GJB60" s="0"/>
      <c r="GJC60" s="0"/>
      <c r="GJD60" s="0"/>
      <c r="GJE60" s="0"/>
      <c r="GJF60" s="0"/>
      <c r="GJG60" s="0"/>
      <c r="GJH60" s="0"/>
      <c r="GJI60" s="0"/>
      <c r="GJJ60" s="0"/>
      <c r="GJK60" s="0"/>
      <c r="GJL60" s="0"/>
      <c r="GJM60" s="0"/>
      <c r="GJN60" s="0"/>
      <c r="GJO60" s="0"/>
      <c r="GJP60" s="0"/>
      <c r="GJQ60" s="0"/>
      <c r="GJR60" s="0"/>
      <c r="GJS60" s="0"/>
      <c r="GJT60" s="0"/>
      <c r="GJU60" s="0"/>
      <c r="GJV60" s="0"/>
      <c r="GJW60" s="0"/>
      <c r="GJX60" s="0"/>
      <c r="GJY60" s="0"/>
      <c r="GJZ60" s="0"/>
      <c r="GKA60" s="0"/>
      <c r="GKB60" s="0"/>
      <c r="GKC60" s="0"/>
      <c r="GKD60" s="0"/>
      <c r="GKE60" s="0"/>
      <c r="GKF60" s="0"/>
      <c r="GKG60" s="0"/>
      <c r="GKH60" s="0"/>
      <c r="GKI60" s="0"/>
      <c r="GKJ60" s="0"/>
      <c r="GKK60" s="0"/>
      <c r="GKL60" s="0"/>
      <c r="GKM60" s="0"/>
      <c r="GKN60" s="0"/>
      <c r="GKO60" s="0"/>
      <c r="GKP60" s="0"/>
      <c r="GKQ60" s="0"/>
      <c r="GKR60" s="0"/>
      <c r="GKS60" s="0"/>
      <c r="GKT60" s="0"/>
      <c r="GKU60" s="0"/>
      <c r="GKV60" s="0"/>
      <c r="GKW60" s="0"/>
      <c r="GKX60" s="0"/>
      <c r="GKY60" s="0"/>
      <c r="GKZ60" s="0"/>
      <c r="GLA60" s="0"/>
      <c r="GLB60" s="0"/>
      <c r="GLC60" s="0"/>
      <c r="GLD60" s="0"/>
      <c r="GLE60" s="0"/>
      <c r="GLF60" s="0"/>
      <c r="GLG60" s="0"/>
      <c r="GLH60" s="0"/>
      <c r="GLI60" s="0"/>
      <c r="GLJ60" s="0"/>
      <c r="GLK60" s="0"/>
      <c r="GLL60" s="0"/>
      <c r="GLM60" s="0"/>
      <c r="GLN60" s="0"/>
      <c r="GLO60" s="0"/>
      <c r="GLP60" s="0"/>
      <c r="GLQ60" s="0"/>
      <c r="GLR60" s="0"/>
      <c r="GLS60" s="0"/>
      <c r="GLT60" s="0"/>
      <c r="GLU60" s="0"/>
      <c r="GLV60" s="0"/>
      <c r="GLW60" s="0"/>
      <c r="GLX60" s="0"/>
      <c r="GLY60" s="0"/>
      <c r="GLZ60" s="0"/>
      <c r="GMA60" s="0"/>
      <c r="GMB60" s="0"/>
      <c r="GMC60" s="0"/>
      <c r="GMD60" s="0"/>
      <c r="GME60" s="0"/>
      <c r="GMF60" s="0"/>
      <c r="GMG60" s="0"/>
      <c r="GMH60" s="0"/>
      <c r="GMI60" s="0"/>
      <c r="GMJ60" s="0"/>
      <c r="GMK60" s="0"/>
      <c r="GML60" s="0"/>
      <c r="GMM60" s="0"/>
      <c r="GMN60" s="0"/>
      <c r="GMO60" s="0"/>
      <c r="GMP60" s="0"/>
      <c r="GMQ60" s="0"/>
      <c r="GMR60" s="0"/>
      <c r="GMS60" s="0"/>
      <c r="GMT60" s="0"/>
      <c r="GMU60" s="0"/>
      <c r="GMV60" s="0"/>
      <c r="GMW60" s="0"/>
      <c r="GMX60" s="0"/>
      <c r="GMY60" s="0"/>
      <c r="GMZ60" s="0"/>
      <c r="GNA60" s="0"/>
      <c r="GNB60" s="0"/>
      <c r="GNC60" s="0"/>
      <c r="GND60" s="0"/>
      <c r="GNE60" s="0"/>
      <c r="GNF60" s="0"/>
      <c r="GNG60" s="0"/>
      <c r="GNH60" s="0"/>
      <c r="GNI60" s="0"/>
      <c r="GNJ60" s="0"/>
      <c r="GNK60" s="0"/>
      <c r="GNL60" s="0"/>
      <c r="GNM60" s="0"/>
      <c r="GNN60" s="0"/>
      <c r="GNO60" s="0"/>
      <c r="GNP60" s="0"/>
      <c r="GNQ60" s="0"/>
      <c r="GNR60" s="0"/>
      <c r="GNS60" s="0"/>
      <c r="GNT60" s="0"/>
      <c r="GNU60" s="0"/>
      <c r="GNV60" s="0"/>
      <c r="GNW60" s="0"/>
      <c r="GNX60" s="0"/>
      <c r="GNY60" s="0"/>
      <c r="GNZ60" s="0"/>
      <c r="GOA60" s="0"/>
      <c r="GOB60" s="0"/>
      <c r="GOC60" s="0"/>
      <c r="GOD60" s="0"/>
      <c r="GOE60" s="0"/>
      <c r="GOF60" s="0"/>
      <c r="GOG60" s="0"/>
      <c r="GOH60" s="0"/>
      <c r="GOI60" s="0"/>
      <c r="GOJ60" s="0"/>
      <c r="GOK60" s="0"/>
      <c r="GOL60" s="0"/>
      <c r="GOM60" s="0"/>
      <c r="GON60" s="0"/>
      <c r="GOO60" s="0"/>
      <c r="GOP60" s="0"/>
      <c r="GOQ60" s="0"/>
      <c r="GOR60" s="0"/>
      <c r="GOS60" s="0"/>
      <c r="GOT60" s="0"/>
      <c r="GOU60" s="0"/>
      <c r="GOV60" s="0"/>
      <c r="GOW60" s="0"/>
      <c r="GOX60" s="0"/>
      <c r="GOY60" s="0"/>
      <c r="GOZ60" s="0"/>
      <c r="GPA60" s="0"/>
      <c r="GPB60" s="0"/>
      <c r="GPC60" s="0"/>
      <c r="GPD60" s="0"/>
      <c r="GPE60" s="0"/>
      <c r="GPF60" s="0"/>
      <c r="GPG60" s="0"/>
      <c r="GPH60" s="0"/>
      <c r="GPI60" s="0"/>
      <c r="GPJ60" s="0"/>
      <c r="GPK60" s="0"/>
      <c r="GPL60" s="0"/>
      <c r="GPM60" s="0"/>
      <c r="GPN60" s="0"/>
      <c r="GPO60" s="0"/>
      <c r="GPP60" s="0"/>
      <c r="GPQ60" s="0"/>
      <c r="GPR60" s="0"/>
      <c r="GPS60" s="0"/>
      <c r="GPT60" s="0"/>
      <c r="GPU60" s="0"/>
      <c r="GPV60" s="0"/>
      <c r="GPW60" s="0"/>
      <c r="GPX60" s="0"/>
      <c r="GPY60" s="0"/>
      <c r="GPZ60" s="0"/>
      <c r="GQA60" s="0"/>
      <c r="GQB60" s="0"/>
      <c r="GQC60" s="0"/>
      <c r="GQD60" s="0"/>
      <c r="GQE60" s="0"/>
      <c r="GQF60" s="0"/>
      <c r="GQG60" s="0"/>
      <c r="GQH60" s="0"/>
      <c r="GQI60" s="0"/>
      <c r="GQJ60" s="0"/>
      <c r="GQK60" s="0"/>
      <c r="GQL60" s="0"/>
      <c r="GQM60" s="0"/>
      <c r="GQN60" s="0"/>
      <c r="GQO60" s="0"/>
      <c r="GQP60" s="0"/>
      <c r="GQQ60" s="0"/>
      <c r="GQR60" s="0"/>
      <c r="GQS60" s="0"/>
      <c r="GQT60" s="0"/>
      <c r="GQU60" s="0"/>
      <c r="GQV60" s="0"/>
      <c r="GQW60" s="0"/>
      <c r="GQX60" s="0"/>
      <c r="GQY60" s="0"/>
      <c r="GQZ60" s="0"/>
      <c r="GRA60" s="0"/>
      <c r="GRB60" s="0"/>
      <c r="GRC60" s="0"/>
      <c r="GRD60" s="0"/>
      <c r="GRE60" s="0"/>
      <c r="GRF60" s="0"/>
      <c r="GRG60" s="0"/>
      <c r="GRH60" s="0"/>
      <c r="GRI60" s="0"/>
      <c r="GRJ60" s="0"/>
      <c r="GRK60" s="0"/>
      <c r="GRL60" s="0"/>
      <c r="GRM60" s="0"/>
      <c r="GRN60" s="0"/>
      <c r="GRO60" s="0"/>
      <c r="GRP60" s="0"/>
      <c r="GRQ60" s="0"/>
      <c r="GRR60" s="0"/>
      <c r="GRS60" s="0"/>
      <c r="GRT60" s="0"/>
      <c r="GRU60" s="0"/>
      <c r="GRV60" s="0"/>
      <c r="GRW60" s="0"/>
      <c r="GRX60" s="0"/>
      <c r="GRY60" s="0"/>
      <c r="GRZ60" s="0"/>
      <c r="GSA60" s="0"/>
      <c r="GSB60" s="0"/>
      <c r="GSC60" s="0"/>
      <c r="GSD60" s="0"/>
      <c r="GSE60" s="0"/>
      <c r="GSF60" s="0"/>
      <c r="GSG60" s="0"/>
      <c r="GSH60" s="0"/>
      <c r="GSI60" s="0"/>
      <c r="GSJ60" s="0"/>
      <c r="GSK60" s="0"/>
      <c r="GSL60" s="0"/>
      <c r="GSM60" s="0"/>
      <c r="GSN60" s="0"/>
      <c r="GSO60" s="0"/>
      <c r="GSP60" s="0"/>
      <c r="GSQ60" s="0"/>
      <c r="GSR60" s="0"/>
      <c r="GSS60" s="0"/>
      <c r="GST60" s="0"/>
      <c r="GSU60" s="0"/>
      <c r="GSV60" s="0"/>
      <c r="GSW60" s="0"/>
      <c r="GSX60" s="0"/>
      <c r="GSY60" s="0"/>
      <c r="GSZ60" s="0"/>
      <c r="GTA60" s="0"/>
      <c r="GTB60" s="0"/>
      <c r="GTC60" s="0"/>
      <c r="GTD60" s="0"/>
      <c r="GTE60" s="0"/>
      <c r="GTF60" s="0"/>
      <c r="GTG60" s="0"/>
      <c r="GTH60" s="0"/>
      <c r="GTI60" s="0"/>
      <c r="GTJ60" s="0"/>
      <c r="GTK60" s="0"/>
      <c r="GTL60" s="0"/>
      <c r="GTM60" s="0"/>
      <c r="GTN60" s="0"/>
      <c r="GTO60" s="0"/>
      <c r="GTP60" s="0"/>
      <c r="GTQ60" s="0"/>
      <c r="GTR60" s="0"/>
      <c r="GTS60" s="0"/>
      <c r="GTT60" s="0"/>
      <c r="GTU60" s="0"/>
      <c r="GTV60" s="0"/>
      <c r="GTW60" s="0"/>
      <c r="GTX60" s="0"/>
      <c r="GTY60" s="0"/>
      <c r="GTZ60" s="0"/>
      <c r="GUA60" s="0"/>
      <c r="GUB60" s="0"/>
      <c r="GUC60" s="0"/>
      <c r="GUD60" s="0"/>
      <c r="GUE60" s="0"/>
      <c r="GUF60" s="0"/>
      <c r="GUG60" s="0"/>
      <c r="GUH60" s="0"/>
      <c r="GUI60" s="0"/>
      <c r="GUJ60" s="0"/>
      <c r="GUK60" s="0"/>
      <c r="GUL60" s="0"/>
      <c r="GUM60" s="0"/>
      <c r="GUN60" s="0"/>
      <c r="GUO60" s="0"/>
      <c r="GUP60" s="0"/>
      <c r="GUQ60" s="0"/>
      <c r="GUR60" s="0"/>
      <c r="GUS60" s="0"/>
      <c r="GUT60" s="0"/>
      <c r="GUU60" s="0"/>
      <c r="GUV60" s="0"/>
      <c r="GUW60" s="0"/>
      <c r="GUX60" s="0"/>
      <c r="GUY60" s="0"/>
      <c r="GUZ60" s="0"/>
      <c r="GVA60" s="0"/>
      <c r="GVB60" s="0"/>
      <c r="GVC60" s="0"/>
      <c r="GVD60" s="0"/>
      <c r="GVE60" s="0"/>
      <c r="GVF60" s="0"/>
      <c r="GVG60" s="0"/>
      <c r="GVH60" s="0"/>
      <c r="GVI60" s="0"/>
      <c r="GVJ60" s="0"/>
      <c r="GVK60" s="0"/>
      <c r="GVL60" s="0"/>
      <c r="GVM60" s="0"/>
      <c r="GVN60" s="0"/>
      <c r="GVO60" s="0"/>
      <c r="GVP60" s="0"/>
      <c r="GVQ60" s="0"/>
      <c r="GVR60" s="0"/>
      <c r="GVS60" s="0"/>
      <c r="GVT60" s="0"/>
      <c r="GVU60" s="0"/>
      <c r="GVV60" s="0"/>
      <c r="GVW60" s="0"/>
      <c r="GVX60" s="0"/>
      <c r="GVY60" s="0"/>
      <c r="GVZ60" s="0"/>
      <c r="GWA60" s="0"/>
      <c r="GWB60" s="0"/>
      <c r="GWC60" s="0"/>
      <c r="GWD60" s="0"/>
      <c r="GWE60" s="0"/>
      <c r="GWF60" s="0"/>
      <c r="GWG60" s="0"/>
      <c r="GWH60" s="0"/>
      <c r="GWI60" s="0"/>
      <c r="GWJ60" s="0"/>
      <c r="GWK60" s="0"/>
      <c r="GWL60" s="0"/>
      <c r="GWM60" s="0"/>
      <c r="GWN60" s="0"/>
      <c r="GWO60" s="0"/>
      <c r="GWP60" s="0"/>
      <c r="GWQ60" s="0"/>
      <c r="GWR60" s="0"/>
      <c r="GWS60" s="0"/>
      <c r="GWT60" s="0"/>
      <c r="GWU60" s="0"/>
      <c r="GWV60" s="0"/>
      <c r="GWW60" s="0"/>
      <c r="GWX60" s="0"/>
      <c r="GWY60" s="0"/>
      <c r="GWZ60" s="0"/>
      <c r="GXA60" s="0"/>
      <c r="GXB60" s="0"/>
      <c r="GXC60" s="0"/>
      <c r="GXD60" s="0"/>
      <c r="GXE60" s="0"/>
      <c r="GXF60" s="0"/>
      <c r="GXG60" s="0"/>
      <c r="GXH60" s="0"/>
      <c r="GXI60" s="0"/>
      <c r="GXJ60" s="0"/>
      <c r="GXK60" s="0"/>
      <c r="GXL60" s="0"/>
      <c r="GXM60" s="0"/>
      <c r="GXN60" s="0"/>
      <c r="GXO60" s="0"/>
      <c r="GXP60" s="0"/>
      <c r="GXQ60" s="0"/>
      <c r="GXR60" s="0"/>
      <c r="GXS60" s="0"/>
      <c r="GXT60" s="0"/>
      <c r="GXU60" s="0"/>
      <c r="GXV60" s="0"/>
      <c r="GXW60" s="0"/>
      <c r="GXX60" s="0"/>
      <c r="GXY60" s="0"/>
      <c r="GXZ60" s="0"/>
      <c r="GYA60" s="0"/>
      <c r="GYB60" s="0"/>
      <c r="GYC60" s="0"/>
      <c r="GYD60" s="0"/>
      <c r="GYE60" s="0"/>
      <c r="GYF60" s="0"/>
      <c r="GYG60" s="0"/>
      <c r="GYH60" s="0"/>
      <c r="GYI60" s="0"/>
      <c r="GYJ60" s="0"/>
      <c r="GYK60" s="0"/>
      <c r="GYL60" s="0"/>
      <c r="GYM60" s="0"/>
      <c r="GYN60" s="0"/>
      <c r="GYO60" s="0"/>
      <c r="GYP60" s="0"/>
      <c r="GYQ60" s="0"/>
      <c r="GYR60" s="0"/>
      <c r="GYS60" s="0"/>
      <c r="GYT60" s="0"/>
      <c r="GYU60" s="0"/>
      <c r="GYV60" s="0"/>
      <c r="GYW60" s="0"/>
      <c r="GYX60" s="0"/>
      <c r="GYY60" s="0"/>
      <c r="GYZ60" s="0"/>
      <c r="GZA60" s="0"/>
      <c r="GZB60" s="0"/>
      <c r="GZC60" s="0"/>
      <c r="GZD60" s="0"/>
      <c r="GZE60" s="0"/>
      <c r="GZF60" s="0"/>
      <c r="GZG60" s="0"/>
      <c r="GZH60" s="0"/>
      <c r="GZI60" s="0"/>
      <c r="GZJ60" s="0"/>
      <c r="GZK60" s="0"/>
      <c r="GZL60" s="0"/>
      <c r="GZM60" s="0"/>
      <c r="GZN60" s="0"/>
      <c r="GZO60" s="0"/>
      <c r="GZP60" s="0"/>
      <c r="GZQ60" s="0"/>
      <c r="GZR60" s="0"/>
      <c r="GZS60" s="0"/>
      <c r="GZT60" s="0"/>
      <c r="GZU60" s="0"/>
      <c r="GZV60" s="0"/>
      <c r="GZW60" s="0"/>
      <c r="GZX60" s="0"/>
      <c r="GZY60" s="0"/>
      <c r="GZZ60" s="0"/>
      <c r="HAA60" s="0"/>
      <c r="HAB60" s="0"/>
      <c r="HAC60" s="0"/>
      <c r="HAD60" s="0"/>
      <c r="HAE60" s="0"/>
      <c r="HAF60" s="0"/>
      <c r="HAG60" s="0"/>
      <c r="HAH60" s="0"/>
      <c r="HAI60" s="0"/>
      <c r="HAJ60" s="0"/>
      <c r="HAK60" s="0"/>
      <c r="HAL60" s="0"/>
      <c r="HAM60" s="0"/>
      <c r="HAN60" s="0"/>
      <c r="HAO60" s="0"/>
      <c r="HAP60" s="0"/>
      <c r="HAQ60" s="0"/>
      <c r="HAR60" s="0"/>
      <c r="HAS60" s="0"/>
      <c r="HAT60" s="0"/>
      <c r="HAU60" s="0"/>
      <c r="HAV60" s="0"/>
      <c r="HAW60" s="0"/>
      <c r="HAX60" s="0"/>
      <c r="HAY60" s="0"/>
      <c r="HAZ60" s="0"/>
      <c r="HBA60" s="0"/>
      <c r="HBB60" s="0"/>
      <c r="HBC60" s="0"/>
      <c r="HBD60" s="0"/>
      <c r="HBE60" s="0"/>
      <c r="HBF60" s="0"/>
      <c r="HBG60" s="0"/>
      <c r="HBH60" s="0"/>
      <c r="HBI60" s="0"/>
      <c r="HBJ60" s="0"/>
      <c r="HBK60" s="0"/>
      <c r="HBL60" s="0"/>
      <c r="HBM60" s="0"/>
      <c r="HBN60" s="0"/>
      <c r="HBO60" s="0"/>
      <c r="HBP60" s="0"/>
      <c r="HBQ60" s="0"/>
      <c r="HBR60" s="0"/>
      <c r="HBS60" s="0"/>
      <c r="HBT60" s="0"/>
      <c r="HBU60" s="0"/>
      <c r="HBV60" s="0"/>
      <c r="HBW60" s="0"/>
      <c r="HBX60" s="0"/>
      <c r="HBY60" s="0"/>
      <c r="HBZ60" s="0"/>
      <c r="HCA60" s="0"/>
      <c r="HCB60" s="0"/>
      <c r="HCC60" s="0"/>
      <c r="HCD60" s="0"/>
      <c r="HCE60" s="0"/>
      <c r="HCF60" s="0"/>
      <c r="HCG60" s="0"/>
      <c r="HCH60" s="0"/>
      <c r="HCI60" s="0"/>
      <c r="HCJ60" s="0"/>
      <c r="HCK60" s="0"/>
      <c r="HCL60" s="0"/>
      <c r="HCM60" s="0"/>
      <c r="HCN60" s="0"/>
      <c r="HCO60" s="0"/>
      <c r="HCP60" s="0"/>
      <c r="HCQ60" s="0"/>
      <c r="HCR60" s="0"/>
      <c r="HCS60" s="0"/>
      <c r="HCT60" s="0"/>
      <c r="HCU60" s="0"/>
      <c r="HCV60" s="0"/>
      <c r="HCW60" s="0"/>
      <c r="HCX60" s="0"/>
      <c r="HCY60" s="0"/>
      <c r="HCZ60" s="0"/>
      <c r="HDA60" s="0"/>
      <c r="HDB60" s="0"/>
      <c r="HDC60" s="0"/>
      <c r="HDD60" s="0"/>
      <c r="HDE60" s="0"/>
      <c r="HDF60" s="0"/>
      <c r="HDG60" s="0"/>
      <c r="HDH60" s="0"/>
      <c r="HDI60" s="0"/>
      <c r="HDJ60" s="0"/>
      <c r="HDK60" s="0"/>
      <c r="HDL60" s="0"/>
      <c r="HDM60" s="0"/>
      <c r="HDN60" s="0"/>
      <c r="HDO60" s="0"/>
      <c r="HDP60" s="0"/>
      <c r="HDQ60" s="0"/>
      <c r="HDR60" s="0"/>
      <c r="HDS60" s="0"/>
      <c r="HDT60" s="0"/>
      <c r="HDU60" s="0"/>
      <c r="HDV60" s="0"/>
      <c r="HDW60" s="0"/>
      <c r="HDX60" s="0"/>
      <c r="HDY60" s="0"/>
      <c r="HDZ60" s="0"/>
      <c r="HEA60" s="0"/>
      <c r="HEB60" s="0"/>
      <c r="HEC60" s="0"/>
      <c r="HED60" s="0"/>
      <c r="HEE60" s="0"/>
      <c r="HEF60" s="0"/>
      <c r="HEG60" s="0"/>
      <c r="HEH60" s="0"/>
      <c r="HEI60" s="0"/>
      <c r="HEJ60" s="0"/>
      <c r="HEK60" s="0"/>
      <c r="HEL60" s="0"/>
      <c r="HEM60" s="0"/>
      <c r="HEN60" s="0"/>
      <c r="HEO60" s="0"/>
      <c r="HEP60" s="0"/>
      <c r="HEQ60" s="0"/>
      <c r="HER60" s="0"/>
      <c r="HES60" s="0"/>
      <c r="HET60" s="0"/>
      <c r="HEU60" s="0"/>
      <c r="HEV60" s="0"/>
      <c r="HEW60" s="0"/>
      <c r="HEX60" s="0"/>
      <c r="HEY60" s="0"/>
      <c r="HEZ60" s="0"/>
      <c r="HFA60" s="0"/>
      <c r="HFB60" s="0"/>
      <c r="HFC60" s="0"/>
      <c r="HFD60" s="0"/>
      <c r="HFE60" s="0"/>
      <c r="HFF60" s="0"/>
      <c r="HFG60" s="0"/>
      <c r="HFH60" s="0"/>
      <c r="HFI60" s="0"/>
      <c r="HFJ60" s="0"/>
      <c r="HFK60" s="0"/>
      <c r="HFL60" s="0"/>
      <c r="HFM60" s="0"/>
      <c r="HFN60" s="0"/>
      <c r="HFO60" s="0"/>
      <c r="HFP60" s="0"/>
      <c r="HFQ60" s="0"/>
      <c r="HFR60" s="0"/>
      <c r="HFS60" s="0"/>
      <c r="HFT60" s="0"/>
      <c r="HFU60" s="0"/>
      <c r="HFV60" s="0"/>
      <c r="HFW60" s="0"/>
      <c r="HFX60" s="0"/>
      <c r="HFY60" s="0"/>
      <c r="HFZ60" s="0"/>
      <c r="HGA60" s="0"/>
      <c r="HGB60" s="0"/>
      <c r="HGC60" s="0"/>
      <c r="HGD60" s="0"/>
      <c r="HGE60" s="0"/>
      <c r="HGF60" s="0"/>
      <c r="HGG60" s="0"/>
      <c r="HGH60" s="0"/>
      <c r="HGI60" s="0"/>
      <c r="HGJ60" s="0"/>
      <c r="HGK60" s="0"/>
      <c r="HGL60" s="0"/>
      <c r="HGM60" s="0"/>
      <c r="HGN60" s="0"/>
      <c r="HGO60" s="0"/>
      <c r="HGP60" s="0"/>
      <c r="HGQ60" s="0"/>
      <c r="HGR60" s="0"/>
      <c r="HGS60" s="0"/>
      <c r="HGT60" s="0"/>
      <c r="HGU60" s="0"/>
      <c r="HGV60" s="0"/>
      <c r="HGW60" s="0"/>
      <c r="HGX60" s="0"/>
      <c r="HGY60" s="0"/>
      <c r="HGZ60" s="0"/>
      <c r="HHA60" s="0"/>
      <c r="HHB60" s="0"/>
      <c r="HHC60" s="0"/>
      <c r="HHD60" s="0"/>
      <c r="HHE60" s="0"/>
      <c r="HHF60" s="0"/>
      <c r="HHG60" s="0"/>
      <c r="HHH60" s="0"/>
      <c r="HHI60" s="0"/>
      <c r="HHJ60" s="0"/>
      <c r="HHK60" s="0"/>
      <c r="HHL60" s="0"/>
      <c r="HHM60" s="0"/>
      <c r="HHN60" s="0"/>
      <c r="HHO60" s="0"/>
      <c r="HHP60" s="0"/>
      <c r="HHQ60" s="0"/>
      <c r="HHR60" s="0"/>
      <c r="HHS60" s="0"/>
      <c r="HHT60" s="0"/>
      <c r="HHU60" s="0"/>
      <c r="HHV60" s="0"/>
      <c r="HHW60" s="0"/>
      <c r="HHX60" s="0"/>
      <c r="HHY60" s="0"/>
      <c r="HHZ60" s="0"/>
      <c r="HIA60" s="0"/>
      <c r="HIB60" s="0"/>
      <c r="HIC60" s="0"/>
      <c r="HID60" s="0"/>
      <c r="HIE60" s="0"/>
      <c r="HIF60" s="0"/>
      <c r="HIG60" s="0"/>
      <c r="HIH60" s="0"/>
      <c r="HII60" s="0"/>
      <c r="HIJ60" s="0"/>
      <c r="HIK60" s="0"/>
      <c r="HIL60" s="0"/>
      <c r="HIM60" s="0"/>
      <c r="HIN60" s="0"/>
      <c r="HIO60" s="0"/>
      <c r="HIP60" s="0"/>
      <c r="HIQ60" s="0"/>
      <c r="HIR60" s="0"/>
      <c r="HIS60" s="0"/>
      <c r="HIT60" s="0"/>
      <c r="HIU60" s="0"/>
      <c r="HIV60" s="0"/>
      <c r="HIW60" s="0"/>
      <c r="HIX60" s="0"/>
      <c r="HIY60" s="0"/>
      <c r="HIZ60" s="0"/>
      <c r="HJA60" s="0"/>
      <c r="HJB60" s="0"/>
      <c r="HJC60" s="0"/>
      <c r="HJD60" s="0"/>
      <c r="HJE60" s="0"/>
      <c r="HJF60" s="0"/>
      <c r="HJG60" s="0"/>
      <c r="HJH60" s="0"/>
      <c r="HJI60" s="0"/>
      <c r="HJJ60" s="0"/>
      <c r="HJK60" s="0"/>
      <c r="HJL60" s="0"/>
      <c r="HJM60" s="0"/>
      <c r="HJN60" s="0"/>
      <c r="HJO60" s="0"/>
      <c r="HJP60" s="0"/>
      <c r="HJQ60" s="0"/>
      <c r="HJR60" s="0"/>
      <c r="HJS60" s="0"/>
      <c r="HJT60" s="0"/>
      <c r="HJU60" s="0"/>
      <c r="HJV60" s="0"/>
      <c r="HJW60" s="0"/>
      <c r="HJX60" s="0"/>
      <c r="HJY60" s="0"/>
      <c r="HJZ60" s="0"/>
      <c r="HKA60" s="0"/>
      <c r="HKB60" s="0"/>
      <c r="HKC60" s="0"/>
      <c r="HKD60" s="0"/>
      <c r="HKE60" s="0"/>
      <c r="HKF60" s="0"/>
      <c r="HKG60" s="0"/>
      <c r="HKH60" s="0"/>
      <c r="HKI60" s="0"/>
      <c r="HKJ60" s="0"/>
      <c r="HKK60" s="0"/>
      <c r="HKL60" s="0"/>
      <c r="HKM60" s="0"/>
      <c r="HKN60" s="0"/>
      <c r="HKO60" s="0"/>
      <c r="HKP60" s="0"/>
      <c r="HKQ60" s="0"/>
      <c r="HKR60" s="0"/>
      <c r="HKS60" s="0"/>
      <c r="HKT60" s="0"/>
      <c r="HKU60" s="0"/>
      <c r="HKV60" s="0"/>
      <c r="HKW60" s="0"/>
      <c r="HKX60" s="0"/>
      <c r="HKY60" s="0"/>
      <c r="HKZ60" s="0"/>
      <c r="HLA60" s="0"/>
      <c r="HLB60" s="0"/>
      <c r="HLC60" s="0"/>
      <c r="HLD60" s="0"/>
      <c r="HLE60" s="0"/>
      <c r="HLF60" s="0"/>
      <c r="HLG60" s="0"/>
      <c r="HLH60" s="0"/>
      <c r="HLI60" s="0"/>
      <c r="HLJ60" s="0"/>
      <c r="HLK60" s="0"/>
      <c r="HLL60" s="0"/>
      <c r="HLM60" s="0"/>
      <c r="HLN60" s="0"/>
      <c r="HLO60" s="0"/>
      <c r="HLP60" s="0"/>
      <c r="HLQ60" s="0"/>
      <c r="HLR60" s="0"/>
      <c r="HLS60" s="0"/>
      <c r="HLT60" s="0"/>
      <c r="HLU60" s="0"/>
      <c r="HLV60" s="0"/>
      <c r="HLW60" s="0"/>
      <c r="HLX60" s="0"/>
      <c r="HLY60" s="0"/>
      <c r="HLZ60" s="0"/>
      <c r="HMA60" s="0"/>
      <c r="HMB60" s="0"/>
      <c r="HMC60" s="0"/>
      <c r="HMD60" s="0"/>
      <c r="HME60" s="0"/>
      <c r="HMF60" s="0"/>
      <c r="HMG60" s="0"/>
      <c r="HMH60" s="0"/>
      <c r="HMI60" s="0"/>
      <c r="HMJ60" s="0"/>
      <c r="HMK60" s="0"/>
      <c r="HML60" s="0"/>
      <c r="HMM60" s="0"/>
      <c r="HMN60" s="0"/>
      <c r="HMO60" s="0"/>
      <c r="HMP60" s="0"/>
      <c r="HMQ60" s="0"/>
      <c r="HMR60" s="0"/>
      <c r="HMS60" s="0"/>
      <c r="HMT60" s="0"/>
      <c r="HMU60" s="0"/>
      <c r="HMV60" s="0"/>
      <c r="HMW60" s="0"/>
      <c r="HMX60" s="0"/>
      <c r="HMY60" s="0"/>
      <c r="HMZ60" s="0"/>
      <c r="HNA60" s="0"/>
      <c r="HNB60" s="0"/>
      <c r="HNC60" s="0"/>
      <c r="HND60" s="0"/>
      <c r="HNE60" s="0"/>
      <c r="HNF60" s="0"/>
      <c r="HNG60" s="0"/>
      <c r="HNH60" s="0"/>
      <c r="HNI60" s="0"/>
      <c r="HNJ60" s="0"/>
      <c r="HNK60" s="0"/>
      <c r="HNL60" s="0"/>
      <c r="HNM60" s="0"/>
      <c r="HNN60" s="0"/>
      <c r="HNO60" s="0"/>
      <c r="HNP60" s="0"/>
      <c r="HNQ60" s="0"/>
      <c r="HNR60" s="0"/>
      <c r="HNS60" s="0"/>
      <c r="HNT60" s="0"/>
      <c r="HNU60" s="0"/>
      <c r="HNV60" s="0"/>
      <c r="HNW60" s="0"/>
      <c r="HNX60" s="0"/>
      <c r="HNY60" s="0"/>
      <c r="HNZ60" s="0"/>
      <c r="HOA60" s="0"/>
      <c r="HOB60" s="0"/>
      <c r="HOC60" s="0"/>
      <c r="HOD60" s="0"/>
      <c r="HOE60" s="0"/>
      <c r="HOF60" s="0"/>
      <c r="HOG60" s="0"/>
      <c r="HOH60" s="0"/>
      <c r="HOI60" s="0"/>
      <c r="HOJ60" s="0"/>
      <c r="HOK60" s="0"/>
      <c r="HOL60" s="0"/>
      <c r="HOM60" s="0"/>
      <c r="HON60" s="0"/>
      <c r="HOO60" s="0"/>
      <c r="HOP60" s="0"/>
      <c r="HOQ60" s="0"/>
      <c r="HOR60" s="0"/>
      <c r="HOS60" s="0"/>
      <c r="HOT60" s="0"/>
      <c r="HOU60" s="0"/>
      <c r="HOV60" s="0"/>
      <c r="HOW60" s="0"/>
      <c r="HOX60" s="0"/>
      <c r="HOY60" s="0"/>
      <c r="HOZ60" s="0"/>
      <c r="HPA60" s="0"/>
      <c r="HPB60" s="0"/>
      <c r="HPC60" s="0"/>
      <c r="HPD60" s="0"/>
      <c r="HPE60" s="0"/>
      <c r="HPF60" s="0"/>
      <c r="HPG60" s="0"/>
      <c r="HPH60" s="0"/>
      <c r="HPI60" s="0"/>
      <c r="HPJ60" s="0"/>
      <c r="HPK60" s="0"/>
      <c r="HPL60" s="0"/>
      <c r="HPM60" s="0"/>
      <c r="HPN60" s="0"/>
      <c r="HPO60" s="0"/>
      <c r="HPP60" s="0"/>
      <c r="HPQ60" s="0"/>
      <c r="HPR60" s="0"/>
      <c r="HPS60" s="0"/>
      <c r="HPT60" s="0"/>
      <c r="HPU60" s="0"/>
      <c r="HPV60" s="0"/>
      <c r="HPW60" s="0"/>
      <c r="HPX60" s="0"/>
      <c r="HPY60" s="0"/>
      <c r="HPZ60" s="0"/>
      <c r="HQA60" s="0"/>
      <c r="HQB60" s="0"/>
      <c r="HQC60" s="0"/>
      <c r="HQD60" s="0"/>
      <c r="HQE60" s="0"/>
      <c r="HQF60" s="0"/>
      <c r="HQG60" s="0"/>
      <c r="HQH60" s="0"/>
      <c r="HQI60" s="0"/>
      <c r="HQJ60" s="0"/>
      <c r="HQK60" s="0"/>
      <c r="HQL60" s="0"/>
      <c r="HQM60" s="0"/>
      <c r="HQN60" s="0"/>
      <c r="HQO60" s="0"/>
      <c r="HQP60" s="0"/>
      <c r="HQQ60" s="0"/>
      <c r="HQR60" s="0"/>
      <c r="HQS60" s="0"/>
      <c r="HQT60" s="0"/>
      <c r="HQU60" s="0"/>
      <c r="HQV60" s="0"/>
      <c r="HQW60" s="0"/>
      <c r="HQX60" s="0"/>
      <c r="HQY60" s="0"/>
      <c r="HQZ60" s="0"/>
      <c r="HRA60" s="0"/>
      <c r="HRB60" s="0"/>
      <c r="HRC60" s="0"/>
      <c r="HRD60" s="0"/>
      <c r="HRE60" s="0"/>
      <c r="HRF60" s="0"/>
      <c r="HRG60" s="0"/>
      <c r="HRH60" s="0"/>
      <c r="HRI60" s="0"/>
      <c r="HRJ60" s="0"/>
      <c r="HRK60" s="0"/>
      <c r="HRL60" s="0"/>
      <c r="HRM60" s="0"/>
      <c r="HRN60" s="0"/>
      <c r="HRO60" s="0"/>
      <c r="HRP60" s="0"/>
      <c r="HRQ60" s="0"/>
      <c r="HRR60" s="0"/>
      <c r="HRS60" s="0"/>
      <c r="HRT60" s="0"/>
      <c r="HRU60" s="0"/>
      <c r="HRV60" s="0"/>
      <c r="HRW60" s="0"/>
      <c r="HRX60" s="0"/>
      <c r="HRY60" s="0"/>
      <c r="HRZ60" s="0"/>
      <c r="HSA60" s="0"/>
      <c r="HSB60" s="0"/>
      <c r="HSC60" s="0"/>
      <c r="HSD60" s="0"/>
      <c r="HSE60" s="0"/>
      <c r="HSF60" s="0"/>
      <c r="HSG60" s="0"/>
      <c r="HSH60" s="0"/>
      <c r="HSI60" s="0"/>
      <c r="HSJ60" s="0"/>
      <c r="HSK60" s="0"/>
      <c r="HSL60" s="0"/>
      <c r="HSM60" s="0"/>
      <c r="HSN60" s="0"/>
      <c r="HSO60" s="0"/>
      <c r="HSP60" s="0"/>
      <c r="HSQ60" s="0"/>
      <c r="HSR60" s="0"/>
      <c r="HSS60" s="0"/>
      <c r="HST60" s="0"/>
      <c r="HSU60" s="0"/>
      <c r="HSV60" s="0"/>
      <c r="HSW60" s="0"/>
      <c r="HSX60" s="0"/>
      <c r="HSY60" s="0"/>
      <c r="HSZ60" s="0"/>
      <c r="HTA60" s="0"/>
      <c r="HTB60" s="0"/>
      <c r="HTC60" s="0"/>
      <c r="HTD60" s="0"/>
      <c r="HTE60" s="0"/>
      <c r="HTF60" s="0"/>
      <c r="HTG60" s="0"/>
      <c r="HTH60" s="0"/>
      <c r="HTI60" s="0"/>
      <c r="HTJ60" s="0"/>
      <c r="HTK60" s="0"/>
      <c r="HTL60" s="0"/>
      <c r="HTM60" s="0"/>
      <c r="HTN60" s="0"/>
      <c r="HTO60" s="0"/>
      <c r="HTP60" s="0"/>
      <c r="HTQ60" s="0"/>
      <c r="HTR60" s="0"/>
      <c r="HTS60" s="0"/>
      <c r="HTT60" s="0"/>
      <c r="HTU60" s="0"/>
      <c r="HTV60" s="0"/>
      <c r="HTW60" s="0"/>
      <c r="HTX60" s="0"/>
      <c r="HTY60" s="0"/>
      <c r="HTZ60" s="0"/>
      <c r="HUA60" s="0"/>
      <c r="HUB60" s="0"/>
      <c r="HUC60" s="0"/>
      <c r="HUD60" s="0"/>
      <c r="HUE60" s="0"/>
      <c r="HUF60" s="0"/>
      <c r="HUG60" s="0"/>
      <c r="HUH60" s="0"/>
      <c r="HUI60" s="0"/>
      <c r="HUJ60" s="0"/>
      <c r="HUK60" s="0"/>
      <c r="HUL60" s="0"/>
      <c r="HUM60" s="0"/>
      <c r="HUN60" s="0"/>
      <c r="HUO60" s="0"/>
      <c r="HUP60" s="0"/>
      <c r="HUQ60" s="0"/>
      <c r="HUR60" s="0"/>
      <c r="HUS60" s="0"/>
      <c r="HUT60" s="0"/>
      <c r="HUU60" s="0"/>
      <c r="HUV60" s="0"/>
      <c r="HUW60" s="0"/>
      <c r="HUX60" s="0"/>
      <c r="HUY60" s="0"/>
      <c r="HUZ60" s="0"/>
      <c r="HVA60" s="0"/>
      <c r="HVB60" s="0"/>
      <c r="HVC60" s="0"/>
      <c r="HVD60" s="0"/>
      <c r="HVE60" s="0"/>
      <c r="HVF60" s="0"/>
      <c r="HVG60" s="0"/>
      <c r="HVH60" s="0"/>
      <c r="HVI60" s="0"/>
      <c r="HVJ60" s="0"/>
      <c r="HVK60" s="0"/>
      <c r="HVL60" s="0"/>
      <c r="HVM60" s="0"/>
      <c r="HVN60" s="0"/>
      <c r="HVO60" s="0"/>
      <c r="HVP60" s="0"/>
      <c r="HVQ60" s="0"/>
      <c r="HVR60" s="0"/>
      <c r="HVS60" s="0"/>
      <c r="HVT60" s="0"/>
      <c r="HVU60" s="0"/>
      <c r="HVV60" s="0"/>
      <c r="HVW60" s="0"/>
      <c r="HVX60" s="0"/>
      <c r="HVY60" s="0"/>
      <c r="HVZ60" s="0"/>
      <c r="HWA60" s="0"/>
      <c r="HWB60" s="0"/>
      <c r="HWC60" s="0"/>
      <c r="HWD60" s="0"/>
      <c r="HWE60" s="0"/>
      <c r="HWF60" s="0"/>
      <c r="HWG60" s="0"/>
      <c r="HWH60" s="0"/>
      <c r="HWI60" s="0"/>
      <c r="HWJ60" s="0"/>
      <c r="HWK60" s="0"/>
      <c r="HWL60" s="0"/>
      <c r="HWM60" s="0"/>
      <c r="HWN60" s="0"/>
      <c r="HWO60" s="0"/>
      <c r="HWP60" s="0"/>
      <c r="HWQ60" s="0"/>
      <c r="HWR60" s="0"/>
      <c r="HWS60" s="0"/>
      <c r="HWT60" s="0"/>
      <c r="HWU60" s="0"/>
      <c r="HWV60" s="0"/>
      <c r="HWW60" s="0"/>
      <c r="HWX60" s="0"/>
      <c r="HWY60" s="0"/>
      <c r="HWZ60" s="0"/>
      <c r="HXA60" s="0"/>
      <c r="HXB60" s="0"/>
      <c r="HXC60" s="0"/>
      <c r="HXD60" s="0"/>
      <c r="HXE60" s="0"/>
      <c r="HXF60" s="0"/>
      <c r="HXG60" s="0"/>
      <c r="HXH60" s="0"/>
      <c r="HXI60" s="0"/>
      <c r="HXJ60" s="0"/>
      <c r="HXK60" s="0"/>
      <c r="HXL60" s="0"/>
      <c r="HXM60" s="0"/>
      <c r="HXN60" s="0"/>
      <c r="HXO60" s="0"/>
      <c r="HXP60" s="0"/>
      <c r="HXQ60" s="0"/>
      <c r="HXR60" s="0"/>
      <c r="HXS60" s="0"/>
      <c r="HXT60" s="0"/>
      <c r="HXU60" s="0"/>
      <c r="HXV60" s="0"/>
      <c r="HXW60" s="0"/>
      <c r="HXX60" s="0"/>
      <c r="HXY60" s="0"/>
      <c r="HXZ60" s="0"/>
      <c r="HYA60" s="0"/>
      <c r="HYB60" s="0"/>
      <c r="HYC60" s="0"/>
      <c r="HYD60" s="0"/>
      <c r="HYE60" s="0"/>
      <c r="HYF60" s="0"/>
      <c r="HYG60" s="0"/>
      <c r="HYH60" s="0"/>
      <c r="HYI60" s="0"/>
      <c r="HYJ60" s="0"/>
      <c r="HYK60" s="0"/>
      <c r="HYL60" s="0"/>
      <c r="HYM60" s="0"/>
      <c r="HYN60" s="0"/>
      <c r="HYO60" s="0"/>
      <c r="HYP60" s="0"/>
      <c r="HYQ60" s="0"/>
      <c r="HYR60" s="0"/>
      <c r="HYS60" s="0"/>
      <c r="HYT60" s="0"/>
      <c r="HYU60" s="0"/>
      <c r="HYV60" s="0"/>
      <c r="HYW60" s="0"/>
      <c r="HYX60" s="0"/>
      <c r="HYY60" s="0"/>
      <c r="HYZ60" s="0"/>
      <c r="HZA60" s="0"/>
      <c r="HZB60" s="0"/>
      <c r="HZC60" s="0"/>
      <c r="HZD60" s="0"/>
      <c r="HZE60" s="0"/>
      <c r="HZF60" s="0"/>
      <c r="HZG60" s="0"/>
      <c r="HZH60" s="0"/>
      <c r="HZI60" s="0"/>
      <c r="HZJ60" s="0"/>
      <c r="HZK60" s="0"/>
      <c r="HZL60" s="0"/>
      <c r="HZM60" s="0"/>
      <c r="HZN60" s="0"/>
      <c r="HZO60" s="0"/>
      <c r="HZP60" s="0"/>
      <c r="HZQ60" s="0"/>
      <c r="HZR60" s="0"/>
      <c r="HZS60" s="0"/>
      <c r="HZT60" s="0"/>
      <c r="HZU60" s="0"/>
      <c r="HZV60" s="0"/>
      <c r="HZW60" s="0"/>
      <c r="HZX60" s="0"/>
      <c r="HZY60" s="0"/>
      <c r="HZZ60" s="0"/>
      <c r="IAA60" s="0"/>
      <c r="IAB60" s="0"/>
      <c r="IAC60" s="0"/>
      <c r="IAD60" s="0"/>
      <c r="IAE60" s="0"/>
      <c r="IAF60" s="0"/>
      <c r="IAG60" s="0"/>
      <c r="IAH60" s="0"/>
      <c r="IAI60" s="0"/>
      <c r="IAJ60" s="0"/>
      <c r="IAK60" s="0"/>
      <c r="IAL60" s="0"/>
      <c r="IAM60" s="0"/>
      <c r="IAN60" s="0"/>
      <c r="IAO60" s="0"/>
      <c r="IAP60" s="0"/>
      <c r="IAQ60" s="0"/>
      <c r="IAR60" s="0"/>
      <c r="IAS60" s="0"/>
      <c r="IAT60" s="0"/>
      <c r="IAU60" s="0"/>
      <c r="IAV60" s="0"/>
      <c r="IAW60" s="0"/>
      <c r="IAX60" s="0"/>
      <c r="IAY60" s="0"/>
      <c r="IAZ60" s="0"/>
      <c r="IBA60" s="0"/>
      <c r="IBB60" s="0"/>
      <c r="IBC60" s="0"/>
      <c r="IBD60" s="0"/>
      <c r="IBE60" s="0"/>
      <c r="IBF60" s="0"/>
      <c r="IBG60" s="0"/>
      <c r="IBH60" s="0"/>
      <c r="IBI60" s="0"/>
      <c r="IBJ60" s="0"/>
      <c r="IBK60" s="0"/>
      <c r="IBL60" s="0"/>
      <c r="IBM60" s="0"/>
      <c r="IBN60" s="0"/>
      <c r="IBO60" s="0"/>
      <c r="IBP60" s="0"/>
      <c r="IBQ60" s="0"/>
      <c r="IBR60" s="0"/>
      <c r="IBS60" s="0"/>
      <c r="IBT60" s="0"/>
      <c r="IBU60" s="0"/>
      <c r="IBV60" s="0"/>
      <c r="IBW60" s="0"/>
      <c r="IBX60" s="0"/>
      <c r="IBY60" s="0"/>
      <c r="IBZ60" s="0"/>
      <c r="ICA60" s="0"/>
      <c r="ICB60" s="0"/>
      <c r="ICC60" s="0"/>
      <c r="ICD60" s="0"/>
      <c r="ICE60" s="0"/>
      <c r="ICF60" s="0"/>
      <c r="ICG60" s="0"/>
      <c r="ICH60" s="0"/>
      <c r="ICI60" s="0"/>
      <c r="ICJ60" s="0"/>
      <c r="ICK60" s="0"/>
      <c r="ICL60" s="0"/>
      <c r="ICM60" s="0"/>
      <c r="ICN60" s="0"/>
      <c r="ICO60" s="0"/>
      <c r="ICP60" s="0"/>
      <c r="ICQ60" s="0"/>
      <c r="ICR60" s="0"/>
      <c r="ICS60" s="0"/>
      <c r="ICT60" s="0"/>
      <c r="ICU60" s="0"/>
      <c r="ICV60" s="0"/>
      <c r="ICW60" s="0"/>
      <c r="ICX60" s="0"/>
      <c r="ICY60" s="0"/>
      <c r="ICZ60" s="0"/>
      <c r="IDA60" s="0"/>
      <c r="IDB60" s="0"/>
      <c r="IDC60" s="0"/>
      <c r="IDD60" s="0"/>
      <c r="IDE60" s="0"/>
      <c r="IDF60" s="0"/>
      <c r="IDG60" s="0"/>
      <c r="IDH60" s="0"/>
      <c r="IDI60" s="0"/>
      <c r="IDJ60" s="0"/>
      <c r="IDK60" s="0"/>
      <c r="IDL60" s="0"/>
      <c r="IDM60" s="0"/>
      <c r="IDN60" s="0"/>
      <c r="IDO60" s="0"/>
      <c r="IDP60" s="0"/>
      <c r="IDQ60" s="0"/>
      <c r="IDR60" s="0"/>
      <c r="IDS60" s="0"/>
      <c r="IDT60" s="0"/>
      <c r="IDU60" s="0"/>
      <c r="IDV60" s="0"/>
      <c r="IDW60" s="0"/>
      <c r="IDX60" s="0"/>
      <c r="IDY60" s="0"/>
      <c r="IDZ60" s="0"/>
      <c r="IEA60" s="0"/>
      <c r="IEB60" s="0"/>
      <c r="IEC60" s="0"/>
      <c r="IED60" s="0"/>
      <c r="IEE60" s="0"/>
      <c r="IEF60" s="0"/>
      <c r="IEG60" s="0"/>
      <c r="IEH60" s="0"/>
      <c r="IEI60" s="0"/>
      <c r="IEJ60" s="0"/>
      <c r="IEK60" s="0"/>
      <c r="IEL60" s="0"/>
      <c r="IEM60" s="0"/>
      <c r="IEN60" s="0"/>
      <c r="IEO60" s="0"/>
      <c r="IEP60" s="0"/>
      <c r="IEQ60" s="0"/>
      <c r="IER60" s="0"/>
      <c r="IES60" s="0"/>
      <c r="IET60" s="0"/>
      <c r="IEU60" s="0"/>
      <c r="IEV60" s="0"/>
      <c r="IEW60" s="0"/>
      <c r="IEX60" s="0"/>
      <c r="IEY60" s="0"/>
      <c r="IEZ60" s="0"/>
      <c r="IFA60" s="0"/>
      <c r="IFB60" s="0"/>
      <c r="IFC60" s="0"/>
      <c r="IFD60" s="0"/>
      <c r="IFE60" s="0"/>
      <c r="IFF60" s="0"/>
      <c r="IFG60" s="0"/>
      <c r="IFH60" s="0"/>
      <c r="IFI60" s="0"/>
      <c r="IFJ60" s="0"/>
      <c r="IFK60" s="0"/>
      <c r="IFL60" s="0"/>
      <c r="IFM60" s="0"/>
      <c r="IFN60" s="0"/>
      <c r="IFO60" s="0"/>
      <c r="IFP60" s="0"/>
      <c r="IFQ60" s="0"/>
      <c r="IFR60" s="0"/>
      <c r="IFS60" s="0"/>
      <c r="IFT60" s="0"/>
      <c r="IFU60" s="0"/>
      <c r="IFV60" s="0"/>
      <c r="IFW60" s="0"/>
      <c r="IFX60" s="0"/>
      <c r="IFY60" s="0"/>
      <c r="IFZ60" s="0"/>
      <c r="IGA60" s="0"/>
      <c r="IGB60" s="0"/>
      <c r="IGC60" s="0"/>
      <c r="IGD60" s="0"/>
      <c r="IGE60" s="0"/>
      <c r="IGF60" s="0"/>
      <c r="IGG60" s="0"/>
      <c r="IGH60" s="0"/>
      <c r="IGI60" s="0"/>
      <c r="IGJ60" s="0"/>
      <c r="IGK60" s="0"/>
      <c r="IGL60" s="0"/>
      <c r="IGM60" s="0"/>
      <c r="IGN60" s="0"/>
      <c r="IGO60" s="0"/>
      <c r="IGP60" s="0"/>
      <c r="IGQ60" s="0"/>
      <c r="IGR60" s="0"/>
      <c r="IGS60" s="0"/>
      <c r="IGT60" s="0"/>
      <c r="IGU60" s="0"/>
      <c r="IGV60" s="0"/>
      <c r="IGW60" s="0"/>
      <c r="IGX60" s="0"/>
      <c r="IGY60" s="0"/>
      <c r="IGZ60" s="0"/>
      <c r="IHA60" s="0"/>
      <c r="IHB60" s="0"/>
      <c r="IHC60" s="0"/>
      <c r="IHD60" s="0"/>
      <c r="IHE60" s="0"/>
      <c r="IHF60" s="0"/>
      <c r="IHG60" s="0"/>
      <c r="IHH60" s="0"/>
      <c r="IHI60" s="0"/>
      <c r="IHJ60" s="0"/>
      <c r="IHK60" s="0"/>
      <c r="IHL60" s="0"/>
      <c r="IHM60" s="0"/>
      <c r="IHN60" s="0"/>
      <c r="IHO60" s="0"/>
      <c r="IHP60" s="0"/>
      <c r="IHQ60" s="0"/>
      <c r="IHR60" s="0"/>
      <c r="IHS60" s="0"/>
      <c r="IHT60" s="0"/>
      <c r="IHU60" s="0"/>
      <c r="IHV60" s="0"/>
      <c r="IHW60" s="0"/>
      <c r="IHX60" s="0"/>
      <c r="IHY60" s="0"/>
      <c r="IHZ60" s="0"/>
      <c r="IIA60" s="0"/>
      <c r="IIB60" s="0"/>
      <c r="IIC60" s="0"/>
      <c r="IID60" s="0"/>
      <c r="IIE60" s="0"/>
      <c r="IIF60" s="0"/>
      <c r="IIG60" s="0"/>
      <c r="IIH60" s="0"/>
      <c r="III60" s="0"/>
      <c r="IIJ60" s="0"/>
      <c r="IIK60" s="0"/>
      <c r="IIL60" s="0"/>
      <c r="IIM60" s="0"/>
      <c r="IIN60" s="0"/>
      <c r="IIO60" s="0"/>
      <c r="IIP60" s="0"/>
      <c r="IIQ60" s="0"/>
      <c r="IIR60" s="0"/>
      <c r="IIS60" s="0"/>
      <c r="IIT60" s="0"/>
      <c r="IIU60" s="0"/>
      <c r="IIV60" s="0"/>
      <c r="IIW60" s="0"/>
      <c r="IIX60" s="0"/>
      <c r="IIY60" s="0"/>
      <c r="IIZ60" s="0"/>
      <c r="IJA60" s="0"/>
      <c r="IJB60" s="0"/>
      <c r="IJC60" s="0"/>
      <c r="IJD60" s="0"/>
      <c r="IJE60" s="0"/>
      <c r="IJF60" s="0"/>
      <c r="IJG60" s="0"/>
      <c r="IJH60" s="0"/>
      <c r="IJI60" s="0"/>
      <c r="IJJ60" s="0"/>
      <c r="IJK60" s="0"/>
      <c r="IJL60" s="0"/>
      <c r="IJM60" s="0"/>
      <c r="IJN60" s="0"/>
      <c r="IJO60" s="0"/>
      <c r="IJP60" s="0"/>
      <c r="IJQ60" s="0"/>
      <c r="IJR60" s="0"/>
      <c r="IJS60" s="0"/>
      <c r="IJT60" s="0"/>
      <c r="IJU60" s="0"/>
      <c r="IJV60" s="0"/>
      <c r="IJW60" s="0"/>
      <c r="IJX60" s="0"/>
      <c r="IJY60" s="0"/>
      <c r="IJZ60" s="0"/>
      <c r="IKA60" s="0"/>
      <c r="IKB60" s="0"/>
      <c r="IKC60" s="0"/>
      <c r="IKD60" s="0"/>
      <c r="IKE60" s="0"/>
      <c r="IKF60" s="0"/>
      <c r="IKG60" s="0"/>
      <c r="IKH60" s="0"/>
      <c r="IKI60" s="0"/>
      <c r="IKJ60" s="0"/>
      <c r="IKK60" s="0"/>
      <c r="IKL60" s="0"/>
      <c r="IKM60" s="0"/>
      <c r="IKN60" s="0"/>
      <c r="IKO60" s="0"/>
      <c r="IKP60" s="0"/>
      <c r="IKQ60" s="0"/>
      <c r="IKR60" s="0"/>
      <c r="IKS60" s="0"/>
      <c r="IKT60" s="0"/>
      <c r="IKU60" s="0"/>
      <c r="IKV60" s="0"/>
      <c r="IKW60" s="0"/>
      <c r="IKX60" s="0"/>
      <c r="IKY60" s="0"/>
      <c r="IKZ60" s="0"/>
      <c r="ILA60" s="0"/>
      <c r="ILB60" s="0"/>
      <c r="ILC60" s="0"/>
      <c r="ILD60" s="0"/>
      <c r="ILE60" s="0"/>
      <c r="ILF60" s="0"/>
      <c r="ILG60" s="0"/>
      <c r="ILH60" s="0"/>
      <c r="ILI60" s="0"/>
      <c r="ILJ60" s="0"/>
      <c r="ILK60" s="0"/>
      <c r="ILL60" s="0"/>
      <c r="ILM60" s="0"/>
      <c r="ILN60" s="0"/>
      <c r="ILO60" s="0"/>
      <c r="ILP60" s="0"/>
      <c r="ILQ60" s="0"/>
      <c r="ILR60" s="0"/>
      <c r="ILS60" s="0"/>
      <c r="ILT60" s="0"/>
      <c r="ILU60" s="0"/>
      <c r="ILV60" s="0"/>
      <c r="ILW60" s="0"/>
      <c r="ILX60" s="0"/>
      <c r="ILY60" s="0"/>
      <c r="ILZ60" s="0"/>
      <c r="IMA60" s="0"/>
      <c r="IMB60" s="0"/>
      <c r="IMC60" s="0"/>
      <c r="IMD60" s="0"/>
      <c r="IME60" s="0"/>
      <c r="IMF60" s="0"/>
      <c r="IMG60" s="0"/>
      <c r="IMH60" s="0"/>
      <c r="IMI60" s="0"/>
      <c r="IMJ60" s="0"/>
      <c r="IMK60" s="0"/>
      <c r="IML60" s="0"/>
      <c r="IMM60" s="0"/>
      <c r="IMN60" s="0"/>
      <c r="IMO60" s="0"/>
      <c r="IMP60" s="0"/>
      <c r="IMQ60" s="0"/>
      <c r="IMR60" s="0"/>
      <c r="IMS60" s="0"/>
      <c r="IMT60" s="0"/>
      <c r="IMU60" s="0"/>
      <c r="IMV60" s="0"/>
      <c r="IMW60" s="0"/>
      <c r="IMX60" s="0"/>
      <c r="IMY60" s="0"/>
      <c r="IMZ60" s="0"/>
      <c r="INA60" s="0"/>
      <c r="INB60" s="0"/>
      <c r="INC60" s="0"/>
      <c r="IND60" s="0"/>
      <c r="INE60" s="0"/>
      <c r="INF60" s="0"/>
      <c r="ING60" s="0"/>
      <c r="INH60" s="0"/>
      <c r="INI60" s="0"/>
      <c r="INJ60" s="0"/>
      <c r="INK60" s="0"/>
      <c r="INL60" s="0"/>
      <c r="INM60" s="0"/>
      <c r="INN60" s="0"/>
      <c r="INO60" s="0"/>
      <c r="INP60" s="0"/>
      <c r="INQ60" s="0"/>
      <c r="INR60" s="0"/>
      <c r="INS60" s="0"/>
      <c r="INT60" s="0"/>
      <c r="INU60" s="0"/>
      <c r="INV60" s="0"/>
      <c r="INW60" s="0"/>
      <c r="INX60" s="0"/>
      <c r="INY60" s="0"/>
      <c r="INZ60" s="0"/>
      <c r="IOA60" s="0"/>
      <c r="IOB60" s="0"/>
      <c r="IOC60" s="0"/>
      <c r="IOD60" s="0"/>
      <c r="IOE60" s="0"/>
      <c r="IOF60" s="0"/>
      <c r="IOG60" s="0"/>
      <c r="IOH60" s="0"/>
      <c r="IOI60" s="0"/>
      <c r="IOJ60" s="0"/>
      <c r="IOK60" s="0"/>
      <c r="IOL60" s="0"/>
      <c r="IOM60" s="0"/>
      <c r="ION60" s="0"/>
      <c r="IOO60" s="0"/>
      <c r="IOP60" s="0"/>
      <c r="IOQ60" s="0"/>
      <c r="IOR60" s="0"/>
      <c r="IOS60" s="0"/>
      <c r="IOT60" s="0"/>
      <c r="IOU60" s="0"/>
      <c r="IOV60" s="0"/>
      <c r="IOW60" s="0"/>
      <c r="IOX60" s="0"/>
      <c r="IOY60" s="0"/>
      <c r="IOZ60" s="0"/>
      <c r="IPA60" s="0"/>
      <c r="IPB60" s="0"/>
      <c r="IPC60" s="0"/>
      <c r="IPD60" s="0"/>
      <c r="IPE60" s="0"/>
      <c r="IPF60" s="0"/>
      <c r="IPG60" s="0"/>
      <c r="IPH60" s="0"/>
      <c r="IPI60" s="0"/>
      <c r="IPJ60" s="0"/>
      <c r="IPK60" s="0"/>
      <c r="IPL60" s="0"/>
      <c r="IPM60" s="0"/>
      <c r="IPN60" s="0"/>
      <c r="IPO60" s="0"/>
      <c r="IPP60" s="0"/>
      <c r="IPQ60" s="0"/>
      <c r="IPR60" s="0"/>
      <c r="IPS60" s="0"/>
      <c r="IPT60" s="0"/>
      <c r="IPU60" s="0"/>
      <c r="IPV60" s="0"/>
      <c r="IPW60" s="0"/>
      <c r="IPX60" s="0"/>
      <c r="IPY60" s="0"/>
      <c r="IPZ60" s="0"/>
      <c r="IQA60" s="0"/>
      <c r="IQB60" s="0"/>
      <c r="IQC60" s="0"/>
      <c r="IQD60" s="0"/>
      <c r="IQE60" s="0"/>
      <c r="IQF60" s="0"/>
      <c r="IQG60" s="0"/>
      <c r="IQH60" s="0"/>
      <c r="IQI60" s="0"/>
      <c r="IQJ60" s="0"/>
      <c r="IQK60" s="0"/>
      <c r="IQL60" s="0"/>
      <c r="IQM60" s="0"/>
      <c r="IQN60" s="0"/>
      <c r="IQO60" s="0"/>
      <c r="IQP60" s="0"/>
      <c r="IQQ60" s="0"/>
      <c r="IQR60" s="0"/>
      <c r="IQS60" s="0"/>
      <c r="IQT60" s="0"/>
      <c r="IQU60" s="0"/>
      <c r="IQV60" s="0"/>
      <c r="IQW60" s="0"/>
      <c r="IQX60" s="0"/>
      <c r="IQY60" s="0"/>
      <c r="IQZ60" s="0"/>
      <c r="IRA60" s="0"/>
      <c r="IRB60" s="0"/>
      <c r="IRC60" s="0"/>
      <c r="IRD60" s="0"/>
      <c r="IRE60" s="0"/>
      <c r="IRF60" s="0"/>
      <c r="IRG60" s="0"/>
      <c r="IRH60" s="0"/>
      <c r="IRI60" s="0"/>
      <c r="IRJ60" s="0"/>
      <c r="IRK60" s="0"/>
      <c r="IRL60" s="0"/>
      <c r="IRM60" s="0"/>
      <c r="IRN60" s="0"/>
      <c r="IRO60" s="0"/>
      <c r="IRP60" s="0"/>
      <c r="IRQ60" s="0"/>
      <c r="IRR60" s="0"/>
      <c r="IRS60" s="0"/>
      <c r="IRT60" s="0"/>
      <c r="IRU60" s="0"/>
      <c r="IRV60" s="0"/>
      <c r="IRW60" s="0"/>
      <c r="IRX60" s="0"/>
      <c r="IRY60" s="0"/>
      <c r="IRZ60" s="0"/>
      <c r="ISA60" s="0"/>
      <c r="ISB60" s="0"/>
      <c r="ISC60" s="0"/>
      <c r="ISD60" s="0"/>
      <c r="ISE60" s="0"/>
      <c r="ISF60" s="0"/>
      <c r="ISG60" s="0"/>
      <c r="ISH60" s="0"/>
      <c r="ISI60" s="0"/>
      <c r="ISJ60" s="0"/>
      <c r="ISK60" s="0"/>
      <c r="ISL60" s="0"/>
      <c r="ISM60" s="0"/>
      <c r="ISN60" s="0"/>
      <c r="ISO60" s="0"/>
      <c r="ISP60" s="0"/>
      <c r="ISQ60" s="0"/>
      <c r="ISR60" s="0"/>
      <c r="ISS60" s="0"/>
      <c r="IST60" s="0"/>
      <c r="ISU60" s="0"/>
      <c r="ISV60" s="0"/>
      <c r="ISW60" s="0"/>
      <c r="ISX60" s="0"/>
      <c r="ISY60" s="0"/>
      <c r="ISZ60" s="0"/>
      <c r="ITA60" s="0"/>
      <c r="ITB60" s="0"/>
      <c r="ITC60" s="0"/>
      <c r="ITD60" s="0"/>
      <c r="ITE60" s="0"/>
      <c r="ITF60" s="0"/>
      <c r="ITG60" s="0"/>
      <c r="ITH60" s="0"/>
      <c r="ITI60" s="0"/>
      <c r="ITJ60" s="0"/>
      <c r="ITK60" s="0"/>
      <c r="ITL60" s="0"/>
      <c r="ITM60" s="0"/>
      <c r="ITN60" s="0"/>
      <c r="ITO60" s="0"/>
      <c r="ITP60" s="0"/>
      <c r="ITQ60" s="0"/>
      <c r="ITR60" s="0"/>
      <c r="ITS60" s="0"/>
      <c r="ITT60" s="0"/>
      <c r="ITU60" s="0"/>
      <c r="ITV60" s="0"/>
      <c r="ITW60" s="0"/>
      <c r="ITX60" s="0"/>
      <c r="ITY60" s="0"/>
      <c r="ITZ60" s="0"/>
      <c r="IUA60" s="0"/>
      <c r="IUB60" s="0"/>
      <c r="IUC60" s="0"/>
      <c r="IUD60" s="0"/>
      <c r="IUE60" s="0"/>
      <c r="IUF60" s="0"/>
      <c r="IUG60" s="0"/>
      <c r="IUH60" s="0"/>
      <c r="IUI60" s="0"/>
      <c r="IUJ60" s="0"/>
      <c r="IUK60" s="0"/>
      <c r="IUL60" s="0"/>
      <c r="IUM60" s="0"/>
      <c r="IUN60" s="0"/>
      <c r="IUO60" s="0"/>
      <c r="IUP60" s="0"/>
      <c r="IUQ60" s="0"/>
      <c r="IUR60" s="0"/>
      <c r="IUS60" s="0"/>
      <c r="IUT60" s="0"/>
      <c r="IUU60" s="0"/>
      <c r="IUV60" s="0"/>
      <c r="IUW60" s="0"/>
      <c r="IUX60" s="0"/>
      <c r="IUY60" s="0"/>
      <c r="IUZ60" s="0"/>
      <c r="IVA60" s="0"/>
      <c r="IVB60" s="0"/>
      <c r="IVC60" s="0"/>
      <c r="IVD60" s="0"/>
      <c r="IVE60" s="0"/>
      <c r="IVF60" s="0"/>
      <c r="IVG60" s="0"/>
      <c r="IVH60" s="0"/>
      <c r="IVI60" s="0"/>
      <c r="IVJ60" s="0"/>
      <c r="IVK60" s="0"/>
      <c r="IVL60" s="0"/>
      <c r="IVM60" s="0"/>
      <c r="IVN60" s="0"/>
      <c r="IVO60" s="0"/>
      <c r="IVP60" s="0"/>
      <c r="IVQ60" s="0"/>
      <c r="IVR60" s="0"/>
      <c r="IVS60" s="0"/>
      <c r="IVT60" s="0"/>
      <c r="IVU60" s="0"/>
      <c r="IVV60" s="0"/>
      <c r="IVW60" s="0"/>
      <c r="IVX60" s="0"/>
      <c r="IVY60" s="0"/>
      <c r="IVZ60" s="0"/>
      <c r="IWA60" s="0"/>
      <c r="IWB60" s="0"/>
      <c r="IWC60" s="0"/>
      <c r="IWD60" s="0"/>
      <c r="IWE60" s="0"/>
      <c r="IWF60" s="0"/>
      <c r="IWG60" s="0"/>
      <c r="IWH60" s="0"/>
      <c r="IWI60" s="0"/>
      <c r="IWJ60" s="0"/>
      <c r="IWK60" s="0"/>
      <c r="IWL60" s="0"/>
      <c r="IWM60" s="0"/>
      <c r="IWN60" s="0"/>
      <c r="IWO60" s="0"/>
      <c r="IWP60" s="0"/>
      <c r="IWQ60" s="0"/>
      <c r="IWR60" s="0"/>
      <c r="IWS60" s="0"/>
      <c r="IWT60" s="0"/>
      <c r="IWU60" s="0"/>
      <c r="IWV60" s="0"/>
      <c r="IWW60" s="0"/>
      <c r="IWX60" s="0"/>
      <c r="IWY60" s="0"/>
      <c r="IWZ60" s="0"/>
      <c r="IXA60" s="0"/>
      <c r="IXB60" s="0"/>
      <c r="IXC60" s="0"/>
      <c r="IXD60" s="0"/>
      <c r="IXE60" s="0"/>
      <c r="IXF60" s="0"/>
      <c r="IXG60" s="0"/>
      <c r="IXH60" s="0"/>
      <c r="IXI60" s="0"/>
      <c r="IXJ60" s="0"/>
      <c r="IXK60" s="0"/>
      <c r="IXL60" s="0"/>
      <c r="IXM60" s="0"/>
      <c r="IXN60" s="0"/>
      <c r="IXO60" s="0"/>
      <c r="IXP60" s="0"/>
      <c r="IXQ60" s="0"/>
      <c r="IXR60" s="0"/>
      <c r="IXS60" s="0"/>
      <c r="IXT60" s="0"/>
      <c r="IXU60" s="0"/>
      <c r="IXV60" s="0"/>
      <c r="IXW60" s="0"/>
      <c r="IXX60" s="0"/>
      <c r="IXY60" s="0"/>
      <c r="IXZ60" s="0"/>
      <c r="IYA60" s="0"/>
      <c r="IYB60" s="0"/>
      <c r="IYC60" s="0"/>
      <c r="IYD60" s="0"/>
      <c r="IYE60" s="0"/>
      <c r="IYF60" s="0"/>
      <c r="IYG60" s="0"/>
      <c r="IYH60" s="0"/>
      <c r="IYI60" s="0"/>
      <c r="IYJ60" s="0"/>
      <c r="IYK60" s="0"/>
      <c r="IYL60" s="0"/>
      <c r="IYM60" s="0"/>
      <c r="IYN60" s="0"/>
      <c r="IYO60" s="0"/>
      <c r="IYP60" s="0"/>
      <c r="IYQ60" s="0"/>
      <c r="IYR60" s="0"/>
      <c r="IYS60" s="0"/>
      <c r="IYT60" s="0"/>
      <c r="IYU60" s="0"/>
      <c r="IYV60" s="0"/>
      <c r="IYW60" s="0"/>
      <c r="IYX60" s="0"/>
      <c r="IYY60" s="0"/>
      <c r="IYZ60" s="0"/>
      <c r="IZA60" s="0"/>
      <c r="IZB60" s="0"/>
      <c r="IZC60" s="0"/>
      <c r="IZD60" s="0"/>
      <c r="IZE60" s="0"/>
      <c r="IZF60" s="0"/>
      <c r="IZG60" s="0"/>
      <c r="IZH60" s="0"/>
      <c r="IZI60" s="0"/>
      <c r="IZJ60" s="0"/>
      <c r="IZK60" s="0"/>
      <c r="IZL60" s="0"/>
      <c r="IZM60" s="0"/>
      <c r="IZN60" s="0"/>
      <c r="IZO60" s="0"/>
      <c r="IZP60" s="0"/>
      <c r="IZQ60" s="0"/>
      <c r="IZR60" s="0"/>
      <c r="IZS60" s="0"/>
      <c r="IZT60" s="0"/>
      <c r="IZU60" s="0"/>
      <c r="IZV60" s="0"/>
      <c r="IZW60" s="0"/>
      <c r="IZX60" s="0"/>
      <c r="IZY60" s="0"/>
      <c r="IZZ60" s="0"/>
      <c r="JAA60" s="0"/>
      <c r="JAB60" s="0"/>
      <c r="JAC60" s="0"/>
      <c r="JAD60" s="0"/>
      <c r="JAE60" s="0"/>
      <c r="JAF60" s="0"/>
      <c r="JAG60" s="0"/>
      <c r="JAH60" s="0"/>
      <c r="JAI60" s="0"/>
      <c r="JAJ60" s="0"/>
      <c r="JAK60" s="0"/>
      <c r="JAL60" s="0"/>
      <c r="JAM60" s="0"/>
      <c r="JAN60" s="0"/>
      <c r="JAO60" s="0"/>
      <c r="JAP60" s="0"/>
      <c r="JAQ60" s="0"/>
      <c r="JAR60" s="0"/>
      <c r="JAS60" s="0"/>
      <c r="JAT60" s="0"/>
      <c r="JAU60" s="0"/>
      <c r="JAV60" s="0"/>
      <c r="JAW60" s="0"/>
      <c r="JAX60" s="0"/>
      <c r="JAY60" s="0"/>
      <c r="JAZ60" s="0"/>
      <c r="JBA60" s="0"/>
      <c r="JBB60" s="0"/>
      <c r="JBC60" s="0"/>
      <c r="JBD60" s="0"/>
      <c r="JBE60" s="0"/>
      <c r="JBF60" s="0"/>
      <c r="JBG60" s="0"/>
      <c r="JBH60" s="0"/>
      <c r="JBI60" s="0"/>
      <c r="JBJ60" s="0"/>
      <c r="JBK60" s="0"/>
      <c r="JBL60" s="0"/>
      <c r="JBM60" s="0"/>
      <c r="JBN60" s="0"/>
      <c r="JBO60" s="0"/>
      <c r="JBP60" s="0"/>
      <c r="JBQ60" s="0"/>
      <c r="JBR60" s="0"/>
      <c r="JBS60" s="0"/>
      <c r="JBT60" s="0"/>
      <c r="JBU60" s="0"/>
      <c r="JBV60" s="0"/>
      <c r="JBW60" s="0"/>
      <c r="JBX60" s="0"/>
      <c r="JBY60" s="0"/>
      <c r="JBZ60" s="0"/>
      <c r="JCA60" s="0"/>
      <c r="JCB60" s="0"/>
      <c r="JCC60" s="0"/>
      <c r="JCD60" s="0"/>
      <c r="JCE60" s="0"/>
      <c r="JCF60" s="0"/>
      <c r="JCG60" s="0"/>
      <c r="JCH60" s="0"/>
      <c r="JCI60" s="0"/>
      <c r="JCJ60" s="0"/>
      <c r="JCK60" s="0"/>
      <c r="JCL60" s="0"/>
      <c r="JCM60" s="0"/>
      <c r="JCN60" s="0"/>
      <c r="JCO60" s="0"/>
      <c r="JCP60" s="0"/>
      <c r="JCQ60" s="0"/>
      <c r="JCR60" s="0"/>
      <c r="JCS60" s="0"/>
      <c r="JCT60" s="0"/>
      <c r="JCU60" s="0"/>
      <c r="JCV60" s="0"/>
      <c r="JCW60" s="0"/>
      <c r="JCX60" s="0"/>
      <c r="JCY60" s="0"/>
      <c r="JCZ60" s="0"/>
      <c r="JDA60" s="0"/>
      <c r="JDB60" s="0"/>
      <c r="JDC60" s="0"/>
      <c r="JDD60" s="0"/>
      <c r="JDE60" s="0"/>
      <c r="JDF60" s="0"/>
      <c r="JDG60" s="0"/>
      <c r="JDH60" s="0"/>
      <c r="JDI60" s="0"/>
      <c r="JDJ60" s="0"/>
      <c r="JDK60" s="0"/>
      <c r="JDL60" s="0"/>
      <c r="JDM60" s="0"/>
      <c r="JDN60" s="0"/>
      <c r="JDO60" s="0"/>
      <c r="JDP60" s="0"/>
      <c r="JDQ60" s="0"/>
      <c r="JDR60" s="0"/>
      <c r="JDS60" s="0"/>
      <c r="JDT60" s="0"/>
      <c r="JDU60" s="0"/>
      <c r="JDV60" s="0"/>
      <c r="JDW60" s="0"/>
      <c r="JDX60" s="0"/>
      <c r="JDY60" s="0"/>
      <c r="JDZ60" s="0"/>
      <c r="JEA60" s="0"/>
      <c r="JEB60" s="0"/>
      <c r="JEC60" s="0"/>
      <c r="JED60" s="0"/>
      <c r="JEE60" s="0"/>
      <c r="JEF60" s="0"/>
      <c r="JEG60" s="0"/>
      <c r="JEH60" s="0"/>
      <c r="JEI60" s="0"/>
      <c r="JEJ60" s="0"/>
      <c r="JEK60" s="0"/>
      <c r="JEL60" s="0"/>
      <c r="JEM60" s="0"/>
      <c r="JEN60" s="0"/>
      <c r="JEO60" s="0"/>
      <c r="JEP60" s="0"/>
      <c r="JEQ60" s="0"/>
      <c r="JER60" s="0"/>
      <c r="JES60" s="0"/>
      <c r="JET60" s="0"/>
      <c r="JEU60" s="0"/>
      <c r="JEV60" s="0"/>
      <c r="JEW60" s="0"/>
      <c r="JEX60" s="0"/>
      <c r="JEY60" s="0"/>
      <c r="JEZ60" s="0"/>
      <c r="JFA60" s="0"/>
      <c r="JFB60" s="0"/>
      <c r="JFC60" s="0"/>
      <c r="JFD60" s="0"/>
      <c r="JFE60" s="0"/>
      <c r="JFF60" s="0"/>
      <c r="JFG60" s="0"/>
      <c r="JFH60" s="0"/>
      <c r="JFI60" s="0"/>
      <c r="JFJ60" s="0"/>
      <c r="JFK60" s="0"/>
      <c r="JFL60" s="0"/>
      <c r="JFM60" s="0"/>
      <c r="JFN60" s="0"/>
      <c r="JFO60" s="0"/>
      <c r="JFP60" s="0"/>
      <c r="JFQ60" s="0"/>
      <c r="JFR60" s="0"/>
      <c r="JFS60" s="0"/>
      <c r="JFT60" s="0"/>
      <c r="JFU60" s="0"/>
      <c r="JFV60" s="0"/>
      <c r="JFW60" s="0"/>
      <c r="JFX60" s="0"/>
      <c r="JFY60" s="0"/>
      <c r="JFZ60" s="0"/>
      <c r="JGA60" s="0"/>
      <c r="JGB60" s="0"/>
      <c r="JGC60" s="0"/>
      <c r="JGD60" s="0"/>
      <c r="JGE60" s="0"/>
      <c r="JGF60" s="0"/>
      <c r="JGG60" s="0"/>
      <c r="JGH60" s="0"/>
      <c r="JGI60" s="0"/>
      <c r="JGJ60" s="0"/>
      <c r="JGK60" s="0"/>
      <c r="JGL60" s="0"/>
      <c r="JGM60" s="0"/>
      <c r="JGN60" s="0"/>
      <c r="JGO60" s="0"/>
      <c r="JGP60" s="0"/>
      <c r="JGQ60" s="0"/>
      <c r="JGR60" s="0"/>
      <c r="JGS60" s="0"/>
      <c r="JGT60" s="0"/>
      <c r="JGU60" s="0"/>
      <c r="JGV60" s="0"/>
      <c r="JGW60" s="0"/>
      <c r="JGX60" s="0"/>
      <c r="JGY60" s="0"/>
      <c r="JGZ60" s="0"/>
      <c r="JHA60" s="0"/>
      <c r="JHB60" s="0"/>
      <c r="JHC60" s="0"/>
      <c r="JHD60" s="0"/>
      <c r="JHE60" s="0"/>
      <c r="JHF60" s="0"/>
      <c r="JHG60" s="0"/>
      <c r="JHH60" s="0"/>
      <c r="JHI60" s="0"/>
      <c r="JHJ60" s="0"/>
      <c r="JHK60" s="0"/>
      <c r="JHL60" s="0"/>
      <c r="JHM60" s="0"/>
      <c r="JHN60" s="0"/>
      <c r="JHO60" s="0"/>
      <c r="JHP60" s="0"/>
      <c r="JHQ60" s="0"/>
      <c r="JHR60" s="0"/>
      <c r="JHS60" s="0"/>
      <c r="JHT60" s="0"/>
      <c r="JHU60" s="0"/>
      <c r="JHV60" s="0"/>
      <c r="JHW60" s="0"/>
      <c r="JHX60" s="0"/>
      <c r="JHY60" s="0"/>
      <c r="JHZ60" s="0"/>
      <c r="JIA60" s="0"/>
      <c r="JIB60" s="0"/>
      <c r="JIC60" s="0"/>
      <c r="JID60" s="0"/>
      <c r="JIE60" s="0"/>
      <c r="JIF60" s="0"/>
      <c r="JIG60" s="0"/>
      <c r="JIH60" s="0"/>
      <c r="JII60" s="0"/>
      <c r="JIJ60" s="0"/>
      <c r="JIK60" s="0"/>
      <c r="JIL60" s="0"/>
      <c r="JIM60" s="0"/>
      <c r="JIN60" s="0"/>
      <c r="JIO60" s="0"/>
      <c r="JIP60" s="0"/>
      <c r="JIQ60" s="0"/>
      <c r="JIR60" s="0"/>
      <c r="JIS60" s="0"/>
      <c r="JIT60" s="0"/>
      <c r="JIU60" s="0"/>
      <c r="JIV60" s="0"/>
      <c r="JIW60" s="0"/>
      <c r="JIX60" s="0"/>
      <c r="JIY60" s="0"/>
      <c r="JIZ60" s="0"/>
      <c r="JJA60" s="0"/>
      <c r="JJB60" s="0"/>
      <c r="JJC60" s="0"/>
      <c r="JJD60" s="0"/>
      <c r="JJE60" s="0"/>
      <c r="JJF60" s="0"/>
      <c r="JJG60" s="0"/>
      <c r="JJH60" s="0"/>
      <c r="JJI60" s="0"/>
      <c r="JJJ60" s="0"/>
      <c r="JJK60" s="0"/>
      <c r="JJL60" s="0"/>
      <c r="JJM60" s="0"/>
      <c r="JJN60" s="0"/>
      <c r="JJO60" s="0"/>
      <c r="JJP60" s="0"/>
      <c r="JJQ60" s="0"/>
      <c r="JJR60" s="0"/>
      <c r="JJS60" s="0"/>
      <c r="JJT60" s="0"/>
      <c r="JJU60" s="0"/>
      <c r="JJV60" s="0"/>
      <c r="JJW60" s="0"/>
      <c r="JJX60" s="0"/>
      <c r="JJY60" s="0"/>
      <c r="JJZ60" s="0"/>
      <c r="JKA60" s="0"/>
      <c r="JKB60" s="0"/>
      <c r="JKC60" s="0"/>
      <c r="JKD60" s="0"/>
      <c r="JKE60" s="0"/>
      <c r="JKF60" s="0"/>
      <c r="JKG60" s="0"/>
      <c r="JKH60" s="0"/>
      <c r="JKI60" s="0"/>
      <c r="JKJ60" s="0"/>
      <c r="JKK60" s="0"/>
      <c r="JKL60" s="0"/>
      <c r="JKM60" s="0"/>
      <c r="JKN60" s="0"/>
      <c r="JKO60" s="0"/>
      <c r="JKP60" s="0"/>
      <c r="JKQ60" s="0"/>
      <c r="JKR60" s="0"/>
      <c r="JKS60" s="0"/>
      <c r="JKT60" s="0"/>
      <c r="JKU60" s="0"/>
      <c r="JKV60" s="0"/>
      <c r="JKW60" s="0"/>
      <c r="JKX60" s="0"/>
      <c r="JKY60" s="0"/>
      <c r="JKZ60" s="0"/>
      <c r="JLA60" s="0"/>
      <c r="JLB60" s="0"/>
      <c r="JLC60" s="0"/>
      <c r="JLD60" s="0"/>
      <c r="JLE60" s="0"/>
      <c r="JLF60" s="0"/>
      <c r="JLG60" s="0"/>
      <c r="JLH60" s="0"/>
      <c r="JLI60" s="0"/>
      <c r="JLJ60" s="0"/>
      <c r="JLK60" s="0"/>
      <c r="JLL60" s="0"/>
      <c r="JLM60" s="0"/>
      <c r="JLN60" s="0"/>
      <c r="JLO60" s="0"/>
      <c r="JLP60" s="0"/>
      <c r="JLQ60" s="0"/>
      <c r="JLR60" s="0"/>
      <c r="JLS60" s="0"/>
      <c r="JLT60" s="0"/>
      <c r="JLU60" s="0"/>
      <c r="JLV60" s="0"/>
      <c r="JLW60" s="0"/>
      <c r="JLX60" s="0"/>
      <c r="JLY60" s="0"/>
      <c r="JLZ60" s="0"/>
      <c r="JMA60" s="0"/>
      <c r="JMB60" s="0"/>
      <c r="JMC60" s="0"/>
      <c r="JMD60" s="0"/>
      <c r="JME60" s="0"/>
      <c r="JMF60" s="0"/>
      <c r="JMG60" s="0"/>
      <c r="JMH60" s="0"/>
      <c r="JMI60" s="0"/>
      <c r="JMJ60" s="0"/>
      <c r="JMK60" s="0"/>
      <c r="JML60" s="0"/>
      <c r="JMM60" s="0"/>
      <c r="JMN60" s="0"/>
      <c r="JMO60" s="0"/>
      <c r="JMP60" s="0"/>
      <c r="JMQ60" s="0"/>
      <c r="JMR60" s="0"/>
      <c r="JMS60" s="0"/>
      <c r="JMT60" s="0"/>
      <c r="JMU60" s="0"/>
      <c r="JMV60" s="0"/>
      <c r="JMW60" s="0"/>
      <c r="JMX60" s="0"/>
      <c r="JMY60" s="0"/>
      <c r="JMZ60" s="0"/>
      <c r="JNA60" s="0"/>
      <c r="JNB60" s="0"/>
      <c r="JNC60" s="0"/>
      <c r="JND60" s="0"/>
      <c r="JNE60" s="0"/>
      <c r="JNF60" s="0"/>
      <c r="JNG60" s="0"/>
      <c r="JNH60" s="0"/>
      <c r="JNI60" s="0"/>
      <c r="JNJ60" s="0"/>
      <c r="JNK60" s="0"/>
      <c r="JNL60" s="0"/>
      <c r="JNM60" s="0"/>
      <c r="JNN60" s="0"/>
      <c r="JNO60" s="0"/>
      <c r="JNP60" s="0"/>
      <c r="JNQ60" s="0"/>
      <c r="JNR60" s="0"/>
      <c r="JNS60" s="0"/>
      <c r="JNT60" s="0"/>
      <c r="JNU60" s="0"/>
      <c r="JNV60" s="0"/>
      <c r="JNW60" s="0"/>
      <c r="JNX60" s="0"/>
      <c r="JNY60" s="0"/>
      <c r="JNZ60" s="0"/>
      <c r="JOA60" s="0"/>
      <c r="JOB60" s="0"/>
      <c r="JOC60" s="0"/>
      <c r="JOD60" s="0"/>
      <c r="JOE60" s="0"/>
      <c r="JOF60" s="0"/>
      <c r="JOG60" s="0"/>
      <c r="JOH60" s="0"/>
      <c r="JOI60" s="0"/>
      <c r="JOJ60" s="0"/>
      <c r="JOK60" s="0"/>
      <c r="JOL60" s="0"/>
      <c r="JOM60" s="0"/>
      <c r="JON60" s="0"/>
      <c r="JOO60" s="0"/>
      <c r="JOP60" s="0"/>
      <c r="JOQ60" s="0"/>
      <c r="JOR60" s="0"/>
      <c r="JOS60" s="0"/>
      <c r="JOT60" s="0"/>
      <c r="JOU60" s="0"/>
      <c r="JOV60" s="0"/>
      <c r="JOW60" s="0"/>
      <c r="JOX60" s="0"/>
      <c r="JOY60" s="0"/>
      <c r="JOZ60" s="0"/>
      <c r="JPA60" s="0"/>
      <c r="JPB60" s="0"/>
      <c r="JPC60" s="0"/>
      <c r="JPD60" s="0"/>
      <c r="JPE60" s="0"/>
      <c r="JPF60" s="0"/>
      <c r="JPG60" s="0"/>
      <c r="JPH60" s="0"/>
      <c r="JPI60" s="0"/>
      <c r="JPJ60" s="0"/>
      <c r="JPK60" s="0"/>
      <c r="JPL60" s="0"/>
      <c r="JPM60" s="0"/>
      <c r="JPN60" s="0"/>
      <c r="JPO60" s="0"/>
      <c r="JPP60" s="0"/>
      <c r="JPQ60" s="0"/>
      <c r="JPR60" s="0"/>
      <c r="JPS60" s="0"/>
      <c r="JPT60" s="0"/>
      <c r="JPU60" s="0"/>
      <c r="JPV60" s="0"/>
      <c r="JPW60" s="0"/>
      <c r="JPX60" s="0"/>
      <c r="JPY60" s="0"/>
      <c r="JPZ60" s="0"/>
      <c r="JQA60" s="0"/>
      <c r="JQB60" s="0"/>
      <c r="JQC60" s="0"/>
      <c r="JQD60" s="0"/>
      <c r="JQE60" s="0"/>
      <c r="JQF60" s="0"/>
      <c r="JQG60" s="0"/>
      <c r="JQH60" s="0"/>
      <c r="JQI60" s="0"/>
      <c r="JQJ60" s="0"/>
      <c r="JQK60" s="0"/>
      <c r="JQL60" s="0"/>
      <c r="JQM60" s="0"/>
      <c r="JQN60" s="0"/>
      <c r="JQO60" s="0"/>
      <c r="JQP60" s="0"/>
      <c r="JQQ60" s="0"/>
      <c r="JQR60" s="0"/>
      <c r="JQS60" s="0"/>
      <c r="JQT60" s="0"/>
      <c r="JQU60" s="0"/>
      <c r="JQV60" s="0"/>
      <c r="JQW60" s="0"/>
      <c r="JQX60" s="0"/>
      <c r="JQY60" s="0"/>
      <c r="JQZ60" s="0"/>
      <c r="JRA60" s="0"/>
      <c r="JRB60" s="0"/>
      <c r="JRC60" s="0"/>
      <c r="JRD60" s="0"/>
      <c r="JRE60" s="0"/>
      <c r="JRF60" s="0"/>
      <c r="JRG60" s="0"/>
      <c r="JRH60" s="0"/>
      <c r="JRI60" s="0"/>
      <c r="JRJ60" s="0"/>
      <c r="JRK60" s="0"/>
      <c r="JRL60" s="0"/>
      <c r="JRM60" s="0"/>
      <c r="JRN60" s="0"/>
      <c r="JRO60" s="0"/>
      <c r="JRP60" s="0"/>
      <c r="JRQ60" s="0"/>
      <c r="JRR60" s="0"/>
      <c r="JRS60" s="0"/>
      <c r="JRT60" s="0"/>
      <c r="JRU60" s="0"/>
      <c r="JRV60" s="0"/>
      <c r="JRW60" s="0"/>
      <c r="JRX60" s="0"/>
      <c r="JRY60" s="0"/>
      <c r="JRZ60" s="0"/>
      <c r="JSA60" s="0"/>
      <c r="JSB60" s="0"/>
      <c r="JSC60" s="0"/>
      <c r="JSD60" s="0"/>
      <c r="JSE60" s="0"/>
      <c r="JSF60" s="0"/>
      <c r="JSG60" s="0"/>
      <c r="JSH60" s="0"/>
      <c r="JSI60" s="0"/>
      <c r="JSJ60" s="0"/>
      <c r="JSK60" s="0"/>
      <c r="JSL60" s="0"/>
      <c r="JSM60" s="0"/>
      <c r="JSN60" s="0"/>
      <c r="JSO60" s="0"/>
      <c r="JSP60" s="0"/>
      <c r="JSQ60" s="0"/>
      <c r="JSR60" s="0"/>
      <c r="JSS60" s="0"/>
      <c r="JST60" s="0"/>
      <c r="JSU60" s="0"/>
      <c r="JSV60" s="0"/>
      <c r="JSW60" s="0"/>
      <c r="JSX60" s="0"/>
      <c r="JSY60" s="0"/>
      <c r="JSZ60" s="0"/>
      <c r="JTA60" s="0"/>
      <c r="JTB60" s="0"/>
      <c r="JTC60" s="0"/>
      <c r="JTD60" s="0"/>
      <c r="JTE60" s="0"/>
      <c r="JTF60" s="0"/>
      <c r="JTG60" s="0"/>
      <c r="JTH60" s="0"/>
      <c r="JTI60" s="0"/>
      <c r="JTJ60" s="0"/>
      <c r="JTK60" s="0"/>
      <c r="JTL60" s="0"/>
      <c r="JTM60" s="0"/>
      <c r="JTN60" s="0"/>
      <c r="JTO60" s="0"/>
      <c r="JTP60" s="0"/>
      <c r="JTQ60" s="0"/>
      <c r="JTR60" s="0"/>
      <c r="JTS60" s="0"/>
      <c r="JTT60" s="0"/>
      <c r="JTU60" s="0"/>
      <c r="JTV60" s="0"/>
      <c r="JTW60" s="0"/>
      <c r="JTX60" s="0"/>
      <c r="JTY60" s="0"/>
      <c r="JTZ60" s="0"/>
      <c r="JUA60" s="0"/>
      <c r="JUB60" s="0"/>
      <c r="JUC60" s="0"/>
      <c r="JUD60" s="0"/>
      <c r="JUE60" s="0"/>
      <c r="JUF60" s="0"/>
      <c r="JUG60" s="0"/>
      <c r="JUH60" s="0"/>
      <c r="JUI60" s="0"/>
      <c r="JUJ60" s="0"/>
      <c r="JUK60" s="0"/>
      <c r="JUL60" s="0"/>
      <c r="JUM60" s="0"/>
      <c r="JUN60" s="0"/>
      <c r="JUO60" s="0"/>
      <c r="JUP60" s="0"/>
      <c r="JUQ60" s="0"/>
      <c r="JUR60" s="0"/>
      <c r="JUS60" s="0"/>
      <c r="JUT60" s="0"/>
      <c r="JUU60" s="0"/>
      <c r="JUV60" s="0"/>
      <c r="JUW60" s="0"/>
      <c r="JUX60" s="0"/>
      <c r="JUY60" s="0"/>
      <c r="JUZ60" s="0"/>
      <c r="JVA60" s="0"/>
      <c r="JVB60" s="0"/>
      <c r="JVC60" s="0"/>
      <c r="JVD60" s="0"/>
      <c r="JVE60" s="0"/>
      <c r="JVF60" s="0"/>
      <c r="JVG60" s="0"/>
      <c r="JVH60" s="0"/>
      <c r="JVI60" s="0"/>
      <c r="JVJ60" s="0"/>
      <c r="JVK60" s="0"/>
      <c r="JVL60" s="0"/>
      <c r="JVM60" s="0"/>
      <c r="JVN60" s="0"/>
      <c r="JVO60" s="0"/>
      <c r="JVP60" s="0"/>
      <c r="JVQ60" s="0"/>
      <c r="JVR60" s="0"/>
      <c r="JVS60" s="0"/>
      <c r="JVT60" s="0"/>
      <c r="JVU60" s="0"/>
      <c r="JVV60" s="0"/>
      <c r="JVW60" s="0"/>
      <c r="JVX60" s="0"/>
      <c r="JVY60" s="0"/>
      <c r="JVZ60" s="0"/>
      <c r="JWA60" s="0"/>
      <c r="JWB60" s="0"/>
      <c r="JWC60" s="0"/>
      <c r="JWD60" s="0"/>
      <c r="JWE60" s="0"/>
      <c r="JWF60" s="0"/>
      <c r="JWG60" s="0"/>
      <c r="JWH60" s="0"/>
      <c r="JWI60" s="0"/>
      <c r="JWJ60" s="0"/>
      <c r="JWK60" s="0"/>
      <c r="JWL60" s="0"/>
      <c r="JWM60" s="0"/>
      <c r="JWN60" s="0"/>
      <c r="JWO60" s="0"/>
      <c r="JWP60" s="0"/>
      <c r="JWQ60" s="0"/>
      <c r="JWR60" s="0"/>
      <c r="JWS60" s="0"/>
      <c r="JWT60" s="0"/>
      <c r="JWU60" s="0"/>
      <c r="JWV60" s="0"/>
      <c r="JWW60" s="0"/>
      <c r="JWX60" s="0"/>
      <c r="JWY60" s="0"/>
      <c r="JWZ60" s="0"/>
      <c r="JXA60" s="0"/>
      <c r="JXB60" s="0"/>
      <c r="JXC60" s="0"/>
      <c r="JXD60" s="0"/>
      <c r="JXE60" s="0"/>
      <c r="JXF60" s="0"/>
      <c r="JXG60" s="0"/>
      <c r="JXH60" s="0"/>
      <c r="JXI60" s="0"/>
      <c r="JXJ60" s="0"/>
      <c r="JXK60" s="0"/>
      <c r="JXL60" s="0"/>
      <c r="JXM60" s="0"/>
      <c r="JXN60" s="0"/>
      <c r="JXO60" s="0"/>
      <c r="JXP60" s="0"/>
      <c r="JXQ60" s="0"/>
      <c r="JXR60" s="0"/>
      <c r="JXS60" s="0"/>
      <c r="JXT60" s="0"/>
      <c r="JXU60" s="0"/>
      <c r="JXV60" s="0"/>
      <c r="JXW60" s="0"/>
      <c r="JXX60" s="0"/>
      <c r="JXY60" s="0"/>
      <c r="JXZ60" s="0"/>
      <c r="JYA60" s="0"/>
      <c r="JYB60" s="0"/>
      <c r="JYC60" s="0"/>
      <c r="JYD60" s="0"/>
      <c r="JYE60" s="0"/>
      <c r="JYF60" s="0"/>
      <c r="JYG60" s="0"/>
      <c r="JYH60" s="0"/>
      <c r="JYI60" s="0"/>
      <c r="JYJ60" s="0"/>
      <c r="JYK60" s="0"/>
      <c r="JYL60" s="0"/>
      <c r="JYM60" s="0"/>
      <c r="JYN60" s="0"/>
      <c r="JYO60" s="0"/>
      <c r="JYP60" s="0"/>
      <c r="JYQ60" s="0"/>
      <c r="JYR60" s="0"/>
      <c r="JYS60" s="0"/>
      <c r="JYT60" s="0"/>
      <c r="JYU60" s="0"/>
      <c r="JYV60" s="0"/>
      <c r="JYW60" s="0"/>
      <c r="JYX60" s="0"/>
      <c r="JYY60" s="0"/>
      <c r="JYZ60" s="0"/>
      <c r="JZA60" s="0"/>
      <c r="JZB60" s="0"/>
      <c r="JZC60" s="0"/>
      <c r="JZD60" s="0"/>
      <c r="JZE60" s="0"/>
      <c r="JZF60" s="0"/>
      <c r="JZG60" s="0"/>
      <c r="JZH60" s="0"/>
      <c r="JZI60" s="0"/>
      <c r="JZJ60" s="0"/>
      <c r="JZK60" s="0"/>
      <c r="JZL60" s="0"/>
      <c r="JZM60" s="0"/>
      <c r="JZN60" s="0"/>
      <c r="JZO60" s="0"/>
      <c r="JZP60" s="0"/>
      <c r="JZQ60" s="0"/>
      <c r="JZR60" s="0"/>
      <c r="JZS60" s="0"/>
      <c r="JZT60" s="0"/>
      <c r="JZU60" s="0"/>
      <c r="JZV60" s="0"/>
      <c r="JZW60" s="0"/>
      <c r="JZX60" s="0"/>
      <c r="JZY60" s="0"/>
      <c r="JZZ60" s="0"/>
      <c r="KAA60" s="0"/>
      <c r="KAB60" s="0"/>
      <c r="KAC60" s="0"/>
      <c r="KAD60" s="0"/>
      <c r="KAE60" s="0"/>
      <c r="KAF60" s="0"/>
      <c r="KAG60" s="0"/>
      <c r="KAH60" s="0"/>
      <c r="KAI60" s="0"/>
      <c r="KAJ60" s="0"/>
      <c r="KAK60" s="0"/>
      <c r="KAL60" s="0"/>
      <c r="KAM60" s="0"/>
      <c r="KAN60" s="0"/>
      <c r="KAO60" s="0"/>
      <c r="KAP60" s="0"/>
      <c r="KAQ60" s="0"/>
      <c r="KAR60" s="0"/>
      <c r="KAS60" s="0"/>
      <c r="KAT60" s="0"/>
      <c r="KAU60" s="0"/>
      <c r="KAV60" s="0"/>
      <c r="KAW60" s="0"/>
      <c r="KAX60" s="0"/>
      <c r="KAY60" s="0"/>
      <c r="KAZ60" s="0"/>
      <c r="KBA60" s="0"/>
      <c r="KBB60" s="0"/>
      <c r="KBC60" s="0"/>
      <c r="KBD60" s="0"/>
      <c r="KBE60" s="0"/>
      <c r="KBF60" s="0"/>
      <c r="KBG60" s="0"/>
      <c r="KBH60" s="0"/>
      <c r="KBI60" s="0"/>
      <c r="KBJ60" s="0"/>
      <c r="KBK60" s="0"/>
      <c r="KBL60" s="0"/>
      <c r="KBM60" s="0"/>
      <c r="KBN60" s="0"/>
      <c r="KBO60" s="0"/>
      <c r="KBP60" s="0"/>
      <c r="KBQ60" s="0"/>
      <c r="KBR60" s="0"/>
      <c r="KBS60" s="0"/>
      <c r="KBT60" s="0"/>
      <c r="KBU60" s="0"/>
      <c r="KBV60" s="0"/>
      <c r="KBW60" s="0"/>
      <c r="KBX60" s="0"/>
      <c r="KBY60" s="0"/>
      <c r="KBZ60" s="0"/>
      <c r="KCA60" s="0"/>
      <c r="KCB60" s="0"/>
      <c r="KCC60" s="0"/>
      <c r="KCD60" s="0"/>
      <c r="KCE60" s="0"/>
      <c r="KCF60" s="0"/>
      <c r="KCG60" s="0"/>
      <c r="KCH60" s="0"/>
      <c r="KCI60" s="0"/>
      <c r="KCJ60" s="0"/>
      <c r="KCK60" s="0"/>
      <c r="KCL60" s="0"/>
      <c r="KCM60" s="0"/>
      <c r="KCN60" s="0"/>
      <c r="KCO60" s="0"/>
      <c r="KCP60" s="0"/>
      <c r="KCQ60" s="0"/>
      <c r="KCR60" s="0"/>
      <c r="KCS60" s="0"/>
      <c r="KCT60" s="0"/>
      <c r="KCU60" s="0"/>
      <c r="KCV60" s="0"/>
      <c r="KCW60" s="0"/>
      <c r="KCX60" s="0"/>
      <c r="KCY60" s="0"/>
      <c r="KCZ60" s="0"/>
      <c r="KDA60" s="0"/>
      <c r="KDB60" s="0"/>
      <c r="KDC60" s="0"/>
      <c r="KDD60" s="0"/>
      <c r="KDE60" s="0"/>
      <c r="KDF60" s="0"/>
      <c r="KDG60" s="0"/>
      <c r="KDH60" s="0"/>
      <c r="KDI60" s="0"/>
      <c r="KDJ60" s="0"/>
      <c r="KDK60" s="0"/>
      <c r="KDL60" s="0"/>
      <c r="KDM60" s="0"/>
      <c r="KDN60" s="0"/>
      <c r="KDO60" s="0"/>
      <c r="KDP60" s="0"/>
      <c r="KDQ60" s="0"/>
      <c r="KDR60" s="0"/>
      <c r="KDS60" s="0"/>
      <c r="KDT60" s="0"/>
      <c r="KDU60" s="0"/>
      <c r="KDV60" s="0"/>
      <c r="KDW60" s="0"/>
      <c r="KDX60" s="0"/>
      <c r="KDY60" s="0"/>
      <c r="KDZ60" s="0"/>
      <c r="KEA60" s="0"/>
      <c r="KEB60" s="0"/>
      <c r="KEC60" s="0"/>
      <c r="KED60" s="0"/>
      <c r="KEE60" s="0"/>
      <c r="KEF60" s="0"/>
      <c r="KEG60" s="0"/>
      <c r="KEH60" s="0"/>
      <c r="KEI60" s="0"/>
      <c r="KEJ60" s="0"/>
      <c r="KEK60" s="0"/>
      <c r="KEL60" s="0"/>
      <c r="KEM60" s="0"/>
      <c r="KEN60" s="0"/>
      <c r="KEO60" s="0"/>
      <c r="KEP60" s="0"/>
      <c r="KEQ60" s="0"/>
      <c r="KER60" s="0"/>
      <c r="KES60" s="0"/>
      <c r="KET60" s="0"/>
      <c r="KEU60" s="0"/>
      <c r="KEV60" s="0"/>
      <c r="KEW60" s="0"/>
      <c r="KEX60" s="0"/>
      <c r="KEY60" s="0"/>
      <c r="KEZ60" s="0"/>
      <c r="KFA60" s="0"/>
      <c r="KFB60" s="0"/>
      <c r="KFC60" s="0"/>
      <c r="KFD60" s="0"/>
      <c r="KFE60" s="0"/>
      <c r="KFF60" s="0"/>
      <c r="KFG60" s="0"/>
      <c r="KFH60" s="0"/>
      <c r="KFI60" s="0"/>
      <c r="KFJ60" s="0"/>
      <c r="KFK60" s="0"/>
      <c r="KFL60" s="0"/>
      <c r="KFM60" s="0"/>
      <c r="KFN60" s="0"/>
      <c r="KFO60" s="0"/>
      <c r="KFP60" s="0"/>
      <c r="KFQ60" s="0"/>
      <c r="KFR60" s="0"/>
      <c r="KFS60" s="0"/>
      <c r="KFT60" s="0"/>
      <c r="KFU60" s="0"/>
      <c r="KFV60" s="0"/>
      <c r="KFW60" s="0"/>
      <c r="KFX60" s="0"/>
      <c r="KFY60" s="0"/>
      <c r="KFZ60" s="0"/>
      <c r="KGA60" s="0"/>
      <c r="KGB60" s="0"/>
      <c r="KGC60" s="0"/>
      <c r="KGD60" s="0"/>
      <c r="KGE60" s="0"/>
      <c r="KGF60" s="0"/>
      <c r="KGG60" s="0"/>
      <c r="KGH60" s="0"/>
      <c r="KGI60" s="0"/>
      <c r="KGJ60" s="0"/>
      <c r="KGK60" s="0"/>
      <c r="KGL60" s="0"/>
      <c r="KGM60" s="0"/>
      <c r="KGN60" s="0"/>
      <c r="KGO60" s="0"/>
      <c r="KGP60" s="0"/>
      <c r="KGQ60" s="0"/>
      <c r="KGR60" s="0"/>
      <c r="KGS60" s="0"/>
      <c r="KGT60" s="0"/>
      <c r="KGU60" s="0"/>
      <c r="KGV60" s="0"/>
      <c r="KGW60" s="0"/>
      <c r="KGX60" s="0"/>
      <c r="KGY60" s="0"/>
      <c r="KGZ60" s="0"/>
      <c r="KHA60" s="0"/>
      <c r="KHB60" s="0"/>
      <c r="KHC60" s="0"/>
      <c r="KHD60" s="0"/>
      <c r="KHE60" s="0"/>
      <c r="KHF60" s="0"/>
      <c r="KHG60" s="0"/>
      <c r="KHH60" s="0"/>
      <c r="KHI60" s="0"/>
      <c r="KHJ60" s="0"/>
      <c r="KHK60" s="0"/>
      <c r="KHL60" s="0"/>
      <c r="KHM60" s="0"/>
      <c r="KHN60" s="0"/>
      <c r="KHO60" s="0"/>
      <c r="KHP60" s="0"/>
      <c r="KHQ60" s="0"/>
      <c r="KHR60" s="0"/>
      <c r="KHS60" s="0"/>
      <c r="KHT60" s="0"/>
      <c r="KHU60" s="0"/>
      <c r="KHV60" s="0"/>
      <c r="KHW60" s="0"/>
      <c r="KHX60" s="0"/>
      <c r="KHY60" s="0"/>
      <c r="KHZ60" s="0"/>
      <c r="KIA60" s="0"/>
      <c r="KIB60" s="0"/>
      <c r="KIC60" s="0"/>
      <c r="KID60" s="0"/>
      <c r="KIE60" s="0"/>
      <c r="KIF60" s="0"/>
      <c r="KIG60" s="0"/>
      <c r="KIH60" s="0"/>
      <c r="KII60" s="0"/>
      <c r="KIJ60" s="0"/>
      <c r="KIK60" s="0"/>
      <c r="KIL60" s="0"/>
      <c r="KIM60" s="0"/>
      <c r="KIN60" s="0"/>
      <c r="KIO60" s="0"/>
      <c r="KIP60" s="0"/>
      <c r="KIQ60" s="0"/>
      <c r="KIR60" s="0"/>
      <c r="KIS60" s="0"/>
      <c r="KIT60" s="0"/>
      <c r="KIU60" s="0"/>
      <c r="KIV60" s="0"/>
      <c r="KIW60" s="0"/>
      <c r="KIX60" s="0"/>
      <c r="KIY60" s="0"/>
      <c r="KIZ60" s="0"/>
      <c r="KJA60" s="0"/>
      <c r="KJB60" s="0"/>
      <c r="KJC60" s="0"/>
      <c r="KJD60" s="0"/>
      <c r="KJE60" s="0"/>
      <c r="KJF60" s="0"/>
      <c r="KJG60" s="0"/>
      <c r="KJH60" s="0"/>
      <c r="KJI60" s="0"/>
      <c r="KJJ60" s="0"/>
      <c r="KJK60" s="0"/>
      <c r="KJL60" s="0"/>
      <c r="KJM60" s="0"/>
      <c r="KJN60" s="0"/>
      <c r="KJO60" s="0"/>
      <c r="KJP60" s="0"/>
      <c r="KJQ60" s="0"/>
      <c r="KJR60" s="0"/>
      <c r="KJS60" s="0"/>
      <c r="KJT60" s="0"/>
      <c r="KJU60" s="0"/>
      <c r="KJV60" s="0"/>
      <c r="KJW60" s="0"/>
      <c r="KJX60" s="0"/>
      <c r="KJY60" s="0"/>
      <c r="KJZ60" s="0"/>
      <c r="KKA60" s="0"/>
      <c r="KKB60" s="0"/>
      <c r="KKC60" s="0"/>
      <c r="KKD60" s="0"/>
      <c r="KKE60" s="0"/>
      <c r="KKF60" s="0"/>
      <c r="KKG60" s="0"/>
      <c r="KKH60" s="0"/>
      <c r="KKI60" s="0"/>
      <c r="KKJ60" s="0"/>
      <c r="KKK60" s="0"/>
      <c r="KKL60" s="0"/>
      <c r="KKM60" s="0"/>
      <c r="KKN60" s="0"/>
      <c r="KKO60" s="0"/>
      <c r="KKP60" s="0"/>
      <c r="KKQ60" s="0"/>
      <c r="KKR60" s="0"/>
      <c r="KKS60" s="0"/>
      <c r="KKT60" s="0"/>
      <c r="KKU60" s="0"/>
      <c r="KKV60" s="0"/>
      <c r="KKW60" s="0"/>
      <c r="KKX60" s="0"/>
      <c r="KKY60" s="0"/>
      <c r="KKZ60" s="0"/>
      <c r="KLA60" s="0"/>
      <c r="KLB60" s="0"/>
      <c r="KLC60" s="0"/>
      <c r="KLD60" s="0"/>
      <c r="KLE60" s="0"/>
      <c r="KLF60" s="0"/>
      <c r="KLG60" s="0"/>
      <c r="KLH60" s="0"/>
      <c r="KLI60" s="0"/>
      <c r="KLJ60" s="0"/>
      <c r="KLK60" s="0"/>
      <c r="KLL60" s="0"/>
      <c r="KLM60" s="0"/>
      <c r="KLN60" s="0"/>
      <c r="KLO60" s="0"/>
      <c r="KLP60" s="0"/>
      <c r="KLQ60" s="0"/>
      <c r="KLR60" s="0"/>
      <c r="KLS60" s="0"/>
      <c r="KLT60" s="0"/>
      <c r="KLU60" s="0"/>
      <c r="KLV60" s="0"/>
      <c r="KLW60" s="0"/>
      <c r="KLX60" s="0"/>
      <c r="KLY60" s="0"/>
      <c r="KLZ60" s="0"/>
      <c r="KMA60" s="0"/>
      <c r="KMB60" s="0"/>
      <c r="KMC60" s="0"/>
      <c r="KMD60" s="0"/>
      <c r="KME60" s="0"/>
      <c r="KMF60" s="0"/>
      <c r="KMG60" s="0"/>
      <c r="KMH60" s="0"/>
      <c r="KMI60" s="0"/>
      <c r="KMJ60" s="0"/>
      <c r="KMK60" s="0"/>
      <c r="KML60" s="0"/>
      <c r="KMM60" s="0"/>
      <c r="KMN60" s="0"/>
      <c r="KMO60" s="0"/>
      <c r="KMP60" s="0"/>
      <c r="KMQ60" s="0"/>
      <c r="KMR60" s="0"/>
      <c r="KMS60" s="0"/>
      <c r="KMT60" s="0"/>
      <c r="KMU60" s="0"/>
      <c r="KMV60" s="0"/>
      <c r="KMW60" s="0"/>
      <c r="KMX60" s="0"/>
      <c r="KMY60" s="0"/>
      <c r="KMZ60" s="0"/>
      <c r="KNA60" s="0"/>
      <c r="KNB60" s="0"/>
      <c r="KNC60" s="0"/>
      <c r="KND60" s="0"/>
      <c r="KNE60" s="0"/>
      <c r="KNF60" s="0"/>
      <c r="KNG60" s="0"/>
      <c r="KNH60" s="0"/>
      <c r="KNI60" s="0"/>
      <c r="KNJ60" s="0"/>
      <c r="KNK60" s="0"/>
      <c r="KNL60" s="0"/>
      <c r="KNM60" s="0"/>
      <c r="KNN60" s="0"/>
      <c r="KNO60" s="0"/>
      <c r="KNP60" s="0"/>
      <c r="KNQ60" s="0"/>
      <c r="KNR60" s="0"/>
      <c r="KNS60" s="0"/>
      <c r="KNT60" s="0"/>
      <c r="KNU60" s="0"/>
      <c r="KNV60" s="0"/>
      <c r="KNW60" s="0"/>
      <c r="KNX60" s="0"/>
      <c r="KNY60" s="0"/>
      <c r="KNZ60" s="0"/>
      <c r="KOA60" s="0"/>
      <c r="KOB60" s="0"/>
      <c r="KOC60" s="0"/>
      <c r="KOD60" s="0"/>
      <c r="KOE60" s="0"/>
      <c r="KOF60" s="0"/>
      <c r="KOG60" s="0"/>
      <c r="KOH60" s="0"/>
      <c r="KOI60" s="0"/>
      <c r="KOJ60" s="0"/>
      <c r="KOK60" s="0"/>
      <c r="KOL60" s="0"/>
      <c r="KOM60" s="0"/>
      <c r="KON60" s="0"/>
      <c r="KOO60" s="0"/>
      <c r="KOP60" s="0"/>
      <c r="KOQ60" s="0"/>
      <c r="KOR60" s="0"/>
      <c r="KOS60" s="0"/>
      <c r="KOT60" s="0"/>
      <c r="KOU60" s="0"/>
      <c r="KOV60" s="0"/>
      <c r="KOW60" s="0"/>
      <c r="KOX60" s="0"/>
      <c r="KOY60" s="0"/>
      <c r="KOZ60" s="0"/>
      <c r="KPA60" s="0"/>
      <c r="KPB60" s="0"/>
      <c r="KPC60" s="0"/>
      <c r="KPD60" s="0"/>
      <c r="KPE60" s="0"/>
      <c r="KPF60" s="0"/>
      <c r="KPG60" s="0"/>
      <c r="KPH60" s="0"/>
      <c r="KPI60" s="0"/>
      <c r="KPJ60" s="0"/>
      <c r="KPK60" s="0"/>
      <c r="KPL60" s="0"/>
      <c r="KPM60" s="0"/>
      <c r="KPN60" s="0"/>
      <c r="KPO60" s="0"/>
      <c r="KPP60" s="0"/>
      <c r="KPQ60" s="0"/>
      <c r="KPR60" s="0"/>
      <c r="KPS60" s="0"/>
      <c r="KPT60" s="0"/>
      <c r="KPU60" s="0"/>
      <c r="KPV60" s="0"/>
      <c r="KPW60" s="0"/>
      <c r="KPX60" s="0"/>
      <c r="KPY60" s="0"/>
      <c r="KPZ60" s="0"/>
      <c r="KQA60" s="0"/>
      <c r="KQB60" s="0"/>
      <c r="KQC60" s="0"/>
      <c r="KQD60" s="0"/>
      <c r="KQE60" s="0"/>
      <c r="KQF60" s="0"/>
      <c r="KQG60" s="0"/>
      <c r="KQH60" s="0"/>
      <c r="KQI60" s="0"/>
      <c r="KQJ60" s="0"/>
      <c r="KQK60" s="0"/>
      <c r="KQL60" s="0"/>
      <c r="KQM60" s="0"/>
      <c r="KQN60" s="0"/>
      <c r="KQO60" s="0"/>
      <c r="KQP60" s="0"/>
      <c r="KQQ60" s="0"/>
      <c r="KQR60" s="0"/>
      <c r="KQS60" s="0"/>
      <c r="KQT60" s="0"/>
      <c r="KQU60" s="0"/>
      <c r="KQV60" s="0"/>
      <c r="KQW60" s="0"/>
      <c r="KQX60" s="0"/>
      <c r="KQY60" s="0"/>
      <c r="KQZ60" s="0"/>
      <c r="KRA60" s="0"/>
      <c r="KRB60" s="0"/>
      <c r="KRC60" s="0"/>
      <c r="KRD60" s="0"/>
      <c r="KRE60" s="0"/>
      <c r="KRF60" s="0"/>
      <c r="KRG60" s="0"/>
      <c r="KRH60" s="0"/>
      <c r="KRI60" s="0"/>
      <c r="KRJ60" s="0"/>
      <c r="KRK60" s="0"/>
      <c r="KRL60" s="0"/>
      <c r="KRM60" s="0"/>
      <c r="KRN60" s="0"/>
      <c r="KRO60" s="0"/>
      <c r="KRP60" s="0"/>
      <c r="KRQ60" s="0"/>
      <c r="KRR60" s="0"/>
      <c r="KRS60" s="0"/>
      <c r="KRT60" s="0"/>
      <c r="KRU60" s="0"/>
      <c r="KRV60" s="0"/>
      <c r="KRW60" s="0"/>
      <c r="KRX60" s="0"/>
      <c r="KRY60" s="0"/>
      <c r="KRZ60" s="0"/>
      <c r="KSA60" s="0"/>
      <c r="KSB60" s="0"/>
      <c r="KSC60" s="0"/>
      <c r="KSD60" s="0"/>
      <c r="KSE60" s="0"/>
      <c r="KSF60" s="0"/>
      <c r="KSG60" s="0"/>
      <c r="KSH60" s="0"/>
      <c r="KSI60" s="0"/>
      <c r="KSJ60" s="0"/>
      <c r="KSK60" s="0"/>
      <c r="KSL60" s="0"/>
      <c r="KSM60" s="0"/>
      <c r="KSN60" s="0"/>
      <c r="KSO60" s="0"/>
      <c r="KSP60" s="0"/>
      <c r="KSQ60" s="0"/>
      <c r="KSR60" s="0"/>
      <c r="KSS60" s="0"/>
      <c r="KST60" s="0"/>
      <c r="KSU60" s="0"/>
      <c r="KSV60" s="0"/>
      <c r="KSW60" s="0"/>
      <c r="KSX60" s="0"/>
      <c r="KSY60" s="0"/>
      <c r="KSZ60" s="0"/>
      <c r="KTA60" s="0"/>
      <c r="KTB60" s="0"/>
      <c r="KTC60" s="0"/>
      <c r="KTD60" s="0"/>
      <c r="KTE60" s="0"/>
      <c r="KTF60" s="0"/>
      <c r="KTG60" s="0"/>
      <c r="KTH60" s="0"/>
      <c r="KTI60" s="0"/>
      <c r="KTJ60" s="0"/>
      <c r="KTK60" s="0"/>
      <c r="KTL60" s="0"/>
      <c r="KTM60" s="0"/>
      <c r="KTN60" s="0"/>
      <c r="KTO60" s="0"/>
      <c r="KTP60" s="0"/>
      <c r="KTQ60" s="0"/>
      <c r="KTR60" s="0"/>
      <c r="KTS60" s="0"/>
      <c r="KTT60" s="0"/>
      <c r="KTU60" s="0"/>
      <c r="KTV60" s="0"/>
      <c r="KTW60" s="0"/>
      <c r="KTX60" s="0"/>
      <c r="KTY60" s="0"/>
      <c r="KTZ60" s="0"/>
      <c r="KUA60" s="0"/>
      <c r="KUB60" s="0"/>
      <c r="KUC60" s="0"/>
      <c r="KUD60" s="0"/>
      <c r="KUE60" s="0"/>
      <c r="KUF60" s="0"/>
      <c r="KUG60" s="0"/>
      <c r="KUH60" s="0"/>
      <c r="KUI60" s="0"/>
      <c r="KUJ60" s="0"/>
      <c r="KUK60" s="0"/>
      <c r="KUL60" s="0"/>
      <c r="KUM60" s="0"/>
      <c r="KUN60" s="0"/>
      <c r="KUO60" s="0"/>
      <c r="KUP60" s="0"/>
      <c r="KUQ60" s="0"/>
      <c r="KUR60" s="0"/>
      <c r="KUS60" s="0"/>
      <c r="KUT60" s="0"/>
      <c r="KUU60" s="0"/>
      <c r="KUV60" s="0"/>
      <c r="KUW60" s="0"/>
      <c r="KUX60" s="0"/>
      <c r="KUY60" s="0"/>
      <c r="KUZ60" s="0"/>
      <c r="KVA60" s="0"/>
      <c r="KVB60" s="0"/>
      <c r="KVC60" s="0"/>
      <c r="KVD60" s="0"/>
      <c r="KVE60" s="0"/>
      <c r="KVF60" s="0"/>
      <c r="KVG60" s="0"/>
      <c r="KVH60" s="0"/>
      <c r="KVI60" s="0"/>
      <c r="KVJ60" s="0"/>
      <c r="KVK60" s="0"/>
      <c r="KVL60" s="0"/>
      <c r="KVM60" s="0"/>
      <c r="KVN60" s="0"/>
      <c r="KVO60" s="0"/>
      <c r="KVP60" s="0"/>
      <c r="KVQ60" s="0"/>
      <c r="KVR60" s="0"/>
      <c r="KVS60" s="0"/>
      <c r="KVT60" s="0"/>
      <c r="KVU60" s="0"/>
      <c r="KVV60" s="0"/>
      <c r="KVW60" s="0"/>
      <c r="KVX60" s="0"/>
      <c r="KVY60" s="0"/>
      <c r="KVZ60" s="0"/>
      <c r="KWA60" s="0"/>
      <c r="KWB60" s="0"/>
      <c r="KWC60" s="0"/>
      <c r="KWD60" s="0"/>
      <c r="KWE60" s="0"/>
      <c r="KWF60" s="0"/>
      <c r="KWG60" s="0"/>
      <c r="KWH60" s="0"/>
      <c r="KWI60" s="0"/>
      <c r="KWJ60" s="0"/>
      <c r="KWK60" s="0"/>
      <c r="KWL60" s="0"/>
      <c r="KWM60" s="0"/>
      <c r="KWN60" s="0"/>
      <c r="KWO60" s="0"/>
      <c r="KWP60" s="0"/>
      <c r="KWQ60" s="0"/>
      <c r="KWR60" s="0"/>
      <c r="KWS60" s="0"/>
      <c r="KWT60" s="0"/>
      <c r="KWU60" s="0"/>
      <c r="KWV60" s="0"/>
      <c r="KWW60" s="0"/>
      <c r="KWX60" s="0"/>
      <c r="KWY60" s="0"/>
      <c r="KWZ60" s="0"/>
      <c r="KXA60" s="0"/>
      <c r="KXB60" s="0"/>
      <c r="KXC60" s="0"/>
      <c r="KXD60" s="0"/>
      <c r="KXE60" s="0"/>
      <c r="KXF60" s="0"/>
      <c r="KXG60" s="0"/>
      <c r="KXH60" s="0"/>
      <c r="KXI60" s="0"/>
      <c r="KXJ60" s="0"/>
      <c r="KXK60" s="0"/>
      <c r="KXL60" s="0"/>
      <c r="KXM60" s="0"/>
      <c r="KXN60" s="0"/>
      <c r="KXO60" s="0"/>
      <c r="KXP60" s="0"/>
      <c r="KXQ60" s="0"/>
      <c r="KXR60" s="0"/>
      <c r="KXS60" s="0"/>
      <c r="KXT60" s="0"/>
      <c r="KXU60" s="0"/>
      <c r="KXV60" s="0"/>
      <c r="KXW60" s="0"/>
      <c r="KXX60" s="0"/>
      <c r="KXY60" s="0"/>
      <c r="KXZ60" s="0"/>
      <c r="KYA60" s="0"/>
      <c r="KYB60" s="0"/>
      <c r="KYC60" s="0"/>
      <c r="KYD60" s="0"/>
      <c r="KYE60" s="0"/>
      <c r="KYF60" s="0"/>
      <c r="KYG60" s="0"/>
      <c r="KYH60" s="0"/>
      <c r="KYI60" s="0"/>
      <c r="KYJ60" s="0"/>
      <c r="KYK60" s="0"/>
      <c r="KYL60" s="0"/>
      <c r="KYM60" s="0"/>
      <c r="KYN60" s="0"/>
      <c r="KYO60" s="0"/>
      <c r="KYP60" s="0"/>
      <c r="KYQ60" s="0"/>
      <c r="KYR60" s="0"/>
      <c r="KYS60" s="0"/>
      <c r="KYT60" s="0"/>
      <c r="KYU60" s="0"/>
      <c r="KYV60" s="0"/>
      <c r="KYW60" s="0"/>
      <c r="KYX60" s="0"/>
      <c r="KYY60" s="0"/>
      <c r="KYZ60" s="0"/>
      <c r="KZA60" s="0"/>
      <c r="KZB60" s="0"/>
      <c r="KZC60" s="0"/>
      <c r="KZD60" s="0"/>
      <c r="KZE60" s="0"/>
      <c r="KZF60" s="0"/>
      <c r="KZG60" s="0"/>
      <c r="KZH60" s="0"/>
      <c r="KZI60" s="0"/>
      <c r="KZJ60" s="0"/>
      <c r="KZK60" s="0"/>
      <c r="KZL60" s="0"/>
      <c r="KZM60" s="0"/>
      <c r="KZN60" s="0"/>
      <c r="KZO60" s="0"/>
      <c r="KZP60" s="0"/>
      <c r="KZQ60" s="0"/>
      <c r="KZR60" s="0"/>
      <c r="KZS60" s="0"/>
      <c r="KZT60" s="0"/>
      <c r="KZU60" s="0"/>
      <c r="KZV60" s="0"/>
      <c r="KZW60" s="0"/>
      <c r="KZX60" s="0"/>
      <c r="KZY60" s="0"/>
      <c r="KZZ60" s="0"/>
      <c r="LAA60" s="0"/>
      <c r="LAB60" s="0"/>
      <c r="LAC60" s="0"/>
      <c r="LAD60" s="0"/>
      <c r="LAE60" s="0"/>
      <c r="LAF60" s="0"/>
      <c r="LAG60" s="0"/>
      <c r="LAH60" s="0"/>
      <c r="LAI60" s="0"/>
      <c r="LAJ60" s="0"/>
      <c r="LAK60" s="0"/>
      <c r="LAL60" s="0"/>
      <c r="LAM60" s="0"/>
      <c r="LAN60" s="0"/>
      <c r="LAO60" s="0"/>
      <c r="LAP60" s="0"/>
      <c r="LAQ60" s="0"/>
      <c r="LAR60" s="0"/>
      <c r="LAS60" s="0"/>
      <c r="LAT60" s="0"/>
      <c r="LAU60" s="0"/>
      <c r="LAV60" s="0"/>
      <c r="LAW60" s="0"/>
      <c r="LAX60" s="0"/>
      <c r="LAY60" s="0"/>
      <c r="LAZ60" s="0"/>
      <c r="LBA60" s="0"/>
      <c r="LBB60" s="0"/>
      <c r="LBC60" s="0"/>
      <c r="LBD60" s="0"/>
      <c r="LBE60" s="0"/>
      <c r="LBF60" s="0"/>
      <c r="LBG60" s="0"/>
      <c r="LBH60" s="0"/>
      <c r="LBI60" s="0"/>
      <c r="LBJ60" s="0"/>
      <c r="LBK60" s="0"/>
      <c r="LBL60" s="0"/>
      <c r="LBM60" s="0"/>
      <c r="LBN60" s="0"/>
      <c r="LBO60" s="0"/>
      <c r="LBP60" s="0"/>
      <c r="LBQ60" s="0"/>
      <c r="LBR60" s="0"/>
      <c r="LBS60" s="0"/>
      <c r="LBT60" s="0"/>
      <c r="LBU60" s="0"/>
      <c r="LBV60" s="0"/>
      <c r="LBW60" s="0"/>
      <c r="LBX60" s="0"/>
      <c r="LBY60" s="0"/>
      <c r="LBZ60" s="0"/>
      <c r="LCA60" s="0"/>
      <c r="LCB60" s="0"/>
      <c r="LCC60" s="0"/>
      <c r="LCD60" s="0"/>
      <c r="LCE60" s="0"/>
      <c r="LCF60" s="0"/>
      <c r="LCG60" s="0"/>
      <c r="LCH60" s="0"/>
      <c r="LCI60" s="0"/>
      <c r="LCJ60" s="0"/>
      <c r="LCK60" s="0"/>
      <c r="LCL60" s="0"/>
      <c r="LCM60" s="0"/>
      <c r="LCN60" s="0"/>
      <c r="LCO60" s="0"/>
      <c r="LCP60" s="0"/>
      <c r="LCQ60" s="0"/>
      <c r="LCR60" s="0"/>
      <c r="LCS60" s="0"/>
      <c r="LCT60" s="0"/>
      <c r="LCU60" s="0"/>
      <c r="LCV60" s="0"/>
      <c r="LCW60" s="0"/>
      <c r="LCX60" s="0"/>
      <c r="LCY60" s="0"/>
      <c r="LCZ60" s="0"/>
      <c r="LDA60" s="0"/>
      <c r="LDB60" s="0"/>
      <c r="LDC60" s="0"/>
      <c r="LDD60" s="0"/>
      <c r="LDE60" s="0"/>
      <c r="LDF60" s="0"/>
      <c r="LDG60" s="0"/>
      <c r="LDH60" s="0"/>
      <c r="LDI60" s="0"/>
      <c r="LDJ60" s="0"/>
      <c r="LDK60" s="0"/>
      <c r="LDL60" s="0"/>
      <c r="LDM60" s="0"/>
      <c r="LDN60" s="0"/>
      <c r="LDO60" s="0"/>
      <c r="LDP60" s="0"/>
      <c r="LDQ60" s="0"/>
      <c r="LDR60" s="0"/>
      <c r="LDS60" s="0"/>
      <c r="LDT60" s="0"/>
      <c r="LDU60" s="0"/>
      <c r="LDV60" s="0"/>
      <c r="LDW60" s="0"/>
      <c r="LDX60" s="0"/>
      <c r="LDY60" s="0"/>
      <c r="LDZ60" s="0"/>
      <c r="LEA60" s="0"/>
      <c r="LEB60" s="0"/>
      <c r="LEC60" s="0"/>
      <c r="LED60" s="0"/>
      <c r="LEE60" s="0"/>
      <c r="LEF60" s="0"/>
      <c r="LEG60" s="0"/>
      <c r="LEH60" s="0"/>
      <c r="LEI60" s="0"/>
      <c r="LEJ60" s="0"/>
      <c r="LEK60" s="0"/>
      <c r="LEL60" s="0"/>
      <c r="LEM60" s="0"/>
      <c r="LEN60" s="0"/>
      <c r="LEO60" s="0"/>
      <c r="LEP60" s="0"/>
      <c r="LEQ60" s="0"/>
      <c r="LER60" s="0"/>
      <c r="LES60" s="0"/>
      <c r="LET60" s="0"/>
      <c r="LEU60" s="0"/>
      <c r="LEV60" s="0"/>
      <c r="LEW60" s="0"/>
      <c r="LEX60" s="0"/>
      <c r="LEY60" s="0"/>
      <c r="LEZ60" s="0"/>
      <c r="LFA60" s="0"/>
      <c r="LFB60" s="0"/>
      <c r="LFC60" s="0"/>
      <c r="LFD60" s="0"/>
      <c r="LFE60" s="0"/>
      <c r="LFF60" s="0"/>
      <c r="LFG60" s="0"/>
      <c r="LFH60" s="0"/>
      <c r="LFI60" s="0"/>
      <c r="LFJ60" s="0"/>
      <c r="LFK60" s="0"/>
      <c r="LFL60" s="0"/>
      <c r="LFM60" s="0"/>
      <c r="LFN60" s="0"/>
      <c r="LFO60" s="0"/>
      <c r="LFP60" s="0"/>
      <c r="LFQ60" s="0"/>
      <c r="LFR60" s="0"/>
      <c r="LFS60" s="0"/>
      <c r="LFT60" s="0"/>
      <c r="LFU60" s="0"/>
      <c r="LFV60" s="0"/>
      <c r="LFW60" s="0"/>
      <c r="LFX60" s="0"/>
      <c r="LFY60" s="0"/>
      <c r="LFZ60" s="0"/>
      <c r="LGA60" s="0"/>
      <c r="LGB60" s="0"/>
      <c r="LGC60" s="0"/>
      <c r="LGD60" s="0"/>
      <c r="LGE60" s="0"/>
      <c r="LGF60" s="0"/>
      <c r="LGG60" s="0"/>
      <c r="LGH60" s="0"/>
      <c r="LGI60" s="0"/>
      <c r="LGJ60" s="0"/>
      <c r="LGK60" s="0"/>
      <c r="LGL60" s="0"/>
      <c r="LGM60" s="0"/>
      <c r="LGN60" s="0"/>
      <c r="LGO60" s="0"/>
      <c r="LGP60" s="0"/>
      <c r="LGQ60" s="0"/>
      <c r="LGR60" s="0"/>
      <c r="LGS60" s="0"/>
      <c r="LGT60" s="0"/>
      <c r="LGU60" s="0"/>
      <c r="LGV60" s="0"/>
      <c r="LGW60" s="0"/>
      <c r="LGX60" s="0"/>
      <c r="LGY60" s="0"/>
      <c r="LGZ60" s="0"/>
      <c r="LHA60" s="0"/>
      <c r="LHB60" s="0"/>
      <c r="LHC60" s="0"/>
      <c r="LHD60" s="0"/>
      <c r="LHE60" s="0"/>
      <c r="LHF60" s="0"/>
      <c r="LHG60" s="0"/>
      <c r="LHH60" s="0"/>
      <c r="LHI60" s="0"/>
      <c r="LHJ60" s="0"/>
      <c r="LHK60" s="0"/>
      <c r="LHL60" s="0"/>
      <c r="LHM60" s="0"/>
      <c r="LHN60" s="0"/>
      <c r="LHO60" s="0"/>
      <c r="LHP60" s="0"/>
      <c r="LHQ60" s="0"/>
      <c r="LHR60" s="0"/>
      <c r="LHS60" s="0"/>
      <c r="LHT60" s="0"/>
      <c r="LHU60" s="0"/>
      <c r="LHV60" s="0"/>
      <c r="LHW60" s="0"/>
      <c r="LHX60" s="0"/>
      <c r="LHY60" s="0"/>
      <c r="LHZ60" s="0"/>
      <c r="LIA60" s="0"/>
      <c r="LIB60" s="0"/>
      <c r="LIC60" s="0"/>
      <c r="LID60" s="0"/>
      <c r="LIE60" s="0"/>
      <c r="LIF60" s="0"/>
      <c r="LIG60" s="0"/>
      <c r="LIH60" s="0"/>
      <c r="LII60" s="0"/>
      <c r="LIJ60" s="0"/>
      <c r="LIK60" s="0"/>
      <c r="LIL60" s="0"/>
      <c r="LIM60" s="0"/>
      <c r="LIN60" s="0"/>
      <c r="LIO60" s="0"/>
      <c r="LIP60" s="0"/>
      <c r="LIQ60" s="0"/>
      <c r="LIR60" s="0"/>
      <c r="LIS60" s="0"/>
      <c r="LIT60" s="0"/>
      <c r="LIU60" s="0"/>
      <c r="LIV60" s="0"/>
      <c r="LIW60" s="0"/>
      <c r="LIX60" s="0"/>
      <c r="LIY60" s="0"/>
      <c r="LIZ60" s="0"/>
      <c r="LJA60" s="0"/>
      <c r="LJB60" s="0"/>
      <c r="LJC60" s="0"/>
      <c r="LJD60" s="0"/>
      <c r="LJE60" s="0"/>
      <c r="LJF60" s="0"/>
      <c r="LJG60" s="0"/>
      <c r="LJH60" s="0"/>
      <c r="LJI60" s="0"/>
      <c r="LJJ60" s="0"/>
      <c r="LJK60" s="0"/>
      <c r="LJL60" s="0"/>
      <c r="LJM60" s="0"/>
      <c r="LJN60" s="0"/>
      <c r="LJO60" s="0"/>
      <c r="LJP60" s="0"/>
      <c r="LJQ60" s="0"/>
      <c r="LJR60" s="0"/>
      <c r="LJS60" s="0"/>
      <c r="LJT60" s="0"/>
      <c r="LJU60" s="0"/>
      <c r="LJV60" s="0"/>
      <c r="LJW60" s="0"/>
      <c r="LJX60" s="0"/>
      <c r="LJY60" s="0"/>
      <c r="LJZ60" s="0"/>
      <c r="LKA60" s="0"/>
      <c r="LKB60" s="0"/>
      <c r="LKC60" s="0"/>
      <c r="LKD60" s="0"/>
      <c r="LKE60" s="0"/>
      <c r="LKF60" s="0"/>
      <c r="LKG60" s="0"/>
      <c r="LKH60" s="0"/>
      <c r="LKI60" s="0"/>
      <c r="LKJ60" s="0"/>
      <c r="LKK60" s="0"/>
      <c r="LKL60" s="0"/>
      <c r="LKM60" s="0"/>
      <c r="LKN60" s="0"/>
      <c r="LKO60" s="0"/>
      <c r="LKP60" s="0"/>
      <c r="LKQ60" s="0"/>
      <c r="LKR60" s="0"/>
      <c r="LKS60" s="0"/>
      <c r="LKT60" s="0"/>
      <c r="LKU60" s="0"/>
      <c r="LKV60" s="0"/>
      <c r="LKW60" s="0"/>
      <c r="LKX60" s="0"/>
      <c r="LKY60" s="0"/>
      <c r="LKZ60" s="0"/>
      <c r="LLA60" s="0"/>
      <c r="LLB60" s="0"/>
      <c r="LLC60" s="0"/>
      <c r="LLD60" s="0"/>
      <c r="LLE60" s="0"/>
      <c r="LLF60" s="0"/>
      <c r="LLG60" s="0"/>
      <c r="LLH60" s="0"/>
      <c r="LLI60" s="0"/>
      <c r="LLJ60" s="0"/>
      <c r="LLK60" s="0"/>
      <c r="LLL60" s="0"/>
      <c r="LLM60" s="0"/>
      <c r="LLN60" s="0"/>
      <c r="LLO60" s="0"/>
      <c r="LLP60" s="0"/>
      <c r="LLQ60" s="0"/>
      <c r="LLR60" s="0"/>
      <c r="LLS60" s="0"/>
      <c r="LLT60" s="0"/>
      <c r="LLU60" s="0"/>
      <c r="LLV60" s="0"/>
      <c r="LLW60" s="0"/>
      <c r="LLX60" s="0"/>
      <c r="LLY60" s="0"/>
      <c r="LLZ60" s="0"/>
      <c r="LMA60" s="0"/>
      <c r="LMB60" s="0"/>
      <c r="LMC60" s="0"/>
      <c r="LMD60" s="0"/>
      <c r="LME60" s="0"/>
      <c r="LMF60" s="0"/>
      <c r="LMG60" s="0"/>
      <c r="LMH60" s="0"/>
      <c r="LMI60" s="0"/>
      <c r="LMJ60" s="0"/>
      <c r="LMK60" s="0"/>
      <c r="LML60" s="0"/>
      <c r="LMM60" s="0"/>
      <c r="LMN60" s="0"/>
      <c r="LMO60" s="0"/>
      <c r="LMP60" s="0"/>
      <c r="LMQ60" s="0"/>
      <c r="LMR60" s="0"/>
      <c r="LMS60" s="0"/>
      <c r="LMT60" s="0"/>
      <c r="LMU60" s="0"/>
      <c r="LMV60" s="0"/>
      <c r="LMW60" s="0"/>
      <c r="LMX60" s="0"/>
      <c r="LMY60" s="0"/>
      <c r="LMZ60" s="0"/>
      <c r="LNA60" s="0"/>
      <c r="LNB60" s="0"/>
      <c r="LNC60" s="0"/>
      <c r="LND60" s="0"/>
      <c r="LNE60" s="0"/>
      <c r="LNF60" s="0"/>
      <c r="LNG60" s="0"/>
      <c r="LNH60" s="0"/>
      <c r="LNI60" s="0"/>
      <c r="LNJ60" s="0"/>
      <c r="LNK60" s="0"/>
      <c r="LNL60" s="0"/>
      <c r="LNM60" s="0"/>
      <c r="LNN60" s="0"/>
      <c r="LNO60" s="0"/>
      <c r="LNP60" s="0"/>
      <c r="LNQ60" s="0"/>
      <c r="LNR60" s="0"/>
      <c r="LNS60" s="0"/>
      <c r="LNT60" s="0"/>
      <c r="LNU60" s="0"/>
      <c r="LNV60" s="0"/>
      <c r="LNW60" s="0"/>
      <c r="LNX60" s="0"/>
      <c r="LNY60" s="0"/>
      <c r="LNZ60" s="0"/>
      <c r="LOA60" s="0"/>
      <c r="LOB60" s="0"/>
      <c r="LOC60" s="0"/>
      <c r="LOD60" s="0"/>
      <c r="LOE60" s="0"/>
      <c r="LOF60" s="0"/>
      <c r="LOG60" s="0"/>
      <c r="LOH60" s="0"/>
      <c r="LOI60" s="0"/>
      <c r="LOJ60" s="0"/>
      <c r="LOK60" s="0"/>
      <c r="LOL60" s="0"/>
      <c r="LOM60" s="0"/>
      <c r="LON60" s="0"/>
      <c r="LOO60" s="0"/>
      <c r="LOP60" s="0"/>
      <c r="LOQ60" s="0"/>
      <c r="LOR60" s="0"/>
      <c r="LOS60" s="0"/>
      <c r="LOT60" s="0"/>
      <c r="LOU60" s="0"/>
      <c r="LOV60" s="0"/>
      <c r="LOW60" s="0"/>
      <c r="LOX60" s="0"/>
      <c r="LOY60" s="0"/>
      <c r="LOZ60" s="0"/>
      <c r="LPA60" s="0"/>
      <c r="LPB60" s="0"/>
      <c r="LPC60" s="0"/>
      <c r="LPD60" s="0"/>
      <c r="LPE60" s="0"/>
      <c r="LPF60" s="0"/>
      <c r="LPG60" s="0"/>
      <c r="LPH60" s="0"/>
      <c r="LPI60" s="0"/>
      <c r="LPJ60" s="0"/>
      <c r="LPK60" s="0"/>
      <c r="LPL60" s="0"/>
      <c r="LPM60" s="0"/>
      <c r="LPN60" s="0"/>
      <c r="LPO60" s="0"/>
      <c r="LPP60" s="0"/>
      <c r="LPQ60" s="0"/>
      <c r="LPR60" s="0"/>
      <c r="LPS60" s="0"/>
      <c r="LPT60" s="0"/>
      <c r="LPU60" s="0"/>
      <c r="LPV60" s="0"/>
      <c r="LPW60" s="0"/>
      <c r="LPX60" s="0"/>
      <c r="LPY60" s="0"/>
      <c r="LPZ60" s="0"/>
      <c r="LQA60" s="0"/>
      <c r="LQB60" s="0"/>
      <c r="LQC60" s="0"/>
      <c r="LQD60" s="0"/>
      <c r="LQE60" s="0"/>
      <c r="LQF60" s="0"/>
      <c r="LQG60" s="0"/>
      <c r="LQH60" s="0"/>
      <c r="LQI60" s="0"/>
      <c r="LQJ60" s="0"/>
      <c r="LQK60" s="0"/>
      <c r="LQL60" s="0"/>
      <c r="LQM60" s="0"/>
      <c r="LQN60" s="0"/>
      <c r="LQO60" s="0"/>
      <c r="LQP60" s="0"/>
      <c r="LQQ60" s="0"/>
      <c r="LQR60" s="0"/>
      <c r="LQS60" s="0"/>
      <c r="LQT60" s="0"/>
      <c r="LQU60" s="0"/>
      <c r="LQV60" s="0"/>
      <c r="LQW60" s="0"/>
      <c r="LQX60" s="0"/>
      <c r="LQY60" s="0"/>
      <c r="LQZ60" s="0"/>
      <c r="LRA60" s="0"/>
      <c r="LRB60" s="0"/>
      <c r="LRC60" s="0"/>
      <c r="LRD60" s="0"/>
      <c r="LRE60" s="0"/>
      <c r="LRF60" s="0"/>
      <c r="LRG60" s="0"/>
      <c r="LRH60" s="0"/>
      <c r="LRI60" s="0"/>
      <c r="LRJ60" s="0"/>
      <c r="LRK60" s="0"/>
      <c r="LRL60" s="0"/>
      <c r="LRM60" s="0"/>
      <c r="LRN60" s="0"/>
      <c r="LRO60" s="0"/>
      <c r="LRP60" s="0"/>
      <c r="LRQ60" s="0"/>
      <c r="LRR60" s="0"/>
      <c r="LRS60" s="0"/>
      <c r="LRT60" s="0"/>
      <c r="LRU60" s="0"/>
      <c r="LRV60" s="0"/>
      <c r="LRW60" s="0"/>
      <c r="LRX60" s="0"/>
      <c r="LRY60" s="0"/>
      <c r="LRZ60" s="0"/>
      <c r="LSA60" s="0"/>
      <c r="LSB60" s="0"/>
      <c r="LSC60" s="0"/>
      <c r="LSD60" s="0"/>
      <c r="LSE60" s="0"/>
      <c r="LSF60" s="0"/>
      <c r="LSG60" s="0"/>
      <c r="LSH60" s="0"/>
      <c r="LSI60" s="0"/>
      <c r="LSJ60" s="0"/>
      <c r="LSK60" s="0"/>
      <c r="LSL60" s="0"/>
      <c r="LSM60" s="0"/>
      <c r="LSN60" s="0"/>
      <c r="LSO60" s="0"/>
      <c r="LSP60" s="0"/>
      <c r="LSQ60" s="0"/>
      <c r="LSR60" s="0"/>
      <c r="LSS60" s="0"/>
      <c r="LST60" s="0"/>
      <c r="LSU60" s="0"/>
      <c r="LSV60" s="0"/>
      <c r="LSW60" s="0"/>
      <c r="LSX60" s="0"/>
      <c r="LSY60" s="0"/>
      <c r="LSZ60" s="0"/>
      <c r="LTA60" s="0"/>
      <c r="LTB60" s="0"/>
      <c r="LTC60" s="0"/>
      <c r="LTD60" s="0"/>
      <c r="LTE60" s="0"/>
      <c r="LTF60" s="0"/>
      <c r="LTG60" s="0"/>
      <c r="LTH60" s="0"/>
      <c r="LTI60" s="0"/>
      <c r="LTJ60" s="0"/>
      <c r="LTK60" s="0"/>
      <c r="LTL60" s="0"/>
      <c r="LTM60" s="0"/>
      <c r="LTN60" s="0"/>
      <c r="LTO60" s="0"/>
      <c r="LTP60" s="0"/>
      <c r="LTQ60" s="0"/>
      <c r="LTR60" s="0"/>
      <c r="LTS60" s="0"/>
      <c r="LTT60" s="0"/>
      <c r="LTU60" s="0"/>
      <c r="LTV60" s="0"/>
      <c r="LTW60" s="0"/>
      <c r="LTX60" s="0"/>
      <c r="LTY60" s="0"/>
      <c r="LTZ60" s="0"/>
      <c r="LUA60" s="0"/>
      <c r="LUB60" s="0"/>
      <c r="LUC60" s="0"/>
      <c r="LUD60" s="0"/>
      <c r="LUE60" s="0"/>
      <c r="LUF60" s="0"/>
      <c r="LUG60" s="0"/>
      <c r="LUH60" s="0"/>
      <c r="LUI60" s="0"/>
      <c r="LUJ60" s="0"/>
      <c r="LUK60" s="0"/>
      <c r="LUL60" s="0"/>
      <c r="LUM60" s="0"/>
      <c r="LUN60" s="0"/>
      <c r="LUO60" s="0"/>
      <c r="LUP60" s="0"/>
      <c r="LUQ60" s="0"/>
      <c r="LUR60" s="0"/>
      <c r="LUS60" s="0"/>
      <c r="LUT60" s="0"/>
      <c r="LUU60" s="0"/>
      <c r="LUV60" s="0"/>
      <c r="LUW60" s="0"/>
      <c r="LUX60" s="0"/>
      <c r="LUY60" s="0"/>
      <c r="LUZ60" s="0"/>
      <c r="LVA60" s="0"/>
      <c r="LVB60" s="0"/>
      <c r="LVC60" s="0"/>
      <c r="LVD60" s="0"/>
      <c r="LVE60" s="0"/>
      <c r="LVF60" s="0"/>
      <c r="LVG60" s="0"/>
      <c r="LVH60" s="0"/>
      <c r="LVI60" s="0"/>
      <c r="LVJ60" s="0"/>
      <c r="LVK60" s="0"/>
      <c r="LVL60" s="0"/>
      <c r="LVM60" s="0"/>
      <c r="LVN60" s="0"/>
      <c r="LVO60" s="0"/>
      <c r="LVP60" s="0"/>
      <c r="LVQ60" s="0"/>
      <c r="LVR60" s="0"/>
      <c r="LVS60" s="0"/>
      <c r="LVT60" s="0"/>
      <c r="LVU60" s="0"/>
      <c r="LVV60" s="0"/>
      <c r="LVW60" s="0"/>
      <c r="LVX60" s="0"/>
      <c r="LVY60" s="0"/>
      <c r="LVZ60" s="0"/>
      <c r="LWA60" s="0"/>
      <c r="LWB60" s="0"/>
      <c r="LWC60" s="0"/>
      <c r="LWD60" s="0"/>
      <c r="LWE60" s="0"/>
      <c r="LWF60" s="0"/>
      <c r="LWG60" s="0"/>
      <c r="LWH60" s="0"/>
      <c r="LWI60" s="0"/>
      <c r="LWJ60" s="0"/>
      <c r="LWK60" s="0"/>
      <c r="LWL60" s="0"/>
      <c r="LWM60" s="0"/>
      <c r="LWN60" s="0"/>
      <c r="LWO60" s="0"/>
      <c r="LWP60" s="0"/>
      <c r="LWQ60" s="0"/>
      <c r="LWR60" s="0"/>
      <c r="LWS60" s="0"/>
      <c r="LWT60" s="0"/>
      <c r="LWU60" s="0"/>
      <c r="LWV60" s="0"/>
      <c r="LWW60" s="0"/>
      <c r="LWX60" s="0"/>
      <c r="LWY60" s="0"/>
      <c r="LWZ60" s="0"/>
      <c r="LXA60" s="0"/>
      <c r="LXB60" s="0"/>
      <c r="LXC60" s="0"/>
      <c r="LXD60" s="0"/>
      <c r="LXE60" s="0"/>
      <c r="LXF60" s="0"/>
      <c r="LXG60" s="0"/>
      <c r="LXH60" s="0"/>
      <c r="LXI60" s="0"/>
      <c r="LXJ60" s="0"/>
      <c r="LXK60" s="0"/>
      <c r="LXL60" s="0"/>
      <c r="LXM60" s="0"/>
      <c r="LXN60" s="0"/>
      <c r="LXO60" s="0"/>
      <c r="LXP60" s="0"/>
      <c r="LXQ60" s="0"/>
      <c r="LXR60" s="0"/>
      <c r="LXS60" s="0"/>
      <c r="LXT60" s="0"/>
      <c r="LXU60" s="0"/>
      <c r="LXV60" s="0"/>
      <c r="LXW60" s="0"/>
      <c r="LXX60" s="0"/>
      <c r="LXY60" s="0"/>
      <c r="LXZ60" s="0"/>
      <c r="LYA60" s="0"/>
      <c r="LYB60" s="0"/>
      <c r="LYC60" s="0"/>
      <c r="LYD60" s="0"/>
      <c r="LYE60" s="0"/>
      <c r="LYF60" s="0"/>
      <c r="LYG60" s="0"/>
      <c r="LYH60" s="0"/>
      <c r="LYI60" s="0"/>
      <c r="LYJ60" s="0"/>
      <c r="LYK60" s="0"/>
      <c r="LYL60" s="0"/>
      <c r="LYM60" s="0"/>
      <c r="LYN60" s="0"/>
      <c r="LYO60" s="0"/>
      <c r="LYP60" s="0"/>
      <c r="LYQ60" s="0"/>
      <c r="LYR60" s="0"/>
      <c r="LYS60" s="0"/>
      <c r="LYT60" s="0"/>
      <c r="LYU60" s="0"/>
      <c r="LYV60" s="0"/>
      <c r="LYW60" s="0"/>
      <c r="LYX60" s="0"/>
      <c r="LYY60" s="0"/>
      <c r="LYZ60" s="0"/>
      <c r="LZA60" s="0"/>
      <c r="LZB60" s="0"/>
      <c r="LZC60" s="0"/>
      <c r="LZD60" s="0"/>
      <c r="LZE60" s="0"/>
      <c r="LZF60" s="0"/>
      <c r="LZG60" s="0"/>
      <c r="LZH60" s="0"/>
      <c r="LZI60" s="0"/>
      <c r="LZJ60" s="0"/>
      <c r="LZK60" s="0"/>
      <c r="LZL60" s="0"/>
      <c r="LZM60" s="0"/>
      <c r="LZN60" s="0"/>
      <c r="LZO60" s="0"/>
      <c r="LZP60" s="0"/>
      <c r="LZQ60" s="0"/>
      <c r="LZR60" s="0"/>
      <c r="LZS60" s="0"/>
      <c r="LZT60" s="0"/>
      <c r="LZU60" s="0"/>
      <c r="LZV60" s="0"/>
      <c r="LZW60" s="0"/>
      <c r="LZX60" s="0"/>
      <c r="LZY60" s="0"/>
      <c r="LZZ60" s="0"/>
      <c r="MAA60" s="0"/>
      <c r="MAB60" s="0"/>
      <c r="MAC60" s="0"/>
      <c r="MAD60" s="0"/>
      <c r="MAE60" s="0"/>
      <c r="MAF60" s="0"/>
      <c r="MAG60" s="0"/>
      <c r="MAH60" s="0"/>
      <c r="MAI60" s="0"/>
      <c r="MAJ60" s="0"/>
      <c r="MAK60" s="0"/>
      <c r="MAL60" s="0"/>
      <c r="MAM60" s="0"/>
      <c r="MAN60" s="0"/>
      <c r="MAO60" s="0"/>
      <c r="MAP60" s="0"/>
      <c r="MAQ60" s="0"/>
      <c r="MAR60" s="0"/>
      <c r="MAS60" s="0"/>
      <c r="MAT60" s="0"/>
      <c r="MAU60" s="0"/>
      <c r="MAV60" s="0"/>
      <c r="MAW60" s="0"/>
      <c r="MAX60" s="0"/>
      <c r="MAY60" s="0"/>
      <c r="MAZ60" s="0"/>
      <c r="MBA60" s="0"/>
      <c r="MBB60" s="0"/>
      <c r="MBC60" s="0"/>
      <c r="MBD60" s="0"/>
      <c r="MBE60" s="0"/>
      <c r="MBF60" s="0"/>
      <c r="MBG60" s="0"/>
      <c r="MBH60" s="0"/>
      <c r="MBI60" s="0"/>
      <c r="MBJ60" s="0"/>
      <c r="MBK60" s="0"/>
      <c r="MBL60" s="0"/>
      <c r="MBM60" s="0"/>
      <c r="MBN60" s="0"/>
      <c r="MBO60" s="0"/>
      <c r="MBP60" s="0"/>
      <c r="MBQ60" s="0"/>
      <c r="MBR60" s="0"/>
      <c r="MBS60" s="0"/>
      <c r="MBT60" s="0"/>
      <c r="MBU60" s="0"/>
      <c r="MBV60" s="0"/>
      <c r="MBW60" s="0"/>
      <c r="MBX60" s="0"/>
      <c r="MBY60" s="0"/>
      <c r="MBZ60" s="0"/>
      <c r="MCA60" s="0"/>
      <c r="MCB60" s="0"/>
      <c r="MCC60" s="0"/>
      <c r="MCD60" s="0"/>
      <c r="MCE60" s="0"/>
      <c r="MCF60" s="0"/>
      <c r="MCG60" s="0"/>
      <c r="MCH60" s="0"/>
      <c r="MCI60" s="0"/>
      <c r="MCJ60" s="0"/>
      <c r="MCK60" s="0"/>
      <c r="MCL60" s="0"/>
      <c r="MCM60" s="0"/>
      <c r="MCN60" s="0"/>
      <c r="MCO60" s="0"/>
      <c r="MCP60" s="0"/>
      <c r="MCQ60" s="0"/>
      <c r="MCR60" s="0"/>
      <c r="MCS60" s="0"/>
      <c r="MCT60" s="0"/>
      <c r="MCU60" s="0"/>
      <c r="MCV60" s="0"/>
      <c r="MCW60" s="0"/>
      <c r="MCX60" s="0"/>
      <c r="MCY60" s="0"/>
      <c r="MCZ60" s="0"/>
      <c r="MDA60" s="0"/>
      <c r="MDB60" s="0"/>
      <c r="MDC60" s="0"/>
      <c r="MDD60" s="0"/>
      <c r="MDE60" s="0"/>
      <c r="MDF60" s="0"/>
      <c r="MDG60" s="0"/>
      <c r="MDH60" s="0"/>
      <c r="MDI60" s="0"/>
      <c r="MDJ60" s="0"/>
      <c r="MDK60" s="0"/>
      <c r="MDL60" s="0"/>
      <c r="MDM60" s="0"/>
      <c r="MDN60" s="0"/>
      <c r="MDO60" s="0"/>
      <c r="MDP60" s="0"/>
      <c r="MDQ60" s="0"/>
      <c r="MDR60" s="0"/>
      <c r="MDS60" s="0"/>
      <c r="MDT60" s="0"/>
      <c r="MDU60" s="0"/>
      <c r="MDV60" s="0"/>
      <c r="MDW60" s="0"/>
      <c r="MDX60" s="0"/>
      <c r="MDY60" s="0"/>
      <c r="MDZ60" s="0"/>
      <c r="MEA60" s="0"/>
      <c r="MEB60" s="0"/>
      <c r="MEC60" s="0"/>
      <c r="MED60" s="0"/>
      <c r="MEE60" s="0"/>
      <c r="MEF60" s="0"/>
      <c r="MEG60" s="0"/>
      <c r="MEH60" s="0"/>
      <c r="MEI60" s="0"/>
      <c r="MEJ60" s="0"/>
      <c r="MEK60" s="0"/>
      <c r="MEL60" s="0"/>
      <c r="MEM60" s="0"/>
      <c r="MEN60" s="0"/>
      <c r="MEO60" s="0"/>
      <c r="MEP60" s="0"/>
      <c r="MEQ60" s="0"/>
      <c r="MER60" s="0"/>
      <c r="MES60" s="0"/>
      <c r="MET60" s="0"/>
      <c r="MEU60" s="0"/>
      <c r="MEV60" s="0"/>
      <c r="MEW60" s="0"/>
      <c r="MEX60" s="0"/>
      <c r="MEY60" s="0"/>
      <c r="MEZ60" s="0"/>
      <c r="MFA60" s="0"/>
      <c r="MFB60" s="0"/>
      <c r="MFC60" s="0"/>
      <c r="MFD60" s="0"/>
      <c r="MFE60" s="0"/>
      <c r="MFF60" s="0"/>
      <c r="MFG60" s="0"/>
      <c r="MFH60" s="0"/>
      <c r="MFI60" s="0"/>
      <c r="MFJ60" s="0"/>
      <c r="MFK60" s="0"/>
      <c r="MFL60" s="0"/>
      <c r="MFM60" s="0"/>
      <c r="MFN60" s="0"/>
      <c r="MFO60" s="0"/>
      <c r="MFP60" s="0"/>
      <c r="MFQ60" s="0"/>
      <c r="MFR60" s="0"/>
      <c r="MFS60" s="0"/>
      <c r="MFT60" s="0"/>
      <c r="MFU60" s="0"/>
      <c r="MFV60" s="0"/>
      <c r="MFW60" s="0"/>
      <c r="MFX60" s="0"/>
      <c r="MFY60" s="0"/>
      <c r="MFZ60" s="0"/>
      <c r="MGA60" s="0"/>
      <c r="MGB60" s="0"/>
      <c r="MGC60" s="0"/>
      <c r="MGD60" s="0"/>
      <c r="MGE60" s="0"/>
      <c r="MGF60" s="0"/>
      <c r="MGG60" s="0"/>
      <c r="MGH60" s="0"/>
      <c r="MGI60" s="0"/>
      <c r="MGJ60" s="0"/>
      <c r="MGK60" s="0"/>
      <c r="MGL60" s="0"/>
      <c r="MGM60" s="0"/>
      <c r="MGN60" s="0"/>
      <c r="MGO60" s="0"/>
      <c r="MGP60" s="0"/>
      <c r="MGQ60" s="0"/>
      <c r="MGR60" s="0"/>
      <c r="MGS60" s="0"/>
      <c r="MGT60" s="0"/>
      <c r="MGU60" s="0"/>
      <c r="MGV60" s="0"/>
      <c r="MGW60" s="0"/>
      <c r="MGX60" s="0"/>
      <c r="MGY60" s="0"/>
      <c r="MGZ60" s="0"/>
      <c r="MHA60" s="0"/>
      <c r="MHB60" s="0"/>
      <c r="MHC60" s="0"/>
      <c r="MHD60" s="0"/>
      <c r="MHE60" s="0"/>
      <c r="MHF60" s="0"/>
      <c r="MHG60" s="0"/>
      <c r="MHH60" s="0"/>
      <c r="MHI60" s="0"/>
      <c r="MHJ60" s="0"/>
      <c r="MHK60" s="0"/>
      <c r="MHL60" s="0"/>
      <c r="MHM60" s="0"/>
      <c r="MHN60" s="0"/>
      <c r="MHO60" s="0"/>
      <c r="MHP60" s="0"/>
      <c r="MHQ60" s="0"/>
      <c r="MHR60" s="0"/>
      <c r="MHS60" s="0"/>
      <c r="MHT60" s="0"/>
      <c r="MHU60" s="0"/>
      <c r="MHV60" s="0"/>
      <c r="MHW60" s="0"/>
      <c r="MHX60" s="0"/>
      <c r="MHY60" s="0"/>
      <c r="MHZ60" s="0"/>
      <c r="MIA60" s="0"/>
      <c r="MIB60" s="0"/>
      <c r="MIC60" s="0"/>
      <c r="MID60" s="0"/>
      <c r="MIE60" s="0"/>
      <c r="MIF60" s="0"/>
      <c r="MIG60" s="0"/>
      <c r="MIH60" s="0"/>
      <c r="MII60" s="0"/>
      <c r="MIJ60" s="0"/>
      <c r="MIK60" s="0"/>
      <c r="MIL60" s="0"/>
      <c r="MIM60" s="0"/>
      <c r="MIN60" s="0"/>
      <c r="MIO60" s="0"/>
      <c r="MIP60" s="0"/>
      <c r="MIQ60" s="0"/>
      <c r="MIR60" s="0"/>
      <c r="MIS60" s="0"/>
      <c r="MIT60" s="0"/>
      <c r="MIU60" s="0"/>
      <c r="MIV60" s="0"/>
      <c r="MIW60" s="0"/>
      <c r="MIX60" s="0"/>
      <c r="MIY60" s="0"/>
      <c r="MIZ60" s="0"/>
      <c r="MJA60" s="0"/>
      <c r="MJB60" s="0"/>
      <c r="MJC60" s="0"/>
      <c r="MJD60" s="0"/>
      <c r="MJE60" s="0"/>
      <c r="MJF60" s="0"/>
      <c r="MJG60" s="0"/>
      <c r="MJH60" s="0"/>
      <c r="MJI60" s="0"/>
      <c r="MJJ60" s="0"/>
      <c r="MJK60" s="0"/>
      <c r="MJL60" s="0"/>
      <c r="MJM60" s="0"/>
      <c r="MJN60" s="0"/>
      <c r="MJO60" s="0"/>
      <c r="MJP60" s="0"/>
      <c r="MJQ60" s="0"/>
      <c r="MJR60" s="0"/>
      <c r="MJS60" s="0"/>
      <c r="MJT60" s="0"/>
      <c r="MJU60" s="0"/>
      <c r="MJV60" s="0"/>
      <c r="MJW60" s="0"/>
      <c r="MJX60" s="0"/>
      <c r="MJY60" s="0"/>
      <c r="MJZ60" s="0"/>
      <c r="MKA60" s="0"/>
      <c r="MKB60" s="0"/>
      <c r="MKC60" s="0"/>
      <c r="MKD60" s="0"/>
      <c r="MKE60" s="0"/>
      <c r="MKF60" s="0"/>
      <c r="MKG60" s="0"/>
      <c r="MKH60" s="0"/>
      <c r="MKI60" s="0"/>
      <c r="MKJ60" s="0"/>
      <c r="MKK60" s="0"/>
      <c r="MKL60" s="0"/>
      <c r="MKM60" s="0"/>
      <c r="MKN60" s="0"/>
      <c r="MKO60" s="0"/>
      <c r="MKP60" s="0"/>
      <c r="MKQ60" s="0"/>
      <c r="MKR60" s="0"/>
      <c r="MKS60" s="0"/>
      <c r="MKT60" s="0"/>
      <c r="MKU60" s="0"/>
      <c r="MKV60" s="0"/>
      <c r="MKW60" s="0"/>
      <c r="MKX60" s="0"/>
      <c r="MKY60" s="0"/>
      <c r="MKZ60" s="0"/>
      <c r="MLA60" s="0"/>
      <c r="MLB60" s="0"/>
      <c r="MLC60" s="0"/>
      <c r="MLD60" s="0"/>
      <c r="MLE60" s="0"/>
      <c r="MLF60" s="0"/>
      <c r="MLG60" s="0"/>
      <c r="MLH60" s="0"/>
      <c r="MLI60" s="0"/>
      <c r="MLJ60" s="0"/>
      <c r="MLK60" s="0"/>
      <c r="MLL60" s="0"/>
      <c r="MLM60" s="0"/>
      <c r="MLN60" s="0"/>
      <c r="MLO60" s="0"/>
      <c r="MLP60" s="0"/>
      <c r="MLQ60" s="0"/>
      <c r="MLR60" s="0"/>
      <c r="MLS60" s="0"/>
      <c r="MLT60" s="0"/>
      <c r="MLU60" s="0"/>
      <c r="MLV60" s="0"/>
      <c r="MLW60" s="0"/>
      <c r="MLX60" s="0"/>
      <c r="MLY60" s="0"/>
      <c r="MLZ60" s="0"/>
      <c r="MMA60" s="0"/>
      <c r="MMB60" s="0"/>
      <c r="MMC60" s="0"/>
      <c r="MMD60" s="0"/>
      <c r="MME60" s="0"/>
      <c r="MMF60" s="0"/>
      <c r="MMG60" s="0"/>
      <c r="MMH60" s="0"/>
      <c r="MMI60" s="0"/>
      <c r="MMJ60" s="0"/>
      <c r="MMK60" s="0"/>
      <c r="MML60" s="0"/>
      <c r="MMM60" s="0"/>
      <c r="MMN60" s="0"/>
      <c r="MMO60" s="0"/>
      <c r="MMP60" s="0"/>
      <c r="MMQ60" s="0"/>
      <c r="MMR60" s="0"/>
      <c r="MMS60" s="0"/>
      <c r="MMT60" s="0"/>
      <c r="MMU60" s="0"/>
      <c r="MMV60" s="0"/>
      <c r="MMW60" s="0"/>
      <c r="MMX60" s="0"/>
      <c r="MMY60" s="0"/>
      <c r="MMZ60" s="0"/>
      <c r="MNA60" s="0"/>
      <c r="MNB60" s="0"/>
      <c r="MNC60" s="0"/>
      <c r="MND60" s="0"/>
      <c r="MNE60" s="0"/>
      <c r="MNF60" s="0"/>
      <c r="MNG60" s="0"/>
      <c r="MNH60" s="0"/>
      <c r="MNI60" s="0"/>
      <c r="MNJ60" s="0"/>
      <c r="MNK60" s="0"/>
      <c r="MNL60" s="0"/>
      <c r="MNM60" s="0"/>
      <c r="MNN60" s="0"/>
      <c r="MNO60" s="0"/>
      <c r="MNP60" s="0"/>
      <c r="MNQ60" s="0"/>
      <c r="MNR60" s="0"/>
      <c r="MNS60" s="0"/>
      <c r="MNT60" s="0"/>
      <c r="MNU60" s="0"/>
      <c r="MNV60" s="0"/>
      <c r="MNW60" s="0"/>
      <c r="MNX60" s="0"/>
      <c r="MNY60" s="0"/>
      <c r="MNZ60" s="0"/>
      <c r="MOA60" s="0"/>
      <c r="MOB60" s="0"/>
      <c r="MOC60" s="0"/>
      <c r="MOD60" s="0"/>
      <c r="MOE60" s="0"/>
      <c r="MOF60" s="0"/>
      <c r="MOG60" s="0"/>
      <c r="MOH60" s="0"/>
      <c r="MOI60" s="0"/>
      <c r="MOJ60" s="0"/>
      <c r="MOK60" s="0"/>
      <c r="MOL60" s="0"/>
      <c r="MOM60" s="0"/>
      <c r="MON60" s="0"/>
      <c r="MOO60" s="0"/>
      <c r="MOP60" s="0"/>
      <c r="MOQ60" s="0"/>
      <c r="MOR60" s="0"/>
      <c r="MOS60" s="0"/>
      <c r="MOT60" s="0"/>
      <c r="MOU60" s="0"/>
      <c r="MOV60" s="0"/>
      <c r="MOW60" s="0"/>
      <c r="MOX60" s="0"/>
      <c r="MOY60" s="0"/>
      <c r="MOZ60" s="0"/>
      <c r="MPA60" s="0"/>
      <c r="MPB60" s="0"/>
      <c r="MPC60" s="0"/>
      <c r="MPD60" s="0"/>
      <c r="MPE60" s="0"/>
      <c r="MPF60" s="0"/>
      <c r="MPG60" s="0"/>
      <c r="MPH60" s="0"/>
      <c r="MPI60" s="0"/>
      <c r="MPJ60" s="0"/>
      <c r="MPK60" s="0"/>
      <c r="MPL60" s="0"/>
      <c r="MPM60" s="0"/>
      <c r="MPN60" s="0"/>
      <c r="MPO60" s="0"/>
      <c r="MPP60" s="0"/>
      <c r="MPQ60" s="0"/>
      <c r="MPR60" s="0"/>
      <c r="MPS60" s="0"/>
      <c r="MPT60" s="0"/>
      <c r="MPU60" s="0"/>
      <c r="MPV60" s="0"/>
      <c r="MPW60" s="0"/>
      <c r="MPX60" s="0"/>
      <c r="MPY60" s="0"/>
      <c r="MPZ60" s="0"/>
      <c r="MQA60" s="0"/>
      <c r="MQB60" s="0"/>
      <c r="MQC60" s="0"/>
      <c r="MQD60" s="0"/>
      <c r="MQE60" s="0"/>
      <c r="MQF60" s="0"/>
      <c r="MQG60" s="0"/>
      <c r="MQH60" s="0"/>
      <c r="MQI60" s="0"/>
      <c r="MQJ60" s="0"/>
      <c r="MQK60" s="0"/>
      <c r="MQL60" s="0"/>
      <c r="MQM60" s="0"/>
      <c r="MQN60" s="0"/>
      <c r="MQO60" s="0"/>
      <c r="MQP60" s="0"/>
      <c r="MQQ60" s="0"/>
      <c r="MQR60" s="0"/>
      <c r="MQS60" s="0"/>
      <c r="MQT60" s="0"/>
      <c r="MQU60" s="0"/>
      <c r="MQV60" s="0"/>
      <c r="MQW60" s="0"/>
      <c r="MQX60" s="0"/>
      <c r="MQY60" s="0"/>
      <c r="MQZ60" s="0"/>
      <c r="MRA60" s="0"/>
      <c r="MRB60" s="0"/>
      <c r="MRC60" s="0"/>
      <c r="MRD60" s="0"/>
      <c r="MRE60" s="0"/>
      <c r="MRF60" s="0"/>
      <c r="MRG60" s="0"/>
      <c r="MRH60" s="0"/>
      <c r="MRI60" s="0"/>
      <c r="MRJ60" s="0"/>
      <c r="MRK60" s="0"/>
      <c r="MRL60" s="0"/>
      <c r="MRM60" s="0"/>
      <c r="MRN60" s="0"/>
      <c r="MRO60" s="0"/>
      <c r="MRP60" s="0"/>
      <c r="MRQ60" s="0"/>
      <c r="MRR60" s="0"/>
      <c r="MRS60" s="0"/>
      <c r="MRT60" s="0"/>
      <c r="MRU60" s="0"/>
      <c r="MRV60" s="0"/>
      <c r="MRW60" s="0"/>
      <c r="MRX60" s="0"/>
      <c r="MRY60" s="0"/>
      <c r="MRZ60" s="0"/>
      <c r="MSA60" s="0"/>
      <c r="MSB60" s="0"/>
      <c r="MSC60" s="0"/>
      <c r="MSD60" s="0"/>
      <c r="MSE60" s="0"/>
      <c r="MSF60" s="0"/>
      <c r="MSG60" s="0"/>
      <c r="MSH60" s="0"/>
      <c r="MSI60" s="0"/>
      <c r="MSJ60" s="0"/>
      <c r="MSK60" s="0"/>
      <c r="MSL60" s="0"/>
      <c r="MSM60" s="0"/>
      <c r="MSN60" s="0"/>
      <c r="MSO60" s="0"/>
      <c r="MSP60" s="0"/>
      <c r="MSQ60" s="0"/>
      <c r="MSR60" s="0"/>
      <c r="MSS60" s="0"/>
      <c r="MST60" s="0"/>
      <c r="MSU60" s="0"/>
      <c r="MSV60" s="0"/>
      <c r="MSW60" s="0"/>
      <c r="MSX60" s="0"/>
      <c r="MSY60" s="0"/>
      <c r="MSZ60" s="0"/>
      <c r="MTA60" s="0"/>
      <c r="MTB60" s="0"/>
      <c r="MTC60" s="0"/>
      <c r="MTD60" s="0"/>
      <c r="MTE60" s="0"/>
      <c r="MTF60" s="0"/>
      <c r="MTG60" s="0"/>
      <c r="MTH60" s="0"/>
      <c r="MTI60" s="0"/>
      <c r="MTJ60" s="0"/>
      <c r="MTK60" s="0"/>
      <c r="MTL60" s="0"/>
      <c r="MTM60" s="0"/>
      <c r="MTN60" s="0"/>
      <c r="MTO60" s="0"/>
      <c r="MTP60" s="0"/>
      <c r="MTQ60" s="0"/>
      <c r="MTR60" s="0"/>
      <c r="MTS60" s="0"/>
      <c r="MTT60" s="0"/>
      <c r="MTU60" s="0"/>
      <c r="MTV60" s="0"/>
      <c r="MTW60" s="0"/>
      <c r="MTX60" s="0"/>
      <c r="MTY60" s="0"/>
      <c r="MTZ60" s="0"/>
      <c r="MUA60" s="0"/>
      <c r="MUB60" s="0"/>
      <c r="MUC60" s="0"/>
      <c r="MUD60" s="0"/>
      <c r="MUE60" s="0"/>
      <c r="MUF60" s="0"/>
      <c r="MUG60" s="0"/>
      <c r="MUH60" s="0"/>
      <c r="MUI60" s="0"/>
      <c r="MUJ60" s="0"/>
      <c r="MUK60" s="0"/>
      <c r="MUL60" s="0"/>
      <c r="MUM60" s="0"/>
      <c r="MUN60" s="0"/>
      <c r="MUO60" s="0"/>
      <c r="MUP60" s="0"/>
      <c r="MUQ60" s="0"/>
      <c r="MUR60" s="0"/>
      <c r="MUS60" s="0"/>
      <c r="MUT60" s="0"/>
      <c r="MUU60" s="0"/>
      <c r="MUV60" s="0"/>
      <c r="MUW60" s="0"/>
      <c r="MUX60" s="0"/>
      <c r="MUY60" s="0"/>
      <c r="MUZ60" s="0"/>
      <c r="MVA60" s="0"/>
      <c r="MVB60" s="0"/>
      <c r="MVC60" s="0"/>
      <c r="MVD60" s="0"/>
      <c r="MVE60" s="0"/>
      <c r="MVF60" s="0"/>
      <c r="MVG60" s="0"/>
      <c r="MVH60" s="0"/>
      <c r="MVI60" s="0"/>
      <c r="MVJ60" s="0"/>
      <c r="MVK60" s="0"/>
      <c r="MVL60" s="0"/>
      <c r="MVM60" s="0"/>
      <c r="MVN60" s="0"/>
      <c r="MVO60" s="0"/>
      <c r="MVP60" s="0"/>
      <c r="MVQ60" s="0"/>
      <c r="MVR60" s="0"/>
      <c r="MVS60" s="0"/>
      <c r="MVT60" s="0"/>
      <c r="MVU60" s="0"/>
      <c r="MVV60" s="0"/>
      <c r="MVW60" s="0"/>
      <c r="MVX60" s="0"/>
      <c r="MVY60" s="0"/>
      <c r="MVZ60" s="0"/>
      <c r="MWA60" s="0"/>
      <c r="MWB60" s="0"/>
      <c r="MWC60" s="0"/>
      <c r="MWD60" s="0"/>
      <c r="MWE60" s="0"/>
      <c r="MWF60" s="0"/>
      <c r="MWG60" s="0"/>
      <c r="MWH60" s="0"/>
      <c r="MWI60" s="0"/>
      <c r="MWJ60" s="0"/>
      <c r="MWK60" s="0"/>
      <c r="MWL60" s="0"/>
      <c r="MWM60" s="0"/>
      <c r="MWN60" s="0"/>
      <c r="MWO60" s="0"/>
      <c r="MWP60" s="0"/>
      <c r="MWQ60" s="0"/>
      <c r="MWR60" s="0"/>
      <c r="MWS60" s="0"/>
      <c r="MWT60" s="0"/>
      <c r="MWU60" s="0"/>
      <c r="MWV60" s="0"/>
      <c r="MWW60" s="0"/>
      <c r="MWX60" s="0"/>
      <c r="MWY60" s="0"/>
      <c r="MWZ60" s="0"/>
      <c r="MXA60" s="0"/>
      <c r="MXB60" s="0"/>
      <c r="MXC60" s="0"/>
      <c r="MXD60" s="0"/>
      <c r="MXE60" s="0"/>
      <c r="MXF60" s="0"/>
      <c r="MXG60" s="0"/>
      <c r="MXH60" s="0"/>
      <c r="MXI60" s="0"/>
      <c r="MXJ60" s="0"/>
      <c r="MXK60" s="0"/>
      <c r="MXL60" s="0"/>
      <c r="MXM60" s="0"/>
      <c r="MXN60" s="0"/>
      <c r="MXO60" s="0"/>
      <c r="MXP60" s="0"/>
      <c r="MXQ60" s="0"/>
      <c r="MXR60" s="0"/>
      <c r="MXS60" s="0"/>
      <c r="MXT60" s="0"/>
      <c r="MXU60" s="0"/>
      <c r="MXV60" s="0"/>
      <c r="MXW60" s="0"/>
      <c r="MXX60" s="0"/>
      <c r="MXY60" s="0"/>
      <c r="MXZ60" s="0"/>
      <c r="MYA60" s="0"/>
      <c r="MYB60" s="0"/>
      <c r="MYC60" s="0"/>
      <c r="MYD60" s="0"/>
      <c r="MYE60" s="0"/>
      <c r="MYF60" s="0"/>
      <c r="MYG60" s="0"/>
      <c r="MYH60" s="0"/>
      <c r="MYI60" s="0"/>
      <c r="MYJ60" s="0"/>
      <c r="MYK60" s="0"/>
      <c r="MYL60" s="0"/>
      <c r="MYM60" s="0"/>
      <c r="MYN60" s="0"/>
      <c r="MYO60" s="0"/>
      <c r="MYP60" s="0"/>
      <c r="MYQ60" s="0"/>
      <c r="MYR60" s="0"/>
      <c r="MYS60" s="0"/>
      <c r="MYT60" s="0"/>
      <c r="MYU60" s="0"/>
      <c r="MYV60" s="0"/>
      <c r="MYW60" s="0"/>
      <c r="MYX60" s="0"/>
      <c r="MYY60" s="0"/>
      <c r="MYZ60" s="0"/>
      <c r="MZA60" s="0"/>
      <c r="MZB60" s="0"/>
      <c r="MZC60" s="0"/>
      <c r="MZD60" s="0"/>
      <c r="MZE60" s="0"/>
      <c r="MZF60" s="0"/>
      <c r="MZG60" s="0"/>
      <c r="MZH60" s="0"/>
      <c r="MZI60" s="0"/>
      <c r="MZJ60" s="0"/>
      <c r="MZK60" s="0"/>
      <c r="MZL60" s="0"/>
      <c r="MZM60" s="0"/>
      <c r="MZN60" s="0"/>
      <c r="MZO60" s="0"/>
      <c r="MZP60" s="0"/>
      <c r="MZQ60" s="0"/>
      <c r="MZR60" s="0"/>
      <c r="MZS60" s="0"/>
      <c r="MZT60" s="0"/>
      <c r="MZU60" s="0"/>
      <c r="MZV60" s="0"/>
      <c r="MZW60" s="0"/>
      <c r="MZX60" s="0"/>
      <c r="MZY60" s="0"/>
      <c r="MZZ60" s="0"/>
      <c r="NAA60" s="0"/>
      <c r="NAB60" s="0"/>
      <c r="NAC60" s="0"/>
      <c r="NAD60" s="0"/>
      <c r="NAE60" s="0"/>
      <c r="NAF60" s="0"/>
      <c r="NAG60" s="0"/>
      <c r="NAH60" s="0"/>
      <c r="NAI60" s="0"/>
      <c r="NAJ60" s="0"/>
      <c r="NAK60" s="0"/>
      <c r="NAL60" s="0"/>
      <c r="NAM60" s="0"/>
      <c r="NAN60" s="0"/>
      <c r="NAO60" s="0"/>
      <c r="NAP60" s="0"/>
      <c r="NAQ60" s="0"/>
      <c r="NAR60" s="0"/>
      <c r="NAS60" s="0"/>
      <c r="NAT60" s="0"/>
      <c r="NAU60" s="0"/>
      <c r="NAV60" s="0"/>
      <c r="NAW60" s="0"/>
      <c r="NAX60" s="0"/>
      <c r="NAY60" s="0"/>
      <c r="NAZ60" s="0"/>
      <c r="NBA60" s="0"/>
      <c r="NBB60" s="0"/>
      <c r="NBC60" s="0"/>
      <c r="NBD60" s="0"/>
      <c r="NBE60" s="0"/>
      <c r="NBF60" s="0"/>
      <c r="NBG60" s="0"/>
      <c r="NBH60" s="0"/>
      <c r="NBI60" s="0"/>
      <c r="NBJ60" s="0"/>
      <c r="NBK60" s="0"/>
      <c r="NBL60" s="0"/>
      <c r="NBM60" s="0"/>
      <c r="NBN60" s="0"/>
      <c r="NBO60" s="0"/>
      <c r="NBP60" s="0"/>
      <c r="NBQ60" s="0"/>
      <c r="NBR60" s="0"/>
      <c r="NBS60" s="0"/>
      <c r="NBT60" s="0"/>
      <c r="NBU60" s="0"/>
      <c r="NBV60" s="0"/>
      <c r="NBW60" s="0"/>
      <c r="NBX60" s="0"/>
      <c r="NBY60" s="0"/>
      <c r="NBZ60" s="0"/>
      <c r="NCA60" s="0"/>
      <c r="NCB60" s="0"/>
      <c r="NCC60" s="0"/>
      <c r="NCD60" s="0"/>
      <c r="NCE60" s="0"/>
      <c r="NCF60" s="0"/>
      <c r="NCG60" s="0"/>
      <c r="NCH60" s="0"/>
      <c r="NCI60" s="0"/>
      <c r="NCJ60" s="0"/>
      <c r="NCK60" s="0"/>
      <c r="NCL60" s="0"/>
      <c r="NCM60" s="0"/>
      <c r="NCN60" s="0"/>
      <c r="NCO60" s="0"/>
      <c r="NCP60" s="0"/>
      <c r="NCQ60" s="0"/>
      <c r="NCR60" s="0"/>
      <c r="NCS60" s="0"/>
      <c r="NCT60" s="0"/>
      <c r="NCU60" s="0"/>
      <c r="NCV60" s="0"/>
      <c r="NCW60" s="0"/>
      <c r="NCX60" s="0"/>
      <c r="NCY60" s="0"/>
      <c r="NCZ60" s="0"/>
      <c r="NDA60" s="0"/>
      <c r="NDB60" s="0"/>
      <c r="NDC60" s="0"/>
      <c r="NDD60" s="0"/>
      <c r="NDE60" s="0"/>
      <c r="NDF60" s="0"/>
      <c r="NDG60" s="0"/>
      <c r="NDH60" s="0"/>
      <c r="NDI60" s="0"/>
      <c r="NDJ60" s="0"/>
      <c r="NDK60" s="0"/>
      <c r="NDL60" s="0"/>
      <c r="NDM60" s="0"/>
      <c r="NDN60" s="0"/>
      <c r="NDO60" s="0"/>
      <c r="NDP60" s="0"/>
      <c r="NDQ60" s="0"/>
      <c r="NDR60" s="0"/>
      <c r="NDS60" s="0"/>
      <c r="NDT60" s="0"/>
      <c r="NDU60" s="0"/>
      <c r="NDV60" s="0"/>
      <c r="NDW60" s="0"/>
      <c r="NDX60" s="0"/>
      <c r="NDY60" s="0"/>
      <c r="NDZ60" s="0"/>
      <c r="NEA60" s="0"/>
      <c r="NEB60" s="0"/>
      <c r="NEC60" s="0"/>
      <c r="NED60" s="0"/>
      <c r="NEE60" s="0"/>
      <c r="NEF60" s="0"/>
      <c r="NEG60" s="0"/>
      <c r="NEH60" s="0"/>
      <c r="NEI60" s="0"/>
      <c r="NEJ60" s="0"/>
      <c r="NEK60" s="0"/>
      <c r="NEL60" s="0"/>
      <c r="NEM60" s="0"/>
      <c r="NEN60" s="0"/>
      <c r="NEO60" s="0"/>
      <c r="NEP60" s="0"/>
      <c r="NEQ60" s="0"/>
      <c r="NER60" s="0"/>
      <c r="NES60" s="0"/>
      <c r="NET60" s="0"/>
      <c r="NEU60" s="0"/>
      <c r="NEV60" s="0"/>
      <c r="NEW60" s="0"/>
      <c r="NEX60" s="0"/>
      <c r="NEY60" s="0"/>
      <c r="NEZ60" s="0"/>
      <c r="NFA60" s="0"/>
      <c r="NFB60" s="0"/>
      <c r="NFC60" s="0"/>
      <c r="NFD60" s="0"/>
      <c r="NFE60" s="0"/>
      <c r="NFF60" s="0"/>
      <c r="NFG60" s="0"/>
      <c r="NFH60" s="0"/>
      <c r="NFI60" s="0"/>
      <c r="NFJ60" s="0"/>
      <c r="NFK60" s="0"/>
      <c r="NFL60" s="0"/>
      <c r="NFM60" s="0"/>
      <c r="NFN60" s="0"/>
      <c r="NFO60" s="0"/>
      <c r="NFP60" s="0"/>
      <c r="NFQ60" s="0"/>
      <c r="NFR60" s="0"/>
      <c r="NFS60" s="0"/>
      <c r="NFT60" s="0"/>
      <c r="NFU60" s="0"/>
      <c r="NFV60" s="0"/>
      <c r="NFW60" s="0"/>
      <c r="NFX60" s="0"/>
      <c r="NFY60" s="0"/>
      <c r="NFZ60" s="0"/>
      <c r="NGA60" s="0"/>
      <c r="NGB60" s="0"/>
      <c r="NGC60" s="0"/>
      <c r="NGD60" s="0"/>
      <c r="NGE60" s="0"/>
      <c r="NGF60" s="0"/>
      <c r="NGG60" s="0"/>
      <c r="NGH60" s="0"/>
      <c r="NGI60" s="0"/>
      <c r="NGJ60" s="0"/>
      <c r="NGK60" s="0"/>
      <c r="NGL60" s="0"/>
      <c r="NGM60" s="0"/>
      <c r="NGN60" s="0"/>
      <c r="NGO60" s="0"/>
      <c r="NGP60" s="0"/>
      <c r="NGQ60" s="0"/>
      <c r="NGR60" s="0"/>
      <c r="NGS60" s="0"/>
      <c r="NGT60" s="0"/>
      <c r="NGU60" s="0"/>
      <c r="NGV60" s="0"/>
      <c r="NGW60" s="0"/>
      <c r="NGX60" s="0"/>
      <c r="NGY60" s="0"/>
      <c r="NGZ60" s="0"/>
      <c r="NHA60" s="0"/>
      <c r="NHB60" s="0"/>
      <c r="NHC60" s="0"/>
      <c r="NHD60" s="0"/>
      <c r="NHE60" s="0"/>
      <c r="NHF60" s="0"/>
      <c r="NHG60" s="0"/>
      <c r="NHH60" s="0"/>
      <c r="NHI60" s="0"/>
      <c r="NHJ60" s="0"/>
      <c r="NHK60" s="0"/>
      <c r="NHL60" s="0"/>
      <c r="NHM60" s="0"/>
      <c r="NHN60" s="0"/>
      <c r="NHO60" s="0"/>
      <c r="NHP60" s="0"/>
      <c r="NHQ60" s="0"/>
      <c r="NHR60" s="0"/>
      <c r="NHS60" s="0"/>
      <c r="NHT60" s="0"/>
      <c r="NHU60" s="0"/>
      <c r="NHV60" s="0"/>
      <c r="NHW60" s="0"/>
      <c r="NHX60" s="0"/>
      <c r="NHY60" s="0"/>
      <c r="NHZ60" s="0"/>
      <c r="NIA60" s="0"/>
      <c r="NIB60" s="0"/>
      <c r="NIC60" s="0"/>
      <c r="NID60" s="0"/>
      <c r="NIE60" s="0"/>
      <c r="NIF60" s="0"/>
      <c r="NIG60" s="0"/>
      <c r="NIH60" s="0"/>
      <c r="NII60" s="0"/>
      <c r="NIJ60" s="0"/>
      <c r="NIK60" s="0"/>
      <c r="NIL60" s="0"/>
      <c r="NIM60" s="0"/>
      <c r="NIN60" s="0"/>
      <c r="NIO60" s="0"/>
      <c r="NIP60" s="0"/>
      <c r="NIQ60" s="0"/>
      <c r="NIR60" s="0"/>
      <c r="NIS60" s="0"/>
      <c r="NIT60" s="0"/>
      <c r="NIU60" s="0"/>
      <c r="NIV60" s="0"/>
      <c r="NIW60" s="0"/>
      <c r="NIX60" s="0"/>
      <c r="NIY60" s="0"/>
      <c r="NIZ60" s="0"/>
      <c r="NJA60" s="0"/>
      <c r="NJB60" s="0"/>
      <c r="NJC60" s="0"/>
      <c r="NJD60" s="0"/>
      <c r="NJE60" s="0"/>
      <c r="NJF60" s="0"/>
      <c r="NJG60" s="0"/>
      <c r="NJH60" s="0"/>
      <c r="NJI60" s="0"/>
      <c r="NJJ60" s="0"/>
      <c r="NJK60" s="0"/>
      <c r="NJL60" s="0"/>
      <c r="NJM60" s="0"/>
      <c r="NJN60" s="0"/>
      <c r="NJO60" s="0"/>
      <c r="NJP60" s="0"/>
      <c r="NJQ60" s="0"/>
      <c r="NJR60" s="0"/>
      <c r="NJS60" s="0"/>
      <c r="NJT60" s="0"/>
      <c r="NJU60" s="0"/>
      <c r="NJV60" s="0"/>
      <c r="NJW60" s="0"/>
      <c r="NJX60" s="0"/>
      <c r="NJY60" s="0"/>
      <c r="NJZ60" s="0"/>
      <c r="NKA60" s="0"/>
      <c r="NKB60" s="0"/>
      <c r="NKC60" s="0"/>
      <c r="NKD60" s="0"/>
      <c r="NKE60" s="0"/>
      <c r="NKF60" s="0"/>
      <c r="NKG60" s="0"/>
      <c r="NKH60" s="0"/>
      <c r="NKI60" s="0"/>
      <c r="NKJ60" s="0"/>
      <c r="NKK60" s="0"/>
      <c r="NKL60" s="0"/>
      <c r="NKM60" s="0"/>
      <c r="NKN60" s="0"/>
      <c r="NKO60" s="0"/>
      <c r="NKP60" s="0"/>
      <c r="NKQ60" s="0"/>
      <c r="NKR60" s="0"/>
      <c r="NKS60" s="0"/>
      <c r="NKT60" s="0"/>
      <c r="NKU60" s="0"/>
      <c r="NKV60" s="0"/>
      <c r="NKW60" s="0"/>
      <c r="NKX60" s="0"/>
      <c r="NKY60" s="0"/>
      <c r="NKZ60" s="0"/>
      <c r="NLA60" s="0"/>
      <c r="NLB60" s="0"/>
      <c r="NLC60" s="0"/>
      <c r="NLD60" s="0"/>
      <c r="NLE60" s="0"/>
      <c r="NLF60" s="0"/>
      <c r="NLG60" s="0"/>
      <c r="NLH60" s="0"/>
      <c r="NLI60" s="0"/>
      <c r="NLJ60" s="0"/>
      <c r="NLK60" s="0"/>
      <c r="NLL60" s="0"/>
      <c r="NLM60" s="0"/>
      <c r="NLN60" s="0"/>
      <c r="NLO60" s="0"/>
      <c r="NLP60" s="0"/>
      <c r="NLQ60" s="0"/>
      <c r="NLR60" s="0"/>
      <c r="NLS60" s="0"/>
      <c r="NLT60" s="0"/>
      <c r="NLU60" s="0"/>
      <c r="NLV60" s="0"/>
      <c r="NLW60" s="0"/>
      <c r="NLX60" s="0"/>
      <c r="NLY60" s="0"/>
      <c r="NLZ60" s="0"/>
      <c r="NMA60" s="0"/>
      <c r="NMB60" s="0"/>
      <c r="NMC60" s="0"/>
      <c r="NMD60" s="0"/>
      <c r="NME60" s="0"/>
      <c r="NMF60" s="0"/>
      <c r="NMG60" s="0"/>
      <c r="NMH60" s="0"/>
      <c r="NMI60" s="0"/>
      <c r="NMJ60" s="0"/>
      <c r="NMK60" s="0"/>
      <c r="NML60" s="0"/>
      <c r="NMM60" s="0"/>
      <c r="NMN60" s="0"/>
      <c r="NMO60" s="0"/>
      <c r="NMP60" s="0"/>
      <c r="NMQ60" s="0"/>
      <c r="NMR60" s="0"/>
      <c r="NMS60" s="0"/>
      <c r="NMT60" s="0"/>
      <c r="NMU60" s="0"/>
      <c r="NMV60" s="0"/>
      <c r="NMW60" s="0"/>
      <c r="NMX60" s="0"/>
      <c r="NMY60" s="0"/>
      <c r="NMZ60" s="0"/>
      <c r="NNA60" s="0"/>
      <c r="NNB60" s="0"/>
      <c r="NNC60" s="0"/>
      <c r="NND60" s="0"/>
      <c r="NNE60" s="0"/>
      <c r="NNF60" s="0"/>
      <c r="NNG60" s="0"/>
      <c r="NNH60" s="0"/>
      <c r="NNI60" s="0"/>
      <c r="NNJ60" s="0"/>
      <c r="NNK60" s="0"/>
      <c r="NNL60" s="0"/>
      <c r="NNM60" s="0"/>
      <c r="NNN60" s="0"/>
      <c r="NNO60" s="0"/>
      <c r="NNP60" s="0"/>
      <c r="NNQ60" s="0"/>
      <c r="NNR60" s="0"/>
      <c r="NNS60" s="0"/>
      <c r="NNT60" s="0"/>
      <c r="NNU60" s="0"/>
      <c r="NNV60" s="0"/>
      <c r="NNW60" s="0"/>
      <c r="NNX60" s="0"/>
      <c r="NNY60" s="0"/>
      <c r="NNZ60" s="0"/>
      <c r="NOA60" s="0"/>
      <c r="NOB60" s="0"/>
      <c r="NOC60" s="0"/>
      <c r="NOD60" s="0"/>
      <c r="NOE60" s="0"/>
      <c r="NOF60" s="0"/>
      <c r="NOG60" s="0"/>
      <c r="NOH60" s="0"/>
      <c r="NOI60" s="0"/>
      <c r="NOJ60" s="0"/>
      <c r="NOK60" s="0"/>
      <c r="NOL60" s="0"/>
      <c r="NOM60" s="0"/>
      <c r="NON60" s="0"/>
      <c r="NOO60" s="0"/>
      <c r="NOP60" s="0"/>
      <c r="NOQ60" s="0"/>
      <c r="NOR60" s="0"/>
      <c r="NOS60" s="0"/>
      <c r="NOT60" s="0"/>
      <c r="NOU60" s="0"/>
      <c r="NOV60" s="0"/>
      <c r="NOW60" s="0"/>
      <c r="NOX60" s="0"/>
      <c r="NOY60" s="0"/>
      <c r="NOZ60" s="0"/>
      <c r="NPA60" s="0"/>
      <c r="NPB60" s="0"/>
      <c r="NPC60" s="0"/>
      <c r="NPD60" s="0"/>
      <c r="NPE60" s="0"/>
      <c r="NPF60" s="0"/>
      <c r="NPG60" s="0"/>
      <c r="NPH60" s="0"/>
      <c r="NPI60" s="0"/>
      <c r="NPJ60" s="0"/>
      <c r="NPK60" s="0"/>
      <c r="NPL60" s="0"/>
      <c r="NPM60" s="0"/>
      <c r="NPN60" s="0"/>
      <c r="NPO60" s="0"/>
      <c r="NPP60" s="0"/>
      <c r="NPQ60" s="0"/>
      <c r="NPR60" s="0"/>
      <c r="NPS60" s="0"/>
      <c r="NPT60" s="0"/>
      <c r="NPU60" s="0"/>
      <c r="NPV60" s="0"/>
      <c r="NPW60" s="0"/>
      <c r="NPX60" s="0"/>
      <c r="NPY60" s="0"/>
      <c r="NPZ60" s="0"/>
      <c r="NQA60" s="0"/>
      <c r="NQB60" s="0"/>
      <c r="NQC60" s="0"/>
      <c r="NQD60" s="0"/>
      <c r="NQE60" s="0"/>
      <c r="NQF60" s="0"/>
      <c r="NQG60" s="0"/>
      <c r="NQH60" s="0"/>
      <c r="NQI60" s="0"/>
      <c r="NQJ60" s="0"/>
      <c r="NQK60" s="0"/>
      <c r="NQL60" s="0"/>
      <c r="NQM60" s="0"/>
      <c r="NQN60" s="0"/>
      <c r="NQO60" s="0"/>
      <c r="NQP60" s="0"/>
      <c r="NQQ60" s="0"/>
      <c r="NQR60" s="0"/>
      <c r="NQS60" s="0"/>
      <c r="NQT60" s="0"/>
      <c r="NQU60" s="0"/>
      <c r="NQV60" s="0"/>
      <c r="NQW60" s="0"/>
      <c r="NQX60" s="0"/>
      <c r="NQY60" s="0"/>
      <c r="NQZ60" s="0"/>
      <c r="NRA60" s="0"/>
      <c r="NRB60" s="0"/>
      <c r="NRC60" s="0"/>
      <c r="NRD60" s="0"/>
      <c r="NRE60" s="0"/>
      <c r="NRF60" s="0"/>
      <c r="NRG60" s="0"/>
      <c r="NRH60" s="0"/>
      <c r="NRI60" s="0"/>
      <c r="NRJ60" s="0"/>
      <c r="NRK60" s="0"/>
      <c r="NRL60" s="0"/>
      <c r="NRM60" s="0"/>
      <c r="NRN60" s="0"/>
      <c r="NRO60" s="0"/>
      <c r="NRP60" s="0"/>
      <c r="NRQ60" s="0"/>
      <c r="NRR60" s="0"/>
      <c r="NRS60" s="0"/>
      <c r="NRT60" s="0"/>
      <c r="NRU60" s="0"/>
      <c r="NRV60" s="0"/>
      <c r="NRW60" s="0"/>
      <c r="NRX60" s="0"/>
      <c r="NRY60" s="0"/>
      <c r="NRZ60" s="0"/>
      <c r="NSA60" s="0"/>
      <c r="NSB60" s="0"/>
      <c r="NSC60" s="0"/>
      <c r="NSD60" s="0"/>
      <c r="NSE60" s="0"/>
      <c r="NSF60" s="0"/>
      <c r="NSG60" s="0"/>
      <c r="NSH60" s="0"/>
      <c r="NSI60" s="0"/>
      <c r="NSJ60" s="0"/>
      <c r="NSK60" s="0"/>
      <c r="NSL60" s="0"/>
      <c r="NSM60" s="0"/>
      <c r="NSN60" s="0"/>
      <c r="NSO60" s="0"/>
      <c r="NSP60" s="0"/>
      <c r="NSQ60" s="0"/>
      <c r="NSR60" s="0"/>
      <c r="NSS60" s="0"/>
      <c r="NST60" s="0"/>
      <c r="NSU60" s="0"/>
      <c r="NSV60" s="0"/>
      <c r="NSW60" s="0"/>
      <c r="NSX60" s="0"/>
      <c r="NSY60" s="0"/>
      <c r="NSZ60" s="0"/>
      <c r="NTA60" s="0"/>
      <c r="NTB60" s="0"/>
      <c r="NTC60" s="0"/>
      <c r="NTD60" s="0"/>
      <c r="NTE60" s="0"/>
      <c r="NTF60" s="0"/>
      <c r="NTG60" s="0"/>
      <c r="NTH60" s="0"/>
      <c r="NTI60" s="0"/>
      <c r="NTJ60" s="0"/>
      <c r="NTK60" s="0"/>
      <c r="NTL60" s="0"/>
      <c r="NTM60" s="0"/>
      <c r="NTN60" s="0"/>
      <c r="NTO60" s="0"/>
      <c r="NTP60" s="0"/>
      <c r="NTQ60" s="0"/>
      <c r="NTR60" s="0"/>
      <c r="NTS60" s="0"/>
      <c r="NTT60" s="0"/>
      <c r="NTU60" s="0"/>
      <c r="NTV60" s="0"/>
      <c r="NTW60" s="0"/>
      <c r="NTX60" s="0"/>
      <c r="NTY60" s="0"/>
      <c r="NTZ60" s="0"/>
      <c r="NUA60" s="0"/>
      <c r="NUB60" s="0"/>
      <c r="NUC60" s="0"/>
      <c r="NUD60" s="0"/>
      <c r="NUE60" s="0"/>
      <c r="NUF60" s="0"/>
      <c r="NUG60" s="0"/>
      <c r="NUH60" s="0"/>
      <c r="NUI60" s="0"/>
      <c r="NUJ60" s="0"/>
      <c r="NUK60" s="0"/>
      <c r="NUL60" s="0"/>
      <c r="NUM60" s="0"/>
      <c r="NUN60" s="0"/>
      <c r="NUO60" s="0"/>
      <c r="NUP60" s="0"/>
      <c r="NUQ60" s="0"/>
      <c r="NUR60" s="0"/>
      <c r="NUS60" s="0"/>
      <c r="NUT60" s="0"/>
      <c r="NUU60" s="0"/>
      <c r="NUV60" s="0"/>
      <c r="NUW60" s="0"/>
      <c r="NUX60" s="0"/>
      <c r="NUY60" s="0"/>
      <c r="NUZ60" s="0"/>
      <c r="NVA60" s="0"/>
      <c r="NVB60" s="0"/>
      <c r="NVC60" s="0"/>
      <c r="NVD60" s="0"/>
      <c r="NVE60" s="0"/>
      <c r="NVF60" s="0"/>
      <c r="NVG60" s="0"/>
      <c r="NVH60" s="0"/>
      <c r="NVI60" s="0"/>
      <c r="NVJ60" s="0"/>
      <c r="NVK60" s="0"/>
      <c r="NVL60" s="0"/>
      <c r="NVM60" s="0"/>
      <c r="NVN60" s="0"/>
      <c r="NVO60" s="0"/>
      <c r="NVP60" s="0"/>
      <c r="NVQ60" s="0"/>
      <c r="NVR60" s="0"/>
      <c r="NVS60" s="0"/>
      <c r="NVT60" s="0"/>
      <c r="NVU60" s="0"/>
      <c r="NVV60" s="0"/>
      <c r="NVW60" s="0"/>
      <c r="NVX60" s="0"/>
      <c r="NVY60" s="0"/>
      <c r="NVZ60" s="0"/>
      <c r="NWA60" s="0"/>
      <c r="NWB60" s="0"/>
      <c r="NWC60" s="0"/>
      <c r="NWD60" s="0"/>
      <c r="NWE60" s="0"/>
      <c r="NWF60" s="0"/>
      <c r="NWG60" s="0"/>
      <c r="NWH60" s="0"/>
      <c r="NWI60" s="0"/>
      <c r="NWJ60" s="0"/>
      <c r="NWK60" s="0"/>
      <c r="NWL60" s="0"/>
      <c r="NWM60" s="0"/>
      <c r="NWN60" s="0"/>
      <c r="NWO60" s="0"/>
      <c r="NWP60" s="0"/>
      <c r="NWQ60" s="0"/>
      <c r="NWR60" s="0"/>
      <c r="NWS60" s="0"/>
      <c r="NWT60" s="0"/>
      <c r="NWU60" s="0"/>
      <c r="NWV60" s="0"/>
      <c r="NWW60" s="0"/>
      <c r="NWX60" s="0"/>
      <c r="NWY60" s="0"/>
      <c r="NWZ60" s="0"/>
      <c r="NXA60" s="0"/>
      <c r="NXB60" s="0"/>
      <c r="NXC60" s="0"/>
      <c r="NXD60" s="0"/>
      <c r="NXE60" s="0"/>
      <c r="NXF60" s="0"/>
      <c r="NXG60" s="0"/>
      <c r="NXH60" s="0"/>
      <c r="NXI60" s="0"/>
      <c r="NXJ60" s="0"/>
      <c r="NXK60" s="0"/>
      <c r="NXL60" s="0"/>
      <c r="NXM60" s="0"/>
      <c r="NXN60" s="0"/>
      <c r="NXO60" s="0"/>
      <c r="NXP60" s="0"/>
      <c r="NXQ60" s="0"/>
      <c r="NXR60" s="0"/>
      <c r="NXS60" s="0"/>
      <c r="NXT60" s="0"/>
      <c r="NXU60" s="0"/>
      <c r="NXV60" s="0"/>
      <c r="NXW60" s="0"/>
      <c r="NXX60" s="0"/>
      <c r="NXY60" s="0"/>
      <c r="NXZ60" s="0"/>
      <c r="NYA60" s="0"/>
      <c r="NYB60" s="0"/>
      <c r="NYC60" s="0"/>
      <c r="NYD60" s="0"/>
      <c r="NYE60" s="0"/>
      <c r="NYF60" s="0"/>
      <c r="NYG60" s="0"/>
      <c r="NYH60" s="0"/>
      <c r="NYI60" s="0"/>
      <c r="NYJ60" s="0"/>
      <c r="NYK60" s="0"/>
      <c r="NYL60" s="0"/>
      <c r="NYM60" s="0"/>
      <c r="NYN60" s="0"/>
      <c r="NYO60" s="0"/>
      <c r="NYP60" s="0"/>
      <c r="NYQ60" s="0"/>
      <c r="NYR60" s="0"/>
      <c r="NYS60" s="0"/>
      <c r="NYT60" s="0"/>
      <c r="NYU60" s="0"/>
      <c r="NYV60" s="0"/>
      <c r="NYW60" s="0"/>
      <c r="NYX60" s="0"/>
      <c r="NYY60" s="0"/>
      <c r="NYZ60" s="0"/>
      <c r="NZA60" s="0"/>
      <c r="NZB60" s="0"/>
      <c r="NZC60" s="0"/>
      <c r="NZD60" s="0"/>
      <c r="NZE60" s="0"/>
      <c r="NZF60" s="0"/>
      <c r="NZG60" s="0"/>
      <c r="NZH60" s="0"/>
      <c r="NZI60" s="0"/>
      <c r="NZJ60" s="0"/>
      <c r="NZK60" s="0"/>
      <c r="NZL60" s="0"/>
      <c r="NZM60" s="0"/>
      <c r="NZN60" s="0"/>
      <c r="NZO60" s="0"/>
      <c r="NZP60" s="0"/>
      <c r="NZQ60" s="0"/>
      <c r="NZR60" s="0"/>
      <c r="NZS60" s="0"/>
      <c r="NZT60" s="0"/>
      <c r="NZU60" s="0"/>
      <c r="NZV60" s="0"/>
      <c r="NZW60" s="0"/>
      <c r="NZX60" s="0"/>
      <c r="NZY60" s="0"/>
      <c r="NZZ60" s="0"/>
      <c r="OAA60" s="0"/>
      <c r="OAB60" s="0"/>
      <c r="OAC60" s="0"/>
      <c r="OAD60" s="0"/>
      <c r="OAE60" s="0"/>
      <c r="OAF60" s="0"/>
      <c r="OAG60" s="0"/>
      <c r="OAH60" s="0"/>
      <c r="OAI60" s="0"/>
      <c r="OAJ60" s="0"/>
      <c r="OAK60" s="0"/>
      <c r="OAL60" s="0"/>
      <c r="OAM60" s="0"/>
      <c r="OAN60" s="0"/>
      <c r="OAO60" s="0"/>
      <c r="OAP60" s="0"/>
      <c r="OAQ60" s="0"/>
      <c r="OAR60" s="0"/>
      <c r="OAS60" s="0"/>
      <c r="OAT60" s="0"/>
      <c r="OAU60" s="0"/>
      <c r="OAV60" s="0"/>
      <c r="OAW60" s="0"/>
      <c r="OAX60" s="0"/>
      <c r="OAY60" s="0"/>
      <c r="OAZ60" s="0"/>
      <c r="OBA60" s="0"/>
      <c r="OBB60" s="0"/>
      <c r="OBC60" s="0"/>
      <c r="OBD60" s="0"/>
      <c r="OBE60" s="0"/>
      <c r="OBF60" s="0"/>
      <c r="OBG60" s="0"/>
      <c r="OBH60" s="0"/>
      <c r="OBI60" s="0"/>
      <c r="OBJ60" s="0"/>
      <c r="OBK60" s="0"/>
      <c r="OBL60" s="0"/>
      <c r="OBM60" s="0"/>
      <c r="OBN60" s="0"/>
      <c r="OBO60" s="0"/>
      <c r="OBP60" s="0"/>
      <c r="OBQ60" s="0"/>
      <c r="OBR60" s="0"/>
      <c r="OBS60" s="0"/>
      <c r="OBT60" s="0"/>
      <c r="OBU60" s="0"/>
      <c r="OBV60" s="0"/>
      <c r="OBW60" s="0"/>
      <c r="OBX60" s="0"/>
      <c r="OBY60" s="0"/>
      <c r="OBZ60" s="0"/>
      <c r="OCA60" s="0"/>
      <c r="OCB60" s="0"/>
      <c r="OCC60" s="0"/>
      <c r="OCD60" s="0"/>
      <c r="OCE60" s="0"/>
      <c r="OCF60" s="0"/>
      <c r="OCG60" s="0"/>
      <c r="OCH60" s="0"/>
      <c r="OCI60" s="0"/>
      <c r="OCJ60" s="0"/>
      <c r="OCK60" s="0"/>
      <c r="OCL60" s="0"/>
      <c r="OCM60" s="0"/>
      <c r="OCN60" s="0"/>
      <c r="OCO60" s="0"/>
      <c r="OCP60" s="0"/>
      <c r="OCQ60" s="0"/>
      <c r="OCR60" s="0"/>
      <c r="OCS60" s="0"/>
      <c r="OCT60" s="0"/>
      <c r="OCU60" s="0"/>
      <c r="OCV60" s="0"/>
      <c r="OCW60" s="0"/>
      <c r="OCX60" s="0"/>
      <c r="OCY60" s="0"/>
      <c r="OCZ60" s="0"/>
      <c r="ODA60" s="0"/>
      <c r="ODB60" s="0"/>
      <c r="ODC60" s="0"/>
      <c r="ODD60" s="0"/>
      <c r="ODE60" s="0"/>
      <c r="ODF60" s="0"/>
      <c r="ODG60" s="0"/>
      <c r="ODH60" s="0"/>
      <c r="ODI60" s="0"/>
      <c r="ODJ60" s="0"/>
      <c r="ODK60" s="0"/>
      <c r="ODL60" s="0"/>
      <c r="ODM60" s="0"/>
      <c r="ODN60" s="0"/>
      <c r="ODO60" s="0"/>
      <c r="ODP60" s="0"/>
      <c r="ODQ60" s="0"/>
      <c r="ODR60" s="0"/>
      <c r="ODS60" s="0"/>
      <c r="ODT60" s="0"/>
      <c r="ODU60" s="0"/>
      <c r="ODV60" s="0"/>
      <c r="ODW60" s="0"/>
      <c r="ODX60" s="0"/>
      <c r="ODY60" s="0"/>
      <c r="ODZ60" s="0"/>
      <c r="OEA60" s="0"/>
      <c r="OEB60" s="0"/>
      <c r="OEC60" s="0"/>
      <c r="OED60" s="0"/>
      <c r="OEE60" s="0"/>
      <c r="OEF60" s="0"/>
      <c r="OEG60" s="0"/>
      <c r="OEH60" s="0"/>
      <c r="OEI60" s="0"/>
      <c r="OEJ60" s="0"/>
      <c r="OEK60" s="0"/>
      <c r="OEL60" s="0"/>
      <c r="OEM60" s="0"/>
      <c r="OEN60" s="0"/>
      <c r="OEO60" s="0"/>
      <c r="OEP60" s="0"/>
      <c r="OEQ60" s="0"/>
      <c r="OER60" s="0"/>
      <c r="OES60" s="0"/>
      <c r="OET60" s="0"/>
      <c r="OEU60" s="0"/>
      <c r="OEV60" s="0"/>
      <c r="OEW60" s="0"/>
      <c r="OEX60" s="0"/>
      <c r="OEY60" s="0"/>
      <c r="OEZ60" s="0"/>
      <c r="OFA60" s="0"/>
      <c r="OFB60" s="0"/>
      <c r="OFC60" s="0"/>
      <c r="OFD60" s="0"/>
      <c r="OFE60" s="0"/>
      <c r="OFF60" s="0"/>
      <c r="OFG60" s="0"/>
      <c r="OFH60" s="0"/>
      <c r="OFI60" s="0"/>
      <c r="OFJ60" s="0"/>
      <c r="OFK60" s="0"/>
      <c r="OFL60" s="0"/>
      <c r="OFM60" s="0"/>
      <c r="OFN60" s="0"/>
      <c r="OFO60" s="0"/>
      <c r="OFP60" s="0"/>
      <c r="OFQ60" s="0"/>
      <c r="OFR60" s="0"/>
      <c r="OFS60" s="0"/>
      <c r="OFT60" s="0"/>
      <c r="OFU60" s="0"/>
      <c r="OFV60" s="0"/>
      <c r="OFW60" s="0"/>
      <c r="OFX60" s="0"/>
      <c r="OFY60" s="0"/>
      <c r="OFZ60" s="0"/>
      <c r="OGA60" s="0"/>
      <c r="OGB60" s="0"/>
      <c r="OGC60" s="0"/>
      <c r="OGD60" s="0"/>
      <c r="OGE60" s="0"/>
      <c r="OGF60" s="0"/>
      <c r="OGG60" s="0"/>
      <c r="OGH60" s="0"/>
      <c r="OGI60" s="0"/>
      <c r="OGJ60" s="0"/>
      <c r="OGK60" s="0"/>
      <c r="OGL60" s="0"/>
      <c r="OGM60" s="0"/>
      <c r="OGN60" s="0"/>
      <c r="OGO60" s="0"/>
      <c r="OGP60" s="0"/>
      <c r="OGQ60" s="0"/>
      <c r="OGR60" s="0"/>
      <c r="OGS60" s="0"/>
      <c r="OGT60" s="0"/>
      <c r="OGU60" s="0"/>
      <c r="OGV60" s="0"/>
      <c r="OGW60" s="0"/>
      <c r="OGX60" s="0"/>
      <c r="OGY60" s="0"/>
      <c r="OGZ60" s="0"/>
      <c r="OHA60" s="0"/>
      <c r="OHB60" s="0"/>
      <c r="OHC60" s="0"/>
      <c r="OHD60" s="0"/>
      <c r="OHE60" s="0"/>
      <c r="OHF60" s="0"/>
      <c r="OHG60" s="0"/>
      <c r="OHH60" s="0"/>
      <c r="OHI60" s="0"/>
      <c r="OHJ60" s="0"/>
      <c r="OHK60" s="0"/>
      <c r="OHL60" s="0"/>
      <c r="OHM60" s="0"/>
      <c r="OHN60" s="0"/>
      <c r="OHO60" s="0"/>
      <c r="OHP60" s="0"/>
      <c r="OHQ60" s="0"/>
      <c r="OHR60" s="0"/>
      <c r="OHS60" s="0"/>
      <c r="OHT60" s="0"/>
      <c r="OHU60" s="0"/>
      <c r="OHV60" s="0"/>
      <c r="OHW60" s="0"/>
      <c r="OHX60" s="0"/>
      <c r="OHY60" s="0"/>
      <c r="OHZ60" s="0"/>
      <c r="OIA60" s="0"/>
      <c r="OIB60" s="0"/>
      <c r="OIC60" s="0"/>
      <c r="OID60" s="0"/>
      <c r="OIE60" s="0"/>
      <c r="OIF60" s="0"/>
      <c r="OIG60" s="0"/>
      <c r="OIH60" s="0"/>
      <c r="OII60" s="0"/>
      <c r="OIJ60" s="0"/>
      <c r="OIK60" s="0"/>
      <c r="OIL60" s="0"/>
      <c r="OIM60" s="0"/>
      <c r="OIN60" s="0"/>
      <c r="OIO60" s="0"/>
      <c r="OIP60" s="0"/>
      <c r="OIQ60" s="0"/>
      <c r="OIR60" s="0"/>
      <c r="OIS60" s="0"/>
      <c r="OIT60" s="0"/>
      <c r="OIU60" s="0"/>
      <c r="OIV60" s="0"/>
      <c r="OIW60" s="0"/>
      <c r="OIX60" s="0"/>
      <c r="OIY60" s="0"/>
      <c r="OIZ60" s="0"/>
      <c r="OJA60" s="0"/>
      <c r="OJB60" s="0"/>
      <c r="OJC60" s="0"/>
      <c r="OJD60" s="0"/>
      <c r="OJE60" s="0"/>
      <c r="OJF60" s="0"/>
      <c r="OJG60" s="0"/>
      <c r="OJH60" s="0"/>
      <c r="OJI60" s="0"/>
      <c r="OJJ60" s="0"/>
      <c r="OJK60" s="0"/>
      <c r="OJL60" s="0"/>
      <c r="OJM60" s="0"/>
      <c r="OJN60" s="0"/>
      <c r="OJO60" s="0"/>
      <c r="OJP60" s="0"/>
      <c r="OJQ60" s="0"/>
      <c r="OJR60" s="0"/>
      <c r="OJS60" s="0"/>
      <c r="OJT60" s="0"/>
      <c r="OJU60" s="0"/>
      <c r="OJV60" s="0"/>
      <c r="OJW60" s="0"/>
      <c r="OJX60" s="0"/>
      <c r="OJY60" s="0"/>
      <c r="OJZ60" s="0"/>
      <c r="OKA60" s="0"/>
      <c r="OKB60" s="0"/>
      <c r="OKC60" s="0"/>
      <c r="OKD60" s="0"/>
      <c r="OKE60" s="0"/>
      <c r="OKF60" s="0"/>
      <c r="OKG60" s="0"/>
      <c r="OKH60" s="0"/>
      <c r="OKI60" s="0"/>
      <c r="OKJ60" s="0"/>
      <c r="OKK60" s="0"/>
      <c r="OKL60" s="0"/>
      <c r="OKM60" s="0"/>
      <c r="OKN60" s="0"/>
      <c r="OKO60" s="0"/>
      <c r="OKP60" s="0"/>
      <c r="OKQ60" s="0"/>
      <c r="OKR60" s="0"/>
      <c r="OKS60" s="0"/>
      <c r="OKT60" s="0"/>
      <c r="OKU60" s="0"/>
      <c r="OKV60" s="0"/>
      <c r="OKW60" s="0"/>
      <c r="OKX60" s="0"/>
      <c r="OKY60" s="0"/>
      <c r="OKZ60" s="0"/>
      <c r="OLA60" s="0"/>
      <c r="OLB60" s="0"/>
      <c r="OLC60" s="0"/>
      <c r="OLD60" s="0"/>
      <c r="OLE60" s="0"/>
      <c r="OLF60" s="0"/>
      <c r="OLG60" s="0"/>
      <c r="OLH60" s="0"/>
      <c r="OLI60" s="0"/>
      <c r="OLJ60" s="0"/>
      <c r="OLK60" s="0"/>
      <c r="OLL60" s="0"/>
      <c r="OLM60" s="0"/>
      <c r="OLN60" s="0"/>
      <c r="OLO60" s="0"/>
      <c r="OLP60" s="0"/>
      <c r="OLQ60" s="0"/>
      <c r="OLR60" s="0"/>
      <c r="OLS60" s="0"/>
      <c r="OLT60" s="0"/>
      <c r="OLU60" s="0"/>
      <c r="OLV60" s="0"/>
      <c r="OLW60" s="0"/>
      <c r="OLX60" s="0"/>
      <c r="OLY60" s="0"/>
      <c r="OLZ60" s="0"/>
      <c r="OMA60" s="0"/>
      <c r="OMB60" s="0"/>
      <c r="OMC60" s="0"/>
      <c r="OMD60" s="0"/>
      <c r="OME60" s="0"/>
      <c r="OMF60" s="0"/>
      <c r="OMG60" s="0"/>
      <c r="OMH60" s="0"/>
      <c r="OMI60" s="0"/>
      <c r="OMJ60" s="0"/>
      <c r="OMK60" s="0"/>
      <c r="OML60" s="0"/>
      <c r="OMM60" s="0"/>
      <c r="OMN60" s="0"/>
      <c r="OMO60" s="0"/>
      <c r="OMP60" s="0"/>
      <c r="OMQ60" s="0"/>
      <c r="OMR60" s="0"/>
      <c r="OMS60" s="0"/>
      <c r="OMT60" s="0"/>
      <c r="OMU60" s="0"/>
      <c r="OMV60" s="0"/>
      <c r="OMW60" s="0"/>
      <c r="OMX60" s="0"/>
      <c r="OMY60" s="0"/>
      <c r="OMZ60" s="0"/>
      <c r="ONA60" s="0"/>
      <c r="ONB60" s="0"/>
      <c r="ONC60" s="0"/>
      <c r="OND60" s="0"/>
      <c r="ONE60" s="0"/>
      <c r="ONF60" s="0"/>
      <c r="ONG60" s="0"/>
      <c r="ONH60" s="0"/>
      <c r="ONI60" s="0"/>
      <c r="ONJ60" s="0"/>
      <c r="ONK60" s="0"/>
      <c r="ONL60" s="0"/>
      <c r="ONM60" s="0"/>
      <c r="ONN60" s="0"/>
      <c r="ONO60" s="0"/>
      <c r="ONP60" s="0"/>
      <c r="ONQ60" s="0"/>
      <c r="ONR60" s="0"/>
      <c r="ONS60" s="0"/>
      <c r="ONT60" s="0"/>
      <c r="ONU60" s="0"/>
      <c r="ONV60" s="0"/>
      <c r="ONW60" s="0"/>
      <c r="ONX60" s="0"/>
      <c r="ONY60" s="0"/>
      <c r="ONZ60" s="0"/>
      <c r="OOA60" s="0"/>
      <c r="OOB60" s="0"/>
      <c r="OOC60" s="0"/>
      <c r="OOD60" s="0"/>
      <c r="OOE60" s="0"/>
      <c r="OOF60" s="0"/>
      <c r="OOG60" s="0"/>
      <c r="OOH60" s="0"/>
      <c r="OOI60" s="0"/>
      <c r="OOJ60" s="0"/>
      <c r="OOK60" s="0"/>
      <c r="OOL60" s="0"/>
      <c r="OOM60" s="0"/>
      <c r="OON60" s="0"/>
      <c r="OOO60" s="0"/>
      <c r="OOP60" s="0"/>
      <c r="OOQ60" s="0"/>
      <c r="OOR60" s="0"/>
      <c r="OOS60" s="0"/>
      <c r="OOT60" s="0"/>
      <c r="OOU60" s="0"/>
      <c r="OOV60" s="0"/>
      <c r="OOW60" s="0"/>
      <c r="OOX60" s="0"/>
      <c r="OOY60" s="0"/>
      <c r="OOZ60" s="0"/>
      <c r="OPA60" s="0"/>
      <c r="OPB60" s="0"/>
      <c r="OPC60" s="0"/>
      <c r="OPD60" s="0"/>
      <c r="OPE60" s="0"/>
      <c r="OPF60" s="0"/>
      <c r="OPG60" s="0"/>
      <c r="OPH60" s="0"/>
      <c r="OPI60" s="0"/>
      <c r="OPJ60" s="0"/>
      <c r="OPK60" s="0"/>
      <c r="OPL60" s="0"/>
      <c r="OPM60" s="0"/>
      <c r="OPN60" s="0"/>
      <c r="OPO60" s="0"/>
      <c r="OPP60" s="0"/>
      <c r="OPQ60" s="0"/>
      <c r="OPR60" s="0"/>
      <c r="OPS60" s="0"/>
      <c r="OPT60" s="0"/>
      <c r="OPU60" s="0"/>
      <c r="OPV60" s="0"/>
      <c r="OPW60" s="0"/>
      <c r="OPX60" s="0"/>
      <c r="OPY60" s="0"/>
      <c r="OPZ60" s="0"/>
      <c r="OQA60" s="0"/>
      <c r="OQB60" s="0"/>
      <c r="OQC60" s="0"/>
      <c r="OQD60" s="0"/>
      <c r="OQE60" s="0"/>
      <c r="OQF60" s="0"/>
      <c r="OQG60" s="0"/>
      <c r="OQH60" s="0"/>
      <c r="OQI60" s="0"/>
      <c r="OQJ60" s="0"/>
      <c r="OQK60" s="0"/>
      <c r="OQL60" s="0"/>
      <c r="OQM60" s="0"/>
      <c r="OQN60" s="0"/>
      <c r="OQO60" s="0"/>
      <c r="OQP60" s="0"/>
      <c r="OQQ60" s="0"/>
      <c r="OQR60" s="0"/>
      <c r="OQS60" s="0"/>
      <c r="OQT60" s="0"/>
      <c r="OQU60" s="0"/>
      <c r="OQV60" s="0"/>
      <c r="OQW60" s="0"/>
      <c r="OQX60" s="0"/>
      <c r="OQY60" s="0"/>
      <c r="OQZ60" s="0"/>
      <c r="ORA60" s="0"/>
      <c r="ORB60" s="0"/>
      <c r="ORC60" s="0"/>
      <c r="ORD60" s="0"/>
      <c r="ORE60" s="0"/>
      <c r="ORF60" s="0"/>
      <c r="ORG60" s="0"/>
      <c r="ORH60" s="0"/>
      <c r="ORI60" s="0"/>
      <c r="ORJ60" s="0"/>
      <c r="ORK60" s="0"/>
      <c r="ORL60" s="0"/>
      <c r="ORM60" s="0"/>
      <c r="ORN60" s="0"/>
      <c r="ORO60" s="0"/>
      <c r="ORP60" s="0"/>
      <c r="ORQ60" s="0"/>
      <c r="ORR60" s="0"/>
      <c r="ORS60" s="0"/>
      <c r="ORT60" s="0"/>
      <c r="ORU60" s="0"/>
      <c r="ORV60" s="0"/>
      <c r="ORW60" s="0"/>
      <c r="ORX60" s="0"/>
      <c r="ORY60" s="0"/>
      <c r="ORZ60" s="0"/>
      <c r="OSA60" s="0"/>
      <c r="OSB60" s="0"/>
      <c r="OSC60" s="0"/>
      <c r="OSD60" s="0"/>
      <c r="OSE60" s="0"/>
      <c r="OSF60" s="0"/>
      <c r="OSG60" s="0"/>
      <c r="OSH60" s="0"/>
      <c r="OSI60" s="0"/>
      <c r="OSJ60" s="0"/>
      <c r="OSK60" s="0"/>
      <c r="OSL60" s="0"/>
      <c r="OSM60" s="0"/>
      <c r="OSN60" s="0"/>
      <c r="OSO60" s="0"/>
      <c r="OSP60" s="0"/>
      <c r="OSQ60" s="0"/>
      <c r="OSR60" s="0"/>
      <c r="OSS60" s="0"/>
      <c r="OST60" s="0"/>
      <c r="OSU60" s="0"/>
      <c r="OSV60" s="0"/>
      <c r="OSW60" s="0"/>
      <c r="OSX60" s="0"/>
      <c r="OSY60" s="0"/>
      <c r="OSZ60" s="0"/>
      <c r="OTA60" s="0"/>
      <c r="OTB60" s="0"/>
      <c r="OTC60" s="0"/>
      <c r="OTD60" s="0"/>
      <c r="OTE60" s="0"/>
      <c r="OTF60" s="0"/>
      <c r="OTG60" s="0"/>
      <c r="OTH60" s="0"/>
      <c r="OTI60" s="0"/>
      <c r="OTJ60" s="0"/>
      <c r="OTK60" s="0"/>
      <c r="OTL60" s="0"/>
      <c r="OTM60" s="0"/>
      <c r="OTN60" s="0"/>
      <c r="OTO60" s="0"/>
      <c r="OTP60" s="0"/>
      <c r="OTQ60" s="0"/>
      <c r="OTR60" s="0"/>
      <c r="OTS60" s="0"/>
      <c r="OTT60" s="0"/>
      <c r="OTU60" s="0"/>
      <c r="OTV60" s="0"/>
      <c r="OTW60" s="0"/>
      <c r="OTX60" s="0"/>
      <c r="OTY60" s="0"/>
      <c r="OTZ60" s="0"/>
      <c r="OUA60" s="0"/>
      <c r="OUB60" s="0"/>
      <c r="OUC60" s="0"/>
      <c r="OUD60" s="0"/>
      <c r="OUE60" s="0"/>
      <c r="OUF60" s="0"/>
      <c r="OUG60" s="0"/>
      <c r="OUH60" s="0"/>
      <c r="OUI60" s="0"/>
      <c r="OUJ60" s="0"/>
      <c r="OUK60" s="0"/>
      <c r="OUL60" s="0"/>
      <c r="OUM60" s="0"/>
      <c r="OUN60" s="0"/>
      <c r="OUO60" s="0"/>
      <c r="OUP60" s="0"/>
      <c r="OUQ60" s="0"/>
      <c r="OUR60" s="0"/>
      <c r="OUS60" s="0"/>
      <c r="OUT60" s="0"/>
      <c r="OUU60" s="0"/>
      <c r="OUV60" s="0"/>
      <c r="OUW60" s="0"/>
      <c r="OUX60" s="0"/>
      <c r="OUY60" s="0"/>
      <c r="OUZ60" s="0"/>
      <c r="OVA60" s="0"/>
      <c r="OVB60" s="0"/>
      <c r="OVC60" s="0"/>
      <c r="OVD60" s="0"/>
      <c r="OVE60" s="0"/>
      <c r="OVF60" s="0"/>
      <c r="OVG60" s="0"/>
      <c r="OVH60" s="0"/>
      <c r="OVI60" s="0"/>
      <c r="OVJ60" s="0"/>
      <c r="OVK60" s="0"/>
      <c r="OVL60" s="0"/>
      <c r="OVM60" s="0"/>
      <c r="OVN60" s="0"/>
      <c r="OVO60" s="0"/>
      <c r="OVP60" s="0"/>
      <c r="OVQ60" s="0"/>
      <c r="OVR60" s="0"/>
      <c r="OVS60" s="0"/>
      <c r="OVT60" s="0"/>
      <c r="OVU60" s="0"/>
      <c r="OVV60" s="0"/>
      <c r="OVW60" s="0"/>
      <c r="OVX60" s="0"/>
      <c r="OVY60" s="0"/>
      <c r="OVZ60" s="0"/>
      <c r="OWA60" s="0"/>
      <c r="OWB60" s="0"/>
      <c r="OWC60" s="0"/>
      <c r="OWD60" s="0"/>
      <c r="OWE60" s="0"/>
      <c r="OWF60" s="0"/>
      <c r="OWG60" s="0"/>
      <c r="OWH60" s="0"/>
      <c r="OWI60" s="0"/>
      <c r="OWJ60" s="0"/>
      <c r="OWK60" s="0"/>
      <c r="OWL60" s="0"/>
      <c r="OWM60" s="0"/>
      <c r="OWN60" s="0"/>
      <c r="OWO60" s="0"/>
      <c r="OWP60" s="0"/>
      <c r="OWQ60" s="0"/>
      <c r="OWR60" s="0"/>
      <c r="OWS60" s="0"/>
      <c r="OWT60" s="0"/>
      <c r="OWU60" s="0"/>
      <c r="OWV60" s="0"/>
      <c r="OWW60" s="0"/>
      <c r="OWX60" s="0"/>
      <c r="OWY60" s="0"/>
      <c r="OWZ60" s="0"/>
      <c r="OXA60" s="0"/>
      <c r="OXB60" s="0"/>
      <c r="OXC60" s="0"/>
      <c r="OXD60" s="0"/>
      <c r="OXE60" s="0"/>
      <c r="OXF60" s="0"/>
      <c r="OXG60" s="0"/>
      <c r="OXH60" s="0"/>
      <c r="OXI60" s="0"/>
      <c r="OXJ60" s="0"/>
      <c r="OXK60" s="0"/>
      <c r="OXL60" s="0"/>
      <c r="OXM60" s="0"/>
      <c r="OXN60" s="0"/>
      <c r="OXO60" s="0"/>
      <c r="OXP60" s="0"/>
      <c r="OXQ60" s="0"/>
      <c r="OXR60" s="0"/>
      <c r="OXS60" s="0"/>
      <c r="OXT60" s="0"/>
      <c r="OXU60" s="0"/>
      <c r="OXV60" s="0"/>
      <c r="OXW60" s="0"/>
      <c r="OXX60" s="0"/>
      <c r="OXY60" s="0"/>
      <c r="OXZ60" s="0"/>
      <c r="OYA60" s="0"/>
      <c r="OYB60" s="0"/>
      <c r="OYC60" s="0"/>
      <c r="OYD60" s="0"/>
      <c r="OYE60" s="0"/>
      <c r="OYF60" s="0"/>
      <c r="OYG60" s="0"/>
      <c r="OYH60" s="0"/>
      <c r="OYI60" s="0"/>
      <c r="OYJ60" s="0"/>
      <c r="OYK60" s="0"/>
      <c r="OYL60" s="0"/>
      <c r="OYM60" s="0"/>
      <c r="OYN60" s="0"/>
      <c r="OYO60" s="0"/>
      <c r="OYP60" s="0"/>
      <c r="OYQ60" s="0"/>
      <c r="OYR60" s="0"/>
      <c r="OYS60" s="0"/>
      <c r="OYT60" s="0"/>
      <c r="OYU60" s="0"/>
      <c r="OYV60" s="0"/>
      <c r="OYW60" s="0"/>
      <c r="OYX60" s="0"/>
      <c r="OYY60" s="0"/>
      <c r="OYZ60" s="0"/>
      <c r="OZA60" s="0"/>
      <c r="OZB60" s="0"/>
      <c r="OZC60" s="0"/>
      <c r="OZD60" s="0"/>
      <c r="OZE60" s="0"/>
      <c r="OZF60" s="0"/>
      <c r="OZG60" s="0"/>
      <c r="OZH60" s="0"/>
      <c r="OZI60" s="0"/>
      <c r="OZJ60" s="0"/>
      <c r="OZK60" s="0"/>
      <c r="OZL60" s="0"/>
      <c r="OZM60" s="0"/>
      <c r="OZN60" s="0"/>
      <c r="OZO60" s="0"/>
      <c r="OZP60" s="0"/>
      <c r="OZQ60" s="0"/>
      <c r="OZR60" s="0"/>
      <c r="OZS60" s="0"/>
      <c r="OZT60" s="0"/>
      <c r="OZU60" s="0"/>
      <c r="OZV60" s="0"/>
      <c r="OZW60" s="0"/>
      <c r="OZX60" s="0"/>
      <c r="OZY60" s="0"/>
      <c r="OZZ60" s="0"/>
      <c r="PAA60" s="0"/>
      <c r="PAB60" s="0"/>
      <c r="PAC60" s="0"/>
      <c r="PAD60" s="0"/>
      <c r="PAE60" s="0"/>
      <c r="PAF60" s="0"/>
      <c r="PAG60" s="0"/>
      <c r="PAH60" s="0"/>
      <c r="PAI60" s="0"/>
      <c r="PAJ60" s="0"/>
      <c r="PAK60" s="0"/>
      <c r="PAL60" s="0"/>
      <c r="PAM60" s="0"/>
      <c r="PAN60" s="0"/>
      <c r="PAO60" s="0"/>
      <c r="PAP60" s="0"/>
      <c r="PAQ60" s="0"/>
      <c r="PAR60" s="0"/>
      <c r="PAS60" s="0"/>
      <c r="PAT60" s="0"/>
      <c r="PAU60" s="0"/>
      <c r="PAV60" s="0"/>
      <c r="PAW60" s="0"/>
      <c r="PAX60" s="0"/>
      <c r="PAY60" s="0"/>
      <c r="PAZ60" s="0"/>
      <c r="PBA60" s="0"/>
      <c r="PBB60" s="0"/>
      <c r="PBC60" s="0"/>
      <c r="PBD60" s="0"/>
      <c r="PBE60" s="0"/>
      <c r="PBF60" s="0"/>
      <c r="PBG60" s="0"/>
      <c r="PBH60" s="0"/>
      <c r="PBI60" s="0"/>
      <c r="PBJ60" s="0"/>
      <c r="PBK60" s="0"/>
      <c r="PBL60" s="0"/>
      <c r="PBM60" s="0"/>
      <c r="PBN60" s="0"/>
      <c r="PBO60" s="0"/>
      <c r="PBP60" s="0"/>
      <c r="PBQ60" s="0"/>
      <c r="PBR60" s="0"/>
      <c r="PBS60" s="0"/>
      <c r="PBT60" s="0"/>
      <c r="PBU60" s="0"/>
      <c r="PBV60" s="0"/>
      <c r="PBW60" s="0"/>
      <c r="PBX60" s="0"/>
      <c r="PBY60" s="0"/>
      <c r="PBZ60" s="0"/>
      <c r="PCA60" s="0"/>
      <c r="PCB60" s="0"/>
      <c r="PCC60" s="0"/>
      <c r="PCD60" s="0"/>
      <c r="PCE60" s="0"/>
      <c r="PCF60" s="0"/>
      <c r="PCG60" s="0"/>
      <c r="PCH60" s="0"/>
      <c r="PCI60" s="0"/>
      <c r="PCJ60" s="0"/>
      <c r="PCK60" s="0"/>
      <c r="PCL60" s="0"/>
      <c r="PCM60" s="0"/>
      <c r="PCN60" s="0"/>
      <c r="PCO60" s="0"/>
      <c r="PCP60" s="0"/>
      <c r="PCQ60" s="0"/>
      <c r="PCR60" s="0"/>
      <c r="PCS60" s="0"/>
      <c r="PCT60" s="0"/>
      <c r="PCU60" s="0"/>
      <c r="PCV60" s="0"/>
      <c r="PCW60" s="0"/>
      <c r="PCX60" s="0"/>
      <c r="PCY60" s="0"/>
      <c r="PCZ60" s="0"/>
      <c r="PDA60" s="0"/>
      <c r="PDB60" s="0"/>
      <c r="PDC60" s="0"/>
      <c r="PDD60" s="0"/>
      <c r="PDE60" s="0"/>
      <c r="PDF60" s="0"/>
      <c r="PDG60" s="0"/>
      <c r="PDH60" s="0"/>
      <c r="PDI60" s="0"/>
      <c r="PDJ60" s="0"/>
      <c r="PDK60" s="0"/>
      <c r="PDL60" s="0"/>
      <c r="PDM60" s="0"/>
      <c r="PDN60" s="0"/>
      <c r="PDO60" s="0"/>
      <c r="PDP60" s="0"/>
      <c r="PDQ60" s="0"/>
      <c r="PDR60" s="0"/>
      <c r="PDS60" s="0"/>
      <c r="PDT60" s="0"/>
      <c r="PDU60" s="0"/>
      <c r="PDV60" s="0"/>
      <c r="PDW60" s="0"/>
      <c r="PDX60" s="0"/>
      <c r="PDY60" s="0"/>
      <c r="PDZ60" s="0"/>
      <c r="PEA60" s="0"/>
      <c r="PEB60" s="0"/>
      <c r="PEC60" s="0"/>
      <c r="PED60" s="0"/>
      <c r="PEE60" s="0"/>
      <c r="PEF60" s="0"/>
      <c r="PEG60" s="0"/>
      <c r="PEH60" s="0"/>
      <c r="PEI60" s="0"/>
      <c r="PEJ60" s="0"/>
      <c r="PEK60" s="0"/>
      <c r="PEL60" s="0"/>
      <c r="PEM60" s="0"/>
      <c r="PEN60" s="0"/>
      <c r="PEO60" s="0"/>
      <c r="PEP60" s="0"/>
      <c r="PEQ60" s="0"/>
      <c r="PER60" s="0"/>
      <c r="PES60" s="0"/>
      <c r="PET60" s="0"/>
      <c r="PEU60" s="0"/>
      <c r="PEV60" s="0"/>
      <c r="PEW60" s="0"/>
      <c r="PEX60" s="0"/>
      <c r="PEY60" s="0"/>
      <c r="PEZ60" s="0"/>
      <c r="PFA60" s="0"/>
      <c r="PFB60" s="0"/>
      <c r="PFC60" s="0"/>
      <c r="PFD60" s="0"/>
      <c r="PFE60" s="0"/>
      <c r="PFF60" s="0"/>
      <c r="PFG60" s="0"/>
      <c r="PFH60" s="0"/>
      <c r="PFI60" s="0"/>
      <c r="PFJ60" s="0"/>
      <c r="PFK60" s="0"/>
      <c r="PFL60" s="0"/>
      <c r="PFM60" s="0"/>
      <c r="PFN60" s="0"/>
      <c r="PFO60" s="0"/>
      <c r="PFP60" s="0"/>
      <c r="PFQ60" s="0"/>
      <c r="PFR60" s="0"/>
      <c r="PFS60" s="0"/>
      <c r="PFT60" s="0"/>
      <c r="PFU60" s="0"/>
      <c r="PFV60" s="0"/>
      <c r="PFW60" s="0"/>
      <c r="PFX60" s="0"/>
      <c r="PFY60" s="0"/>
      <c r="PFZ60" s="0"/>
      <c r="PGA60" s="0"/>
      <c r="PGB60" s="0"/>
      <c r="PGC60" s="0"/>
      <c r="PGD60" s="0"/>
      <c r="PGE60" s="0"/>
      <c r="PGF60" s="0"/>
      <c r="PGG60" s="0"/>
      <c r="PGH60" s="0"/>
      <c r="PGI60" s="0"/>
      <c r="PGJ60" s="0"/>
      <c r="PGK60" s="0"/>
      <c r="PGL60" s="0"/>
      <c r="PGM60" s="0"/>
      <c r="PGN60" s="0"/>
      <c r="PGO60" s="0"/>
      <c r="PGP60" s="0"/>
      <c r="PGQ60" s="0"/>
      <c r="PGR60" s="0"/>
      <c r="PGS60" s="0"/>
      <c r="PGT60" s="0"/>
      <c r="PGU60" s="0"/>
      <c r="PGV60" s="0"/>
      <c r="PGW60" s="0"/>
      <c r="PGX60" s="0"/>
      <c r="PGY60" s="0"/>
      <c r="PGZ60" s="0"/>
      <c r="PHA60" s="0"/>
      <c r="PHB60" s="0"/>
      <c r="PHC60" s="0"/>
      <c r="PHD60" s="0"/>
      <c r="PHE60" s="0"/>
      <c r="PHF60" s="0"/>
      <c r="PHG60" s="0"/>
      <c r="PHH60" s="0"/>
      <c r="PHI60" s="0"/>
      <c r="PHJ60" s="0"/>
      <c r="PHK60" s="0"/>
      <c r="PHL60" s="0"/>
      <c r="PHM60" s="0"/>
      <c r="PHN60" s="0"/>
      <c r="PHO60" s="0"/>
      <c r="PHP60" s="0"/>
      <c r="PHQ60" s="0"/>
      <c r="PHR60" s="0"/>
      <c r="PHS60" s="0"/>
      <c r="PHT60" s="0"/>
      <c r="PHU60" s="0"/>
      <c r="PHV60" s="0"/>
      <c r="PHW60" s="0"/>
      <c r="PHX60" s="0"/>
      <c r="PHY60" s="0"/>
      <c r="PHZ60" s="0"/>
      <c r="PIA60" s="0"/>
      <c r="PIB60" s="0"/>
      <c r="PIC60" s="0"/>
      <c r="PID60" s="0"/>
      <c r="PIE60" s="0"/>
      <c r="PIF60" s="0"/>
      <c r="PIG60" s="0"/>
      <c r="PIH60" s="0"/>
      <c r="PII60" s="0"/>
      <c r="PIJ60" s="0"/>
      <c r="PIK60" s="0"/>
      <c r="PIL60" s="0"/>
      <c r="PIM60" s="0"/>
      <c r="PIN60" s="0"/>
      <c r="PIO60" s="0"/>
      <c r="PIP60" s="0"/>
      <c r="PIQ60" s="0"/>
      <c r="PIR60" s="0"/>
      <c r="PIS60" s="0"/>
      <c r="PIT60" s="0"/>
      <c r="PIU60" s="0"/>
      <c r="PIV60" s="0"/>
      <c r="PIW60" s="0"/>
      <c r="PIX60" s="0"/>
      <c r="PIY60" s="0"/>
      <c r="PIZ60" s="0"/>
      <c r="PJA60" s="0"/>
      <c r="PJB60" s="0"/>
      <c r="PJC60" s="0"/>
      <c r="PJD60" s="0"/>
      <c r="PJE60" s="0"/>
      <c r="PJF60" s="0"/>
      <c r="PJG60" s="0"/>
      <c r="PJH60" s="0"/>
      <c r="PJI60" s="0"/>
      <c r="PJJ60" s="0"/>
      <c r="PJK60" s="0"/>
      <c r="PJL60" s="0"/>
      <c r="PJM60" s="0"/>
      <c r="PJN60" s="0"/>
      <c r="PJO60" s="0"/>
      <c r="PJP60" s="0"/>
      <c r="PJQ60" s="0"/>
      <c r="PJR60" s="0"/>
      <c r="PJS60" s="0"/>
      <c r="PJT60" s="0"/>
      <c r="PJU60" s="0"/>
      <c r="PJV60" s="0"/>
      <c r="PJW60" s="0"/>
      <c r="PJX60" s="0"/>
      <c r="PJY60" s="0"/>
      <c r="PJZ60" s="0"/>
      <c r="PKA60" s="0"/>
      <c r="PKB60" s="0"/>
      <c r="PKC60" s="0"/>
      <c r="PKD60" s="0"/>
      <c r="PKE60" s="0"/>
      <c r="PKF60" s="0"/>
      <c r="PKG60" s="0"/>
      <c r="PKH60" s="0"/>
      <c r="PKI60" s="0"/>
      <c r="PKJ60" s="0"/>
      <c r="PKK60" s="0"/>
      <c r="PKL60" s="0"/>
      <c r="PKM60" s="0"/>
      <c r="PKN60" s="0"/>
      <c r="PKO60" s="0"/>
      <c r="PKP60" s="0"/>
      <c r="PKQ60" s="0"/>
      <c r="PKR60" s="0"/>
      <c r="PKS60" s="0"/>
      <c r="PKT60" s="0"/>
      <c r="PKU60" s="0"/>
      <c r="PKV60" s="0"/>
      <c r="PKW60" s="0"/>
      <c r="PKX60" s="0"/>
      <c r="PKY60" s="0"/>
      <c r="PKZ60" s="0"/>
      <c r="PLA60" s="0"/>
      <c r="PLB60" s="0"/>
      <c r="PLC60" s="0"/>
      <c r="PLD60" s="0"/>
      <c r="PLE60" s="0"/>
      <c r="PLF60" s="0"/>
      <c r="PLG60" s="0"/>
      <c r="PLH60" s="0"/>
      <c r="PLI60" s="0"/>
      <c r="PLJ60" s="0"/>
      <c r="PLK60" s="0"/>
      <c r="PLL60" s="0"/>
      <c r="PLM60" s="0"/>
      <c r="PLN60" s="0"/>
      <c r="PLO60" s="0"/>
      <c r="PLP60" s="0"/>
      <c r="PLQ60" s="0"/>
      <c r="PLR60" s="0"/>
      <c r="PLS60" s="0"/>
      <c r="PLT60" s="0"/>
      <c r="PLU60" s="0"/>
      <c r="PLV60" s="0"/>
      <c r="PLW60" s="0"/>
      <c r="PLX60" s="0"/>
      <c r="PLY60" s="0"/>
      <c r="PLZ60" s="0"/>
      <c r="PMA60" s="0"/>
      <c r="PMB60" s="0"/>
      <c r="PMC60" s="0"/>
      <c r="PMD60" s="0"/>
      <c r="PME60" s="0"/>
      <c r="PMF60" s="0"/>
      <c r="PMG60" s="0"/>
      <c r="PMH60" s="0"/>
      <c r="PMI60" s="0"/>
      <c r="PMJ60" s="0"/>
      <c r="PMK60" s="0"/>
      <c r="PML60" s="0"/>
      <c r="PMM60" s="0"/>
      <c r="PMN60" s="0"/>
      <c r="PMO60" s="0"/>
      <c r="PMP60" s="0"/>
      <c r="PMQ60" s="0"/>
      <c r="PMR60" s="0"/>
      <c r="PMS60" s="0"/>
      <c r="PMT60" s="0"/>
      <c r="PMU60" s="0"/>
      <c r="PMV60" s="0"/>
      <c r="PMW60" s="0"/>
      <c r="PMX60" s="0"/>
      <c r="PMY60" s="0"/>
      <c r="PMZ60" s="0"/>
      <c r="PNA60" s="0"/>
      <c r="PNB60" s="0"/>
      <c r="PNC60" s="0"/>
      <c r="PND60" s="0"/>
      <c r="PNE60" s="0"/>
      <c r="PNF60" s="0"/>
      <c r="PNG60" s="0"/>
      <c r="PNH60" s="0"/>
      <c r="PNI60" s="0"/>
      <c r="PNJ60" s="0"/>
      <c r="PNK60" s="0"/>
      <c r="PNL60" s="0"/>
      <c r="PNM60" s="0"/>
      <c r="PNN60" s="0"/>
      <c r="PNO60" s="0"/>
      <c r="PNP60" s="0"/>
      <c r="PNQ60" s="0"/>
      <c r="PNR60" s="0"/>
      <c r="PNS60" s="0"/>
      <c r="PNT60" s="0"/>
      <c r="PNU60" s="0"/>
      <c r="PNV60" s="0"/>
      <c r="PNW60" s="0"/>
      <c r="PNX60" s="0"/>
      <c r="PNY60" s="0"/>
      <c r="PNZ60" s="0"/>
      <c r="POA60" s="0"/>
      <c r="POB60" s="0"/>
      <c r="POC60" s="0"/>
      <c r="POD60" s="0"/>
      <c r="POE60" s="0"/>
      <c r="POF60" s="0"/>
      <c r="POG60" s="0"/>
      <c r="POH60" s="0"/>
      <c r="POI60" s="0"/>
      <c r="POJ60" s="0"/>
      <c r="POK60" s="0"/>
      <c r="POL60" s="0"/>
      <c r="POM60" s="0"/>
      <c r="PON60" s="0"/>
      <c r="POO60" s="0"/>
      <c r="POP60" s="0"/>
      <c r="POQ60" s="0"/>
      <c r="POR60" s="0"/>
      <c r="POS60" s="0"/>
      <c r="POT60" s="0"/>
      <c r="POU60" s="0"/>
      <c r="POV60" s="0"/>
      <c r="POW60" s="0"/>
      <c r="POX60" s="0"/>
      <c r="POY60" s="0"/>
      <c r="POZ60" s="0"/>
      <c r="PPA60" s="0"/>
      <c r="PPB60" s="0"/>
      <c r="PPC60" s="0"/>
      <c r="PPD60" s="0"/>
      <c r="PPE60" s="0"/>
      <c r="PPF60" s="0"/>
      <c r="PPG60" s="0"/>
      <c r="PPH60" s="0"/>
      <c r="PPI60" s="0"/>
      <c r="PPJ60" s="0"/>
      <c r="PPK60" s="0"/>
      <c r="PPL60" s="0"/>
      <c r="PPM60" s="0"/>
      <c r="PPN60" s="0"/>
      <c r="PPO60" s="0"/>
      <c r="PPP60" s="0"/>
      <c r="PPQ60" s="0"/>
      <c r="PPR60" s="0"/>
      <c r="PPS60" s="0"/>
      <c r="PPT60" s="0"/>
      <c r="PPU60" s="0"/>
      <c r="PPV60" s="0"/>
      <c r="PPW60" s="0"/>
      <c r="PPX60" s="0"/>
      <c r="PPY60" s="0"/>
      <c r="PPZ60" s="0"/>
      <c r="PQA60" s="0"/>
      <c r="PQB60" s="0"/>
      <c r="PQC60" s="0"/>
      <c r="PQD60" s="0"/>
      <c r="PQE60" s="0"/>
      <c r="PQF60" s="0"/>
      <c r="PQG60" s="0"/>
      <c r="PQH60" s="0"/>
      <c r="PQI60" s="0"/>
      <c r="PQJ60" s="0"/>
      <c r="PQK60" s="0"/>
      <c r="PQL60" s="0"/>
      <c r="PQM60" s="0"/>
      <c r="PQN60" s="0"/>
      <c r="PQO60" s="0"/>
      <c r="PQP60" s="0"/>
      <c r="PQQ60" s="0"/>
      <c r="PQR60" s="0"/>
      <c r="PQS60" s="0"/>
      <c r="PQT60" s="0"/>
      <c r="PQU60" s="0"/>
      <c r="PQV60" s="0"/>
      <c r="PQW60" s="0"/>
      <c r="PQX60" s="0"/>
      <c r="PQY60" s="0"/>
      <c r="PQZ60" s="0"/>
      <c r="PRA60" s="0"/>
      <c r="PRB60" s="0"/>
      <c r="PRC60" s="0"/>
      <c r="PRD60" s="0"/>
      <c r="PRE60" s="0"/>
      <c r="PRF60" s="0"/>
      <c r="PRG60" s="0"/>
      <c r="PRH60" s="0"/>
      <c r="PRI60" s="0"/>
      <c r="PRJ60" s="0"/>
      <c r="PRK60" s="0"/>
      <c r="PRL60" s="0"/>
      <c r="PRM60" s="0"/>
      <c r="PRN60" s="0"/>
      <c r="PRO60" s="0"/>
      <c r="PRP60" s="0"/>
      <c r="PRQ60" s="0"/>
      <c r="PRR60" s="0"/>
      <c r="PRS60" s="0"/>
      <c r="PRT60" s="0"/>
      <c r="PRU60" s="0"/>
      <c r="PRV60" s="0"/>
      <c r="PRW60" s="0"/>
      <c r="PRX60" s="0"/>
      <c r="PRY60" s="0"/>
      <c r="PRZ60" s="0"/>
      <c r="PSA60" s="0"/>
      <c r="PSB60" s="0"/>
      <c r="PSC60" s="0"/>
      <c r="PSD60" s="0"/>
      <c r="PSE60" s="0"/>
      <c r="PSF60" s="0"/>
      <c r="PSG60" s="0"/>
      <c r="PSH60" s="0"/>
      <c r="PSI60" s="0"/>
      <c r="PSJ60" s="0"/>
      <c r="PSK60" s="0"/>
      <c r="PSL60" s="0"/>
      <c r="PSM60" s="0"/>
      <c r="PSN60" s="0"/>
      <c r="PSO60" s="0"/>
      <c r="PSP60" s="0"/>
      <c r="PSQ60" s="0"/>
      <c r="PSR60" s="0"/>
      <c r="PSS60" s="0"/>
      <c r="PST60" s="0"/>
      <c r="PSU60" s="0"/>
      <c r="PSV60" s="0"/>
      <c r="PSW60" s="0"/>
      <c r="PSX60" s="0"/>
      <c r="PSY60" s="0"/>
      <c r="PSZ60" s="0"/>
      <c r="PTA60" s="0"/>
      <c r="PTB60" s="0"/>
      <c r="PTC60" s="0"/>
      <c r="PTD60" s="0"/>
      <c r="PTE60" s="0"/>
      <c r="PTF60" s="0"/>
      <c r="PTG60" s="0"/>
      <c r="PTH60" s="0"/>
      <c r="PTI60" s="0"/>
      <c r="PTJ60" s="0"/>
      <c r="PTK60" s="0"/>
      <c r="PTL60" s="0"/>
      <c r="PTM60" s="0"/>
      <c r="PTN60" s="0"/>
      <c r="PTO60" s="0"/>
      <c r="PTP60" s="0"/>
      <c r="PTQ60" s="0"/>
      <c r="PTR60" s="0"/>
      <c r="PTS60" s="0"/>
      <c r="PTT60" s="0"/>
      <c r="PTU60" s="0"/>
      <c r="PTV60" s="0"/>
      <c r="PTW60" s="0"/>
      <c r="PTX60" s="0"/>
      <c r="PTY60" s="0"/>
      <c r="PTZ60" s="0"/>
      <c r="PUA60" s="0"/>
      <c r="PUB60" s="0"/>
      <c r="PUC60" s="0"/>
      <c r="PUD60" s="0"/>
      <c r="PUE60" s="0"/>
      <c r="PUF60" s="0"/>
      <c r="PUG60" s="0"/>
      <c r="PUH60" s="0"/>
      <c r="PUI60" s="0"/>
      <c r="PUJ60" s="0"/>
      <c r="PUK60" s="0"/>
      <c r="PUL60" s="0"/>
      <c r="PUM60" s="0"/>
      <c r="PUN60" s="0"/>
      <c r="PUO60" s="0"/>
      <c r="PUP60" s="0"/>
      <c r="PUQ60" s="0"/>
      <c r="PUR60" s="0"/>
      <c r="PUS60" s="0"/>
      <c r="PUT60" s="0"/>
      <c r="PUU60" s="0"/>
      <c r="PUV60" s="0"/>
      <c r="PUW60" s="0"/>
      <c r="PUX60" s="0"/>
      <c r="PUY60" s="0"/>
      <c r="PUZ60" s="0"/>
      <c r="PVA60" s="0"/>
      <c r="PVB60" s="0"/>
      <c r="PVC60" s="0"/>
      <c r="PVD60" s="0"/>
      <c r="PVE60" s="0"/>
      <c r="PVF60" s="0"/>
      <c r="PVG60" s="0"/>
      <c r="PVH60" s="0"/>
      <c r="PVI60" s="0"/>
      <c r="PVJ60" s="0"/>
      <c r="PVK60" s="0"/>
      <c r="PVL60" s="0"/>
      <c r="PVM60" s="0"/>
      <c r="PVN60" s="0"/>
      <c r="PVO60" s="0"/>
      <c r="PVP60" s="0"/>
      <c r="PVQ60" s="0"/>
      <c r="PVR60" s="0"/>
      <c r="PVS60" s="0"/>
      <c r="PVT60" s="0"/>
      <c r="PVU60" s="0"/>
      <c r="PVV60" s="0"/>
      <c r="PVW60" s="0"/>
      <c r="PVX60" s="0"/>
      <c r="PVY60" s="0"/>
      <c r="PVZ60" s="0"/>
      <c r="PWA60" s="0"/>
      <c r="PWB60" s="0"/>
      <c r="PWC60" s="0"/>
      <c r="PWD60" s="0"/>
      <c r="PWE60" s="0"/>
      <c r="PWF60" s="0"/>
      <c r="PWG60" s="0"/>
      <c r="PWH60" s="0"/>
      <c r="PWI60" s="0"/>
      <c r="PWJ60" s="0"/>
      <c r="PWK60" s="0"/>
      <c r="PWL60" s="0"/>
      <c r="PWM60" s="0"/>
      <c r="PWN60" s="0"/>
      <c r="PWO60" s="0"/>
      <c r="PWP60" s="0"/>
      <c r="PWQ60" s="0"/>
      <c r="PWR60" s="0"/>
      <c r="PWS60" s="0"/>
      <c r="PWT60" s="0"/>
      <c r="PWU60" s="0"/>
      <c r="PWV60" s="0"/>
      <c r="PWW60" s="0"/>
      <c r="PWX60" s="0"/>
      <c r="PWY60" s="0"/>
      <c r="PWZ60" s="0"/>
      <c r="PXA60" s="0"/>
      <c r="PXB60" s="0"/>
      <c r="PXC60" s="0"/>
      <c r="PXD60" s="0"/>
      <c r="PXE60" s="0"/>
      <c r="PXF60" s="0"/>
      <c r="PXG60" s="0"/>
      <c r="PXH60" s="0"/>
      <c r="PXI60" s="0"/>
      <c r="PXJ60" s="0"/>
      <c r="PXK60" s="0"/>
      <c r="PXL60" s="0"/>
      <c r="PXM60" s="0"/>
      <c r="PXN60" s="0"/>
      <c r="PXO60" s="0"/>
      <c r="PXP60" s="0"/>
      <c r="PXQ60" s="0"/>
      <c r="PXR60" s="0"/>
      <c r="PXS60" s="0"/>
      <c r="PXT60" s="0"/>
      <c r="PXU60" s="0"/>
      <c r="PXV60" s="0"/>
      <c r="PXW60" s="0"/>
      <c r="PXX60" s="0"/>
      <c r="PXY60" s="0"/>
      <c r="PXZ60" s="0"/>
      <c r="PYA60" s="0"/>
      <c r="PYB60" s="0"/>
      <c r="PYC60" s="0"/>
      <c r="PYD60" s="0"/>
      <c r="PYE60" s="0"/>
      <c r="PYF60" s="0"/>
      <c r="PYG60" s="0"/>
      <c r="PYH60" s="0"/>
      <c r="PYI60" s="0"/>
      <c r="PYJ60" s="0"/>
      <c r="PYK60" s="0"/>
      <c r="PYL60" s="0"/>
      <c r="PYM60" s="0"/>
      <c r="PYN60" s="0"/>
      <c r="PYO60" s="0"/>
      <c r="PYP60" s="0"/>
      <c r="PYQ60" s="0"/>
      <c r="PYR60" s="0"/>
      <c r="PYS60" s="0"/>
      <c r="PYT60" s="0"/>
      <c r="PYU60" s="0"/>
      <c r="PYV60" s="0"/>
      <c r="PYW60" s="0"/>
      <c r="PYX60" s="0"/>
      <c r="PYY60" s="0"/>
      <c r="PYZ60" s="0"/>
      <c r="PZA60" s="0"/>
      <c r="PZB60" s="0"/>
      <c r="PZC60" s="0"/>
      <c r="PZD60" s="0"/>
      <c r="PZE60" s="0"/>
      <c r="PZF60" s="0"/>
      <c r="PZG60" s="0"/>
      <c r="PZH60" s="0"/>
      <c r="PZI60" s="0"/>
      <c r="PZJ60" s="0"/>
      <c r="PZK60" s="0"/>
      <c r="PZL60" s="0"/>
      <c r="PZM60" s="0"/>
      <c r="PZN60" s="0"/>
      <c r="PZO60" s="0"/>
      <c r="PZP60" s="0"/>
      <c r="PZQ60" s="0"/>
      <c r="PZR60" s="0"/>
      <c r="PZS60" s="0"/>
      <c r="PZT60" s="0"/>
      <c r="PZU60" s="0"/>
      <c r="PZV60" s="0"/>
      <c r="PZW60" s="0"/>
      <c r="PZX60" s="0"/>
      <c r="PZY60" s="0"/>
      <c r="PZZ60" s="0"/>
      <c r="QAA60" s="0"/>
      <c r="QAB60" s="0"/>
      <c r="QAC60" s="0"/>
      <c r="QAD60" s="0"/>
      <c r="QAE60" s="0"/>
      <c r="QAF60" s="0"/>
      <c r="QAG60" s="0"/>
      <c r="QAH60" s="0"/>
      <c r="QAI60" s="0"/>
      <c r="QAJ60" s="0"/>
      <c r="QAK60" s="0"/>
      <c r="QAL60" s="0"/>
      <c r="QAM60" s="0"/>
      <c r="QAN60" s="0"/>
      <c r="QAO60" s="0"/>
      <c r="QAP60" s="0"/>
      <c r="QAQ60" s="0"/>
      <c r="QAR60" s="0"/>
      <c r="QAS60" s="0"/>
      <c r="QAT60" s="0"/>
      <c r="QAU60" s="0"/>
      <c r="QAV60" s="0"/>
      <c r="QAW60" s="0"/>
      <c r="QAX60" s="0"/>
      <c r="QAY60" s="0"/>
      <c r="QAZ60" s="0"/>
      <c r="QBA60" s="0"/>
      <c r="QBB60" s="0"/>
      <c r="QBC60" s="0"/>
      <c r="QBD60" s="0"/>
      <c r="QBE60" s="0"/>
      <c r="QBF60" s="0"/>
      <c r="QBG60" s="0"/>
      <c r="QBH60" s="0"/>
      <c r="QBI60" s="0"/>
      <c r="QBJ60" s="0"/>
      <c r="QBK60" s="0"/>
      <c r="QBL60" s="0"/>
      <c r="QBM60" s="0"/>
      <c r="QBN60" s="0"/>
      <c r="QBO60" s="0"/>
      <c r="QBP60" s="0"/>
      <c r="QBQ60" s="0"/>
      <c r="QBR60" s="0"/>
      <c r="QBS60" s="0"/>
      <c r="QBT60" s="0"/>
      <c r="QBU60" s="0"/>
      <c r="QBV60" s="0"/>
      <c r="QBW60" s="0"/>
      <c r="QBX60" s="0"/>
      <c r="QBY60" s="0"/>
      <c r="QBZ60" s="0"/>
      <c r="QCA60" s="0"/>
      <c r="QCB60" s="0"/>
      <c r="QCC60" s="0"/>
      <c r="QCD60" s="0"/>
      <c r="QCE60" s="0"/>
      <c r="QCF60" s="0"/>
      <c r="QCG60" s="0"/>
      <c r="QCH60" s="0"/>
      <c r="QCI60" s="0"/>
      <c r="QCJ60" s="0"/>
      <c r="QCK60" s="0"/>
      <c r="QCL60" s="0"/>
      <c r="QCM60" s="0"/>
      <c r="QCN60" s="0"/>
      <c r="QCO60" s="0"/>
      <c r="QCP60" s="0"/>
      <c r="QCQ60" s="0"/>
      <c r="QCR60" s="0"/>
      <c r="QCS60" s="0"/>
      <c r="QCT60" s="0"/>
      <c r="QCU60" s="0"/>
      <c r="QCV60" s="0"/>
      <c r="QCW60" s="0"/>
      <c r="QCX60" s="0"/>
      <c r="QCY60" s="0"/>
      <c r="QCZ60" s="0"/>
      <c r="QDA60" s="0"/>
      <c r="QDB60" s="0"/>
      <c r="QDC60" s="0"/>
      <c r="QDD60" s="0"/>
      <c r="QDE60" s="0"/>
      <c r="QDF60" s="0"/>
      <c r="QDG60" s="0"/>
      <c r="QDH60" s="0"/>
      <c r="QDI60" s="0"/>
      <c r="QDJ60" s="0"/>
      <c r="QDK60" s="0"/>
      <c r="QDL60" s="0"/>
      <c r="QDM60" s="0"/>
      <c r="QDN60" s="0"/>
      <c r="QDO60" s="0"/>
      <c r="QDP60" s="0"/>
      <c r="QDQ60" s="0"/>
      <c r="QDR60" s="0"/>
      <c r="QDS60" s="0"/>
      <c r="QDT60" s="0"/>
      <c r="QDU60" s="0"/>
      <c r="QDV60" s="0"/>
      <c r="QDW60" s="0"/>
      <c r="QDX60" s="0"/>
      <c r="QDY60" s="0"/>
      <c r="QDZ60" s="0"/>
      <c r="QEA60" s="0"/>
      <c r="QEB60" s="0"/>
      <c r="QEC60" s="0"/>
      <c r="QED60" s="0"/>
      <c r="QEE60" s="0"/>
      <c r="QEF60" s="0"/>
      <c r="QEG60" s="0"/>
      <c r="QEH60" s="0"/>
      <c r="QEI60" s="0"/>
      <c r="QEJ60" s="0"/>
      <c r="QEK60" s="0"/>
      <c r="QEL60" s="0"/>
      <c r="QEM60" s="0"/>
      <c r="QEN60" s="0"/>
      <c r="QEO60" s="0"/>
      <c r="QEP60" s="0"/>
      <c r="QEQ60" s="0"/>
      <c r="QER60" s="0"/>
      <c r="QES60" s="0"/>
      <c r="QET60" s="0"/>
      <c r="QEU60" s="0"/>
      <c r="QEV60" s="0"/>
      <c r="QEW60" s="0"/>
      <c r="QEX60" s="0"/>
      <c r="QEY60" s="0"/>
      <c r="QEZ60" s="0"/>
      <c r="QFA60" s="0"/>
      <c r="QFB60" s="0"/>
      <c r="QFC60" s="0"/>
      <c r="QFD60" s="0"/>
      <c r="QFE60" s="0"/>
      <c r="QFF60" s="0"/>
      <c r="QFG60" s="0"/>
      <c r="QFH60" s="0"/>
      <c r="QFI60" s="0"/>
      <c r="QFJ60" s="0"/>
      <c r="QFK60" s="0"/>
      <c r="QFL60" s="0"/>
      <c r="QFM60" s="0"/>
      <c r="QFN60" s="0"/>
      <c r="QFO60" s="0"/>
      <c r="QFP60" s="0"/>
      <c r="QFQ60" s="0"/>
      <c r="QFR60" s="0"/>
      <c r="QFS60" s="0"/>
      <c r="QFT60" s="0"/>
      <c r="QFU60" s="0"/>
      <c r="QFV60" s="0"/>
      <c r="QFW60" s="0"/>
      <c r="QFX60" s="0"/>
      <c r="QFY60" s="0"/>
      <c r="QFZ60" s="0"/>
      <c r="QGA60" s="0"/>
      <c r="QGB60" s="0"/>
      <c r="QGC60" s="0"/>
      <c r="QGD60" s="0"/>
      <c r="QGE60" s="0"/>
      <c r="QGF60" s="0"/>
      <c r="QGG60" s="0"/>
      <c r="QGH60" s="0"/>
      <c r="QGI60" s="0"/>
      <c r="QGJ60" s="0"/>
      <c r="QGK60" s="0"/>
      <c r="QGL60" s="0"/>
      <c r="QGM60" s="0"/>
      <c r="QGN60" s="0"/>
      <c r="QGO60" s="0"/>
      <c r="QGP60" s="0"/>
      <c r="QGQ60" s="0"/>
      <c r="QGR60" s="0"/>
      <c r="QGS60" s="0"/>
      <c r="QGT60" s="0"/>
      <c r="QGU60" s="0"/>
      <c r="QGV60" s="0"/>
      <c r="QGW60" s="0"/>
      <c r="QGX60" s="0"/>
      <c r="QGY60" s="0"/>
      <c r="QGZ60" s="0"/>
      <c r="QHA60" s="0"/>
      <c r="QHB60" s="0"/>
      <c r="QHC60" s="0"/>
      <c r="QHD60" s="0"/>
      <c r="QHE60" s="0"/>
      <c r="QHF60" s="0"/>
      <c r="QHG60" s="0"/>
      <c r="QHH60" s="0"/>
      <c r="QHI60" s="0"/>
      <c r="QHJ60" s="0"/>
      <c r="QHK60" s="0"/>
      <c r="QHL60" s="0"/>
      <c r="QHM60" s="0"/>
      <c r="QHN60" s="0"/>
      <c r="QHO60" s="0"/>
      <c r="QHP60" s="0"/>
      <c r="QHQ60" s="0"/>
      <c r="QHR60" s="0"/>
      <c r="QHS60" s="0"/>
      <c r="QHT60" s="0"/>
      <c r="QHU60" s="0"/>
      <c r="QHV60" s="0"/>
      <c r="QHW60" s="0"/>
      <c r="QHX60" s="0"/>
      <c r="QHY60" s="0"/>
      <c r="QHZ60" s="0"/>
      <c r="QIA60" s="0"/>
      <c r="QIB60" s="0"/>
      <c r="QIC60" s="0"/>
      <c r="QID60" s="0"/>
      <c r="QIE60" s="0"/>
      <c r="QIF60" s="0"/>
      <c r="QIG60" s="0"/>
      <c r="QIH60" s="0"/>
      <c r="QII60" s="0"/>
      <c r="QIJ60" s="0"/>
      <c r="QIK60" s="0"/>
      <c r="QIL60" s="0"/>
      <c r="QIM60" s="0"/>
      <c r="QIN60" s="0"/>
      <c r="QIO60" s="0"/>
      <c r="QIP60" s="0"/>
      <c r="QIQ60" s="0"/>
      <c r="QIR60" s="0"/>
      <c r="QIS60" s="0"/>
      <c r="QIT60" s="0"/>
      <c r="QIU60" s="0"/>
      <c r="QIV60" s="0"/>
      <c r="QIW60" s="0"/>
      <c r="QIX60" s="0"/>
      <c r="QIY60" s="0"/>
      <c r="QIZ60" s="0"/>
      <c r="QJA60" s="0"/>
      <c r="QJB60" s="0"/>
      <c r="QJC60" s="0"/>
      <c r="QJD60" s="0"/>
      <c r="QJE60" s="0"/>
      <c r="QJF60" s="0"/>
      <c r="QJG60" s="0"/>
      <c r="QJH60" s="0"/>
      <c r="QJI60" s="0"/>
      <c r="QJJ60" s="0"/>
      <c r="QJK60" s="0"/>
      <c r="QJL60" s="0"/>
      <c r="QJM60" s="0"/>
      <c r="QJN60" s="0"/>
      <c r="QJO60" s="0"/>
      <c r="QJP60" s="0"/>
      <c r="QJQ60" s="0"/>
      <c r="QJR60" s="0"/>
      <c r="QJS60" s="0"/>
      <c r="QJT60" s="0"/>
      <c r="QJU60" s="0"/>
      <c r="QJV60" s="0"/>
      <c r="QJW60" s="0"/>
      <c r="QJX60" s="0"/>
      <c r="QJY60" s="0"/>
      <c r="QJZ60" s="0"/>
      <c r="QKA60" s="0"/>
      <c r="QKB60" s="0"/>
      <c r="QKC60" s="0"/>
      <c r="QKD60" s="0"/>
      <c r="QKE60" s="0"/>
      <c r="QKF60" s="0"/>
      <c r="QKG60" s="0"/>
      <c r="QKH60" s="0"/>
      <c r="QKI60" s="0"/>
      <c r="QKJ60" s="0"/>
      <c r="QKK60" s="0"/>
      <c r="QKL60" s="0"/>
      <c r="QKM60" s="0"/>
      <c r="QKN60" s="0"/>
      <c r="QKO60" s="0"/>
      <c r="QKP60" s="0"/>
      <c r="QKQ60" s="0"/>
      <c r="QKR60" s="0"/>
      <c r="QKS60" s="0"/>
      <c r="QKT60" s="0"/>
      <c r="QKU60" s="0"/>
      <c r="QKV60" s="0"/>
      <c r="QKW60" s="0"/>
      <c r="QKX60" s="0"/>
      <c r="QKY60" s="0"/>
      <c r="QKZ60" s="0"/>
      <c r="QLA60" s="0"/>
      <c r="QLB60" s="0"/>
      <c r="QLC60" s="0"/>
      <c r="QLD60" s="0"/>
      <c r="QLE60" s="0"/>
      <c r="QLF60" s="0"/>
      <c r="QLG60" s="0"/>
      <c r="QLH60" s="0"/>
      <c r="QLI60" s="0"/>
      <c r="QLJ60" s="0"/>
      <c r="QLK60" s="0"/>
      <c r="QLL60" s="0"/>
      <c r="QLM60" s="0"/>
      <c r="QLN60" s="0"/>
      <c r="QLO60" s="0"/>
      <c r="QLP60" s="0"/>
      <c r="QLQ60" s="0"/>
      <c r="QLR60" s="0"/>
      <c r="QLS60" s="0"/>
      <c r="QLT60" s="0"/>
      <c r="QLU60" s="0"/>
      <c r="QLV60" s="0"/>
      <c r="QLW60" s="0"/>
      <c r="QLX60" s="0"/>
      <c r="QLY60" s="0"/>
      <c r="QLZ60" s="0"/>
      <c r="QMA60" s="0"/>
      <c r="QMB60" s="0"/>
      <c r="QMC60" s="0"/>
      <c r="QMD60" s="0"/>
      <c r="QME60" s="0"/>
      <c r="QMF60" s="0"/>
      <c r="QMG60" s="0"/>
      <c r="QMH60" s="0"/>
      <c r="QMI60" s="0"/>
      <c r="QMJ60" s="0"/>
      <c r="QMK60" s="0"/>
      <c r="QML60" s="0"/>
      <c r="QMM60" s="0"/>
      <c r="QMN60" s="0"/>
      <c r="QMO60" s="0"/>
      <c r="QMP60" s="0"/>
      <c r="QMQ60" s="0"/>
      <c r="QMR60" s="0"/>
      <c r="QMS60" s="0"/>
      <c r="QMT60" s="0"/>
      <c r="QMU60" s="0"/>
      <c r="QMV60" s="0"/>
      <c r="QMW60" s="0"/>
      <c r="QMX60" s="0"/>
      <c r="QMY60" s="0"/>
      <c r="QMZ60" s="0"/>
      <c r="QNA60" s="0"/>
      <c r="QNB60" s="0"/>
      <c r="QNC60" s="0"/>
      <c r="QND60" s="0"/>
      <c r="QNE60" s="0"/>
      <c r="QNF60" s="0"/>
      <c r="QNG60" s="0"/>
      <c r="QNH60" s="0"/>
      <c r="QNI60" s="0"/>
      <c r="QNJ60" s="0"/>
      <c r="QNK60" s="0"/>
      <c r="QNL60" s="0"/>
      <c r="QNM60" s="0"/>
      <c r="QNN60" s="0"/>
      <c r="QNO60" s="0"/>
      <c r="QNP60" s="0"/>
      <c r="QNQ60" s="0"/>
      <c r="QNR60" s="0"/>
      <c r="QNS60" s="0"/>
      <c r="QNT60" s="0"/>
      <c r="QNU60" s="0"/>
      <c r="QNV60" s="0"/>
      <c r="QNW60" s="0"/>
      <c r="QNX60" s="0"/>
      <c r="QNY60" s="0"/>
      <c r="QNZ60" s="0"/>
      <c r="QOA60" s="0"/>
      <c r="QOB60" s="0"/>
      <c r="QOC60" s="0"/>
      <c r="QOD60" s="0"/>
      <c r="QOE60" s="0"/>
      <c r="QOF60" s="0"/>
      <c r="QOG60" s="0"/>
      <c r="QOH60" s="0"/>
      <c r="QOI60" s="0"/>
      <c r="QOJ60" s="0"/>
      <c r="QOK60" s="0"/>
      <c r="QOL60" s="0"/>
      <c r="QOM60" s="0"/>
      <c r="QON60" s="0"/>
      <c r="QOO60" s="0"/>
      <c r="QOP60" s="0"/>
      <c r="QOQ60" s="0"/>
      <c r="QOR60" s="0"/>
      <c r="QOS60" s="0"/>
      <c r="QOT60" s="0"/>
      <c r="QOU60" s="0"/>
      <c r="QOV60" s="0"/>
      <c r="QOW60" s="0"/>
      <c r="QOX60" s="0"/>
      <c r="QOY60" s="0"/>
      <c r="QOZ60" s="0"/>
      <c r="QPA60" s="0"/>
      <c r="QPB60" s="0"/>
      <c r="QPC60" s="0"/>
      <c r="QPD60" s="0"/>
      <c r="QPE60" s="0"/>
      <c r="QPF60" s="0"/>
      <c r="QPG60" s="0"/>
      <c r="QPH60" s="0"/>
      <c r="QPI60" s="0"/>
      <c r="QPJ60" s="0"/>
      <c r="QPK60" s="0"/>
      <c r="QPL60" s="0"/>
      <c r="QPM60" s="0"/>
      <c r="QPN60" s="0"/>
      <c r="QPO60" s="0"/>
      <c r="QPP60" s="0"/>
      <c r="QPQ60" s="0"/>
      <c r="QPR60" s="0"/>
      <c r="QPS60" s="0"/>
      <c r="QPT60" s="0"/>
      <c r="QPU60" s="0"/>
      <c r="QPV60" s="0"/>
      <c r="QPW60" s="0"/>
      <c r="QPX60" s="0"/>
      <c r="QPY60" s="0"/>
      <c r="QPZ60" s="0"/>
      <c r="QQA60" s="0"/>
      <c r="QQB60" s="0"/>
      <c r="QQC60" s="0"/>
      <c r="QQD60" s="0"/>
      <c r="QQE60" s="0"/>
      <c r="QQF60" s="0"/>
      <c r="QQG60" s="0"/>
      <c r="QQH60" s="0"/>
      <c r="QQI60" s="0"/>
      <c r="QQJ60" s="0"/>
      <c r="QQK60" s="0"/>
      <c r="QQL60" s="0"/>
      <c r="QQM60" s="0"/>
      <c r="QQN60" s="0"/>
      <c r="QQO60" s="0"/>
      <c r="QQP60" s="0"/>
      <c r="QQQ60" s="0"/>
      <c r="QQR60" s="0"/>
      <c r="QQS60" s="0"/>
      <c r="QQT60" s="0"/>
      <c r="QQU60" s="0"/>
      <c r="QQV60" s="0"/>
      <c r="QQW60" s="0"/>
      <c r="QQX60" s="0"/>
      <c r="QQY60" s="0"/>
      <c r="QQZ60" s="0"/>
      <c r="QRA60" s="0"/>
      <c r="QRB60" s="0"/>
      <c r="QRC60" s="0"/>
      <c r="QRD60" s="0"/>
      <c r="QRE60" s="0"/>
      <c r="QRF60" s="0"/>
      <c r="QRG60" s="0"/>
      <c r="QRH60" s="0"/>
      <c r="QRI60" s="0"/>
      <c r="QRJ60" s="0"/>
      <c r="QRK60" s="0"/>
      <c r="QRL60" s="0"/>
      <c r="QRM60" s="0"/>
      <c r="QRN60" s="0"/>
      <c r="QRO60" s="0"/>
      <c r="QRP60" s="0"/>
      <c r="QRQ60" s="0"/>
      <c r="QRR60" s="0"/>
      <c r="QRS60" s="0"/>
      <c r="QRT60" s="0"/>
      <c r="QRU60" s="0"/>
      <c r="QRV60" s="0"/>
      <c r="QRW60" s="0"/>
      <c r="QRX60" s="0"/>
      <c r="QRY60" s="0"/>
      <c r="QRZ60" s="0"/>
      <c r="QSA60" s="0"/>
      <c r="QSB60" s="0"/>
      <c r="QSC60" s="0"/>
      <c r="QSD60" s="0"/>
      <c r="QSE60" s="0"/>
      <c r="QSF60" s="0"/>
      <c r="QSG60" s="0"/>
      <c r="QSH60" s="0"/>
      <c r="QSI60" s="0"/>
      <c r="QSJ60" s="0"/>
      <c r="QSK60" s="0"/>
      <c r="QSL60" s="0"/>
      <c r="QSM60" s="0"/>
      <c r="QSN60" s="0"/>
      <c r="QSO60" s="0"/>
      <c r="QSP60" s="0"/>
      <c r="QSQ60" s="0"/>
      <c r="QSR60" s="0"/>
      <c r="QSS60" s="0"/>
      <c r="QST60" s="0"/>
      <c r="QSU60" s="0"/>
      <c r="QSV60" s="0"/>
      <c r="QSW60" s="0"/>
      <c r="QSX60" s="0"/>
      <c r="QSY60" s="0"/>
      <c r="QSZ60" s="0"/>
      <c r="QTA60" s="0"/>
      <c r="QTB60" s="0"/>
      <c r="QTC60" s="0"/>
      <c r="QTD60" s="0"/>
      <c r="QTE60" s="0"/>
      <c r="QTF60" s="0"/>
      <c r="QTG60" s="0"/>
      <c r="QTH60" s="0"/>
      <c r="QTI60" s="0"/>
      <c r="QTJ60" s="0"/>
      <c r="QTK60" s="0"/>
      <c r="QTL60" s="0"/>
      <c r="QTM60" s="0"/>
      <c r="QTN60" s="0"/>
      <c r="QTO60" s="0"/>
      <c r="QTP60" s="0"/>
      <c r="QTQ60" s="0"/>
      <c r="QTR60" s="0"/>
      <c r="QTS60" s="0"/>
      <c r="QTT60" s="0"/>
      <c r="QTU60" s="0"/>
      <c r="QTV60" s="0"/>
      <c r="QTW60" s="0"/>
      <c r="QTX60" s="0"/>
      <c r="QTY60" s="0"/>
      <c r="QTZ60" s="0"/>
      <c r="QUA60" s="0"/>
      <c r="QUB60" s="0"/>
      <c r="QUC60" s="0"/>
      <c r="QUD60" s="0"/>
      <c r="QUE60" s="0"/>
      <c r="QUF60" s="0"/>
      <c r="QUG60" s="0"/>
      <c r="QUH60" s="0"/>
      <c r="QUI60" s="0"/>
      <c r="QUJ60" s="0"/>
      <c r="QUK60" s="0"/>
      <c r="QUL60" s="0"/>
      <c r="QUM60" s="0"/>
      <c r="QUN60" s="0"/>
      <c r="QUO60" s="0"/>
      <c r="QUP60" s="0"/>
      <c r="QUQ60" s="0"/>
      <c r="QUR60" s="0"/>
      <c r="QUS60" s="0"/>
      <c r="QUT60" s="0"/>
      <c r="QUU60" s="0"/>
      <c r="QUV60" s="0"/>
      <c r="QUW60" s="0"/>
      <c r="QUX60" s="0"/>
      <c r="QUY60" s="0"/>
      <c r="QUZ60" s="0"/>
      <c r="QVA60" s="0"/>
      <c r="QVB60" s="0"/>
      <c r="QVC60" s="0"/>
      <c r="QVD60" s="0"/>
      <c r="QVE60" s="0"/>
      <c r="QVF60" s="0"/>
      <c r="QVG60" s="0"/>
      <c r="QVH60" s="0"/>
      <c r="QVI60" s="0"/>
      <c r="QVJ60" s="0"/>
      <c r="QVK60" s="0"/>
      <c r="QVL60" s="0"/>
      <c r="QVM60" s="0"/>
      <c r="QVN60" s="0"/>
      <c r="QVO60" s="0"/>
      <c r="QVP60" s="0"/>
      <c r="QVQ60" s="0"/>
      <c r="QVR60" s="0"/>
      <c r="QVS60" s="0"/>
      <c r="QVT60" s="0"/>
      <c r="QVU60" s="0"/>
      <c r="QVV60" s="0"/>
      <c r="QVW60" s="0"/>
      <c r="QVX60" s="0"/>
      <c r="QVY60" s="0"/>
      <c r="QVZ60" s="0"/>
      <c r="QWA60" s="0"/>
      <c r="QWB60" s="0"/>
      <c r="QWC60" s="0"/>
      <c r="QWD60" s="0"/>
      <c r="QWE60" s="0"/>
      <c r="QWF60" s="0"/>
      <c r="QWG60" s="0"/>
      <c r="QWH60" s="0"/>
      <c r="QWI60" s="0"/>
      <c r="QWJ60" s="0"/>
      <c r="QWK60" s="0"/>
      <c r="QWL60" s="0"/>
      <c r="QWM60" s="0"/>
      <c r="QWN60" s="0"/>
      <c r="QWO60" s="0"/>
      <c r="QWP60" s="0"/>
      <c r="QWQ60" s="0"/>
      <c r="QWR60" s="0"/>
      <c r="QWS60" s="0"/>
      <c r="QWT60" s="0"/>
      <c r="QWU60" s="0"/>
      <c r="QWV60" s="0"/>
      <c r="QWW60" s="0"/>
      <c r="QWX60" s="0"/>
      <c r="QWY60" s="0"/>
      <c r="QWZ60" s="0"/>
      <c r="QXA60" s="0"/>
      <c r="QXB60" s="0"/>
      <c r="QXC60" s="0"/>
      <c r="QXD60" s="0"/>
      <c r="QXE60" s="0"/>
      <c r="QXF60" s="0"/>
      <c r="QXG60" s="0"/>
      <c r="QXH60" s="0"/>
      <c r="QXI60" s="0"/>
      <c r="QXJ60" s="0"/>
      <c r="QXK60" s="0"/>
      <c r="QXL60" s="0"/>
      <c r="QXM60" s="0"/>
      <c r="QXN60" s="0"/>
      <c r="QXO60" s="0"/>
      <c r="QXP60" s="0"/>
      <c r="QXQ60" s="0"/>
      <c r="QXR60" s="0"/>
      <c r="QXS60" s="0"/>
      <c r="QXT60" s="0"/>
      <c r="QXU60" s="0"/>
      <c r="QXV60" s="0"/>
      <c r="QXW60" s="0"/>
      <c r="QXX60" s="0"/>
      <c r="QXY60" s="0"/>
      <c r="QXZ60" s="0"/>
      <c r="QYA60" s="0"/>
      <c r="QYB60" s="0"/>
      <c r="QYC60" s="0"/>
      <c r="QYD60" s="0"/>
      <c r="QYE60" s="0"/>
      <c r="QYF60" s="0"/>
      <c r="QYG60" s="0"/>
      <c r="QYH60" s="0"/>
      <c r="QYI60" s="0"/>
      <c r="QYJ60" s="0"/>
      <c r="QYK60" s="0"/>
      <c r="QYL60" s="0"/>
      <c r="QYM60" s="0"/>
      <c r="QYN60" s="0"/>
      <c r="QYO60" s="0"/>
      <c r="QYP60" s="0"/>
      <c r="QYQ60" s="0"/>
      <c r="QYR60" s="0"/>
      <c r="QYS60" s="0"/>
      <c r="QYT60" s="0"/>
      <c r="QYU60" s="0"/>
      <c r="QYV60" s="0"/>
      <c r="QYW60" s="0"/>
      <c r="QYX60" s="0"/>
      <c r="QYY60" s="0"/>
      <c r="QYZ60" s="0"/>
      <c r="QZA60" s="0"/>
      <c r="QZB60" s="0"/>
      <c r="QZC60" s="0"/>
      <c r="QZD60" s="0"/>
      <c r="QZE60" s="0"/>
      <c r="QZF60" s="0"/>
      <c r="QZG60" s="0"/>
      <c r="QZH60" s="0"/>
      <c r="QZI60" s="0"/>
      <c r="QZJ60" s="0"/>
      <c r="QZK60" s="0"/>
      <c r="QZL60" s="0"/>
      <c r="QZM60" s="0"/>
      <c r="QZN60" s="0"/>
      <c r="QZO60" s="0"/>
      <c r="QZP60" s="0"/>
      <c r="QZQ60" s="0"/>
      <c r="QZR60" s="0"/>
      <c r="QZS60" s="0"/>
      <c r="QZT60" s="0"/>
      <c r="QZU60" s="0"/>
      <c r="QZV60" s="0"/>
      <c r="QZW60" s="0"/>
      <c r="QZX60" s="0"/>
      <c r="QZY60" s="0"/>
      <c r="QZZ60" s="0"/>
      <c r="RAA60" s="0"/>
      <c r="RAB60" s="0"/>
      <c r="RAC60" s="0"/>
      <c r="RAD60" s="0"/>
      <c r="RAE60" s="0"/>
      <c r="RAF60" s="0"/>
      <c r="RAG60" s="0"/>
      <c r="RAH60" s="0"/>
      <c r="RAI60" s="0"/>
      <c r="RAJ60" s="0"/>
      <c r="RAK60" s="0"/>
      <c r="RAL60" s="0"/>
      <c r="RAM60" s="0"/>
      <c r="RAN60" s="0"/>
      <c r="RAO60" s="0"/>
      <c r="RAP60" s="0"/>
      <c r="RAQ60" s="0"/>
      <c r="RAR60" s="0"/>
      <c r="RAS60" s="0"/>
      <c r="RAT60" s="0"/>
      <c r="RAU60" s="0"/>
      <c r="RAV60" s="0"/>
      <c r="RAW60" s="0"/>
      <c r="RAX60" s="0"/>
      <c r="RAY60" s="0"/>
      <c r="RAZ60" s="0"/>
      <c r="RBA60" s="0"/>
      <c r="RBB60" s="0"/>
      <c r="RBC60" s="0"/>
      <c r="RBD60" s="0"/>
      <c r="RBE60" s="0"/>
      <c r="RBF60" s="0"/>
      <c r="RBG60" s="0"/>
      <c r="RBH60" s="0"/>
      <c r="RBI60" s="0"/>
      <c r="RBJ60" s="0"/>
      <c r="RBK60" s="0"/>
      <c r="RBL60" s="0"/>
      <c r="RBM60" s="0"/>
      <c r="RBN60" s="0"/>
      <c r="RBO60" s="0"/>
      <c r="RBP60" s="0"/>
      <c r="RBQ60" s="0"/>
      <c r="RBR60" s="0"/>
      <c r="RBS60" s="0"/>
      <c r="RBT60" s="0"/>
      <c r="RBU60" s="0"/>
      <c r="RBV60" s="0"/>
      <c r="RBW60" s="0"/>
      <c r="RBX60" s="0"/>
      <c r="RBY60" s="0"/>
      <c r="RBZ60" s="0"/>
      <c r="RCA60" s="0"/>
      <c r="RCB60" s="0"/>
      <c r="RCC60" s="0"/>
      <c r="RCD60" s="0"/>
      <c r="RCE60" s="0"/>
      <c r="RCF60" s="0"/>
      <c r="RCG60" s="0"/>
      <c r="RCH60" s="0"/>
      <c r="RCI60" s="0"/>
      <c r="RCJ60" s="0"/>
      <c r="RCK60" s="0"/>
      <c r="RCL60" s="0"/>
      <c r="RCM60" s="0"/>
      <c r="RCN60" s="0"/>
      <c r="RCO60" s="0"/>
      <c r="RCP60" s="0"/>
      <c r="RCQ60" s="0"/>
      <c r="RCR60" s="0"/>
      <c r="RCS60" s="0"/>
      <c r="RCT60" s="0"/>
      <c r="RCU60" s="0"/>
      <c r="RCV60" s="0"/>
      <c r="RCW60" s="0"/>
      <c r="RCX60" s="0"/>
      <c r="RCY60" s="0"/>
      <c r="RCZ60" s="0"/>
      <c r="RDA60" s="0"/>
      <c r="RDB60" s="0"/>
      <c r="RDC60" s="0"/>
      <c r="RDD60" s="0"/>
      <c r="RDE60" s="0"/>
      <c r="RDF60" s="0"/>
      <c r="RDG60" s="0"/>
      <c r="RDH60" s="0"/>
      <c r="RDI60" s="0"/>
      <c r="RDJ60" s="0"/>
      <c r="RDK60" s="0"/>
      <c r="RDL60" s="0"/>
      <c r="RDM60" s="0"/>
      <c r="RDN60" s="0"/>
      <c r="RDO60" s="0"/>
      <c r="RDP60" s="0"/>
      <c r="RDQ60" s="0"/>
      <c r="RDR60" s="0"/>
      <c r="RDS60" s="0"/>
      <c r="RDT60" s="0"/>
      <c r="RDU60" s="0"/>
      <c r="RDV60" s="0"/>
      <c r="RDW60" s="0"/>
      <c r="RDX60" s="0"/>
      <c r="RDY60" s="0"/>
      <c r="RDZ60" s="0"/>
      <c r="REA60" s="0"/>
      <c r="REB60" s="0"/>
      <c r="REC60" s="0"/>
      <c r="RED60" s="0"/>
      <c r="REE60" s="0"/>
      <c r="REF60" s="0"/>
      <c r="REG60" s="0"/>
      <c r="REH60" s="0"/>
      <c r="REI60" s="0"/>
      <c r="REJ60" s="0"/>
      <c r="REK60" s="0"/>
      <c r="REL60" s="0"/>
      <c r="REM60" s="0"/>
      <c r="REN60" s="0"/>
      <c r="REO60" s="0"/>
      <c r="REP60" s="0"/>
      <c r="REQ60" s="0"/>
      <c r="RER60" s="0"/>
      <c r="RES60" s="0"/>
      <c r="RET60" s="0"/>
      <c r="REU60" s="0"/>
      <c r="REV60" s="0"/>
      <c r="REW60" s="0"/>
      <c r="REX60" s="0"/>
      <c r="REY60" s="0"/>
      <c r="REZ60" s="0"/>
      <c r="RFA60" s="0"/>
      <c r="RFB60" s="0"/>
      <c r="RFC60" s="0"/>
      <c r="RFD60" s="0"/>
      <c r="RFE60" s="0"/>
      <c r="RFF60" s="0"/>
      <c r="RFG60" s="0"/>
      <c r="RFH60" s="0"/>
      <c r="RFI60" s="0"/>
      <c r="RFJ60" s="0"/>
      <c r="RFK60" s="0"/>
      <c r="RFL60" s="0"/>
      <c r="RFM60" s="0"/>
      <c r="RFN60" s="0"/>
      <c r="RFO60" s="0"/>
      <c r="RFP60" s="0"/>
      <c r="RFQ60" s="0"/>
      <c r="RFR60" s="0"/>
      <c r="RFS60" s="0"/>
      <c r="RFT60" s="0"/>
      <c r="RFU60" s="0"/>
      <c r="RFV60" s="0"/>
      <c r="RFW60" s="0"/>
      <c r="RFX60" s="0"/>
      <c r="RFY60" s="0"/>
      <c r="RFZ60" s="0"/>
      <c r="RGA60" s="0"/>
      <c r="RGB60" s="0"/>
      <c r="RGC60" s="0"/>
      <c r="RGD60" s="0"/>
      <c r="RGE60" s="0"/>
      <c r="RGF60" s="0"/>
      <c r="RGG60" s="0"/>
      <c r="RGH60" s="0"/>
      <c r="RGI60" s="0"/>
      <c r="RGJ60" s="0"/>
      <c r="RGK60" s="0"/>
      <c r="RGL60" s="0"/>
      <c r="RGM60" s="0"/>
      <c r="RGN60" s="0"/>
      <c r="RGO60" s="0"/>
      <c r="RGP60" s="0"/>
      <c r="RGQ60" s="0"/>
      <c r="RGR60" s="0"/>
      <c r="RGS60" s="0"/>
      <c r="RGT60" s="0"/>
      <c r="RGU60" s="0"/>
      <c r="RGV60" s="0"/>
      <c r="RGW60" s="0"/>
      <c r="RGX60" s="0"/>
      <c r="RGY60" s="0"/>
      <c r="RGZ60" s="0"/>
      <c r="RHA60" s="0"/>
      <c r="RHB60" s="0"/>
      <c r="RHC60" s="0"/>
      <c r="RHD60" s="0"/>
      <c r="RHE60" s="0"/>
      <c r="RHF60" s="0"/>
      <c r="RHG60" s="0"/>
      <c r="RHH60" s="0"/>
      <c r="RHI60" s="0"/>
      <c r="RHJ60" s="0"/>
      <c r="RHK60" s="0"/>
      <c r="RHL60" s="0"/>
      <c r="RHM60" s="0"/>
      <c r="RHN60" s="0"/>
      <c r="RHO60" s="0"/>
      <c r="RHP60" s="0"/>
      <c r="RHQ60" s="0"/>
      <c r="RHR60" s="0"/>
      <c r="RHS60" s="0"/>
      <c r="RHT60" s="0"/>
      <c r="RHU60" s="0"/>
      <c r="RHV60" s="0"/>
      <c r="RHW60" s="0"/>
      <c r="RHX60" s="0"/>
      <c r="RHY60" s="0"/>
      <c r="RHZ60" s="0"/>
      <c r="RIA60" s="0"/>
      <c r="RIB60" s="0"/>
      <c r="RIC60" s="0"/>
      <c r="RID60" s="0"/>
      <c r="RIE60" s="0"/>
      <c r="RIF60" s="0"/>
      <c r="RIG60" s="0"/>
      <c r="RIH60" s="0"/>
      <c r="RII60" s="0"/>
      <c r="RIJ60" s="0"/>
      <c r="RIK60" s="0"/>
      <c r="RIL60" s="0"/>
      <c r="RIM60" s="0"/>
      <c r="RIN60" s="0"/>
      <c r="RIO60" s="0"/>
      <c r="RIP60" s="0"/>
      <c r="RIQ60" s="0"/>
      <c r="RIR60" s="0"/>
      <c r="RIS60" s="0"/>
      <c r="RIT60" s="0"/>
      <c r="RIU60" s="0"/>
      <c r="RIV60" s="0"/>
      <c r="RIW60" s="0"/>
      <c r="RIX60" s="0"/>
      <c r="RIY60" s="0"/>
      <c r="RIZ60" s="0"/>
      <c r="RJA60" s="0"/>
      <c r="RJB60" s="0"/>
      <c r="RJC60" s="0"/>
      <c r="RJD60" s="0"/>
      <c r="RJE60" s="0"/>
      <c r="RJF60" s="0"/>
      <c r="RJG60" s="0"/>
      <c r="RJH60" s="0"/>
      <c r="RJI60" s="0"/>
      <c r="RJJ60" s="0"/>
      <c r="RJK60" s="0"/>
      <c r="RJL60" s="0"/>
      <c r="RJM60" s="0"/>
      <c r="RJN60" s="0"/>
      <c r="RJO60" s="0"/>
      <c r="RJP60" s="0"/>
      <c r="RJQ60" s="0"/>
      <c r="RJR60" s="0"/>
      <c r="RJS60" s="0"/>
      <c r="RJT60" s="0"/>
      <c r="RJU60" s="0"/>
      <c r="RJV60" s="0"/>
      <c r="RJW60" s="0"/>
      <c r="RJX60" s="0"/>
      <c r="RJY60" s="0"/>
      <c r="RJZ60" s="0"/>
      <c r="RKA60" s="0"/>
      <c r="RKB60" s="0"/>
      <c r="RKC60" s="0"/>
      <c r="RKD60" s="0"/>
      <c r="RKE60" s="0"/>
      <c r="RKF60" s="0"/>
      <c r="RKG60" s="0"/>
      <c r="RKH60" s="0"/>
      <c r="RKI60" s="0"/>
      <c r="RKJ60" s="0"/>
      <c r="RKK60" s="0"/>
      <c r="RKL60" s="0"/>
      <c r="RKM60" s="0"/>
      <c r="RKN60" s="0"/>
      <c r="RKO60" s="0"/>
      <c r="RKP60" s="0"/>
      <c r="RKQ60" s="0"/>
      <c r="RKR60" s="0"/>
      <c r="RKS60" s="0"/>
      <c r="RKT60" s="0"/>
      <c r="RKU60" s="0"/>
      <c r="RKV60" s="0"/>
      <c r="RKW60" s="0"/>
      <c r="RKX60" s="0"/>
      <c r="RKY60" s="0"/>
      <c r="RKZ60" s="0"/>
      <c r="RLA60" s="0"/>
      <c r="RLB60" s="0"/>
      <c r="RLC60" s="0"/>
      <c r="RLD60" s="0"/>
      <c r="RLE60" s="0"/>
      <c r="RLF60" s="0"/>
      <c r="RLG60" s="0"/>
      <c r="RLH60" s="0"/>
      <c r="RLI60" s="0"/>
      <c r="RLJ60" s="0"/>
      <c r="RLK60" s="0"/>
      <c r="RLL60" s="0"/>
      <c r="RLM60" s="0"/>
      <c r="RLN60" s="0"/>
      <c r="RLO60" s="0"/>
      <c r="RLP60" s="0"/>
      <c r="RLQ60" s="0"/>
      <c r="RLR60" s="0"/>
      <c r="RLS60" s="0"/>
      <c r="RLT60" s="0"/>
      <c r="RLU60" s="0"/>
      <c r="RLV60" s="0"/>
      <c r="RLW60" s="0"/>
      <c r="RLX60" s="0"/>
      <c r="RLY60" s="0"/>
      <c r="RLZ60" s="0"/>
      <c r="RMA60" s="0"/>
      <c r="RMB60" s="0"/>
      <c r="RMC60" s="0"/>
      <c r="RMD60" s="0"/>
      <c r="RME60" s="0"/>
      <c r="RMF60" s="0"/>
      <c r="RMG60" s="0"/>
      <c r="RMH60" s="0"/>
      <c r="RMI60" s="0"/>
      <c r="RMJ60" s="0"/>
      <c r="RMK60" s="0"/>
      <c r="RML60" s="0"/>
      <c r="RMM60" s="0"/>
      <c r="RMN60" s="0"/>
      <c r="RMO60" s="0"/>
      <c r="RMP60" s="0"/>
      <c r="RMQ60" s="0"/>
      <c r="RMR60" s="0"/>
      <c r="RMS60" s="0"/>
      <c r="RMT60" s="0"/>
      <c r="RMU60" s="0"/>
      <c r="RMV60" s="0"/>
      <c r="RMW60" s="0"/>
      <c r="RMX60" s="0"/>
      <c r="RMY60" s="0"/>
      <c r="RMZ60" s="0"/>
      <c r="RNA60" s="0"/>
      <c r="RNB60" s="0"/>
      <c r="RNC60" s="0"/>
      <c r="RND60" s="0"/>
      <c r="RNE60" s="0"/>
      <c r="RNF60" s="0"/>
      <c r="RNG60" s="0"/>
      <c r="RNH60" s="0"/>
      <c r="RNI60" s="0"/>
      <c r="RNJ60" s="0"/>
      <c r="RNK60" s="0"/>
      <c r="RNL60" s="0"/>
      <c r="RNM60" s="0"/>
      <c r="RNN60" s="0"/>
      <c r="RNO60" s="0"/>
      <c r="RNP60" s="0"/>
      <c r="RNQ60" s="0"/>
      <c r="RNR60" s="0"/>
      <c r="RNS60" s="0"/>
      <c r="RNT60" s="0"/>
      <c r="RNU60" s="0"/>
      <c r="RNV60" s="0"/>
      <c r="RNW60" s="0"/>
      <c r="RNX60" s="0"/>
      <c r="RNY60" s="0"/>
      <c r="RNZ60" s="0"/>
      <c r="ROA60" s="0"/>
      <c r="ROB60" s="0"/>
      <c r="ROC60" s="0"/>
      <c r="ROD60" s="0"/>
      <c r="ROE60" s="0"/>
      <c r="ROF60" s="0"/>
      <c r="ROG60" s="0"/>
      <c r="ROH60" s="0"/>
      <c r="ROI60" s="0"/>
      <c r="ROJ60" s="0"/>
      <c r="ROK60" s="0"/>
      <c r="ROL60" s="0"/>
      <c r="ROM60" s="0"/>
      <c r="RON60" s="0"/>
      <c r="ROO60" s="0"/>
      <c r="ROP60" s="0"/>
      <c r="ROQ60" s="0"/>
      <c r="ROR60" s="0"/>
      <c r="ROS60" s="0"/>
      <c r="ROT60" s="0"/>
      <c r="ROU60" s="0"/>
      <c r="ROV60" s="0"/>
      <c r="ROW60" s="0"/>
      <c r="ROX60" s="0"/>
      <c r="ROY60" s="0"/>
      <c r="ROZ60" s="0"/>
      <c r="RPA60" s="0"/>
      <c r="RPB60" s="0"/>
      <c r="RPC60" s="0"/>
      <c r="RPD60" s="0"/>
      <c r="RPE60" s="0"/>
      <c r="RPF60" s="0"/>
      <c r="RPG60" s="0"/>
      <c r="RPH60" s="0"/>
      <c r="RPI60" s="0"/>
      <c r="RPJ60" s="0"/>
      <c r="RPK60" s="0"/>
      <c r="RPL60" s="0"/>
      <c r="RPM60" s="0"/>
      <c r="RPN60" s="0"/>
      <c r="RPO60" s="0"/>
      <c r="RPP60" s="0"/>
      <c r="RPQ60" s="0"/>
      <c r="RPR60" s="0"/>
      <c r="RPS60" s="0"/>
      <c r="RPT60" s="0"/>
      <c r="RPU60" s="0"/>
      <c r="RPV60" s="0"/>
      <c r="RPW60" s="0"/>
      <c r="RPX60" s="0"/>
      <c r="RPY60" s="0"/>
      <c r="RPZ60" s="0"/>
      <c r="RQA60" s="0"/>
      <c r="RQB60" s="0"/>
      <c r="RQC60" s="0"/>
      <c r="RQD60" s="0"/>
      <c r="RQE60" s="0"/>
      <c r="RQF60" s="0"/>
      <c r="RQG60" s="0"/>
      <c r="RQH60" s="0"/>
      <c r="RQI60" s="0"/>
      <c r="RQJ60" s="0"/>
      <c r="RQK60" s="0"/>
      <c r="RQL60" s="0"/>
      <c r="RQM60" s="0"/>
      <c r="RQN60" s="0"/>
      <c r="RQO60" s="0"/>
      <c r="RQP60" s="0"/>
      <c r="RQQ60" s="0"/>
      <c r="RQR60" s="0"/>
      <c r="RQS60" s="0"/>
      <c r="RQT60" s="0"/>
      <c r="RQU60" s="0"/>
      <c r="RQV60" s="0"/>
      <c r="RQW60" s="0"/>
      <c r="RQX60" s="0"/>
      <c r="RQY60" s="0"/>
      <c r="RQZ60" s="0"/>
      <c r="RRA60" s="0"/>
      <c r="RRB60" s="0"/>
      <c r="RRC60" s="0"/>
      <c r="RRD60" s="0"/>
      <c r="RRE60" s="0"/>
      <c r="RRF60" s="0"/>
      <c r="RRG60" s="0"/>
      <c r="RRH60" s="0"/>
      <c r="RRI60" s="0"/>
      <c r="RRJ60" s="0"/>
      <c r="RRK60" s="0"/>
      <c r="RRL60" s="0"/>
      <c r="RRM60" s="0"/>
      <c r="RRN60" s="0"/>
      <c r="RRO60" s="0"/>
      <c r="RRP60" s="0"/>
      <c r="RRQ60" s="0"/>
      <c r="RRR60" s="0"/>
      <c r="RRS60" s="0"/>
      <c r="RRT60" s="0"/>
      <c r="RRU60" s="0"/>
      <c r="RRV60" s="0"/>
      <c r="RRW60" s="0"/>
      <c r="RRX60" s="0"/>
      <c r="RRY60" s="0"/>
      <c r="RRZ60" s="0"/>
      <c r="RSA60" s="0"/>
      <c r="RSB60" s="0"/>
      <c r="RSC60" s="0"/>
      <c r="RSD60" s="0"/>
      <c r="RSE60" s="0"/>
      <c r="RSF60" s="0"/>
      <c r="RSG60" s="0"/>
      <c r="RSH60" s="0"/>
      <c r="RSI60" s="0"/>
      <c r="RSJ60" s="0"/>
      <c r="RSK60" s="0"/>
      <c r="RSL60" s="0"/>
      <c r="RSM60" s="0"/>
      <c r="RSN60" s="0"/>
      <c r="RSO60" s="0"/>
      <c r="RSP60" s="0"/>
      <c r="RSQ60" s="0"/>
      <c r="RSR60" s="0"/>
      <c r="RSS60" s="0"/>
      <c r="RST60" s="0"/>
      <c r="RSU60" s="0"/>
      <c r="RSV60" s="0"/>
      <c r="RSW60" s="0"/>
      <c r="RSX60" s="0"/>
      <c r="RSY60" s="0"/>
      <c r="RSZ60" s="0"/>
      <c r="RTA60" s="0"/>
      <c r="RTB60" s="0"/>
      <c r="RTC60" s="0"/>
      <c r="RTD60" s="0"/>
      <c r="RTE60" s="0"/>
      <c r="RTF60" s="0"/>
      <c r="RTG60" s="0"/>
      <c r="RTH60" s="0"/>
      <c r="RTI60" s="0"/>
      <c r="RTJ60" s="0"/>
      <c r="RTK60" s="0"/>
      <c r="RTL60" s="0"/>
      <c r="RTM60" s="0"/>
      <c r="RTN60" s="0"/>
      <c r="RTO60" s="0"/>
      <c r="RTP60" s="0"/>
      <c r="RTQ60" s="0"/>
      <c r="RTR60" s="0"/>
      <c r="RTS60" s="0"/>
      <c r="RTT60" s="0"/>
      <c r="RTU60" s="0"/>
      <c r="RTV60" s="0"/>
      <c r="RTW60" s="0"/>
      <c r="RTX60" s="0"/>
      <c r="RTY60" s="0"/>
      <c r="RTZ60" s="0"/>
      <c r="RUA60" s="0"/>
      <c r="RUB60" s="0"/>
      <c r="RUC60" s="0"/>
      <c r="RUD60" s="0"/>
      <c r="RUE60" s="0"/>
      <c r="RUF60" s="0"/>
      <c r="RUG60" s="0"/>
      <c r="RUH60" s="0"/>
      <c r="RUI60" s="0"/>
      <c r="RUJ60" s="0"/>
      <c r="RUK60" s="0"/>
      <c r="RUL60" s="0"/>
      <c r="RUM60" s="0"/>
      <c r="RUN60" s="0"/>
      <c r="RUO60" s="0"/>
      <c r="RUP60" s="0"/>
      <c r="RUQ60" s="0"/>
      <c r="RUR60" s="0"/>
      <c r="RUS60" s="0"/>
      <c r="RUT60" s="0"/>
      <c r="RUU60" s="0"/>
      <c r="RUV60" s="0"/>
      <c r="RUW60" s="0"/>
      <c r="RUX60" s="0"/>
      <c r="RUY60" s="0"/>
      <c r="RUZ60" s="0"/>
      <c r="RVA60" s="0"/>
      <c r="RVB60" s="0"/>
      <c r="RVC60" s="0"/>
      <c r="RVD60" s="0"/>
      <c r="RVE60" s="0"/>
      <c r="RVF60" s="0"/>
      <c r="RVG60" s="0"/>
      <c r="RVH60" s="0"/>
      <c r="RVI60" s="0"/>
      <c r="RVJ60" s="0"/>
      <c r="RVK60" s="0"/>
      <c r="RVL60" s="0"/>
      <c r="RVM60" s="0"/>
      <c r="RVN60" s="0"/>
      <c r="RVO60" s="0"/>
      <c r="RVP60" s="0"/>
      <c r="RVQ60" s="0"/>
      <c r="RVR60" s="0"/>
      <c r="RVS60" s="0"/>
      <c r="RVT60" s="0"/>
      <c r="RVU60" s="0"/>
      <c r="RVV60" s="0"/>
      <c r="RVW60" s="0"/>
      <c r="RVX60" s="0"/>
      <c r="RVY60" s="0"/>
      <c r="RVZ60" s="0"/>
      <c r="RWA60" s="0"/>
      <c r="RWB60" s="0"/>
      <c r="RWC60" s="0"/>
      <c r="RWD60" s="0"/>
      <c r="RWE60" s="0"/>
      <c r="RWF60" s="0"/>
      <c r="RWG60" s="0"/>
      <c r="RWH60" s="0"/>
      <c r="RWI60" s="0"/>
      <c r="RWJ60" s="0"/>
      <c r="RWK60" s="0"/>
      <c r="RWL60" s="0"/>
      <c r="RWM60" s="0"/>
      <c r="RWN60" s="0"/>
      <c r="RWO60" s="0"/>
      <c r="RWP60" s="0"/>
      <c r="RWQ60" s="0"/>
      <c r="RWR60" s="0"/>
      <c r="RWS60" s="0"/>
      <c r="RWT60" s="0"/>
      <c r="RWU60" s="0"/>
      <c r="RWV60" s="0"/>
      <c r="RWW60" s="0"/>
      <c r="RWX60" s="0"/>
      <c r="RWY60" s="0"/>
      <c r="RWZ60" s="0"/>
      <c r="RXA60" s="0"/>
      <c r="RXB60" s="0"/>
      <c r="RXC60" s="0"/>
      <c r="RXD60" s="0"/>
      <c r="RXE60" s="0"/>
      <c r="RXF60" s="0"/>
      <c r="RXG60" s="0"/>
      <c r="RXH60" s="0"/>
      <c r="RXI60" s="0"/>
      <c r="RXJ60" s="0"/>
      <c r="RXK60" s="0"/>
      <c r="RXL60" s="0"/>
      <c r="RXM60" s="0"/>
      <c r="RXN60" s="0"/>
      <c r="RXO60" s="0"/>
      <c r="RXP60" s="0"/>
      <c r="RXQ60" s="0"/>
      <c r="RXR60" s="0"/>
      <c r="RXS60" s="0"/>
      <c r="RXT60" s="0"/>
      <c r="RXU60" s="0"/>
      <c r="RXV60" s="0"/>
      <c r="RXW60" s="0"/>
      <c r="RXX60" s="0"/>
      <c r="RXY60" s="0"/>
      <c r="RXZ60" s="0"/>
      <c r="RYA60" s="0"/>
      <c r="RYB60" s="0"/>
      <c r="RYC60" s="0"/>
      <c r="RYD60" s="0"/>
      <c r="RYE60" s="0"/>
      <c r="RYF60" s="0"/>
      <c r="RYG60" s="0"/>
      <c r="RYH60" s="0"/>
      <c r="RYI60" s="0"/>
      <c r="RYJ60" s="0"/>
      <c r="RYK60" s="0"/>
      <c r="RYL60" s="0"/>
      <c r="RYM60" s="0"/>
      <c r="RYN60" s="0"/>
      <c r="RYO60" s="0"/>
      <c r="RYP60" s="0"/>
      <c r="RYQ60" s="0"/>
      <c r="RYR60" s="0"/>
      <c r="RYS60" s="0"/>
      <c r="RYT60" s="0"/>
      <c r="RYU60" s="0"/>
      <c r="RYV60" s="0"/>
      <c r="RYW60" s="0"/>
      <c r="RYX60" s="0"/>
      <c r="RYY60" s="0"/>
      <c r="RYZ60" s="0"/>
      <c r="RZA60" s="0"/>
      <c r="RZB60" s="0"/>
      <c r="RZC60" s="0"/>
      <c r="RZD60" s="0"/>
      <c r="RZE60" s="0"/>
      <c r="RZF60" s="0"/>
      <c r="RZG60" s="0"/>
      <c r="RZH60" s="0"/>
      <c r="RZI60" s="0"/>
      <c r="RZJ60" s="0"/>
      <c r="RZK60" s="0"/>
      <c r="RZL60" s="0"/>
      <c r="RZM60" s="0"/>
      <c r="RZN60" s="0"/>
      <c r="RZO60" s="0"/>
      <c r="RZP60" s="0"/>
      <c r="RZQ60" s="0"/>
      <c r="RZR60" s="0"/>
      <c r="RZS60" s="0"/>
      <c r="RZT60" s="0"/>
      <c r="RZU60" s="0"/>
      <c r="RZV60" s="0"/>
      <c r="RZW60" s="0"/>
      <c r="RZX60" s="0"/>
      <c r="RZY60" s="0"/>
      <c r="RZZ60" s="0"/>
      <c r="SAA60" s="0"/>
      <c r="SAB60" s="0"/>
      <c r="SAC60" s="0"/>
      <c r="SAD60" s="0"/>
      <c r="SAE60" s="0"/>
      <c r="SAF60" s="0"/>
      <c r="SAG60" s="0"/>
      <c r="SAH60" s="0"/>
      <c r="SAI60" s="0"/>
      <c r="SAJ60" s="0"/>
      <c r="SAK60" s="0"/>
      <c r="SAL60" s="0"/>
      <c r="SAM60" s="0"/>
      <c r="SAN60" s="0"/>
      <c r="SAO60" s="0"/>
      <c r="SAP60" s="0"/>
      <c r="SAQ60" s="0"/>
      <c r="SAR60" s="0"/>
      <c r="SAS60" s="0"/>
      <c r="SAT60" s="0"/>
      <c r="SAU60" s="0"/>
      <c r="SAV60" s="0"/>
      <c r="SAW60" s="0"/>
      <c r="SAX60" s="0"/>
      <c r="SAY60" s="0"/>
      <c r="SAZ60" s="0"/>
      <c r="SBA60" s="0"/>
      <c r="SBB60" s="0"/>
      <c r="SBC60" s="0"/>
      <c r="SBD60" s="0"/>
      <c r="SBE60" s="0"/>
      <c r="SBF60" s="0"/>
      <c r="SBG60" s="0"/>
      <c r="SBH60" s="0"/>
      <c r="SBI60" s="0"/>
      <c r="SBJ60" s="0"/>
      <c r="SBK60" s="0"/>
      <c r="SBL60" s="0"/>
      <c r="SBM60" s="0"/>
      <c r="SBN60" s="0"/>
      <c r="SBO60" s="0"/>
      <c r="SBP60" s="0"/>
      <c r="SBQ60" s="0"/>
      <c r="SBR60" s="0"/>
      <c r="SBS60" s="0"/>
      <c r="SBT60" s="0"/>
      <c r="SBU60" s="0"/>
      <c r="SBV60" s="0"/>
      <c r="SBW60" s="0"/>
      <c r="SBX60" s="0"/>
      <c r="SBY60" s="0"/>
      <c r="SBZ60" s="0"/>
      <c r="SCA60" s="0"/>
      <c r="SCB60" s="0"/>
      <c r="SCC60" s="0"/>
      <c r="SCD60" s="0"/>
      <c r="SCE60" s="0"/>
      <c r="SCF60" s="0"/>
      <c r="SCG60" s="0"/>
      <c r="SCH60" s="0"/>
      <c r="SCI60" s="0"/>
      <c r="SCJ60" s="0"/>
      <c r="SCK60" s="0"/>
      <c r="SCL60" s="0"/>
      <c r="SCM60" s="0"/>
      <c r="SCN60" s="0"/>
      <c r="SCO60" s="0"/>
      <c r="SCP60" s="0"/>
      <c r="SCQ60" s="0"/>
      <c r="SCR60" s="0"/>
      <c r="SCS60" s="0"/>
      <c r="SCT60" s="0"/>
      <c r="SCU60" s="0"/>
      <c r="SCV60" s="0"/>
      <c r="SCW60" s="0"/>
      <c r="SCX60" s="0"/>
      <c r="SCY60" s="0"/>
      <c r="SCZ60" s="0"/>
      <c r="SDA60" s="0"/>
      <c r="SDB60" s="0"/>
      <c r="SDC60" s="0"/>
      <c r="SDD60" s="0"/>
      <c r="SDE60" s="0"/>
      <c r="SDF60" s="0"/>
      <c r="SDG60" s="0"/>
      <c r="SDH60" s="0"/>
      <c r="SDI60" s="0"/>
      <c r="SDJ60" s="0"/>
      <c r="SDK60" s="0"/>
      <c r="SDL60" s="0"/>
      <c r="SDM60" s="0"/>
      <c r="SDN60" s="0"/>
      <c r="SDO60" s="0"/>
      <c r="SDP60" s="0"/>
      <c r="SDQ60" s="0"/>
      <c r="SDR60" s="0"/>
      <c r="SDS60" s="0"/>
      <c r="SDT60" s="0"/>
      <c r="SDU60" s="0"/>
      <c r="SDV60" s="0"/>
      <c r="SDW60" s="0"/>
      <c r="SDX60" s="0"/>
      <c r="SDY60" s="0"/>
      <c r="SDZ60" s="0"/>
      <c r="SEA60" s="0"/>
      <c r="SEB60" s="0"/>
      <c r="SEC60" s="0"/>
      <c r="SED60" s="0"/>
      <c r="SEE60" s="0"/>
      <c r="SEF60" s="0"/>
      <c r="SEG60" s="0"/>
      <c r="SEH60" s="0"/>
      <c r="SEI60" s="0"/>
      <c r="SEJ60" s="0"/>
      <c r="SEK60" s="0"/>
      <c r="SEL60" s="0"/>
      <c r="SEM60" s="0"/>
      <c r="SEN60" s="0"/>
      <c r="SEO60" s="0"/>
      <c r="SEP60" s="0"/>
      <c r="SEQ60" s="0"/>
      <c r="SER60" s="0"/>
      <c r="SES60" s="0"/>
      <c r="SET60" s="0"/>
      <c r="SEU60" s="0"/>
      <c r="SEV60" s="0"/>
      <c r="SEW60" s="0"/>
      <c r="SEX60" s="0"/>
      <c r="SEY60" s="0"/>
      <c r="SEZ60" s="0"/>
      <c r="SFA60" s="0"/>
      <c r="SFB60" s="0"/>
      <c r="SFC60" s="0"/>
      <c r="SFD60" s="0"/>
      <c r="SFE60" s="0"/>
      <c r="SFF60" s="0"/>
      <c r="SFG60" s="0"/>
      <c r="SFH60" s="0"/>
      <c r="SFI60" s="0"/>
      <c r="SFJ60" s="0"/>
      <c r="SFK60" s="0"/>
      <c r="SFL60" s="0"/>
      <c r="SFM60" s="0"/>
      <c r="SFN60" s="0"/>
      <c r="SFO60" s="0"/>
      <c r="SFP60" s="0"/>
      <c r="SFQ60" s="0"/>
      <c r="SFR60" s="0"/>
      <c r="SFS60" s="0"/>
      <c r="SFT60" s="0"/>
      <c r="SFU60" s="0"/>
      <c r="SFV60" s="0"/>
      <c r="SFW60" s="0"/>
      <c r="SFX60" s="0"/>
      <c r="SFY60" s="0"/>
      <c r="SFZ60" s="0"/>
      <c r="SGA60" s="0"/>
      <c r="SGB60" s="0"/>
      <c r="SGC60" s="0"/>
      <c r="SGD60" s="0"/>
      <c r="SGE60" s="0"/>
      <c r="SGF60" s="0"/>
      <c r="SGG60" s="0"/>
      <c r="SGH60" s="0"/>
      <c r="SGI60" s="0"/>
      <c r="SGJ60" s="0"/>
      <c r="SGK60" s="0"/>
      <c r="SGL60" s="0"/>
      <c r="SGM60" s="0"/>
      <c r="SGN60" s="0"/>
      <c r="SGO60" s="0"/>
      <c r="SGP60" s="0"/>
      <c r="SGQ60" s="0"/>
      <c r="SGR60" s="0"/>
      <c r="SGS60" s="0"/>
      <c r="SGT60" s="0"/>
      <c r="SGU60" s="0"/>
      <c r="SGV60" s="0"/>
      <c r="SGW60" s="0"/>
      <c r="SGX60" s="0"/>
      <c r="SGY60" s="0"/>
      <c r="SGZ60" s="0"/>
      <c r="SHA60" s="0"/>
      <c r="SHB60" s="0"/>
      <c r="SHC60" s="0"/>
      <c r="SHD60" s="0"/>
      <c r="SHE60" s="0"/>
      <c r="SHF60" s="0"/>
      <c r="SHG60" s="0"/>
      <c r="SHH60" s="0"/>
      <c r="SHI60" s="0"/>
      <c r="SHJ60" s="0"/>
      <c r="SHK60" s="0"/>
      <c r="SHL60" s="0"/>
      <c r="SHM60" s="0"/>
      <c r="SHN60" s="0"/>
      <c r="SHO60" s="0"/>
      <c r="SHP60" s="0"/>
      <c r="SHQ60" s="0"/>
      <c r="SHR60" s="0"/>
      <c r="SHS60" s="0"/>
      <c r="SHT60" s="0"/>
      <c r="SHU60" s="0"/>
      <c r="SHV60" s="0"/>
      <c r="SHW60" s="0"/>
      <c r="SHX60" s="0"/>
      <c r="SHY60" s="0"/>
      <c r="SHZ60" s="0"/>
      <c r="SIA60" s="0"/>
      <c r="SIB60" s="0"/>
      <c r="SIC60" s="0"/>
      <c r="SID60" s="0"/>
      <c r="SIE60" s="0"/>
      <c r="SIF60" s="0"/>
      <c r="SIG60" s="0"/>
      <c r="SIH60" s="0"/>
      <c r="SII60" s="0"/>
      <c r="SIJ60" s="0"/>
      <c r="SIK60" s="0"/>
      <c r="SIL60" s="0"/>
      <c r="SIM60" s="0"/>
      <c r="SIN60" s="0"/>
      <c r="SIO60" s="0"/>
      <c r="SIP60" s="0"/>
      <c r="SIQ60" s="0"/>
      <c r="SIR60" s="0"/>
      <c r="SIS60" s="0"/>
      <c r="SIT60" s="0"/>
      <c r="SIU60" s="0"/>
      <c r="SIV60" s="0"/>
      <c r="SIW60" s="0"/>
      <c r="SIX60" s="0"/>
      <c r="SIY60" s="0"/>
      <c r="SIZ60" s="0"/>
      <c r="SJA60" s="0"/>
      <c r="SJB60" s="0"/>
      <c r="SJC60" s="0"/>
      <c r="SJD60" s="0"/>
      <c r="SJE60" s="0"/>
      <c r="SJF60" s="0"/>
      <c r="SJG60" s="0"/>
      <c r="SJH60" s="0"/>
      <c r="SJI60" s="0"/>
      <c r="SJJ60" s="0"/>
      <c r="SJK60" s="0"/>
      <c r="SJL60" s="0"/>
      <c r="SJM60" s="0"/>
      <c r="SJN60" s="0"/>
      <c r="SJO60" s="0"/>
      <c r="SJP60" s="0"/>
      <c r="SJQ60" s="0"/>
      <c r="SJR60" s="0"/>
      <c r="SJS60" s="0"/>
      <c r="SJT60" s="0"/>
      <c r="SJU60" s="0"/>
      <c r="SJV60" s="0"/>
      <c r="SJW60" s="0"/>
      <c r="SJX60" s="0"/>
      <c r="SJY60" s="0"/>
      <c r="SJZ60" s="0"/>
      <c r="SKA60" s="0"/>
      <c r="SKB60" s="0"/>
      <c r="SKC60" s="0"/>
      <c r="SKD60" s="0"/>
      <c r="SKE60" s="0"/>
      <c r="SKF60" s="0"/>
      <c r="SKG60" s="0"/>
      <c r="SKH60" s="0"/>
      <c r="SKI60" s="0"/>
      <c r="SKJ60" s="0"/>
      <c r="SKK60" s="0"/>
      <c r="SKL60" s="0"/>
      <c r="SKM60" s="0"/>
      <c r="SKN60" s="0"/>
      <c r="SKO60" s="0"/>
      <c r="SKP60" s="0"/>
      <c r="SKQ60" s="0"/>
      <c r="SKR60" s="0"/>
      <c r="SKS60" s="0"/>
      <c r="SKT60" s="0"/>
      <c r="SKU60" s="0"/>
      <c r="SKV60" s="0"/>
      <c r="SKW60" s="0"/>
      <c r="SKX60" s="0"/>
      <c r="SKY60" s="0"/>
      <c r="SKZ60" s="0"/>
      <c r="SLA60" s="0"/>
      <c r="SLB60" s="0"/>
      <c r="SLC60" s="0"/>
      <c r="SLD60" s="0"/>
      <c r="SLE60" s="0"/>
      <c r="SLF60" s="0"/>
      <c r="SLG60" s="0"/>
      <c r="SLH60" s="0"/>
      <c r="SLI60" s="0"/>
      <c r="SLJ60" s="0"/>
      <c r="SLK60" s="0"/>
      <c r="SLL60" s="0"/>
      <c r="SLM60" s="0"/>
      <c r="SLN60" s="0"/>
      <c r="SLO60" s="0"/>
      <c r="SLP60" s="0"/>
      <c r="SLQ60" s="0"/>
      <c r="SLR60" s="0"/>
      <c r="SLS60" s="0"/>
      <c r="SLT60" s="0"/>
      <c r="SLU60" s="0"/>
      <c r="SLV60" s="0"/>
      <c r="SLW60" s="0"/>
      <c r="SLX60" s="0"/>
      <c r="SLY60" s="0"/>
      <c r="SLZ60" s="0"/>
      <c r="SMA60" s="0"/>
      <c r="SMB60" s="0"/>
      <c r="SMC60" s="0"/>
      <c r="SMD60" s="0"/>
      <c r="SME60" s="0"/>
      <c r="SMF60" s="0"/>
      <c r="SMG60" s="0"/>
      <c r="SMH60" s="0"/>
      <c r="SMI60" s="0"/>
      <c r="SMJ60" s="0"/>
      <c r="SMK60" s="0"/>
      <c r="SML60" s="0"/>
      <c r="SMM60" s="0"/>
      <c r="SMN60" s="0"/>
      <c r="SMO60" s="0"/>
      <c r="SMP60" s="0"/>
      <c r="SMQ60" s="0"/>
      <c r="SMR60" s="0"/>
      <c r="SMS60" s="0"/>
      <c r="SMT60" s="0"/>
      <c r="SMU60" s="0"/>
      <c r="SMV60" s="0"/>
      <c r="SMW60" s="0"/>
      <c r="SMX60" s="0"/>
      <c r="SMY60" s="0"/>
      <c r="SMZ60" s="0"/>
      <c r="SNA60" s="0"/>
      <c r="SNB60" s="0"/>
      <c r="SNC60" s="0"/>
      <c r="SND60" s="0"/>
      <c r="SNE60" s="0"/>
      <c r="SNF60" s="0"/>
      <c r="SNG60" s="0"/>
      <c r="SNH60" s="0"/>
      <c r="SNI60" s="0"/>
      <c r="SNJ60" s="0"/>
      <c r="SNK60" s="0"/>
      <c r="SNL60" s="0"/>
      <c r="SNM60" s="0"/>
      <c r="SNN60" s="0"/>
      <c r="SNO60" s="0"/>
      <c r="SNP60" s="0"/>
      <c r="SNQ60" s="0"/>
      <c r="SNR60" s="0"/>
      <c r="SNS60" s="0"/>
      <c r="SNT60" s="0"/>
      <c r="SNU60" s="0"/>
      <c r="SNV60" s="0"/>
      <c r="SNW60" s="0"/>
      <c r="SNX60" s="0"/>
      <c r="SNY60" s="0"/>
      <c r="SNZ60" s="0"/>
      <c r="SOA60" s="0"/>
      <c r="SOB60" s="0"/>
      <c r="SOC60" s="0"/>
      <c r="SOD60" s="0"/>
      <c r="SOE60" s="0"/>
      <c r="SOF60" s="0"/>
      <c r="SOG60" s="0"/>
      <c r="SOH60" s="0"/>
      <c r="SOI60" s="0"/>
      <c r="SOJ60" s="0"/>
      <c r="SOK60" s="0"/>
      <c r="SOL60" s="0"/>
      <c r="SOM60" s="0"/>
      <c r="SON60" s="0"/>
      <c r="SOO60" s="0"/>
      <c r="SOP60" s="0"/>
      <c r="SOQ60" s="0"/>
      <c r="SOR60" s="0"/>
      <c r="SOS60" s="0"/>
      <c r="SOT60" s="0"/>
      <c r="SOU60" s="0"/>
      <c r="SOV60" s="0"/>
      <c r="SOW60" s="0"/>
      <c r="SOX60" s="0"/>
      <c r="SOY60" s="0"/>
      <c r="SOZ60" s="0"/>
      <c r="SPA60" s="0"/>
      <c r="SPB60" s="0"/>
      <c r="SPC60" s="0"/>
      <c r="SPD60" s="0"/>
      <c r="SPE60" s="0"/>
      <c r="SPF60" s="0"/>
      <c r="SPG60" s="0"/>
      <c r="SPH60" s="0"/>
      <c r="SPI60" s="0"/>
      <c r="SPJ60" s="0"/>
      <c r="SPK60" s="0"/>
      <c r="SPL60" s="0"/>
      <c r="SPM60" s="0"/>
      <c r="SPN60" s="0"/>
      <c r="SPO60" s="0"/>
      <c r="SPP60" s="0"/>
      <c r="SPQ60" s="0"/>
      <c r="SPR60" s="0"/>
      <c r="SPS60" s="0"/>
      <c r="SPT60" s="0"/>
      <c r="SPU60" s="0"/>
      <c r="SPV60" s="0"/>
      <c r="SPW60" s="0"/>
      <c r="SPX60" s="0"/>
      <c r="SPY60" s="0"/>
      <c r="SPZ60" s="0"/>
      <c r="SQA60" s="0"/>
      <c r="SQB60" s="0"/>
      <c r="SQC60" s="0"/>
      <c r="SQD60" s="0"/>
      <c r="SQE60" s="0"/>
      <c r="SQF60" s="0"/>
      <c r="SQG60" s="0"/>
      <c r="SQH60" s="0"/>
      <c r="SQI60" s="0"/>
      <c r="SQJ60" s="0"/>
      <c r="SQK60" s="0"/>
      <c r="SQL60" s="0"/>
      <c r="SQM60" s="0"/>
      <c r="SQN60" s="0"/>
      <c r="SQO60" s="0"/>
      <c r="SQP60" s="0"/>
      <c r="SQQ60" s="0"/>
      <c r="SQR60" s="0"/>
      <c r="SQS60" s="0"/>
      <c r="SQT60" s="0"/>
      <c r="SQU60" s="0"/>
      <c r="SQV60" s="0"/>
      <c r="SQW60" s="0"/>
      <c r="SQX60" s="0"/>
      <c r="SQY60" s="0"/>
      <c r="SQZ60" s="0"/>
      <c r="SRA60" s="0"/>
      <c r="SRB60" s="0"/>
      <c r="SRC60" s="0"/>
      <c r="SRD60" s="0"/>
      <c r="SRE60" s="0"/>
      <c r="SRF60" s="0"/>
      <c r="SRG60" s="0"/>
      <c r="SRH60" s="0"/>
      <c r="SRI60" s="0"/>
      <c r="SRJ60" s="0"/>
      <c r="SRK60" s="0"/>
      <c r="SRL60" s="0"/>
      <c r="SRM60" s="0"/>
      <c r="SRN60" s="0"/>
      <c r="SRO60" s="0"/>
      <c r="SRP60" s="0"/>
      <c r="SRQ60" s="0"/>
      <c r="SRR60" s="0"/>
      <c r="SRS60" s="0"/>
      <c r="SRT60" s="0"/>
      <c r="SRU60" s="0"/>
      <c r="SRV60" s="0"/>
      <c r="SRW60" s="0"/>
      <c r="SRX60" s="0"/>
      <c r="SRY60" s="0"/>
      <c r="SRZ60" s="0"/>
      <c r="SSA60" s="0"/>
      <c r="SSB60" s="0"/>
      <c r="SSC60" s="0"/>
      <c r="SSD60" s="0"/>
      <c r="SSE60" s="0"/>
      <c r="SSF60" s="0"/>
      <c r="SSG60" s="0"/>
      <c r="SSH60" s="0"/>
      <c r="SSI60" s="0"/>
      <c r="SSJ60" s="0"/>
      <c r="SSK60" s="0"/>
      <c r="SSL60" s="0"/>
      <c r="SSM60" s="0"/>
      <c r="SSN60" s="0"/>
      <c r="SSO60" s="0"/>
      <c r="SSP60" s="0"/>
      <c r="SSQ60" s="0"/>
      <c r="SSR60" s="0"/>
      <c r="SSS60" s="0"/>
      <c r="SST60" s="0"/>
      <c r="SSU60" s="0"/>
      <c r="SSV60" s="0"/>
      <c r="SSW60" s="0"/>
      <c r="SSX60" s="0"/>
      <c r="SSY60" s="0"/>
      <c r="SSZ60" s="0"/>
      <c r="STA60" s="0"/>
      <c r="STB60" s="0"/>
      <c r="STC60" s="0"/>
      <c r="STD60" s="0"/>
      <c r="STE60" s="0"/>
      <c r="STF60" s="0"/>
      <c r="STG60" s="0"/>
      <c r="STH60" s="0"/>
      <c r="STI60" s="0"/>
      <c r="STJ60" s="0"/>
      <c r="STK60" s="0"/>
      <c r="STL60" s="0"/>
      <c r="STM60" s="0"/>
      <c r="STN60" s="0"/>
      <c r="STO60" s="0"/>
      <c r="STP60" s="0"/>
      <c r="STQ60" s="0"/>
      <c r="STR60" s="0"/>
      <c r="STS60" s="0"/>
      <c r="STT60" s="0"/>
      <c r="STU60" s="0"/>
      <c r="STV60" s="0"/>
      <c r="STW60" s="0"/>
      <c r="STX60" s="0"/>
      <c r="STY60" s="0"/>
      <c r="STZ60" s="0"/>
      <c r="SUA60" s="0"/>
      <c r="SUB60" s="0"/>
      <c r="SUC60" s="0"/>
      <c r="SUD60" s="0"/>
      <c r="SUE60" s="0"/>
      <c r="SUF60" s="0"/>
      <c r="SUG60" s="0"/>
      <c r="SUH60" s="0"/>
      <c r="SUI60" s="0"/>
      <c r="SUJ60" s="0"/>
      <c r="SUK60" s="0"/>
      <c r="SUL60" s="0"/>
      <c r="SUM60" s="0"/>
      <c r="SUN60" s="0"/>
      <c r="SUO60" s="0"/>
      <c r="SUP60" s="0"/>
      <c r="SUQ60" s="0"/>
      <c r="SUR60" s="0"/>
      <c r="SUS60" s="0"/>
      <c r="SUT60" s="0"/>
      <c r="SUU60" s="0"/>
      <c r="SUV60" s="0"/>
      <c r="SUW60" s="0"/>
      <c r="SUX60" s="0"/>
      <c r="SUY60" s="0"/>
      <c r="SUZ60" s="0"/>
      <c r="SVA60" s="0"/>
      <c r="SVB60" s="0"/>
      <c r="SVC60" s="0"/>
      <c r="SVD60" s="0"/>
      <c r="SVE60" s="0"/>
      <c r="SVF60" s="0"/>
      <c r="SVG60" s="0"/>
      <c r="SVH60" s="0"/>
      <c r="SVI60" s="0"/>
      <c r="SVJ60" s="0"/>
      <c r="SVK60" s="0"/>
      <c r="SVL60" s="0"/>
      <c r="SVM60" s="0"/>
      <c r="SVN60" s="0"/>
      <c r="SVO60" s="0"/>
      <c r="SVP60" s="0"/>
      <c r="SVQ60" s="0"/>
      <c r="SVR60" s="0"/>
      <c r="SVS60" s="0"/>
      <c r="SVT60" s="0"/>
      <c r="SVU60" s="0"/>
      <c r="SVV60" s="0"/>
      <c r="SVW60" s="0"/>
      <c r="SVX60" s="0"/>
      <c r="SVY60" s="0"/>
      <c r="SVZ60" s="0"/>
      <c r="SWA60" s="0"/>
      <c r="SWB60" s="0"/>
      <c r="SWC60" s="0"/>
      <c r="SWD60" s="0"/>
      <c r="SWE60" s="0"/>
      <c r="SWF60" s="0"/>
      <c r="SWG60" s="0"/>
      <c r="SWH60" s="0"/>
      <c r="SWI60" s="0"/>
      <c r="SWJ60" s="0"/>
      <c r="SWK60" s="0"/>
      <c r="SWL60" s="0"/>
      <c r="SWM60" s="0"/>
      <c r="SWN60" s="0"/>
      <c r="SWO60" s="0"/>
      <c r="SWP60" s="0"/>
      <c r="SWQ60" s="0"/>
      <c r="SWR60" s="0"/>
      <c r="SWS60" s="0"/>
      <c r="SWT60" s="0"/>
      <c r="SWU60" s="0"/>
      <c r="SWV60" s="0"/>
      <c r="SWW60" s="0"/>
      <c r="SWX60" s="0"/>
      <c r="SWY60" s="0"/>
      <c r="SWZ60" s="0"/>
      <c r="SXA60" s="0"/>
      <c r="SXB60" s="0"/>
      <c r="SXC60" s="0"/>
      <c r="SXD60" s="0"/>
      <c r="SXE60" s="0"/>
      <c r="SXF60" s="0"/>
      <c r="SXG60" s="0"/>
      <c r="SXH60" s="0"/>
      <c r="SXI60" s="0"/>
      <c r="SXJ60" s="0"/>
      <c r="SXK60" s="0"/>
      <c r="SXL60" s="0"/>
      <c r="SXM60" s="0"/>
      <c r="SXN60" s="0"/>
      <c r="SXO60" s="0"/>
      <c r="SXP60" s="0"/>
      <c r="SXQ60" s="0"/>
      <c r="SXR60" s="0"/>
      <c r="SXS60" s="0"/>
      <c r="SXT60" s="0"/>
      <c r="SXU60" s="0"/>
      <c r="SXV60" s="0"/>
      <c r="SXW60" s="0"/>
      <c r="SXX60" s="0"/>
      <c r="SXY60" s="0"/>
      <c r="SXZ60" s="0"/>
      <c r="SYA60" s="0"/>
      <c r="SYB60" s="0"/>
      <c r="SYC60" s="0"/>
      <c r="SYD60" s="0"/>
      <c r="SYE60" s="0"/>
      <c r="SYF60" s="0"/>
      <c r="SYG60" s="0"/>
      <c r="SYH60" s="0"/>
      <c r="SYI60" s="0"/>
      <c r="SYJ60" s="0"/>
      <c r="SYK60" s="0"/>
      <c r="SYL60" s="0"/>
      <c r="SYM60" s="0"/>
      <c r="SYN60" s="0"/>
      <c r="SYO60" s="0"/>
      <c r="SYP60" s="0"/>
      <c r="SYQ60" s="0"/>
      <c r="SYR60" s="0"/>
      <c r="SYS60" s="0"/>
      <c r="SYT60" s="0"/>
      <c r="SYU60" s="0"/>
      <c r="SYV60" s="0"/>
      <c r="SYW60" s="0"/>
      <c r="SYX60" s="0"/>
      <c r="SYY60" s="0"/>
      <c r="SYZ60" s="0"/>
      <c r="SZA60" s="0"/>
      <c r="SZB60" s="0"/>
      <c r="SZC60" s="0"/>
      <c r="SZD60" s="0"/>
      <c r="SZE60" s="0"/>
      <c r="SZF60" s="0"/>
      <c r="SZG60" s="0"/>
      <c r="SZH60" s="0"/>
      <c r="SZI60" s="0"/>
      <c r="SZJ60" s="0"/>
      <c r="SZK60" s="0"/>
      <c r="SZL60" s="0"/>
      <c r="SZM60" s="0"/>
      <c r="SZN60" s="0"/>
      <c r="SZO60" s="0"/>
      <c r="SZP60" s="0"/>
      <c r="SZQ60" s="0"/>
      <c r="SZR60" s="0"/>
      <c r="SZS60" s="0"/>
      <c r="SZT60" s="0"/>
      <c r="SZU60" s="0"/>
      <c r="SZV60" s="0"/>
      <c r="SZW60" s="0"/>
      <c r="SZX60" s="0"/>
      <c r="SZY60" s="0"/>
      <c r="SZZ60" s="0"/>
      <c r="TAA60" s="0"/>
      <c r="TAB60" s="0"/>
      <c r="TAC60" s="0"/>
      <c r="TAD60" s="0"/>
      <c r="TAE60" s="0"/>
      <c r="TAF60" s="0"/>
      <c r="TAG60" s="0"/>
      <c r="TAH60" s="0"/>
      <c r="TAI60" s="0"/>
      <c r="TAJ60" s="0"/>
      <c r="TAK60" s="0"/>
      <c r="TAL60" s="0"/>
      <c r="TAM60" s="0"/>
      <c r="TAN60" s="0"/>
      <c r="TAO60" s="0"/>
      <c r="TAP60" s="0"/>
      <c r="TAQ60" s="0"/>
      <c r="TAR60" s="0"/>
      <c r="TAS60" s="0"/>
      <c r="TAT60" s="0"/>
      <c r="TAU60" s="0"/>
      <c r="TAV60" s="0"/>
      <c r="TAW60" s="0"/>
      <c r="TAX60" s="0"/>
      <c r="TAY60" s="0"/>
      <c r="TAZ60" s="0"/>
      <c r="TBA60" s="0"/>
      <c r="TBB60" s="0"/>
      <c r="TBC60" s="0"/>
      <c r="TBD60" s="0"/>
      <c r="TBE60" s="0"/>
      <c r="TBF60" s="0"/>
      <c r="TBG60" s="0"/>
      <c r="TBH60" s="0"/>
      <c r="TBI60" s="0"/>
      <c r="TBJ60" s="0"/>
      <c r="TBK60" s="0"/>
      <c r="TBL60" s="0"/>
      <c r="TBM60" s="0"/>
      <c r="TBN60" s="0"/>
      <c r="TBO60" s="0"/>
      <c r="TBP60" s="0"/>
      <c r="TBQ60" s="0"/>
      <c r="TBR60" s="0"/>
      <c r="TBS60" s="0"/>
      <c r="TBT60" s="0"/>
      <c r="TBU60" s="0"/>
      <c r="TBV60" s="0"/>
      <c r="TBW60" s="0"/>
      <c r="TBX60" s="0"/>
      <c r="TBY60" s="0"/>
      <c r="TBZ60" s="0"/>
      <c r="TCA60" s="0"/>
      <c r="TCB60" s="0"/>
      <c r="TCC60" s="0"/>
      <c r="TCD60" s="0"/>
      <c r="TCE60" s="0"/>
      <c r="TCF60" s="0"/>
      <c r="TCG60" s="0"/>
      <c r="TCH60" s="0"/>
      <c r="TCI60" s="0"/>
      <c r="TCJ60" s="0"/>
      <c r="TCK60" s="0"/>
      <c r="TCL60" s="0"/>
      <c r="TCM60" s="0"/>
      <c r="TCN60" s="0"/>
      <c r="TCO60" s="0"/>
      <c r="TCP60" s="0"/>
      <c r="TCQ60" s="0"/>
      <c r="TCR60" s="0"/>
      <c r="TCS60" s="0"/>
      <c r="TCT60" s="0"/>
      <c r="TCU60" s="0"/>
      <c r="TCV60" s="0"/>
      <c r="TCW60" s="0"/>
      <c r="TCX60" s="0"/>
      <c r="TCY60" s="0"/>
      <c r="TCZ60" s="0"/>
      <c r="TDA60" s="0"/>
      <c r="TDB60" s="0"/>
      <c r="TDC60" s="0"/>
      <c r="TDD60" s="0"/>
      <c r="TDE60" s="0"/>
      <c r="TDF60" s="0"/>
      <c r="TDG60" s="0"/>
      <c r="TDH60" s="0"/>
      <c r="TDI60" s="0"/>
      <c r="TDJ60" s="0"/>
      <c r="TDK60" s="0"/>
      <c r="TDL60" s="0"/>
      <c r="TDM60" s="0"/>
      <c r="TDN60" s="0"/>
      <c r="TDO60" s="0"/>
      <c r="TDP60" s="0"/>
      <c r="TDQ60" s="0"/>
      <c r="TDR60" s="0"/>
      <c r="TDS60" s="0"/>
      <c r="TDT60" s="0"/>
      <c r="TDU60" s="0"/>
      <c r="TDV60" s="0"/>
      <c r="TDW60" s="0"/>
      <c r="TDX60" s="0"/>
      <c r="TDY60" s="0"/>
      <c r="TDZ60" s="0"/>
      <c r="TEA60" s="0"/>
      <c r="TEB60" s="0"/>
      <c r="TEC60" s="0"/>
      <c r="TED60" s="0"/>
      <c r="TEE60" s="0"/>
      <c r="TEF60" s="0"/>
      <c r="TEG60" s="0"/>
      <c r="TEH60" s="0"/>
      <c r="TEI60" s="0"/>
      <c r="TEJ60" s="0"/>
      <c r="TEK60" s="0"/>
      <c r="TEL60" s="0"/>
      <c r="TEM60" s="0"/>
      <c r="TEN60" s="0"/>
      <c r="TEO60" s="0"/>
      <c r="TEP60" s="0"/>
      <c r="TEQ60" s="0"/>
      <c r="TER60" s="0"/>
      <c r="TES60" s="0"/>
      <c r="TET60" s="0"/>
      <c r="TEU60" s="0"/>
      <c r="TEV60" s="0"/>
      <c r="TEW60" s="0"/>
      <c r="TEX60" s="0"/>
      <c r="TEY60" s="0"/>
      <c r="TEZ60" s="0"/>
      <c r="TFA60" s="0"/>
      <c r="TFB60" s="0"/>
      <c r="TFC60" s="0"/>
      <c r="TFD60" s="0"/>
      <c r="TFE60" s="0"/>
      <c r="TFF60" s="0"/>
      <c r="TFG60" s="0"/>
      <c r="TFH60" s="0"/>
      <c r="TFI60" s="0"/>
      <c r="TFJ60" s="0"/>
      <c r="TFK60" s="0"/>
      <c r="TFL60" s="0"/>
      <c r="TFM60" s="0"/>
      <c r="TFN60" s="0"/>
      <c r="TFO60" s="0"/>
      <c r="TFP60" s="0"/>
      <c r="TFQ60" s="0"/>
      <c r="TFR60" s="0"/>
      <c r="TFS60" s="0"/>
      <c r="TFT60" s="0"/>
      <c r="TFU60" s="0"/>
      <c r="TFV60" s="0"/>
      <c r="TFW60" s="0"/>
      <c r="TFX60" s="0"/>
      <c r="TFY60" s="0"/>
      <c r="TFZ60" s="0"/>
      <c r="TGA60" s="0"/>
      <c r="TGB60" s="0"/>
      <c r="TGC60" s="0"/>
      <c r="TGD60" s="0"/>
      <c r="TGE60" s="0"/>
      <c r="TGF60" s="0"/>
      <c r="TGG60" s="0"/>
      <c r="TGH60" s="0"/>
      <c r="TGI60" s="0"/>
      <c r="TGJ60" s="0"/>
      <c r="TGK60" s="0"/>
      <c r="TGL60" s="0"/>
      <c r="TGM60" s="0"/>
      <c r="TGN60" s="0"/>
      <c r="TGO60" s="0"/>
      <c r="TGP60" s="0"/>
      <c r="TGQ60" s="0"/>
      <c r="TGR60" s="0"/>
      <c r="TGS60" s="0"/>
      <c r="TGT60" s="0"/>
      <c r="TGU60" s="0"/>
      <c r="TGV60" s="0"/>
      <c r="TGW60" s="0"/>
      <c r="TGX60" s="0"/>
      <c r="TGY60" s="0"/>
      <c r="TGZ60" s="0"/>
      <c r="THA60" s="0"/>
      <c r="THB60" s="0"/>
      <c r="THC60" s="0"/>
      <c r="THD60" s="0"/>
      <c r="THE60" s="0"/>
      <c r="THF60" s="0"/>
      <c r="THG60" s="0"/>
      <c r="THH60" s="0"/>
      <c r="THI60" s="0"/>
      <c r="THJ60" s="0"/>
      <c r="THK60" s="0"/>
      <c r="THL60" s="0"/>
      <c r="THM60" s="0"/>
      <c r="THN60" s="0"/>
      <c r="THO60" s="0"/>
      <c r="THP60" s="0"/>
      <c r="THQ60" s="0"/>
      <c r="THR60" s="0"/>
      <c r="THS60" s="0"/>
      <c r="THT60" s="0"/>
      <c r="THU60" s="0"/>
      <c r="THV60" s="0"/>
      <c r="THW60" s="0"/>
      <c r="THX60" s="0"/>
      <c r="THY60" s="0"/>
      <c r="THZ60" s="0"/>
      <c r="TIA60" s="0"/>
      <c r="TIB60" s="0"/>
      <c r="TIC60" s="0"/>
      <c r="TID60" s="0"/>
      <c r="TIE60" s="0"/>
      <c r="TIF60" s="0"/>
      <c r="TIG60" s="0"/>
      <c r="TIH60" s="0"/>
      <c r="TII60" s="0"/>
      <c r="TIJ60" s="0"/>
      <c r="TIK60" s="0"/>
      <c r="TIL60" s="0"/>
      <c r="TIM60" s="0"/>
      <c r="TIN60" s="0"/>
      <c r="TIO60" s="0"/>
      <c r="TIP60" s="0"/>
      <c r="TIQ60" s="0"/>
      <c r="TIR60" s="0"/>
      <c r="TIS60" s="0"/>
      <c r="TIT60" s="0"/>
      <c r="TIU60" s="0"/>
      <c r="TIV60" s="0"/>
      <c r="TIW60" s="0"/>
      <c r="TIX60" s="0"/>
      <c r="TIY60" s="0"/>
      <c r="TIZ60" s="0"/>
      <c r="TJA60" s="0"/>
      <c r="TJB60" s="0"/>
      <c r="TJC60" s="0"/>
      <c r="TJD60" s="0"/>
      <c r="TJE60" s="0"/>
      <c r="TJF60" s="0"/>
      <c r="TJG60" s="0"/>
      <c r="TJH60" s="0"/>
      <c r="TJI60" s="0"/>
      <c r="TJJ60" s="0"/>
      <c r="TJK60" s="0"/>
      <c r="TJL60" s="0"/>
      <c r="TJM60" s="0"/>
      <c r="TJN60" s="0"/>
      <c r="TJO60" s="0"/>
      <c r="TJP60" s="0"/>
      <c r="TJQ60" s="0"/>
      <c r="TJR60" s="0"/>
      <c r="TJS60" s="0"/>
      <c r="TJT60" s="0"/>
      <c r="TJU60" s="0"/>
      <c r="TJV60" s="0"/>
      <c r="TJW60" s="0"/>
      <c r="TJX60" s="0"/>
      <c r="TJY60" s="0"/>
      <c r="TJZ60" s="0"/>
      <c r="TKA60" s="0"/>
      <c r="TKB60" s="0"/>
      <c r="TKC60" s="0"/>
      <c r="TKD60" s="0"/>
      <c r="TKE60" s="0"/>
      <c r="TKF60" s="0"/>
      <c r="TKG60" s="0"/>
      <c r="TKH60" s="0"/>
      <c r="TKI60" s="0"/>
      <c r="TKJ60" s="0"/>
      <c r="TKK60" s="0"/>
      <c r="TKL60" s="0"/>
      <c r="TKM60" s="0"/>
      <c r="TKN60" s="0"/>
      <c r="TKO60" s="0"/>
      <c r="TKP60" s="0"/>
      <c r="TKQ60" s="0"/>
      <c r="TKR60" s="0"/>
      <c r="TKS60" s="0"/>
      <c r="TKT60" s="0"/>
      <c r="TKU60" s="0"/>
      <c r="TKV60" s="0"/>
      <c r="TKW60" s="0"/>
      <c r="TKX60" s="0"/>
      <c r="TKY60" s="0"/>
      <c r="TKZ60" s="0"/>
      <c r="TLA60" s="0"/>
      <c r="TLB60" s="0"/>
      <c r="TLC60" s="0"/>
      <c r="TLD60" s="0"/>
      <c r="TLE60" s="0"/>
      <c r="TLF60" s="0"/>
      <c r="TLG60" s="0"/>
      <c r="TLH60" s="0"/>
      <c r="TLI60" s="0"/>
      <c r="TLJ60" s="0"/>
      <c r="TLK60" s="0"/>
      <c r="TLL60" s="0"/>
      <c r="TLM60" s="0"/>
      <c r="TLN60" s="0"/>
      <c r="TLO60" s="0"/>
      <c r="TLP60" s="0"/>
      <c r="TLQ60" s="0"/>
      <c r="TLR60" s="0"/>
      <c r="TLS60" s="0"/>
      <c r="TLT60" s="0"/>
      <c r="TLU60" s="0"/>
      <c r="TLV60" s="0"/>
      <c r="TLW60" s="0"/>
      <c r="TLX60" s="0"/>
      <c r="TLY60" s="0"/>
      <c r="TLZ60" s="0"/>
      <c r="TMA60" s="0"/>
      <c r="TMB60" s="0"/>
      <c r="TMC60" s="0"/>
      <c r="TMD60" s="0"/>
      <c r="TME60" s="0"/>
      <c r="TMF60" s="0"/>
      <c r="TMG60" s="0"/>
      <c r="TMH60" s="0"/>
      <c r="TMI60" s="0"/>
      <c r="TMJ60" s="0"/>
      <c r="TMK60" s="0"/>
      <c r="TML60" s="0"/>
      <c r="TMM60" s="0"/>
      <c r="TMN60" s="0"/>
      <c r="TMO60" s="0"/>
      <c r="TMP60" s="0"/>
      <c r="TMQ60" s="0"/>
      <c r="TMR60" s="0"/>
      <c r="TMS60" s="0"/>
      <c r="TMT60" s="0"/>
      <c r="TMU60" s="0"/>
      <c r="TMV60" s="0"/>
      <c r="TMW60" s="0"/>
      <c r="TMX60" s="0"/>
      <c r="TMY60" s="0"/>
      <c r="TMZ60" s="0"/>
      <c r="TNA60" s="0"/>
      <c r="TNB60" s="0"/>
      <c r="TNC60" s="0"/>
      <c r="TND60" s="0"/>
      <c r="TNE60" s="0"/>
      <c r="TNF60" s="0"/>
      <c r="TNG60" s="0"/>
      <c r="TNH60" s="0"/>
      <c r="TNI60" s="0"/>
      <c r="TNJ60" s="0"/>
      <c r="TNK60" s="0"/>
      <c r="TNL60" s="0"/>
      <c r="TNM60" s="0"/>
      <c r="TNN60" s="0"/>
      <c r="TNO60" s="0"/>
      <c r="TNP60" s="0"/>
      <c r="TNQ60" s="0"/>
      <c r="TNR60" s="0"/>
      <c r="TNS60" s="0"/>
      <c r="TNT60" s="0"/>
      <c r="TNU60" s="0"/>
      <c r="TNV60" s="0"/>
      <c r="TNW60" s="0"/>
      <c r="TNX60" s="0"/>
      <c r="TNY60" s="0"/>
      <c r="TNZ60" s="0"/>
      <c r="TOA60" s="0"/>
      <c r="TOB60" s="0"/>
      <c r="TOC60" s="0"/>
      <c r="TOD60" s="0"/>
      <c r="TOE60" s="0"/>
      <c r="TOF60" s="0"/>
      <c r="TOG60" s="0"/>
      <c r="TOH60" s="0"/>
      <c r="TOI60" s="0"/>
      <c r="TOJ60" s="0"/>
      <c r="TOK60" s="0"/>
      <c r="TOL60" s="0"/>
      <c r="TOM60" s="0"/>
      <c r="TON60" s="0"/>
      <c r="TOO60" s="0"/>
      <c r="TOP60" s="0"/>
      <c r="TOQ60" s="0"/>
      <c r="TOR60" s="0"/>
      <c r="TOS60" s="0"/>
      <c r="TOT60" s="0"/>
      <c r="TOU60" s="0"/>
      <c r="TOV60" s="0"/>
      <c r="TOW60" s="0"/>
      <c r="TOX60" s="0"/>
      <c r="TOY60" s="0"/>
      <c r="TOZ60" s="0"/>
      <c r="TPA60" s="0"/>
      <c r="TPB60" s="0"/>
      <c r="TPC60" s="0"/>
      <c r="TPD60" s="0"/>
      <c r="TPE60" s="0"/>
      <c r="TPF60" s="0"/>
      <c r="TPG60" s="0"/>
      <c r="TPH60" s="0"/>
      <c r="TPI60" s="0"/>
      <c r="TPJ60" s="0"/>
      <c r="TPK60" s="0"/>
      <c r="TPL60" s="0"/>
      <c r="TPM60" s="0"/>
      <c r="TPN60" s="0"/>
      <c r="TPO60" s="0"/>
      <c r="TPP60" s="0"/>
      <c r="TPQ60" s="0"/>
      <c r="TPR60" s="0"/>
      <c r="TPS60" s="0"/>
      <c r="TPT60" s="0"/>
      <c r="TPU60" s="0"/>
      <c r="TPV60" s="0"/>
      <c r="TPW60" s="0"/>
      <c r="TPX60" s="0"/>
      <c r="TPY60" s="0"/>
      <c r="TPZ60" s="0"/>
      <c r="TQA60" s="0"/>
      <c r="TQB60" s="0"/>
      <c r="TQC60" s="0"/>
      <c r="TQD60" s="0"/>
      <c r="TQE60" s="0"/>
      <c r="TQF60" s="0"/>
      <c r="TQG60" s="0"/>
      <c r="TQH60" s="0"/>
      <c r="TQI60" s="0"/>
      <c r="TQJ60" s="0"/>
      <c r="TQK60" s="0"/>
      <c r="TQL60" s="0"/>
      <c r="TQM60" s="0"/>
      <c r="TQN60" s="0"/>
      <c r="TQO60" s="0"/>
      <c r="TQP60" s="0"/>
      <c r="TQQ60" s="0"/>
      <c r="TQR60" s="0"/>
      <c r="TQS60" s="0"/>
      <c r="TQT60" s="0"/>
      <c r="TQU60" s="0"/>
      <c r="TQV60" s="0"/>
      <c r="TQW60" s="0"/>
      <c r="TQX60" s="0"/>
      <c r="TQY60" s="0"/>
      <c r="TQZ60" s="0"/>
      <c r="TRA60" s="0"/>
      <c r="TRB60" s="0"/>
      <c r="TRC60" s="0"/>
      <c r="TRD60" s="0"/>
      <c r="TRE60" s="0"/>
      <c r="TRF60" s="0"/>
      <c r="TRG60" s="0"/>
      <c r="TRH60" s="0"/>
      <c r="TRI60" s="0"/>
      <c r="TRJ60" s="0"/>
      <c r="TRK60" s="0"/>
      <c r="TRL60" s="0"/>
      <c r="TRM60" s="0"/>
      <c r="TRN60" s="0"/>
      <c r="TRO60" s="0"/>
      <c r="TRP60" s="0"/>
      <c r="TRQ60" s="0"/>
      <c r="TRR60" s="0"/>
      <c r="TRS60" s="0"/>
      <c r="TRT60" s="0"/>
      <c r="TRU60" s="0"/>
      <c r="TRV60" s="0"/>
      <c r="TRW60" s="0"/>
      <c r="TRX60" s="0"/>
      <c r="TRY60" s="0"/>
      <c r="TRZ60" s="0"/>
      <c r="TSA60" s="0"/>
      <c r="TSB60" s="0"/>
      <c r="TSC60" s="0"/>
      <c r="TSD60" s="0"/>
      <c r="TSE60" s="0"/>
      <c r="TSF60" s="0"/>
      <c r="TSG60" s="0"/>
      <c r="TSH60" s="0"/>
      <c r="TSI60" s="0"/>
      <c r="TSJ60" s="0"/>
      <c r="TSK60" s="0"/>
      <c r="TSL60" s="0"/>
      <c r="TSM60" s="0"/>
      <c r="TSN60" s="0"/>
      <c r="TSO60" s="0"/>
      <c r="TSP60" s="0"/>
      <c r="TSQ60" s="0"/>
      <c r="TSR60" s="0"/>
      <c r="TSS60" s="0"/>
      <c r="TST60" s="0"/>
      <c r="TSU60" s="0"/>
      <c r="TSV60" s="0"/>
      <c r="TSW60" s="0"/>
      <c r="TSX60" s="0"/>
      <c r="TSY60" s="0"/>
      <c r="TSZ60" s="0"/>
      <c r="TTA60" s="0"/>
      <c r="TTB60" s="0"/>
      <c r="TTC60" s="0"/>
      <c r="TTD60" s="0"/>
      <c r="TTE60" s="0"/>
      <c r="TTF60" s="0"/>
      <c r="TTG60" s="0"/>
      <c r="TTH60" s="0"/>
      <c r="TTI60" s="0"/>
      <c r="TTJ60" s="0"/>
      <c r="TTK60" s="0"/>
      <c r="TTL60" s="0"/>
      <c r="TTM60" s="0"/>
      <c r="TTN60" s="0"/>
      <c r="TTO60" s="0"/>
      <c r="TTP60" s="0"/>
      <c r="TTQ60" s="0"/>
      <c r="TTR60" s="0"/>
      <c r="TTS60" s="0"/>
      <c r="TTT60" s="0"/>
      <c r="TTU60" s="0"/>
      <c r="TTV60" s="0"/>
      <c r="TTW60" s="0"/>
      <c r="TTX60" s="0"/>
      <c r="TTY60" s="0"/>
      <c r="TTZ60" s="0"/>
      <c r="TUA60" s="0"/>
      <c r="TUB60" s="0"/>
      <c r="TUC60" s="0"/>
      <c r="TUD60" s="0"/>
      <c r="TUE60" s="0"/>
      <c r="TUF60" s="0"/>
      <c r="TUG60" s="0"/>
      <c r="TUH60" s="0"/>
      <c r="TUI60" s="0"/>
      <c r="TUJ60" s="0"/>
      <c r="TUK60" s="0"/>
      <c r="TUL60" s="0"/>
      <c r="TUM60" s="0"/>
      <c r="TUN60" s="0"/>
      <c r="TUO60" s="0"/>
      <c r="TUP60" s="0"/>
      <c r="TUQ60" s="0"/>
      <c r="TUR60" s="0"/>
      <c r="TUS60" s="0"/>
      <c r="TUT60" s="0"/>
      <c r="TUU60" s="0"/>
      <c r="TUV60" s="0"/>
      <c r="TUW60" s="0"/>
      <c r="TUX60" s="0"/>
      <c r="TUY60" s="0"/>
      <c r="TUZ60" s="0"/>
      <c r="TVA60" s="0"/>
      <c r="TVB60" s="0"/>
      <c r="TVC60" s="0"/>
      <c r="TVD60" s="0"/>
      <c r="TVE60" s="0"/>
      <c r="TVF60" s="0"/>
      <c r="TVG60" s="0"/>
      <c r="TVH60" s="0"/>
      <c r="TVI60" s="0"/>
      <c r="TVJ60" s="0"/>
      <c r="TVK60" s="0"/>
      <c r="TVL60" s="0"/>
      <c r="TVM60" s="0"/>
      <c r="TVN60" s="0"/>
      <c r="TVO60" s="0"/>
      <c r="TVP60" s="0"/>
      <c r="TVQ60" s="0"/>
      <c r="TVR60" s="0"/>
      <c r="TVS60" s="0"/>
      <c r="TVT60" s="0"/>
      <c r="TVU60" s="0"/>
      <c r="TVV60" s="0"/>
      <c r="TVW60" s="0"/>
      <c r="TVX60" s="0"/>
      <c r="TVY60" s="0"/>
      <c r="TVZ60" s="0"/>
      <c r="TWA60" s="0"/>
      <c r="TWB60" s="0"/>
      <c r="TWC60" s="0"/>
      <c r="TWD60" s="0"/>
      <c r="TWE60" s="0"/>
      <c r="TWF60" s="0"/>
      <c r="TWG60" s="0"/>
      <c r="TWH60" s="0"/>
      <c r="TWI60" s="0"/>
      <c r="TWJ60" s="0"/>
      <c r="TWK60" s="0"/>
      <c r="TWL60" s="0"/>
      <c r="TWM60" s="0"/>
      <c r="TWN60" s="0"/>
      <c r="TWO60" s="0"/>
      <c r="TWP60" s="0"/>
      <c r="TWQ60" s="0"/>
      <c r="TWR60" s="0"/>
      <c r="TWS60" s="0"/>
      <c r="TWT60" s="0"/>
      <c r="TWU60" s="0"/>
      <c r="TWV60" s="0"/>
      <c r="TWW60" s="0"/>
      <c r="TWX60" s="0"/>
      <c r="TWY60" s="0"/>
      <c r="TWZ60" s="0"/>
      <c r="TXA60" s="0"/>
      <c r="TXB60" s="0"/>
      <c r="TXC60" s="0"/>
      <c r="TXD60" s="0"/>
      <c r="TXE60" s="0"/>
      <c r="TXF60" s="0"/>
      <c r="TXG60" s="0"/>
      <c r="TXH60" s="0"/>
      <c r="TXI60" s="0"/>
      <c r="TXJ60" s="0"/>
      <c r="TXK60" s="0"/>
      <c r="TXL60" s="0"/>
      <c r="TXM60" s="0"/>
      <c r="TXN60" s="0"/>
      <c r="TXO60" s="0"/>
      <c r="TXP60" s="0"/>
      <c r="TXQ60" s="0"/>
      <c r="TXR60" s="0"/>
      <c r="TXS60" s="0"/>
      <c r="TXT60" s="0"/>
      <c r="TXU60" s="0"/>
      <c r="TXV60" s="0"/>
      <c r="TXW60" s="0"/>
      <c r="TXX60" s="0"/>
      <c r="TXY60" s="0"/>
      <c r="TXZ60" s="0"/>
      <c r="TYA60" s="0"/>
      <c r="TYB60" s="0"/>
      <c r="TYC60" s="0"/>
      <c r="TYD60" s="0"/>
      <c r="TYE60" s="0"/>
      <c r="TYF60" s="0"/>
      <c r="TYG60" s="0"/>
      <c r="TYH60" s="0"/>
      <c r="TYI60" s="0"/>
      <c r="TYJ60" s="0"/>
      <c r="TYK60" s="0"/>
      <c r="TYL60" s="0"/>
      <c r="TYM60" s="0"/>
      <c r="TYN60" s="0"/>
      <c r="TYO60" s="0"/>
      <c r="TYP60" s="0"/>
      <c r="TYQ60" s="0"/>
      <c r="TYR60" s="0"/>
      <c r="TYS60" s="0"/>
      <c r="TYT60" s="0"/>
      <c r="TYU60" s="0"/>
      <c r="TYV60" s="0"/>
      <c r="TYW60" s="0"/>
      <c r="TYX60" s="0"/>
      <c r="TYY60" s="0"/>
      <c r="TYZ60" s="0"/>
      <c r="TZA60" s="0"/>
      <c r="TZB60" s="0"/>
      <c r="TZC60" s="0"/>
      <c r="TZD60" s="0"/>
      <c r="TZE60" s="0"/>
      <c r="TZF60" s="0"/>
      <c r="TZG60" s="0"/>
      <c r="TZH60" s="0"/>
      <c r="TZI60" s="0"/>
      <c r="TZJ60" s="0"/>
      <c r="TZK60" s="0"/>
      <c r="TZL60" s="0"/>
      <c r="TZM60" s="0"/>
      <c r="TZN60" s="0"/>
      <c r="TZO60" s="0"/>
      <c r="TZP60" s="0"/>
      <c r="TZQ60" s="0"/>
      <c r="TZR60" s="0"/>
      <c r="TZS60" s="0"/>
      <c r="TZT60" s="0"/>
      <c r="TZU60" s="0"/>
      <c r="TZV60" s="0"/>
      <c r="TZW60" s="0"/>
      <c r="TZX60" s="0"/>
      <c r="TZY60" s="0"/>
      <c r="TZZ60" s="0"/>
      <c r="UAA60" s="0"/>
      <c r="UAB60" s="0"/>
      <c r="UAC60" s="0"/>
      <c r="UAD60" s="0"/>
      <c r="UAE60" s="0"/>
      <c r="UAF60" s="0"/>
      <c r="UAG60" s="0"/>
      <c r="UAH60" s="0"/>
      <c r="UAI60" s="0"/>
      <c r="UAJ60" s="0"/>
      <c r="UAK60" s="0"/>
      <c r="UAL60" s="0"/>
      <c r="UAM60" s="0"/>
      <c r="UAN60" s="0"/>
      <c r="UAO60" s="0"/>
      <c r="UAP60" s="0"/>
      <c r="UAQ60" s="0"/>
      <c r="UAR60" s="0"/>
      <c r="UAS60" s="0"/>
      <c r="UAT60" s="0"/>
      <c r="UAU60" s="0"/>
      <c r="UAV60" s="0"/>
      <c r="UAW60" s="0"/>
      <c r="UAX60" s="0"/>
      <c r="UAY60" s="0"/>
      <c r="UAZ60" s="0"/>
      <c r="UBA60" s="0"/>
      <c r="UBB60" s="0"/>
      <c r="UBC60" s="0"/>
      <c r="UBD60" s="0"/>
      <c r="UBE60" s="0"/>
      <c r="UBF60" s="0"/>
      <c r="UBG60" s="0"/>
      <c r="UBH60" s="0"/>
      <c r="UBI60" s="0"/>
      <c r="UBJ60" s="0"/>
      <c r="UBK60" s="0"/>
      <c r="UBL60" s="0"/>
      <c r="UBM60" s="0"/>
      <c r="UBN60" s="0"/>
      <c r="UBO60" s="0"/>
      <c r="UBP60" s="0"/>
      <c r="UBQ60" s="0"/>
      <c r="UBR60" s="0"/>
      <c r="UBS60" s="0"/>
      <c r="UBT60" s="0"/>
      <c r="UBU60" s="0"/>
      <c r="UBV60" s="0"/>
      <c r="UBW60" s="0"/>
      <c r="UBX60" s="0"/>
      <c r="UBY60" s="0"/>
      <c r="UBZ60" s="0"/>
      <c r="UCA60" s="0"/>
      <c r="UCB60" s="0"/>
      <c r="UCC60" s="0"/>
      <c r="UCD60" s="0"/>
      <c r="UCE60" s="0"/>
      <c r="UCF60" s="0"/>
      <c r="UCG60" s="0"/>
      <c r="UCH60" s="0"/>
      <c r="UCI60" s="0"/>
      <c r="UCJ60" s="0"/>
      <c r="UCK60" s="0"/>
      <c r="UCL60" s="0"/>
      <c r="UCM60" s="0"/>
      <c r="UCN60" s="0"/>
      <c r="UCO60" s="0"/>
      <c r="UCP60" s="0"/>
      <c r="UCQ60" s="0"/>
      <c r="UCR60" s="0"/>
      <c r="UCS60" s="0"/>
      <c r="UCT60" s="0"/>
      <c r="UCU60" s="0"/>
      <c r="UCV60" s="0"/>
      <c r="UCW60" s="0"/>
      <c r="UCX60" s="0"/>
      <c r="UCY60" s="0"/>
      <c r="UCZ60" s="0"/>
      <c r="UDA60" s="0"/>
      <c r="UDB60" s="0"/>
      <c r="UDC60" s="0"/>
      <c r="UDD60" s="0"/>
      <c r="UDE60" s="0"/>
      <c r="UDF60" s="0"/>
      <c r="UDG60" s="0"/>
      <c r="UDH60" s="0"/>
      <c r="UDI60" s="0"/>
      <c r="UDJ60" s="0"/>
      <c r="UDK60" s="0"/>
      <c r="UDL60" s="0"/>
      <c r="UDM60" s="0"/>
      <c r="UDN60" s="0"/>
      <c r="UDO60" s="0"/>
      <c r="UDP60" s="0"/>
      <c r="UDQ60" s="0"/>
      <c r="UDR60" s="0"/>
      <c r="UDS60" s="0"/>
      <c r="UDT60" s="0"/>
      <c r="UDU60" s="0"/>
      <c r="UDV60" s="0"/>
      <c r="UDW60" s="0"/>
      <c r="UDX60" s="0"/>
      <c r="UDY60" s="0"/>
      <c r="UDZ60" s="0"/>
      <c r="UEA60" s="0"/>
      <c r="UEB60" s="0"/>
      <c r="UEC60" s="0"/>
      <c r="UED60" s="0"/>
      <c r="UEE60" s="0"/>
      <c r="UEF60" s="0"/>
      <c r="UEG60" s="0"/>
      <c r="UEH60" s="0"/>
      <c r="UEI60" s="0"/>
      <c r="UEJ60" s="0"/>
      <c r="UEK60" s="0"/>
      <c r="UEL60" s="0"/>
      <c r="UEM60" s="0"/>
      <c r="UEN60" s="0"/>
      <c r="UEO60" s="0"/>
      <c r="UEP60" s="0"/>
      <c r="UEQ60" s="0"/>
      <c r="UER60" s="0"/>
      <c r="UES60" s="0"/>
      <c r="UET60" s="0"/>
      <c r="UEU60" s="0"/>
      <c r="UEV60" s="0"/>
      <c r="UEW60" s="0"/>
      <c r="UEX60" s="0"/>
      <c r="UEY60" s="0"/>
      <c r="UEZ60" s="0"/>
      <c r="UFA60" s="0"/>
      <c r="UFB60" s="0"/>
      <c r="UFC60" s="0"/>
      <c r="UFD60" s="0"/>
      <c r="UFE60" s="0"/>
      <c r="UFF60" s="0"/>
      <c r="UFG60" s="0"/>
      <c r="UFH60" s="0"/>
      <c r="UFI60" s="0"/>
      <c r="UFJ60" s="0"/>
      <c r="UFK60" s="0"/>
      <c r="UFL60" s="0"/>
      <c r="UFM60" s="0"/>
      <c r="UFN60" s="0"/>
      <c r="UFO60" s="0"/>
      <c r="UFP60" s="0"/>
      <c r="UFQ60" s="0"/>
      <c r="UFR60" s="0"/>
      <c r="UFS60" s="0"/>
      <c r="UFT60" s="0"/>
      <c r="UFU60" s="0"/>
      <c r="UFV60" s="0"/>
      <c r="UFW60" s="0"/>
      <c r="UFX60" s="0"/>
      <c r="UFY60" s="0"/>
      <c r="UFZ60" s="0"/>
      <c r="UGA60" s="0"/>
      <c r="UGB60" s="0"/>
      <c r="UGC60" s="0"/>
      <c r="UGD60" s="0"/>
      <c r="UGE60" s="0"/>
      <c r="UGF60" s="0"/>
      <c r="UGG60" s="0"/>
      <c r="UGH60" s="0"/>
      <c r="UGI60" s="0"/>
      <c r="UGJ60" s="0"/>
      <c r="UGK60" s="0"/>
      <c r="UGL60" s="0"/>
      <c r="UGM60" s="0"/>
      <c r="UGN60" s="0"/>
      <c r="UGO60" s="0"/>
      <c r="UGP60" s="0"/>
      <c r="UGQ60" s="0"/>
      <c r="UGR60" s="0"/>
      <c r="UGS60" s="0"/>
      <c r="UGT60" s="0"/>
      <c r="UGU60" s="0"/>
      <c r="UGV60" s="0"/>
      <c r="UGW60" s="0"/>
      <c r="UGX60" s="0"/>
      <c r="UGY60" s="0"/>
      <c r="UGZ60" s="0"/>
      <c r="UHA60" s="0"/>
      <c r="UHB60" s="0"/>
      <c r="UHC60" s="0"/>
      <c r="UHD60" s="0"/>
      <c r="UHE60" s="0"/>
      <c r="UHF60" s="0"/>
      <c r="UHG60" s="0"/>
      <c r="UHH60" s="0"/>
      <c r="UHI60" s="0"/>
      <c r="UHJ60" s="0"/>
      <c r="UHK60" s="0"/>
      <c r="UHL60" s="0"/>
      <c r="UHM60" s="0"/>
      <c r="UHN60" s="0"/>
      <c r="UHO60" s="0"/>
      <c r="UHP60" s="0"/>
      <c r="UHQ60" s="0"/>
      <c r="UHR60" s="0"/>
      <c r="UHS60" s="0"/>
      <c r="UHT60" s="0"/>
      <c r="UHU60" s="0"/>
      <c r="UHV60" s="0"/>
      <c r="UHW60" s="0"/>
      <c r="UHX60" s="0"/>
      <c r="UHY60" s="0"/>
      <c r="UHZ60" s="0"/>
      <c r="UIA60" s="0"/>
      <c r="UIB60" s="0"/>
      <c r="UIC60" s="0"/>
      <c r="UID60" s="0"/>
      <c r="UIE60" s="0"/>
      <c r="UIF60" s="0"/>
      <c r="UIG60" s="0"/>
      <c r="UIH60" s="0"/>
      <c r="UII60" s="0"/>
      <c r="UIJ60" s="0"/>
      <c r="UIK60" s="0"/>
      <c r="UIL60" s="0"/>
      <c r="UIM60" s="0"/>
      <c r="UIN60" s="0"/>
      <c r="UIO60" s="0"/>
      <c r="UIP60" s="0"/>
      <c r="UIQ60" s="0"/>
      <c r="UIR60" s="0"/>
      <c r="UIS60" s="0"/>
      <c r="UIT60" s="0"/>
      <c r="UIU60" s="0"/>
      <c r="UIV60" s="0"/>
      <c r="UIW60" s="0"/>
      <c r="UIX60" s="0"/>
      <c r="UIY60" s="0"/>
      <c r="UIZ60" s="0"/>
      <c r="UJA60" s="0"/>
      <c r="UJB60" s="0"/>
      <c r="UJC60" s="0"/>
      <c r="UJD60" s="0"/>
      <c r="UJE60" s="0"/>
      <c r="UJF60" s="0"/>
      <c r="UJG60" s="0"/>
      <c r="UJH60" s="0"/>
      <c r="UJI60" s="0"/>
      <c r="UJJ60" s="0"/>
      <c r="UJK60" s="0"/>
      <c r="UJL60" s="0"/>
      <c r="UJM60" s="0"/>
      <c r="UJN60" s="0"/>
      <c r="UJO60" s="0"/>
      <c r="UJP60" s="0"/>
      <c r="UJQ60" s="0"/>
      <c r="UJR60" s="0"/>
      <c r="UJS60" s="0"/>
      <c r="UJT60" s="0"/>
      <c r="UJU60" s="0"/>
      <c r="UJV60" s="0"/>
      <c r="UJW60" s="0"/>
      <c r="UJX60" s="0"/>
      <c r="UJY60" s="0"/>
      <c r="UJZ60" s="0"/>
      <c r="UKA60" s="0"/>
      <c r="UKB60" s="0"/>
      <c r="UKC60" s="0"/>
      <c r="UKD60" s="0"/>
      <c r="UKE60" s="0"/>
      <c r="UKF60" s="0"/>
      <c r="UKG60" s="0"/>
      <c r="UKH60" s="0"/>
      <c r="UKI60" s="0"/>
      <c r="UKJ60" s="0"/>
      <c r="UKK60" s="0"/>
      <c r="UKL60" s="0"/>
      <c r="UKM60" s="0"/>
      <c r="UKN60" s="0"/>
      <c r="UKO60" s="0"/>
      <c r="UKP60" s="0"/>
      <c r="UKQ60" s="0"/>
      <c r="UKR60" s="0"/>
      <c r="UKS60" s="0"/>
      <c r="UKT60" s="0"/>
      <c r="UKU60" s="0"/>
      <c r="UKV60" s="0"/>
      <c r="UKW60" s="0"/>
      <c r="UKX60" s="0"/>
      <c r="UKY60" s="0"/>
      <c r="UKZ60" s="0"/>
      <c r="ULA60" s="0"/>
      <c r="ULB60" s="0"/>
      <c r="ULC60" s="0"/>
      <c r="ULD60" s="0"/>
      <c r="ULE60" s="0"/>
      <c r="ULF60" s="0"/>
      <c r="ULG60" s="0"/>
      <c r="ULH60" s="0"/>
      <c r="ULI60" s="0"/>
      <c r="ULJ60" s="0"/>
      <c r="ULK60" s="0"/>
      <c r="ULL60" s="0"/>
      <c r="ULM60" s="0"/>
      <c r="ULN60" s="0"/>
      <c r="ULO60" s="0"/>
      <c r="ULP60" s="0"/>
      <c r="ULQ60" s="0"/>
      <c r="ULR60" s="0"/>
      <c r="ULS60" s="0"/>
      <c r="ULT60" s="0"/>
      <c r="ULU60" s="0"/>
      <c r="ULV60" s="0"/>
      <c r="ULW60" s="0"/>
      <c r="ULX60" s="0"/>
      <c r="ULY60" s="0"/>
      <c r="ULZ60" s="0"/>
      <c r="UMA60" s="0"/>
      <c r="UMB60" s="0"/>
      <c r="UMC60" s="0"/>
      <c r="UMD60" s="0"/>
      <c r="UME60" s="0"/>
      <c r="UMF60" s="0"/>
      <c r="UMG60" s="0"/>
      <c r="UMH60" s="0"/>
      <c r="UMI60" s="0"/>
      <c r="UMJ60" s="0"/>
      <c r="UMK60" s="0"/>
      <c r="UML60" s="0"/>
      <c r="UMM60" s="0"/>
      <c r="UMN60" s="0"/>
      <c r="UMO60" s="0"/>
      <c r="UMP60" s="0"/>
      <c r="UMQ60" s="0"/>
      <c r="UMR60" s="0"/>
      <c r="UMS60" s="0"/>
      <c r="UMT60" s="0"/>
      <c r="UMU60" s="0"/>
      <c r="UMV60" s="0"/>
      <c r="UMW60" s="0"/>
      <c r="UMX60" s="0"/>
      <c r="UMY60" s="0"/>
      <c r="UMZ60" s="0"/>
      <c r="UNA60" s="0"/>
      <c r="UNB60" s="0"/>
      <c r="UNC60" s="0"/>
      <c r="UND60" s="0"/>
      <c r="UNE60" s="0"/>
      <c r="UNF60" s="0"/>
      <c r="UNG60" s="0"/>
      <c r="UNH60" s="0"/>
      <c r="UNI60" s="0"/>
      <c r="UNJ60" s="0"/>
      <c r="UNK60" s="0"/>
      <c r="UNL60" s="0"/>
      <c r="UNM60" s="0"/>
      <c r="UNN60" s="0"/>
      <c r="UNO60" s="0"/>
      <c r="UNP60" s="0"/>
      <c r="UNQ60" s="0"/>
      <c r="UNR60" s="0"/>
      <c r="UNS60" s="0"/>
      <c r="UNT60" s="0"/>
      <c r="UNU60" s="0"/>
      <c r="UNV60" s="0"/>
      <c r="UNW60" s="0"/>
      <c r="UNX60" s="0"/>
      <c r="UNY60" s="0"/>
      <c r="UNZ60" s="0"/>
      <c r="UOA60" s="0"/>
      <c r="UOB60" s="0"/>
      <c r="UOC60" s="0"/>
      <c r="UOD60" s="0"/>
      <c r="UOE60" s="0"/>
      <c r="UOF60" s="0"/>
      <c r="UOG60" s="0"/>
      <c r="UOH60" s="0"/>
      <c r="UOI60" s="0"/>
      <c r="UOJ60" s="0"/>
      <c r="UOK60" s="0"/>
      <c r="UOL60" s="0"/>
      <c r="UOM60" s="0"/>
      <c r="UON60" s="0"/>
      <c r="UOO60" s="0"/>
      <c r="UOP60" s="0"/>
      <c r="UOQ60" s="0"/>
      <c r="UOR60" s="0"/>
      <c r="UOS60" s="0"/>
      <c r="UOT60" s="0"/>
      <c r="UOU60" s="0"/>
      <c r="UOV60" s="0"/>
      <c r="UOW60" s="0"/>
      <c r="UOX60" s="0"/>
      <c r="UOY60" s="0"/>
      <c r="UOZ60" s="0"/>
      <c r="UPA60" s="0"/>
      <c r="UPB60" s="0"/>
      <c r="UPC60" s="0"/>
      <c r="UPD60" s="0"/>
      <c r="UPE60" s="0"/>
      <c r="UPF60" s="0"/>
      <c r="UPG60" s="0"/>
      <c r="UPH60" s="0"/>
      <c r="UPI60" s="0"/>
      <c r="UPJ60" s="0"/>
      <c r="UPK60" s="0"/>
      <c r="UPL60" s="0"/>
      <c r="UPM60" s="0"/>
      <c r="UPN60" s="0"/>
      <c r="UPO60" s="0"/>
      <c r="UPP60" s="0"/>
      <c r="UPQ60" s="0"/>
      <c r="UPR60" s="0"/>
      <c r="UPS60" s="0"/>
      <c r="UPT60" s="0"/>
      <c r="UPU60" s="0"/>
      <c r="UPV60" s="0"/>
      <c r="UPW60" s="0"/>
      <c r="UPX60" s="0"/>
      <c r="UPY60" s="0"/>
      <c r="UPZ60" s="0"/>
      <c r="UQA60" s="0"/>
      <c r="UQB60" s="0"/>
      <c r="UQC60" s="0"/>
      <c r="UQD60" s="0"/>
      <c r="UQE60" s="0"/>
      <c r="UQF60" s="0"/>
      <c r="UQG60" s="0"/>
      <c r="UQH60" s="0"/>
      <c r="UQI60" s="0"/>
      <c r="UQJ60" s="0"/>
      <c r="UQK60" s="0"/>
      <c r="UQL60" s="0"/>
      <c r="UQM60" s="0"/>
      <c r="UQN60" s="0"/>
      <c r="UQO60" s="0"/>
      <c r="UQP60" s="0"/>
      <c r="UQQ60" s="0"/>
      <c r="UQR60" s="0"/>
      <c r="UQS60" s="0"/>
      <c r="UQT60" s="0"/>
      <c r="UQU60" s="0"/>
      <c r="UQV60" s="0"/>
      <c r="UQW60" s="0"/>
      <c r="UQX60" s="0"/>
      <c r="UQY60" s="0"/>
      <c r="UQZ60" s="0"/>
      <c r="URA60" s="0"/>
      <c r="URB60" s="0"/>
      <c r="URC60" s="0"/>
      <c r="URD60" s="0"/>
      <c r="URE60" s="0"/>
      <c r="URF60" s="0"/>
      <c r="URG60" s="0"/>
      <c r="URH60" s="0"/>
      <c r="URI60" s="0"/>
      <c r="URJ60" s="0"/>
      <c r="URK60" s="0"/>
      <c r="URL60" s="0"/>
      <c r="URM60" s="0"/>
      <c r="URN60" s="0"/>
      <c r="URO60" s="0"/>
      <c r="URP60" s="0"/>
      <c r="URQ60" s="0"/>
      <c r="URR60" s="0"/>
      <c r="URS60" s="0"/>
      <c r="URT60" s="0"/>
      <c r="URU60" s="0"/>
      <c r="URV60" s="0"/>
      <c r="URW60" s="0"/>
      <c r="URX60" s="0"/>
      <c r="URY60" s="0"/>
      <c r="URZ60" s="0"/>
      <c r="USA60" s="0"/>
      <c r="USB60" s="0"/>
      <c r="USC60" s="0"/>
      <c r="USD60" s="0"/>
      <c r="USE60" s="0"/>
      <c r="USF60" s="0"/>
      <c r="USG60" s="0"/>
      <c r="USH60" s="0"/>
      <c r="USI60" s="0"/>
      <c r="USJ60" s="0"/>
      <c r="USK60" s="0"/>
      <c r="USL60" s="0"/>
      <c r="USM60" s="0"/>
      <c r="USN60" s="0"/>
      <c r="USO60" s="0"/>
      <c r="USP60" s="0"/>
      <c r="USQ60" s="0"/>
      <c r="USR60" s="0"/>
      <c r="USS60" s="0"/>
      <c r="UST60" s="0"/>
      <c r="USU60" s="0"/>
      <c r="USV60" s="0"/>
      <c r="USW60" s="0"/>
      <c r="USX60" s="0"/>
      <c r="USY60" s="0"/>
      <c r="USZ60" s="0"/>
      <c r="UTA60" s="0"/>
      <c r="UTB60" s="0"/>
      <c r="UTC60" s="0"/>
      <c r="UTD60" s="0"/>
      <c r="UTE60" s="0"/>
      <c r="UTF60" s="0"/>
      <c r="UTG60" s="0"/>
      <c r="UTH60" s="0"/>
      <c r="UTI60" s="0"/>
      <c r="UTJ60" s="0"/>
      <c r="UTK60" s="0"/>
      <c r="UTL60" s="0"/>
      <c r="UTM60" s="0"/>
      <c r="UTN60" s="0"/>
      <c r="UTO60" s="0"/>
      <c r="UTP60" s="0"/>
      <c r="UTQ60" s="0"/>
      <c r="UTR60" s="0"/>
      <c r="UTS60" s="0"/>
      <c r="UTT60" s="0"/>
      <c r="UTU60" s="0"/>
      <c r="UTV60" s="0"/>
      <c r="UTW60" s="0"/>
      <c r="UTX60" s="0"/>
      <c r="UTY60" s="0"/>
      <c r="UTZ60" s="0"/>
      <c r="UUA60" s="0"/>
      <c r="UUB60" s="0"/>
      <c r="UUC60" s="0"/>
      <c r="UUD60" s="0"/>
      <c r="UUE60" s="0"/>
      <c r="UUF60" s="0"/>
      <c r="UUG60" s="0"/>
      <c r="UUH60" s="0"/>
      <c r="UUI60" s="0"/>
      <c r="UUJ60" s="0"/>
      <c r="UUK60" s="0"/>
      <c r="UUL60" s="0"/>
      <c r="UUM60" s="0"/>
      <c r="UUN60" s="0"/>
      <c r="UUO60" s="0"/>
      <c r="UUP60" s="0"/>
      <c r="UUQ60" s="0"/>
      <c r="UUR60" s="0"/>
      <c r="UUS60" s="0"/>
      <c r="UUT60" s="0"/>
      <c r="UUU60" s="0"/>
      <c r="UUV60" s="0"/>
      <c r="UUW60" s="0"/>
      <c r="UUX60" s="0"/>
      <c r="UUY60" s="0"/>
      <c r="UUZ60" s="0"/>
      <c r="UVA60" s="0"/>
      <c r="UVB60" s="0"/>
      <c r="UVC60" s="0"/>
      <c r="UVD60" s="0"/>
      <c r="UVE60" s="0"/>
      <c r="UVF60" s="0"/>
      <c r="UVG60" s="0"/>
      <c r="UVH60" s="0"/>
      <c r="UVI60" s="0"/>
      <c r="UVJ60" s="0"/>
      <c r="UVK60" s="0"/>
      <c r="UVL60" s="0"/>
      <c r="UVM60" s="0"/>
      <c r="UVN60" s="0"/>
      <c r="UVO60" s="0"/>
      <c r="UVP60" s="0"/>
      <c r="UVQ60" s="0"/>
      <c r="UVR60" s="0"/>
      <c r="UVS60" s="0"/>
      <c r="UVT60" s="0"/>
      <c r="UVU60" s="0"/>
      <c r="UVV60" s="0"/>
      <c r="UVW60" s="0"/>
      <c r="UVX60" s="0"/>
      <c r="UVY60" s="0"/>
      <c r="UVZ60" s="0"/>
      <c r="UWA60" s="0"/>
      <c r="UWB60" s="0"/>
      <c r="UWC60" s="0"/>
      <c r="UWD60" s="0"/>
      <c r="UWE60" s="0"/>
      <c r="UWF60" s="0"/>
      <c r="UWG60" s="0"/>
      <c r="UWH60" s="0"/>
      <c r="UWI60" s="0"/>
      <c r="UWJ60" s="0"/>
      <c r="UWK60" s="0"/>
      <c r="UWL60" s="0"/>
      <c r="UWM60" s="0"/>
      <c r="UWN60" s="0"/>
      <c r="UWO60" s="0"/>
      <c r="UWP60" s="0"/>
      <c r="UWQ60" s="0"/>
      <c r="UWR60" s="0"/>
      <c r="UWS60" s="0"/>
      <c r="UWT60" s="0"/>
      <c r="UWU60" s="0"/>
      <c r="UWV60" s="0"/>
      <c r="UWW60" s="0"/>
      <c r="UWX60" s="0"/>
      <c r="UWY60" s="0"/>
      <c r="UWZ60" s="0"/>
      <c r="UXA60" s="0"/>
      <c r="UXB60" s="0"/>
      <c r="UXC60" s="0"/>
      <c r="UXD60" s="0"/>
      <c r="UXE60" s="0"/>
      <c r="UXF60" s="0"/>
      <c r="UXG60" s="0"/>
      <c r="UXH60" s="0"/>
      <c r="UXI60" s="0"/>
      <c r="UXJ60" s="0"/>
      <c r="UXK60" s="0"/>
      <c r="UXL60" s="0"/>
      <c r="UXM60" s="0"/>
      <c r="UXN60" s="0"/>
      <c r="UXO60" s="0"/>
      <c r="UXP60" s="0"/>
      <c r="UXQ60" s="0"/>
      <c r="UXR60" s="0"/>
      <c r="UXS60" s="0"/>
      <c r="UXT60" s="0"/>
      <c r="UXU60" s="0"/>
      <c r="UXV60" s="0"/>
      <c r="UXW60" s="0"/>
      <c r="UXX60" s="0"/>
      <c r="UXY60" s="0"/>
      <c r="UXZ60" s="0"/>
      <c r="UYA60" s="0"/>
      <c r="UYB60" s="0"/>
      <c r="UYC60" s="0"/>
      <c r="UYD60" s="0"/>
      <c r="UYE60" s="0"/>
      <c r="UYF60" s="0"/>
      <c r="UYG60" s="0"/>
      <c r="UYH60" s="0"/>
      <c r="UYI60" s="0"/>
      <c r="UYJ60" s="0"/>
      <c r="UYK60" s="0"/>
      <c r="UYL60" s="0"/>
      <c r="UYM60" s="0"/>
      <c r="UYN60" s="0"/>
      <c r="UYO60" s="0"/>
      <c r="UYP60" s="0"/>
      <c r="UYQ60" s="0"/>
      <c r="UYR60" s="0"/>
      <c r="UYS60" s="0"/>
      <c r="UYT60" s="0"/>
      <c r="UYU60" s="0"/>
      <c r="UYV60" s="0"/>
      <c r="UYW60" s="0"/>
      <c r="UYX60" s="0"/>
      <c r="UYY60" s="0"/>
      <c r="UYZ60" s="0"/>
      <c r="UZA60" s="0"/>
      <c r="UZB60" s="0"/>
      <c r="UZC60" s="0"/>
      <c r="UZD60" s="0"/>
      <c r="UZE60" s="0"/>
      <c r="UZF60" s="0"/>
      <c r="UZG60" s="0"/>
      <c r="UZH60" s="0"/>
      <c r="UZI60" s="0"/>
      <c r="UZJ60" s="0"/>
      <c r="UZK60" s="0"/>
      <c r="UZL60" s="0"/>
      <c r="UZM60" s="0"/>
      <c r="UZN60" s="0"/>
      <c r="UZO60" s="0"/>
      <c r="UZP60" s="0"/>
      <c r="UZQ60" s="0"/>
      <c r="UZR60" s="0"/>
      <c r="UZS60" s="0"/>
      <c r="UZT60" s="0"/>
      <c r="UZU60" s="0"/>
      <c r="UZV60" s="0"/>
      <c r="UZW60" s="0"/>
      <c r="UZX60" s="0"/>
      <c r="UZY60" s="0"/>
      <c r="UZZ60" s="0"/>
      <c r="VAA60" s="0"/>
      <c r="VAB60" s="0"/>
      <c r="VAC60" s="0"/>
      <c r="VAD60" s="0"/>
      <c r="VAE60" s="0"/>
      <c r="VAF60" s="0"/>
      <c r="VAG60" s="0"/>
      <c r="VAH60" s="0"/>
      <c r="VAI60" s="0"/>
      <c r="VAJ60" s="0"/>
      <c r="VAK60" s="0"/>
      <c r="VAL60" s="0"/>
      <c r="VAM60" s="0"/>
      <c r="VAN60" s="0"/>
      <c r="VAO60" s="0"/>
      <c r="VAP60" s="0"/>
      <c r="VAQ60" s="0"/>
      <c r="VAR60" s="0"/>
      <c r="VAS60" s="0"/>
      <c r="VAT60" s="0"/>
      <c r="VAU60" s="0"/>
      <c r="VAV60" s="0"/>
      <c r="VAW60" s="0"/>
      <c r="VAX60" s="0"/>
      <c r="VAY60" s="0"/>
      <c r="VAZ60" s="0"/>
      <c r="VBA60" s="0"/>
      <c r="VBB60" s="0"/>
      <c r="VBC60" s="0"/>
      <c r="VBD60" s="0"/>
      <c r="VBE60" s="0"/>
      <c r="VBF60" s="0"/>
      <c r="VBG60" s="0"/>
      <c r="VBH60" s="0"/>
      <c r="VBI60" s="0"/>
      <c r="VBJ60" s="0"/>
      <c r="VBK60" s="0"/>
      <c r="VBL60" s="0"/>
      <c r="VBM60" s="0"/>
      <c r="VBN60" s="0"/>
      <c r="VBO60" s="0"/>
      <c r="VBP60" s="0"/>
      <c r="VBQ60" s="0"/>
      <c r="VBR60" s="0"/>
      <c r="VBS60" s="0"/>
      <c r="VBT60" s="0"/>
      <c r="VBU60" s="0"/>
      <c r="VBV60" s="0"/>
      <c r="VBW60" s="0"/>
      <c r="VBX60" s="0"/>
      <c r="VBY60" s="0"/>
      <c r="VBZ60" s="0"/>
      <c r="VCA60" s="0"/>
      <c r="VCB60" s="0"/>
      <c r="VCC60" s="0"/>
      <c r="VCD60" s="0"/>
      <c r="VCE60" s="0"/>
      <c r="VCF60" s="0"/>
      <c r="VCG60" s="0"/>
      <c r="VCH60" s="0"/>
      <c r="VCI60" s="0"/>
      <c r="VCJ60" s="0"/>
      <c r="VCK60" s="0"/>
      <c r="VCL60" s="0"/>
      <c r="VCM60" s="0"/>
      <c r="VCN60" s="0"/>
      <c r="VCO60" s="0"/>
      <c r="VCP60" s="0"/>
      <c r="VCQ60" s="0"/>
      <c r="VCR60" s="0"/>
      <c r="VCS60" s="0"/>
      <c r="VCT60" s="0"/>
      <c r="VCU60" s="0"/>
      <c r="VCV60" s="0"/>
      <c r="VCW60" s="0"/>
      <c r="VCX60" s="0"/>
      <c r="VCY60" s="0"/>
      <c r="VCZ60" s="0"/>
      <c r="VDA60" s="0"/>
      <c r="VDB60" s="0"/>
      <c r="VDC60" s="0"/>
      <c r="VDD60" s="0"/>
      <c r="VDE60" s="0"/>
      <c r="VDF60" s="0"/>
      <c r="VDG60" s="0"/>
      <c r="VDH60" s="0"/>
      <c r="VDI60" s="0"/>
      <c r="VDJ60" s="0"/>
      <c r="VDK60" s="0"/>
      <c r="VDL60" s="0"/>
      <c r="VDM60" s="0"/>
      <c r="VDN60" s="0"/>
      <c r="VDO60" s="0"/>
      <c r="VDP60" s="0"/>
      <c r="VDQ60" s="0"/>
      <c r="VDR60" s="0"/>
      <c r="VDS60" s="0"/>
      <c r="VDT60" s="0"/>
      <c r="VDU60" s="0"/>
      <c r="VDV60" s="0"/>
      <c r="VDW60" s="0"/>
      <c r="VDX60" s="0"/>
      <c r="VDY60" s="0"/>
      <c r="VDZ60" s="0"/>
      <c r="VEA60" s="0"/>
      <c r="VEB60" s="0"/>
      <c r="VEC60" s="0"/>
      <c r="VED60" s="0"/>
      <c r="VEE60" s="0"/>
      <c r="VEF60" s="0"/>
      <c r="VEG60" s="0"/>
      <c r="VEH60" s="0"/>
      <c r="VEI60" s="0"/>
      <c r="VEJ60" s="0"/>
      <c r="VEK60" s="0"/>
      <c r="VEL60" s="0"/>
      <c r="VEM60" s="0"/>
      <c r="VEN60" s="0"/>
      <c r="VEO60" s="0"/>
      <c r="VEP60" s="0"/>
      <c r="VEQ60" s="0"/>
      <c r="VER60" s="0"/>
      <c r="VES60" s="0"/>
      <c r="VET60" s="0"/>
      <c r="VEU60" s="0"/>
      <c r="VEV60" s="0"/>
      <c r="VEW60" s="0"/>
      <c r="VEX60" s="0"/>
      <c r="VEY60" s="0"/>
      <c r="VEZ60" s="0"/>
      <c r="VFA60" s="0"/>
      <c r="VFB60" s="0"/>
      <c r="VFC60" s="0"/>
      <c r="VFD60" s="0"/>
      <c r="VFE60" s="0"/>
      <c r="VFF60" s="0"/>
      <c r="VFG60" s="0"/>
      <c r="VFH60" s="0"/>
      <c r="VFI60" s="0"/>
      <c r="VFJ60" s="0"/>
      <c r="VFK60" s="0"/>
      <c r="VFL60" s="0"/>
      <c r="VFM60" s="0"/>
      <c r="VFN60" s="0"/>
      <c r="VFO60" s="0"/>
      <c r="VFP60" s="0"/>
      <c r="VFQ60" s="0"/>
      <c r="VFR60" s="0"/>
      <c r="VFS60" s="0"/>
      <c r="VFT60" s="0"/>
      <c r="VFU60" s="0"/>
      <c r="VFV60" s="0"/>
      <c r="VFW60" s="0"/>
      <c r="VFX60" s="0"/>
      <c r="VFY60" s="0"/>
      <c r="VFZ60" s="0"/>
      <c r="VGA60" s="0"/>
      <c r="VGB60" s="0"/>
      <c r="VGC60" s="0"/>
      <c r="VGD60" s="0"/>
      <c r="VGE60" s="0"/>
      <c r="VGF60" s="0"/>
      <c r="VGG60" s="0"/>
      <c r="VGH60" s="0"/>
      <c r="VGI60" s="0"/>
      <c r="VGJ60" s="0"/>
      <c r="VGK60" s="0"/>
      <c r="VGL60" s="0"/>
      <c r="VGM60" s="0"/>
      <c r="VGN60" s="0"/>
      <c r="VGO60" s="0"/>
      <c r="VGP60" s="0"/>
      <c r="VGQ60" s="0"/>
      <c r="VGR60" s="0"/>
      <c r="VGS60" s="0"/>
      <c r="VGT60" s="0"/>
      <c r="VGU60" s="0"/>
      <c r="VGV60" s="0"/>
      <c r="VGW60" s="0"/>
      <c r="VGX60" s="0"/>
      <c r="VGY60" s="0"/>
      <c r="VGZ60" s="0"/>
      <c r="VHA60" s="0"/>
      <c r="VHB60" s="0"/>
      <c r="VHC60" s="0"/>
      <c r="VHD60" s="0"/>
      <c r="VHE60" s="0"/>
      <c r="VHF60" s="0"/>
      <c r="VHG60" s="0"/>
      <c r="VHH60" s="0"/>
      <c r="VHI60" s="0"/>
      <c r="VHJ60" s="0"/>
      <c r="VHK60" s="0"/>
      <c r="VHL60" s="0"/>
      <c r="VHM60" s="0"/>
      <c r="VHN60" s="0"/>
      <c r="VHO60" s="0"/>
      <c r="VHP60" s="0"/>
      <c r="VHQ60" s="0"/>
      <c r="VHR60" s="0"/>
      <c r="VHS60" s="0"/>
      <c r="VHT60" s="0"/>
      <c r="VHU60" s="0"/>
      <c r="VHV60" s="0"/>
      <c r="VHW60" s="0"/>
      <c r="VHX60" s="0"/>
      <c r="VHY60" s="0"/>
      <c r="VHZ60" s="0"/>
      <c r="VIA60" s="0"/>
      <c r="VIB60" s="0"/>
      <c r="VIC60" s="0"/>
      <c r="VID60" s="0"/>
      <c r="VIE60" s="0"/>
      <c r="VIF60" s="0"/>
      <c r="VIG60" s="0"/>
      <c r="VIH60" s="0"/>
      <c r="VII60" s="0"/>
      <c r="VIJ60" s="0"/>
      <c r="VIK60" s="0"/>
      <c r="VIL60" s="0"/>
      <c r="VIM60" s="0"/>
      <c r="VIN60" s="0"/>
      <c r="VIO60" s="0"/>
      <c r="VIP60" s="0"/>
      <c r="VIQ60" s="0"/>
      <c r="VIR60" s="0"/>
      <c r="VIS60" s="0"/>
      <c r="VIT60" s="0"/>
      <c r="VIU60" s="0"/>
      <c r="VIV60" s="0"/>
      <c r="VIW60" s="0"/>
      <c r="VIX60" s="0"/>
      <c r="VIY60" s="0"/>
      <c r="VIZ60" s="0"/>
      <c r="VJA60" s="0"/>
      <c r="VJB60" s="0"/>
      <c r="VJC60" s="0"/>
      <c r="VJD60" s="0"/>
      <c r="VJE60" s="0"/>
      <c r="VJF60" s="0"/>
      <c r="VJG60" s="0"/>
      <c r="VJH60" s="0"/>
      <c r="VJI60" s="0"/>
      <c r="VJJ60" s="0"/>
      <c r="VJK60" s="0"/>
      <c r="VJL60" s="0"/>
      <c r="VJM60" s="0"/>
      <c r="VJN60" s="0"/>
      <c r="VJO60" s="0"/>
      <c r="VJP60" s="0"/>
      <c r="VJQ60" s="0"/>
      <c r="VJR60" s="0"/>
      <c r="VJS60" s="0"/>
      <c r="VJT60" s="0"/>
      <c r="VJU60" s="0"/>
      <c r="VJV60" s="0"/>
      <c r="VJW60" s="0"/>
      <c r="VJX60" s="0"/>
      <c r="VJY60" s="0"/>
      <c r="VJZ60" s="0"/>
      <c r="VKA60" s="0"/>
      <c r="VKB60" s="0"/>
      <c r="VKC60" s="0"/>
      <c r="VKD60" s="0"/>
      <c r="VKE60" s="0"/>
      <c r="VKF60" s="0"/>
      <c r="VKG60" s="0"/>
      <c r="VKH60" s="0"/>
      <c r="VKI60" s="0"/>
      <c r="VKJ60" s="0"/>
      <c r="VKK60" s="0"/>
      <c r="VKL60" s="0"/>
      <c r="VKM60" s="0"/>
      <c r="VKN60" s="0"/>
      <c r="VKO60" s="0"/>
      <c r="VKP60" s="0"/>
      <c r="VKQ60" s="0"/>
      <c r="VKR60" s="0"/>
      <c r="VKS60" s="0"/>
      <c r="VKT60" s="0"/>
      <c r="VKU60" s="0"/>
      <c r="VKV60" s="0"/>
      <c r="VKW60" s="0"/>
      <c r="VKX60" s="0"/>
      <c r="VKY60" s="0"/>
      <c r="VKZ60" s="0"/>
      <c r="VLA60" s="0"/>
      <c r="VLB60" s="0"/>
      <c r="VLC60" s="0"/>
      <c r="VLD60" s="0"/>
      <c r="VLE60" s="0"/>
      <c r="VLF60" s="0"/>
      <c r="VLG60" s="0"/>
      <c r="VLH60" s="0"/>
      <c r="VLI60" s="0"/>
      <c r="VLJ60" s="0"/>
      <c r="VLK60" s="0"/>
      <c r="VLL60" s="0"/>
      <c r="VLM60" s="0"/>
      <c r="VLN60" s="0"/>
      <c r="VLO60" s="0"/>
      <c r="VLP60" s="0"/>
      <c r="VLQ60" s="0"/>
      <c r="VLR60" s="0"/>
      <c r="VLS60" s="0"/>
      <c r="VLT60" s="0"/>
      <c r="VLU60" s="0"/>
      <c r="VLV60" s="0"/>
      <c r="VLW60" s="0"/>
      <c r="VLX60" s="0"/>
      <c r="VLY60" s="0"/>
      <c r="VLZ60" s="0"/>
      <c r="VMA60" s="0"/>
      <c r="VMB60" s="0"/>
      <c r="VMC60" s="0"/>
      <c r="VMD60" s="0"/>
      <c r="VME60" s="0"/>
      <c r="VMF60" s="0"/>
      <c r="VMG60" s="0"/>
      <c r="VMH60" s="0"/>
      <c r="VMI60" s="0"/>
      <c r="VMJ60" s="0"/>
      <c r="VMK60" s="0"/>
      <c r="VML60" s="0"/>
      <c r="VMM60" s="0"/>
      <c r="VMN60" s="0"/>
      <c r="VMO60" s="0"/>
      <c r="VMP60" s="0"/>
      <c r="VMQ60" s="0"/>
      <c r="VMR60" s="0"/>
      <c r="VMS60" s="0"/>
      <c r="VMT60" s="0"/>
      <c r="VMU60" s="0"/>
      <c r="VMV60" s="0"/>
      <c r="VMW60" s="0"/>
      <c r="VMX60" s="0"/>
      <c r="VMY60" s="0"/>
      <c r="VMZ60" s="0"/>
      <c r="VNA60" s="0"/>
      <c r="VNB60" s="0"/>
      <c r="VNC60" s="0"/>
      <c r="VND60" s="0"/>
      <c r="VNE60" s="0"/>
      <c r="VNF60" s="0"/>
      <c r="VNG60" s="0"/>
      <c r="VNH60" s="0"/>
      <c r="VNI60" s="0"/>
      <c r="VNJ60" s="0"/>
      <c r="VNK60" s="0"/>
      <c r="VNL60" s="0"/>
      <c r="VNM60" s="0"/>
      <c r="VNN60" s="0"/>
      <c r="VNO60" s="0"/>
      <c r="VNP60" s="0"/>
      <c r="VNQ60" s="0"/>
      <c r="VNR60" s="0"/>
      <c r="VNS60" s="0"/>
      <c r="VNT60" s="0"/>
      <c r="VNU60" s="0"/>
      <c r="VNV60" s="0"/>
      <c r="VNW60" s="0"/>
      <c r="VNX60" s="0"/>
      <c r="VNY60" s="0"/>
      <c r="VNZ60" s="0"/>
      <c r="VOA60" s="0"/>
      <c r="VOB60" s="0"/>
      <c r="VOC60" s="0"/>
      <c r="VOD60" s="0"/>
      <c r="VOE60" s="0"/>
      <c r="VOF60" s="0"/>
      <c r="VOG60" s="0"/>
      <c r="VOH60" s="0"/>
      <c r="VOI60" s="0"/>
      <c r="VOJ60" s="0"/>
      <c r="VOK60" s="0"/>
      <c r="VOL60" s="0"/>
      <c r="VOM60" s="0"/>
      <c r="VON60" s="0"/>
      <c r="VOO60" s="0"/>
      <c r="VOP60" s="0"/>
      <c r="VOQ60" s="0"/>
      <c r="VOR60" s="0"/>
      <c r="VOS60" s="0"/>
      <c r="VOT60" s="0"/>
      <c r="VOU60" s="0"/>
      <c r="VOV60" s="0"/>
      <c r="VOW60" s="0"/>
      <c r="VOX60" s="0"/>
      <c r="VOY60" s="0"/>
      <c r="VOZ60" s="0"/>
      <c r="VPA60" s="0"/>
      <c r="VPB60" s="0"/>
      <c r="VPC60" s="0"/>
      <c r="VPD60" s="0"/>
      <c r="VPE60" s="0"/>
      <c r="VPF60" s="0"/>
      <c r="VPG60" s="0"/>
      <c r="VPH60" s="0"/>
      <c r="VPI60" s="0"/>
      <c r="VPJ60" s="0"/>
      <c r="VPK60" s="0"/>
      <c r="VPL60" s="0"/>
      <c r="VPM60" s="0"/>
      <c r="VPN60" s="0"/>
      <c r="VPO60" s="0"/>
      <c r="VPP60" s="0"/>
      <c r="VPQ60" s="0"/>
      <c r="VPR60" s="0"/>
      <c r="VPS60" s="0"/>
      <c r="VPT60" s="0"/>
      <c r="VPU60" s="0"/>
      <c r="VPV60" s="0"/>
      <c r="VPW60" s="0"/>
      <c r="VPX60" s="0"/>
      <c r="VPY60" s="0"/>
      <c r="VPZ60" s="0"/>
      <c r="VQA60" s="0"/>
      <c r="VQB60" s="0"/>
      <c r="VQC60" s="0"/>
      <c r="VQD60" s="0"/>
      <c r="VQE60" s="0"/>
      <c r="VQF60" s="0"/>
      <c r="VQG60" s="0"/>
      <c r="VQH60" s="0"/>
      <c r="VQI60" s="0"/>
      <c r="VQJ60" s="0"/>
      <c r="VQK60" s="0"/>
      <c r="VQL60" s="0"/>
      <c r="VQM60" s="0"/>
      <c r="VQN60" s="0"/>
      <c r="VQO60" s="0"/>
      <c r="VQP60" s="0"/>
      <c r="VQQ60" s="0"/>
      <c r="VQR60" s="0"/>
      <c r="VQS60" s="0"/>
      <c r="VQT60" s="0"/>
      <c r="VQU60" s="0"/>
      <c r="VQV60" s="0"/>
      <c r="VQW60" s="0"/>
      <c r="VQX60" s="0"/>
      <c r="VQY60" s="0"/>
      <c r="VQZ60" s="0"/>
      <c r="VRA60" s="0"/>
      <c r="VRB60" s="0"/>
      <c r="VRC60" s="0"/>
      <c r="VRD60" s="0"/>
      <c r="VRE60" s="0"/>
      <c r="VRF60" s="0"/>
      <c r="VRG60" s="0"/>
      <c r="VRH60" s="0"/>
      <c r="VRI60" s="0"/>
      <c r="VRJ60" s="0"/>
      <c r="VRK60" s="0"/>
      <c r="VRL60" s="0"/>
      <c r="VRM60" s="0"/>
      <c r="VRN60" s="0"/>
      <c r="VRO60" s="0"/>
      <c r="VRP60" s="0"/>
      <c r="VRQ60" s="0"/>
      <c r="VRR60" s="0"/>
      <c r="VRS60" s="0"/>
      <c r="VRT60" s="0"/>
      <c r="VRU60" s="0"/>
      <c r="VRV60" s="0"/>
      <c r="VRW60" s="0"/>
      <c r="VRX60" s="0"/>
      <c r="VRY60" s="0"/>
      <c r="VRZ60" s="0"/>
      <c r="VSA60" s="0"/>
      <c r="VSB60" s="0"/>
      <c r="VSC60" s="0"/>
      <c r="VSD60" s="0"/>
      <c r="VSE60" s="0"/>
      <c r="VSF60" s="0"/>
      <c r="VSG60" s="0"/>
      <c r="VSH60" s="0"/>
      <c r="VSI60" s="0"/>
      <c r="VSJ60" s="0"/>
      <c r="VSK60" s="0"/>
      <c r="VSL60" s="0"/>
      <c r="VSM60" s="0"/>
      <c r="VSN60" s="0"/>
      <c r="VSO60" s="0"/>
      <c r="VSP60" s="0"/>
      <c r="VSQ60" s="0"/>
      <c r="VSR60" s="0"/>
      <c r="VSS60" s="0"/>
      <c r="VST60" s="0"/>
      <c r="VSU60" s="0"/>
      <c r="VSV60" s="0"/>
      <c r="VSW60" s="0"/>
      <c r="VSX60" s="0"/>
      <c r="VSY60" s="0"/>
      <c r="VSZ60" s="0"/>
      <c r="VTA60" s="0"/>
      <c r="VTB60" s="0"/>
      <c r="VTC60" s="0"/>
      <c r="VTD60" s="0"/>
      <c r="VTE60" s="0"/>
      <c r="VTF60" s="0"/>
      <c r="VTG60" s="0"/>
      <c r="VTH60" s="0"/>
      <c r="VTI60" s="0"/>
      <c r="VTJ60" s="0"/>
      <c r="VTK60" s="0"/>
      <c r="VTL60" s="0"/>
      <c r="VTM60" s="0"/>
      <c r="VTN60" s="0"/>
      <c r="VTO60" s="0"/>
      <c r="VTP60" s="0"/>
      <c r="VTQ60" s="0"/>
      <c r="VTR60" s="0"/>
      <c r="VTS60" s="0"/>
      <c r="VTT60" s="0"/>
      <c r="VTU60" s="0"/>
      <c r="VTV60" s="0"/>
      <c r="VTW60" s="0"/>
      <c r="VTX60" s="0"/>
      <c r="VTY60" s="0"/>
      <c r="VTZ60" s="0"/>
      <c r="VUA60" s="0"/>
      <c r="VUB60" s="0"/>
      <c r="VUC60" s="0"/>
      <c r="VUD60" s="0"/>
      <c r="VUE60" s="0"/>
      <c r="VUF60" s="0"/>
      <c r="VUG60" s="0"/>
      <c r="VUH60" s="0"/>
      <c r="VUI60" s="0"/>
      <c r="VUJ60" s="0"/>
      <c r="VUK60" s="0"/>
      <c r="VUL60" s="0"/>
      <c r="VUM60" s="0"/>
      <c r="VUN60" s="0"/>
      <c r="VUO60" s="0"/>
      <c r="VUP60" s="0"/>
      <c r="VUQ60" s="0"/>
      <c r="VUR60" s="0"/>
      <c r="VUS60" s="0"/>
      <c r="VUT60" s="0"/>
      <c r="VUU60" s="0"/>
      <c r="VUV60" s="0"/>
      <c r="VUW60" s="0"/>
      <c r="VUX60" s="0"/>
      <c r="VUY60" s="0"/>
      <c r="VUZ60" s="0"/>
      <c r="VVA60" s="0"/>
      <c r="VVB60" s="0"/>
      <c r="VVC60" s="0"/>
      <c r="VVD60" s="0"/>
      <c r="VVE60" s="0"/>
      <c r="VVF60" s="0"/>
      <c r="VVG60" s="0"/>
      <c r="VVH60" s="0"/>
      <c r="VVI60" s="0"/>
      <c r="VVJ60" s="0"/>
      <c r="VVK60" s="0"/>
      <c r="VVL60" s="0"/>
      <c r="VVM60" s="0"/>
      <c r="VVN60" s="0"/>
      <c r="VVO60" s="0"/>
      <c r="VVP60" s="0"/>
      <c r="VVQ60" s="0"/>
      <c r="VVR60" s="0"/>
      <c r="VVS60" s="0"/>
      <c r="VVT60" s="0"/>
      <c r="VVU60" s="0"/>
      <c r="VVV60" s="0"/>
      <c r="VVW60" s="0"/>
      <c r="VVX60" s="0"/>
      <c r="VVY60" s="0"/>
      <c r="VVZ60" s="0"/>
      <c r="VWA60" s="0"/>
      <c r="VWB60" s="0"/>
      <c r="VWC60" s="0"/>
      <c r="VWD60" s="0"/>
      <c r="VWE60" s="0"/>
      <c r="VWF60" s="0"/>
      <c r="VWG60" s="0"/>
      <c r="VWH60" s="0"/>
      <c r="VWI60" s="0"/>
      <c r="VWJ60" s="0"/>
      <c r="VWK60" s="0"/>
      <c r="VWL60" s="0"/>
      <c r="VWM60" s="0"/>
      <c r="VWN60" s="0"/>
      <c r="VWO60" s="0"/>
      <c r="VWP60" s="0"/>
      <c r="VWQ60" s="0"/>
      <c r="VWR60" s="0"/>
      <c r="VWS60" s="0"/>
      <c r="VWT60" s="0"/>
      <c r="VWU60" s="0"/>
      <c r="VWV60" s="0"/>
      <c r="VWW60" s="0"/>
      <c r="VWX60" s="0"/>
      <c r="VWY60" s="0"/>
      <c r="VWZ60" s="0"/>
      <c r="VXA60" s="0"/>
      <c r="VXB60" s="0"/>
      <c r="VXC60" s="0"/>
      <c r="VXD60" s="0"/>
      <c r="VXE60" s="0"/>
      <c r="VXF60" s="0"/>
      <c r="VXG60" s="0"/>
      <c r="VXH60" s="0"/>
      <c r="VXI60" s="0"/>
      <c r="VXJ60" s="0"/>
      <c r="VXK60" s="0"/>
      <c r="VXL60" s="0"/>
      <c r="VXM60" s="0"/>
      <c r="VXN60" s="0"/>
      <c r="VXO60" s="0"/>
      <c r="VXP60" s="0"/>
      <c r="VXQ60" s="0"/>
      <c r="VXR60" s="0"/>
      <c r="VXS60" s="0"/>
      <c r="VXT60" s="0"/>
      <c r="VXU60" s="0"/>
      <c r="VXV60" s="0"/>
      <c r="VXW60" s="0"/>
      <c r="VXX60" s="0"/>
      <c r="VXY60" s="0"/>
      <c r="VXZ60" s="0"/>
      <c r="VYA60" s="0"/>
      <c r="VYB60" s="0"/>
      <c r="VYC60" s="0"/>
      <c r="VYD60" s="0"/>
      <c r="VYE60" s="0"/>
      <c r="VYF60" s="0"/>
      <c r="VYG60" s="0"/>
      <c r="VYH60" s="0"/>
      <c r="VYI60" s="0"/>
      <c r="VYJ60" s="0"/>
      <c r="VYK60" s="0"/>
      <c r="VYL60" s="0"/>
      <c r="VYM60" s="0"/>
      <c r="VYN60" s="0"/>
      <c r="VYO60" s="0"/>
      <c r="VYP60" s="0"/>
      <c r="VYQ60" s="0"/>
      <c r="VYR60" s="0"/>
      <c r="VYS60" s="0"/>
      <c r="VYT60" s="0"/>
      <c r="VYU60" s="0"/>
      <c r="VYV60" s="0"/>
      <c r="VYW60" s="0"/>
      <c r="VYX60" s="0"/>
      <c r="VYY60" s="0"/>
      <c r="VYZ60" s="0"/>
      <c r="VZA60" s="0"/>
      <c r="VZB60" s="0"/>
      <c r="VZC60" s="0"/>
      <c r="VZD60" s="0"/>
      <c r="VZE60" s="0"/>
      <c r="VZF60" s="0"/>
      <c r="VZG60" s="0"/>
      <c r="VZH60" s="0"/>
      <c r="VZI60" s="0"/>
      <c r="VZJ60" s="0"/>
      <c r="VZK60" s="0"/>
      <c r="VZL60" s="0"/>
      <c r="VZM60" s="0"/>
      <c r="VZN60" s="0"/>
      <c r="VZO60" s="0"/>
      <c r="VZP60" s="0"/>
      <c r="VZQ60" s="0"/>
      <c r="VZR60" s="0"/>
      <c r="VZS60" s="0"/>
      <c r="VZT60" s="0"/>
      <c r="VZU60" s="0"/>
      <c r="VZV60" s="0"/>
      <c r="VZW60" s="0"/>
      <c r="VZX60" s="0"/>
      <c r="VZY60" s="0"/>
      <c r="VZZ60" s="0"/>
      <c r="WAA60" s="0"/>
      <c r="WAB60" s="0"/>
      <c r="WAC60" s="0"/>
      <c r="WAD60" s="0"/>
      <c r="WAE60" s="0"/>
      <c r="WAF60" s="0"/>
      <c r="WAG60" s="0"/>
      <c r="WAH60" s="0"/>
      <c r="WAI60" s="0"/>
      <c r="WAJ60" s="0"/>
      <c r="WAK60" s="0"/>
      <c r="WAL60" s="0"/>
      <c r="WAM60" s="0"/>
      <c r="WAN60" s="0"/>
      <c r="WAO60" s="0"/>
      <c r="WAP60" s="0"/>
      <c r="WAQ60" s="0"/>
      <c r="WAR60" s="0"/>
      <c r="WAS60" s="0"/>
      <c r="WAT60" s="0"/>
      <c r="WAU60" s="0"/>
      <c r="WAV60" s="0"/>
      <c r="WAW60" s="0"/>
      <c r="WAX60" s="0"/>
      <c r="WAY60" s="0"/>
      <c r="WAZ60" s="0"/>
      <c r="WBA60" s="0"/>
      <c r="WBB60" s="0"/>
      <c r="WBC60" s="0"/>
      <c r="WBD60" s="0"/>
      <c r="WBE60" s="0"/>
      <c r="WBF60" s="0"/>
      <c r="WBG60" s="0"/>
      <c r="WBH60" s="0"/>
      <c r="WBI60" s="0"/>
      <c r="WBJ60" s="0"/>
      <c r="WBK60" s="0"/>
      <c r="WBL60" s="0"/>
      <c r="WBM60" s="0"/>
      <c r="WBN60" s="0"/>
      <c r="WBO60" s="0"/>
      <c r="WBP60" s="0"/>
      <c r="WBQ60" s="0"/>
      <c r="WBR60" s="0"/>
      <c r="WBS60" s="0"/>
      <c r="WBT60" s="0"/>
      <c r="WBU60" s="0"/>
      <c r="WBV60" s="0"/>
      <c r="WBW60" s="0"/>
      <c r="WBX60" s="0"/>
      <c r="WBY60" s="0"/>
      <c r="WBZ60" s="0"/>
      <c r="WCA60" s="0"/>
      <c r="WCB60" s="0"/>
      <c r="WCC60" s="0"/>
      <c r="WCD60" s="0"/>
      <c r="WCE60" s="0"/>
      <c r="WCF60" s="0"/>
      <c r="WCG60" s="0"/>
      <c r="WCH60" s="0"/>
      <c r="WCI60" s="0"/>
      <c r="WCJ60" s="0"/>
      <c r="WCK60" s="0"/>
      <c r="WCL60" s="0"/>
      <c r="WCM60" s="0"/>
      <c r="WCN60" s="0"/>
      <c r="WCO60" s="0"/>
      <c r="WCP60" s="0"/>
      <c r="WCQ60" s="0"/>
      <c r="WCR60" s="0"/>
      <c r="WCS60" s="0"/>
      <c r="WCT60" s="0"/>
      <c r="WCU60" s="0"/>
      <c r="WCV60" s="0"/>
      <c r="WCW60" s="0"/>
      <c r="WCX60" s="0"/>
      <c r="WCY60" s="0"/>
      <c r="WCZ60" s="0"/>
      <c r="WDA60" s="0"/>
      <c r="WDB60" s="0"/>
      <c r="WDC60" s="0"/>
      <c r="WDD60" s="0"/>
      <c r="WDE60" s="0"/>
      <c r="WDF60" s="0"/>
      <c r="WDG60" s="0"/>
      <c r="WDH60" s="0"/>
      <c r="WDI60" s="0"/>
      <c r="WDJ60" s="0"/>
      <c r="WDK60" s="0"/>
      <c r="WDL60" s="0"/>
      <c r="WDM60" s="0"/>
      <c r="WDN60" s="0"/>
      <c r="WDO60" s="0"/>
      <c r="WDP60" s="0"/>
      <c r="WDQ60" s="0"/>
      <c r="WDR60" s="0"/>
      <c r="WDS60" s="0"/>
      <c r="WDT60" s="0"/>
      <c r="WDU60" s="0"/>
      <c r="WDV60" s="0"/>
      <c r="WDW60" s="0"/>
      <c r="WDX60" s="0"/>
      <c r="WDY60" s="0"/>
      <c r="WDZ60" s="0"/>
      <c r="WEA60" s="0"/>
      <c r="WEB60" s="0"/>
      <c r="WEC60" s="0"/>
      <c r="WED60" s="0"/>
      <c r="WEE60" s="0"/>
      <c r="WEF60" s="0"/>
      <c r="WEG60" s="0"/>
      <c r="WEH60" s="0"/>
      <c r="WEI60" s="0"/>
      <c r="WEJ60" s="0"/>
      <c r="WEK60" s="0"/>
      <c r="WEL60" s="0"/>
      <c r="WEM60" s="0"/>
      <c r="WEN60" s="0"/>
      <c r="WEO60" s="0"/>
      <c r="WEP60" s="0"/>
      <c r="WEQ60" s="0"/>
      <c r="WER60" s="0"/>
      <c r="WES60" s="0"/>
      <c r="WET60" s="0"/>
      <c r="WEU60" s="0"/>
      <c r="WEV60" s="0"/>
      <c r="WEW60" s="0"/>
      <c r="WEX60" s="0"/>
      <c r="WEY60" s="0"/>
      <c r="WEZ60" s="0"/>
      <c r="WFA60" s="0"/>
      <c r="WFB60" s="0"/>
      <c r="WFC60" s="0"/>
      <c r="WFD60" s="0"/>
      <c r="WFE60" s="0"/>
      <c r="WFF60" s="0"/>
      <c r="WFG60" s="0"/>
      <c r="WFH60" s="0"/>
      <c r="WFI60" s="0"/>
      <c r="WFJ60" s="0"/>
      <c r="WFK60" s="0"/>
      <c r="WFL60" s="0"/>
      <c r="WFM60" s="0"/>
      <c r="WFN60" s="0"/>
      <c r="WFO60" s="0"/>
      <c r="WFP60" s="0"/>
      <c r="WFQ60" s="0"/>
      <c r="WFR60" s="0"/>
      <c r="WFS60" s="0"/>
      <c r="WFT60" s="0"/>
      <c r="WFU60" s="0"/>
      <c r="WFV60" s="0"/>
      <c r="WFW60" s="0"/>
      <c r="WFX60" s="0"/>
      <c r="WFY60" s="0"/>
      <c r="WFZ60" s="0"/>
      <c r="WGA60" s="0"/>
      <c r="WGB60" s="0"/>
      <c r="WGC60" s="0"/>
      <c r="WGD60" s="0"/>
      <c r="WGE60" s="0"/>
      <c r="WGF60" s="0"/>
      <c r="WGG60" s="0"/>
      <c r="WGH60" s="0"/>
      <c r="WGI60" s="0"/>
      <c r="WGJ60" s="0"/>
      <c r="WGK60" s="0"/>
      <c r="WGL60" s="0"/>
      <c r="WGM60" s="0"/>
      <c r="WGN60" s="0"/>
      <c r="WGO60" s="0"/>
      <c r="WGP60" s="0"/>
      <c r="WGQ60" s="0"/>
      <c r="WGR60" s="0"/>
      <c r="WGS60" s="0"/>
      <c r="WGT60" s="0"/>
      <c r="WGU60" s="0"/>
      <c r="WGV60" s="0"/>
      <c r="WGW60" s="0"/>
      <c r="WGX60" s="0"/>
      <c r="WGY60" s="0"/>
      <c r="WGZ60" s="0"/>
      <c r="WHA60" s="0"/>
      <c r="WHB60" s="0"/>
      <c r="WHC60" s="0"/>
      <c r="WHD60" s="0"/>
      <c r="WHE60" s="0"/>
      <c r="WHF60" s="0"/>
      <c r="WHG60" s="0"/>
      <c r="WHH60" s="0"/>
      <c r="WHI60" s="0"/>
      <c r="WHJ60" s="0"/>
      <c r="WHK60" s="0"/>
      <c r="WHL60" s="0"/>
      <c r="WHM60" s="0"/>
      <c r="WHN60" s="0"/>
      <c r="WHO60" s="0"/>
      <c r="WHP60" s="0"/>
      <c r="WHQ60" s="0"/>
      <c r="WHR60" s="0"/>
      <c r="WHS60" s="0"/>
      <c r="WHT60" s="0"/>
      <c r="WHU60" s="0"/>
      <c r="WHV60" s="0"/>
      <c r="WHW60" s="0"/>
      <c r="WHX60" s="0"/>
      <c r="WHY60" s="0"/>
      <c r="WHZ60" s="0"/>
      <c r="WIA60" s="0"/>
      <c r="WIB60" s="0"/>
      <c r="WIC60" s="0"/>
      <c r="WID60" s="0"/>
      <c r="WIE60" s="0"/>
      <c r="WIF60" s="0"/>
      <c r="WIG60" s="0"/>
      <c r="WIH60" s="0"/>
      <c r="WII60" s="0"/>
      <c r="WIJ60" s="0"/>
      <c r="WIK60" s="0"/>
      <c r="WIL60" s="0"/>
      <c r="WIM60" s="0"/>
      <c r="WIN60" s="0"/>
      <c r="WIO60" s="0"/>
      <c r="WIP60" s="0"/>
      <c r="WIQ60" s="0"/>
      <c r="WIR60" s="0"/>
      <c r="WIS60" s="0"/>
      <c r="WIT60" s="0"/>
      <c r="WIU60" s="0"/>
      <c r="WIV60" s="0"/>
      <c r="WIW60" s="0"/>
      <c r="WIX60" s="0"/>
      <c r="WIY60" s="0"/>
      <c r="WIZ60" s="0"/>
      <c r="WJA60" s="0"/>
      <c r="WJB60" s="0"/>
      <c r="WJC60" s="0"/>
      <c r="WJD60" s="0"/>
      <c r="WJE60" s="0"/>
      <c r="WJF60" s="0"/>
      <c r="WJG60" s="0"/>
      <c r="WJH60" s="0"/>
      <c r="WJI60" s="0"/>
      <c r="WJJ60" s="0"/>
      <c r="WJK60" s="0"/>
      <c r="WJL60" s="0"/>
      <c r="WJM60" s="0"/>
      <c r="WJN60" s="0"/>
      <c r="WJO60" s="0"/>
      <c r="WJP60" s="0"/>
      <c r="WJQ60" s="0"/>
      <c r="WJR60" s="0"/>
      <c r="WJS60" s="0"/>
      <c r="WJT60" s="0"/>
      <c r="WJU60" s="0"/>
      <c r="WJV60" s="0"/>
      <c r="WJW60" s="0"/>
      <c r="WJX60" s="0"/>
      <c r="WJY60" s="0"/>
      <c r="WJZ60" s="0"/>
      <c r="WKA60" s="0"/>
      <c r="WKB60" s="0"/>
      <c r="WKC60" s="0"/>
      <c r="WKD60" s="0"/>
      <c r="WKE60" s="0"/>
      <c r="WKF60" s="0"/>
      <c r="WKG60" s="0"/>
      <c r="WKH60" s="0"/>
      <c r="WKI60" s="0"/>
      <c r="WKJ60" s="0"/>
      <c r="WKK60" s="0"/>
      <c r="WKL60" s="0"/>
      <c r="WKM60" s="0"/>
      <c r="WKN60" s="0"/>
      <c r="WKO60" s="0"/>
      <c r="WKP60" s="0"/>
      <c r="WKQ60" s="0"/>
      <c r="WKR60" s="0"/>
      <c r="WKS60" s="0"/>
      <c r="WKT60" s="0"/>
      <c r="WKU60" s="0"/>
      <c r="WKV60" s="0"/>
      <c r="WKW60" s="0"/>
      <c r="WKX60" s="0"/>
      <c r="WKY60" s="0"/>
      <c r="WKZ60" s="0"/>
      <c r="WLA60" s="0"/>
      <c r="WLB60" s="0"/>
      <c r="WLC60" s="0"/>
      <c r="WLD60" s="0"/>
      <c r="WLE60" s="0"/>
      <c r="WLF60" s="0"/>
      <c r="WLG60" s="0"/>
      <c r="WLH60" s="0"/>
      <c r="WLI60" s="0"/>
      <c r="WLJ60" s="0"/>
      <c r="WLK60" s="0"/>
      <c r="WLL60" s="0"/>
      <c r="WLM60" s="0"/>
      <c r="WLN60" s="0"/>
      <c r="WLO60" s="0"/>
      <c r="WLP60" s="0"/>
      <c r="WLQ60" s="0"/>
      <c r="WLR60" s="0"/>
      <c r="WLS60" s="0"/>
      <c r="WLT60" s="0"/>
      <c r="WLU60" s="0"/>
      <c r="WLV60" s="0"/>
      <c r="WLW60" s="0"/>
      <c r="WLX60" s="0"/>
      <c r="WLY60" s="0"/>
      <c r="WLZ60" s="0"/>
      <c r="WMA60" s="0"/>
      <c r="WMB60" s="0"/>
      <c r="WMC60" s="0"/>
      <c r="WMD60" s="0"/>
      <c r="WME60" s="0"/>
      <c r="WMF60" s="0"/>
      <c r="WMG60" s="0"/>
      <c r="WMH60" s="0"/>
      <c r="WMI60" s="0"/>
      <c r="WMJ60" s="0"/>
      <c r="WMK60" s="0"/>
      <c r="WML60" s="0"/>
      <c r="WMM60" s="0"/>
      <c r="WMN60" s="0"/>
      <c r="WMO60" s="0"/>
      <c r="WMP60" s="0"/>
      <c r="WMQ60" s="0"/>
      <c r="WMR60" s="0"/>
      <c r="WMS60" s="0"/>
      <c r="WMT60" s="0"/>
      <c r="WMU60" s="0"/>
      <c r="WMV60" s="0"/>
      <c r="WMW60" s="0"/>
      <c r="WMX60" s="0"/>
      <c r="WMY60" s="0"/>
      <c r="WMZ60" s="0"/>
      <c r="WNA60" s="0"/>
      <c r="WNB60" s="0"/>
      <c r="WNC60" s="0"/>
      <c r="WND60" s="0"/>
      <c r="WNE60" s="0"/>
      <c r="WNF60" s="0"/>
      <c r="WNG60" s="0"/>
      <c r="WNH60" s="0"/>
      <c r="WNI60" s="0"/>
      <c r="WNJ60" s="0"/>
      <c r="WNK60" s="0"/>
      <c r="WNL60" s="0"/>
      <c r="WNM60" s="0"/>
      <c r="WNN60" s="0"/>
      <c r="WNO60" s="0"/>
      <c r="WNP60" s="0"/>
      <c r="WNQ60" s="0"/>
      <c r="WNR60" s="0"/>
      <c r="WNS60" s="0"/>
      <c r="WNT60" s="0"/>
      <c r="WNU60" s="0"/>
      <c r="WNV60" s="0"/>
      <c r="WNW60" s="0"/>
      <c r="WNX60" s="0"/>
      <c r="WNY60" s="0"/>
      <c r="WNZ60" s="0"/>
      <c r="WOA60" s="0"/>
      <c r="WOB60" s="0"/>
      <c r="WOC60" s="0"/>
      <c r="WOD60" s="0"/>
      <c r="WOE60" s="0"/>
      <c r="WOF60" s="0"/>
      <c r="WOG60" s="0"/>
      <c r="WOH60" s="0"/>
      <c r="WOI60" s="0"/>
      <c r="WOJ60" s="0"/>
      <c r="WOK60" s="0"/>
      <c r="WOL60" s="0"/>
      <c r="WOM60" s="0"/>
      <c r="WON60" s="0"/>
      <c r="WOO60" s="0"/>
      <c r="WOP60" s="0"/>
      <c r="WOQ60" s="0"/>
      <c r="WOR60" s="0"/>
      <c r="WOS60" s="0"/>
      <c r="WOT60" s="0"/>
      <c r="WOU60" s="0"/>
      <c r="WOV60" s="0"/>
      <c r="WOW60" s="0"/>
      <c r="WOX60" s="0"/>
      <c r="WOY60" s="0"/>
      <c r="WOZ60" s="0"/>
      <c r="WPA60" s="0"/>
      <c r="WPB60" s="0"/>
      <c r="WPC60" s="0"/>
      <c r="WPD60" s="0"/>
      <c r="WPE60" s="0"/>
      <c r="WPF60" s="0"/>
      <c r="WPG60" s="0"/>
      <c r="WPH60" s="0"/>
      <c r="WPI60" s="0"/>
      <c r="WPJ60" s="0"/>
      <c r="WPK60" s="0"/>
      <c r="WPL60" s="0"/>
      <c r="WPM60" s="0"/>
      <c r="WPN60" s="0"/>
      <c r="WPO60" s="0"/>
      <c r="WPP60" s="0"/>
      <c r="WPQ60" s="0"/>
      <c r="WPR60" s="0"/>
      <c r="WPS60" s="0"/>
      <c r="WPT60" s="0"/>
      <c r="WPU60" s="0"/>
      <c r="WPV60" s="0"/>
      <c r="WPW60" s="0"/>
      <c r="WPX60" s="0"/>
      <c r="WPY60" s="0"/>
      <c r="WPZ60" s="0"/>
      <c r="WQA60" s="0"/>
      <c r="WQB60" s="0"/>
      <c r="WQC60" s="0"/>
      <c r="WQD60" s="0"/>
      <c r="WQE60" s="0"/>
      <c r="WQF60" s="0"/>
      <c r="WQG60" s="0"/>
      <c r="WQH60" s="0"/>
      <c r="WQI60" s="0"/>
      <c r="WQJ60" s="0"/>
      <c r="WQK60" s="0"/>
      <c r="WQL60" s="0"/>
      <c r="WQM60" s="0"/>
      <c r="WQN60" s="0"/>
      <c r="WQO60" s="0"/>
      <c r="WQP60" s="0"/>
      <c r="WQQ60" s="0"/>
      <c r="WQR60" s="0"/>
      <c r="WQS60" s="0"/>
      <c r="WQT60" s="0"/>
      <c r="WQU60" s="0"/>
      <c r="WQV60" s="0"/>
      <c r="WQW60" s="0"/>
      <c r="WQX60" s="0"/>
      <c r="WQY60" s="0"/>
      <c r="WQZ60" s="0"/>
      <c r="WRA60" s="0"/>
      <c r="WRB60" s="0"/>
      <c r="WRC60" s="0"/>
      <c r="WRD60" s="0"/>
      <c r="WRE60" s="0"/>
      <c r="WRF60" s="0"/>
      <c r="WRG60" s="0"/>
      <c r="WRH60" s="0"/>
      <c r="WRI60" s="0"/>
      <c r="WRJ60" s="0"/>
      <c r="WRK60" s="0"/>
      <c r="WRL60" s="0"/>
      <c r="WRM60" s="0"/>
      <c r="WRN60" s="0"/>
      <c r="WRO60" s="0"/>
      <c r="WRP60" s="0"/>
      <c r="WRQ60" s="0"/>
      <c r="WRR60" s="0"/>
      <c r="WRS60" s="0"/>
      <c r="WRT60" s="0"/>
      <c r="WRU60" s="0"/>
      <c r="WRV60" s="0"/>
      <c r="WRW60" s="0"/>
      <c r="WRX60" s="0"/>
      <c r="WRY60" s="0"/>
      <c r="WRZ60" s="0"/>
      <c r="WSA60" s="0"/>
      <c r="WSB60" s="0"/>
      <c r="WSC60" s="0"/>
      <c r="WSD60" s="0"/>
      <c r="WSE60" s="0"/>
      <c r="WSF60" s="0"/>
      <c r="WSG60" s="0"/>
      <c r="WSH60" s="0"/>
      <c r="WSI60" s="0"/>
      <c r="WSJ60" s="0"/>
      <c r="WSK60" s="0"/>
      <c r="WSL60" s="0"/>
      <c r="WSM60" s="0"/>
      <c r="WSN60" s="0"/>
      <c r="WSO60" s="0"/>
      <c r="WSP60" s="0"/>
      <c r="WSQ60" s="0"/>
      <c r="WSR60" s="0"/>
      <c r="WSS60" s="0"/>
      <c r="WST60" s="0"/>
      <c r="WSU60" s="0"/>
      <c r="WSV60" s="0"/>
      <c r="WSW60" s="0"/>
      <c r="WSX60" s="0"/>
      <c r="WSY60" s="0"/>
      <c r="WSZ60" s="0"/>
      <c r="WTA60" s="0"/>
      <c r="WTB60" s="0"/>
      <c r="WTC60" s="0"/>
      <c r="WTD60" s="0"/>
      <c r="WTE60" s="0"/>
      <c r="WTF60" s="0"/>
      <c r="WTG60" s="0"/>
      <c r="WTH60" s="0"/>
      <c r="WTI60" s="0"/>
      <c r="WTJ60" s="0"/>
      <c r="WTK60" s="0"/>
      <c r="WTL60" s="0"/>
      <c r="WTM60" s="0"/>
      <c r="WTN60" s="0"/>
      <c r="WTO60" s="0"/>
      <c r="WTP60" s="0"/>
      <c r="WTQ60" s="0"/>
      <c r="WTR60" s="0"/>
      <c r="WTS60" s="0"/>
      <c r="WTT60" s="0"/>
      <c r="WTU60" s="0"/>
      <c r="WTV60" s="0"/>
      <c r="WTW60" s="0"/>
      <c r="WTX60" s="0"/>
      <c r="WTY60" s="0"/>
      <c r="WTZ60" s="0"/>
      <c r="WUA60" s="0"/>
      <c r="WUB60" s="0"/>
      <c r="WUC60" s="0"/>
      <c r="WUD60" s="0"/>
      <c r="WUE60" s="0"/>
      <c r="WUF60" s="0"/>
      <c r="WUG60" s="0"/>
      <c r="WUH60" s="0"/>
      <c r="WUI60" s="0"/>
      <c r="WUJ60" s="0"/>
      <c r="WUK60" s="0"/>
      <c r="WUL60" s="0"/>
      <c r="WUM60" s="0"/>
      <c r="WUN60" s="0"/>
      <c r="WUO60" s="0"/>
      <c r="WUP60" s="0"/>
      <c r="WUQ60" s="0"/>
      <c r="WUR60" s="0"/>
      <c r="WUS60" s="0"/>
      <c r="WUT60" s="0"/>
      <c r="WUU60" s="0"/>
      <c r="WUV60" s="0"/>
      <c r="WUW60" s="0"/>
      <c r="WUX60" s="0"/>
      <c r="WUY60" s="0"/>
      <c r="WUZ60" s="0"/>
      <c r="WVA60" s="0"/>
      <c r="WVB60" s="0"/>
      <c r="WVC60" s="0"/>
      <c r="WVD60" s="0"/>
      <c r="WVE60" s="0"/>
      <c r="WVF60" s="0"/>
      <c r="WVG60" s="0"/>
      <c r="WVH60" s="0"/>
      <c r="WVI60" s="0"/>
      <c r="WVJ60" s="0"/>
      <c r="WVK60" s="0"/>
      <c r="WVL60" s="0"/>
      <c r="WVM60" s="0"/>
      <c r="WVN60" s="0"/>
      <c r="WVO60" s="0"/>
      <c r="WVP60" s="0"/>
      <c r="WVQ60" s="0"/>
      <c r="WVR60" s="0"/>
      <c r="WVS60" s="0"/>
      <c r="WVT60" s="0"/>
      <c r="WVU60" s="0"/>
      <c r="WVV60" s="0"/>
      <c r="WVW60" s="0"/>
      <c r="WVX60" s="0"/>
      <c r="WVY60" s="0"/>
      <c r="WVZ60" s="0"/>
      <c r="WWA60" s="0"/>
      <c r="WWB60" s="0"/>
      <c r="WWC60" s="0"/>
      <c r="WWD60" s="0"/>
      <c r="WWE60" s="0"/>
      <c r="WWF60" s="0"/>
      <c r="WWG60" s="0"/>
      <c r="WWH60" s="0"/>
      <c r="WWI60" s="0"/>
      <c r="WWJ60" s="0"/>
      <c r="WWK60" s="0"/>
      <c r="WWL60" s="0"/>
      <c r="WWM60" s="0"/>
      <c r="WWN60" s="0"/>
      <c r="WWO60" s="0"/>
      <c r="WWP60" s="0"/>
      <c r="WWQ60" s="0"/>
      <c r="WWR60" s="0"/>
      <c r="WWS60" s="0"/>
      <c r="WWT60" s="0"/>
      <c r="WWU60" s="0"/>
      <c r="WWV60" s="0"/>
      <c r="WWW60" s="0"/>
      <c r="WWX60" s="0"/>
      <c r="WWY60" s="0"/>
      <c r="WWZ60" s="0"/>
      <c r="WXA60" s="0"/>
      <c r="WXB60" s="0"/>
      <c r="WXC60" s="0"/>
      <c r="WXD60" s="0"/>
      <c r="WXE60" s="0"/>
      <c r="WXF60" s="0"/>
      <c r="WXG60" s="0"/>
      <c r="WXH60" s="0"/>
      <c r="WXI60" s="0"/>
      <c r="WXJ60" s="0"/>
      <c r="WXK60" s="0"/>
      <c r="WXL60" s="0"/>
      <c r="WXM60" s="0"/>
      <c r="WXN60" s="0"/>
      <c r="WXO60" s="0"/>
      <c r="WXP60" s="0"/>
      <c r="WXQ60" s="0"/>
      <c r="WXR60" s="0"/>
      <c r="WXS60" s="0"/>
      <c r="WXT60" s="0"/>
      <c r="WXU60" s="0"/>
      <c r="WXV60" s="0"/>
      <c r="WXW60" s="0"/>
      <c r="WXX60" s="0"/>
      <c r="WXY60" s="0"/>
      <c r="WXZ60" s="0"/>
      <c r="WYA60" s="0"/>
      <c r="WYB60" s="0"/>
      <c r="WYC60" s="0"/>
      <c r="WYD60" s="0"/>
      <c r="WYE60" s="0"/>
      <c r="WYF60" s="0"/>
      <c r="WYG60" s="0"/>
      <c r="WYH60" s="0"/>
      <c r="WYI60" s="0"/>
      <c r="WYJ60" s="0"/>
      <c r="WYK60" s="0"/>
      <c r="WYL60" s="0"/>
      <c r="WYM60" s="0"/>
      <c r="WYN60" s="0"/>
      <c r="WYO60" s="0"/>
      <c r="WYP60" s="0"/>
      <c r="WYQ60" s="0"/>
      <c r="WYR60" s="0"/>
      <c r="WYS60" s="0"/>
      <c r="WYT60" s="0"/>
      <c r="WYU60" s="0"/>
      <c r="WYV60" s="0"/>
      <c r="WYW60" s="0"/>
      <c r="WYX60" s="0"/>
      <c r="WYY60" s="0"/>
      <c r="WYZ60" s="0"/>
      <c r="WZA60" s="0"/>
      <c r="WZB60" s="0"/>
      <c r="WZC60" s="0"/>
      <c r="WZD60" s="0"/>
      <c r="WZE60" s="0"/>
      <c r="WZF60" s="0"/>
      <c r="WZG60" s="0"/>
      <c r="WZH60" s="0"/>
      <c r="WZI60" s="0"/>
      <c r="WZJ60" s="0"/>
      <c r="WZK60" s="0"/>
      <c r="WZL60" s="0"/>
      <c r="WZM60" s="0"/>
      <c r="WZN60" s="0"/>
      <c r="WZO60" s="0"/>
      <c r="WZP60" s="0"/>
      <c r="WZQ60" s="0"/>
      <c r="WZR60" s="0"/>
      <c r="WZS60" s="0"/>
      <c r="WZT60" s="0"/>
      <c r="WZU60" s="0"/>
      <c r="WZV60" s="0"/>
      <c r="WZW60" s="0"/>
      <c r="WZX60" s="0"/>
      <c r="WZY60" s="0"/>
      <c r="WZZ60" s="0"/>
      <c r="XAA60" s="0"/>
      <c r="XAB60" s="0"/>
      <c r="XAC60" s="0"/>
      <c r="XAD60" s="0"/>
      <c r="XAE60" s="0"/>
      <c r="XAF60" s="0"/>
      <c r="XAG60" s="0"/>
      <c r="XAH60" s="0"/>
      <c r="XAI60" s="0"/>
      <c r="XAJ60" s="0"/>
      <c r="XAK60" s="0"/>
      <c r="XAL60" s="0"/>
      <c r="XAM60" s="0"/>
      <c r="XAN60" s="0"/>
      <c r="XAO60" s="0"/>
      <c r="XAP60" s="0"/>
      <c r="XAQ60" s="0"/>
      <c r="XAR60" s="0"/>
      <c r="XAS60" s="0"/>
      <c r="XAT60" s="0"/>
      <c r="XAU60" s="0"/>
      <c r="XAV60" s="0"/>
      <c r="XAW60" s="0"/>
      <c r="XAX60" s="0"/>
      <c r="XAY60" s="0"/>
      <c r="XAZ60" s="0"/>
      <c r="XBA60" s="0"/>
      <c r="XBB60" s="0"/>
      <c r="XBC60" s="0"/>
      <c r="XBD60" s="0"/>
      <c r="XBE60" s="0"/>
      <c r="XBF60" s="0"/>
      <c r="XBG60" s="0"/>
      <c r="XBH60" s="0"/>
      <c r="XBI60" s="0"/>
      <c r="XBJ60" s="0"/>
      <c r="XBK60" s="0"/>
      <c r="XBL60" s="0"/>
      <c r="XBM60" s="0"/>
      <c r="XBN60" s="0"/>
      <c r="XBO60" s="0"/>
      <c r="XBP60" s="0"/>
      <c r="XBQ60" s="0"/>
      <c r="XBR60" s="0"/>
      <c r="XBS60" s="0"/>
      <c r="XBT60" s="0"/>
      <c r="XBU60" s="0"/>
      <c r="XBV60" s="0"/>
      <c r="XBW60" s="0"/>
      <c r="XBX60" s="0"/>
      <c r="XBY60" s="0"/>
      <c r="XBZ60" s="0"/>
      <c r="XCA60" s="0"/>
      <c r="XCB60" s="0"/>
      <c r="XCC60" s="0"/>
      <c r="XCD60" s="0"/>
      <c r="XCE60" s="0"/>
      <c r="XCF60" s="0"/>
      <c r="XCG60" s="0"/>
      <c r="XCH60" s="0"/>
      <c r="XCI60" s="0"/>
      <c r="XCJ60" s="0"/>
      <c r="XCK60" s="0"/>
      <c r="XCL60" s="0"/>
      <c r="XCM60" s="0"/>
      <c r="XCN60" s="0"/>
      <c r="XCO60" s="0"/>
      <c r="XCP60" s="0"/>
      <c r="XCQ60" s="0"/>
      <c r="XCR60" s="0"/>
      <c r="XCS60" s="0"/>
      <c r="XCT60" s="0"/>
      <c r="XCU60" s="0"/>
      <c r="XCV60" s="0"/>
      <c r="XCW60" s="0"/>
      <c r="XCX60" s="0"/>
      <c r="XCY60" s="0"/>
      <c r="XCZ60" s="0"/>
      <c r="XDA60" s="0"/>
      <c r="XDB60" s="0"/>
      <c r="XDC60" s="0"/>
      <c r="XDD60" s="0"/>
      <c r="XDE60" s="0"/>
      <c r="XDF60" s="0"/>
      <c r="XDG60" s="0"/>
      <c r="XDH60" s="0"/>
      <c r="XDI60" s="0"/>
      <c r="XDJ60" s="0"/>
      <c r="XDK60" s="0"/>
      <c r="XDL60" s="0"/>
      <c r="XDM60" s="0"/>
      <c r="XDN60" s="0"/>
      <c r="XDO60" s="0"/>
      <c r="XDP60" s="0"/>
      <c r="XDQ60" s="0"/>
      <c r="XDR60" s="0"/>
      <c r="XDS60" s="0"/>
      <c r="XDT60" s="0"/>
      <c r="XDU60" s="0"/>
      <c r="XDV60" s="0"/>
      <c r="XDW60" s="0"/>
      <c r="XDX60" s="0"/>
      <c r="XDY60" s="0"/>
      <c r="XDZ60" s="0"/>
      <c r="XEA60" s="0"/>
      <c r="XEB60" s="0"/>
      <c r="XEC60" s="0"/>
      <c r="XED60" s="0"/>
      <c r="XEE60" s="0"/>
      <c r="XEF60" s="0"/>
      <c r="XEG60" s="0"/>
      <c r="XEH60" s="0"/>
      <c r="XEI60" s="0"/>
      <c r="XEJ60" s="0"/>
      <c r="XEK60" s="0"/>
      <c r="XEL60" s="0"/>
      <c r="XEM60" s="0"/>
      <c r="XEN60" s="0"/>
      <c r="XEO60" s="0"/>
      <c r="XEP60" s="0"/>
      <c r="XEQ60" s="0"/>
      <c r="XER60" s="0"/>
      <c r="XES60" s="0"/>
      <c r="XET60" s="0"/>
      <c r="XEU60" s="0"/>
      <c r="XEV60" s="0"/>
      <c r="XEW60" s="0"/>
      <c r="XEX60" s="0"/>
      <c r="XEY60" s="0"/>
      <c r="XEZ60" s="0"/>
      <c r="XFA60" s="0"/>
      <c r="XFB60" s="0"/>
      <c r="XFC60" s="0"/>
      <c r="XFD60" s="0"/>
    </row>
    <row r="61" customFormat="false" ht="13.8" hidden="false" customHeight="false" outlineLevel="0" collapsed="false">
      <c r="A61" s="1" t="s">
        <v>406</v>
      </c>
      <c r="B61" s="1" t="s">
        <v>407</v>
      </c>
      <c r="C61" s="1" t="n">
        <v>473</v>
      </c>
      <c r="E61" s="1" t="n">
        <v>490</v>
      </c>
      <c r="F61" s="1" t="s">
        <v>89</v>
      </c>
      <c r="G61" s="1" t="s">
        <v>147</v>
      </c>
      <c r="H61" s="1" t="s">
        <v>256</v>
      </c>
      <c r="I61" s="1" t="s">
        <v>153</v>
      </c>
      <c r="J61" s="1" t="n">
        <v>2014</v>
      </c>
      <c r="N61" s="1" t="n">
        <v>1600</v>
      </c>
      <c r="W61" s="1" t="n">
        <v>78</v>
      </c>
      <c r="Z61" s="1" t="n">
        <v>186</v>
      </c>
      <c r="AA61" s="4" t="n">
        <f aca="false">IF(AND(W61&gt;0,Z61&gt;0),(Z61/((W61+X61)*10)),"")</f>
        <v>0.238461538461538</v>
      </c>
      <c r="AB61" s="1" t="n">
        <v>90</v>
      </c>
      <c r="AC61" s="1" t="n">
        <f aca="false">ROUND(AB61*1.6, 0)</f>
        <v>144</v>
      </c>
      <c r="AF61" s="1" t="n">
        <v>16.36</v>
      </c>
      <c r="AG61" s="1" t="n">
        <v>16.36</v>
      </c>
      <c r="AJ61" s="5" t="n">
        <v>0</v>
      </c>
      <c r="AK61" s="0" t="str">
        <f aca="false">CONCATENATE(VLOOKUP(AL61, 'Voxel Sizes'!$A$2:$B$18,2,FALSE()),"x",INT(AH61*15), "x", INT(AI61*15))</f>
        <v>164x0x0</v>
      </c>
      <c r="AL61" s="1" t="n">
        <f aca="false">ROUND(15*((AG61*10)/256),0)</f>
        <v>10</v>
      </c>
      <c r="AN61" s="1" t="str">
        <f aca="false">CONCATENATE(VLOOKUP(AL61,Constants!$A$2:$C$16,IF(AM61&lt;&gt;"", 3, 2), FALSE()),IF(AM61&lt;&gt;"",CONCATENATE(",",VLOOKUP(AM61,$B:$AN,38,FALSE())),""))</f>
        <v>4,2,4</v>
      </c>
      <c r="AX61" s="1" t="n">
        <v>33</v>
      </c>
      <c r="AY61" s="6" t="str">
        <f aca="false">IF(L61&lt;&gt;"",MAX(16,(L61-J61)+8),"")</f>
        <v/>
      </c>
      <c r="BA61" s="1" t="n">
        <v>-30</v>
      </c>
      <c r="BB61" s="1" t="n">
        <f aca="false">MIN(AB61/150, 1)*30</f>
        <v>18</v>
      </c>
      <c r="BC61" s="1" t="n">
        <f aca="false">MIN(N61/4000, 1)*20</f>
        <v>8</v>
      </c>
      <c r="BD61" s="1" t="n">
        <f aca="false">MIN(Z61/400,1)*20</f>
        <v>9.3</v>
      </c>
      <c r="BE61" s="4" t="n">
        <f aca="false">1-(MAX(J61-1900, 0)/750)</f>
        <v>0.848</v>
      </c>
      <c r="BF61" s="1" t="n">
        <f aca="false">((MAX($M61,1)*MIN($AJ61/300,1)))*IF(G61="Wagon",50,10)</f>
        <v>0</v>
      </c>
      <c r="BG61" s="1" t="n">
        <f aca="false">VLOOKUP($H61,Constants!$I:$K, 2, FALSE())</f>
        <v>0.9</v>
      </c>
      <c r="BH61" s="1" t="n">
        <f aca="false">VLOOKUP($H61,Constants!$I:$K, 3, FALSE())*IF(AND(G61="multiple_unit",AB61&lt;110),0.75,1)</f>
        <v>2.5</v>
      </c>
      <c r="BI61" s="1" t="n">
        <f aca="false">INT(POWER(((Constants!$G$2+$BB61+$BC61+$BD61+$BF61)*$BE61)*$BH61, 1.05))+$BA61</f>
        <v>76</v>
      </c>
      <c r="BJ61" s="1" t="n">
        <f aca="false">INT(POWER((((Constants!$G$1+$BB61+$BC61+$BD61+$BF61)*($BE61))*$BG61),IF($G61="wagon",1,1.2)))+$AZ61</f>
        <v>79</v>
      </c>
      <c r="BK61" s="19" t="n">
        <f aca="false">BI61*IF($G61="wagon",62.5,781.25)</f>
        <v>59375</v>
      </c>
      <c r="BL61" s="19" t="n">
        <f aca="false">BJ61*IF($G61="wagon",2.73,81.25)</f>
        <v>6418.75</v>
      </c>
      <c r="BT61" s="1" t="n">
        <v>10</v>
      </c>
      <c r="BY61" s="1" t="str">
        <f aca="false">VLOOKUP(J61,Eras!$A$2:$C$10, 2, TRUE())</f>
        <v>mod</v>
      </c>
      <c r="BZ61" s="18" t="s">
        <v>408</v>
      </c>
      <c r="CA61" s="1" t="str">
        <f aca="false">CONCATENATE(BY61,"_",BZ61)</f>
        <v>mod_MT (Electric)</v>
      </c>
      <c r="CB61" s="1" t="str">
        <f aca="false">_xlfn.CONCAT(H61, "_",I61)</f>
        <v>dual_power_RAIL</v>
      </c>
      <c r="CC61" s="20" t="str">
        <f aca="false">_xlfn.CONCAT("{BLACK}Length: {GOLD}", TEXT(ROUNDUP(IF(AQ61&lt;&gt;"",SUM(VALUE(_xlfn.TEXTSPLIT(AQ61, ","))), SUM(VALUE(_xlfn.TEXTSPLIT(AN61, ",")))*IF(M61, M61, 1))/16, 1), "#,##0.0"), " tiles{}")</f>
        <v>{BLACK}Length: {GOLD}0.7 tiles{}</v>
      </c>
      <c r="CD61" s="1" t="str">
        <f aca="false">VLOOKUP($CB61, Constants!$M:$N, 2, FALSE())</f>
        <v>{BLACK}Powered by: {GOLD}750V DC / Diesel</v>
      </c>
      <c r="CE61" s="1" t="str">
        <f aca="false">IF(M61&gt;1,_xlfn.CONCAT("{BLACK}Cars: {GOLD}", M61),"")</f>
        <v/>
      </c>
      <c r="CF61" s="1" t="s">
        <v>409</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{BLACK}Powered by: {GOLD}750V DC / Diesel {}{BLACK}Length: {GOLD}0.7 tiles{}{SILVER}These re-engined and modernized Class 73s retained their ability to run from the third rail but received diesel engines capable of operating at an equivalent power level.</v>
      </c>
      <c r="CI61" s="1"/>
      <c r="CJ61" s="1"/>
    </row>
    <row r="62" customFormat="false" ht="13.8" hidden="false" customHeight="false" outlineLevel="0" collapsed="false">
      <c r="A62" s="1" t="s">
        <v>410</v>
      </c>
      <c r="B62" s="1" t="s">
        <v>411</v>
      </c>
      <c r="C62" s="1" t="n">
        <v>484</v>
      </c>
      <c r="E62" s="1" t="n">
        <v>500</v>
      </c>
      <c r="F62" s="1" t="s">
        <v>89</v>
      </c>
      <c r="G62" s="1" t="s">
        <v>90</v>
      </c>
      <c r="H62" s="1" t="s">
        <v>91</v>
      </c>
      <c r="I62" s="1" t="s">
        <v>249</v>
      </c>
      <c r="J62" s="1" t="n">
        <v>2012</v>
      </c>
      <c r="M62" s="1" t="n">
        <v>5</v>
      </c>
      <c r="N62" s="1" t="n">
        <v>3620</v>
      </c>
      <c r="W62" s="1" t="n">
        <v>200</v>
      </c>
      <c r="Y62" s="1" t="n">
        <v>5</v>
      </c>
      <c r="Z62" s="1" t="n">
        <v>240</v>
      </c>
      <c r="AA62" s="4" t="n">
        <f aca="false">IF(AND(W62&gt;0,Z62&gt;0),(Z62/((W62+X62)*10)),"")</f>
        <v>0.12</v>
      </c>
      <c r="AB62" s="1" t="n">
        <v>100</v>
      </c>
      <c r="AC62" s="1" t="n">
        <f aca="false">ROUND(AB62*1.6, 0)</f>
        <v>160</v>
      </c>
      <c r="AG62" s="1" t="n">
        <v>21</v>
      </c>
      <c r="AJ62" s="5" t="n">
        <v>54</v>
      </c>
      <c r="AK62" s="0" t="str">
        <f aca="false">CONCATENATE(VLOOKUP(AL62, 'Voxel Sizes'!$A$2:$B$18,2,FALSE()),"x",INT(AH62*15), "x", INT(AI62*15))</f>
        <v>198x0x0</v>
      </c>
      <c r="AL62" s="1" t="n">
        <f aca="false">ROUND(15*((AG62*10)/256),0)</f>
        <v>12</v>
      </c>
      <c r="AN62" s="1" t="str">
        <f aca="false">CONCATENATE(VLOOKUP(AL62,Constants!$A$2:$C$16,IF(AM62&lt;&gt;"", 3, 2), FALSE()),IF(AM62&lt;&gt;"",CONCATENATE(",",VLOOKUP(AM62,$B:$AN,38,FALSE())),""))</f>
        <v>4,4,4</v>
      </c>
      <c r="AR62" s="1" t="s">
        <v>412</v>
      </c>
      <c r="AT62" s="1" t="s">
        <v>413</v>
      </c>
      <c r="AU62" s="1" t="s">
        <v>414</v>
      </c>
      <c r="AX62" s="1" t="n">
        <v>27</v>
      </c>
      <c r="AY62" s="6" t="str">
        <f aca="false">IF(L62&lt;&gt;"",MAX(16,(L62-J62)+8),"")</f>
        <v/>
      </c>
      <c r="AZ62" s="1" t="n">
        <v>-15</v>
      </c>
      <c r="BA62" s="1" t="n">
        <v>-30</v>
      </c>
      <c r="BB62" s="1" t="n">
        <f aca="false">MIN(AB62/150, 1)*30</f>
        <v>20</v>
      </c>
      <c r="BC62" s="1" t="n">
        <f aca="false">MIN(N62/4000, 1)*20</f>
        <v>18.1</v>
      </c>
      <c r="BD62" s="1" t="n">
        <f aca="false">MIN(Z62/400,1)*20</f>
        <v>12</v>
      </c>
      <c r="BE62" s="4" t="n">
        <f aca="false">1-(MAX(J62-1900, 0)/750)</f>
        <v>0.850666666666667</v>
      </c>
      <c r="BF62" s="1" t="n">
        <f aca="false">((MAX($M62,1)*MIN($AJ62/300,1)))*IF(G62="Wagon",50,10)</f>
        <v>9</v>
      </c>
      <c r="BG62" s="1" t="n">
        <f aca="false">VLOOKUP($H62,Constants!$I:$K, 2, FALSE())</f>
        <v>0.85</v>
      </c>
      <c r="BH62" s="1" t="n">
        <f aca="false">VLOOKUP($H62,Constants!$I:$K, 3, FALSE())*IF(AND(G62="multiple_unit",AB62&lt;110),0.75,1)</f>
        <v>1.725</v>
      </c>
      <c r="BI62" s="1" t="n">
        <f aca="false">INT(POWER(((Constants!$G$2+$BB62+$BC62+$BD62+$BF62)*$BE62)*$BH62, 1.05))+$BA62</f>
        <v>88</v>
      </c>
      <c r="BJ62" s="1" t="n">
        <f aca="false">INT(POWER((((Constants!$G$1+$BB62+$BC62+$BD62+$BF62)*($BE62))*$BG62),IF($G62="wagon",1,1.2)))+$AZ62</f>
        <v>103</v>
      </c>
      <c r="BK62" s="19" t="n">
        <f aca="false">BI62*IF($G62="wagon",62.5,781.25)</f>
        <v>68750</v>
      </c>
      <c r="BL62" s="19" t="n">
        <f aca="false">BJ62*IF($G62="wagon",2.73,81.25)</f>
        <v>8368.75</v>
      </c>
      <c r="BT62" s="1" t="n">
        <v>4</v>
      </c>
      <c r="BU62" s="1" t="n">
        <v>205</v>
      </c>
      <c r="BX62" s="1" t="s">
        <v>95</v>
      </c>
      <c r="BY62" s="1" t="s">
        <v>415</v>
      </c>
      <c r="BZ62" s="18" t="s">
        <v>228</v>
      </c>
      <c r="CA62" s="1" t="str">
        <f aca="false">CONCATENATE(BY62,"_",BZ62)</f>
        <v>mod_EMU (Express)</v>
      </c>
      <c r="CB62" s="1" t="str">
        <f aca="false">_xlfn.CONCAT(H62, "_",I62)</f>
        <v>electric_THIRD_RAIL</v>
      </c>
      <c r="CC62" s="20" t="str">
        <f aca="false">_xlfn.CONCAT("{BLACK}Length: {GOLD}", TEXT(ROUNDUP(IF(AQ62&lt;&gt;"",SUM(VALUE(_xlfn.TEXTSPLIT(AQ62, ","))), SUM(VALUE(_xlfn.TEXTSPLIT(AN62, ",")))*IF(M62, M62, 1))/16, 1), "#,##0.0"), " tiles{}")</f>
        <v>{BLACK}Length: {GOLD}3.8 tiles{}</v>
      </c>
      <c r="CD62" s="1" t="str">
        <f aca="false">VLOOKUP($CB62, Constants!$M:$N, 2, FALSE())</f>
        <v>{BLACK}Powered by: {GOLD}750V DC</v>
      </c>
      <c r="CE62" s="1" t="str">
        <f aca="false">IF(M62&gt;1,_xlfn.CONCAT("{BLACK}Cars: {GOLD}", M62),"")</f>
        <v>{BLACK}Cars: {GOLD}5</v>
      </c>
      <c r="CF62" s="1" t="s">
        <v>416</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{YELLOW}10% bonus for long distance travel{}</v>
      </c>
      <c r="CH62" s="1" t="str">
        <f aca="false">_xlfn.CONCAT(CD62,IF(CD62 &lt;&gt; "", " ", ""),CE62,IF(OR(CE62&lt;&gt;"", CD62&lt;&gt;""), "{}",""), CC62, CG62,"{SILVER}", CF62)</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62" s="1"/>
      <c r="CJ62" s="1"/>
    </row>
    <row r="63" customFormat="false" ht="13.8" hidden="false" customHeight="false" outlineLevel="0" collapsed="false">
      <c r="A63" s="18" t="s">
        <v>417</v>
      </c>
      <c r="B63" s="18" t="s">
        <v>418</v>
      </c>
      <c r="C63" s="1" t="n">
        <v>11374</v>
      </c>
      <c r="E63" s="1" t="n">
        <v>510</v>
      </c>
      <c r="F63" s="1" t="s">
        <v>89</v>
      </c>
      <c r="G63" s="1" t="s">
        <v>90</v>
      </c>
      <c r="H63" s="1" t="s">
        <v>91</v>
      </c>
      <c r="I63" s="1" t="s">
        <v>92</v>
      </c>
      <c r="J63" s="1" t="n">
        <v>2014</v>
      </c>
      <c r="M63" s="1" t="n">
        <v>16</v>
      </c>
      <c r="N63" s="1" t="n">
        <v>21000</v>
      </c>
      <c r="W63" s="1" t="n">
        <v>171</v>
      </c>
      <c r="Y63" s="1" t="n">
        <v>5</v>
      </c>
      <c r="Z63" s="1" t="n">
        <v>480</v>
      </c>
      <c r="AA63" s="4" t="n">
        <f aca="false">IF(AND(W63&gt;0,Z63&gt;0),(Z63/((W63+X63)*10)),"")</f>
        <v>0.280701754385965</v>
      </c>
      <c r="AB63" s="1" t="n">
        <v>200</v>
      </c>
      <c r="AC63" s="1" t="n">
        <f aca="false">ROUND(AB63*1.6, 0)</f>
        <v>320</v>
      </c>
      <c r="AF63" s="1" t="n">
        <v>25.7</v>
      </c>
      <c r="AG63" s="1" t="n">
        <v>25.7</v>
      </c>
      <c r="AH63" s="1" t="n">
        <v>2.92</v>
      </c>
      <c r="AI63" s="1" t="n">
        <v>4.3</v>
      </c>
      <c r="AJ63" s="5" t="n">
        <v>56</v>
      </c>
      <c r="AK63" s="0" t="str">
        <f aca="false">CONCATENATE(VLOOKUP(AL63, 'Voxel Sizes'!$A$2:$B$18,2,FALSE()),"x",INT(AH63*15), "x", INT(AI63*15))</f>
        <v>256x43x64</v>
      </c>
      <c r="AL63" s="1" t="n">
        <f aca="false">ROUND(15*((AG63*10)/256),0)</f>
        <v>15</v>
      </c>
      <c r="AN63" s="1" t="str">
        <f aca="false">CONCATENATE(VLOOKUP(AL63,Constants!$A$2:$C$16,IF(AM63&lt;&gt;"", 3, 2), FALSE()),IF(AM63&lt;&gt;"",CONCATENATE(",",VLOOKUP(AM63,$B:$AN,38,FALSE())),""))</f>
        <v>4,7,4</v>
      </c>
      <c r="AO63" s="1" t="s">
        <v>419</v>
      </c>
      <c r="AP63" s="7" t="str">
        <f aca="false">E320_16_ULEN</f>
        <v>4,7,4,4,6,4,4,6,4,4,6,4,4,6,4,4,6,4,4,6,4,4,6,4,4,6,4,4,6,4,4,6,4,4,6,4,4,6,4,4,6,4,4,6,4,4,7,4</v>
      </c>
      <c r="AQ63" s="7" t="str">
        <f aca="false">E320_16_VLEN</f>
        <v>15,14,14,14,14,14,14,14,14,14,14,14,14,14,14,15</v>
      </c>
      <c r="AR63"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63" s="1" t="str">
        <f aca="false">E320_16_NV</f>
        <v>1,1,1,1,0,0,0,1,0,1,1,0,0,0,1,1</v>
      </c>
      <c r="AU63" s="1" t="s">
        <v>420</v>
      </c>
      <c r="AX63" s="1" t="n">
        <v>35</v>
      </c>
      <c r="AY63" s="6" t="str">
        <f aca="false">IF(L63&lt;&gt;"",MAX(16,(L63-J63)+8),"")</f>
        <v/>
      </c>
      <c r="AZ63" s="1" t="n">
        <v>25</v>
      </c>
      <c r="BA63" s="1" t="n">
        <v>-15</v>
      </c>
      <c r="BB63" s="1" t="n">
        <f aca="false">MIN(AB63/150, 1)*30</f>
        <v>30</v>
      </c>
      <c r="BC63" s="1" t="n">
        <f aca="false">MIN(N63/4000, 1)*20</f>
        <v>20</v>
      </c>
      <c r="BD63" s="1" t="n">
        <f aca="false">MIN(Z63/400,1)*20</f>
        <v>20</v>
      </c>
      <c r="BE63" s="4" t="n">
        <f aca="false">1-(MAX(J63-1900, 0)/750)</f>
        <v>0.848</v>
      </c>
      <c r="BF63" s="1" t="n">
        <f aca="false">((MAX($M63,1)*MIN($AJ63/300,1)))*IF(G63="Wagon",50,10)</f>
        <v>29.8666666666667</v>
      </c>
      <c r="BG63" s="1" t="n">
        <f aca="false">VLOOKUP($H63,Constants!$I:$K, 2, FALSE())</f>
        <v>0.85</v>
      </c>
      <c r="BH63" s="1" t="n">
        <f aca="false">VLOOKUP($H63,Constants!$I:$K, 3, FALSE())*IF(AND(G63="multiple_unit",AB63&lt;110),0.75,1)</f>
        <v>2.3</v>
      </c>
      <c r="BI63" s="1" t="n">
        <f aca="false">INT(POWER(((Constants!$G$2+$BB63+$BC63+$BD63+$BF63)*$BE63)*$BH63, 1.05))+$BA63</f>
        <v>251</v>
      </c>
      <c r="BJ63" s="1" t="n">
        <f aca="false">INT(POWER((((Constants!$G$1+$BB63+$BC63+$BD63+$BF63)*($BE63))*$BG63),IF($G63="wagon",1,1.2)))+$AZ63</f>
        <v>225</v>
      </c>
      <c r="BK63" s="19" t="n">
        <f aca="false">BI63*IF($G63="wagon",62.5,781.25)</f>
        <v>196093.75</v>
      </c>
      <c r="BL63" s="19" t="n">
        <f aca="false">BJ63*IF($G63="wagon",2.73,81.25)</f>
        <v>18281.25</v>
      </c>
      <c r="BT63" s="1" t="n">
        <v>6</v>
      </c>
      <c r="BU63" s="1" t="n">
        <v>185</v>
      </c>
      <c r="BV63" s="1" t="s">
        <v>227</v>
      </c>
      <c r="BW63" s="18" t="s">
        <v>235</v>
      </c>
      <c r="BX63" s="1" t="s">
        <v>95</v>
      </c>
      <c r="BY63" s="1" t="s">
        <v>415</v>
      </c>
      <c r="BZ63" s="18" t="s">
        <v>228</v>
      </c>
      <c r="CA63" s="1" t="str">
        <f aca="false">CONCATENATE(BY63,"_",BZ63)</f>
        <v>mod_EMU (Express)</v>
      </c>
      <c r="CB63" s="1" t="str">
        <f aca="false">_xlfn.CONCAT(H63, "_",I63)</f>
        <v>electric_ELRL</v>
      </c>
      <c r="CC63" s="20" t="str">
        <f aca="false">_xlfn.CONCAT("{BLACK}Length: {GOLD}", TEXT(ROUNDUP(IF(AQ63&lt;&gt;"",SUM(VALUE(_xlfn.TEXTSPLIT(AQ63, ","))), SUM(VALUE(_xlfn.TEXTSPLIT(AN63, ",")))*IF(M63, M63, 1))/16, 1), "#,##0.0"), " tiles{}")</f>
        <v>{BLACK}Length: {GOLD}14.2 tiles{}</v>
      </c>
      <c r="CD63" s="1" t="str">
        <f aca="false">VLOOKUP($CB63, Constants!$M:$N, 2, FALSE())</f>
        <v>{BLACK}Powered by: {GOLD}25kV AC</v>
      </c>
      <c r="CE63" s="1" t="str">
        <f aca="false">IF(M63&gt;1,_xlfn.CONCAT("{BLACK}Cars: {GOLD}", M63),"")</f>
        <v>{BLACK}Cars: {GOLD}16</v>
      </c>
      <c r="CF63" s="1" t="s">
        <v>421</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long distance bonus for consist{}</v>
      </c>
      <c r="CH63" s="1" t="str">
        <f aca="false">_xlfn.CONCAT(CD63,IF(CD63 &lt;&gt; "", " ", ""),CE63,IF(OR(CE63&lt;&gt;"", CD63&lt;&gt;""), "{}",""), CC63, CG63,"{SILVER}", CF63)</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63" s="1"/>
      <c r="CJ63" s="1"/>
    </row>
    <row r="64" customFormat="false" ht="13.8" hidden="false" customHeight="false" outlineLevel="0" collapsed="false">
      <c r="A64" s="18" t="s">
        <v>417</v>
      </c>
      <c r="B64" s="18" t="s">
        <v>422</v>
      </c>
      <c r="C64" s="1" t="n">
        <v>11375</v>
      </c>
      <c r="D64" s="1" t="n">
        <v>11374</v>
      </c>
      <c r="E64" s="1" t="n">
        <v>510</v>
      </c>
      <c r="F64" s="1" t="s">
        <v>89</v>
      </c>
      <c r="G64" s="1" t="s">
        <v>90</v>
      </c>
      <c r="H64" s="1" t="s">
        <v>91</v>
      </c>
      <c r="I64" s="1" t="s">
        <v>92</v>
      </c>
      <c r="J64" s="1" t="n">
        <v>2014</v>
      </c>
      <c r="M64" s="1" t="n">
        <v>12</v>
      </c>
      <c r="N64" s="1" t="n">
        <v>15750</v>
      </c>
      <c r="W64" s="1" t="n">
        <v>170</v>
      </c>
      <c r="Y64" s="1" t="n">
        <v>5</v>
      </c>
      <c r="Z64" s="1" t="n">
        <v>360</v>
      </c>
      <c r="AA64" s="4" t="n">
        <f aca="false">IF(AND(W64&gt;0,Z64&gt;0),(Z64/((W64+X64)*10)),"")</f>
        <v>0.211764705882353</v>
      </c>
      <c r="AB64" s="1" t="n">
        <v>200</v>
      </c>
      <c r="AC64" s="1" t="n">
        <f aca="false">ROUND(AB64*1.6, 0)</f>
        <v>320</v>
      </c>
      <c r="AF64" s="1" t="n">
        <v>25.7</v>
      </c>
      <c r="AG64" s="1" t="n">
        <v>25.7</v>
      </c>
      <c r="AH64" s="1" t="n">
        <v>2.92</v>
      </c>
      <c r="AI64" s="1" t="n">
        <v>4.3</v>
      </c>
      <c r="AJ64" s="5" t="n">
        <v>53</v>
      </c>
      <c r="AK64" s="0" t="str">
        <f aca="false">CONCATENATE(VLOOKUP(AL64, 'Voxel Sizes'!$A$2:$B$18,2,FALSE()),"x",INT(AH64*15), "x", INT(AI64*15))</f>
        <v>256x43x64</v>
      </c>
      <c r="AL64" s="1" t="n">
        <f aca="false">ROUND(15*((AG64*10)/256),0)</f>
        <v>15</v>
      </c>
      <c r="AN64" s="1" t="str">
        <f aca="false">CONCATENATE(VLOOKUP(AL64,Constants!$A$2:$C$16,IF(AM64&lt;&gt;"", 3, 2), FALSE()),IF(AM64&lt;&gt;"",CONCATENATE(",",VLOOKUP(AM64,$B:$AN,38,FALSE())),""))</f>
        <v>4,7,4</v>
      </c>
      <c r="AO64" s="1" t="s">
        <v>423</v>
      </c>
      <c r="AP64" s="7" t="str">
        <f aca="false">E320_12_ULEN</f>
        <v>4,7,4,4,6,4,4,6,4,4,6,4,4,6,4,4,6,4,4,6,4,4,6,4,4,6,4,4,6,4,4,6,4,4,7,4</v>
      </c>
      <c r="AQ64" s="7" t="str">
        <f aca="false">E320_12_VLEN</f>
        <v>15,14,14,14,14,14,14,14,14,14,14,15</v>
      </c>
      <c r="AR64" s="1" t="str">
        <f aca="false">E320_12_VEH</f>
        <v>eurostar_e320_front,eurostar_e320_p,eurostar_e320_pd,eurostar_e320_m,eurostar_e320_pd,eurostar_e320_mc,eurostar_e320_mc,eurostar_e320_pdr,eurostar_e320_mr,eurostar_e320_pdr,eurostar_e320_pr,eurostar_e320_rear</v>
      </c>
      <c r="AT64" s="1" t="str">
        <f aca="false">E320_12_NV</f>
        <v>0,0,0,0,0,0,0,0,0,0,0,0</v>
      </c>
      <c r="AU64" s="1" t="s">
        <v>420</v>
      </c>
      <c r="AX64" s="1" t="n">
        <v>35</v>
      </c>
      <c r="AY64" s="6" t="str">
        <f aca="false">IF(L64&lt;&gt;"",MAX(16,(L64-J64)+8),"")</f>
        <v/>
      </c>
      <c r="AZ64" s="1" t="n">
        <v>-10</v>
      </c>
      <c r="BA64" s="1" t="n">
        <v>-30</v>
      </c>
      <c r="BB64" s="1" t="n">
        <f aca="false">MIN(AB64/150, 1)*30</f>
        <v>30</v>
      </c>
      <c r="BC64" s="1" t="n">
        <f aca="false">MIN(N64/4000, 1)*20</f>
        <v>20</v>
      </c>
      <c r="BD64" s="1" t="n">
        <f aca="false">MIN(Z64/400,1)*20</f>
        <v>18</v>
      </c>
      <c r="BE64" s="4" t="n">
        <f aca="false">1-(MAX(J64-1900, 0)/750)</f>
        <v>0.848</v>
      </c>
      <c r="BF64" s="1" t="n">
        <f aca="false">((MAX($M64,1)*MIN($AJ64/300,1)))*IF(G64="Wagon",50,10)</f>
        <v>21.2</v>
      </c>
      <c r="BG64" s="1" t="n">
        <f aca="false">VLOOKUP($H64,Constants!$I:$K, 2, FALSE())</f>
        <v>0.85</v>
      </c>
      <c r="BH64" s="1" t="n">
        <f aca="false">VLOOKUP($H64,Constants!$I:$K, 3, FALSE())*IF(AND(G64="multiple_unit",AB64&lt;110),0.75,1)</f>
        <v>2.3</v>
      </c>
      <c r="BI64" s="1" t="n">
        <f aca="false">INT(POWER(((Constants!$G$2+$BB64+$BC64+$BD64+$BF64)*$BE64)*$BH64, 1.05))+$BA64</f>
        <v>208</v>
      </c>
      <c r="BJ64" s="1" t="n">
        <f aca="false">INT(POWER((((Constants!$G$1+$BB64+$BC64+$BD64+$BF64)*($BE64))*$BG64),IF($G64="wagon",1,1.2)))+$AZ64</f>
        <v>168</v>
      </c>
      <c r="BK64" s="19" t="n">
        <f aca="false">BI64*IF($G64="wagon",62.5,781.25)</f>
        <v>162500</v>
      </c>
      <c r="BL64" s="19" t="n">
        <f aca="false">BJ64*IF($G64="wagon",2.73,81.25)</f>
        <v>13650</v>
      </c>
      <c r="BT64" s="1" t="n">
        <v>6</v>
      </c>
      <c r="BU64" s="1" t="n">
        <v>185</v>
      </c>
      <c r="BV64" s="1" t="s">
        <v>227</v>
      </c>
      <c r="BW64" s="18"/>
      <c r="BX64" s="1" t="s">
        <v>95</v>
      </c>
      <c r="BY64" s="1" t="s">
        <v>415</v>
      </c>
      <c r="BZ64" s="18" t="s">
        <v>228</v>
      </c>
      <c r="CA64" s="1" t="str">
        <f aca="false">CONCATENATE(BY64,"_",BZ64)</f>
        <v>mod_EMU (Express)</v>
      </c>
      <c r="CB64" s="1" t="str">
        <f aca="false">_xlfn.CONCAT(H64, "_",I64)</f>
        <v>electric_ELRL</v>
      </c>
      <c r="CC64" s="20" t="str">
        <f aca="false">_xlfn.CONCAT("{BLACK}Length: {GOLD}", TEXT(ROUNDUP(IF(AQ64&lt;&gt;"",SUM(VALUE(_xlfn.TEXTSPLIT(AQ64, ","))), SUM(VALUE(_xlfn.TEXTSPLIT(AN64, ",")))*IF(M64, M64, 1))/16, 1), "#,##0.0"), " tiles{}")</f>
        <v>{BLACK}Length: {GOLD}10.7 tiles{}</v>
      </c>
      <c r="CD64" s="1" t="str">
        <f aca="false">VLOOKUP($CB64, Constants!$M:$N, 2, FALSE())</f>
        <v>{BLACK}Powered by: {GOLD}25kV AC</v>
      </c>
      <c r="CE64" s="1" t="str">
        <f aca="false">IF(M64&gt;1,_xlfn.CONCAT("{BLACK}Cars: {GOLD}", M64),"")</f>
        <v>{BLACK}Cars: {GOLD}12</v>
      </c>
      <c r="CF64" s="1" t="s">
        <v>424</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{BLACK}Cars: {GOLD}12{}{BLACK}Length: {GOLD}10.7 tiles{}{SILVER}A fictional shorter Class 374 variant…</v>
      </c>
      <c r="CI64" s="1"/>
      <c r="CJ64" s="1"/>
    </row>
    <row r="65" customFormat="false" ht="13.8" hidden="false" customHeight="false" outlineLevel="0" collapsed="false">
      <c r="A65" s="0" t="s">
        <v>425</v>
      </c>
      <c r="B65" s="0" t="s">
        <v>426</v>
      </c>
      <c r="C65" s="0" t="n">
        <v>487</v>
      </c>
      <c r="D65" s="0"/>
      <c r="E65" s="0" t="n">
        <v>515</v>
      </c>
      <c r="F65" s="0" t="s">
        <v>89</v>
      </c>
      <c r="G65" s="0" t="s">
        <v>90</v>
      </c>
      <c r="H65" s="0" t="s">
        <v>331</v>
      </c>
      <c r="I65" s="0" t="s">
        <v>343</v>
      </c>
      <c r="J65" s="0" t="n">
        <v>2018</v>
      </c>
      <c r="K65" s="0"/>
      <c r="L65" s="0"/>
      <c r="M65" s="0" t="n">
        <v>6</v>
      </c>
      <c r="N65" s="0" t="n">
        <v>4800</v>
      </c>
      <c r="O65" s="27" t="n">
        <v>2700</v>
      </c>
      <c r="P65" s="28"/>
      <c r="Q65" s="28"/>
      <c r="R65" s="28"/>
      <c r="S65" s="28"/>
      <c r="T65" s="28"/>
      <c r="U65" s="28"/>
      <c r="V65" s="28"/>
      <c r="W65" s="0" t="n">
        <v>204</v>
      </c>
      <c r="X65" s="27"/>
      <c r="Y65" s="0" t="n">
        <v>6</v>
      </c>
      <c r="Z65" s="0" t="n">
        <v>225</v>
      </c>
      <c r="AA65" s="29" t="n">
        <f aca="false">IF(AND(W65&gt;0,Z65&gt;0),(Z65/((W65+X65)*10)),"")</f>
        <v>0.110294117647059</v>
      </c>
      <c r="AB65" s="0" t="n">
        <v>85</v>
      </c>
      <c r="AC65" s="0" t="n">
        <f aca="false">ROUND(AB65*1.6, 0)</f>
        <v>136</v>
      </c>
      <c r="AD65" s="0"/>
      <c r="AE65" s="0"/>
      <c r="AF65" s="0" t="n">
        <v>20.2</v>
      </c>
      <c r="AG65" s="0" t="n">
        <v>20.2</v>
      </c>
      <c r="AH65" s="0"/>
      <c r="AI65" s="0"/>
      <c r="AJ65" s="30" t="n">
        <v>60</v>
      </c>
      <c r="AK65" s="0" t="str">
        <f aca="false">CONCATENATE(VLOOKUP(AL65, 'Voxel Sizes'!$A$2:$B$18,2,FALSE()),"x",INT(AH65*15), "x", INT(AI65*15))</f>
        <v>198x0x0</v>
      </c>
      <c r="AL65" s="0" t="n">
        <f aca="false">ROUND(15*((AG65*10)/256),0)</f>
        <v>12</v>
      </c>
      <c r="AM65" s="0"/>
      <c r="AN65" s="1" t="str">
        <f aca="false">CONCATENATE(VLOOKUP(AL65,Constants!$A$2:$C$16,IF(AM65&lt;&gt;"", 3, 2), FALSE()),IF(AM65&lt;&gt;"",CONCATENATE(",",VLOOKUP(AM65,$B:$AN,38,FALSE())),""))</f>
        <v>4,4,4</v>
      </c>
      <c r="AO65" s="0"/>
      <c r="AP65" s="31"/>
      <c r="AQ65" s="31"/>
      <c r="AR65" s="0" t="s">
        <v>427</v>
      </c>
      <c r="AS65" s="0" t="s">
        <v>428</v>
      </c>
      <c r="AT65" s="0" t="s">
        <v>429</v>
      </c>
      <c r="AU65" s="0"/>
      <c r="AV65" s="0"/>
      <c r="AW65" s="0"/>
      <c r="AX65" s="0" t="n">
        <v>30</v>
      </c>
      <c r="AY65" s="32" t="str">
        <f aca="false">IF(L65&lt;&gt;"",MAX(16,(L65-J65)+8),"")</f>
        <v/>
      </c>
      <c r="AZ65" s="0" t="n">
        <v>-15</v>
      </c>
      <c r="BA65" s="0" t="n">
        <v>-30</v>
      </c>
      <c r="BB65" s="0" t="n">
        <f aca="false">MIN(AB65/150, 1)*30</f>
        <v>17</v>
      </c>
      <c r="BC65" s="0" t="n">
        <f aca="false">MIN(N65/4000, 1)*20</f>
        <v>20</v>
      </c>
      <c r="BD65" s="0" t="n">
        <f aca="false">MIN(Z65/400,1)*20</f>
        <v>11.25</v>
      </c>
      <c r="BE65" s="29" t="n">
        <f aca="false">1-(MAX(J65-1900, 0)/750)</f>
        <v>0.842666666666667</v>
      </c>
      <c r="BF65" s="0" t="n">
        <f aca="false">((MAX($M65,1)*MIN($AJ65/300,1)))*IF(G65="Wagon",50,10)</f>
        <v>12</v>
      </c>
      <c r="BG65" s="1" t="n">
        <f aca="false">VLOOKUP($H65,Constants!$I:$K, 2, FALSE())</f>
        <v>0.85</v>
      </c>
      <c r="BH65" s="1" t="n">
        <f aca="false">VLOOKUP($H65,Constants!$I:$K, 3, FALSE())*IF(AND(G65="multiple_unit",AB65&lt;110),0.75,1)</f>
        <v>1.8</v>
      </c>
      <c r="BI65" s="1" t="n">
        <f aca="false">INT(POWER(((Constants!$G$2+$BB65+$BC65+$BD65+$BF65)*$BE65)*$BH65, 1.05))+$BA65</f>
        <v>94</v>
      </c>
      <c r="BJ65" s="1" t="n">
        <f aca="false">INT(POWER((((Constants!$G$1+$BB65+$BC65+$BD65+$BF65)*($BE65))*$BG65),IF($G65="wagon",1,1.2)))+$AZ65</f>
        <v>104</v>
      </c>
      <c r="BK65" s="33" t="n">
        <f aca="false">BI65*IF($G65="wagon",62.5,781.25)</f>
        <v>73437.5</v>
      </c>
      <c r="BL65" s="33" t="n">
        <f aca="false">BJ65*IF($G65="wagon",2.73,81.25)</f>
        <v>8450</v>
      </c>
      <c r="BM65" s="0"/>
      <c r="BN65" s="0"/>
      <c r="BO65" s="0"/>
      <c r="BP65" s="0"/>
      <c r="BQ65" s="0"/>
      <c r="BR65" s="0"/>
      <c r="BS65" s="0" t="s">
        <v>396</v>
      </c>
      <c r="BT65" s="0" t="n">
        <v>3</v>
      </c>
      <c r="BU65" s="0"/>
      <c r="BV65" s="0"/>
      <c r="BW65" s="0"/>
      <c r="BX65" s="0" t="s">
        <v>95</v>
      </c>
      <c r="BY65" s="1" t="s">
        <v>415</v>
      </c>
      <c r="BZ65" s="34" t="s">
        <v>97</v>
      </c>
      <c r="CA65" s="0" t="str">
        <f aca="false">CONCATENATE(BY65,"_",BZ65)</f>
        <v>mod_EMU</v>
      </c>
      <c r="CB65" s="0" t="str">
        <f aca="false">_xlfn.CONCAT(H65, "_",I65)</f>
        <v>dual_electric_DUAL_POWER</v>
      </c>
      <c r="CC65" s="35" t="str">
        <f aca="false" t="array" ref="CC65:CC65">_xlfn.CONCAT("{BLACK}Length: {GOLD}", TEXT(ROUNDUP(IF(AQ65&lt;&gt;"",SUM(VALUE(_xlfn.TEXTSPLIT(AQ65, ","))), SUM(VALUE(_xlfn.TEXTSPLIT(AN65, ",")))*IF(M65, M65, 1))/16, 1), "#,##0.0"), " tiles{}")</f>
        <v>{BLACK}Length: {GOLD}4.5 tiles{}</v>
      </c>
      <c r="CD65" s="1" t="str">
        <f aca="false">VLOOKUP($CB65, Constants!$M:$N, 2, FALSE())</f>
        <v>{BLACK}Powered by: {GOLD}25kV AC / 750V DC</v>
      </c>
      <c r="CE65" s="0" t="str">
        <f aca="false">IF(M65&gt;1,_xlfn.CONCAT("{BLACK}Cars: {GOLD}", M65),"")</f>
        <v>{BLACK}Cars: {GOLD}6</v>
      </c>
      <c r="CF65" s="0" t="s">
        <v>430</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
      </c>
      <c r="CH65" s="1" t="str">
        <f aca="false">_xlfn.CONCAT(CD65,IF(CD65 &lt;&gt; "", " ", ""),CE65,IF(OR(CE65&lt;&gt;"", CD65&lt;&gt;""), "{}",""), CC65, CG65,"{SILVER}", CF65)</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c r="CI65" s="0"/>
      <c r="CJ65" s="0"/>
      <c r="CK65" s="0"/>
      <c r="CL65" s="0"/>
      <c r="CM65" s="0"/>
      <c r="CN65" s="0"/>
      <c r="CO65" s="0"/>
      <c r="CP65" s="0"/>
      <c r="CQ65" s="0"/>
      <c r="CR65" s="0"/>
      <c r="CS65" s="0"/>
      <c r="CT65" s="0"/>
      <c r="CU65" s="0"/>
      <c r="CV65" s="0"/>
      <c r="CW65" s="0"/>
      <c r="CX65" s="0"/>
      <c r="CY65" s="0"/>
      <c r="CZ65" s="0"/>
      <c r="DA65" s="0"/>
      <c r="DB65" s="0"/>
      <c r="DC65" s="0"/>
      <c r="DD65" s="0"/>
      <c r="DE65" s="0"/>
      <c r="DF65" s="0"/>
      <c r="DG65" s="0"/>
      <c r="DH65" s="0"/>
      <c r="DI65" s="0"/>
      <c r="DJ65" s="0"/>
      <c r="DK65" s="0"/>
      <c r="DL65" s="0"/>
      <c r="DM65" s="0"/>
      <c r="DN65" s="0"/>
      <c r="DO65" s="0"/>
      <c r="DP65" s="0"/>
      <c r="DQ65" s="0"/>
      <c r="DR65" s="0"/>
      <c r="DS65" s="0"/>
      <c r="DT65" s="0"/>
      <c r="DU65" s="0"/>
      <c r="DV65" s="0"/>
      <c r="DW65" s="0"/>
      <c r="DX65" s="0"/>
      <c r="DY65" s="0"/>
      <c r="DZ65" s="0"/>
      <c r="EA65" s="0"/>
      <c r="EB65" s="0"/>
      <c r="EC65" s="0"/>
      <c r="ED65" s="0"/>
      <c r="EE65" s="0"/>
      <c r="EF65" s="0"/>
      <c r="EG65" s="0"/>
      <c r="EH65" s="0"/>
      <c r="EI65" s="0"/>
      <c r="EJ65" s="0"/>
      <c r="EK65" s="0"/>
      <c r="EL65" s="0"/>
      <c r="EM65" s="0"/>
      <c r="EN65" s="0"/>
      <c r="EO65" s="0"/>
      <c r="EP65" s="0"/>
      <c r="EQ65" s="0"/>
      <c r="ER65" s="0"/>
      <c r="ES65" s="0"/>
      <c r="ET65" s="0"/>
      <c r="EU65" s="0"/>
      <c r="EV65" s="0"/>
      <c r="EW65" s="0"/>
      <c r="EX65" s="0"/>
      <c r="EY65" s="0"/>
      <c r="EZ65" s="0"/>
      <c r="FA65" s="0"/>
      <c r="FB65" s="0"/>
      <c r="FC65" s="0"/>
      <c r="FD65" s="0"/>
      <c r="FE65" s="0"/>
      <c r="FF65" s="0"/>
      <c r="FG65" s="0"/>
      <c r="FH65" s="0"/>
      <c r="FI65" s="0"/>
      <c r="FJ65" s="0"/>
      <c r="FK65" s="0"/>
      <c r="FL65" s="0"/>
      <c r="FM65" s="0"/>
      <c r="FN65" s="0"/>
      <c r="FO65" s="0"/>
      <c r="FP65" s="0"/>
      <c r="FQ65" s="0"/>
      <c r="FR65" s="0"/>
      <c r="FS65" s="0"/>
      <c r="FT65" s="0"/>
      <c r="FU65" s="0"/>
      <c r="FV65" s="0"/>
      <c r="FW65" s="0"/>
      <c r="FX65" s="0"/>
      <c r="FY65" s="0"/>
      <c r="FZ65" s="0"/>
      <c r="GA65" s="0"/>
      <c r="GB65" s="0"/>
      <c r="GC65" s="0"/>
      <c r="GD65" s="0"/>
      <c r="GE65" s="0"/>
      <c r="GF65" s="0"/>
      <c r="GG65" s="0"/>
      <c r="GH65" s="0"/>
      <c r="GI65" s="0"/>
      <c r="GJ65" s="0"/>
      <c r="GK65" s="0"/>
      <c r="GL65" s="0"/>
      <c r="GM65" s="0"/>
      <c r="GN65" s="0"/>
      <c r="GO65" s="0"/>
      <c r="GP65" s="0"/>
      <c r="GQ65" s="0"/>
      <c r="GR65" s="0"/>
      <c r="GS65" s="0"/>
      <c r="GT65" s="0"/>
      <c r="GU65" s="0"/>
      <c r="GV65" s="0"/>
      <c r="GW65" s="0"/>
      <c r="GX65" s="0"/>
      <c r="GY65" s="0"/>
      <c r="GZ65" s="0"/>
      <c r="HA65" s="0"/>
      <c r="HB65" s="0"/>
      <c r="HC65" s="0"/>
      <c r="HD65" s="0"/>
      <c r="HE65" s="0"/>
      <c r="HF65" s="0"/>
      <c r="HG65" s="0"/>
      <c r="HH65" s="0"/>
      <c r="HI65" s="0"/>
      <c r="HJ65" s="0"/>
      <c r="HK65" s="0"/>
      <c r="HL65" s="0"/>
      <c r="HM65" s="0"/>
      <c r="HN65" s="0"/>
      <c r="HO65" s="0"/>
      <c r="HP65" s="0"/>
      <c r="HQ65" s="0"/>
      <c r="HR65" s="0"/>
      <c r="HS65" s="0"/>
      <c r="HT65" s="0"/>
      <c r="HU65" s="0"/>
      <c r="HV65" s="0"/>
      <c r="HW65" s="0"/>
      <c r="HX65" s="0"/>
      <c r="HY65" s="0"/>
      <c r="HZ65" s="0"/>
      <c r="IA65" s="0"/>
      <c r="IB65" s="0"/>
      <c r="IC65" s="0"/>
      <c r="ID65" s="0"/>
      <c r="IE65" s="0"/>
      <c r="IF65" s="0"/>
      <c r="IG65" s="0"/>
      <c r="IH65" s="0"/>
      <c r="II65" s="0"/>
      <c r="IJ65" s="0"/>
      <c r="IK65" s="0"/>
      <c r="IL65" s="0"/>
      <c r="IM65" s="0"/>
      <c r="IN65" s="0"/>
      <c r="IO65" s="0"/>
      <c r="IP65" s="0"/>
      <c r="IQ65" s="0"/>
      <c r="IR65" s="0"/>
      <c r="IS65" s="0"/>
      <c r="IT65" s="0"/>
      <c r="IU65" s="0"/>
      <c r="IV65" s="0"/>
      <c r="IW65" s="0"/>
      <c r="IX65" s="0"/>
      <c r="IY65" s="0"/>
      <c r="IZ65" s="0"/>
      <c r="JA65" s="0"/>
      <c r="JB65" s="0"/>
      <c r="JC65" s="0"/>
      <c r="JD65" s="0"/>
      <c r="JE65" s="0"/>
      <c r="JF65" s="0"/>
      <c r="JG65" s="0"/>
      <c r="JH65" s="0"/>
      <c r="JI65" s="0"/>
      <c r="JJ65" s="0"/>
      <c r="JK65" s="0"/>
      <c r="JL65" s="0"/>
      <c r="JM65" s="0"/>
      <c r="JN65" s="0"/>
      <c r="JO65" s="0"/>
      <c r="JP65" s="0"/>
      <c r="JQ65" s="0"/>
      <c r="JR65" s="0"/>
      <c r="JS65" s="0"/>
      <c r="JT65" s="0"/>
      <c r="JU65" s="0"/>
      <c r="JV65" s="0"/>
      <c r="JW65" s="0"/>
      <c r="JX65" s="0"/>
      <c r="JY65" s="0"/>
      <c r="JZ65" s="0"/>
      <c r="KA65" s="0"/>
      <c r="KB65" s="0"/>
      <c r="KC65" s="0"/>
      <c r="KD65" s="0"/>
      <c r="KE65" s="0"/>
      <c r="KF65" s="0"/>
      <c r="KG65" s="0"/>
      <c r="KH65" s="0"/>
      <c r="KI65" s="0"/>
      <c r="KJ65" s="0"/>
      <c r="KK65" s="0"/>
      <c r="KL65" s="0"/>
      <c r="KM65" s="0"/>
      <c r="KN65" s="0"/>
      <c r="KO65" s="0"/>
      <c r="KP65" s="0"/>
      <c r="KQ65" s="0"/>
      <c r="KR65" s="0"/>
      <c r="KS65" s="0"/>
      <c r="KT65" s="0"/>
      <c r="KU65" s="0"/>
      <c r="KV65" s="0"/>
      <c r="KW65" s="0"/>
      <c r="KX65" s="0"/>
      <c r="KY65" s="0"/>
      <c r="KZ65" s="0"/>
      <c r="LA65" s="0"/>
      <c r="LB65" s="0"/>
      <c r="LC65" s="0"/>
      <c r="LD65" s="0"/>
      <c r="LE65" s="0"/>
      <c r="LF65" s="0"/>
      <c r="LG65" s="0"/>
      <c r="LH65" s="0"/>
      <c r="LI65" s="0"/>
      <c r="LJ65" s="0"/>
      <c r="LK65" s="0"/>
      <c r="LL65" s="0"/>
      <c r="LM65" s="0"/>
      <c r="LN65" s="0"/>
      <c r="LO65" s="0"/>
      <c r="LP65" s="0"/>
      <c r="LQ65" s="0"/>
      <c r="LR65" s="0"/>
      <c r="LS65" s="0"/>
      <c r="LT65" s="0"/>
      <c r="LU65" s="0"/>
      <c r="LV65" s="0"/>
      <c r="LW65" s="0"/>
      <c r="LX65" s="0"/>
      <c r="LY65" s="0"/>
      <c r="LZ65" s="0"/>
      <c r="MA65" s="0"/>
      <c r="MB65" s="0"/>
      <c r="MC65" s="0"/>
      <c r="MD65" s="0"/>
      <c r="ME65" s="0"/>
      <c r="MF65" s="0"/>
      <c r="MG65" s="0"/>
      <c r="MH65" s="0"/>
      <c r="MI65" s="0"/>
      <c r="MJ65" s="0"/>
      <c r="MK65" s="0"/>
      <c r="ML65" s="0"/>
      <c r="MM65" s="0"/>
      <c r="MN65" s="0"/>
      <c r="MO65" s="0"/>
      <c r="MP65" s="0"/>
      <c r="MQ65" s="0"/>
      <c r="MR65" s="0"/>
      <c r="MS65" s="0"/>
      <c r="MT65" s="0"/>
      <c r="MU65" s="0"/>
      <c r="MV65" s="0"/>
      <c r="MW65" s="0"/>
      <c r="MX65" s="0"/>
      <c r="MY65" s="0"/>
      <c r="MZ65" s="0"/>
      <c r="NA65" s="0"/>
      <c r="NB65" s="0"/>
      <c r="NC65" s="0"/>
      <c r="ND65" s="0"/>
      <c r="NE65" s="0"/>
      <c r="NF65" s="0"/>
      <c r="NG65" s="0"/>
      <c r="NH65" s="0"/>
      <c r="NI65" s="0"/>
      <c r="NJ65" s="0"/>
      <c r="NK65" s="0"/>
      <c r="NL65" s="0"/>
      <c r="NM65" s="0"/>
      <c r="NN65" s="0"/>
      <c r="NO65" s="0"/>
      <c r="NP65" s="0"/>
      <c r="NQ65" s="0"/>
      <c r="NR65" s="0"/>
      <c r="NS65" s="0"/>
      <c r="NT65" s="0"/>
      <c r="NU65" s="0"/>
      <c r="NV65" s="0"/>
      <c r="NW65" s="0"/>
      <c r="NX65" s="0"/>
      <c r="NY65" s="0"/>
      <c r="NZ65" s="0"/>
      <c r="OA65" s="0"/>
      <c r="OB65" s="0"/>
      <c r="OC65" s="0"/>
      <c r="OD65" s="0"/>
      <c r="OE65" s="0"/>
      <c r="OF65" s="0"/>
      <c r="OG65" s="0"/>
      <c r="OH65" s="0"/>
      <c r="OI65" s="0"/>
      <c r="OJ65" s="0"/>
      <c r="OK65" s="0"/>
      <c r="OL65" s="0"/>
      <c r="OM65" s="0"/>
      <c r="ON65" s="0"/>
      <c r="OO65" s="0"/>
      <c r="OP65" s="0"/>
      <c r="OQ65" s="0"/>
      <c r="OR65" s="0"/>
      <c r="OS65" s="0"/>
      <c r="OT65" s="0"/>
      <c r="OU65" s="0"/>
      <c r="OV65" s="0"/>
      <c r="OW65" s="0"/>
      <c r="OX65" s="0"/>
      <c r="OY65" s="0"/>
      <c r="OZ65" s="0"/>
      <c r="PA65" s="0"/>
      <c r="PB65" s="0"/>
      <c r="PC65" s="0"/>
      <c r="PD65" s="0"/>
      <c r="PE65" s="0"/>
      <c r="PF65" s="0"/>
      <c r="PG65" s="0"/>
      <c r="PH65" s="0"/>
      <c r="PI65" s="0"/>
      <c r="PJ65" s="0"/>
      <c r="PK65" s="0"/>
      <c r="PL65" s="0"/>
      <c r="PM65" s="0"/>
      <c r="PN65" s="0"/>
      <c r="PO65" s="0"/>
      <c r="PP65" s="0"/>
      <c r="PQ65" s="0"/>
      <c r="PR65" s="0"/>
      <c r="PS65" s="0"/>
      <c r="PT65" s="0"/>
      <c r="PU65" s="0"/>
      <c r="PV65" s="0"/>
      <c r="PW65" s="0"/>
      <c r="PX65" s="0"/>
      <c r="PY65" s="0"/>
      <c r="PZ65" s="0"/>
      <c r="QA65" s="0"/>
      <c r="QB65" s="0"/>
      <c r="QC65" s="0"/>
      <c r="QD65" s="0"/>
      <c r="QE65" s="0"/>
      <c r="QF65" s="0"/>
      <c r="QG65" s="0"/>
      <c r="QH65" s="0"/>
      <c r="QI65" s="0"/>
      <c r="QJ65" s="0"/>
      <c r="QK65" s="0"/>
      <c r="QL65" s="0"/>
      <c r="QM65" s="0"/>
      <c r="QN65" s="0"/>
      <c r="QO65" s="0"/>
      <c r="QP65" s="0"/>
      <c r="QQ65" s="0"/>
      <c r="QR65" s="0"/>
      <c r="QS65" s="0"/>
      <c r="QT65" s="0"/>
      <c r="QU65" s="0"/>
      <c r="QV65" s="0"/>
      <c r="QW65" s="0"/>
      <c r="QX65" s="0"/>
      <c r="QY65" s="0"/>
      <c r="QZ65" s="0"/>
      <c r="RA65" s="0"/>
      <c r="RB65" s="0"/>
      <c r="RC65" s="0"/>
      <c r="RD65" s="0"/>
      <c r="RE65" s="0"/>
      <c r="RF65" s="0"/>
      <c r="RG65" s="0"/>
      <c r="RH65" s="0"/>
      <c r="RI65" s="0"/>
      <c r="RJ65" s="0"/>
      <c r="RK65" s="0"/>
      <c r="RL65" s="0"/>
      <c r="RM65" s="0"/>
      <c r="RN65" s="0"/>
      <c r="RO65" s="0"/>
      <c r="RP65" s="0"/>
      <c r="RQ65" s="0"/>
      <c r="RR65" s="0"/>
      <c r="RS65" s="0"/>
      <c r="RT65" s="0"/>
      <c r="RU65" s="0"/>
      <c r="RV65" s="0"/>
      <c r="RW65" s="0"/>
      <c r="RX65" s="0"/>
      <c r="RY65" s="0"/>
      <c r="RZ65" s="0"/>
      <c r="SA65" s="0"/>
      <c r="SB65" s="0"/>
      <c r="SC65" s="0"/>
      <c r="SD65" s="0"/>
      <c r="SE65" s="0"/>
      <c r="SF65" s="0"/>
      <c r="SG65" s="0"/>
      <c r="SH65" s="0"/>
      <c r="SI65" s="0"/>
      <c r="SJ65" s="0"/>
      <c r="SK65" s="0"/>
      <c r="SL65" s="0"/>
      <c r="SM65" s="0"/>
      <c r="SN65" s="0"/>
      <c r="SO65" s="0"/>
      <c r="SP65" s="0"/>
      <c r="SQ65" s="0"/>
      <c r="SR65" s="0"/>
      <c r="SS65" s="0"/>
      <c r="ST65" s="0"/>
      <c r="SU65" s="0"/>
      <c r="SV65" s="0"/>
      <c r="SW65" s="0"/>
      <c r="SX65" s="0"/>
      <c r="SY65" s="0"/>
      <c r="SZ65" s="0"/>
      <c r="TA65" s="0"/>
      <c r="TB65" s="0"/>
      <c r="TC65" s="0"/>
      <c r="TD65" s="0"/>
      <c r="TE65" s="0"/>
      <c r="TF65" s="0"/>
      <c r="TG65" s="0"/>
      <c r="TH65" s="0"/>
      <c r="TI65" s="0"/>
      <c r="TJ65" s="0"/>
      <c r="TK65" s="0"/>
      <c r="TL65" s="0"/>
      <c r="TM65" s="0"/>
      <c r="TN65" s="0"/>
      <c r="TO65" s="0"/>
      <c r="TP65" s="0"/>
      <c r="TQ65" s="0"/>
      <c r="TR65" s="0"/>
      <c r="TS65" s="0"/>
      <c r="TT65" s="0"/>
      <c r="TU65" s="0"/>
      <c r="TV65" s="0"/>
      <c r="TW65" s="0"/>
      <c r="TX65" s="0"/>
      <c r="TY65" s="0"/>
      <c r="TZ65" s="0"/>
      <c r="UA65" s="0"/>
      <c r="UB65" s="0"/>
      <c r="UC65" s="0"/>
      <c r="UD65" s="0"/>
      <c r="UE65" s="0"/>
      <c r="UF65" s="0"/>
      <c r="UG65" s="0"/>
      <c r="UH65" s="0"/>
      <c r="UI65" s="0"/>
      <c r="UJ65" s="0"/>
      <c r="UK65" s="0"/>
      <c r="UL65" s="0"/>
      <c r="UM65" s="0"/>
      <c r="UN65" s="0"/>
      <c r="UO65" s="0"/>
      <c r="UP65" s="0"/>
      <c r="UQ65" s="0"/>
      <c r="UR65" s="0"/>
      <c r="US65" s="0"/>
      <c r="UT65" s="0"/>
      <c r="UU65" s="0"/>
      <c r="UV65" s="0"/>
      <c r="UW65" s="0"/>
      <c r="UX65" s="0"/>
      <c r="UY65" s="0"/>
      <c r="UZ65" s="0"/>
      <c r="VA65" s="0"/>
      <c r="VB65" s="0"/>
      <c r="VC65" s="0"/>
      <c r="VD65" s="0"/>
      <c r="VE65" s="0"/>
      <c r="VF65" s="0"/>
      <c r="VG65" s="0"/>
      <c r="VH65" s="0"/>
      <c r="VI65" s="0"/>
      <c r="VJ65" s="0"/>
      <c r="VK65" s="0"/>
      <c r="VL65" s="0"/>
      <c r="VM65" s="0"/>
      <c r="VN65" s="0"/>
      <c r="VO65" s="0"/>
      <c r="VP65" s="0"/>
      <c r="VQ65" s="0"/>
      <c r="VR65" s="0"/>
      <c r="VS65" s="0"/>
      <c r="VT65" s="0"/>
      <c r="VU65" s="0"/>
      <c r="VV65" s="0"/>
      <c r="VW65" s="0"/>
      <c r="VX65" s="0"/>
      <c r="VY65" s="0"/>
      <c r="VZ65" s="0"/>
      <c r="WA65" s="0"/>
      <c r="WB65" s="0"/>
      <c r="WC65" s="0"/>
      <c r="WD65" s="0"/>
      <c r="WE65" s="0"/>
      <c r="WF65" s="0"/>
      <c r="WG65" s="0"/>
      <c r="WH65" s="0"/>
      <c r="WI65" s="0"/>
      <c r="WJ65" s="0"/>
      <c r="WK65" s="0"/>
      <c r="WL65" s="0"/>
      <c r="WM65" s="0"/>
      <c r="WN65" s="0"/>
      <c r="WO65" s="0"/>
      <c r="WP65" s="0"/>
      <c r="WQ65" s="0"/>
      <c r="WR65" s="0"/>
      <c r="WS65" s="0"/>
      <c r="WT65" s="0"/>
      <c r="WU65" s="0"/>
      <c r="WV65" s="0"/>
      <c r="WW65" s="0"/>
      <c r="WX65" s="0"/>
      <c r="WY65" s="0"/>
      <c r="WZ65" s="0"/>
      <c r="XA65" s="0"/>
      <c r="XB65" s="0"/>
      <c r="XC65" s="0"/>
      <c r="XD65" s="0"/>
      <c r="XE65" s="0"/>
      <c r="XF65" s="0"/>
      <c r="XG65" s="0"/>
      <c r="XH65" s="0"/>
      <c r="XI65" s="0"/>
      <c r="XJ65" s="0"/>
      <c r="XK65" s="0"/>
      <c r="XL65" s="0"/>
      <c r="XM65" s="0"/>
      <c r="XN65" s="0"/>
      <c r="XO65" s="0"/>
      <c r="XP65" s="0"/>
      <c r="XQ65" s="0"/>
      <c r="XR65" s="0"/>
      <c r="XS65" s="0"/>
      <c r="XT65" s="0"/>
      <c r="XU65" s="0"/>
      <c r="XV65" s="0"/>
      <c r="XW65" s="0"/>
      <c r="XX65" s="0"/>
      <c r="XY65" s="0"/>
      <c r="XZ65" s="0"/>
      <c r="YA65" s="0"/>
      <c r="YB65" s="0"/>
      <c r="YC65" s="0"/>
      <c r="YD65" s="0"/>
      <c r="YE65" s="0"/>
      <c r="YF65" s="0"/>
      <c r="YG65" s="0"/>
      <c r="YH65" s="0"/>
      <c r="YI65" s="0"/>
      <c r="YJ65" s="0"/>
      <c r="YK65" s="0"/>
      <c r="YL65" s="0"/>
      <c r="YM65" s="0"/>
      <c r="YN65" s="0"/>
      <c r="YO65" s="0"/>
      <c r="YP65" s="0"/>
      <c r="YQ65" s="0"/>
      <c r="YR65" s="0"/>
      <c r="YS65" s="0"/>
      <c r="YT65" s="0"/>
      <c r="YU65" s="0"/>
      <c r="YV65" s="0"/>
      <c r="YW65" s="0"/>
      <c r="YX65" s="0"/>
      <c r="YY65" s="0"/>
      <c r="YZ65" s="0"/>
      <c r="ZA65" s="0"/>
      <c r="ZB65" s="0"/>
      <c r="ZC65" s="0"/>
      <c r="ZD65" s="0"/>
      <c r="ZE65" s="0"/>
      <c r="ZF65" s="0"/>
      <c r="ZG65" s="0"/>
      <c r="ZH65" s="0"/>
      <c r="ZI65" s="0"/>
      <c r="ZJ65" s="0"/>
      <c r="ZK65" s="0"/>
      <c r="ZL65" s="0"/>
      <c r="ZM65" s="0"/>
      <c r="ZN65" s="0"/>
      <c r="ZO65" s="0"/>
      <c r="ZP65" s="0"/>
      <c r="ZQ65" s="0"/>
      <c r="ZR65" s="0"/>
      <c r="ZS65" s="0"/>
      <c r="ZT65" s="0"/>
      <c r="ZU65" s="0"/>
      <c r="ZV65" s="0"/>
      <c r="ZW65" s="0"/>
      <c r="ZX65" s="0"/>
      <c r="ZY65" s="0"/>
      <c r="ZZ65" s="0"/>
      <c r="AAA65" s="0"/>
      <c r="AAB65" s="0"/>
      <c r="AAC65" s="0"/>
      <c r="AAD65" s="0"/>
      <c r="AAE65" s="0"/>
      <c r="AAF65" s="0"/>
      <c r="AAG65" s="0"/>
      <c r="AAH65" s="0"/>
      <c r="AAI65" s="0"/>
      <c r="AAJ65" s="0"/>
      <c r="AAK65" s="0"/>
      <c r="AAL65" s="0"/>
      <c r="AAM65" s="0"/>
      <c r="AAN65" s="0"/>
      <c r="AAO65" s="0"/>
      <c r="AAP65" s="0"/>
      <c r="AAQ65" s="0"/>
      <c r="AAR65" s="0"/>
      <c r="AAS65" s="0"/>
      <c r="AAT65" s="0"/>
      <c r="AAU65" s="0"/>
      <c r="AAV65" s="0"/>
      <c r="AAW65" s="0"/>
      <c r="AAX65" s="0"/>
      <c r="AAY65" s="0"/>
      <c r="AAZ65" s="0"/>
      <c r="ABA65" s="0"/>
      <c r="ABB65" s="0"/>
      <c r="ABC65" s="0"/>
      <c r="ABD65" s="0"/>
      <c r="ABE65" s="0"/>
      <c r="ABF65" s="0"/>
      <c r="ABG65" s="0"/>
      <c r="ABH65" s="0"/>
      <c r="ABI65" s="0"/>
      <c r="ABJ65" s="0"/>
      <c r="ABK65" s="0"/>
      <c r="ABL65" s="0"/>
      <c r="ABM65" s="0"/>
      <c r="ABN65" s="0"/>
      <c r="ABO65" s="0"/>
      <c r="ABP65" s="0"/>
      <c r="ABQ65" s="0"/>
      <c r="ABR65" s="0"/>
      <c r="ABS65" s="0"/>
      <c r="ABT65" s="0"/>
      <c r="ABU65" s="0"/>
      <c r="ABV65" s="0"/>
      <c r="ABW65" s="0"/>
      <c r="ABX65" s="0"/>
      <c r="ABY65" s="0"/>
      <c r="ABZ65" s="0"/>
      <c r="ACA65" s="0"/>
      <c r="ACB65" s="0"/>
      <c r="ACC65" s="0"/>
      <c r="ACD65" s="0"/>
      <c r="ACE65" s="0"/>
      <c r="ACF65" s="0"/>
      <c r="ACG65" s="0"/>
      <c r="ACH65" s="0"/>
      <c r="ACI65" s="0"/>
      <c r="ACJ65" s="0"/>
      <c r="ACK65" s="0"/>
      <c r="ACL65" s="0"/>
      <c r="ACM65" s="0"/>
      <c r="ACN65" s="0"/>
      <c r="ACO65" s="0"/>
      <c r="ACP65" s="0"/>
      <c r="ACQ65" s="0"/>
      <c r="ACR65" s="0"/>
      <c r="ACS65" s="0"/>
      <c r="ACT65" s="0"/>
      <c r="ACU65" s="0"/>
      <c r="ACV65" s="0"/>
      <c r="ACW65" s="0"/>
      <c r="ACX65" s="0"/>
      <c r="ACY65" s="0"/>
      <c r="ACZ65" s="0"/>
      <c r="ADA65" s="0"/>
      <c r="ADB65" s="0"/>
      <c r="ADC65" s="0"/>
      <c r="ADD65" s="0"/>
      <c r="ADE65" s="0"/>
      <c r="ADF65" s="0"/>
      <c r="ADG65" s="0"/>
      <c r="ADH65" s="0"/>
      <c r="ADI65" s="0"/>
      <c r="ADJ65" s="0"/>
      <c r="ADK65" s="0"/>
      <c r="ADL65" s="0"/>
      <c r="ADM65" s="0"/>
      <c r="ADN65" s="0"/>
      <c r="ADO65" s="0"/>
      <c r="ADP65" s="0"/>
      <c r="ADQ65" s="0"/>
      <c r="ADR65" s="0"/>
      <c r="ADS65" s="0"/>
      <c r="ADT65" s="0"/>
      <c r="ADU65" s="0"/>
      <c r="ADV65" s="0"/>
      <c r="ADW65" s="0"/>
      <c r="ADX65" s="0"/>
      <c r="ADY65" s="0"/>
      <c r="ADZ65" s="0"/>
      <c r="AEA65" s="0"/>
      <c r="AEB65" s="0"/>
      <c r="AEC65" s="0"/>
      <c r="AED65" s="0"/>
      <c r="AEE65" s="0"/>
      <c r="AEF65" s="0"/>
      <c r="AEG65" s="0"/>
      <c r="AEH65" s="0"/>
      <c r="AEI65" s="0"/>
      <c r="AEJ65" s="0"/>
      <c r="AEK65" s="0"/>
      <c r="AEL65" s="0"/>
      <c r="AEM65" s="0"/>
      <c r="AEN65" s="0"/>
      <c r="AEO65" s="0"/>
      <c r="AEP65" s="0"/>
      <c r="AEQ65" s="0"/>
      <c r="AER65" s="0"/>
      <c r="AES65" s="0"/>
      <c r="AET65" s="0"/>
      <c r="AEU65" s="0"/>
      <c r="AEV65" s="0"/>
      <c r="AEW65" s="0"/>
      <c r="AEX65" s="0"/>
      <c r="AEY65" s="0"/>
      <c r="AEZ65" s="0"/>
      <c r="AFA65" s="0"/>
      <c r="AFB65" s="0"/>
      <c r="AFC65" s="0"/>
      <c r="AFD65" s="0"/>
      <c r="AFE65" s="0"/>
      <c r="AFF65" s="0"/>
      <c r="AFG65" s="0"/>
      <c r="AFH65" s="0"/>
      <c r="AFI65" s="0"/>
      <c r="AFJ65" s="0"/>
      <c r="AFK65" s="0"/>
      <c r="AFL65" s="0"/>
      <c r="AFM65" s="0"/>
      <c r="AFN65" s="0"/>
      <c r="AFO65" s="0"/>
      <c r="AFP65" s="0"/>
      <c r="AFQ65" s="0"/>
      <c r="AFR65" s="0"/>
      <c r="AFS65" s="0"/>
      <c r="AFT65" s="0"/>
      <c r="AFU65" s="0"/>
      <c r="AFV65" s="0"/>
      <c r="AFW65" s="0"/>
      <c r="AFX65" s="0"/>
      <c r="AFY65" s="0"/>
      <c r="AFZ65" s="0"/>
      <c r="AGA65" s="0"/>
      <c r="AGB65" s="0"/>
      <c r="AGC65" s="0"/>
      <c r="AGD65" s="0"/>
      <c r="AGE65" s="0"/>
      <c r="AGF65" s="0"/>
      <c r="AGG65" s="0"/>
      <c r="AGH65" s="0"/>
      <c r="AGI65" s="0"/>
      <c r="AGJ65" s="0"/>
      <c r="AGK65" s="0"/>
      <c r="AGL65" s="0"/>
      <c r="AGM65" s="0"/>
      <c r="AGN65" s="0"/>
      <c r="AGO65" s="0"/>
      <c r="AGP65" s="0"/>
      <c r="AGQ65" s="0"/>
      <c r="AGR65" s="0"/>
      <c r="AGS65" s="0"/>
      <c r="AGT65" s="0"/>
      <c r="AGU65" s="0"/>
      <c r="AGV65" s="0"/>
      <c r="AGW65" s="0"/>
      <c r="AGX65" s="0"/>
      <c r="AGY65" s="0"/>
      <c r="AGZ65" s="0"/>
      <c r="AHA65" s="0"/>
      <c r="AHB65" s="0"/>
      <c r="AHC65" s="0"/>
      <c r="AHD65" s="0"/>
      <c r="AHE65" s="0"/>
      <c r="AHF65" s="0"/>
      <c r="AHG65" s="0"/>
      <c r="AHH65" s="0"/>
      <c r="AHI65" s="0"/>
      <c r="AHJ65" s="0"/>
      <c r="AHK65" s="0"/>
      <c r="AHL65" s="0"/>
      <c r="AHM65" s="0"/>
      <c r="AHN65" s="0"/>
      <c r="AHO65" s="0"/>
      <c r="AHP65" s="0"/>
      <c r="AHQ65" s="0"/>
      <c r="AHR65" s="0"/>
      <c r="AHS65" s="0"/>
      <c r="AHT65" s="0"/>
      <c r="AHU65" s="0"/>
      <c r="AHV65" s="0"/>
      <c r="AHW65" s="0"/>
      <c r="AHX65" s="0"/>
      <c r="AHY65" s="0"/>
      <c r="AHZ65" s="0"/>
      <c r="AIA65" s="0"/>
      <c r="AIB65" s="0"/>
      <c r="AIC65" s="0"/>
      <c r="AID65" s="0"/>
      <c r="AIE65" s="0"/>
      <c r="AIF65" s="0"/>
      <c r="AIG65" s="0"/>
      <c r="AIH65" s="0"/>
      <c r="AII65" s="0"/>
      <c r="AIJ65" s="0"/>
      <c r="AIK65" s="0"/>
      <c r="AIL65" s="0"/>
      <c r="AIM65" s="0"/>
      <c r="AIN65" s="0"/>
      <c r="AIO65" s="0"/>
      <c r="AIP65" s="0"/>
      <c r="AIQ65" s="0"/>
      <c r="AIR65" s="0"/>
      <c r="AIS65" s="0"/>
      <c r="AIT65" s="0"/>
      <c r="AIU65" s="0"/>
      <c r="AIV65" s="0"/>
      <c r="AIW65" s="0"/>
      <c r="AIX65" s="0"/>
      <c r="AIY65" s="0"/>
      <c r="AIZ65" s="0"/>
      <c r="AJA65" s="0"/>
      <c r="AJB65" s="0"/>
      <c r="AJC65" s="0"/>
      <c r="AJD65" s="0"/>
      <c r="AJE65" s="0"/>
      <c r="AJF65" s="0"/>
      <c r="AJG65" s="0"/>
      <c r="AJH65" s="0"/>
      <c r="AJI65" s="0"/>
      <c r="AJJ65" s="0"/>
      <c r="AJK65" s="0"/>
      <c r="AJL65" s="0"/>
      <c r="AJM65" s="0"/>
      <c r="AJN65" s="0"/>
      <c r="AJO65" s="0"/>
      <c r="AJP65" s="0"/>
      <c r="AJQ65" s="0"/>
      <c r="AJR65" s="0"/>
      <c r="AJS65" s="0"/>
      <c r="AJT65" s="0"/>
      <c r="AJU65" s="0"/>
      <c r="AJV65" s="0"/>
      <c r="AJW65" s="0"/>
      <c r="AJX65" s="0"/>
      <c r="AJY65" s="0"/>
      <c r="AJZ65" s="0"/>
      <c r="AKA65" s="0"/>
      <c r="AKB65" s="0"/>
      <c r="AKC65" s="0"/>
      <c r="AKD65" s="0"/>
      <c r="AKE65" s="0"/>
      <c r="AKF65" s="0"/>
      <c r="AKG65" s="0"/>
      <c r="AKH65" s="0"/>
      <c r="AKI65" s="0"/>
      <c r="AKJ65" s="0"/>
      <c r="AKK65" s="0"/>
      <c r="AKL65" s="0"/>
      <c r="AKM65" s="0"/>
      <c r="AKN65" s="0"/>
      <c r="AKO65" s="0"/>
      <c r="AKP65" s="0"/>
      <c r="AKQ65" s="0"/>
      <c r="AKR65" s="0"/>
      <c r="AKS65" s="0"/>
      <c r="AKT65" s="0"/>
      <c r="AKU65" s="0"/>
      <c r="AKV65" s="0"/>
      <c r="AKW65" s="0"/>
      <c r="AKX65" s="0"/>
      <c r="AKY65" s="0"/>
      <c r="AKZ65" s="0"/>
      <c r="ALA65" s="0"/>
      <c r="ALB65" s="0"/>
      <c r="ALC65" s="0"/>
      <c r="ALD65" s="0"/>
      <c r="ALE65" s="0"/>
      <c r="ALF65" s="0"/>
      <c r="ALG65" s="0"/>
      <c r="ALH65" s="0"/>
      <c r="ALI65" s="0"/>
      <c r="ALJ65" s="0"/>
      <c r="ALK65" s="0"/>
      <c r="ALL65" s="0"/>
      <c r="ALM65" s="0"/>
      <c r="ALN65" s="0"/>
      <c r="ALO65" s="0"/>
      <c r="ALP65" s="0"/>
      <c r="ALQ65" s="0"/>
      <c r="ALR65" s="0"/>
      <c r="ALS65" s="0"/>
      <c r="ALT65" s="0"/>
      <c r="ALU65" s="0"/>
      <c r="ALV65" s="0"/>
      <c r="ALW65" s="0"/>
      <c r="ALX65" s="0"/>
      <c r="ALY65" s="0"/>
      <c r="ALZ65" s="0"/>
      <c r="AMA65" s="0"/>
      <c r="AMB65" s="0"/>
      <c r="AMC65" s="0"/>
      <c r="AMD65" s="0"/>
      <c r="AME65" s="0"/>
      <c r="AMF65" s="0"/>
      <c r="AMG65" s="0"/>
      <c r="AMH65" s="0"/>
      <c r="AMI65" s="0"/>
      <c r="AMJ65" s="0"/>
      <c r="AMK65" s="0"/>
      <c r="AML65" s="0"/>
      <c r="AMM65" s="0"/>
      <c r="AMN65" s="0"/>
      <c r="AMO65" s="0"/>
      <c r="AMP65" s="0"/>
      <c r="AMQ65" s="0"/>
      <c r="AMR65" s="0"/>
      <c r="AMS65" s="0"/>
      <c r="AMT65" s="0"/>
      <c r="AMU65" s="0"/>
      <c r="AMV65" s="0"/>
      <c r="AMW65" s="0"/>
      <c r="AMX65" s="0"/>
      <c r="AMY65" s="0"/>
      <c r="AMZ65" s="0"/>
      <c r="ANA65" s="0"/>
      <c r="ANB65" s="0"/>
      <c r="ANC65" s="0"/>
      <c r="AND65" s="0"/>
      <c r="ANE65" s="0"/>
      <c r="ANF65" s="0"/>
      <c r="ANG65" s="0"/>
      <c r="ANH65" s="0"/>
      <c r="ANI65" s="0"/>
      <c r="ANJ65" s="0"/>
      <c r="ANK65" s="0"/>
      <c r="ANL65" s="0"/>
      <c r="ANM65" s="0"/>
      <c r="ANN65" s="0"/>
      <c r="ANO65" s="0"/>
      <c r="ANP65" s="0"/>
      <c r="ANQ65" s="0"/>
      <c r="ANR65" s="0"/>
      <c r="ANS65" s="0"/>
      <c r="ANT65" s="0"/>
      <c r="ANU65" s="0"/>
      <c r="ANV65" s="0"/>
      <c r="ANW65" s="0"/>
      <c r="ANX65" s="0"/>
      <c r="ANY65" s="0"/>
      <c r="ANZ65" s="0"/>
      <c r="AOA65" s="0"/>
      <c r="AOB65" s="0"/>
      <c r="AOC65" s="0"/>
      <c r="AOD65" s="0"/>
      <c r="AOE65" s="0"/>
      <c r="AOF65" s="0"/>
      <c r="AOG65" s="0"/>
      <c r="AOH65" s="0"/>
      <c r="AOI65" s="0"/>
      <c r="AOJ65" s="0"/>
      <c r="AOK65" s="0"/>
      <c r="AOL65" s="0"/>
      <c r="AOM65" s="0"/>
      <c r="AON65" s="0"/>
      <c r="AOO65" s="0"/>
      <c r="AOP65" s="0"/>
      <c r="AOQ65" s="0"/>
      <c r="AOR65" s="0"/>
      <c r="AOS65" s="0"/>
      <c r="AOT65" s="0"/>
      <c r="AOU65" s="0"/>
      <c r="AOV65" s="0"/>
      <c r="AOW65" s="0"/>
      <c r="AOX65" s="0"/>
      <c r="AOY65" s="0"/>
      <c r="AOZ65" s="0"/>
      <c r="APA65" s="0"/>
      <c r="APB65" s="0"/>
      <c r="APC65" s="0"/>
      <c r="APD65" s="0"/>
      <c r="APE65" s="0"/>
      <c r="APF65" s="0"/>
      <c r="APG65" s="0"/>
      <c r="APH65" s="0"/>
      <c r="API65" s="0"/>
      <c r="APJ65" s="0"/>
      <c r="APK65" s="0"/>
      <c r="APL65" s="0"/>
      <c r="APM65" s="0"/>
      <c r="APN65" s="0"/>
      <c r="APO65" s="0"/>
      <c r="APP65" s="0"/>
      <c r="APQ65" s="0"/>
      <c r="APR65" s="0"/>
      <c r="APS65" s="0"/>
      <c r="APT65" s="0"/>
      <c r="APU65" s="0"/>
      <c r="APV65" s="0"/>
      <c r="APW65" s="0"/>
      <c r="APX65" s="0"/>
      <c r="APY65" s="0"/>
      <c r="APZ65" s="0"/>
      <c r="AQA65" s="0"/>
      <c r="AQB65" s="0"/>
      <c r="AQC65" s="0"/>
      <c r="AQD65" s="0"/>
      <c r="AQE65" s="0"/>
      <c r="AQF65" s="0"/>
      <c r="AQG65" s="0"/>
      <c r="AQH65" s="0"/>
      <c r="AQI65" s="0"/>
      <c r="AQJ65" s="0"/>
      <c r="AQK65" s="0"/>
      <c r="AQL65" s="0"/>
      <c r="AQM65" s="0"/>
      <c r="AQN65" s="0"/>
      <c r="AQO65" s="0"/>
      <c r="AQP65" s="0"/>
      <c r="AQQ65" s="0"/>
      <c r="AQR65" s="0"/>
      <c r="AQS65" s="0"/>
      <c r="AQT65" s="0"/>
      <c r="AQU65" s="0"/>
      <c r="AQV65" s="0"/>
      <c r="AQW65" s="0"/>
      <c r="AQX65" s="0"/>
      <c r="AQY65" s="0"/>
      <c r="AQZ65" s="0"/>
      <c r="ARA65" s="0"/>
      <c r="ARB65" s="0"/>
      <c r="ARC65" s="0"/>
      <c r="ARD65" s="0"/>
      <c r="ARE65" s="0"/>
      <c r="ARF65" s="0"/>
      <c r="ARG65" s="0"/>
      <c r="ARH65" s="0"/>
      <c r="ARI65" s="0"/>
      <c r="ARJ65" s="0"/>
      <c r="ARK65" s="0"/>
      <c r="ARL65" s="0"/>
      <c r="ARM65" s="0"/>
      <c r="ARN65" s="0"/>
      <c r="ARO65" s="0"/>
      <c r="ARP65" s="0"/>
      <c r="ARQ65" s="0"/>
      <c r="ARR65" s="0"/>
      <c r="ARS65" s="0"/>
      <c r="ART65" s="0"/>
      <c r="ARU65" s="0"/>
      <c r="ARV65" s="0"/>
      <c r="ARW65" s="0"/>
      <c r="ARX65" s="0"/>
      <c r="ARY65" s="0"/>
      <c r="ARZ65" s="0"/>
      <c r="ASA65" s="0"/>
      <c r="ASB65" s="0"/>
      <c r="ASC65" s="0"/>
      <c r="ASD65" s="0"/>
      <c r="ASE65" s="0"/>
      <c r="ASF65" s="0"/>
      <c r="ASG65" s="0"/>
      <c r="ASH65" s="0"/>
      <c r="ASI65" s="0"/>
      <c r="ASJ65" s="0"/>
      <c r="ASK65" s="0"/>
      <c r="ASL65" s="0"/>
      <c r="ASM65" s="0"/>
      <c r="ASN65" s="0"/>
      <c r="ASO65" s="0"/>
      <c r="ASP65" s="0"/>
      <c r="ASQ65" s="0"/>
      <c r="ASR65" s="0"/>
      <c r="ASS65" s="0"/>
      <c r="AST65" s="0"/>
      <c r="ASU65" s="0"/>
      <c r="ASV65" s="0"/>
      <c r="ASW65" s="0"/>
      <c r="ASX65" s="0"/>
      <c r="ASY65" s="0"/>
      <c r="ASZ65" s="0"/>
      <c r="ATA65" s="0"/>
      <c r="ATB65" s="0"/>
      <c r="ATC65" s="0"/>
      <c r="ATD65" s="0"/>
      <c r="ATE65" s="0"/>
      <c r="ATF65" s="0"/>
      <c r="ATG65" s="0"/>
      <c r="ATH65" s="0"/>
      <c r="ATI65" s="0"/>
      <c r="ATJ65" s="0"/>
      <c r="ATK65" s="0"/>
      <c r="ATL65" s="0"/>
      <c r="ATM65" s="0"/>
      <c r="ATN65" s="0"/>
      <c r="ATO65" s="0"/>
      <c r="ATP65" s="0"/>
      <c r="ATQ65" s="0"/>
      <c r="ATR65" s="0"/>
      <c r="ATS65" s="0"/>
      <c r="ATT65" s="0"/>
      <c r="ATU65" s="0"/>
      <c r="ATV65" s="0"/>
      <c r="ATW65" s="0"/>
      <c r="ATX65" s="0"/>
      <c r="ATY65" s="0"/>
      <c r="ATZ65" s="0"/>
      <c r="AUA65" s="0"/>
      <c r="AUB65" s="0"/>
      <c r="AUC65" s="0"/>
      <c r="AUD65" s="0"/>
      <c r="AUE65" s="0"/>
      <c r="AUF65" s="0"/>
      <c r="AUG65" s="0"/>
      <c r="AUH65" s="0"/>
      <c r="AUI65" s="0"/>
      <c r="AUJ65" s="0"/>
      <c r="AUK65" s="0"/>
      <c r="AUL65" s="0"/>
      <c r="AUM65" s="0"/>
      <c r="AUN65" s="0"/>
      <c r="AUO65" s="0"/>
      <c r="AUP65" s="0"/>
      <c r="AUQ65" s="0"/>
      <c r="AUR65" s="0"/>
      <c r="AUS65" s="0"/>
      <c r="AUT65" s="0"/>
      <c r="AUU65" s="0"/>
      <c r="AUV65" s="0"/>
      <c r="AUW65" s="0"/>
      <c r="AUX65" s="0"/>
      <c r="AUY65" s="0"/>
      <c r="AUZ65" s="0"/>
      <c r="AVA65" s="0"/>
      <c r="AVB65" s="0"/>
      <c r="AVC65" s="0"/>
      <c r="AVD65" s="0"/>
      <c r="AVE65" s="0"/>
      <c r="AVF65" s="0"/>
      <c r="AVG65" s="0"/>
      <c r="AVH65" s="0"/>
      <c r="AVI65" s="0"/>
      <c r="AVJ65" s="0"/>
      <c r="AVK65" s="0"/>
      <c r="AVL65" s="0"/>
      <c r="AVM65" s="0"/>
      <c r="AVN65" s="0"/>
      <c r="AVO65" s="0"/>
      <c r="AVP65" s="0"/>
      <c r="AVQ65" s="0"/>
      <c r="AVR65" s="0"/>
      <c r="AVS65" s="0"/>
      <c r="AVT65" s="0"/>
      <c r="AVU65" s="0"/>
      <c r="AVV65" s="0"/>
      <c r="AVW65" s="0"/>
      <c r="AVX65" s="0"/>
      <c r="AVY65" s="0"/>
      <c r="AVZ65" s="0"/>
      <c r="AWA65" s="0"/>
      <c r="AWB65" s="0"/>
      <c r="AWC65" s="0"/>
      <c r="AWD65" s="0"/>
      <c r="AWE65" s="0"/>
      <c r="AWF65" s="0"/>
      <c r="AWG65" s="0"/>
      <c r="AWH65" s="0"/>
      <c r="AWI65" s="0"/>
      <c r="AWJ65" s="0"/>
      <c r="AWK65" s="0"/>
      <c r="AWL65" s="0"/>
      <c r="AWM65" s="0"/>
      <c r="AWN65" s="0"/>
      <c r="AWO65" s="0"/>
      <c r="AWP65" s="0"/>
      <c r="AWQ65" s="0"/>
      <c r="AWR65" s="0"/>
      <c r="AWS65" s="0"/>
      <c r="AWT65" s="0"/>
      <c r="AWU65" s="0"/>
      <c r="AWV65" s="0"/>
      <c r="AWW65" s="0"/>
      <c r="AWX65" s="0"/>
      <c r="AWY65" s="0"/>
      <c r="AWZ65" s="0"/>
      <c r="AXA65" s="0"/>
      <c r="AXB65" s="0"/>
      <c r="AXC65" s="0"/>
      <c r="AXD65" s="0"/>
      <c r="AXE65" s="0"/>
      <c r="AXF65" s="0"/>
      <c r="AXG65" s="0"/>
      <c r="AXH65" s="0"/>
      <c r="AXI65" s="0"/>
      <c r="AXJ65" s="0"/>
      <c r="AXK65" s="0"/>
      <c r="AXL65" s="0"/>
      <c r="AXM65" s="0"/>
      <c r="AXN65" s="0"/>
      <c r="AXO65" s="0"/>
      <c r="AXP65" s="0"/>
      <c r="AXQ65" s="0"/>
      <c r="AXR65" s="0"/>
      <c r="AXS65" s="0"/>
      <c r="AXT65" s="0"/>
      <c r="AXU65" s="0"/>
      <c r="AXV65" s="0"/>
      <c r="AXW65" s="0"/>
      <c r="AXX65" s="0"/>
      <c r="AXY65" s="0"/>
      <c r="AXZ65" s="0"/>
      <c r="AYA65" s="0"/>
      <c r="AYB65" s="0"/>
      <c r="AYC65" s="0"/>
      <c r="AYD65" s="0"/>
      <c r="AYE65" s="0"/>
      <c r="AYF65" s="0"/>
      <c r="AYG65" s="0"/>
      <c r="AYH65" s="0"/>
      <c r="AYI65" s="0"/>
      <c r="AYJ65" s="0"/>
      <c r="AYK65" s="0"/>
      <c r="AYL65" s="0"/>
      <c r="AYM65" s="0"/>
      <c r="AYN65" s="0"/>
      <c r="AYO65" s="0"/>
      <c r="AYP65" s="0"/>
      <c r="AYQ65" s="0"/>
      <c r="AYR65" s="0"/>
      <c r="AYS65" s="0"/>
      <c r="AYT65" s="0"/>
      <c r="AYU65" s="0"/>
      <c r="AYV65" s="0"/>
      <c r="AYW65" s="0"/>
      <c r="AYX65" s="0"/>
      <c r="AYY65" s="0"/>
      <c r="AYZ65" s="0"/>
      <c r="AZA65" s="0"/>
      <c r="AZB65" s="0"/>
      <c r="AZC65" s="0"/>
      <c r="AZD65" s="0"/>
      <c r="AZE65" s="0"/>
      <c r="AZF65" s="0"/>
      <c r="AZG65" s="0"/>
      <c r="AZH65" s="0"/>
      <c r="AZI65" s="0"/>
      <c r="AZJ65" s="0"/>
      <c r="AZK65" s="0"/>
      <c r="AZL65" s="0"/>
      <c r="AZM65" s="0"/>
      <c r="AZN65" s="0"/>
      <c r="AZO65" s="0"/>
      <c r="AZP65" s="0"/>
      <c r="AZQ65" s="0"/>
      <c r="AZR65" s="0"/>
      <c r="AZS65" s="0"/>
      <c r="AZT65" s="0"/>
      <c r="AZU65" s="0"/>
      <c r="AZV65" s="0"/>
      <c r="AZW65" s="0"/>
      <c r="AZX65" s="0"/>
      <c r="AZY65" s="0"/>
      <c r="AZZ65" s="0"/>
      <c r="BAA65" s="0"/>
      <c r="BAB65" s="0"/>
      <c r="BAC65" s="0"/>
      <c r="BAD65" s="0"/>
      <c r="BAE65" s="0"/>
      <c r="BAF65" s="0"/>
      <c r="BAG65" s="0"/>
      <c r="BAH65" s="0"/>
      <c r="BAI65" s="0"/>
      <c r="BAJ65" s="0"/>
      <c r="BAK65" s="0"/>
      <c r="BAL65" s="0"/>
      <c r="BAM65" s="0"/>
      <c r="BAN65" s="0"/>
      <c r="BAO65" s="0"/>
      <c r="BAP65" s="0"/>
      <c r="BAQ65" s="0"/>
      <c r="BAR65" s="0"/>
      <c r="BAS65" s="0"/>
      <c r="BAT65" s="0"/>
      <c r="BAU65" s="0"/>
      <c r="BAV65" s="0"/>
      <c r="BAW65" s="0"/>
      <c r="BAX65" s="0"/>
      <c r="BAY65" s="0"/>
      <c r="BAZ65" s="0"/>
      <c r="BBA65" s="0"/>
      <c r="BBB65" s="0"/>
      <c r="BBC65" s="0"/>
      <c r="BBD65" s="0"/>
      <c r="BBE65" s="0"/>
      <c r="BBF65" s="0"/>
      <c r="BBG65" s="0"/>
      <c r="BBH65" s="0"/>
      <c r="BBI65" s="0"/>
      <c r="BBJ65" s="0"/>
      <c r="BBK65" s="0"/>
      <c r="BBL65" s="0"/>
      <c r="BBM65" s="0"/>
      <c r="BBN65" s="0"/>
      <c r="BBO65" s="0"/>
      <c r="BBP65" s="0"/>
      <c r="BBQ65" s="0"/>
      <c r="BBR65" s="0"/>
      <c r="BBS65" s="0"/>
      <c r="BBT65" s="0"/>
      <c r="BBU65" s="0"/>
      <c r="BBV65" s="0"/>
      <c r="BBW65" s="0"/>
      <c r="BBX65" s="0"/>
      <c r="BBY65" s="0"/>
      <c r="BBZ65" s="0"/>
      <c r="BCA65" s="0"/>
      <c r="BCB65" s="0"/>
      <c r="BCC65" s="0"/>
      <c r="BCD65" s="0"/>
      <c r="BCE65" s="0"/>
      <c r="BCF65" s="0"/>
      <c r="BCG65" s="0"/>
      <c r="BCH65" s="0"/>
      <c r="BCI65" s="0"/>
      <c r="BCJ65" s="0"/>
      <c r="BCK65" s="0"/>
      <c r="BCL65" s="0"/>
      <c r="BCM65" s="0"/>
      <c r="BCN65" s="0"/>
      <c r="BCO65" s="0"/>
      <c r="BCP65" s="0"/>
      <c r="BCQ65" s="0"/>
      <c r="BCR65" s="0"/>
      <c r="BCS65" s="0"/>
      <c r="BCT65" s="0"/>
      <c r="BCU65" s="0"/>
      <c r="BCV65" s="0"/>
      <c r="BCW65" s="0"/>
      <c r="BCX65" s="0"/>
      <c r="BCY65" s="0"/>
      <c r="BCZ65" s="0"/>
      <c r="BDA65" s="0"/>
      <c r="BDB65" s="0"/>
      <c r="BDC65" s="0"/>
      <c r="BDD65" s="0"/>
      <c r="BDE65" s="0"/>
      <c r="BDF65" s="0"/>
      <c r="BDG65" s="0"/>
      <c r="BDH65" s="0"/>
      <c r="BDI65" s="0"/>
      <c r="BDJ65" s="0"/>
      <c r="BDK65" s="0"/>
      <c r="BDL65" s="0"/>
      <c r="BDM65" s="0"/>
      <c r="BDN65" s="0"/>
      <c r="BDO65" s="0"/>
      <c r="BDP65" s="0"/>
      <c r="BDQ65" s="0"/>
      <c r="BDR65" s="0"/>
      <c r="BDS65" s="0"/>
      <c r="BDT65" s="0"/>
      <c r="BDU65" s="0"/>
      <c r="BDV65" s="0"/>
      <c r="BDW65" s="0"/>
      <c r="BDX65" s="0"/>
      <c r="BDY65" s="0"/>
      <c r="BDZ65" s="0"/>
      <c r="BEA65" s="0"/>
      <c r="BEB65" s="0"/>
      <c r="BEC65" s="0"/>
      <c r="BED65" s="0"/>
      <c r="BEE65" s="0"/>
      <c r="BEF65" s="0"/>
      <c r="BEG65" s="0"/>
      <c r="BEH65" s="0"/>
      <c r="BEI65" s="0"/>
      <c r="BEJ65" s="0"/>
      <c r="BEK65" s="0"/>
      <c r="BEL65" s="0"/>
      <c r="BEM65" s="0"/>
      <c r="BEN65" s="0"/>
      <c r="BEO65" s="0"/>
      <c r="BEP65" s="0"/>
      <c r="BEQ65" s="0"/>
      <c r="BER65" s="0"/>
      <c r="BES65" s="0"/>
      <c r="BET65" s="0"/>
      <c r="BEU65" s="0"/>
      <c r="BEV65" s="0"/>
      <c r="BEW65" s="0"/>
      <c r="BEX65" s="0"/>
      <c r="BEY65" s="0"/>
      <c r="BEZ65" s="0"/>
      <c r="BFA65" s="0"/>
      <c r="BFB65" s="0"/>
      <c r="BFC65" s="0"/>
      <c r="BFD65" s="0"/>
      <c r="BFE65" s="0"/>
      <c r="BFF65" s="0"/>
      <c r="BFG65" s="0"/>
      <c r="BFH65" s="0"/>
      <c r="BFI65" s="0"/>
      <c r="BFJ65" s="0"/>
      <c r="BFK65" s="0"/>
      <c r="BFL65" s="0"/>
      <c r="BFM65" s="0"/>
      <c r="BFN65" s="0"/>
      <c r="BFO65" s="0"/>
      <c r="BFP65" s="0"/>
      <c r="BFQ65" s="0"/>
      <c r="BFR65" s="0"/>
      <c r="BFS65" s="0"/>
      <c r="BFT65" s="0"/>
      <c r="BFU65" s="0"/>
      <c r="BFV65" s="0"/>
      <c r="BFW65" s="0"/>
      <c r="BFX65" s="0"/>
      <c r="BFY65" s="0"/>
      <c r="BFZ65" s="0"/>
      <c r="BGA65" s="0"/>
      <c r="BGB65" s="0"/>
      <c r="BGC65" s="0"/>
      <c r="BGD65" s="0"/>
      <c r="BGE65" s="0"/>
      <c r="BGF65" s="0"/>
      <c r="BGG65" s="0"/>
      <c r="BGH65" s="0"/>
      <c r="BGI65" s="0"/>
      <c r="BGJ65" s="0"/>
      <c r="BGK65" s="0"/>
      <c r="BGL65" s="0"/>
      <c r="BGM65" s="0"/>
      <c r="BGN65" s="0"/>
      <c r="BGO65" s="0"/>
      <c r="BGP65" s="0"/>
      <c r="BGQ65" s="0"/>
      <c r="BGR65" s="0"/>
      <c r="BGS65" s="0"/>
      <c r="BGT65" s="0"/>
      <c r="BGU65" s="0"/>
      <c r="BGV65" s="0"/>
      <c r="BGW65" s="0"/>
      <c r="BGX65" s="0"/>
      <c r="BGY65" s="0"/>
      <c r="BGZ65" s="0"/>
      <c r="BHA65" s="0"/>
      <c r="BHB65" s="0"/>
      <c r="BHC65" s="0"/>
      <c r="BHD65" s="0"/>
      <c r="BHE65" s="0"/>
      <c r="BHF65" s="0"/>
      <c r="BHG65" s="0"/>
      <c r="BHH65" s="0"/>
      <c r="BHI65" s="0"/>
      <c r="BHJ65" s="0"/>
      <c r="BHK65" s="0"/>
      <c r="BHL65" s="0"/>
      <c r="BHM65" s="0"/>
      <c r="BHN65" s="0"/>
      <c r="BHO65" s="0"/>
      <c r="BHP65" s="0"/>
      <c r="BHQ65" s="0"/>
      <c r="BHR65" s="0"/>
      <c r="BHS65" s="0"/>
      <c r="BHT65" s="0"/>
      <c r="BHU65" s="0"/>
      <c r="BHV65" s="0"/>
      <c r="BHW65" s="0"/>
      <c r="BHX65" s="0"/>
      <c r="BHY65" s="0"/>
      <c r="BHZ65" s="0"/>
      <c r="BIA65" s="0"/>
      <c r="BIB65" s="0"/>
      <c r="BIC65" s="0"/>
      <c r="BID65" s="0"/>
      <c r="BIE65" s="0"/>
      <c r="BIF65" s="0"/>
      <c r="BIG65" s="0"/>
      <c r="BIH65" s="0"/>
      <c r="BII65" s="0"/>
      <c r="BIJ65" s="0"/>
      <c r="BIK65" s="0"/>
      <c r="BIL65" s="0"/>
      <c r="BIM65" s="0"/>
      <c r="BIN65" s="0"/>
      <c r="BIO65" s="0"/>
      <c r="BIP65" s="0"/>
      <c r="BIQ65" s="0"/>
      <c r="BIR65" s="0"/>
      <c r="BIS65" s="0"/>
      <c r="BIT65" s="0"/>
      <c r="BIU65" s="0"/>
      <c r="BIV65" s="0"/>
      <c r="BIW65" s="0"/>
      <c r="BIX65" s="0"/>
      <c r="BIY65" s="0"/>
      <c r="BIZ65" s="0"/>
      <c r="BJA65" s="0"/>
      <c r="BJB65" s="0"/>
      <c r="BJC65" s="0"/>
      <c r="BJD65" s="0"/>
      <c r="BJE65" s="0"/>
      <c r="BJF65" s="0"/>
      <c r="BJG65" s="0"/>
      <c r="BJH65" s="0"/>
      <c r="BJI65" s="0"/>
      <c r="BJJ65" s="0"/>
      <c r="BJK65" s="0"/>
      <c r="BJL65" s="0"/>
      <c r="BJM65" s="0"/>
      <c r="BJN65" s="0"/>
      <c r="BJO65" s="0"/>
      <c r="BJP65" s="0"/>
      <c r="BJQ65" s="0"/>
      <c r="BJR65" s="0"/>
      <c r="BJS65" s="0"/>
      <c r="BJT65" s="0"/>
      <c r="BJU65" s="0"/>
      <c r="BJV65" s="0"/>
      <c r="BJW65" s="0"/>
      <c r="BJX65" s="0"/>
      <c r="BJY65" s="0"/>
      <c r="BJZ65" s="0"/>
      <c r="BKA65" s="0"/>
      <c r="BKB65" s="0"/>
      <c r="BKC65" s="0"/>
      <c r="BKD65" s="0"/>
      <c r="BKE65" s="0"/>
      <c r="BKF65" s="0"/>
      <c r="BKG65" s="0"/>
      <c r="BKH65" s="0"/>
      <c r="BKI65" s="0"/>
      <c r="BKJ65" s="0"/>
      <c r="BKK65" s="0"/>
      <c r="BKL65" s="0"/>
      <c r="BKM65" s="0"/>
      <c r="BKN65" s="0"/>
      <c r="BKO65" s="0"/>
      <c r="BKP65" s="0"/>
      <c r="BKQ65" s="0"/>
      <c r="BKR65" s="0"/>
      <c r="BKS65" s="0"/>
      <c r="BKT65" s="0"/>
      <c r="BKU65" s="0"/>
      <c r="BKV65" s="0"/>
      <c r="BKW65" s="0"/>
      <c r="BKX65" s="0"/>
      <c r="BKY65" s="0"/>
      <c r="BKZ65" s="0"/>
      <c r="BLA65" s="0"/>
      <c r="BLB65" s="0"/>
      <c r="BLC65" s="0"/>
      <c r="BLD65" s="0"/>
      <c r="BLE65" s="0"/>
      <c r="BLF65" s="0"/>
      <c r="BLG65" s="0"/>
      <c r="BLH65" s="0"/>
      <c r="BLI65" s="0"/>
      <c r="BLJ65" s="0"/>
      <c r="BLK65" s="0"/>
      <c r="BLL65" s="0"/>
      <c r="BLM65" s="0"/>
      <c r="BLN65" s="0"/>
      <c r="BLO65" s="0"/>
      <c r="BLP65" s="0"/>
      <c r="BLQ65" s="0"/>
      <c r="BLR65" s="0"/>
      <c r="BLS65" s="0"/>
      <c r="BLT65" s="0"/>
      <c r="BLU65" s="0"/>
      <c r="BLV65" s="0"/>
      <c r="BLW65" s="0"/>
      <c r="BLX65" s="0"/>
      <c r="BLY65" s="0"/>
      <c r="BLZ65" s="0"/>
      <c r="BMA65" s="0"/>
      <c r="BMB65" s="0"/>
      <c r="BMC65" s="0"/>
      <c r="BMD65" s="0"/>
      <c r="BME65" s="0"/>
      <c r="BMF65" s="0"/>
      <c r="BMG65" s="0"/>
      <c r="BMH65" s="0"/>
      <c r="BMI65" s="0"/>
      <c r="BMJ65" s="0"/>
      <c r="BMK65" s="0"/>
      <c r="BML65" s="0"/>
      <c r="BMM65" s="0"/>
      <c r="BMN65" s="0"/>
      <c r="BMO65" s="0"/>
      <c r="BMP65" s="0"/>
      <c r="BMQ65" s="0"/>
      <c r="BMR65" s="0"/>
      <c r="BMS65" s="0"/>
      <c r="BMT65" s="0"/>
      <c r="BMU65" s="0"/>
      <c r="BMV65" s="0"/>
      <c r="BMW65" s="0"/>
      <c r="BMX65" s="0"/>
      <c r="BMY65" s="0"/>
      <c r="BMZ65" s="0"/>
      <c r="BNA65" s="0"/>
      <c r="BNB65" s="0"/>
      <c r="BNC65" s="0"/>
      <c r="BND65" s="0"/>
      <c r="BNE65" s="0"/>
      <c r="BNF65" s="0"/>
      <c r="BNG65" s="0"/>
      <c r="BNH65" s="0"/>
      <c r="BNI65" s="0"/>
      <c r="BNJ65" s="0"/>
      <c r="BNK65" s="0"/>
      <c r="BNL65" s="0"/>
      <c r="BNM65" s="0"/>
      <c r="BNN65" s="0"/>
      <c r="BNO65" s="0"/>
      <c r="BNP65" s="0"/>
      <c r="BNQ65" s="0"/>
      <c r="BNR65" s="0"/>
      <c r="BNS65" s="0"/>
      <c r="BNT65" s="0"/>
      <c r="BNU65" s="0"/>
      <c r="BNV65" s="0"/>
      <c r="BNW65" s="0"/>
      <c r="BNX65" s="0"/>
      <c r="BNY65" s="0"/>
      <c r="BNZ65" s="0"/>
      <c r="BOA65" s="0"/>
      <c r="BOB65" s="0"/>
      <c r="BOC65" s="0"/>
      <c r="BOD65" s="0"/>
      <c r="BOE65" s="0"/>
      <c r="BOF65" s="0"/>
      <c r="BOG65" s="0"/>
      <c r="BOH65" s="0"/>
      <c r="BOI65" s="0"/>
      <c r="BOJ65" s="0"/>
      <c r="BOK65" s="0"/>
      <c r="BOL65" s="0"/>
      <c r="BOM65" s="0"/>
      <c r="BON65" s="0"/>
      <c r="BOO65" s="0"/>
      <c r="BOP65" s="0"/>
      <c r="BOQ65" s="0"/>
      <c r="BOR65" s="0"/>
      <c r="BOS65" s="0"/>
      <c r="BOT65" s="0"/>
      <c r="BOU65" s="0"/>
      <c r="BOV65" s="0"/>
      <c r="BOW65" s="0"/>
      <c r="BOX65" s="0"/>
      <c r="BOY65" s="0"/>
      <c r="BOZ65" s="0"/>
      <c r="BPA65" s="0"/>
      <c r="BPB65" s="0"/>
      <c r="BPC65" s="0"/>
      <c r="BPD65" s="0"/>
      <c r="BPE65" s="0"/>
      <c r="BPF65" s="0"/>
      <c r="BPG65" s="0"/>
      <c r="BPH65" s="0"/>
      <c r="BPI65" s="0"/>
      <c r="BPJ65" s="0"/>
      <c r="BPK65" s="0"/>
      <c r="BPL65" s="0"/>
      <c r="BPM65" s="0"/>
      <c r="BPN65" s="0"/>
      <c r="BPO65" s="0"/>
      <c r="BPP65" s="0"/>
      <c r="BPQ65" s="0"/>
      <c r="BPR65" s="0"/>
      <c r="BPS65" s="0"/>
      <c r="BPT65" s="0"/>
      <c r="BPU65" s="0"/>
      <c r="BPV65" s="0"/>
      <c r="BPW65" s="0"/>
      <c r="BPX65" s="0"/>
      <c r="BPY65" s="0"/>
      <c r="BPZ65" s="0"/>
      <c r="BQA65" s="0"/>
      <c r="BQB65" s="0"/>
      <c r="BQC65" s="0"/>
      <c r="BQD65" s="0"/>
      <c r="BQE65" s="0"/>
      <c r="BQF65" s="0"/>
      <c r="BQG65" s="0"/>
      <c r="BQH65" s="0"/>
      <c r="BQI65" s="0"/>
      <c r="BQJ65" s="0"/>
      <c r="BQK65" s="0"/>
      <c r="BQL65" s="0"/>
      <c r="BQM65" s="0"/>
      <c r="BQN65" s="0"/>
      <c r="BQO65" s="0"/>
      <c r="BQP65" s="0"/>
      <c r="BQQ65" s="0"/>
      <c r="BQR65" s="0"/>
      <c r="BQS65" s="0"/>
      <c r="BQT65" s="0"/>
      <c r="BQU65" s="0"/>
      <c r="BQV65" s="0"/>
      <c r="BQW65" s="0"/>
      <c r="BQX65" s="0"/>
      <c r="BQY65" s="0"/>
      <c r="BQZ65" s="0"/>
      <c r="BRA65" s="0"/>
      <c r="BRB65" s="0"/>
      <c r="BRC65" s="0"/>
      <c r="BRD65" s="0"/>
      <c r="BRE65" s="0"/>
      <c r="BRF65" s="0"/>
      <c r="BRG65" s="0"/>
      <c r="BRH65" s="0"/>
      <c r="BRI65" s="0"/>
      <c r="BRJ65" s="0"/>
      <c r="BRK65" s="0"/>
      <c r="BRL65" s="0"/>
      <c r="BRM65" s="0"/>
      <c r="BRN65" s="0"/>
      <c r="BRO65" s="0"/>
      <c r="BRP65" s="0"/>
      <c r="BRQ65" s="0"/>
      <c r="BRR65" s="0"/>
      <c r="BRS65" s="0"/>
      <c r="BRT65" s="0"/>
      <c r="BRU65" s="0"/>
      <c r="BRV65" s="0"/>
      <c r="BRW65" s="0"/>
      <c r="BRX65" s="0"/>
      <c r="BRY65" s="0"/>
      <c r="BRZ65" s="0"/>
      <c r="BSA65" s="0"/>
      <c r="BSB65" s="0"/>
      <c r="BSC65" s="0"/>
      <c r="BSD65" s="0"/>
      <c r="BSE65" s="0"/>
      <c r="BSF65" s="0"/>
      <c r="BSG65" s="0"/>
      <c r="BSH65" s="0"/>
      <c r="BSI65" s="0"/>
      <c r="BSJ65" s="0"/>
      <c r="BSK65" s="0"/>
      <c r="BSL65" s="0"/>
      <c r="BSM65" s="0"/>
      <c r="BSN65" s="0"/>
      <c r="BSO65" s="0"/>
      <c r="BSP65" s="0"/>
      <c r="BSQ65" s="0"/>
      <c r="BSR65" s="0"/>
      <c r="BSS65" s="0"/>
      <c r="BST65" s="0"/>
      <c r="BSU65" s="0"/>
      <c r="BSV65" s="0"/>
      <c r="BSW65" s="0"/>
      <c r="BSX65" s="0"/>
      <c r="BSY65" s="0"/>
      <c r="BSZ65" s="0"/>
      <c r="BTA65" s="0"/>
      <c r="BTB65" s="0"/>
      <c r="BTC65" s="0"/>
      <c r="BTD65" s="0"/>
      <c r="BTE65" s="0"/>
      <c r="BTF65" s="0"/>
      <c r="BTG65" s="0"/>
      <c r="BTH65" s="0"/>
      <c r="BTI65" s="0"/>
      <c r="BTJ65" s="0"/>
      <c r="BTK65" s="0"/>
      <c r="BTL65" s="0"/>
      <c r="BTM65" s="0"/>
      <c r="BTN65" s="0"/>
      <c r="BTO65" s="0"/>
      <c r="BTP65" s="0"/>
      <c r="BTQ65" s="0"/>
      <c r="BTR65" s="0"/>
      <c r="BTS65" s="0"/>
      <c r="BTT65" s="0"/>
      <c r="BTU65" s="0"/>
      <c r="BTV65" s="0"/>
      <c r="BTW65" s="0"/>
      <c r="BTX65" s="0"/>
      <c r="BTY65" s="0"/>
      <c r="BTZ65" s="0"/>
      <c r="BUA65" s="0"/>
      <c r="BUB65" s="0"/>
      <c r="BUC65" s="0"/>
      <c r="BUD65" s="0"/>
      <c r="BUE65" s="0"/>
      <c r="BUF65" s="0"/>
      <c r="BUG65" s="0"/>
      <c r="BUH65" s="0"/>
      <c r="BUI65" s="0"/>
      <c r="BUJ65" s="0"/>
      <c r="BUK65" s="0"/>
      <c r="BUL65" s="0"/>
      <c r="BUM65" s="0"/>
      <c r="BUN65" s="0"/>
      <c r="BUO65" s="0"/>
      <c r="BUP65" s="0"/>
      <c r="BUQ65" s="0"/>
      <c r="BUR65" s="0"/>
      <c r="BUS65" s="0"/>
      <c r="BUT65" s="0"/>
      <c r="BUU65" s="0"/>
      <c r="BUV65" s="0"/>
      <c r="BUW65" s="0"/>
      <c r="BUX65" s="0"/>
      <c r="BUY65" s="0"/>
      <c r="BUZ65" s="0"/>
      <c r="BVA65" s="0"/>
      <c r="BVB65" s="0"/>
      <c r="BVC65" s="0"/>
      <c r="BVD65" s="0"/>
      <c r="BVE65" s="0"/>
      <c r="BVF65" s="0"/>
      <c r="BVG65" s="0"/>
      <c r="BVH65" s="0"/>
      <c r="BVI65" s="0"/>
      <c r="BVJ65" s="0"/>
      <c r="BVK65" s="0"/>
      <c r="BVL65" s="0"/>
      <c r="BVM65" s="0"/>
      <c r="BVN65" s="0"/>
      <c r="BVO65" s="0"/>
      <c r="BVP65" s="0"/>
      <c r="BVQ65" s="0"/>
      <c r="BVR65" s="0"/>
      <c r="BVS65" s="0"/>
      <c r="BVT65" s="0"/>
      <c r="BVU65" s="0"/>
      <c r="BVV65" s="0"/>
      <c r="BVW65" s="0"/>
      <c r="BVX65" s="0"/>
      <c r="BVY65" s="0"/>
      <c r="BVZ65" s="0"/>
      <c r="BWA65" s="0"/>
      <c r="BWB65" s="0"/>
      <c r="BWC65" s="0"/>
      <c r="BWD65" s="0"/>
      <c r="BWE65" s="0"/>
      <c r="BWF65" s="0"/>
      <c r="BWG65" s="0"/>
      <c r="BWH65" s="0"/>
      <c r="BWI65" s="0"/>
      <c r="BWJ65" s="0"/>
      <c r="BWK65" s="0"/>
      <c r="BWL65" s="0"/>
      <c r="BWM65" s="0"/>
      <c r="BWN65" s="0"/>
      <c r="BWO65" s="0"/>
      <c r="BWP65" s="0"/>
      <c r="BWQ65" s="0"/>
      <c r="BWR65" s="0"/>
      <c r="BWS65" s="0"/>
      <c r="BWT65" s="0"/>
      <c r="BWU65" s="0"/>
      <c r="BWV65" s="0"/>
      <c r="BWW65" s="0"/>
      <c r="BWX65" s="0"/>
      <c r="BWY65" s="0"/>
      <c r="BWZ65" s="0"/>
      <c r="BXA65" s="0"/>
      <c r="BXB65" s="0"/>
      <c r="BXC65" s="0"/>
      <c r="BXD65" s="0"/>
      <c r="BXE65" s="0"/>
      <c r="BXF65" s="0"/>
      <c r="BXG65" s="0"/>
      <c r="BXH65" s="0"/>
      <c r="BXI65" s="0"/>
      <c r="BXJ65" s="0"/>
      <c r="BXK65" s="0"/>
      <c r="BXL65" s="0"/>
      <c r="BXM65" s="0"/>
      <c r="BXN65" s="0"/>
      <c r="BXO65" s="0"/>
      <c r="BXP65" s="0"/>
      <c r="BXQ65" s="0"/>
      <c r="BXR65" s="0"/>
      <c r="BXS65" s="0"/>
      <c r="BXT65" s="0"/>
      <c r="BXU65" s="0"/>
      <c r="BXV65" s="0"/>
      <c r="BXW65" s="0"/>
      <c r="BXX65" s="0"/>
      <c r="BXY65" s="0"/>
      <c r="BXZ65" s="0"/>
      <c r="BYA65" s="0"/>
      <c r="BYB65" s="0"/>
      <c r="BYC65" s="0"/>
      <c r="BYD65" s="0"/>
      <c r="BYE65" s="0"/>
      <c r="BYF65" s="0"/>
      <c r="BYG65" s="0"/>
      <c r="BYH65" s="0"/>
      <c r="BYI65" s="0"/>
      <c r="BYJ65" s="0"/>
      <c r="BYK65" s="0"/>
      <c r="BYL65" s="0"/>
      <c r="BYM65" s="0"/>
      <c r="BYN65" s="0"/>
      <c r="BYO65" s="0"/>
      <c r="BYP65" s="0"/>
      <c r="BYQ65" s="0"/>
      <c r="BYR65" s="0"/>
      <c r="BYS65" s="0"/>
      <c r="BYT65" s="0"/>
      <c r="BYU65" s="0"/>
      <c r="BYV65" s="0"/>
      <c r="BYW65" s="0"/>
      <c r="BYX65" s="0"/>
      <c r="BYY65" s="0"/>
      <c r="BYZ65" s="0"/>
      <c r="BZA65" s="0"/>
      <c r="BZB65" s="0"/>
      <c r="BZC65" s="0"/>
      <c r="BZD65" s="0"/>
      <c r="BZE65" s="0"/>
      <c r="BZF65" s="0"/>
      <c r="BZG65" s="0"/>
      <c r="BZH65" s="0"/>
      <c r="BZI65" s="0"/>
      <c r="BZJ65" s="0"/>
      <c r="BZK65" s="0"/>
      <c r="BZL65" s="0"/>
      <c r="BZM65" s="0"/>
      <c r="BZN65" s="0"/>
      <c r="BZO65" s="0"/>
      <c r="BZP65" s="0"/>
      <c r="BZQ65" s="0"/>
      <c r="BZR65" s="0"/>
      <c r="BZS65" s="0"/>
      <c r="BZT65" s="0"/>
      <c r="BZU65" s="0"/>
      <c r="BZV65" s="0"/>
      <c r="BZW65" s="0"/>
      <c r="BZX65" s="0"/>
      <c r="BZY65" s="0"/>
      <c r="BZZ65" s="0"/>
      <c r="CAA65" s="0"/>
      <c r="CAB65" s="0"/>
      <c r="CAC65" s="0"/>
      <c r="CAD65" s="0"/>
      <c r="CAE65" s="0"/>
      <c r="CAF65" s="0"/>
      <c r="CAG65" s="0"/>
      <c r="CAH65" s="0"/>
      <c r="CAI65" s="0"/>
      <c r="CAJ65" s="0"/>
      <c r="CAK65" s="0"/>
      <c r="CAL65" s="0"/>
      <c r="CAM65" s="0"/>
      <c r="CAN65" s="0"/>
      <c r="CAO65" s="0"/>
      <c r="CAP65" s="0"/>
      <c r="CAQ65" s="0"/>
      <c r="CAR65" s="0"/>
      <c r="CAS65" s="0"/>
      <c r="CAT65" s="0"/>
      <c r="CAU65" s="0"/>
      <c r="CAV65" s="0"/>
      <c r="CAW65" s="0"/>
      <c r="CAX65" s="0"/>
      <c r="CAY65" s="0"/>
      <c r="CAZ65" s="0"/>
      <c r="CBA65" s="0"/>
      <c r="CBB65" s="0"/>
      <c r="CBC65" s="0"/>
      <c r="CBD65" s="0"/>
      <c r="CBE65" s="0"/>
      <c r="CBF65" s="0"/>
      <c r="CBG65" s="0"/>
      <c r="CBH65" s="0"/>
      <c r="CBI65" s="0"/>
      <c r="CBJ65" s="0"/>
      <c r="CBK65" s="0"/>
      <c r="CBL65" s="0"/>
      <c r="CBM65" s="0"/>
      <c r="CBN65" s="0"/>
      <c r="CBO65" s="0"/>
      <c r="CBP65" s="0"/>
      <c r="CBQ65" s="0"/>
      <c r="CBR65" s="0"/>
      <c r="CBS65" s="0"/>
      <c r="CBT65" s="0"/>
      <c r="CBU65" s="0"/>
      <c r="CBV65" s="0"/>
      <c r="CBW65" s="0"/>
      <c r="CBX65" s="0"/>
      <c r="CBY65" s="0"/>
      <c r="CBZ65" s="0"/>
      <c r="CCA65" s="0"/>
      <c r="CCB65" s="0"/>
      <c r="CCC65" s="0"/>
      <c r="CCD65" s="0"/>
      <c r="CCE65" s="0"/>
      <c r="CCF65" s="0"/>
      <c r="CCG65" s="0"/>
      <c r="CCH65" s="0"/>
      <c r="CCI65" s="0"/>
      <c r="CCJ65" s="0"/>
      <c r="CCK65" s="0"/>
      <c r="CCL65" s="0"/>
      <c r="CCM65" s="0"/>
      <c r="CCN65" s="0"/>
      <c r="CCO65" s="0"/>
      <c r="CCP65" s="0"/>
      <c r="CCQ65" s="0"/>
      <c r="CCR65" s="0"/>
      <c r="CCS65" s="0"/>
      <c r="CCT65" s="0"/>
      <c r="CCU65" s="0"/>
      <c r="CCV65" s="0"/>
      <c r="CCW65" s="0"/>
      <c r="CCX65" s="0"/>
      <c r="CCY65" s="0"/>
      <c r="CCZ65" s="0"/>
      <c r="CDA65" s="0"/>
      <c r="CDB65" s="0"/>
      <c r="CDC65" s="0"/>
      <c r="CDD65" s="0"/>
      <c r="CDE65" s="0"/>
      <c r="CDF65" s="0"/>
      <c r="CDG65" s="0"/>
      <c r="CDH65" s="0"/>
      <c r="CDI65" s="0"/>
      <c r="CDJ65" s="0"/>
      <c r="CDK65" s="0"/>
      <c r="CDL65" s="0"/>
      <c r="CDM65" s="0"/>
      <c r="CDN65" s="0"/>
      <c r="CDO65" s="0"/>
      <c r="CDP65" s="0"/>
      <c r="CDQ65" s="0"/>
      <c r="CDR65" s="0"/>
      <c r="CDS65" s="0"/>
      <c r="CDT65" s="0"/>
      <c r="CDU65" s="0"/>
      <c r="CDV65" s="0"/>
      <c r="CDW65" s="0"/>
      <c r="CDX65" s="0"/>
      <c r="CDY65" s="0"/>
      <c r="CDZ65" s="0"/>
      <c r="CEA65" s="0"/>
      <c r="CEB65" s="0"/>
      <c r="CEC65" s="0"/>
      <c r="CED65" s="0"/>
      <c r="CEE65" s="0"/>
      <c r="CEF65" s="0"/>
      <c r="CEG65" s="0"/>
      <c r="CEH65" s="0"/>
      <c r="CEI65" s="0"/>
      <c r="CEJ65" s="0"/>
      <c r="CEK65" s="0"/>
      <c r="CEL65" s="0"/>
      <c r="CEM65" s="0"/>
      <c r="CEN65" s="0"/>
      <c r="CEO65" s="0"/>
      <c r="CEP65" s="0"/>
      <c r="CEQ65" s="0"/>
      <c r="CER65" s="0"/>
      <c r="CES65" s="0"/>
      <c r="CET65" s="0"/>
      <c r="CEU65" s="0"/>
      <c r="CEV65" s="0"/>
      <c r="CEW65" s="0"/>
      <c r="CEX65" s="0"/>
      <c r="CEY65" s="0"/>
      <c r="CEZ65" s="0"/>
      <c r="CFA65" s="0"/>
      <c r="CFB65" s="0"/>
      <c r="CFC65" s="0"/>
      <c r="CFD65" s="0"/>
      <c r="CFE65" s="0"/>
      <c r="CFF65" s="0"/>
      <c r="CFG65" s="0"/>
      <c r="CFH65" s="0"/>
      <c r="CFI65" s="0"/>
      <c r="CFJ65" s="0"/>
      <c r="CFK65" s="0"/>
      <c r="CFL65" s="0"/>
      <c r="CFM65" s="0"/>
      <c r="CFN65" s="0"/>
      <c r="CFO65" s="0"/>
      <c r="CFP65" s="0"/>
      <c r="CFQ65" s="0"/>
      <c r="CFR65" s="0"/>
      <c r="CFS65" s="0"/>
      <c r="CFT65" s="0"/>
      <c r="CFU65" s="0"/>
      <c r="CFV65" s="0"/>
      <c r="CFW65" s="0"/>
      <c r="CFX65" s="0"/>
      <c r="CFY65" s="0"/>
      <c r="CFZ65" s="0"/>
      <c r="CGA65" s="0"/>
      <c r="CGB65" s="0"/>
      <c r="CGC65" s="0"/>
      <c r="CGD65" s="0"/>
      <c r="CGE65" s="0"/>
      <c r="CGF65" s="0"/>
      <c r="CGG65" s="0"/>
      <c r="CGH65" s="0"/>
      <c r="CGI65" s="0"/>
      <c r="CGJ65" s="0"/>
      <c r="CGK65" s="0"/>
      <c r="CGL65" s="0"/>
      <c r="CGM65" s="0"/>
      <c r="CGN65" s="0"/>
      <c r="CGO65" s="0"/>
      <c r="CGP65" s="0"/>
      <c r="CGQ65" s="0"/>
      <c r="CGR65" s="0"/>
      <c r="CGS65" s="0"/>
      <c r="CGT65" s="0"/>
      <c r="CGU65" s="0"/>
      <c r="CGV65" s="0"/>
      <c r="CGW65" s="0"/>
      <c r="CGX65" s="0"/>
      <c r="CGY65" s="0"/>
      <c r="CGZ65" s="0"/>
      <c r="CHA65" s="0"/>
      <c r="CHB65" s="0"/>
      <c r="CHC65" s="0"/>
      <c r="CHD65" s="0"/>
      <c r="CHE65" s="0"/>
      <c r="CHF65" s="0"/>
      <c r="CHG65" s="0"/>
      <c r="CHH65" s="0"/>
      <c r="CHI65" s="0"/>
      <c r="CHJ65" s="0"/>
      <c r="CHK65" s="0"/>
      <c r="CHL65" s="0"/>
      <c r="CHM65" s="0"/>
      <c r="CHN65" s="0"/>
      <c r="CHO65" s="0"/>
      <c r="CHP65" s="0"/>
      <c r="CHQ65" s="0"/>
      <c r="CHR65" s="0"/>
      <c r="CHS65" s="0"/>
      <c r="CHT65" s="0"/>
      <c r="CHU65" s="0"/>
      <c r="CHV65" s="0"/>
      <c r="CHW65" s="0"/>
      <c r="CHX65" s="0"/>
      <c r="CHY65" s="0"/>
      <c r="CHZ65" s="0"/>
      <c r="CIA65" s="0"/>
      <c r="CIB65" s="0"/>
      <c r="CIC65" s="0"/>
      <c r="CID65" s="0"/>
      <c r="CIE65" s="0"/>
      <c r="CIF65" s="0"/>
      <c r="CIG65" s="0"/>
      <c r="CIH65" s="0"/>
      <c r="CII65" s="0"/>
      <c r="CIJ65" s="0"/>
      <c r="CIK65" s="0"/>
      <c r="CIL65" s="0"/>
      <c r="CIM65" s="0"/>
      <c r="CIN65" s="0"/>
      <c r="CIO65" s="0"/>
      <c r="CIP65" s="0"/>
      <c r="CIQ65" s="0"/>
      <c r="CIR65" s="0"/>
      <c r="CIS65" s="0"/>
      <c r="CIT65" s="0"/>
      <c r="CIU65" s="0"/>
      <c r="CIV65" s="0"/>
      <c r="CIW65" s="0"/>
      <c r="CIX65" s="0"/>
      <c r="CIY65" s="0"/>
      <c r="CIZ65" s="0"/>
      <c r="CJA65" s="0"/>
      <c r="CJB65" s="0"/>
      <c r="CJC65" s="0"/>
      <c r="CJD65" s="0"/>
      <c r="CJE65" s="0"/>
      <c r="CJF65" s="0"/>
      <c r="CJG65" s="0"/>
      <c r="CJH65" s="0"/>
      <c r="CJI65" s="0"/>
      <c r="CJJ65" s="0"/>
      <c r="CJK65" s="0"/>
      <c r="CJL65" s="0"/>
      <c r="CJM65" s="0"/>
      <c r="CJN65" s="0"/>
      <c r="CJO65" s="0"/>
      <c r="CJP65" s="0"/>
      <c r="CJQ65" s="0"/>
      <c r="CJR65" s="0"/>
      <c r="CJS65" s="0"/>
      <c r="CJT65" s="0"/>
      <c r="CJU65" s="0"/>
      <c r="CJV65" s="0"/>
      <c r="CJW65" s="0"/>
      <c r="CJX65" s="0"/>
      <c r="CJY65" s="0"/>
      <c r="CJZ65" s="0"/>
      <c r="CKA65" s="0"/>
      <c r="CKB65" s="0"/>
      <c r="CKC65" s="0"/>
      <c r="CKD65" s="0"/>
      <c r="CKE65" s="0"/>
      <c r="CKF65" s="0"/>
      <c r="CKG65" s="0"/>
      <c r="CKH65" s="0"/>
      <c r="CKI65" s="0"/>
      <c r="CKJ65" s="0"/>
      <c r="CKK65" s="0"/>
      <c r="CKL65" s="0"/>
      <c r="CKM65" s="0"/>
      <c r="CKN65" s="0"/>
      <c r="CKO65" s="0"/>
      <c r="CKP65" s="0"/>
      <c r="CKQ65" s="0"/>
      <c r="CKR65" s="0"/>
      <c r="CKS65" s="0"/>
      <c r="CKT65" s="0"/>
      <c r="CKU65" s="0"/>
      <c r="CKV65" s="0"/>
      <c r="CKW65" s="0"/>
      <c r="CKX65" s="0"/>
      <c r="CKY65" s="0"/>
      <c r="CKZ65" s="0"/>
      <c r="CLA65" s="0"/>
      <c r="CLB65" s="0"/>
      <c r="CLC65" s="0"/>
      <c r="CLD65" s="0"/>
      <c r="CLE65" s="0"/>
      <c r="CLF65" s="0"/>
      <c r="CLG65" s="0"/>
      <c r="CLH65" s="0"/>
      <c r="CLI65" s="0"/>
      <c r="CLJ65" s="0"/>
      <c r="CLK65" s="0"/>
      <c r="CLL65" s="0"/>
      <c r="CLM65" s="0"/>
      <c r="CLN65" s="0"/>
      <c r="CLO65" s="0"/>
      <c r="CLP65" s="0"/>
      <c r="CLQ65" s="0"/>
      <c r="CLR65" s="0"/>
      <c r="CLS65" s="0"/>
      <c r="CLT65" s="0"/>
      <c r="CLU65" s="0"/>
      <c r="CLV65" s="0"/>
      <c r="CLW65" s="0"/>
      <c r="CLX65" s="0"/>
      <c r="CLY65" s="0"/>
      <c r="CLZ65" s="0"/>
      <c r="CMA65" s="0"/>
      <c r="CMB65" s="0"/>
      <c r="CMC65" s="0"/>
      <c r="CMD65" s="0"/>
      <c r="CME65" s="0"/>
      <c r="CMF65" s="0"/>
      <c r="CMG65" s="0"/>
      <c r="CMH65" s="0"/>
      <c r="CMI65" s="0"/>
      <c r="CMJ65" s="0"/>
      <c r="CMK65" s="0"/>
      <c r="CML65" s="0"/>
      <c r="CMM65" s="0"/>
      <c r="CMN65" s="0"/>
      <c r="CMO65" s="0"/>
      <c r="CMP65" s="0"/>
      <c r="CMQ65" s="0"/>
      <c r="CMR65" s="0"/>
      <c r="CMS65" s="0"/>
      <c r="CMT65" s="0"/>
      <c r="CMU65" s="0"/>
      <c r="CMV65" s="0"/>
      <c r="CMW65" s="0"/>
      <c r="CMX65" s="0"/>
      <c r="CMY65" s="0"/>
      <c r="CMZ65" s="0"/>
      <c r="CNA65" s="0"/>
      <c r="CNB65" s="0"/>
      <c r="CNC65" s="0"/>
      <c r="CND65" s="0"/>
      <c r="CNE65" s="0"/>
      <c r="CNF65" s="0"/>
      <c r="CNG65" s="0"/>
      <c r="CNH65" s="0"/>
      <c r="CNI65" s="0"/>
      <c r="CNJ65" s="0"/>
      <c r="CNK65" s="0"/>
      <c r="CNL65" s="0"/>
      <c r="CNM65" s="0"/>
      <c r="CNN65" s="0"/>
      <c r="CNO65" s="0"/>
      <c r="CNP65" s="0"/>
      <c r="CNQ65" s="0"/>
      <c r="CNR65" s="0"/>
      <c r="CNS65" s="0"/>
      <c r="CNT65" s="0"/>
      <c r="CNU65" s="0"/>
      <c r="CNV65" s="0"/>
      <c r="CNW65" s="0"/>
      <c r="CNX65" s="0"/>
      <c r="CNY65" s="0"/>
      <c r="CNZ65" s="0"/>
      <c r="COA65" s="0"/>
      <c r="COB65" s="0"/>
      <c r="COC65" s="0"/>
      <c r="COD65" s="0"/>
      <c r="COE65" s="0"/>
      <c r="COF65" s="0"/>
      <c r="COG65" s="0"/>
      <c r="COH65" s="0"/>
      <c r="COI65" s="0"/>
      <c r="COJ65" s="0"/>
      <c r="COK65" s="0"/>
      <c r="COL65" s="0"/>
      <c r="COM65" s="0"/>
      <c r="CON65" s="0"/>
      <c r="COO65" s="0"/>
      <c r="COP65" s="0"/>
      <c r="COQ65" s="0"/>
      <c r="COR65" s="0"/>
      <c r="COS65" s="0"/>
      <c r="COT65" s="0"/>
      <c r="COU65" s="0"/>
      <c r="COV65" s="0"/>
      <c r="COW65" s="0"/>
      <c r="COX65" s="0"/>
      <c r="COY65" s="0"/>
      <c r="COZ65" s="0"/>
      <c r="CPA65" s="0"/>
      <c r="CPB65" s="0"/>
      <c r="CPC65" s="0"/>
      <c r="CPD65" s="0"/>
      <c r="CPE65" s="0"/>
      <c r="CPF65" s="0"/>
      <c r="CPG65" s="0"/>
      <c r="CPH65" s="0"/>
      <c r="CPI65" s="0"/>
      <c r="CPJ65" s="0"/>
      <c r="CPK65" s="0"/>
      <c r="CPL65" s="0"/>
      <c r="CPM65" s="0"/>
      <c r="CPN65" s="0"/>
      <c r="CPO65" s="0"/>
      <c r="CPP65" s="0"/>
      <c r="CPQ65" s="0"/>
      <c r="CPR65" s="0"/>
      <c r="CPS65" s="0"/>
      <c r="CPT65" s="0"/>
      <c r="CPU65" s="0"/>
      <c r="CPV65" s="0"/>
      <c r="CPW65" s="0"/>
      <c r="CPX65" s="0"/>
      <c r="CPY65" s="0"/>
      <c r="CPZ65" s="0"/>
      <c r="CQA65" s="0"/>
      <c r="CQB65" s="0"/>
      <c r="CQC65" s="0"/>
      <c r="CQD65" s="0"/>
      <c r="CQE65" s="0"/>
      <c r="CQF65" s="0"/>
      <c r="CQG65" s="0"/>
      <c r="CQH65" s="0"/>
      <c r="CQI65" s="0"/>
      <c r="CQJ65" s="0"/>
      <c r="CQK65" s="0"/>
      <c r="CQL65" s="0"/>
      <c r="CQM65" s="0"/>
      <c r="CQN65" s="0"/>
      <c r="CQO65" s="0"/>
      <c r="CQP65" s="0"/>
      <c r="CQQ65" s="0"/>
      <c r="CQR65" s="0"/>
      <c r="CQS65" s="0"/>
      <c r="CQT65" s="0"/>
      <c r="CQU65" s="0"/>
      <c r="CQV65" s="0"/>
      <c r="CQW65" s="0"/>
      <c r="CQX65" s="0"/>
      <c r="CQY65" s="0"/>
      <c r="CQZ65" s="0"/>
      <c r="CRA65" s="0"/>
      <c r="CRB65" s="0"/>
      <c r="CRC65" s="0"/>
      <c r="CRD65" s="0"/>
      <c r="CRE65" s="0"/>
      <c r="CRF65" s="0"/>
      <c r="CRG65" s="0"/>
      <c r="CRH65" s="0"/>
      <c r="CRI65" s="0"/>
      <c r="CRJ65" s="0"/>
      <c r="CRK65" s="0"/>
      <c r="CRL65" s="0"/>
      <c r="CRM65" s="0"/>
      <c r="CRN65" s="0"/>
      <c r="CRO65" s="0"/>
      <c r="CRP65" s="0"/>
      <c r="CRQ65" s="0"/>
      <c r="CRR65" s="0"/>
      <c r="CRS65" s="0"/>
      <c r="CRT65" s="0"/>
      <c r="CRU65" s="0"/>
      <c r="CRV65" s="0"/>
      <c r="CRW65" s="0"/>
      <c r="CRX65" s="0"/>
      <c r="CRY65" s="0"/>
      <c r="CRZ65" s="0"/>
      <c r="CSA65" s="0"/>
      <c r="CSB65" s="0"/>
      <c r="CSC65" s="0"/>
      <c r="CSD65" s="0"/>
      <c r="CSE65" s="0"/>
      <c r="CSF65" s="0"/>
      <c r="CSG65" s="0"/>
      <c r="CSH65" s="0"/>
      <c r="CSI65" s="0"/>
      <c r="CSJ65" s="0"/>
      <c r="CSK65" s="0"/>
      <c r="CSL65" s="0"/>
      <c r="CSM65" s="0"/>
      <c r="CSN65" s="0"/>
      <c r="CSO65" s="0"/>
      <c r="CSP65" s="0"/>
      <c r="CSQ65" s="0"/>
      <c r="CSR65" s="0"/>
      <c r="CSS65" s="0"/>
      <c r="CST65" s="0"/>
      <c r="CSU65" s="0"/>
      <c r="CSV65" s="0"/>
      <c r="CSW65" s="0"/>
      <c r="CSX65" s="0"/>
      <c r="CSY65" s="0"/>
      <c r="CSZ65" s="0"/>
      <c r="CTA65" s="0"/>
      <c r="CTB65" s="0"/>
      <c r="CTC65" s="0"/>
      <c r="CTD65" s="0"/>
      <c r="CTE65" s="0"/>
      <c r="CTF65" s="0"/>
      <c r="CTG65" s="0"/>
      <c r="CTH65" s="0"/>
      <c r="CTI65" s="0"/>
      <c r="CTJ65" s="0"/>
      <c r="CTK65" s="0"/>
      <c r="CTL65" s="0"/>
      <c r="CTM65" s="0"/>
      <c r="CTN65" s="0"/>
      <c r="CTO65" s="0"/>
      <c r="CTP65" s="0"/>
      <c r="CTQ65" s="0"/>
      <c r="CTR65" s="0"/>
      <c r="CTS65" s="0"/>
      <c r="CTT65" s="0"/>
      <c r="CTU65" s="0"/>
      <c r="CTV65" s="0"/>
      <c r="CTW65" s="0"/>
      <c r="CTX65" s="0"/>
      <c r="CTY65" s="0"/>
      <c r="CTZ65" s="0"/>
      <c r="CUA65" s="0"/>
      <c r="CUB65" s="0"/>
      <c r="CUC65" s="0"/>
      <c r="CUD65" s="0"/>
      <c r="CUE65" s="0"/>
      <c r="CUF65" s="0"/>
      <c r="CUG65" s="0"/>
      <c r="CUH65" s="0"/>
      <c r="CUI65" s="0"/>
      <c r="CUJ65" s="0"/>
      <c r="CUK65" s="0"/>
      <c r="CUL65" s="0"/>
      <c r="CUM65" s="0"/>
      <c r="CUN65" s="0"/>
      <c r="CUO65" s="0"/>
      <c r="CUP65" s="0"/>
      <c r="CUQ65" s="0"/>
      <c r="CUR65" s="0"/>
      <c r="CUS65" s="0"/>
      <c r="CUT65" s="0"/>
      <c r="CUU65" s="0"/>
      <c r="CUV65" s="0"/>
      <c r="CUW65" s="0"/>
      <c r="CUX65" s="0"/>
      <c r="CUY65" s="0"/>
      <c r="CUZ65" s="0"/>
      <c r="CVA65" s="0"/>
      <c r="CVB65" s="0"/>
      <c r="CVC65" s="0"/>
      <c r="CVD65" s="0"/>
      <c r="CVE65" s="0"/>
      <c r="CVF65" s="0"/>
      <c r="CVG65" s="0"/>
      <c r="CVH65" s="0"/>
      <c r="CVI65" s="0"/>
      <c r="CVJ65" s="0"/>
      <c r="CVK65" s="0"/>
      <c r="CVL65" s="0"/>
      <c r="CVM65" s="0"/>
      <c r="CVN65" s="0"/>
      <c r="CVO65" s="0"/>
      <c r="CVP65" s="0"/>
      <c r="CVQ65" s="0"/>
      <c r="CVR65" s="0"/>
      <c r="CVS65" s="0"/>
      <c r="CVT65" s="0"/>
      <c r="CVU65" s="0"/>
      <c r="CVV65" s="0"/>
      <c r="CVW65" s="0"/>
      <c r="CVX65" s="0"/>
      <c r="CVY65" s="0"/>
      <c r="CVZ65" s="0"/>
      <c r="CWA65" s="0"/>
      <c r="CWB65" s="0"/>
      <c r="CWC65" s="0"/>
      <c r="CWD65" s="0"/>
      <c r="CWE65" s="0"/>
      <c r="CWF65" s="0"/>
      <c r="CWG65" s="0"/>
      <c r="CWH65" s="0"/>
      <c r="CWI65" s="0"/>
      <c r="CWJ65" s="0"/>
      <c r="CWK65" s="0"/>
      <c r="CWL65" s="0"/>
      <c r="CWM65" s="0"/>
      <c r="CWN65" s="0"/>
      <c r="CWO65" s="0"/>
      <c r="CWP65" s="0"/>
      <c r="CWQ65" s="0"/>
      <c r="CWR65" s="0"/>
      <c r="CWS65" s="0"/>
      <c r="CWT65" s="0"/>
      <c r="CWU65" s="0"/>
      <c r="CWV65" s="0"/>
      <c r="CWW65" s="0"/>
      <c r="CWX65" s="0"/>
      <c r="CWY65" s="0"/>
      <c r="CWZ65" s="0"/>
      <c r="CXA65" s="0"/>
      <c r="CXB65" s="0"/>
      <c r="CXC65" s="0"/>
      <c r="CXD65" s="0"/>
      <c r="CXE65" s="0"/>
      <c r="CXF65" s="0"/>
      <c r="CXG65" s="0"/>
      <c r="CXH65" s="0"/>
      <c r="CXI65" s="0"/>
      <c r="CXJ65" s="0"/>
      <c r="CXK65" s="0"/>
      <c r="CXL65" s="0"/>
      <c r="CXM65" s="0"/>
      <c r="CXN65" s="0"/>
      <c r="CXO65" s="0"/>
      <c r="CXP65" s="0"/>
      <c r="CXQ65" s="0"/>
      <c r="CXR65" s="0"/>
      <c r="CXS65" s="0"/>
      <c r="CXT65" s="0"/>
      <c r="CXU65" s="0"/>
      <c r="CXV65" s="0"/>
      <c r="CXW65" s="0"/>
      <c r="CXX65" s="0"/>
      <c r="CXY65" s="0"/>
      <c r="CXZ65" s="0"/>
      <c r="CYA65" s="0"/>
      <c r="CYB65" s="0"/>
      <c r="CYC65" s="0"/>
      <c r="CYD65" s="0"/>
      <c r="CYE65" s="0"/>
      <c r="CYF65" s="0"/>
      <c r="CYG65" s="0"/>
      <c r="CYH65" s="0"/>
      <c r="CYI65" s="0"/>
      <c r="CYJ65" s="0"/>
      <c r="CYK65" s="0"/>
      <c r="CYL65" s="0"/>
      <c r="CYM65" s="0"/>
      <c r="CYN65" s="0"/>
      <c r="CYO65" s="0"/>
      <c r="CYP65" s="0"/>
      <c r="CYQ65" s="0"/>
      <c r="CYR65" s="0"/>
      <c r="CYS65" s="0"/>
      <c r="CYT65" s="0"/>
      <c r="CYU65" s="0"/>
      <c r="CYV65" s="0"/>
      <c r="CYW65" s="0"/>
      <c r="CYX65" s="0"/>
      <c r="CYY65" s="0"/>
      <c r="CYZ65" s="0"/>
      <c r="CZA65" s="0"/>
      <c r="CZB65" s="0"/>
      <c r="CZC65" s="0"/>
      <c r="CZD65" s="0"/>
      <c r="CZE65" s="0"/>
      <c r="CZF65" s="0"/>
      <c r="CZG65" s="0"/>
      <c r="CZH65" s="0"/>
      <c r="CZI65" s="0"/>
      <c r="CZJ65" s="0"/>
      <c r="CZK65" s="0"/>
      <c r="CZL65" s="0"/>
      <c r="CZM65" s="0"/>
      <c r="CZN65" s="0"/>
      <c r="CZO65" s="0"/>
      <c r="CZP65" s="0"/>
      <c r="CZQ65" s="0"/>
      <c r="CZR65" s="0"/>
      <c r="CZS65" s="0"/>
      <c r="CZT65" s="0"/>
      <c r="CZU65" s="0"/>
      <c r="CZV65" s="0"/>
      <c r="CZW65" s="0"/>
      <c r="CZX65" s="0"/>
      <c r="CZY65" s="0"/>
      <c r="CZZ65" s="0"/>
      <c r="DAA65" s="0"/>
      <c r="DAB65" s="0"/>
      <c r="DAC65" s="0"/>
      <c r="DAD65" s="0"/>
      <c r="DAE65" s="0"/>
      <c r="DAF65" s="0"/>
      <c r="DAG65" s="0"/>
      <c r="DAH65" s="0"/>
      <c r="DAI65" s="0"/>
      <c r="DAJ65" s="0"/>
      <c r="DAK65" s="0"/>
      <c r="DAL65" s="0"/>
      <c r="DAM65" s="0"/>
      <c r="DAN65" s="0"/>
      <c r="DAO65" s="0"/>
      <c r="DAP65" s="0"/>
      <c r="DAQ65" s="0"/>
      <c r="DAR65" s="0"/>
      <c r="DAS65" s="0"/>
      <c r="DAT65" s="0"/>
      <c r="DAU65" s="0"/>
      <c r="DAV65" s="0"/>
      <c r="DAW65" s="0"/>
      <c r="DAX65" s="0"/>
      <c r="DAY65" s="0"/>
      <c r="DAZ65" s="0"/>
      <c r="DBA65" s="0"/>
      <c r="DBB65" s="0"/>
      <c r="DBC65" s="0"/>
      <c r="DBD65" s="0"/>
      <c r="DBE65" s="0"/>
      <c r="DBF65" s="0"/>
      <c r="DBG65" s="0"/>
      <c r="DBH65" s="0"/>
      <c r="DBI65" s="0"/>
      <c r="DBJ65" s="0"/>
      <c r="DBK65" s="0"/>
      <c r="DBL65" s="0"/>
      <c r="DBM65" s="0"/>
      <c r="DBN65" s="0"/>
      <c r="DBO65" s="0"/>
      <c r="DBP65" s="0"/>
      <c r="DBQ65" s="0"/>
      <c r="DBR65" s="0"/>
      <c r="DBS65" s="0"/>
      <c r="DBT65" s="0"/>
      <c r="DBU65" s="0"/>
      <c r="DBV65" s="0"/>
      <c r="DBW65" s="0"/>
      <c r="DBX65" s="0"/>
      <c r="DBY65" s="0"/>
      <c r="DBZ65" s="0"/>
      <c r="DCA65" s="0"/>
      <c r="DCB65" s="0"/>
      <c r="DCC65" s="0"/>
      <c r="DCD65" s="0"/>
      <c r="DCE65" s="0"/>
      <c r="DCF65" s="0"/>
      <c r="DCG65" s="0"/>
      <c r="DCH65" s="0"/>
      <c r="DCI65" s="0"/>
      <c r="DCJ65" s="0"/>
      <c r="DCK65" s="0"/>
      <c r="DCL65" s="0"/>
      <c r="DCM65" s="0"/>
      <c r="DCN65" s="0"/>
      <c r="DCO65" s="0"/>
      <c r="DCP65" s="0"/>
      <c r="DCQ65" s="0"/>
      <c r="DCR65" s="0"/>
      <c r="DCS65" s="0"/>
      <c r="DCT65" s="0"/>
      <c r="DCU65" s="0"/>
      <c r="DCV65" s="0"/>
      <c r="DCW65" s="0"/>
      <c r="DCX65" s="0"/>
      <c r="DCY65" s="0"/>
      <c r="DCZ65" s="0"/>
      <c r="DDA65" s="0"/>
      <c r="DDB65" s="0"/>
      <c r="DDC65" s="0"/>
      <c r="DDD65" s="0"/>
      <c r="DDE65" s="0"/>
      <c r="DDF65" s="0"/>
      <c r="DDG65" s="0"/>
      <c r="DDH65" s="0"/>
      <c r="DDI65" s="0"/>
      <c r="DDJ65" s="0"/>
      <c r="DDK65" s="0"/>
      <c r="DDL65" s="0"/>
      <c r="DDM65" s="0"/>
      <c r="DDN65" s="0"/>
      <c r="DDO65" s="0"/>
      <c r="DDP65" s="0"/>
      <c r="DDQ65" s="0"/>
      <c r="DDR65" s="0"/>
      <c r="DDS65" s="0"/>
      <c r="DDT65" s="0"/>
      <c r="DDU65" s="0"/>
      <c r="DDV65" s="0"/>
      <c r="DDW65" s="0"/>
      <c r="DDX65" s="0"/>
      <c r="DDY65" s="0"/>
      <c r="DDZ65" s="0"/>
      <c r="DEA65" s="0"/>
      <c r="DEB65" s="0"/>
      <c r="DEC65" s="0"/>
      <c r="DED65" s="0"/>
      <c r="DEE65" s="0"/>
      <c r="DEF65" s="0"/>
      <c r="DEG65" s="0"/>
      <c r="DEH65" s="0"/>
      <c r="DEI65" s="0"/>
      <c r="DEJ65" s="0"/>
      <c r="DEK65" s="0"/>
      <c r="DEL65" s="0"/>
      <c r="DEM65" s="0"/>
      <c r="DEN65" s="0"/>
      <c r="DEO65" s="0"/>
      <c r="DEP65" s="0"/>
      <c r="DEQ65" s="0"/>
      <c r="DER65" s="0"/>
      <c r="DES65" s="0"/>
      <c r="DET65" s="0"/>
      <c r="DEU65" s="0"/>
      <c r="DEV65" s="0"/>
      <c r="DEW65" s="0"/>
      <c r="DEX65" s="0"/>
      <c r="DEY65" s="0"/>
      <c r="DEZ65" s="0"/>
      <c r="DFA65" s="0"/>
      <c r="DFB65" s="0"/>
      <c r="DFC65" s="0"/>
      <c r="DFD65" s="0"/>
      <c r="DFE65" s="0"/>
      <c r="DFF65" s="0"/>
      <c r="DFG65" s="0"/>
      <c r="DFH65" s="0"/>
      <c r="DFI65" s="0"/>
      <c r="DFJ65" s="0"/>
      <c r="DFK65" s="0"/>
      <c r="DFL65" s="0"/>
      <c r="DFM65" s="0"/>
      <c r="DFN65" s="0"/>
      <c r="DFO65" s="0"/>
      <c r="DFP65" s="0"/>
      <c r="DFQ65" s="0"/>
      <c r="DFR65" s="0"/>
      <c r="DFS65" s="0"/>
      <c r="DFT65" s="0"/>
      <c r="DFU65" s="0"/>
      <c r="DFV65" s="0"/>
      <c r="DFW65" s="0"/>
      <c r="DFX65" s="0"/>
      <c r="DFY65" s="0"/>
      <c r="DFZ65" s="0"/>
      <c r="DGA65" s="0"/>
      <c r="DGB65" s="0"/>
      <c r="DGC65" s="0"/>
      <c r="DGD65" s="0"/>
      <c r="DGE65" s="0"/>
      <c r="DGF65" s="0"/>
      <c r="DGG65" s="0"/>
      <c r="DGH65" s="0"/>
      <c r="DGI65" s="0"/>
      <c r="DGJ65" s="0"/>
      <c r="DGK65" s="0"/>
      <c r="DGL65" s="0"/>
      <c r="DGM65" s="0"/>
      <c r="DGN65" s="0"/>
      <c r="DGO65" s="0"/>
      <c r="DGP65" s="0"/>
      <c r="DGQ65" s="0"/>
      <c r="DGR65" s="0"/>
      <c r="DGS65" s="0"/>
      <c r="DGT65" s="0"/>
      <c r="DGU65" s="0"/>
      <c r="DGV65" s="0"/>
      <c r="DGW65" s="0"/>
      <c r="DGX65" s="0"/>
      <c r="DGY65" s="0"/>
      <c r="DGZ65" s="0"/>
      <c r="DHA65" s="0"/>
      <c r="DHB65" s="0"/>
      <c r="DHC65" s="0"/>
      <c r="DHD65" s="0"/>
      <c r="DHE65" s="0"/>
      <c r="DHF65" s="0"/>
      <c r="DHG65" s="0"/>
      <c r="DHH65" s="0"/>
      <c r="DHI65" s="0"/>
      <c r="DHJ65" s="0"/>
      <c r="DHK65" s="0"/>
      <c r="DHL65" s="0"/>
      <c r="DHM65" s="0"/>
      <c r="DHN65" s="0"/>
      <c r="DHO65" s="0"/>
      <c r="DHP65" s="0"/>
      <c r="DHQ65" s="0"/>
      <c r="DHR65" s="0"/>
      <c r="DHS65" s="0"/>
      <c r="DHT65" s="0"/>
      <c r="DHU65" s="0"/>
      <c r="DHV65" s="0"/>
      <c r="DHW65" s="0"/>
      <c r="DHX65" s="0"/>
      <c r="DHY65" s="0"/>
      <c r="DHZ65" s="0"/>
      <c r="DIA65" s="0"/>
      <c r="DIB65" s="0"/>
      <c r="DIC65" s="0"/>
      <c r="DID65" s="0"/>
      <c r="DIE65" s="0"/>
      <c r="DIF65" s="0"/>
      <c r="DIG65" s="0"/>
      <c r="DIH65" s="0"/>
      <c r="DII65" s="0"/>
      <c r="DIJ65" s="0"/>
      <c r="DIK65" s="0"/>
      <c r="DIL65" s="0"/>
      <c r="DIM65" s="0"/>
      <c r="DIN65" s="0"/>
      <c r="DIO65" s="0"/>
      <c r="DIP65" s="0"/>
      <c r="DIQ65" s="0"/>
      <c r="DIR65" s="0"/>
      <c r="DIS65" s="0"/>
      <c r="DIT65" s="0"/>
      <c r="DIU65" s="0"/>
      <c r="DIV65" s="0"/>
      <c r="DIW65" s="0"/>
      <c r="DIX65" s="0"/>
      <c r="DIY65" s="0"/>
      <c r="DIZ65" s="0"/>
      <c r="DJA65" s="0"/>
      <c r="DJB65" s="0"/>
      <c r="DJC65" s="0"/>
      <c r="DJD65" s="0"/>
      <c r="DJE65" s="0"/>
      <c r="DJF65" s="0"/>
      <c r="DJG65" s="0"/>
      <c r="DJH65" s="0"/>
      <c r="DJI65" s="0"/>
      <c r="DJJ65" s="0"/>
      <c r="DJK65" s="0"/>
      <c r="DJL65" s="0"/>
      <c r="DJM65" s="0"/>
      <c r="DJN65" s="0"/>
      <c r="DJO65" s="0"/>
      <c r="DJP65" s="0"/>
      <c r="DJQ65" s="0"/>
      <c r="DJR65" s="0"/>
      <c r="DJS65" s="0"/>
      <c r="DJT65" s="0"/>
      <c r="DJU65" s="0"/>
      <c r="DJV65" s="0"/>
      <c r="DJW65" s="0"/>
      <c r="DJX65" s="0"/>
      <c r="DJY65" s="0"/>
      <c r="DJZ65" s="0"/>
      <c r="DKA65" s="0"/>
      <c r="DKB65" s="0"/>
      <c r="DKC65" s="0"/>
      <c r="DKD65" s="0"/>
      <c r="DKE65" s="0"/>
      <c r="DKF65" s="0"/>
      <c r="DKG65" s="0"/>
      <c r="DKH65" s="0"/>
      <c r="DKI65" s="0"/>
      <c r="DKJ65" s="0"/>
      <c r="DKK65" s="0"/>
      <c r="DKL65" s="0"/>
      <c r="DKM65" s="0"/>
      <c r="DKN65" s="0"/>
      <c r="DKO65" s="0"/>
      <c r="DKP65" s="0"/>
      <c r="DKQ65" s="0"/>
      <c r="DKR65" s="0"/>
      <c r="DKS65" s="0"/>
      <c r="DKT65" s="0"/>
      <c r="DKU65" s="0"/>
      <c r="DKV65" s="0"/>
      <c r="DKW65" s="0"/>
      <c r="DKX65" s="0"/>
      <c r="DKY65" s="0"/>
      <c r="DKZ65" s="0"/>
      <c r="DLA65" s="0"/>
      <c r="DLB65" s="0"/>
      <c r="DLC65" s="0"/>
      <c r="DLD65" s="0"/>
      <c r="DLE65" s="0"/>
      <c r="DLF65" s="0"/>
      <c r="DLG65" s="0"/>
      <c r="DLH65" s="0"/>
      <c r="DLI65" s="0"/>
      <c r="DLJ65" s="0"/>
      <c r="DLK65" s="0"/>
      <c r="DLL65" s="0"/>
      <c r="DLM65" s="0"/>
      <c r="DLN65" s="0"/>
      <c r="DLO65" s="0"/>
      <c r="DLP65" s="0"/>
      <c r="DLQ65" s="0"/>
      <c r="DLR65" s="0"/>
      <c r="DLS65" s="0"/>
      <c r="DLT65" s="0"/>
      <c r="DLU65" s="0"/>
      <c r="DLV65" s="0"/>
      <c r="DLW65" s="0"/>
      <c r="DLX65" s="0"/>
      <c r="DLY65" s="0"/>
      <c r="DLZ65" s="0"/>
      <c r="DMA65" s="0"/>
      <c r="DMB65" s="0"/>
      <c r="DMC65" s="0"/>
      <c r="DMD65" s="0"/>
      <c r="DME65" s="0"/>
      <c r="DMF65" s="0"/>
      <c r="DMG65" s="0"/>
      <c r="DMH65" s="0"/>
      <c r="DMI65" s="0"/>
      <c r="DMJ65" s="0"/>
      <c r="DMK65" s="0"/>
      <c r="DML65" s="0"/>
      <c r="DMM65" s="0"/>
      <c r="DMN65" s="0"/>
      <c r="DMO65" s="0"/>
      <c r="DMP65" s="0"/>
      <c r="DMQ65" s="0"/>
      <c r="DMR65" s="0"/>
      <c r="DMS65" s="0"/>
      <c r="DMT65" s="0"/>
      <c r="DMU65" s="0"/>
      <c r="DMV65" s="0"/>
      <c r="DMW65" s="0"/>
      <c r="DMX65" s="0"/>
      <c r="DMY65" s="0"/>
      <c r="DMZ65" s="0"/>
      <c r="DNA65" s="0"/>
      <c r="DNB65" s="0"/>
      <c r="DNC65" s="0"/>
      <c r="DND65" s="0"/>
      <c r="DNE65" s="0"/>
      <c r="DNF65" s="0"/>
      <c r="DNG65" s="0"/>
      <c r="DNH65" s="0"/>
      <c r="DNI65" s="0"/>
      <c r="DNJ65" s="0"/>
      <c r="DNK65" s="0"/>
      <c r="DNL65" s="0"/>
      <c r="DNM65" s="0"/>
      <c r="DNN65" s="0"/>
      <c r="DNO65" s="0"/>
      <c r="DNP65" s="0"/>
      <c r="DNQ65" s="0"/>
      <c r="DNR65" s="0"/>
      <c r="DNS65" s="0"/>
      <c r="DNT65" s="0"/>
      <c r="DNU65" s="0"/>
      <c r="DNV65" s="0"/>
      <c r="DNW65" s="0"/>
      <c r="DNX65" s="0"/>
      <c r="DNY65" s="0"/>
      <c r="DNZ65" s="0"/>
      <c r="DOA65" s="0"/>
      <c r="DOB65" s="0"/>
      <c r="DOC65" s="0"/>
      <c r="DOD65" s="0"/>
      <c r="DOE65" s="0"/>
      <c r="DOF65" s="0"/>
      <c r="DOG65" s="0"/>
      <c r="DOH65" s="0"/>
      <c r="DOI65" s="0"/>
      <c r="DOJ65" s="0"/>
      <c r="DOK65" s="0"/>
      <c r="DOL65" s="0"/>
      <c r="DOM65" s="0"/>
      <c r="DON65" s="0"/>
      <c r="DOO65" s="0"/>
      <c r="DOP65" s="0"/>
      <c r="DOQ65" s="0"/>
      <c r="DOR65" s="0"/>
      <c r="DOS65" s="0"/>
      <c r="DOT65" s="0"/>
      <c r="DOU65" s="0"/>
      <c r="DOV65" s="0"/>
      <c r="DOW65" s="0"/>
      <c r="DOX65" s="0"/>
      <c r="DOY65" s="0"/>
      <c r="DOZ65" s="0"/>
      <c r="DPA65" s="0"/>
      <c r="DPB65" s="0"/>
      <c r="DPC65" s="0"/>
      <c r="DPD65" s="0"/>
      <c r="DPE65" s="0"/>
      <c r="DPF65" s="0"/>
      <c r="DPG65" s="0"/>
      <c r="DPH65" s="0"/>
      <c r="DPI65" s="0"/>
      <c r="DPJ65" s="0"/>
      <c r="DPK65" s="0"/>
      <c r="DPL65" s="0"/>
      <c r="DPM65" s="0"/>
      <c r="DPN65" s="0"/>
      <c r="DPO65" s="0"/>
      <c r="DPP65" s="0"/>
      <c r="DPQ65" s="0"/>
      <c r="DPR65" s="0"/>
      <c r="DPS65" s="0"/>
      <c r="DPT65" s="0"/>
      <c r="DPU65" s="0"/>
      <c r="DPV65" s="0"/>
      <c r="DPW65" s="0"/>
      <c r="DPX65" s="0"/>
      <c r="DPY65" s="0"/>
      <c r="DPZ65" s="0"/>
      <c r="DQA65" s="0"/>
      <c r="DQB65" s="0"/>
      <c r="DQC65" s="0"/>
      <c r="DQD65" s="0"/>
      <c r="DQE65" s="0"/>
      <c r="DQF65" s="0"/>
      <c r="DQG65" s="0"/>
      <c r="DQH65" s="0"/>
      <c r="DQI65" s="0"/>
      <c r="DQJ65" s="0"/>
      <c r="DQK65" s="0"/>
      <c r="DQL65" s="0"/>
      <c r="DQM65" s="0"/>
      <c r="DQN65" s="0"/>
      <c r="DQO65" s="0"/>
      <c r="DQP65" s="0"/>
      <c r="DQQ65" s="0"/>
      <c r="DQR65" s="0"/>
      <c r="DQS65" s="0"/>
      <c r="DQT65" s="0"/>
      <c r="DQU65" s="0"/>
      <c r="DQV65" s="0"/>
      <c r="DQW65" s="0"/>
      <c r="DQX65" s="0"/>
      <c r="DQY65" s="0"/>
      <c r="DQZ65" s="0"/>
      <c r="DRA65" s="0"/>
      <c r="DRB65" s="0"/>
      <c r="DRC65" s="0"/>
      <c r="DRD65" s="0"/>
      <c r="DRE65" s="0"/>
      <c r="DRF65" s="0"/>
      <c r="DRG65" s="0"/>
      <c r="DRH65" s="0"/>
      <c r="DRI65" s="0"/>
      <c r="DRJ65" s="0"/>
      <c r="DRK65" s="0"/>
      <c r="DRL65" s="0"/>
      <c r="DRM65" s="0"/>
      <c r="DRN65" s="0"/>
      <c r="DRO65" s="0"/>
      <c r="DRP65" s="0"/>
      <c r="DRQ65" s="0"/>
      <c r="DRR65" s="0"/>
      <c r="DRS65" s="0"/>
      <c r="DRT65" s="0"/>
      <c r="DRU65" s="0"/>
      <c r="DRV65" s="0"/>
      <c r="DRW65" s="0"/>
      <c r="DRX65" s="0"/>
      <c r="DRY65" s="0"/>
      <c r="DRZ65" s="0"/>
      <c r="DSA65" s="0"/>
      <c r="DSB65" s="0"/>
      <c r="DSC65" s="0"/>
      <c r="DSD65" s="0"/>
      <c r="DSE65" s="0"/>
      <c r="DSF65" s="0"/>
      <c r="DSG65" s="0"/>
      <c r="DSH65" s="0"/>
      <c r="DSI65" s="0"/>
      <c r="DSJ65" s="0"/>
      <c r="DSK65" s="0"/>
      <c r="DSL65" s="0"/>
      <c r="DSM65" s="0"/>
      <c r="DSN65" s="0"/>
      <c r="DSO65" s="0"/>
      <c r="DSP65" s="0"/>
      <c r="DSQ65" s="0"/>
      <c r="DSR65" s="0"/>
      <c r="DSS65" s="0"/>
      <c r="DST65" s="0"/>
      <c r="DSU65" s="0"/>
      <c r="DSV65" s="0"/>
      <c r="DSW65" s="0"/>
      <c r="DSX65" s="0"/>
      <c r="DSY65" s="0"/>
      <c r="DSZ65" s="0"/>
      <c r="DTA65" s="0"/>
      <c r="DTB65" s="0"/>
      <c r="DTC65" s="0"/>
      <c r="DTD65" s="0"/>
      <c r="DTE65" s="0"/>
      <c r="DTF65" s="0"/>
      <c r="DTG65" s="0"/>
      <c r="DTH65" s="0"/>
      <c r="DTI65" s="0"/>
      <c r="DTJ65" s="0"/>
      <c r="DTK65" s="0"/>
      <c r="DTL65" s="0"/>
      <c r="DTM65" s="0"/>
      <c r="DTN65" s="0"/>
      <c r="DTO65" s="0"/>
      <c r="DTP65" s="0"/>
      <c r="DTQ65" s="0"/>
      <c r="DTR65" s="0"/>
      <c r="DTS65" s="0"/>
      <c r="DTT65" s="0"/>
      <c r="DTU65" s="0"/>
      <c r="DTV65" s="0"/>
      <c r="DTW65" s="0"/>
      <c r="DTX65" s="0"/>
      <c r="DTY65" s="0"/>
      <c r="DTZ65" s="0"/>
      <c r="DUA65" s="0"/>
      <c r="DUB65" s="0"/>
      <c r="DUC65" s="0"/>
      <c r="DUD65" s="0"/>
      <c r="DUE65" s="0"/>
      <c r="DUF65" s="0"/>
      <c r="DUG65" s="0"/>
      <c r="DUH65" s="0"/>
      <c r="DUI65" s="0"/>
      <c r="DUJ65" s="0"/>
      <c r="DUK65" s="0"/>
      <c r="DUL65" s="0"/>
      <c r="DUM65" s="0"/>
      <c r="DUN65" s="0"/>
      <c r="DUO65" s="0"/>
      <c r="DUP65" s="0"/>
      <c r="DUQ65" s="0"/>
      <c r="DUR65" s="0"/>
      <c r="DUS65" s="0"/>
      <c r="DUT65" s="0"/>
      <c r="DUU65" s="0"/>
      <c r="DUV65" s="0"/>
      <c r="DUW65" s="0"/>
      <c r="DUX65" s="0"/>
      <c r="DUY65" s="0"/>
      <c r="DUZ65" s="0"/>
      <c r="DVA65" s="0"/>
      <c r="DVB65" s="0"/>
      <c r="DVC65" s="0"/>
      <c r="DVD65" s="0"/>
      <c r="DVE65" s="0"/>
      <c r="DVF65" s="0"/>
      <c r="DVG65" s="0"/>
      <c r="DVH65" s="0"/>
      <c r="DVI65" s="0"/>
      <c r="DVJ65" s="0"/>
      <c r="DVK65" s="0"/>
      <c r="DVL65" s="0"/>
      <c r="DVM65" s="0"/>
      <c r="DVN65" s="0"/>
      <c r="DVO65" s="0"/>
      <c r="DVP65" s="0"/>
      <c r="DVQ65" s="0"/>
      <c r="DVR65" s="0"/>
      <c r="DVS65" s="0"/>
      <c r="DVT65" s="0"/>
      <c r="DVU65" s="0"/>
      <c r="DVV65" s="0"/>
      <c r="DVW65" s="0"/>
      <c r="DVX65" s="0"/>
      <c r="DVY65" s="0"/>
      <c r="DVZ65" s="0"/>
      <c r="DWA65" s="0"/>
      <c r="DWB65" s="0"/>
      <c r="DWC65" s="0"/>
      <c r="DWD65" s="0"/>
      <c r="DWE65" s="0"/>
      <c r="DWF65" s="0"/>
      <c r="DWG65" s="0"/>
      <c r="DWH65" s="0"/>
      <c r="DWI65" s="0"/>
      <c r="DWJ65" s="0"/>
      <c r="DWK65" s="0"/>
      <c r="DWL65" s="0"/>
      <c r="DWM65" s="0"/>
      <c r="DWN65" s="0"/>
      <c r="DWO65" s="0"/>
      <c r="DWP65" s="0"/>
      <c r="DWQ65" s="0"/>
      <c r="DWR65" s="0"/>
      <c r="DWS65" s="0"/>
      <c r="DWT65" s="0"/>
      <c r="DWU65" s="0"/>
      <c r="DWV65" s="0"/>
      <c r="DWW65" s="0"/>
      <c r="DWX65" s="0"/>
      <c r="DWY65" s="0"/>
      <c r="DWZ65" s="0"/>
      <c r="DXA65" s="0"/>
      <c r="DXB65" s="0"/>
      <c r="DXC65" s="0"/>
      <c r="DXD65" s="0"/>
      <c r="DXE65" s="0"/>
      <c r="DXF65" s="0"/>
      <c r="DXG65" s="0"/>
      <c r="DXH65" s="0"/>
      <c r="DXI65" s="0"/>
      <c r="DXJ65" s="0"/>
      <c r="DXK65" s="0"/>
      <c r="DXL65" s="0"/>
      <c r="DXM65" s="0"/>
      <c r="DXN65" s="0"/>
      <c r="DXO65" s="0"/>
      <c r="DXP65" s="0"/>
      <c r="DXQ65" s="0"/>
      <c r="DXR65" s="0"/>
      <c r="DXS65" s="0"/>
      <c r="DXT65" s="0"/>
      <c r="DXU65" s="0"/>
      <c r="DXV65" s="0"/>
      <c r="DXW65" s="0"/>
      <c r="DXX65" s="0"/>
      <c r="DXY65" s="0"/>
      <c r="DXZ65" s="0"/>
      <c r="DYA65" s="0"/>
      <c r="DYB65" s="0"/>
      <c r="DYC65" s="0"/>
      <c r="DYD65" s="0"/>
      <c r="DYE65" s="0"/>
      <c r="DYF65" s="0"/>
      <c r="DYG65" s="0"/>
      <c r="DYH65" s="0"/>
      <c r="DYI65" s="0"/>
      <c r="DYJ65" s="0"/>
      <c r="DYK65" s="0"/>
      <c r="DYL65" s="0"/>
      <c r="DYM65" s="0"/>
      <c r="DYN65" s="0"/>
      <c r="DYO65" s="0"/>
      <c r="DYP65" s="0"/>
      <c r="DYQ65" s="0"/>
      <c r="DYR65" s="0"/>
      <c r="DYS65" s="0"/>
      <c r="DYT65" s="0"/>
      <c r="DYU65" s="0"/>
      <c r="DYV65" s="0"/>
      <c r="DYW65" s="0"/>
      <c r="DYX65" s="0"/>
      <c r="DYY65" s="0"/>
      <c r="DYZ65" s="0"/>
      <c r="DZA65" s="0"/>
      <c r="DZB65" s="0"/>
      <c r="DZC65" s="0"/>
      <c r="DZD65" s="0"/>
      <c r="DZE65" s="0"/>
      <c r="DZF65" s="0"/>
      <c r="DZG65" s="0"/>
      <c r="DZH65" s="0"/>
      <c r="DZI65" s="0"/>
      <c r="DZJ65" s="0"/>
      <c r="DZK65" s="0"/>
      <c r="DZL65" s="0"/>
      <c r="DZM65" s="0"/>
      <c r="DZN65" s="0"/>
      <c r="DZO65" s="0"/>
      <c r="DZP65" s="0"/>
      <c r="DZQ65" s="0"/>
      <c r="DZR65" s="0"/>
      <c r="DZS65" s="0"/>
      <c r="DZT65" s="0"/>
      <c r="DZU65" s="0"/>
      <c r="DZV65" s="0"/>
      <c r="DZW65" s="0"/>
      <c r="DZX65" s="0"/>
      <c r="DZY65" s="0"/>
      <c r="DZZ65" s="0"/>
      <c r="EAA65" s="0"/>
      <c r="EAB65" s="0"/>
      <c r="EAC65" s="0"/>
      <c r="EAD65" s="0"/>
      <c r="EAE65" s="0"/>
      <c r="EAF65" s="0"/>
      <c r="EAG65" s="0"/>
      <c r="EAH65" s="0"/>
      <c r="EAI65" s="0"/>
      <c r="EAJ65" s="0"/>
      <c r="EAK65" s="0"/>
      <c r="EAL65" s="0"/>
      <c r="EAM65" s="0"/>
      <c r="EAN65" s="0"/>
      <c r="EAO65" s="0"/>
      <c r="EAP65" s="0"/>
      <c r="EAQ65" s="0"/>
      <c r="EAR65" s="0"/>
      <c r="EAS65" s="0"/>
      <c r="EAT65" s="0"/>
      <c r="EAU65" s="0"/>
      <c r="EAV65" s="0"/>
      <c r="EAW65" s="0"/>
      <c r="EAX65" s="0"/>
      <c r="EAY65" s="0"/>
      <c r="EAZ65" s="0"/>
      <c r="EBA65" s="0"/>
      <c r="EBB65" s="0"/>
      <c r="EBC65" s="0"/>
      <c r="EBD65" s="0"/>
      <c r="EBE65" s="0"/>
      <c r="EBF65" s="0"/>
      <c r="EBG65" s="0"/>
      <c r="EBH65" s="0"/>
      <c r="EBI65" s="0"/>
      <c r="EBJ65" s="0"/>
      <c r="EBK65" s="0"/>
      <c r="EBL65" s="0"/>
      <c r="EBM65" s="0"/>
      <c r="EBN65" s="0"/>
      <c r="EBO65" s="0"/>
      <c r="EBP65" s="0"/>
      <c r="EBQ65" s="0"/>
      <c r="EBR65" s="0"/>
      <c r="EBS65" s="0"/>
      <c r="EBT65" s="0"/>
      <c r="EBU65" s="0"/>
      <c r="EBV65" s="0"/>
      <c r="EBW65" s="0"/>
      <c r="EBX65" s="0"/>
      <c r="EBY65" s="0"/>
      <c r="EBZ65" s="0"/>
      <c r="ECA65" s="0"/>
      <c r="ECB65" s="0"/>
      <c r="ECC65" s="0"/>
      <c r="ECD65" s="0"/>
      <c r="ECE65" s="0"/>
      <c r="ECF65" s="0"/>
      <c r="ECG65" s="0"/>
      <c r="ECH65" s="0"/>
      <c r="ECI65" s="0"/>
      <c r="ECJ65" s="0"/>
      <c r="ECK65" s="0"/>
      <c r="ECL65" s="0"/>
      <c r="ECM65" s="0"/>
      <c r="ECN65" s="0"/>
      <c r="ECO65" s="0"/>
      <c r="ECP65" s="0"/>
      <c r="ECQ65" s="0"/>
      <c r="ECR65" s="0"/>
      <c r="ECS65" s="0"/>
      <c r="ECT65" s="0"/>
      <c r="ECU65" s="0"/>
      <c r="ECV65" s="0"/>
      <c r="ECW65" s="0"/>
      <c r="ECX65" s="0"/>
      <c r="ECY65" s="0"/>
      <c r="ECZ65" s="0"/>
      <c r="EDA65" s="0"/>
      <c r="EDB65" s="0"/>
      <c r="EDC65" s="0"/>
      <c r="EDD65" s="0"/>
      <c r="EDE65" s="0"/>
      <c r="EDF65" s="0"/>
      <c r="EDG65" s="0"/>
      <c r="EDH65" s="0"/>
      <c r="EDI65" s="0"/>
      <c r="EDJ65" s="0"/>
      <c r="EDK65" s="0"/>
      <c r="EDL65" s="0"/>
      <c r="EDM65" s="0"/>
      <c r="EDN65" s="0"/>
      <c r="EDO65" s="0"/>
      <c r="EDP65" s="0"/>
      <c r="EDQ65" s="0"/>
      <c r="EDR65" s="0"/>
      <c r="EDS65" s="0"/>
      <c r="EDT65" s="0"/>
      <c r="EDU65" s="0"/>
      <c r="EDV65" s="0"/>
      <c r="EDW65" s="0"/>
      <c r="EDX65" s="0"/>
      <c r="EDY65" s="0"/>
      <c r="EDZ65" s="0"/>
      <c r="EEA65" s="0"/>
      <c r="EEB65" s="0"/>
      <c r="EEC65" s="0"/>
      <c r="EED65" s="0"/>
      <c r="EEE65" s="0"/>
      <c r="EEF65" s="0"/>
      <c r="EEG65" s="0"/>
      <c r="EEH65" s="0"/>
      <c r="EEI65" s="0"/>
      <c r="EEJ65" s="0"/>
      <c r="EEK65" s="0"/>
      <c r="EEL65" s="0"/>
      <c r="EEM65" s="0"/>
      <c r="EEN65" s="0"/>
      <c r="EEO65" s="0"/>
      <c r="EEP65" s="0"/>
      <c r="EEQ65" s="0"/>
      <c r="EER65" s="0"/>
      <c r="EES65" s="0"/>
      <c r="EET65" s="0"/>
      <c r="EEU65" s="0"/>
      <c r="EEV65" s="0"/>
      <c r="EEW65" s="0"/>
      <c r="EEX65" s="0"/>
      <c r="EEY65" s="0"/>
      <c r="EEZ65" s="0"/>
      <c r="EFA65" s="0"/>
      <c r="EFB65" s="0"/>
      <c r="EFC65" s="0"/>
      <c r="EFD65" s="0"/>
      <c r="EFE65" s="0"/>
      <c r="EFF65" s="0"/>
      <c r="EFG65" s="0"/>
      <c r="EFH65" s="0"/>
      <c r="EFI65" s="0"/>
      <c r="EFJ65" s="0"/>
      <c r="EFK65" s="0"/>
      <c r="EFL65" s="0"/>
      <c r="EFM65" s="0"/>
      <c r="EFN65" s="0"/>
      <c r="EFO65" s="0"/>
      <c r="EFP65" s="0"/>
      <c r="EFQ65" s="0"/>
      <c r="EFR65" s="0"/>
      <c r="EFS65" s="0"/>
      <c r="EFT65" s="0"/>
      <c r="EFU65" s="0"/>
      <c r="EFV65" s="0"/>
      <c r="EFW65" s="0"/>
      <c r="EFX65" s="0"/>
      <c r="EFY65" s="0"/>
      <c r="EFZ65" s="0"/>
      <c r="EGA65" s="0"/>
      <c r="EGB65" s="0"/>
      <c r="EGC65" s="0"/>
      <c r="EGD65" s="0"/>
      <c r="EGE65" s="0"/>
      <c r="EGF65" s="0"/>
      <c r="EGG65" s="0"/>
      <c r="EGH65" s="0"/>
      <c r="EGI65" s="0"/>
      <c r="EGJ65" s="0"/>
      <c r="EGK65" s="0"/>
      <c r="EGL65" s="0"/>
      <c r="EGM65" s="0"/>
      <c r="EGN65" s="0"/>
      <c r="EGO65" s="0"/>
      <c r="EGP65" s="0"/>
      <c r="EGQ65" s="0"/>
      <c r="EGR65" s="0"/>
      <c r="EGS65" s="0"/>
      <c r="EGT65" s="0"/>
      <c r="EGU65" s="0"/>
      <c r="EGV65" s="0"/>
      <c r="EGW65" s="0"/>
      <c r="EGX65" s="0"/>
      <c r="EGY65" s="0"/>
      <c r="EGZ65" s="0"/>
      <c r="EHA65" s="0"/>
      <c r="EHB65" s="0"/>
      <c r="EHC65" s="0"/>
      <c r="EHD65" s="0"/>
      <c r="EHE65" s="0"/>
      <c r="EHF65" s="0"/>
      <c r="EHG65" s="0"/>
      <c r="EHH65" s="0"/>
      <c r="EHI65" s="0"/>
      <c r="EHJ65" s="0"/>
      <c r="EHK65" s="0"/>
      <c r="EHL65" s="0"/>
      <c r="EHM65" s="0"/>
      <c r="EHN65" s="0"/>
      <c r="EHO65" s="0"/>
      <c r="EHP65" s="0"/>
      <c r="EHQ65" s="0"/>
      <c r="EHR65" s="0"/>
      <c r="EHS65" s="0"/>
      <c r="EHT65" s="0"/>
      <c r="EHU65" s="0"/>
      <c r="EHV65" s="0"/>
      <c r="EHW65" s="0"/>
      <c r="EHX65" s="0"/>
      <c r="EHY65" s="0"/>
      <c r="EHZ65" s="0"/>
      <c r="EIA65" s="0"/>
      <c r="EIB65" s="0"/>
      <c r="EIC65" s="0"/>
      <c r="EID65" s="0"/>
      <c r="EIE65" s="0"/>
      <c r="EIF65" s="0"/>
      <c r="EIG65" s="0"/>
      <c r="EIH65" s="0"/>
      <c r="EII65" s="0"/>
      <c r="EIJ65" s="0"/>
      <c r="EIK65" s="0"/>
      <c r="EIL65" s="0"/>
      <c r="EIM65" s="0"/>
      <c r="EIN65" s="0"/>
      <c r="EIO65" s="0"/>
      <c r="EIP65" s="0"/>
      <c r="EIQ65" s="0"/>
      <c r="EIR65" s="0"/>
      <c r="EIS65" s="0"/>
      <c r="EIT65" s="0"/>
      <c r="EIU65" s="0"/>
      <c r="EIV65" s="0"/>
      <c r="EIW65" s="0"/>
      <c r="EIX65" s="0"/>
      <c r="EIY65" s="0"/>
      <c r="EIZ65" s="0"/>
      <c r="EJA65" s="0"/>
      <c r="EJB65" s="0"/>
      <c r="EJC65" s="0"/>
      <c r="EJD65" s="0"/>
      <c r="EJE65" s="0"/>
      <c r="EJF65" s="0"/>
      <c r="EJG65" s="0"/>
      <c r="EJH65" s="0"/>
      <c r="EJI65" s="0"/>
      <c r="EJJ65" s="0"/>
      <c r="EJK65" s="0"/>
      <c r="EJL65" s="0"/>
      <c r="EJM65" s="0"/>
      <c r="EJN65" s="0"/>
      <c r="EJO65" s="0"/>
      <c r="EJP65" s="0"/>
      <c r="EJQ65" s="0"/>
      <c r="EJR65" s="0"/>
      <c r="EJS65" s="0"/>
      <c r="EJT65" s="0"/>
      <c r="EJU65" s="0"/>
      <c r="EJV65" s="0"/>
      <c r="EJW65" s="0"/>
      <c r="EJX65" s="0"/>
      <c r="EJY65" s="0"/>
      <c r="EJZ65" s="0"/>
      <c r="EKA65" s="0"/>
      <c r="EKB65" s="0"/>
      <c r="EKC65" s="0"/>
      <c r="EKD65" s="0"/>
      <c r="EKE65" s="0"/>
      <c r="EKF65" s="0"/>
      <c r="EKG65" s="0"/>
      <c r="EKH65" s="0"/>
      <c r="EKI65" s="0"/>
      <c r="EKJ65" s="0"/>
      <c r="EKK65" s="0"/>
      <c r="EKL65" s="0"/>
      <c r="EKM65" s="0"/>
      <c r="EKN65" s="0"/>
      <c r="EKO65" s="0"/>
      <c r="EKP65" s="0"/>
      <c r="EKQ65" s="0"/>
      <c r="EKR65" s="0"/>
      <c r="EKS65" s="0"/>
      <c r="EKT65" s="0"/>
      <c r="EKU65" s="0"/>
      <c r="EKV65" s="0"/>
      <c r="EKW65" s="0"/>
      <c r="EKX65" s="0"/>
      <c r="EKY65" s="0"/>
      <c r="EKZ65" s="0"/>
      <c r="ELA65" s="0"/>
      <c r="ELB65" s="0"/>
      <c r="ELC65" s="0"/>
      <c r="ELD65" s="0"/>
      <c r="ELE65" s="0"/>
      <c r="ELF65" s="0"/>
      <c r="ELG65" s="0"/>
      <c r="ELH65" s="0"/>
      <c r="ELI65" s="0"/>
      <c r="ELJ65" s="0"/>
      <c r="ELK65" s="0"/>
      <c r="ELL65" s="0"/>
      <c r="ELM65" s="0"/>
      <c r="ELN65" s="0"/>
      <c r="ELO65" s="0"/>
      <c r="ELP65" s="0"/>
      <c r="ELQ65" s="0"/>
      <c r="ELR65" s="0"/>
      <c r="ELS65" s="0"/>
      <c r="ELT65" s="0"/>
      <c r="ELU65" s="0"/>
      <c r="ELV65" s="0"/>
      <c r="ELW65" s="0"/>
      <c r="ELX65" s="0"/>
      <c r="ELY65" s="0"/>
      <c r="ELZ65" s="0"/>
      <c r="EMA65" s="0"/>
      <c r="EMB65" s="0"/>
      <c r="EMC65" s="0"/>
      <c r="EMD65" s="0"/>
      <c r="EME65" s="0"/>
      <c r="EMF65" s="0"/>
      <c r="EMG65" s="0"/>
      <c r="EMH65" s="0"/>
      <c r="EMI65" s="0"/>
      <c r="EMJ65" s="0"/>
      <c r="EMK65" s="0"/>
      <c r="EML65" s="0"/>
      <c r="EMM65" s="0"/>
      <c r="EMN65" s="0"/>
      <c r="EMO65" s="0"/>
      <c r="EMP65" s="0"/>
      <c r="EMQ65" s="0"/>
      <c r="EMR65" s="0"/>
      <c r="EMS65" s="0"/>
      <c r="EMT65" s="0"/>
      <c r="EMU65" s="0"/>
      <c r="EMV65" s="0"/>
      <c r="EMW65" s="0"/>
      <c r="EMX65" s="0"/>
      <c r="EMY65" s="0"/>
      <c r="EMZ65" s="0"/>
      <c r="ENA65" s="0"/>
      <c r="ENB65" s="0"/>
      <c r="ENC65" s="0"/>
      <c r="END65" s="0"/>
      <c r="ENE65" s="0"/>
      <c r="ENF65" s="0"/>
      <c r="ENG65" s="0"/>
      <c r="ENH65" s="0"/>
      <c r="ENI65" s="0"/>
      <c r="ENJ65" s="0"/>
      <c r="ENK65" s="0"/>
      <c r="ENL65" s="0"/>
      <c r="ENM65" s="0"/>
      <c r="ENN65" s="0"/>
      <c r="ENO65" s="0"/>
      <c r="ENP65" s="0"/>
      <c r="ENQ65" s="0"/>
      <c r="ENR65" s="0"/>
      <c r="ENS65" s="0"/>
      <c r="ENT65" s="0"/>
      <c r="ENU65" s="0"/>
      <c r="ENV65" s="0"/>
      <c r="ENW65" s="0"/>
      <c r="ENX65" s="0"/>
      <c r="ENY65" s="0"/>
      <c r="ENZ65" s="0"/>
      <c r="EOA65" s="0"/>
      <c r="EOB65" s="0"/>
      <c r="EOC65" s="0"/>
      <c r="EOD65" s="0"/>
      <c r="EOE65" s="0"/>
      <c r="EOF65" s="0"/>
      <c r="EOG65" s="0"/>
      <c r="EOH65" s="0"/>
      <c r="EOI65" s="0"/>
      <c r="EOJ65" s="0"/>
      <c r="EOK65" s="0"/>
      <c r="EOL65" s="0"/>
      <c r="EOM65" s="0"/>
      <c r="EON65" s="0"/>
      <c r="EOO65" s="0"/>
      <c r="EOP65" s="0"/>
      <c r="EOQ65" s="0"/>
      <c r="EOR65" s="0"/>
      <c r="EOS65" s="0"/>
      <c r="EOT65" s="0"/>
      <c r="EOU65" s="0"/>
      <c r="EOV65" s="0"/>
      <c r="EOW65" s="0"/>
      <c r="EOX65" s="0"/>
      <c r="EOY65" s="0"/>
      <c r="EOZ65" s="0"/>
      <c r="EPA65" s="0"/>
      <c r="EPB65" s="0"/>
      <c r="EPC65" s="0"/>
      <c r="EPD65" s="0"/>
      <c r="EPE65" s="0"/>
      <c r="EPF65" s="0"/>
      <c r="EPG65" s="0"/>
      <c r="EPH65" s="0"/>
      <c r="EPI65" s="0"/>
      <c r="EPJ65" s="0"/>
      <c r="EPK65" s="0"/>
      <c r="EPL65" s="0"/>
      <c r="EPM65" s="0"/>
      <c r="EPN65" s="0"/>
      <c r="EPO65" s="0"/>
      <c r="EPP65" s="0"/>
      <c r="EPQ65" s="0"/>
      <c r="EPR65" s="0"/>
      <c r="EPS65" s="0"/>
      <c r="EPT65" s="0"/>
      <c r="EPU65" s="0"/>
      <c r="EPV65" s="0"/>
      <c r="EPW65" s="0"/>
      <c r="EPX65" s="0"/>
      <c r="EPY65" s="0"/>
      <c r="EPZ65" s="0"/>
      <c r="EQA65" s="0"/>
      <c r="EQB65" s="0"/>
      <c r="EQC65" s="0"/>
      <c r="EQD65" s="0"/>
      <c r="EQE65" s="0"/>
      <c r="EQF65" s="0"/>
      <c r="EQG65" s="0"/>
      <c r="EQH65" s="0"/>
      <c r="EQI65" s="0"/>
      <c r="EQJ65" s="0"/>
      <c r="EQK65" s="0"/>
      <c r="EQL65" s="0"/>
      <c r="EQM65" s="0"/>
      <c r="EQN65" s="0"/>
      <c r="EQO65" s="0"/>
      <c r="EQP65" s="0"/>
      <c r="EQQ65" s="0"/>
      <c r="EQR65" s="0"/>
      <c r="EQS65" s="0"/>
      <c r="EQT65" s="0"/>
      <c r="EQU65" s="0"/>
      <c r="EQV65" s="0"/>
      <c r="EQW65" s="0"/>
      <c r="EQX65" s="0"/>
      <c r="EQY65" s="0"/>
      <c r="EQZ65" s="0"/>
      <c r="ERA65" s="0"/>
      <c r="ERB65" s="0"/>
      <c r="ERC65" s="0"/>
      <c r="ERD65" s="0"/>
      <c r="ERE65" s="0"/>
      <c r="ERF65" s="0"/>
      <c r="ERG65" s="0"/>
      <c r="ERH65" s="0"/>
      <c r="ERI65" s="0"/>
      <c r="ERJ65" s="0"/>
      <c r="ERK65" s="0"/>
      <c r="ERL65" s="0"/>
      <c r="ERM65" s="0"/>
      <c r="ERN65" s="0"/>
      <c r="ERO65" s="0"/>
      <c r="ERP65" s="0"/>
      <c r="ERQ65" s="0"/>
      <c r="ERR65" s="0"/>
      <c r="ERS65" s="0"/>
      <c r="ERT65" s="0"/>
      <c r="ERU65" s="0"/>
      <c r="ERV65" s="0"/>
      <c r="ERW65" s="0"/>
      <c r="ERX65" s="0"/>
      <c r="ERY65" s="0"/>
      <c r="ERZ65" s="0"/>
      <c r="ESA65" s="0"/>
      <c r="ESB65" s="0"/>
      <c r="ESC65" s="0"/>
      <c r="ESD65" s="0"/>
      <c r="ESE65" s="0"/>
      <c r="ESF65" s="0"/>
      <c r="ESG65" s="0"/>
      <c r="ESH65" s="0"/>
      <c r="ESI65" s="0"/>
      <c r="ESJ65" s="0"/>
      <c r="ESK65" s="0"/>
      <c r="ESL65" s="0"/>
      <c r="ESM65" s="0"/>
      <c r="ESN65" s="0"/>
      <c r="ESO65" s="0"/>
      <c r="ESP65" s="0"/>
      <c r="ESQ65" s="0"/>
      <c r="ESR65" s="0"/>
      <c r="ESS65" s="0"/>
      <c r="EST65" s="0"/>
      <c r="ESU65" s="0"/>
      <c r="ESV65" s="0"/>
      <c r="ESW65" s="0"/>
      <c r="ESX65" s="0"/>
      <c r="ESY65" s="0"/>
      <c r="ESZ65" s="0"/>
      <c r="ETA65" s="0"/>
      <c r="ETB65" s="0"/>
      <c r="ETC65" s="0"/>
      <c r="ETD65" s="0"/>
      <c r="ETE65" s="0"/>
      <c r="ETF65" s="0"/>
      <c r="ETG65" s="0"/>
      <c r="ETH65" s="0"/>
      <c r="ETI65" s="0"/>
      <c r="ETJ65" s="0"/>
      <c r="ETK65" s="0"/>
      <c r="ETL65" s="0"/>
      <c r="ETM65" s="0"/>
      <c r="ETN65" s="0"/>
      <c r="ETO65" s="0"/>
      <c r="ETP65" s="0"/>
      <c r="ETQ65" s="0"/>
      <c r="ETR65" s="0"/>
      <c r="ETS65" s="0"/>
      <c r="ETT65" s="0"/>
      <c r="ETU65" s="0"/>
      <c r="ETV65" s="0"/>
      <c r="ETW65" s="0"/>
      <c r="ETX65" s="0"/>
      <c r="ETY65" s="0"/>
      <c r="ETZ65" s="0"/>
      <c r="EUA65" s="0"/>
      <c r="EUB65" s="0"/>
      <c r="EUC65" s="0"/>
      <c r="EUD65" s="0"/>
      <c r="EUE65" s="0"/>
      <c r="EUF65" s="0"/>
      <c r="EUG65" s="0"/>
      <c r="EUH65" s="0"/>
      <c r="EUI65" s="0"/>
      <c r="EUJ65" s="0"/>
      <c r="EUK65" s="0"/>
      <c r="EUL65" s="0"/>
      <c r="EUM65" s="0"/>
      <c r="EUN65" s="0"/>
      <c r="EUO65" s="0"/>
      <c r="EUP65" s="0"/>
      <c r="EUQ65" s="0"/>
      <c r="EUR65" s="0"/>
      <c r="EUS65" s="0"/>
      <c r="EUT65" s="0"/>
      <c r="EUU65" s="0"/>
      <c r="EUV65" s="0"/>
      <c r="EUW65" s="0"/>
      <c r="EUX65" s="0"/>
      <c r="EUY65" s="0"/>
      <c r="EUZ65" s="0"/>
      <c r="EVA65" s="0"/>
      <c r="EVB65" s="0"/>
      <c r="EVC65" s="0"/>
      <c r="EVD65" s="0"/>
      <c r="EVE65" s="0"/>
      <c r="EVF65" s="0"/>
      <c r="EVG65" s="0"/>
      <c r="EVH65" s="0"/>
      <c r="EVI65" s="0"/>
      <c r="EVJ65" s="0"/>
      <c r="EVK65" s="0"/>
      <c r="EVL65" s="0"/>
      <c r="EVM65" s="0"/>
      <c r="EVN65" s="0"/>
      <c r="EVO65" s="0"/>
      <c r="EVP65" s="0"/>
      <c r="EVQ65" s="0"/>
      <c r="EVR65" s="0"/>
      <c r="EVS65" s="0"/>
      <c r="EVT65" s="0"/>
      <c r="EVU65" s="0"/>
      <c r="EVV65" s="0"/>
      <c r="EVW65" s="0"/>
      <c r="EVX65" s="0"/>
      <c r="EVY65" s="0"/>
      <c r="EVZ65" s="0"/>
      <c r="EWA65" s="0"/>
      <c r="EWB65" s="0"/>
      <c r="EWC65" s="0"/>
      <c r="EWD65" s="0"/>
      <c r="EWE65" s="0"/>
      <c r="EWF65" s="0"/>
      <c r="EWG65" s="0"/>
      <c r="EWH65" s="0"/>
      <c r="EWI65" s="0"/>
      <c r="EWJ65" s="0"/>
      <c r="EWK65" s="0"/>
      <c r="EWL65" s="0"/>
      <c r="EWM65" s="0"/>
      <c r="EWN65" s="0"/>
      <c r="EWO65" s="0"/>
      <c r="EWP65" s="0"/>
      <c r="EWQ65" s="0"/>
      <c r="EWR65" s="0"/>
      <c r="EWS65" s="0"/>
      <c r="EWT65" s="0"/>
      <c r="EWU65" s="0"/>
      <c r="EWV65" s="0"/>
      <c r="EWW65" s="0"/>
      <c r="EWX65" s="0"/>
      <c r="EWY65" s="0"/>
      <c r="EWZ65" s="0"/>
      <c r="EXA65" s="0"/>
      <c r="EXB65" s="0"/>
      <c r="EXC65" s="0"/>
      <c r="EXD65" s="0"/>
      <c r="EXE65" s="0"/>
      <c r="EXF65" s="0"/>
      <c r="EXG65" s="0"/>
      <c r="EXH65" s="0"/>
      <c r="EXI65" s="0"/>
      <c r="EXJ65" s="0"/>
      <c r="EXK65" s="0"/>
      <c r="EXL65" s="0"/>
      <c r="EXM65" s="0"/>
      <c r="EXN65" s="0"/>
      <c r="EXO65" s="0"/>
      <c r="EXP65" s="0"/>
      <c r="EXQ65" s="0"/>
      <c r="EXR65" s="0"/>
      <c r="EXS65" s="0"/>
      <c r="EXT65" s="0"/>
      <c r="EXU65" s="0"/>
      <c r="EXV65" s="0"/>
      <c r="EXW65" s="0"/>
      <c r="EXX65" s="0"/>
      <c r="EXY65" s="0"/>
      <c r="EXZ65" s="0"/>
      <c r="EYA65" s="0"/>
      <c r="EYB65" s="0"/>
      <c r="EYC65" s="0"/>
      <c r="EYD65" s="0"/>
      <c r="EYE65" s="0"/>
      <c r="EYF65" s="0"/>
      <c r="EYG65" s="0"/>
      <c r="EYH65" s="0"/>
      <c r="EYI65" s="0"/>
      <c r="EYJ65" s="0"/>
      <c r="EYK65" s="0"/>
      <c r="EYL65" s="0"/>
      <c r="EYM65" s="0"/>
      <c r="EYN65" s="0"/>
      <c r="EYO65" s="0"/>
      <c r="EYP65" s="0"/>
      <c r="EYQ65" s="0"/>
      <c r="EYR65" s="0"/>
      <c r="EYS65" s="0"/>
      <c r="EYT65" s="0"/>
      <c r="EYU65" s="0"/>
      <c r="EYV65" s="0"/>
      <c r="EYW65" s="0"/>
      <c r="EYX65" s="0"/>
      <c r="EYY65" s="0"/>
      <c r="EYZ65" s="0"/>
      <c r="EZA65" s="0"/>
      <c r="EZB65" s="0"/>
      <c r="EZC65" s="0"/>
      <c r="EZD65" s="0"/>
      <c r="EZE65" s="0"/>
      <c r="EZF65" s="0"/>
      <c r="EZG65" s="0"/>
      <c r="EZH65" s="0"/>
      <c r="EZI65" s="0"/>
      <c r="EZJ65" s="0"/>
      <c r="EZK65" s="0"/>
      <c r="EZL65" s="0"/>
      <c r="EZM65" s="0"/>
      <c r="EZN65" s="0"/>
      <c r="EZO65" s="0"/>
      <c r="EZP65" s="0"/>
      <c r="EZQ65" s="0"/>
      <c r="EZR65" s="0"/>
      <c r="EZS65" s="0"/>
      <c r="EZT65" s="0"/>
      <c r="EZU65" s="0"/>
      <c r="EZV65" s="0"/>
      <c r="EZW65" s="0"/>
      <c r="EZX65" s="0"/>
      <c r="EZY65" s="0"/>
      <c r="EZZ65" s="0"/>
      <c r="FAA65" s="0"/>
      <c r="FAB65" s="0"/>
      <c r="FAC65" s="0"/>
      <c r="FAD65" s="0"/>
      <c r="FAE65" s="0"/>
      <c r="FAF65" s="0"/>
      <c r="FAG65" s="0"/>
      <c r="FAH65" s="0"/>
      <c r="FAI65" s="0"/>
      <c r="FAJ65" s="0"/>
      <c r="FAK65" s="0"/>
      <c r="FAL65" s="0"/>
      <c r="FAM65" s="0"/>
      <c r="FAN65" s="0"/>
      <c r="FAO65" s="0"/>
      <c r="FAP65" s="0"/>
      <c r="FAQ65" s="0"/>
      <c r="FAR65" s="0"/>
      <c r="FAS65" s="0"/>
      <c r="FAT65" s="0"/>
      <c r="FAU65" s="0"/>
      <c r="FAV65" s="0"/>
      <c r="FAW65" s="0"/>
      <c r="FAX65" s="0"/>
      <c r="FAY65" s="0"/>
      <c r="FAZ65" s="0"/>
      <c r="FBA65" s="0"/>
      <c r="FBB65" s="0"/>
      <c r="FBC65" s="0"/>
      <c r="FBD65" s="0"/>
      <c r="FBE65" s="0"/>
      <c r="FBF65" s="0"/>
      <c r="FBG65" s="0"/>
      <c r="FBH65" s="0"/>
      <c r="FBI65" s="0"/>
      <c r="FBJ65" s="0"/>
      <c r="FBK65" s="0"/>
      <c r="FBL65" s="0"/>
      <c r="FBM65" s="0"/>
      <c r="FBN65" s="0"/>
      <c r="FBO65" s="0"/>
      <c r="FBP65" s="0"/>
      <c r="FBQ65" s="0"/>
      <c r="FBR65" s="0"/>
      <c r="FBS65" s="0"/>
      <c r="FBT65" s="0"/>
      <c r="FBU65" s="0"/>
      <c r="FBV65" s="0"/>
      <c r="FBW65" s="0"/>
      <c r="FBX65" s="0"/>
      <c r="FBY65" s="0"/>
      <c r="FBZ65" s="0"/>
      <c r="FCA65" s="0"/>
      <c r="FCB65" s="0"/>
      <c r="FCC65" s="0"/>
      <c r="FCD65" s="0"/>
      <c r="FCE65" s="0"/>
      <c r="FCF65" s="0"/>
      <c r="FCG65" s="0"/>
      <c r="FCH65" s="0"/>
      <c r="FCI65" s="0"/>
      <c r="FCJ65" s="0"/>
      <c r="FCK65" s="0"/>
      <c r="FCL65" s="0"/>
      <c r="FCM65" s="0"/>
      <c r="FCN65" s="0"/>
      <c r="FCO65" s="0"/>
      <c r="FCP65" s="0"/>
      <c r="FCQ65" s="0"/>
      <c r="FCR65" s="0"/>
      <c r="FCS65" s="0"/>
      <c r="FCT65" s="0"/>
      <c r="FCU65" s="0"/>
      <c r="FCV65" s="0"/>
      <c r="FCW65" s="0"/>
      <c r="FCX65" s="0"/>
      <c r="FCY65" s="0"/>
      <c r="FCZ65" s="0"/>
      <c r="FDA65" s="0"/>
      <c r="FDB65" s="0"/>
      <c r="FDC65" s="0"/>
      <c r="FDD65" s="0"/>
      <c r="FDE65" s="0"/>
      <c r="FDF65" s="0"/>
      <c r="FDG65" s="0"/>
      <c r="FDH65" s="0"/>
      <c r="FDI65" s="0"/>
      <c r="FDJ65" s="0"/>
      <c r="FDK65" s="0"/>
      <c r="FDL65" s="0"/>
      <c r="FDM65" s="0"/>
      <c r="FDN65" s="0"/>
      <c r="FDO65" s="0"/>
      <c r="FDP65" s="0"/>
      <c r="FDQ65" s="0"/>
      <c r="FDR65" s="0"/>
      <c r="FDS65" s="0"/>
      <c r="FDT65" s="0"/>
      <c r="FDU65" s="0"/>
      <c r="FDV65" s="0"/>
      <c r="FDW65" s="0"/>
      <c r="FDX65" s="0"/>
      <c r="FDY65" s="0"/>
      <c r="FDZ65" s="0"/>
      <c r="FEA65" s="0"/>
      <c r="FEB65" s="0"/>
      <c r="FEC65" s="0"/>
      <c r="FED65" s="0"/>
      <c r="FEE65" s="0"/>
      <c r="FEF65" s="0"/>
      <c r="FEG65" s="0"/>
      <c r="FEH65" s="0"/>
      <c r="FEI65" s="0"/>
      <c r="FEJ65" s="0"/>
      <c r="FEK65" s="0"/>
      <c r="FEL65" s="0"/>
      <c r="FEM65" s="0"/>
      <c r="FEN65" s="0"/>
      <c r="FEO65" s="0"/>
      <c r="FEP65" s="0"/>
      <c r="FEQ65" s="0"/>
      <c r="FER65" s="0"/>
      <c r="FES65" s="0"/>
      <c r="FET65" s="0"/>
      <c r="FEU65" s="0"/>
      <c r="FEV65" s="0"/>
      <c r="FEW65" s="0"/>
      <c r="FEX65" s="0"/>
      <c r="FEY65" s="0"/>
      <c r="FEZ65" s="0"/>
      <c r="FFA65" s="0"/>
      <c r="FFB65" s="0"/>
      <c r="FFC65" s="0"/>
      <c r="FFD65" s="0"/>
      <c r="FFE65" s="0"/>
      <c r="FFF65" s="0"/>
      <c r="FFG65" s="0"/>
      <c r="FFH65" s="0"/>
      <c r="FFI65" s="0"/>
      <c r="FFJ65" s="0"/>
      <c r="FFK65" s="0"/>
      <c r="FFL65" s="0"/>
      <c r="FFM65" s="0"/>
      <c r="FFN65" s="0"/>
      <c r="FFO65" s="0"/>
      <c r="FFP65" s="0"/>
      <c r="FFQ65" s="0"/>
      <c r="FFR65" s="0"/>
      <c r="FFS65" s="0"/>
      <c r="FFT65" s="0"/>
      <c r="FFU65" s="0"/>
      <c r="FFV65" s="0"/>
      <c r="FFW65" s="0"/>
      <c r="FFX65" s="0"/>
      <c r="FFY65" s="0"/>
      <c r="FFZ65" s="0"/>
      <c r="FGA65" s="0"/>
      <c r="FGB65" s="0"/>
      <c r="FGC65" s="0"/>
      <c r="FGD65" s="0"/>
      <c r="FGE65" s="0"/>
      <c r="FGF65" s="0"/>
      <c r="FGG65" s="0"/>
      <c r="FGH65" s="0"/>
      <c r="FGI65" s="0"/>
      <c r="FGJ65" s="0"/>
      <c r="FGK65" s="0"/>
      <c r="FGL65" s="0"/>
      <c r="FGM65" s="0"/>
      <c r="FGN65" s="0"/>
      <c r="FGO65" s="0"/>
      <c r="FGP65" s="0"/>
      <c r="FGQ65" s="0"/>
      <c r="FGR65" s="0"/>
      <c r="FGS65" s="0"/>
      <c r="FGT65" s="0"/>
      <c r="FGU65" s="0"/>
      <c r="FGV65" s="0"/>
      <c r="FGW65" s="0"/>
      <c r="FGX65" s="0"/>
      <c r="FGY65" s="0"/>
      <c r="FGZ65" s="0"/>
      <c r="FHA65" s="0"/>
      <c r="FHB65" s="0"/>
      <c r="FHC65" s="0"/>
      <c r="FHD65" s="0"/>
      <c r="FHE65" s="0"/>
      <c r="FHF65" s="0"/>
      <c r="FHG65" s="0"/>
      <c r="FHH65" s="0"/>
      <c r="FHI65" s="0"/>
      <c r="FHJ65" s="0"/>
      <c r="FHK65" s="0"/>
      <c r="FHL65" s="0"/>
      <c r="FHM65" s="0"/>
      <c r="FHN65" s="0"/>
      <c r="FHO65" s="0"/>
      <c r="FHP65" s="0"/>
      <c r="FHQ65" s="0"/>
      <c r="FHR65" s="0"/>
      <c r="FHS65" s="0"/>
      <c r="FHT65" s="0"/>
      <c r="FHU65" s="0"/>
      <c r="FHV65" s="0"/>
      <c r="FHW65" s="0"/>
      <c r="FHX65" s="0"/>
      <c r="FHY65" s="0"/>
      <c r="FHZ65" s="0"/>
      <c r="FIA65" s="0"/>
      <c r="FIB65" s="0"/>
      <c r="FIC65" s="0"/>
      <c r="FID65" s="0"/>
      <c r="FIE65" s="0"/>
      <c r="FIF65" s="0"/>
      <c r="FIG65" s="0"/>
      <c r="FIH65" s="0"/>
      <c r="FII65" s="0"/>
      <c r="FIJ65" s="0"/>
      <c r="FIK65" s="0"/>
      <c r="FIL65" s="0"/>
      <c r="FIM65" s="0"/>
      <c r="FIN65" s="0"/>
      <c r="FIO65" s="0"/>
      <c r="FIP65" s="0"/>
      <c r="FIQ65" s="0"/>
      <c r="FIR65" s="0"/>
      <c r="FIS65" s="0"/>
      <c r="FIT65" s="0"/>
      <c r="FIU65" s="0"/>
      <c r="FIV65" s="0"/>
      <c r="FIW65" s="0"/>
      <c r="FIX65" s="0"/>
      <c r="FIY65" s="0"/>
      <c r="FIZ65" s="0"/>
      <c r="FJA65" s="0"/>
      <c r="FJB65" s="0"/>
      <c r="FJC65" s="0"/>
      <c r="FJD65" s="0"/>
      <c r="FJE65" s="0"/>
      <c r="FJF65" s="0"/>
      <c r="FJG65" s="0"/>
      <c r="FJH65" s="0"/>
      <c r="FJI65" s="0"/>
      <c r="FJJ65" s="0"/>
      <c r="FJK65" s="0"/>
      <c r="FJL65" s="0"/>
      <c r="FJM65" s="0"/>
      <c r="FJN65" s="0"/>
      <c r="FJO65" s="0"/>
      <c r="FJP65" s="0"/>
      <c r="FJQ65" s="0"/>
      <c r="FJR65" s="0"/>
      <c r="FJS65" s="0"/>
      <c r="FJT65" s="0"/>
      <c r="FJU65" s="0"/>
      <c r="FJV65" s="0"/>
      <c r="FJW65" s="0"/>
      <c r="FJX65" s="0"/>
      <c r="FJY65" s="0"/>
      <c r="FJZ65" s="0"/>
      <c r="FKA65" s="0"/>
      <c r="FKB65" s="0"/>
      <c r="FKC65" s="0"/>
      <c r="FKD65" s="0"/>
      <c r="FKE65" s="0"/>
      <c r="FKF65" s="0"/>
      <c r="FKG65" s="0"/>
      <c r="FKH65" s="0"/>
      <c r="FKI65" s="0"/>
      <c r="FKJ65" s="0"/>
      <c r="FKK65" s="0"/>
      <c r="FKL65" s="0"/>
      <c r="FKM65" s="0"/>
      <c r="FKN65" s="0"/>
      <c r="FKO65" s="0"/>
      <c r="FKP65" s="0"/>
      <c r="FKQ65" s="0"/>
      <c r="FKR65" s="0"/>
      <c r="FKS65" s="0"/>
      <c r="FKT65" s="0"/>
      <c r="FKU65" s="0"/>
      <c r="FKV65" s="0"/>
      <c r="FKW65" s="0"/>
      <c r="FKX65" s="0"/>
      <c r="FKY65" s="0"/>
      <c r="FKZ65" s="0"/>
      <c r="FLA65" s="0"/>
      <c r="FLB65" s="0"/>
      <c r="FLC65" s="0"/>
      <c r="FLD65" s="0"/>
      <c r="FLE65" s="0"/>
      <c r="FLF65" s="0"/>
      <c r="FLG65" s="0"/>
      <c r="FLH65" s="0"/>
      <c r="FLI65" s="0"/>
      <c r="FLJ65" s="0"/>
      <c r="FLK65" s="0"/>
      <c r="FLL65" s="0"/>
      <c r="FLM65" s="0"/>
      <c r="FLN65" s="0"/>
      <c r="FLO65" s="0"/>
      <c r="FLP65" s="0"/>
      <c r="FLQ65" s="0"/>
      <c r="FLR65" s="0"/>
      <c r="FLS65" s="0"/>
      <c r="FLT65" s="0"/>
      <c r="FLU65" s="0"/>
      <c r="FLV65" s="0"/>
      <c r="FLW65" s="0"/>
      <c r="FLX65" s="0"/>
      <c r="FLY65" s="0"/>
      <c r="FLZ65" s="0"/>
      <c r="FMA65" s="0"/>
      <c r="FMB65" s="0"/>
      <c r="FMC65" s="0"/>
      <c r="FMD65" s="0"/>
      <c r="FME65" s="0"/>
      <c r="FMF65" s="0"/>
      <c r="FMG65" s="0"/>
      <c r="FMH65" s="0"/>
      <c r="FMI65" s="0"/>
      <c r="FMJ65" s="0"/>
      <c r="FMK65" s="0"/>
      <c r="FML65" s="0"/>
      <c r="FMM65" s="0"/>
      <c r="FMN65" s="0"/>
      <c r="FMO65" s="0"/>
      <c r="FMP65" s="0"/>
      <c r="FMQ65" s="0"/>
      <c r="FMR65" s="0"/>
      <c r="FMS65" s="0"/>
      <c r="FMT65" s="0"/>
      <c r="FMU65" s="0"/>
      <c r="FMV65" s="0"/>
      <c r="FMW65" s="0"/>
      <c r="FMX65" s="0"/>
      <c r="FMY65" s="0"/>
      <c r="FMZ65" s="0"/>
      <c r="FNA65" s="0"/>
      <c r="FNB65" s="0"/>
      <c r="FNC65" s="0"/>
      <c r="FND65" s="0"/>
      <c r="FNE65" s="0"/>
      <c r="FNF65" s="0"/>
      <c r="FNG65" s="0"/>
      <c r="FNH65" s="0"/>
      <c r="FNI65" s="0"/>
      <c r="FNJ65" s="0"/>
      <c r="FNK65" s="0"/>
      <c r="FNL65" s="0"/>
      <c r="FNM65" s="0"/>
      <c r="FNN65" s="0"/>
      <c r="FNO65" s="0"/>
      <c r="FNP65" s="0"/>
      <c r="FNQ65" s="0"/>
      <c r="FNR65" s="0"/>
      <c r="FNS65" s="0"/>
      <c r="FNT65" s="0"/>
      <c r="FNU65" s="0"/>
      <c r="FNV65" s="0"/>
      <c r="FNW65" s="0"/>
      <c r="FNX65" s="0"/>
      <c r="FNY65" s="0"/>
      <c r="FNZ65" s="0"/>
      <c r="FOA65" s="0"/>
      <c r="FOB65" s="0"/>
      <c r="FOC65" s="0"/>
      <c r="FOD65" s="0"/>
      <c r="FOE65" s="0"/>
      <c r="FOF65" s="0"/>
      <c r="FOG65" s="0"/>
      <c r="FOH65" s="0"/>
      <c r="FOI65" s="0"/>
      <c r="FOJ65" s="0"/>
      <c r="FOK65" s="0"/>
      <c r="FOL65" s="0"/>
      <c r="FOM65" s="0"/>
      <c r="FON65" s="0"/>
      <c r="FOO65" s="0"/>
      <c r="FOP65" s="0"/>
      <c r="FOQ65" s="0"/>
      <c r="FOR65" s="0"/>
      <c r="FOS65" s="0"/>
      <c r="FOT65" s="0"/>
      <c r="FOU65" s="0"/>
      <c r="FOV65" s="0"/>
      <c r="FOW65" s="0"/>
      <c r="FOX65" s="0"/>
      <c r="FOY65" s="0"/>
      <c r="FOZ65" s="0"/>
      <c r="FPA65" s="0"/>
      <c r="FPB65" s="0"/>
      <c r="FPC65" s="0"/>
      <c r="FPD65" s="0"/>
      <c r="FPE65" s="0"/>
      <c r="FPF65" s="0"/>
      <c r="FPG65" s="0"/>
      <c r="FPH65" s="0"/>
      <c r="FPI65" s="0"/>
      <c r="FPJ65" s="0"/>
      <c r="FPK65" s="0"/>
      <c r="FPL65" s="0"/>
      <c r="FPM65" s="0"/>
      <c r="FPN65" s="0"/>
      <c r="FPO65" s="0"/>
      <c r="FPP65" s="0"/>
      <c r="FPQ65" s="0"/>
      <c r="FPR65" s="0"/>
      <c r="FPS65" s="0"/>
      <c r="FPT65" s="0"/>
      <c r="FPU65" s="0"/>
      <c r="FPV65" s="0"/>
      <c r="FPW65" s="0"/>
      <c r="FPX65" s="0"/>
      <c r="FPY65" s="0"/>
      <c r="FPZ65" s="0"/>
      <c r="FQA65" s="0"/>
      <c r="FQB65" s="0"/>
      <c r="FQC65" s="0"/>
      <c r="FQD65" s="0"/>
      <c r="FQE65" s="0"/>
      <c r="FQF65" s="0"/>
      <c r="FQG65" s="0"/>
      <c r="FQH65" s="0"/>
      <c r="FQI65" s="0"/>
      <c r="FQJ65" s="0"/>
      <c r="FQK65" s="0"/>
      <c r="FQL65" s="0"/>
      <c r="FQM65" s="0"/>
      <c r="FQN65" s="0"/>
      <c r="FQO65" s="0"/>
      <c r="FQP65" s="0"/>
      <c r="FQQ65" s="0"/>
      <c r="FQR65" s="0"/>
      <c r="FQS65" s="0"/>
      <c r="FQT65" s="0"/>
      <c r="FQU65" s="0"/>
      <c r="FQV65" s="0"/>
      <c r="FQW65" s="0"/>
      <c r="FQX65" s="0"/>
      <c r="FQY65" s="0"/>
      <c r="FQZ65" s="0"/>
      <c r="FRA65" s="0"/>
      <c r="FRB65" s="0"/>
      <c r="FRC65" s="0"/>
      <c r="FRD65" s="0"/>
      <c r="FRE65" s="0"/>
      <c r="FRF65" s="0"/>
      <c r="FRG65" s="0"/>
      <c r="FRH65" s="0"/>
      <c r="FRI65" s="0"/>
      <c r="FRJ65" s="0"/>
      <c r="FRK65" s="0"/>
      <c r="FRL65" s="0"/>
      <c r="FRM65" s="0"/>
      <c r="FRN65" s="0"/>
      <c r="FRO65" s="0"/>
      <c r="FRP65" s="0"/>
      <c r="FRQ65" s="0"/>
      <c r="FRR65" s="0"/>
      <c r="FRS65" s="0"/>
      <c r="FRT65" s="0"/>
      <c r="FRU65" s="0"/>
      <c r="FRV65" s="0"/>
      <c r="FRW65" s="0"/>
      <c r="FRX65" s="0"/>
      <c r="FRY65" s="0"/>
      <c r="FRZ65" s="0"/>
      <c r="FSA65" s="0"/>
      <c r="FSB65" s="0"/>
      <c r="FSC65" s="0"/>
      <c r="FSD65" s="0"/>
      <c r="FSE65" s="0"/>
      <c r="FSF65" s="0"/>
      <c r="FSG65" s="0"/>
      <c r="FSH65" s="0"/>
      <c r="FSI65" s="0"/>
      <c r="FSJ65" s="0"/>
      <c r="FSK65" s="0"/>
      <c r="FSL65" s="0"/>
      <c r="FSM65" s="0"/>
      <c r="FSN65" s="0"/>
      <c r="FSO65" s="0"/>
      <c r="FSP65" s="0"/>
      <c r="FSQ65" s="0"/>
      <c r="FSR65" s="0"/>
      <c r="FSS65" s="0"/>
      <c r="FST65" s="0"/>
      <c r="FSU65" s="0"/>
      <c r="FSV65" s="0"/>
      <c r="FSW65" s="0"/>
      <c r="FSX65" s="0"/>
      <c r="FSY65" s="0"/>
      <c r="FSZ65" s="0"/>
      <c r="FTA65" s="0"/>
      <c r="FTB65" s="0"/>
      <c r="FTC65" s="0"/>
      <c r="FTD65" s="0"/>
      <c r="FTE65" s="0"/>
      <c r="FTF65" s="0"/>
      <c r="FTG65" s="0"/>
      <c r="FTH65" s="0"/>
      <c r="FTI65" s="0"/>
      <c r="FTJ65" s="0"/>
      <c r="FTK65" s="0"/>
      <c r="FTL65" s="0"/>
      <c r="FTM65" s="0"/>
      <c r="FTN65" s="0"/>
      <c r="FTO65" s="0"/>
      <c r="FTP65" s="0"/>
      <c r="FTQ65" s="0"/>
      <c r="FTR65" s="0"/>
      <c r="FTS65" s="0"/>
      <c r="FTT65" s="0"/>
      <c r="FTU65" s="0"/>
      <c r="FTV65" s="0"/>
      <c r="FTW65" s="0"/>
      <c r="FTX65" s="0"/>
      <c r="FTY65" s="0"/>
      <c r="FTZ65" s="0"/>
      <c r="FUA65" s="0"/>
      <c r="FUB65" s="0"/>
      <c r="FUC65" s="0"/>
      <c r="FUD65" s="0"/>
      <c r="FUE65" s="0"/>
      <c r="FUF65" s="0"/>
      <c r="FUG65" s="0"/>
      <c r="FUH65" s="0"/>
      <c r="FUI65" s="0"/>
      <c r="FUJ65" s="0"/>
      <c r="FUK65" s="0"/>
      <c r="FUL65" s="0"/>
      <c r="FUM65" s="0"/>
      <c r="FUN65" s="0"/>
      <c r="FUO65" s="0"/>
      <c r="FUP65" s="0"/>
      <c r="FUQ65" s="0"/>
      <c r="FUR65" s="0"/>
      <c r="FUS65" s="0"/>
      <c r="FUT65" s="0"/>
      <c r="FUU65" s="0"/>
      <c r="FUV65" s="0"/>
      <c r="FUW65" s="0"/>
      <c r="FUX65" s="0"/>
      <c r="FUY65" s="0"/>
      <c r="FUZ65" s="0"/>
      <c r="FVA65" s="0"/>
      <c r="FVB65" s="0"/>
      <c r="FVC65" s="0"/>
      <c r="FVD65" s="0"/>
      <c r="FVE65" s="0"/>
      <c r="FVF65" s="0"/>
      <c r="FVG65" s="0"/>
      <c r="FVH65" s="0"/>
      <c r="FVI65" s="0"/>
      <c r="FVJ65" s="0"/>
      <c r="FVK65" s="0"/>
      <c r="FVL65" s="0"/>
      <c r="FVM65" s="0"/>
      <c r="FVN65" s="0"/>
      <c r="FVO65" s="0"/>
      <c r="FVP65" s="0"/>
      <c r="FVQ65" s="0"/>
      <c r="FVR65" s="0"/>
      <c r="FVS65" s="0"/>
      <c r="FVT65" s="0"/>
      <c r="FVU65" s="0"/>
      <c r="FVV65" s="0"/>
      <c r="FVW65" s="0"/>
      <c r="FVX65" s="0"/>
      <c r="FVY65" s="0"/>
      <c r="FVZ65" s="0"/>
      <c r="FWA65" s="0"/>
      <c r="FWB65" s="0"/>
      <c r="FWC65" s="0"/>
      <c r="FWD65" s="0"/>
      <c r="FWE65" s="0"/>
      <c r="FWF65" s="0"/>
      <c r="FWG65" s="0"/>
      <c r="FWH65" s="0"/>
      <c r="FWI65" s="0"/>
      <c r="FWJ65" s="0"/>
      <c r="FWK65" s="0"/>
      <c r="FWL65" s="0"/>
      <c r="FWM65" s="0"/>
      <c r="FWN65" s="0"/>
      <c r="FWO65" s="0"/>
      <c r="FWP65" s="0"/>
      <c r="FWQ65" s="0"/>
      <c r="FWR65" s="0"/>
      <c r="FWS65" s="0"/>
      <c r="FWT65" s="0"/>
      <c r="FWU65" s="0"/>
      <c r="FWV65" s="0"/>
      <c r="FWW65" s="0"/>
      <c r="FWX65" s="0"/>
      <c r="FWY65" s="0"/>
      <c r="FWZ65" s="0"/>
      <c r="FXA65" s="0"/>
      <c r="FXB65" s="0"/>
      <c r="FXC65" s="0"/>
      <c r="FXD65" s="0"/>
      <c r="FXE65" s="0"/>
      <c r="FXF65" s="0"/>
      <c r="FXG65" s="0"/>
      <c r="FXH65" s="0"/>
      <c r="FXI65" s="0"/>
      <c r="FXJ65" s="0"/>
      <c r="FXK65" s="0"/>
      <c r="FXL65" s="0"/>
      <c r="FXM65" s="0"/>
      <c r="FXN65" s="0"/>
      <c r="FXO65" s="0"/>
      <c r="FXP65" s="0"/>
      <c r="FXQ65" s="0"/>
      <c r="FXR65" s="0"/>
      <c r="FXS65" s="0"/>
      <c r="FXT65" s="0"/>
      <c r="FXU65" s="0"/>
      <c r="FXV65" s="0"/>
      <c r="FXW65" s="0"/>
      <c r="FXX65" s="0"/>
      <c r="FXY65" s="0"/>
      <c r="FXZ65" s="0"/>
      <c r="FYA65" s="0"/>
      <c r="FYB65" s="0"/>
      <c r="FYC65" s="0"/>
      <c r="FYD65" s="0"/>
      <c r="FYE65" s="0"/>
      <c r="FYF65" s="0"/>
      <c r="FYG65" s="0"/>
      <c r="FYH65" s="0"/>
      <c r="FYI65" s="0"/>
      <c r="FYJ65" s="0"/>
      <c r="FYK65" s="0"/>
      <c r="FYL65" s="0"/>
      <c r="FYM65" s="0"/>
      <c r="FYN65" s="0"/>
      <c r="FYO65" s="0"/>
      <c r="FYP65" s="0"/>
      <c r="FYQ65" s="0"/>
      <c r="FYR65" s="0"/>
      <c r="FYS65" s="0"/>
      <c r="FYT65" s="0"/>
      <c r="FYU65" s="0"/>
      <c r="FYV65" s="0"/>
      <c r="FYW65" s="0"/>
      <c r="FYX65" s="0"/>
      <c r="FYY65" s="0"/>
      <c r="FYZ65" s="0"/>
      <c r="FZA65" s="0"/>
      <c r="FZB65" s="0"/>
      <c r="FZC65" s="0"/>
      <c r="FZD65" s="0"/>
      <c r="FZE65" s="0"/>
      <c r="FZF65" s="0"/>
      <c r="FZG65" s="0"/>
      <c r="FZH65" s="0"/>
      <c r="FZI65" s="0"/>
      <c r="FZJ65" s="0"/>
      <c r="FZK65" s="0"/>
      <c r="FZL65" s="0"/>
      <c r="FZM65" s="0"/>
      <c r="FZN65" s="0"/>
      <c r="FZO65" s="0"/>
      <c r="FZP65" s="0"/>
      <c r="FZQ65" s="0"/>
      <c r="FZR65" s="0"/>
      <c r="FZS65" s="0"/>
      <c r="FZT65" s="0"/>
      <c r="FZU65" s="0"/>
      <c r="FZV65" s="0"/>
      <c r="FZW65" s="0"/>
      <c r="FZX65" s="0"/>
      <c r="FZY65" s="0"/>
      <c r="FZZ65" s="0"/>
      <c r="GAA65" s="0"/>
      <c r="GAB65" s="0"/>
      <c r="GAC65" s="0"/>
      <c r="GAD65" s="0"/>
      <c r="GAE65" s="0"/>
      <c r="GAF65" s="0"/>
      <c r="GAG65" s="0"/>
      <c r="GAH65" s="0"/>
      <c r="GAI65" s="0"/>
      <c r="GAJ65" s="0"/>
      <c r="GAK65" s="0"/>
      <c r="GAL65" s="0"/>
      <c r="GAM65" s="0"/>
      <c r="GAN65" s="0"/>
      <c r="GAO65" s="0"/>
      <c r="GAP65" s="0"/>
      <c r="GAQ65" s="0"/>
      <c r="GAR65" s="0"/>
      <c r="GAS65" s="0"/>
      <c r="GAT65" s="0"/>
      <c r="GAU65" s="0"/>
      <c r="GAV65" s="0"/>
      <c r="GAW65" s="0"/>
      <c r="GAX65" s="0"/>
      <c r="GAY65" s="0"/>
      <c r="GAZ65" s="0"/>
      <c r="GBA65" s="0"/>
      <c r="GBB65" s="0"/>
      <c r="GBC65" s="0"/>
      <c r="GBD65" s="0"/>
      <c r="GBE65" s="0"/>
      <c r="GBF65" s="0"/>
      <c r="GBG65" s="0"/>
      <c r="GBH65" s="0"/>
      <c r="GBI65" s="0"/>
      <c r="GBJ65" s="0"/>
      <c r="GBK65" s="0"/>
      <c r="GBL65" s="0"/>
      <c r="GBM65" s="0"/>
      <c r="GBN65" s="0"/>
      <c r="GBO65" s="0"/>
      <c r="GBP65" s="0"/>
      <c r="GBQ65" s="0"/>
      <c r="GBR65" s="0"/>
      <c r="GBS65" s="0"/>
      <c r="GBT65" s="0"/>
      <c r="GBU65" s="0"/>
      <c r="GBV65" s="0"/>
      <c r="GBW65" s="0"/>
      <c r="GBX65" s="0"/>
      <c r="GBY65" s="0"/>
      <c r="GBZ65" s="0"/>
      <c r="GCA65" s="0"/>
      <c r="GCB65" s="0"/>
      <c r="GCC65" s="0"/>
      <c r="GCD65" s="0"/>
      <c r="GCE65" s="0"/>
      <c r="GCF65" s="0"/>
      <c r="GCG65" s="0"/>
      <c r="GCH65" s="0"/>
      <c r="GCI65" s="0"/>
      <c r="GCJ65" s="0"/>
      <c r="GCK65" s="0"/>
      <c r="GCL65" s="0"/>
      <c r="GCM65" s="0"/>
      <c r="GCN65" s="0"/>
      <c r="GCO65" s="0"/>
      <c r="GCP65" s="0"/>
      <c r="GCQ65" s="0"/>
      <c r="GCR65" s="0"/>
      <c r="GCS65" s="0"/>
      <c r="GCT65" s="0"/>
      <c r="GCU65" s="0"/>
      <c r="GCV65" s="0"/>
      <c r="GCW65" s="0"/>
      <c r="GCX65" s="0"/>
      <c r="GCY65" s="0"/>
      <c r="GCZ65" s="0"/>
      <c r="GDA65" s="0"/>
      <c r="GDB65" s="0"/>
      <c r="GDC65" s="0"/>
      <c r="GDD65" s="0"/>
      <c r="GDE65" s="0"/>
      <c r="GDF65" s="0"/>
      <c r="GDG65" s="0"/>
      <c r="GDH65" s="0"/>
      <c r="GDI65" s="0"/>
      <c r="GDJ65" s="0"/>
      <c r="GDK65" s="0"/>
      <c r="GDL65" s="0"/>
      <c r="GDM65" s="0"/>
      <c r="GDN65" s="0"/>
      <c r="GDO65" s="0"/>
      <c r="GDP65" s="0"/>
      <c r="GDQ65" s="0"/>
      <c r="GDR65" s="0"/>
      <c r="GDS65" s="0"/>
      <c r="GDT65" s="0"/>
      <c r="GDU65" s="0"/>
      <c r="GDV65" s="0"/>
      <c r="GDW65" s="0"/>
      <c r="GDX65" s="0"/>
      <c r="GDY65" s="0"/>
      <c r="GDZ65" s="0"/>
      <c r="GEA65" s="0"/>
      <c r="GEB65" s="0"/>
      <c r="GEC65" s="0"/>
      <c r="GED65" s="0"/>
      <c r="GEE65" s="0"/>
      <c r="GEF65" s="0"/>
      <c r="GEG65" s="0"/>
      <c r="GEH65" s="0"/>
      <c r="GEI65" s="0"/>
      <c r="GEJ65" s="0"/>
      <c r="GEK65" s="0"/>
      <c r="GEL65" s="0"/>
      <c r="GEM65" s="0"/>
      <c r="GEN65" s="0"/>
      <c r="GEO65" s="0"/>
      <c r="GEP65" s="0"/>
      <c r="GEQ65" s="0"/>
      <c r="GER65" s="0"/>
      <c r="GES65" s="0"/>
      <c r="GET65" s="0"/>
      <c r="GEU65" s="0"/>
      <c r="GEV65" s="0"/>
      <c r="GEW65" s="0"/>
      <c r="GEX65" s="0"/>
      <c r="GEY65" s="0"/>
      <c r="GEZ65" s="0"/>
      <c r="GFA65" s="0"/>
      <c r="GFB65" s="0"/>
      <c r="GFC65" s="0"/>
      <c r="GFD65" s="0"/>
      <c r="GFE65" s="0"/>
      <c r="GFF65" s="0"/>
      <c r="GFG65" s="0"/>
      <c r="GFH65" s="0"/>
      <c r="GFI65" s="0"/>
      <c r="GFJ65" s="0"/>
      <c r="GFK65" s="0"/>
      <c r="GFL65" s="0"/>
      <c r="GFM65" s="0"/>
      <c r="GFN65" s="0"/>
      <c r="GFO65" s="0"/>
      <c r="GFP65" s="0"/>
      <c r="GFQ65" s="0"/>
      <c r="GFR65" s="0"/>
      <c r="GFS65" s="0"/>
      <c r="GFT65" s="0"/>
      <c r="GFU65" s="0"/>
      <c r="GFV65" s="0"/>
      <c r="GFW65" s="0"/>
      <c r="GFX65" s="0"/>
      <c r="GFY65" s="0"/>
      <c r="GFZ65" s="0"/>
      <c r="GGA65" s="0"/>
      <c r="GGB65" s="0"/>
      <c r="GGC65" s="0"/>
      <c r="GGD65" s="0"/>
      <c r="GGE65" s="0"/>
      <c r="GGF65" s="0"/>
      <c r="GGG65" s="0"/>
      <c r="GGH65" s="0"/>
      <c r="GGI65" s="0"/>
      <c r="GGJ65" s="0"/>
      <c r="GGK65" s="0"/>
      <c r="GGL65" s="0"/>
      <c r="GGM65" s="0"/>
      <c r="GGN65" s="0"/>
      <c r="GGO65" s="0"/>
      <c r="GGP65" s="0"/>
      <c r="GGQ65" s="0"/>
      <c r="GGR65" s="0"/>
      <c r="GGS65" s="0"/>
      <c r="GGT65" s="0"/>
      <c r="GGU65" s="0"/>
      <c r="GGV65" s="0"/>
      <c r="GGW65" s="0"/>
      <c r="GGX65" s="0"/>
      <c r="GGY65" s="0"/>
      <c r="GGZ65" s="0"/>
      <c r="GHA65" s="0"/>
      <c r="GHB65" s="0"/>
      <c r="GHC65" s="0"/>
      <c r="GHD65" s="0"/>
      <c r="GHE65" s="0"/>
      <c r="GHF65" s="0"/>
      <c r="GHG65" s="0"/>
      <c r="GHH65" s="0"/>
      <c r="GHI65" s="0"/>
      <c r="GHJ65" s="0"/>
      <c r="GHK65" s="0"/>
      <c r="GHL65" s="0"/>
      <c r="GHM65" s="0"/>
      <c r="GHN65" s="0"/>
      <c r="GHO65" s="0"/>
      <c r="GHP65" s="0"/>
      <c r="GHQ65" s="0"/>
      <c r="GHR65" s="0"/>
      <c r="GHS65" s="0"/>
      <c r="GHT65" s="0"/>
      <c r="GHU65" s="0"/>
      <c r="GHV65" s="0"/>
      <c r="GHW65" s="0"/>
      <c r="GHX65" s="0"/>
      <c r="GHY65" s="0"/>
      <c r="GHZ65" s="0"/>
      <c r="GIA65" s="0"/>
      <c r="GIB65" s="0"/>
      <c r="GIC65" s="0"/>
      <c r="GID65" s="0"/>
      <c r="GIE65" s="0"/>
      <c r="GIF65" s="0"/>
      <c r="GIG65" s="0"/>
      <c r="GIH65" s="0"/>
      <c r="GII65" s="0"/>
      <c r="GIJ65" s="0"/>
      <c r="GIK65" s="0"/>
      <c r="GIL65" s="0"/>
      <c r="GIM65" s="0"/>
      <c r="GIN65" s="0"/>
      <c r="GIO65" s="0"/>
      <c r="GIP65" s="0"/>
      <c r="GIQ65" s="0"/>
      <c r="GIR65" s="0"/>
      <c r="GIS65" s="0"/>
      <c r="GIT65" s="0"/>
      <c r="GIU65" s="0"/>
      <c r="GIV65" s="0"/>
      <c r="GIW65" s="0"/>
      <c r="GIX65" s="0"/>
      <c r="GIY65" s="0"/>
      <c r="GIZ65" s="0"/>
      <c r="GJA65" s="0"/>
      <c r="GJB65" s="0"/>
      <c r="GJC65" s="0"/>
      <c r="GJD65" s="0"/>
      <c r="GJE65" s="0"/>
      <c r="GJF65" s="0"/>
      <c r="GJG65" s="0"/>
      <c r="GJH65" s="0"/>
      <c r="GJI65" s="0"/>
      <c r="GJJ65" s="0"/>
      <c r="GJK65" s="0"/>
      <c r="GJL65" s="0"/>
      <c r="GJM65" s="0"/>
      <c r="GJN65" s="0"/>
      <c r="GJO65" s="0"/>
      <c r="GJP65" s="0"/>
      <c r="GJQ65" s="0"/>
      <c r="GJR65" s="0"/>
      <c r="GJS65" s="0"/>
      <c r="GJT65" s="0"/>
      <c r="GJU65" s="0"/>
      <c r="GJV65" s="0"/>
      <c r="GJW65" s="0"/>
      <c r="GJX65" s="0"/>
      <c r="GJY65" s="0"/>
      <c r="GJZ65" s="0"/>
      <c r="GKA65" s="0"/>
      <c r="GKB65" s="0"/>
      <c r="GKC65" s="0"/>
      <c r="GKD65" s="0"/>
      <c r="GKE65" s="0"/>
      <c r="GKF65" s="0"/>
      <c r="GKG65" s="0"/>
      <c r="GKH65" s="0"/>
      <c r="GKI65" s="0"/>
      <c r="GKJ65" s="0"/>
      <c r="GKK65" s="0"/>
      <c r="GKL65" s="0"/>
      <c r="GKM65" s="0"/>
      <c r="GKN65" s="0"/>
      <c r="GKO65" s="0"/>
      <c r="GKP65" s="0"/>
      <c r="GKQ65" s="0"/>
      <c r="GKR65" s="0"/>
      <c r="GKS65" s="0"/>
      <c r="GKT65" s="0"/>
      <c r="GKU65" s="0"/>
      <c r="GKV65" s="0"/>
      <c r="GKW65" s="0"/>
      <c r="GKX65" s="0"/>
      <c r="GKY65" s="0"/>
      <c r="GKZ65" s="0"/>
      <c r="GLA65" s="0"/>
      <c r="GLB65" s="0"/>
      <c r="GLC65" s="0"/>
      <c r="GLD65" s="0"/>
      <c r="GLE65" s="0"/>
      <c r="GLF65" s="0"/>
      <c r="GLG65" s="0"/>
      <c r="GLH65" s="0"/>
      <c r="GLI65" s="0"/>
      <c r="GLJ65" s="0"/>
      <c r="GLK65" s="0"/>
      <c r="GLL65" s="0"/>
      <c r="GLM65" s="0"/>
      <c r="GLN65" s="0"/>
      <c r="GLO65" s="0"/>
      <c r="GLP65" s="0"/>
      <c r="GLQ65" s="0"/>
      <c r="GLR65" s="0"/>
      <c r="GLS65" s="0"/>
      <c r="GLT65" s="0"/>
      <c r="GLU65" s="0"/>
      <c r="GLV65" s="0"/>
      <c r="GLW65" s="0"/>
      <c r="GLX65" s="0"/>
      <c r="GLY65" s="0"/>
      <c r="GLZ65" s="0"/>
      <c r="GMA65" s="0"/>
      <c r="GMB65" s="0"/>
      <c r="GMC65" s="0"/>
      <c r="GMD65" s="0"/>
      <c r="GME65" s="0"/>
      <c r="GMF65" s="0"/>
      <c r="GMG65" s="0"/>
      <c r="GMH65" s="0"/>
      <c r="GMI65" s="0"/>
      <c r="GMJ65" s="0"/>
      <c r="GMK65" s="0"/>
      <c r="GML65" s="0"/>
      <c r="GMM65" s="0"/>
      <c r="GMN65" s="0"/>
      <c r="GMO65" s="0"/>
      <c r="GMP65" s="0"/>
      <c r="GMQ65" s="0"/>
      <c r="GMR65" s="0"/>
      <c r="GMS65" s="0"/>
      <c r="GMT65" s="0"/>
      <c r="GMU65" s="0"/>
      <c r="GMV65" s="0"/>
      <c r="GMW65" s="0"/>
      <c r="GMX65" s="0"/>
      <c r="GMY65" s="0"/>
      <c r="GMZ65" s="0"/>
      <c r="GNA65" s="0"/>
      <c r="GNB65" s="0"/>
      <c r="GNC65" s="0"/>
      <c r="GND65" s="0"/>
      <c r="GNE65" s="0"/>
      <c r="GNF65" s="0"/>
      <c r="GNG65" s="0"/>
      <c r="GNH65" s="0"/>
      <c r="GNI65" s="0"/>
      <c r="GNJ65" s="0"/>
      <c r="GNK65" s="0"/>
      <c r="GNL65" s="0"/>
      <c r="GNM65" s="0"/>
      <c r="GNN65" s="0"/>
      <c r="GNO65" s="0"/>
      <c r="GNP65" s="0"/>
      <c r="GNQ65" s="0"/>
      <c r="GNR65" s="0"/>
      <c r="GNS65" s="0"/>
      <c r="GNT65" s="0"/>
      <c r="GNU65" s="0"/>
      <c r="GNV65" s="0"/>
      <c r="GNW65" s="0"/>
      <c r="GNX65" s="0"/>
      <c r="GNY65" s="0"/>
      <c r="GNZ65" s="0"/>
      <c r="GOA65" s="0"/>
      <c r="GOB65" s="0"/>
      <c r="GOC65" s="0"/>
      <c r="GOD65" s="0"/>
      <c r="GOE65" s="0"/>
      <c r="GOF65" s="0"/>
      <c r="GOG65" s="0"/>
      <c r="GOH65" s="0"/>
      <c r="GOI65" s="0"/>
      <c r="GOJ65" s="0"/>
      <c r="GOK65" s="0"/>
      <c r="GOL65" s="0"/>
      <c r="GOM65" s="0"/>
      <c r="GON65" s="0"/>
      <c r="GOO65" s="0"/>
      <c r="GOP65" s="0"/>
      <c r="GOQ65" s="0"/>
      <c r="GOR65" s="0"/>
      <c r="GOS65" s="0"/>
      <c r="GOT65" s="0"/>
      <c r="GOU65" s="0"/>
      <c r="GOV65" s="0"/>
      <c r="GOW65" s="0"/>
      <c r="GOX65" s="0"/>
      <c r="GOY65" s="0"/>
      <c r="GOZ65" s="0"/>
      <c r="GPA65" s="0"/>
      <c r="GPB65" s="0"/>
      <c r="GPC65" s="0"/>
      <c r="GPD65" s="0"/>
      <c r="GPE65" s="0"/>
      <c r="GPF65" s="0"/>
      <c r="GPG65" s="0"/>
      <c r="GPH65" s="0"/>
      <c r="GPI65" s="0"/>
      <c r="GPJ65" s="0"/>
      <c r="GPK65" s="0"/>
      <c r="GPL65" s="0"/>
      <c r="GPM65" s="0"/>
      <c r="GPN65" s="0"/>
      <c r="GPO65" s="0"/>
      <c r="GPP65" s="0"/>
      <c r="GPQ65" s="0"/>
      <c r="GPR65" s="0"/>
      <c r="GPS65" s="0"/>
      <c r="GPT65" s="0"/>
      <c r="GPU65" s="0"/>
      <c r="GPV65" s="0"/>
      <c r="GPW65" s="0"/>
      <c r="GPX65" s="0"/>
      <c r="GPY65" s="0"/>
      <c r="GPZ65" s="0"/>
      <c r="GQA65" s="0"/>
      <c r="GQB65" s="0"/>
      <c r="GQC65" s="0"/>
      <c r="GQD65" s="0"/>
      <c r="GQE65" s="0"/>
      <c r="GQF65" s="0"/>
      <c r="GQG65" s="0"/>
      <c r="GQH65" s="0"/>
      <c r="GQI65" s="0"/>
      <c r="GQJ65" s="0"/>
      <c r="GQK65" s="0"/>
      <c r="GQL65" s="0"/>
      <c r="GQM65" s="0"/>
      <c r="GQN65" s="0"/>
      <c r="GQO65" s="0"/>
      <c r="GQP65" s="0"/>
      <c r="GQQ65" s="0"/>
      <c r="GQR65" s="0"/>
      <c r="GQS65" s="0"/>
      <c r="GQT65" s="0"/>
      <c r="GQU65" s="0"/>
      <c r="GQV65" s="0"/>
      <c r="GQW65" s="0"/>
      <c r="GQX65" s="0"/>
      <c r="GQY65" s="0"/>
      <c r="GQZ65" s="0"/>
      <c r="GRA65" s="0"/>
      <c r="GRB65" s="0"/>
      <c r="GRC65" s="0"/>
      <c r="GRD65" s="0"/>
      <c r="GRE65" s="0"/>
      <c r="GRF65" s="0"/>
      <c r="GRG65" s="0"/>
      <c r="GRH65" s="0"/>
      <c r="GRI65" s="0"/>
      <c r="GRJ65" s="0"/>
      <c r="GRK65" s="0"/>
      <c r="GRL65" s="0"/>
      <c r="GRM65" s="0"/>
      <c r="GRN65" s="0"/>
      <c r="GRO65" s="0"/>
      <c r="GRP65" s="0"/>
      <c r="GRQ65" s="0"/>
      <c r="GRR65" s="0"/>
      <c r="GRS65" s="0"/>
      <c r="GRT65" s="0"/>
      <c r="GRU65" s="0"/>
      <c r="GRV65" s="0"/>
      <c r="GRW65" s="0"/>
      <c r="GRX65" s="0"/>
      <c r="GRY65" s="0"/>
      <c r="GRZ65" s="0"/>
      <c r="GSA65" s="0"/>
      <c r="GSB65" s="0"/>
      <c r="GSC65" s="0"/>
      <c r="GSD65" s="0"/>
      <c r="GSE65" s="0"/>
      <c r="GSF65" s="0"/>
      <c r="GSG65" s="0"/>
      <c r="GSH65" s="0"/>
      <c r="GSI65" s="0"/>
      <c r="GSJ65" s="0"/>
      <c r="GSK65" s="0"/>
      <c r="GSL65" s="0"/>
      <c r="GSM65" s="0"/>
      <c r="GSN65" s="0"/>
      <c r="GSO65" s="0"/>
      <c r="GSP65" s="0"/>
      <c r="GSQ65" s="0"/>
      <c r="GSR65" s="0"/>
      <c r="GSS65" s="0"/>
      <c r="GST65" s="0"/>
      <c r="GSU65" s="0"/>
      <c r="GSV65" s="0"/>
      <c r="GSW65" s="0"/>
      <c r="GSX65" s="0"/>
      <c r="GSY65" s="0"/>
      <c r="GSZ65" s="0"/>
      <c r="GTA65" s="0"/>
      <c r="GTB65" s="0"/>
      <c r="GTC65" s="0"/>
      <c r="GTD65" s="0"/>
      <c r="GTE65" s="0"/>
      <c r="GTF65" s="0"/>
      <c r="GTG65" s="0"/>
      <c r="GTH65" s="0"/>
      <c r="GTI65" s="0"/>
      <c r="GTJ65" s="0"/>
      <c r="GTK65" s="0"/>
      <c r="GTL65" s="0"/>
      <c r="GTM65" s="0"/>
      <c r="GTN65" s="0"/>
      <c r="GTO65" s="0"/>
      <c r="GTP65" s="0"/>
      <c r="GTQ65" s="0"/>
      <c r="GTR65" s="0"/>
      <c r="GTS65" s="0"/>
      <c r="GTT65" s="0"/>
      <c r="GTU65" s="0"/>
      <c r="GTV65" s="0"/>
      <c r="GTW65" s="0"/>
      <c r="GTX65" s="0"/>
      <c r="GTY65" s="0"/>
      <c r="GTZ65" s="0"/>
      <c r="GUA65" s="0"/>
      <c r="GUB65" s="0"/>
      <c r="GUC65" s="0"/>
      <c r="GUD65" s="0"/>
      <c r="GUE65" s="0"/>
      <c r="GUF65" s="0"/>
      <c r="GUG65" s="0"/>
      <c r="GUH65" s="0"/>
      <c r="GUI65" s="0"/>
      <c r="GUJ65" s="0"/>
      <c r="GUK65" s="0"/>
      <c r="GUL65" s="0"/>
      <c r="GUM65" s="0"/>
      <c r="GUN65" s="0"/>
      <c r="GUO65" s="0"/>
      <c r="GUP65" s="0"/>
      <c r="GUQ65" s="0"/>
      <c r="GUR65" s="0"/>
      <c r="GUS65" s="0"/>
      <c r="GUT65" s="0"/>
      <c r="GUU65" s="0"/>
      <c r="GUV65" s="0"/>
      <c r="GUW65" s="0"/>
      <c r="GUX65" s="0"/>
      <c r="GUY65" s="0"/>
      <c r="GUZ65" s="0"/>
      <c r="GVA65" s="0"/>
      <c r="GVB65" s="0"/>
      <c r="GVC65" s="0"/>
      <c r="GVD65" s="0"/>
      <c r="GVE65" s="0"/>
      <c r="GVF65" s="0"/>
      <c r="GVG65" s="0"/>
      <c r="GVH65" s="0"/>
      <c r="GVI65" s="0"/>
      <c r="GVJ65" s="0"/>
      <c r="GVK65" s="0"/>
      <c r="GVL65" s="0"/>
      <c r="GVM65" s="0"/>
      <c r="GVN65" s="0"/>
      <c r="GVO65" s="0"/>
      <c r="GVP65" s="0"/>
      <c r="GVQ65" s="0"/>
      <c r="GVR65" s="0"/>
      <c r="GVS65" s="0"/>
      <c r="GVT65" s="0"/>
      <c r="GVU65" s="0"/>
      <c r="GVV65" s="0"/>
      <c r="GVW65" s="0"/>
      <c r="GVX65" s="0"/>
      <c r="GVY65" s="0"/>
      <c r="GVZ65" s="0"/>
      <c r="GWA65" s="0"/>
      <c r="GWB65" s="0"/>
      <c r="GWC65" s="0"/>
      <c r="GWD65" s="0"/>
      <c r="GWE65" s="0"/>
      <c r="GWF65" s="0"/>
      <c r="GWG65" s="0"/>
      <c r="GWH65" s="0"/>
      <c r="GWI65" s="0"/>
      <c r="GWJ65" s="0"/>
      <c r="GWK65" s="0"/>
      <c r="GWL65" s="0"/>
      <c r="GWM65" s="0"/>
      <c r="GWN65" s="0"/>
      <c r="GWO65" s="0"/>
      <c r="GWP65" s="0"/>
      <c r="GWQ65" s="0"/>
      <c r="GWR65" s="0"/>
      <c r="GWS65" s="0"/>
      <c r="GWT65" s="0"/>
      <c r="GWU65" s="0"/>
      <c r="GWV65" s="0"/>
      <c r="GWW65" s="0"/>
      <c r="GWX65" s="0"/>
      <c r="GWY65" s="0"/>
      <c r="GWZ65" s="0"/>
      <c r="GXA65" s="0"/>
      <c r="GXB65" s="0"/>
      <c r="GXC65" s="0"/>
      <c r="GXD65" s="0"/>
      <c r="GXE65" s="0"/>
      <c r="GXF65" s="0"/>
      <c r="GXG65" s="0"/>
      <c r="GXH65" s="0"/>
      <c r="GXI65" s="0"/>
      <c r="GXJ65" s="0"/>
      <c r="GXK65" s="0"/>
      <c r="GXL65" s="0"/>
      <c r="GXM65" s="0"/>
      <c r="GXN65" s="0"/>
      <c r="GXO65" s="0"/>
      <c r="GXP65" s="0"/>
      <c r="GXQ65" s="0"/>
      <c r="GXR65" s="0"/>
      <c r="GXS65" s="0"/>
      <c r="GXT65" s="0"/>
      <c r="GXU65" s="0"/>
      <c r="GXV65" s="0"/>
      <c r="GXW65" s="0"/>
      <c r="GXX65" s="0"/>
      <c r="GXY65" s="0"/>
      <c r="GXZ65" s="0"/>
      <c r="GYA65" s="0"/>
      <c r="GYB65" s="0"/>
      <c r="GYC65" s="0"/>
      <c r="GYD65" s="0"/>
      <c r="GYE65" s="0"/>
      <c r="GYF65" s="0"/>
      <c r="GYG65" s="0"/>
      <c r="GYH65" s="0"/>
      <c r="GYI65" s="0"/>
      <c r="GYJ65" s="0"/>
      <c r="GYK65" s="0"/>
      <c r="GYL65" s="0"/>
      <c r="GYM65" s="0"/>
      <c r="GYN65" s="0"/>
      <c r="GYO65" s="0"/>
      <c r="GYP65" s="0"/>
      <c r="GYQ65" s="0"/>
      <c r="GYR65" s="0"/>
      <c r="GYS65" s="0"/>
      <c r="GYT65" s="0"/>
      <c r="GYU65" s="0"/>
      <c r="GYV65" s="0"/>
      <c r="GYW65" s="0"/>
      <c r="GYX65" s="0"/>
      <c r="GYY65" s="0"/>
      <c r="GYZ65" s="0"/>
      <c r="GZA65" s="0"/>
      <c r="GZB65" s="0"/>
      <c r="GZC65" s="0"/>
      <c r="GZD65" s="0"/>
      <c r="GZE65" s="0"/>
      <c r="GZF65" s="0"/>
      <c r="GZG65" s="0"/>
      <c r="GZH65" s="0"/>
      <c r="GZI65" s="0"/>
      <c r="GZJ65" s="0"/>
      <c r="GZK65" s="0"/>
      <c r="GZL65" s="0"/>
      <c r="GZM65" s="0"/>
      <c r="GZN65" s="0"/>
      <c r="GZO65" s="0"/>
      <c r="GZP65" s="0"/>
      <c r="GZQ65" s="0"/>
      <c r="GZR65" s="0"/>
      <c r="GZS65" s="0"/>
      <c r="GZT65" s="0"/>
      <c r="GZU65" s="0"/>
      <c r="GZV65" s="0"/>
      <c r="GZW65" s="0"/>
      <c r="GZX65" s="0"/>
      <c r="GZY65" s="0"/>
      <c r="GZZ65" s="0"/>
      <c r="HAA65" s="0"/>
      <c r="HAB65" s="0"/>
      <c r="HAC65" s="0"/>
      <c r="HAD65" s="0"/>
      <c r="HAE65" s="0"/>
      <c r="HAF65" s="0"/>
      <c r="HAG65" s="0"/>
      <c r="HAH65" s="0"/>
      <c r="HAI65" s="0"/>
      <c r="HAJ65" s="0"/>
      <c r="HAK65" s="0"/>
      <c r="HAL65" s="0"/>
      <c r="HAM65" s="0"/>
      <c r="HAN65" s="0"/>
      <c r="HAO65" s="0"/>
      <c r="HAP65" s="0"/>
      <c r="HAQ65" s="0"/>
      <c r="HAR65" s="0"/>
      <c r="HAS65" s="0"/>
      <c r="HAT65" s="0"/>
      <c r="HAU65" s="0"/>
      <c r="HAV65" s="0"/>
      <c r="HAW65" s="0"/>
      <c r="HAX65" s="0"/>
      <c r="HAY65" s="0"/>
      <c r="HAZ65" s="0"/>
      <c r="HBA65" s="0"/>
      <c r="HBB65" s="0"/>
      <c r="HBC65" s="0"/>
      <c r="HBD65" s="0"/>
      <c r="HBE65" s="0"/>
      <c r="HBF65" s="0"/>
      <c r="HBG65" s="0"/>
      <c r="HBH65" s="0"/>
      <c r="HBI65" s="0"/>
      <c r="HBJ65" s="0"/>
      <c r="HBK65" s="0"/>
      <c r="HBL65" s="0"/>
      <c r="HBM65" s="0"/>
      <c r="HBN65" s="0"/>
      <c r="HBO65" s="0"/>
      <c r="HBP65" s="0"/>
      <c r="HBQ65" s="0"/>
      <c r="HBR65" s="0"/>
      <c r="HBS65" s="0"/>
      <c r="HBT65" s="0"/>
      <c r="HBU65" s="0"/>
      <c r="HBV65" s="0"/>
      <c r="HBW65" s="0"/>
      <c r="HBX65" s="0"/>
      <c r="HBY65" s="0"/>
      <c r="HBZ65" s="0"/>
      <c r="HCA65" s="0"/>
      <c r="HCB65" s="0"/>
      <c r="HCC65" s="0"/>
      <c r="HCD65" s="0"/>
      <c r="HCE65" s="0"/>
      <c r="HCF65" s="0"/>
      <c r="HCG65" s="0"/>
      <c r="HCH65" s="0"/>
      <c r="HCI65" s="0"/>
      <c r="HCJ65" s="0"/>
      <c r="HCK65" s="0"/>
      <c r="HCL65" s="0"/>
      <c r="HCM65" s="0"/>
      <c r="HCN65" s="0"/>
      <c r="HCO65" s="0"/>
      <c r="HCP65" s="0"/>
      <c r="HCQ65" s="0"/>
      <c r="HCR65" s="0"/>
      <c r="HCS65" s="0"/>
      <c r="HCT65" s="0"/>
      <c r="HCU65" s="0"/>
      <c r="HCV65" s="0"/>
      <c r="HCW65" s="0"/>
      <c r="HCX65" s="0"/>
      <c r="HCY65" s="0"/>
      <c r="HCZ65" s="0"/>
      <c r="HDA65" s="0"/>
      <c r="HDB65" s="0"/>
      <c r="HDC65" s="0"/>
      <c r="HDD65" s="0"/>
      <c r="HDE65" s="0"/>
      <c r="HDF65" s="0"/>
      <c r="HDG65" s="0"/>
      <c r="HDH65" s="0"/>
      <c r="HDI65" s="0"/>
      <c r="HDJ65" s="0"/>
      <c r="HDK65" s="0"/>
      <c r="HDL65" s="0"/>
      <c r="HDM65" s="0"/>
      <c r="HDN65" s="0"/>
      <c r="HDO65" s="0"/>
      <c r="HDP65" s="0"/>
      <c r="HDQ65" s="0"/>
      <c r="HDR65" s="0"/>
      <c r="HDS65" s="0"/>
      <c r="HDT65" s="0"/>
      <c r="HDU65" s="0"/>
      <c r="HDV65" s="0"/>
      <c r="HDW65" s="0"/>
      <c r="HDX65" s="0"/>
      <c r="HDY65" s="0"/>
      <c r="HDZ65" s="0"/>
      <c r="HEA65" s="0"/>
      <c r="HEB65" s="0"/>
      <c r="HEC65" s="0"/>
      <c r="HED65" s="0"/>
      <c r="HEE65" s="0"/>
      <c r="HEF65" s="0"/>
      <c r="HEG65" s="0"/>
      <c r="HEH65" s="0"/>
      <c r="HEI65" s="0"/>
      <c r="HEJ65" s="0"/>
      <c r="HEK65" s="0"/>
      <c r="HEL65" s="0"/>
      <c r="HEM65" s="0"/>
      <c r="HEN65" s="0"/>
      <c r="HEO65" s="0"/>
      <c r="HEP65" s="0"/>
      <c r="HEQ65" s="0"/>
      <c r="HER65" s="0"/>
      <c r="HES65" s="0"/>
      <c r="HET65" s="0"/>
      <c r="HEU65" s="0"/>
      <c r="HEV65" s="0"/>
      <c r="HEW65" s="0"/>
      <c r="HEX65" s="0"/>
      <c r="HEY65" s="0"/>
      <c r="HEZ65" s="0"/>
      <c r="HFA65" s="0"/>
      <c r="HFB65" s="0"/>
      <c r="HFC65" s="0"/>
      <c r="HFD65" s="0"/>
      <c r="HFE65" s="0"/>
      <c r="HFF65" s="0"/>
      <c r="HFG65" s="0"/>
      <c r="HFH65" s="0"/>
      <c r="HFI65" s="0"/>
      <c r="HFJ65" s="0"/>
      <c r="HFK65" s="0"/>
      <c r="HFL65" s="0"/>
      <c r="HFM65" s="0"/>
      <c r="HFN65" s="0"/>
      <c r="HFO65" s="0"/>
      <c r="HFP65" s="0"/>
      <c r="HFQ65" s="0"/>
      <c r="HFR65" s="0"/>
      <c r="HFS65" s="0"/>
      <c r="HFT65" s="0"/>
      <c r="HFU65" s="0"/>
      <c r="HFV65" s="0"/>
      <c r="HFW65" s="0"/>
      <c r="HFX65" s="0"/>
      <c r="HFY65" s="0"/>
      <c r="HFZ65" s="0"/>
      <c r="HGA65" s="0"/>
      <c r="HGB65" s="0"/>
      <c r="HGC65" s="0"/>
      <c r="HGD65" s="0"/>
      <c r="HGE65" s="0"/>
      <c r="HGF65" s="0"/>
      <c r="HGG65" s="0"/>
      <c r="HGH65" s="0"/>
      <c r="HGI65" s="0"/>
      <c r="HGJ65" s="0"/>
      <c r="HGK65" s="0"/>
      <c r="HGL65" s="0"/>
      <c r="HGM65" s="0"/>
      <c r="HGN65" s="0"/>
      <c r="HGO65" s="0"/>
      <c r="HGP65" s="0"/>
      <c r="HGQ65" s="0"/>
      <c r="HGR65" s="0"/>
      <c r="HGS65" s="0"/>
      <c r="HGT65" s="0"/>
      <c r="HGU65" s="0"/>
      <c r="HGV65" s="0"/>
      <c r="HGW65" s="0"/>
      <c r="HGX65" s="0"/>
      <c r="HGY65" s="0"/>
      <c r="HGZ65" s="0"/>
      <c r="HHA65" s="0"/>
      <c r="HHB65" s="0"/>
      <c r="HHC65" s="0"/>
      <c r="HHD65" s="0"/>
      <c r="HHE65" s="0"/>
      <c r="HHF65" s="0"/>
      <c r="HHG65" s="0"/>
      <c r="HHH65" s="0"/>
      <c r="HHI65" s="0"/>
      <c r="HHJ65" s="0"/>
      <c r="HHK65" s="0"/>
      <c r="HHL65" s="0"/>
      <c r="HHM65" s="0"/>
      <c r="HHN65" s="0"/>
      <c r="HHO65" s="0"/>
      <c r="HHP65" s="0"/>
      <c r="HHQ65" s="0"/>
      <c r="HHR65" s="0"/>
      <c r="HHS65" s="0"/>
      <c r="HHT65" s="0"/>
      <c r="HHU65" s="0"/>
      <c r="HHV65" s="0"/>
      <c r="HHW65" s="0"/>
      <c r="HHX65" s="0"/>
      <c r="HHY65" s="0"/>
      <c r="HHZ65" s="0"/>
      <c r="HIA65" s="0"/>
      <c r="HIB65" s="0"/>
      <c r="HIC65" s="0"/>
      <c r="HID65" s="0"/>
      <c r="HIE65" s="0"/>
      <c r="HIF65" s="0"/>
      <c r="HIG65" s="0"/>
      <c r="HIH65" s="0"/>
      <c r="HII65" s="0"/>
      <c r="HIJ65" s="0"/>
      <c r="HIK65" s="0"/>
      <c r="HIL65" s="0"/>
      <c r="HIM65" s="0"/>
      <c r="HIN65" s="0"/>
      <c r="HIO65" s="0"/>
      <c r="HIP65" s="0"/>
      <c r="HIQ65" s="0"/>
      <c r="HIR65" s="0"/>
      <c r="HIS65" s="0"/>
      <c r="HIT65" s="0"/>
      <c r="HIU65" s="0"/>
      <c r="HIV65" s="0"/>
      <c r="HIW65" s="0"/>
      <c r="HIX65" s="0"/>
      <c r="HIY65" s="0"/>
      <c r="HIZ65" s="0"/>
      <c r="HJA65" s="0"/>
      <c r="HJB65" s="0"/>
      <c r="HJC65" s="0"/>
      <c r="HJD65" s="0"/>
      <c r="HJE65" s="0"/>
      <c r="HJF65" s="0"/>
      <c r="HJG65" s="0"/>
      <c r="HJH65" s="0"/>
      <c r="HJI65" s="0"/>
      <c r="HJJ65" s="0"/>
      <c r="HJK65" s="0"/>
      <c r="HJL65" s="0"/>
      <c r="HJM65" s="0"/>
      <c r="HJN65" s="0"/>
      <c r="HJO65" s="0"/>
      <c r="HJP65" s="0"/>
      <c r="HJQ65" s="0"/>
      <c r="HJR65" s="0"/>
      <c r="HJS65" s="0"/>
      <c r="HJT65" s="0"/>
      <c r="HJU65" s="0"/>
      <c r="HJV65" s="0"/>
      <c r="HJW65" s="0"/>
      <c r="HJX65" s="0"/>
      <c r="HJY65" s="0"/>
      <c r="HJZ65" s="0"/>
      <c r="HKA65" s="0"/>
      <c r="HKB65" s="0"/>
      <c r="HKC65" s="0"/>
      <c r="HKD65" s="0"/>
      <c r="HKE65" s="0"/>
      <c r="HKF65" s="0"/>
      <c r="HKG65" s="0"/>
      <c r="HKH65" s="0"/>
      <c r="HKI65" s="0"/>
      <c r="HKJ65" s="0"/>
      <c r="HKK65" s="0"/>
      <c r="HKL65" s="0"/>
      <c r="HKM65" s="0"/>
      <c r="HKN65" s="0"/>
      <c r="HKO65" s="0"/>
      <c r="HKP65" s="0"/>
      <c r="HKQ65" s="0"/>
      <c r="HKR65" s="0"/>
      <c r="HKS65" s="0"/>
      <c r="HKT65" s="0"/>
      <c r="HKU65" s="0"/>
      <c r="HKV65" s="0"/>
      <c r="HKW65" s="0"/>
      <c r="HKX65" s="0"/>
      <c r="HKY65" s="0"/>
      <c r="HKZ65" s="0"/>
      <c r="HLA65" s="0"/>
      <c r="HLB65" s="0"/>
      <c r="HLC65" s="0"/>
      <c r="HLD65" s="0"/>
      <c r="HLE65" s="0"/>
      <c r="HLF65" s="0"/>
      <c r="HLG65" s="0"/>
      <c r="HLH65" s="0"/>
      <c r="HLI65" s="0"/>
      <c r="HLJ65" s="0"/>
      <c r="HLK65" s="0"/>
      <c r="HLL65" s="0"/>
      <c r="HLM65" s="0"/>
      <c r="HLN65" s="0"/>
      <c r="HLO65" s="0"/>
      <c r="HLP65" s="0"/>
      <c r="HLQ65" s="0"/>
      <c r="HLR65" s="0"/>
      <c r="HLS65" s="0"/>
      <c r="HLT65" s="0"/>
      <c r="HLU65" s="0"/>
      <c r="HLV65" s="0"/>
      <c r="HLW65" s="0"/>
      <c r="HLX65" s="0"/>
      <c r="HLY65" s="0"/>
      <c r="HLZ65" s="0"/>
      <c r="HMA65" s="0"/>
      <c r="HMB65" s="0"/>
      <c r="HMC65" s="0"/>
      <c r="HMD65" s="0"/>
      <c r="HME65" s="0"/>
      <c r="HMF65" s="0"/>
      <c r="HMG65" s="0"/>
      <c r="HMH65" s="0"/>
      <c r="HMI65" s="0"/>
      <c r="HMJ65" s="0"/>
      <c r="HMK65" s="0"/>
      <c r="HML65" s="0"/>
      <c r="HMM65" s="0"/>
      <c r="HMN65" s="0"/>
      <c r="HMO65" s="0"/>
      <c r="HMP65" s="0"/>
      <c r="HMQ65" s="0"/>
      <c r="HMR65" s="0"/>
      <c r="HMS65" s="0"/>
      <c r="HMT65" s="0"/>
      <c r="HMU65" s="0"/>
      <c r="HMV65" s="0"/>
      <c r="HMW65" s="0"/>
      <c r="HMX65" s="0"/>
      <c r="HMY65" s="0"/>
      <c r="HMZ65" s="0"/>
      <c r="HNA65" s="0"/>
      <c r="HNB65" s="0"/>
      <c r="HNC65" s="0"/>
      <c r="HND65" s="0"/>
      <c r="HNE65" s="0"/>
      <c r="HNF65" s="0"/>
      <c r="HNG65" s="0"/>
      <c r="HNH65" s="0"/>
      <c r="HNI65" s="0"/>
      <c r="HNJ65" s="0"/>
      <c r="HNK65" s="0"/>
      <c r="HNL65" s="0"/>
      <c r="HNM65" s="0"/>
      <c r="HNN65" s="0"/>
      <c r="HNO65" s="0"/>
      <c r="HNP65" s="0"/>
      <c r="HNQ65" s="0"/>
      <c r="HNR65" s="0"/>
      <c r="HNS65" s="0"/>
      <c r="HNT65" s="0"/>
      <c r="HNU65" s="0"/>
      <c r="HNV65" s="0"/>
      <c r="HNW65" s="0"/>
      <c r="HNX65" s="0"/>
      <c r="HNY65" s="0"/>
      <c r="HNZ65" s="0"/>
      <c r="HOA65" s="0"/>
      <c r="HOB65" s="0"/>
      <c r="HOC65" s="0"/>
      <c r="HOD65" s="0"/>
      <c r="HOE65" s="0"/>
      <c r="HOF65" s="0"/>
      <c r="HOG65" s="0"/>
      <c r="HOH65" s="0"/>
      <c r="HOI65" s="0"/>
      <c r="HOJ65" s="0"/>
      <c r="HOK65" s="0"/>
      <c r="HOL65" s="0"/>
      <c r="HOM65" s="0"/>
      <c r="HON65" s="0"/>
      <c r="HOO65" s="0"/>
      <c r="HOP65" s="0"/>
      <c r="HOQ65" s="0"/>
      <c r="HOR65" s="0"/>
      <c r="HOS65" s="0"/>
      <c r="HOT65" s="0"/>
      <c r="HOU65" s="0"/>
      <c r="HOV65" s="0"/>
      <c r="HOW65" s="0"/>
      <c r="HOX65" s="0"/>
      <c r="HOY65" s="0"/>
      <c r="HOZ65" s="0"/>
      <c r="HPA65" s="0"/>
      <c r="HPB65" s="0"/>
      <c r="HPC65" s="0"/>
      <c r="HPD65" s="0"/>
      <c r="HPE65" s="0"/>
      <c r="HPF65" s="0"/>
      <c r="HPG65" s="0"/>
      <c r="HPH65" s="0"/>
      <c r="HPI65" s="0"/>
      <c r="HPJ65" s="0"/>
      <c r="HPK65" s="0"/>
      <c r="HPL65" s="0"/>
      <c r="HPM65" s="0"/>
      <c r="HPN65" s="0"/>
      <c r="HPO65" s="0"/>
      <c r="HPP65" s="0"/>
      <c r="HPQ65" s="0"/>
      <c r="HPR65" s="0"/>
      <c r="HPS65" s="0"/>
      <c r="HPT65" s="0"/>
      <c r="HPU65" s="0"/>
      <c r="HPV65" s="0"/>
      <c r="HPW65" s="0"/>
      <c r="HPX65" s="0"/>
      <c r="HPY65" s="0"/>
      <c r="HPZ65" s="0"/>
      <c r="HQA65" s="0"/>
      <c r="HQB65" s="0"/>
      <c r="HQC65" s="0"/>
      <c r="HQD65" s="0"/>
      <c r="HQE65" s="0"/>
      <c r="HQF65" s="0"/>
      <c r="HQG65" s="0"/>
      <c r="HQH65" s="0"/>
      <c r="HQI65" s="0"/>
      <c r="HQJ65" s="0"/>
      <c r="HQK65" s="0"/>
      <c r="HQL65" s="0"/>
      <c r="HQM65" s="0"/>
      <c r="HQN65" s="0"/>
      <c r="HQO65" s="0"/>
      <c r="HQP65" s="0"/>
      <c r="HQQ65" s="0"/>
      <c r="HQR65" s="0"/>
      <c r="HQS65" s="0"/>
      <c r="HQT65" s="0"/>
      <c r="HQU65" s="0"/>
      <c r="HQV65" s="0"/>
      <c r="HQW65" s="0"/>
      <c r="HQX65" s="0"/>
      <c r="HQY65" s="0"/>
      <c r="HQZ65" s="0"/>
      <c r="HRA65" s="0"/>
      <c r="HRB65" s="0"/>
      <c r="HRC65" s="0"/>
      <c r="HRD65" s="0"/>
      <c r="HRE65" s="0"/>
      <c r="HRF65" s="0"/>
      <c r="HRG65" s="0"/>
      <c r="HRH65" s="0"/>
      <c r="HRI65" s="0"/>
      <c r="HRJ65" s="0"/>
      <c r="HRK65" s="0"/>
      <c r="HRL65" s="0"/>
      <c r="HRM65" s="0"/>
      <c r="HRN65" s="0"/>
      <c r="HRO65" s="0"/>
      <c r="HRP65" s="0"/>
      <c r="HRQ65" s="0"/>
      <c r="HRR65" s="0"/>
      <c r="HRS65" s="0"/>
      <c r="HRT65" s="0"/>
      <c r="HRU65" s="0"/>
      <c r="HRV65" s="0"/>
      <c r="HRW65" s="0"/>
      <c r="HRX65" s="0"/>
      <c r="HRY65" s="0"/>
      <c r="HRZ65" s="0"/>
      <c r="HSA65" s="0"/>
      <c r="HSB65" s="0"/>
      <c r="HSC65" s="0"/>
      <c r="HSD65" s="0"/>
      <c r="HSE65" s="0"/>
      <c r="HSF65" s="0"/>
      <c r="HSG65" s="0"/>
      <c r="HSH65" s="0"/>
      <c r="HSI65" s="0"/>
      <c r="HSJ65" s="0"/>
      <c r="HSK65" s="0"/>
      <c r="HSL65" s="0"/>
      <c r="HSM65" s="0"/>
      <c r="HSN65" s="0"/>
      <c r="HSO65" s="0"/>
      <c r="HSP65" s="0"/>
      <c r="HSQ65" s="0"/>
      <c r="HSR65" s="0"/>
      <c r="HSS65" s="0"/>
      <c r="HST65" s="0"/>
      <c r="HSU65" s="0"/>
      <c r="HSV65" s="0"/>
      <c r="HSW65" s="0"/>
      <c r="HSX65" s="0"/>
      <c r="HSY65" s="0"/>
      <c r="HSZ65" s="0"/>
      <c r="HTA65" s="0"/>
      <c r="HTB65" s="0"/>
      <c r="HTC65" s="0"/>
      <c r="HTD65" s="0"/>
      <c r="HTE65" s="0"/>
      <c r="HTF65" s="0"/>
      <c r="HTG65" s="0"/>
      <c r="HTH65" s="0"/>
      <c r="HTI65" s="0"/>
      <c r="HTJ65" s="0"/>
      <c r="HTK65" s="0"/>
      <c r="HTL65" s="0"/>
      <c r="HTM65" s="0"/>
      <c r="HTN65" s="0"/>
      <c r="HTO65" s="0"/>
      <c r="HTP65" s="0"/>
      <c r="HTQ65" s="0"/>
      <c r="HTR65" s="0"/>
      <c r="HTS65" s="0"/>
      <c r="HTT65" s="0"/>
      <c r="HTU65" s="0"/>
      <c r="HTV65" s="0"/>
      <c r="HTW65" s="0"/>
      <c r="HTX65" s="0"/>
      <c r="HTY65" s="0"/>
      <c r="HTZ65" s="0"/>
      <c r="HUA65" s="0"/>
      <c r="HUB65" s="0"/>
      <c r="HUC65" s="0"/>
      <c r="HUD65" s="0"/>
      <c r="HUE65" s="0"/>
      <c r="HUF65" s="0"/>
      <c r="HUG65" s="0"/>
      <c r="HUH65" s="0"/>
      <c r="HUI65" s="0"/>
      <c r="HUJ65" s="0"/>
      <c r="HUK65" s="0"/>
      <c r="HUL65" s="0"/>
      <c r="HUM65" s="0"/>
      <c r="HUN65" s="0"/>
      <c r="HUO65" s="0"/>
      <c r="HUP65" s="0"/>
      <c r="HUQ65" s="0"/>
      <c r="HUR65" s="0"/>
      <c r="HUS65" s="0"/>
      <c r="HUT65" s="0"/>
      <c r="HUU65" s="0"/>
      <c r="HUV65" s="0"/>
      <c r="HUW65" s="0"/>
      <c r="HUX65" s="0"/>
      <c r="HUY65" s="0"/>
      <c r="HUZ65" s="0"/>
      <c r="HVA65" s="0"/>
      <c r="HVB65" s="0"/>
      <c r="HVC65" s="0"/>
      <c r="HVD65" s="0"/>
      <c r="HVE65" s="0"/>
      <c r="HVF65" s="0"/>
      <c r="HVG65" s="0"/>
      <c r="HVH65" s="0"/>
      <c r="HVI65" s="0"/>
      <c r="HVJ65" s="0"/>
      <c r="HVK65" s="0"/>
      <c r="HVL65" s="0"/>
      <c r="HVM65" s="0"/>
      <c r="HVN65" s="0"/>
      <c r="HVO65" s="0"/>
      <c r="HVP65" s="0"/>
      <c r="HVQ65" s="0"/>
      <c r="HVR65" s="0"/>
      <c r="HVS65" s="0"/>
      <c r="HVT65" s="0"/>
      <c r="HVU65" s="0"/>
      <c r="HVV65" s="0"/>
      <c r="HVW65" s="0"/>
      <c r="HVX65" s="0"/>
      <c r="HVY65" s="0"/>
      <c r="HVZ65" s="0"/>
      <c r="HWA65" s="0"/>
      <c r="HWB65" s="0"/>
      <c r="HWC65" s="0"/>
      <c r="HWD65" s="0"/>
      <c r="HWE65" s="0"/>
      <c r="HWF65" s="0"/>
      <c r="HWG65" s="0"/>
      <c r="HWH65" s="0"/>
      <c r="HWI65" s="0"/>
      <c r="HWJ65" s="0"/>
      <c r="HWK65" s="0"/>
      <c r="HWL65" s="0"/>
      <c r="HWM65" s="0"/>
      <c r="HWN65" s="0"/>
      <c r="HWO65" s="0"/>
      <c r="HWP65" s="0"/>
      <c r="HWQ65" s="0"/>
      <c r="HWR65" s="0"/>
      <c r="HWS65" s="0"/>
      <c r="HWT65" s="0"/>
      <c r="HWU65" s="0"/>
      <c r="HWV65" s="0"/>
      <c r="HWW65" s="0"/>
      <c r="HWX65" s="0"/>
      <c r="HWY65" s="0"/>
      <c r="HWZ65" s="0"/>
      <c r="HXA65" s="0"/>
      <c r="HXB65" s="0"/>
      <c r="HXC65" s="0"/>
      <c r="HXD65" s="0"/>
      <c r="HXE65" s="0"/>
      <c r="HXF65" s="0"/>
      <c r="HXG65" s="0"/>
      <c r="HXH65" s="0"/>
      <c r="HXI65" s="0"/>
      <c r="HXJ65" s="0"/>
      <c r="HXK65" s="0"/>
      <c r="HXL65" s="0"/>
      <c r="HXM65" s="0"/>
      <c r="HXN65" s="0"/>
      <c r="HXO65" s="0"/>
      <c r="HXP65" s="0"/>
      <c r="HXQ65" s="0"/>
      <c r="HXR65" s="0"/>
      <c r="HXS65" s="0"/>
      <c r="HXT65" s="0"/>
      <c r="HXU65" s="0"/>
      <c r="HXV65" s="0"/>
      <c r="HXW65" s="0"/>
      <c r="HXX65" s="0"/>
      <c r="HXY65" s="0"/>
      <c r="HXZ65" s="0"/>
      <c r="HYA65" s="0"/>
      <c r="HYB65" s="0"/>
      <c r="HYC65" s="0"/>
      <c r="HYD65" s="0"/>
      <c r="HYE65" s="0"/>
      <c r="HYF65" s="0"/>
      <c r="HYG65" s="0"/>
      <c r="HYH65" s="0"/>
      <c r="HYI65" s="0"/>
      <c r="HYJ65" s="0"/>
      <c r="HYK65" s="0"/>
      <c r="HYL65" s="0"/>
      <c r="HYM65" s="0"/>
      <c r="HYN65" s="0"/>
      <c r="HYO65" s="0"/>
      <c r="HYP65" s="0"/>
      <c r="HYQ65" s="0"/>
      <c r="HYR65" s="0"/>
      <c r="HYS65" s="0"/>
      <c r="HYT65" s="0"/>
      <c r="HYU65" s="0"/>
      <c r="HYV65" s="0"/>
      <c r="HYW65" s="0"/>
      <c r="HYX65" s="0"/>
      <c r="HYY65" s="0"/>
      <c r="HYZ65" s="0"/>
      <c r="HZA65" s="0"/>
      <c r="HZB65" s="0"/>
      <c r="HZC65" s="0"/>
      <c r="HZD65" s="0"/>
      <c r="HZE65" s="0"/>
      <c r="HZF65" s="0"/>
      <c r="HZG65" s="0"/>
      <c r="HZH65" s="0"/>
      <c r="HZI65" s="0"/>
      <c r="HZJ65" s="0"/>
      <c r="HZK65" s="0"/>
      <c r="HZL65" s="0"/>
      <c r="HZM65" s="0"/>
      <c r="HZN65" s="0"/>
      <c r="HZO65" s="0"/>
      <c r="HZP65" s="0"/>
      <c r="HZQ65" s="0"/>
      <c r="HZR65" s="0"/>
      <c r="HZS65" s="0"/>
      <c r="HZT65" s="0"/>
      <c r="HZU65" s="0"/>
      <c r="HZV65" s="0"/>
      <c r="HZW65" s="0"/>
      <c r="HZX65" s="0"/>
      <c r="HZY65" s="0"/>
      <c r="HZZ65" s="0"/>
      <c r="IAA65" s="0"/>
      <c r="IAB65" s="0"/>
      <c r="IAC65" s="0"/>
      <c r="IAD65" s="0"/>
      <c r="IAE65" s="0"/>
      <c r="IAF65" s="0"/>
      <c r="IAG65" s="0"/>
      <c r="IAH65" s="0"/>
      <c r="IAI65" s="0"/>
      <c r="IAJ65" s="0"/>
      <c r="IAK65" s="0"/>
      <c r="IAL65" s="0"/>
      <c r="IAM65" s="0"/>
      <c r="IAN65" s="0"/>
      <c r="IAO65" s="0"/>
      <c r="IAP65" s="0"/>
      <c r="IAQ65" s="0"/>
      <c r="IAR65" s="0"/>
      <c r="IAS65" s="0"/>
      <c r="IAT65" s="0"/>
      <c r="IAU65" s="0"/>
      <c r="IAV65" s="0"/>
      <c r="IAW65" s="0"/>
      <c r="IAX65" s="0"/>
      <c r="IAY65" s="0"/>
      <c r="IAZ65" s="0"/>
      <c r="IBA65" s="0"/>
      <c r="IBB65" s="0"/>
      <c r="IBC65" s="0"/>
      <c r="IBD65" s="0"/>
      <c r="IBE65" s="0"/>
      <c r="IBF65" s="0"/>
      <c r="IBG65" s="0"/>
      <c r="IBH65" s="0"/>
      <c r="IBI65" s="0"/>
      <c r="IBJ65" s="0"/>
      <c r="IBK65" s="0"/>
      <c r="IBL65" s="0"/>
      <c r="IBM65" s="0"/>
      <c r="IBN65" s="0"/>
      <c r="IBO65" s="0"/>
      <c r="IBP65" s="0"/>
      <c r="IBQ65" s="0"/>
      <c r="IBR65" s="0"/>
      <c r="IBS65" s="0"/>
      <c r="IBT65" s="0"/>
      <c r="IBU65" s="0"/>
      <c r="IBV65" s="0"/>
      <c r="IBW65" s="0"/>
      <c r="IBX65" s="0"/>
      <c r="IBY65" s="0"/>
      <c r="IBZ65" s="0"/>
      <c r="ICA65" s="0"/>
      <c r="ICB65" s="0"/>
      <c r="ICC65" s="0"/>
      <c r="ICD65" s="0"/>
      <c r="ICE65" s="0"/>
      <c r="ICF65" s="0"/>
      <c r="ICG65" s="0"/>
      <c r="ICH65" s="0"/>
      <c r="ICI65" s="0"/>
      <c r="ICJ65" s="0"/>
      <c r="ICK65" s="0"/>
      <c r="ICL65" s="0"/>
      <c r="ICM65" s="0"/>
      <c r="ICN65" s="0"/>
      <c r="ICO65" s="0"/>
      <c r="ICP65" s="0"/>
      <c r="ICQ65" s="0"/>
      <c r="ICR65" s="0"/>
      <c r="ICS65" s="0"/>
      <c r="ICT65" s="0"/>
      <c r="ICU65" s="0"/>
      <c r="ICV65" s="0"/>
      <c r="ICW65" s="0"/>
      <c r="ICX65" s="0"/>
      <c r="ICY65" s="0"/>
      <c r="ICZ65" s="0"/>
      <c r="IDA65" s="0"/>
      <c r="IDB65" s="0"/>
      <c r="IDC65" s="0"/>
      <c r="IDD65" s="0"/>
      <c r="IDE65" s="0"/>
      <c r="IDF65" s="0"/>
      <c r="IDG65" s="0"/>
      <c r="IDH65" s="0"/>
      <c r="IDI65" s="0"/>
      <c r="IDJ65" s="0"/>
      <c r="IDK65" s="0"/>
      <c r="IDL65" s="0"/>
      <c r="IDM65" s="0"/>
      <c r="IDN65" s="0"/>
      <c r="IDO65" s="0"/>
      <c r="IDP65" s="0"/>
      <c r="IDQ65" s="0"/>
      <c r="IDR65" s="0"/>
      <c r="IDS65" s="0"/>
      <c r="IDT65" s="0"/>
      <c r="IDU65" s="0"/>
      <c r="IDV65" s="0"/>
      <c r="IDW65" s="0"/>
      <c r="IDX65" s="0"/>
      <c r="IDY65" s="0"/>
      <c r="IDZ65" s="0"/>
      <c r="IEA65" s="0"/>
      <c r="IEB65" s="0"/>
      <c r="IEC65" s="0"/>
      <c r="IED65" s="0"/>
      <c r="IEE65" s="0"/>
      <c r="IEF65" s="0"/>
      <c r="IEG65" s="0"/>
      <c r="IEH65" s="0"/>
      <c r="IEI65" s="0"/>
      <c r="IEJ65" s="0"/>
      <c r="IEK65" s="0"/>
      <c r="IEL65" s="0"/>
      <c r="IEM65" s="0"/>
      <c r="IEN65" s="0"/>
      <c r="IEO65" s="0"/>
      <c r="IEP65" s="0"/>
      <c r="IEQ65" s="0"/>
      <c r="IER65" s="0"/>
      <c r="IES65" s="0"/>
      <c r="IET65" s="0"/>
      <c r="IEU65" s="0"/>
      <c r="IEV65" s="0"/>
      <c r="IEW65" s="0"/>
      <c r="IEX65" s="0"/>
      <c r="IEY65" s="0"/>
      <c r="IEZ65" s="0"/>
      <c r="IFA65" s="0"/>
      <c r="IFB65" s="0"/>
      <c r="IFC65" s="0"/>
      <c r="IFD65" s="0"/>
      <c r="IFE65" s="0"/>
      <c r="IFF65" s="0"/>
      <c r="IFG65" s="0"/>
      <c r="IFH65" s="0"/>
      <c r="IFI65" s="0"/>
      <c r="IFJ65" s="0"/>
      <c r="IFK65" s="0"/>
      <c r="IFL65" s="0"/>
      <c r="IFM65" s="0"/>
      <c r="IFN65" s="0"/>
      <c r="IFO65" s="0"/>
      <c r="IFP65" s="0"/>
      <c r="IFQ65" s="0"/>
      <c r="IFR65" s="0"/>
      <c r="IFS65" s="0"/>
      <c r="IFT65" s="0"/>
      <c r="IFU65" s="0"/>
      <c r="IFV65" s="0"/>
      <c r="IFW65" s="0"/>
      <c r="IFX65" s="0"/>
      <c r="IFY65" s="0"/>
      <c r="IFZ65" s="0"/>
      <c r="IGA65" s="0"/>
      <c r="IGB65" s="0"/>
      <c r="IGC65" s="0"/>
      <c r="IGD65" s="0"/>
      <c r="IGE65" s="0"/>
      <c r="IGF65" s="0"/>
      <c r="IGG65" s="0"/>
      <c r="IGH65" s="0"/>
      <c r="IGI65" s="0"/>
      <c r="IGJ65" s="0"/>
      <c r="IGK65" s="0"/>
      <c r="IGL65" s="0"/>
      <c r="IGM65" s="0"/>
      <c r="IGN65" s="0"/>
      <c r="IGO65" s="0"/>
      <c r="IGP65" s="0"/>
      <c r="IGQ65" s="0"/>
      <c r="IGR65" s="0"/>
      <c r="IGS65" s="0"/>
      <c r="IGT65" s="0"/>
      <c r="IGU65" s="0"/>
      <c r="IGV65" s="0"/>
      <c r="IGW65" s="0"/>
      <c r="IGX65" s="0"/>
      <c r="IGY65" s="0"/>
      <c r="IGZ65" s="0"/>
      <c r="IHA65" s="0"/>
      <c r="IHB65" s="0"/>
      <c r="IHC65" s="0"/>
      <c r="IHD65" s="0"/>
      <c r="IHE65" s="0"/>
      <c r="IHF65" s="0"/>
      <c r="IHG65" s="0"/>
      <c r="IHH65" s="0"/>
      <c r="IHI65" s="0"/>
      <c r="IHJ65" s="0"/>
      <c r="IHK65" s="0"/>
      <c r="IHL65" s="0"/>
      <c r="IHM65" s="0"/>
      <c r="IHN65" s="0"/>
      <c r="IHO65" s="0"/>
      <c r="IHP65" s="0"/>
      <c r="IHQ65" s="0"/>
      <c r="IHR65" s="0"/>
      <c r="IHS65" s="0"/>
      <c r="IHT65" s="0"/>
      <c r="IHU65" s="0"/>
      <c r="IHV65" s="0"/>
      <c r="IHW65" s="0"/>
      <c r="IHX65" s="0"/>
      <c r="IHY65" s="0"/>
      <c r="IHZ65" s="0"/>
      <c r="IIA65" s="0"/>
      <c r="IIB65" s="0"/>
      <c r="IIC65" s="0"/>
      <c r="IID65" s="0"/>
      <c r="IIE65" s="0"/>
      <c r="IIF65" s="0"/>
      <c r="IIG65" s="0"/>
      <c r="IIH65" s="0"/>
      <c r="III65" s="0"/>
      <c r="IIJ65" s="0"/>
      <c r="IIK65" s="0"/>
      <c r="IIL65" s="0"/>
      <c r="IIM65" s="0"/>
      <c r="IIN65" s="0"/>
      <c r="IIO65" s="0"/>
      <c r="IIP65" s="0"/>
      <c r="IIQ65" s="0"/>
      <c r="IIR65" s="0"/>
      <c r="IIS65" s="0"/>
      <c r="IIT65" s="0"/>
      <c r="IIU65" s="0"/>
      <c r="IIV65" s="0"/>
      <c r="IIW65" s="0"/>
      <c r="IIX65" s="0"/>
      <c r="IIY65" s="0"/>
      <c r="IIZ65" s="0"/>
      <c r="IJA65" s="0"/>
      <c r="IJB65" s="0"/>
      <c r="IJC65" s="0"/>
      <c r="IJD65" s="0"/>
      <c r="IJE65" s="0"/>
      <c r="IJF65" s="0"/>
      <c r="IJG65" s="0"/>
      <c r="IJH65" s="0"/>
      <c r="IJI65" s="0"/>
      <c r="IJJ65" s="0"/>
      <c r="IJK65" s="0"/>
      <c r="IJL65" s="0"/>
      <c r="IJM65" s="0"/>
      <c r="IJN65" s="0"/>
      <c r="IJO65" s="0"/>
      <c r="IJP65" s="0"/>
      <c r="IJQ65" s="0"/>
      <c r="IJR65" s="0"/>
      <c r="IJS65" s="0"/>
      <c r="IJT65" s="0"/>
      <c r="IJU65" s="0"/>
      <c r="IJV65" s="0"/>
      <c r="IJW65" s="0"/>
      <c r="IJX65" s="0"/>
      <c r="IJY65" s="0"/>
      <c r="IJZ65" s="0"/>
      <c r="IKA65" s="0"/>
      <c r="IKB65" s="0"/>
      <c r="IKC65" s="0"/>
      <c r="IKD65" s="0"/>
      <c r="IKE65" s="0"/>
      <c r="IKF65" s="0"/>
      <c r="IKG65" s="0"/>
      <c r="IKH65" s="0"/>
      <c r="IKI65" s="0"/>
      <c r="IKJ65" s="0"/>
      <c r="IKK65" s="0"/>
      <c r="IKL65" s="0"/>
      <c r="IKM65" s="0"/>
      <c r="IKN65" s="0"/>
      <c r="IKO65" s="0"/>
      <c r="IKP65" s="0"/>
      <c r="IKQ65" s="0"/>
      <c r="IKR65" s="0"/>
      <c r="IKS65" s="0"/>
      <c r="IKT65" s="0"/>
      <c r="IKU65" s="0"/>
      <c r="IKV65" s="0"/>
      <c r="IKW65" s="0"/>
      <c r="IKX65" s="0"/>
      <c r="IKY65" s="0"/>
      <c r="IKZ65" s="0"/>
      <c r="ILA65" s="0"/>
      <c r="ILB65" s="0"/>
      <c r="ILC65" s="0"/>
      <c r="ILD65" s="0"/>
      <c r="ILE65" s="0"/>
      <c r="ILF65" s="0"/>
      <c r="ILG65" s="0"/>
      <c r="ILH65" s="0"/>
      <c r="ILI65" s="0"/>
      <c r="ILJ65" s="0"/>
      <c r="ILK65" s="0"/>
      <c r="ILL65" s="0"/>
      <c r="ILM65" s="0"/>
      <c r="ILN65" s="0"/>
      <c r="ILO65" s="0"/>
      <c r="ILP65" s="0"/>
      <c r="ILQ65" s="0"/>
      <c r="ILR65" s="0"/>
      <c r="ILS65" s="0"/>
      <c r="ILT65" s="0"/>
      <c r="ILU65" s="0"/>
      <c r="ILV65" s="0"/>
      <c r="ILW65" s="0"/>
      <c r="ILX65" s="0"/>
      <c r="ILY65" s="0"/>
      <c r="ILZ65" s="0"/>
      <c r="IMA65" s="0"/>
      <c r="IMB65" s="0"/>
      <c r="IMC65" s="0"/>
      <c r="IMD65" s="0"/>
      <c r="IME65" s="0"/>
      <c r="IMF65" s="0"/>
      <c r="IMG65" s="0"/>
      <c r="IMH65" s="0"/>
      <c r="IMI65" s="0"/>
      <c r="IMJ65" s="0"/>
      <c r="IMK65" s="0"/>
      <c r="IML65" s="0"/>
      <c r="IMM65" s="0"/>
      <c r="IMN65" s="0"/>
      <c r="IMO65" s="0"/>
      <c r="IMP65" s="0"/>
      <c r="IMQ65" s="0"/>
      <c r="IMR65" s="0"/>
      <c r="IMS65" s="0"/>
      <c r="IMT65" s="0"/>
      <c r="IMU65" s="0"/>
      <c r="IMV65" s="0"/>
      <c r="IMW65" s="0"/>
      <c r="IMX65" s="0"/>
      <c r="IMY65" s="0"/>
      <c r="IMZ65" s="0"/>
      <c r="INA65" s="0"/>
      <c r="INB65" s="0"/>
      <c r="INC65" s="0"/>
      <c r="IND65" s="0"/>
      <c r="INE65" s="0"/>
      <c r="INF65" s="0"/>
      <c r="ING65" s="0"/>
      <c r="INH65" s="0"/>
      <c r="INI65" s="0"/>
      <c r="INJ65" s="0"/>
      <c r="INK65" s="0"/>
      <c r="INL65" s="0"/>
      <c r="INM65" s="0"/>
      <c r="INN65" s="0"/>
      <c r="INO65" s="0"/>
      <c r="INP65" s="0"/>
      <c r="INQ65" s="0"/>
      <c r="INR65" s="0"/>
      <c r="INS65" s="0"/>
      <c r="INT65" s="0"/>
      <c r="INU65" s="0"/>
      <c r="INV65" s="0"/>
      <c r="INW65" s="0"/>
      <c r="INX65" s="0"/>
      <c r="INY65" s="0"/>
      <c r="INZ65" s="0"/>
      <c r="IOA65" s="0"/>
      <c r="IOB65" s="0"/>
      <c r="IOC65" s="0"/>
      <c r="IOD65" s="0"/>
      <c r="IOE65" s="0"/>
      <c r="IOF65" s="0"/>
      <c r="IOG65" s="0"/>
      <c r="IOH65" s="0"/>
      <c r="IOI65" s="0"/>
      <c r="IOJ65" s="0"/>
      <c r="IOK65" s="0"/>
      <c r="IOL65" s="0"/>
      <c r="IOM65" s="0"/>
      <c r="ION65" s="0"/>
      <c r="IOO65" s="0"/>
      <c r="IOP65" s="0"/>
      <c r="IOQ65" s="0"/>
      <c r="IOR65" s="0"/>
      <c r="IOS65" s="0"/>
      <c r="IOT65" s="0"/>
      <c r="IOU65" s="0"/>
      <c r="IOV65" s="0"/>
      <c r="IOW65" s="0"/>
      <c r="IOX65" s="0"/>
      <c r="IOY65" s="0"/>
      <c r="IOZ65" s="0"/>
      <c r="IPA65" s="0"/>
      <c r="IPB65" s="0"/>
      <c r="IPC65" s="0"/>
      <c r="IPD65" s="0"/>
      <c r="IPE65" s="0"/>
      <c r="IPF65" s="0"/>
      <c r="IPG65" s="0"/>
      <c r="IPH65" s="0"/>
      <c r="IPI65" s="0"/>
      <c r="IPJ65" s="0"/>
      <c r="IPK65" s="0"/>
      <c r="IPL65" s="0"/>
      <c r="IPM65" s="0"/>
      <c r="IPN65" s="0"/>
      <c r="IPO65" s="0"/>
      <c r="IPP65" s="0"/>
      <c r="IPQ65" s="0"/>
      <c r="IPR65" s="0"/>
      <c r="IPS65" s="0"/>
      <c r="IPT65" s="0"/>
      <c r="IPU65" s="0"/>
      <c r="IPV65" s="0"/>
      <c r="IPW65" s="0"/>
      <c r="IPX65" s="0"/>
      <c r="IPY65" s="0"/>
      <c r="IPZ65" s="0"/>
      <c r="IQA65" s="0"/>
      <c r="IQB65" s="0"/>
      <c r="IQC65" s="0"/>
      <c r="IQD65" s="0"/>
      <c r="IQE65" s="0"/>
      <c r="IQF65" s="0"/>
      <c r="IQG65" s="0"/>
      <c r="IQH65" s="0"/>
      <c r="IQI65" s="0"/>
      <c r="IQJ65" s="0"/>
      <c r="IQK65" s="0"/>
      <c r="IQL65" s="0"/>
      <c r="IQM65" s="0"/>
      <c r="IQN65" s="0"/>
      <c r="IQO65" s="0"/>
      <c r="IQP65" s="0"/>
      <c r="IQQ65" s="0"/>
      <c r="IQR65" s="0"/>
      <c r="IQS65" s="0"/>
      <c r="IQT65" s="0"/>
      <c r="IQU65" s="0"/>
      <c r="IQV65" s="0"/>
      <c r="IQW65" s="0"/>
      <c r="IQX65" s="0"/>
      <c r="IQY65" s="0"/>
      <c r="IQZ65" s="0"/>
      <c r="IRA65" s="0"/>
      <c r="IRB65" s="0"/>
      <c r="IRC65" s="0"/>
      <c r="IRD65" s="0"/>
      <c r="IRE65" s="0"/>
      <c r="IRF65" s="0"/>
      <c r="IRG65" s="0"/>
      <c r="IRH65" s="0"/>
      <c r="IRI65" s="0"/>
      <c r="IRJ65" s="0"/>
      <c r="IRK65" s="0"/>
      <c r="IRL65" s="0"/>
      <c r="IRM65" s="0"/>
      <c r="IRN65" s="0"/>
      <c r="IRO65" s="0"/>
      <c r="IRP65" s="0"/>
      <c r="IRQ65" s="0"/>
      <c r="IRR65" s="0"/>
      <c r="IRS65" s="0"/>
      <c r="IRT65" s="0"/>
      <c r="IRU65" s="0"/>
      <c r="IRV65" s="0"/>
      <c r="IRW65" s="0"/>
      <c r="IRX65" s="0"/>
      <c r="IRY65" s="0"/>
      <c r="IRZ65" s="0"/>
      <c r="ISA65" s="0"/>
      <c r="ISB65" s="0"/>
      <c r="ISC65" s="0"/>
      <c r="ISD65" s="0"/>
      <c r="ISE65" s="0"/>
      <c r="ISF65" s="0"/>
      <c r="ISG65" s="0"/>
      <c r="ISH65" s="0"/>
      <c r="ISI65" s="0"/>
      <c r="ISJ65" s="0"/>
      <c r="ISK65" s="0"/>
      <c r="ISL65" s="0"/>
      <c r="ISM65" s="0"/>
      <c r="ISN65" s="0"/>
      <c r="ISO65" s="0"/>
      <c r="ISP65" s="0"/>
      <c r="ISQ65" s="0"/>
      <c r="ISR65" s="0"/>
      <c r="ISS65" s="0"/>
      <c r="IST65" s="0"/>
      <c r="ISU65" s="0"/>
      <c r="ISV65" s="0"/>
      <c r="ISW65" s="0"/>
      <c r="ISX65" s="0"/>
      <c r="ISY65" s="0"/>
      <c r="ISZ65" s="0"/>
      <c r="ITA65" s="0"/>
      <c r="ITB65" s="0"/>
      <c r="ITC65" s="0"/>
      <c r="ITD65" s="0"/>
      <c r="ITE65" s="0"/>
      <c r="ITF65" s="0"/>
      <c r="ITG65" s="0"/>
      <c r="ITH65" s="0"/>
      <c r="ITI65" s="0"/>
      <c r="ITJ65" s="0"/>
      <c r="ITK65" s="0"/>
      <c r="ITL65" s="0"/>
      <c r="ITM65" s="0"/>
      <c r="ITN65" s="0"/>
      <c r="ITO65" s="0"/>
      <c r="ITP65" s="0"/>
      <c r="ITQ65" s="0"/>
      <c r="ITR65" s="0"/>
      <c r="ITS65" s="0"/>
      <c r="ITT65" s="0"/>
      <c r="ITU65" s="0"/>
      <c r="ITV65" s="0"/>
      <c r="ITW65" s="0"/>
      <c r="ITX65" s="0"/>
      <c r="ITY65" s="0"/>
      <c r="ITZ65" s="0"/>
      <c r="IUA65" s="0"/>
      <c r="IUB65" s="0"/>
      <c r="IUC65" s="0"/>
      <c r="IUD65" s="0"/>
      <c r="IUE65" s="0"/>
      <c r="IUF65" s="0"/>
      <c r="IUG65" s="0"/>
      <c r="IUH65" s="0"/>
      <c r="IUI65" s="0"/>
      <c r="IUJ65" s="0"/>
      <c r="IUK65" s="0"/>
      <c r="IUL65" s="0"/>
      <c r="IUM65" s="0"/>
      <c r="IUN65" s="0"/>
      <c r="IUO65" s="0"/>
      <c r="IUP65" s="0"/>
      <c r="IUQ65" s="0"/>
      <c r="IUR65" s="0"/>
      <c r="IUS65" s="0"/>
      <c r="IUT65" s="0"/>
      <c r="IUU65" s="0"/>
      <c r="IUV65" s="0"/>
      <c r="IUW65" s="0"/>
      <c r="IUX65" s="0"/>
      <c r="IUY65" s="0"/>
      <c r="IUZ65" s="0"/>
      <c r="IVA65" s="0"/>
      <c r="IVB65" s="0"/>
      <c r="IVC65" s="0"/>
      <c r="IVD65" s="0"/>
      <c r="IVE65" s="0"/>
      <c r="IVF65" s="0"/>
      <c r="IVG65" s="0"/>
      <c r="IVH65" s="0"/>
      <c r="IVI65" s="0"/>
      <c r="IVJ65" s="0"/>
      <c r="IVK65" s="0"/>
      <c r="IVL65" s="0"/>
      <c r="IVM65" s="0"/>
      <c r="IVN65" s="0"/>
      <c r="IVO65" s="0"/>
      <c r="IVP65" s="0"/>
      <c r="IVQ65" s="0"/>
      <c r="IVR65" s="0"/>
      <c r="IVS65" s="0"/>
      <c r="IVT65" s="0"/>
      <c r="IVU65" s="0"/>
      <c r="IVV65" s="0"/>
      <c r="IVW65" s="0"/>
      <c r="IVX65" s="0"/>
      <c r="IVY65" s="0"/>
      <c r="IVZ65" s="0"/>
      <c r="IWA65" s="0"/>
      <c r="IWB65" s="0"/>
      <c r="IWC65" s="0"/>
      <c r="IWD65" s="0"/>
      <c r="IWE65" s="0"/>
      <c r="IWF65" s="0"/>
      <c r="IWG65" s="0"/>
      <c r="IWH65" s="0"/>
      <c r="IWI65" s="0"/>
      <c r="IWJ65" s="0"/>
      <c r="IWK65" s="0"/>
      <c r="IWL65" s="0"/>
      <c r="IWM65" s="0"/>
      <c r="IWN65" s="0"/>
      <c r="IWO65" s="0"/>
      <c r="IWP65" s="0"/>
      <c r="IWQ65" s="0"/>
      <c r="IWR65" s="0"/>
      <c r="IWS65" s="0"/>
      <c r="IWT65" s="0"/>
      <c r="IWU65" s="0"/>
      <c r="IWV65" s="0"/>
      <c r="IWW65" s="0"/>
      <c r="IWX65" s="0"/>
      <c r="IWY65" s="0"/>
      <c r="IWZ65" s="0"/>
      <c r="IXA65" s="0"/>
      <c r="IXB65" s="0"/>
      <c r="IXC65" s="0"/>
      <c r="IXD65" s="0"/>
      <c r="IXE65" s="0"/>
      <c r="IXF65" s="0"/>
      <c r="IXG65" s="0"/>
      <c r="IXH65" s="0"/>
      <c r="IXI65" s="0"/>
      <c r="IXJ65" s="0"/>
      <c r="IXK65" s="0"/>
      <c r="IXL65" s="0"/>
      <c r="IXM65" s="0"/>
      <c r="IXN65" s="0"/>
      <c r="IXO65" s="0"/>
      <c r="IXP65" s="0"/>
      <c r="IXQ65" s="0"/>
      <c r="IXR65" s="0"/>
      <c r="IXS65" s="0"/>
      <c r="IXT65" s="0"/>
      <c r="IXU65" s="0"/>
      <c r="IXV65" s="0"/>
      <c r="IXW65" s="0"/>
      <c r="IXX65" s="0"/>
      <c r="IXY65" s="0"/>
      <c r="IXZ65" s="0"/>
      <c r="IYA65" s="0"/>
      <c r="IYB65" s="0"/>
      <c r="IYC65" s="0"/>
      <c r="IYD65" s="0"/>
      <c r="IYE65" s="0"/>
      <c r="IYF65" s="0"/>
      <c r="IYG65" s="0"/>
      <c r="IYH65" s="0"/>
      <c r="IYI65" s="0"/>
      <c r="IYJ65" s="0"/>
      <c r="IYK65" s="0"/>
      <c r="IYL65" s="0"/>
      <c r="IYM65" s="0"/>
      <c r="IYN65" s="0"/>
      <c r="IYO65" s="0"/>
      <c r="IYP65" s="0"/>
      <c r="IYQ65" s="0"/>
      <c r="IYR65" s="0"/>
      <c r="IYS65" s="0"/>
      <c r="IYT65" s="0"/>
      <c r="IYU65" s="0"/>
      <c r="IYV65" s="0"/>
      <c r="IYW65" s="0"/>
      <c r="IYX65" s="0"/>
      <c r="IYY65" s="0"/>
      <c r="IYZ65" s="0"/>
      <c r="IZA65" s="0"/>
      <c r="IZB65" s="0"/>
      <c r="IZC65" s="0"/>
      <c r="IZD65" s="0"/>
      <c r="IZE65" s="0"/>
      <c r="IZF65" s="0"/>
      <c r="IZG65" s="0"/>
      <c r="IZH65" s="0"/>
      <c r="IZI65" s="0"/>
      <c r="IZJ65" s="0"/>
      <c r="IZK65" s="0"/>
      <c r="IZL65" s="0"/>
      <c r="IZM65" s="0"/>
      <c r="IZN65" s="0"/>
      <c r="IZO65" s="0"/>
      <c r="IZP65" s="0"/>
      <c r="IZQ65" s="0"/>
      <c r="IZR65" s="0"/>
      <c r="IZS65" s="0"/>
      <c r="IZT65" s="0"/>
      <c r="IZU65" s="0"/>
      <c r="IZV65" s="0"/>
      <c r="IZW65" s="0"/>
      <c r="IZX65" s="0"/>
      <c r="IZY65" s="0"/>
      <c r="IZZ65" s="0"/>
      <c r="JAA65" s="0"/>
      <c r="JAB65" s="0"/>
      <c r="JAC65" s="0"/>
      <c r="JAD65" s="0"/>
      <c r="JAE65" s="0"/>
      <c r="JAF65" s="0"/>
      <c r="JAG65" s="0"/>
      <c r="JAH65" s="0"/>
      <c r="JAI65" s="0"/>
      <c r="JAJ65" s="0"/>
      <c r="JAK65" s="0"/>
      <c r="JAL65" s="0"/>
      <c r="JAM65" s="0"/>
      <c r="JAN65" s="0"/>
      <c r="JAO65" s="0"/>
      <c r="JAP65" s="0"/>
      <c r="JAQ65" s="0"/>
      <c r="JAR65" s="0"/>
      <c r="JAS65" s="0"/>
      <c r="JAT65" s="0"/>
      <c r="JAU65" s="0"/>
      <c r="JAV65" s="0"/>
      <c r="JAW65" s="0"/>
      <c r="JAX65" s="0"/>
      <c r="JAY65" s="0"/>
      <c r="JAZ65" s="0"/>
      <c r="JBA65" s="0"/>
      <c r="JBB65" s="0"/>
      <c r="JBC65" s="0"/>
      <c r="JBD65" s="0"/>
      <c r="JBE65" s="0"/>
      <c r="JBF65" s="0"/>
      <c r="JBG65" s="0"/>
      <c r="JBH65" s="0"/>
      <c r="JBI65" s="0"/>
      <c r="JBJ65" s="0"/>
      <c r="JBK65" s="0"/>
      <c r="JBL65" s="0"/>
      <c r="JBM65" s="0"/>
      <c r="JBN65" s="0"/>
      <c r="JBO65" s="0"/>
      <c r="JBP65" s="0"/>
      <c r="JBQ65" s="0"/>
      <c r="JBR65" s="0"/>
      <c r="JBS65" s="0"/>
      <c r="JBT65" s="0"/>
      <c r="JBU65" s="0"/>
      <c r="JBV65" s="0"/>
      <c r="JBW65" s="0"/>
      <c r="JBX65" s="0"/>
      <c r="JBY65" s="0"/>
      <c r="JBZ65" s="0"/>
      <c r="JCA65" s="0"/>
      <c r="JCB65" s="0"/>
      <c r="JCC65" s="0"/>
      <c r="JCD65" s="0"/>
      <c r="JCE65" s="0"/>
      <c r="JCF65" s="0"/>
      <c r="JCG65" s="0"/>
      <c r="JCH65" s="0"/>
      <c r="JCI65" s="0"/>
      <c r="JCJ65" s="0"/>
      <c r="JCK65" s="0"/>
      <c r="JCL65" s="0"/>
      <c r="JCM65" s="0"/>
      <c r="JCN65" s="0"/>
      <c r="JCO65" s="0"/>
      <c r="JCP65" s="0"/>
      <c r="JCQ65" s="0"/>
      <c r="JCR65" s="0"/>
      <c r="JCS65" s="0"/>
      <c r="JCT65" s="0"/>
      <c r="JCU65" s="0"/>
      <c r="JCV65" s="0"/>
      <c r="JCW65" s="0"/>
      <c r="JCX65" s="0"/>
      <c r="JCY65" s="0"/>
      <c r="JCZ65" s="0"/>
      <c r="JDA65" s="0"/>
      <c r="JDB65" s="0"/>
      <c r="JDC65" s="0"/>
      <c r="JDD65" s="0"/>
      <c r="JDE65" s="0"/>
      <c r="JDF65" s="0"/>
      <c r="JDG65" s="0"/>
      <c r="JDH65" s="0"/>
      <c r="JDI65" s="0"/>
      <c r="JDJ65" s="0"/>
      <c r="JDK65" s="0"/>
      <c r="JDL65" s="0"/>
      <c r="JDM65" s="0"/>
      <c r="JDN65" s="0"/>
      <c r="JDO65" s="0"/>
      <c r="JDP65" s="0"/>
      <c r="JDQ65" s="0"/>
      <c r="JDR65" s="0"/>
      <c r="JDS65" s="0"/>
      <c r="JDT65" s="0"/>
      <c r="JDU65" s="0"/>
      <c r="JDV65" s="0"/>
      <c r="JDW65" s="0"/>
      <c r="JDX65" s="0"/>
      <c r="JDY65" s="0"/>
      <c r="JDZ65" s="0"/>
      <c r="JEA65" s="0"/>
      <c r="JEB65" s="0"/>
      <c r="JEC65" s="0"/>
      <c r="JED65" s="0"/>
      <c r="JEE65" s="0"/>
      <c r="JEF65" s="0"/>
      <c r="JEG65" s="0"/>
      <c r="JEH65" s="0"/>
      <c r="JEI65" s="0"/>
      <c r="JEJ65" s="0"/>
      <c r="JEK65" s="0"/>
      <c r="JEL65" s="0"/>
      <c r="JEM65" s="0"/>
      <c r="JEN65" s="0"/>
      <c r="JEO65" s="0"/>
      <c r="JEP65" s="0"/>
      <c r="JEQ65" s="0"/>
      <c r="JER65" s="0"/>
      <c r="JES65" s="0"/>
      <c r="JET65" s="0"/>
      <c r="JEU65" s="0"/>
      <c r="JEV65" s="0"/>
      <c r="JEW65" s="0"/>
      <c r="JEX65" s="0"/>
      <c r="JEY65" s="0"/>
      <c r="JEZ65" s="0"/>
      <c r="JFA65" s="0"/>
      <c r="JFB65" s="0"/>
      <c r="JFC65" s="0"/>
      <c r="JFD65" s="0"/>
      <c r="JFE65" s="0"/>
      <c r="JFF65" s="0"/>
      <c r="JFG65" s="0"/>
      <c r="JFH65" s="0"/>
      <c r="JFI65" s="0"/>
      <c r="JFJ65" s="0"/>
      <c r="JFK65" s="0"/>
      <c r="JFL65" s="0"/>
      <c r="JFM65" s="0"/>
      <c r="JFN65" s="0"/>
      <c r="JFO65" s="0"/>
      <c r="JFP65" s="0"/>
      <c r="JFQ65" s="0"/>
      <c r="JFR65" s="0"/>
      <c r="JFS65" s="0"/>
      <c r="JFT65" s="0"/>
      <c r="JFU65" s="0"/>
      <c r="JFV65" s="0"/>
      <c r="JFW65" s="0"/>
      <c r="JFX65" s="0"/>
      <c r="JFY65" s="0"/>
      <c r="JFZ65" s="0"/>
      <c r="JGA65" s="0"/>
      <c r="JGB65" s="0"/>
      <c r="JGC65" s="0"/>
      <c r="JGD65" s="0"/>
      <c r="JGE65" s="0"/>
      <c r="JGF65" s="0"/>
      <c r="JGG65" s="0"/>
      <c r="JGH65" s="0"/>
      <c r="JGI65" s="0"/>
      <c r="JGJ65" s="0"/>
      <c r="JGK65" s="0"/>
      <c r="JGL65" s="0"/>
      <c r="JGM65" s="0"/>
      <c r="JGN65" s="0"/>
      <c r="JGO65" s="0"/>
      <c r="JGP65" s="0"/>
      <c r="JGQ65" s="0"/>
      <c r="JGR65" s="0"/>
      <c r="JGS65" s="0"/>
      <c r="JGT65" s="0"/>
      <c r="JGU65" s="0"/>
      <c r="JGV65" s="0"/>
      <c r="JGW65" s="0"/>
      <c r="JGX65" s="0"/>
      <c r="JGY65" s="0"/>
      <c r="JGZ65" s="0"/>
      <c r="JHA65" s="0"/>
      <c r="JHB65" s="0"/>
      <c r="JHC65" s="0"/>
      <c r="JHD65" s="0"/>
      <c r="JHE65" s="0"/>
      <c r="JHF65" s="0"/>
      <c r="JHG65" s="0"/>
      <c r="JHH65" s="0"/>
      <c r="JHI65" s="0"/>
      <c r="JHJ65" s="0"/>
      <c r="JHK65" s="0"/>
      <c r="JHL65" s="0"/>
      <c r="JHM65" s="0"/>
      <c r="JHN65" s="0"/>
      <c r="JHO65" s="0"/>
      <c r="JHP65" s="0"/>
      <c r="JHQ65" s="0"/>
      <c r="JHR65" s="0"/>
      <c r="JHS65" s="0"/>
      <c r="JHT65" s="0"/>
      <c r="JHU65" s="0"/>
      <c r="JHV65" s="0"/>
      <c r="JHW65" s="0"/>
      <c r="JHX65" s="0"/>
      <c r="JHY65" s="0"/>
      <c r="JHZ65" s="0"/>
      <c r="JIA65" s="0"/>
      <c r="JIB65" s="0"/>
      <c r="JIC65" s="0"/>
      <c r="JID65" s="0"/>
      <c r="JIE65" s="0"/>
      <c r="JIF65" s="0"/>
      <c r="JIG65" s="0"/>
      <c r="JIH65" s="0"/>
      <c r="JII65" s="0"/>
      <c r="JIJ65" s="0"/>
      <c r="JIK65" s="0"/>
      <c r="JIL65" s="0"/>
      <c r="JIM65" s="0"/>
      <c r="JIN65" s="0"/>
      <c r="JIO65" s="0"/>
      <c r="JIP65" s="0"/>
      <c r="JIQ65" s="0"/>
      <c r="JIR65" s="0"/>
      <c r="JIS65" s="0"/>
      <c r="JIT65" s="0"/>
      <c r="JIU65" s="0"/>
      <c r="JIV65" s="0"/>
      <c r="JIW65" s="0"/>
      <c r="JIX65" s="0"/>
      <c r="JIY65" s="0"/>
      <c r="JIZ65" s="0"/>
      <c r="JJA65" s="0"/>
      <c r="JJB65" s="0"/>
      <c r="JJC65" s="0"/>
      <c r="JJD65" s="0"/>
      <c r="JJE65" s="0"/>
      <c r="JJF65" s="0"/>
      <c r="JJG65" s="0"/>
      <c r="JJH65" s="0"/>
      <c r="JJI65" s="0"/>
      <c r="JJJ65" s="0"/>
      <c r="JJK65" s="0"/>
      <c r="JJL65" s="0"/>
      <c r="JJM65" s="0"/>
      <c r="JJN65" s="0"/>
      <c r="JJO65" s="0"/>
      <c r="JJP65" s="0"/>
      <c r="JJQ65" s="0"/>
      <c r="JJR65" s="0"/>
      <c r="JJS65" s="0"/>
      <c r="JJT65" s="0"/>
      <c r="JJU65" s="0"/>
      <c r="JJV65" s="0"/>
      <c r="JJW65" s="0"/>
      <c r="JJX65" s="0"/>
      <c r="JJY65" s="0"/>
      <c r="JJZ65" s="0"/>
      <c r="JKA65" s="0"/>
      <c r="JKB65" s="0"/>
      <c r="JKC65" s="0"/>
      <c r="JKD65" s="0"/>
      <c r="JKE65" s="0"/>
      <c r="JKF65" s="0"/>
      <c r="JKG65" s="0"/>
      <c r="JKH65" s="0"/>
      <c r="JKI65" s="0"/>
      <c r="JKJ65" s="0"/>
      <c r="JKK65" s="0"/>
      <c r="JKL65" s="0"/>
      <c r="JKM65" s="0"/>
      <c r="JKN65" s="0"/>
      <c r="JKO65" s="0"/>
      <c r="JKP65" s="0"/>
      <c r="JKQ65" s="0"/>
      <c r="JKR65" s="0"/>
      <c r="JKS65" s="0"/>
      <c r="JKT65" s="0"/>
      <c r="JKU65" s="0"/>
      <c r="JKV65" s="0"/>
      <c r="JKW65" s="0"/>
      <c r="JKX65" s="0"/>
      <c r="JKY65" s="0"/>
      <c r="JKZ65" s="0"/>
      <c r="JLA65" s="0"/>
      <c r="JLB65" s="0"/>
      <c r="JLC65" s="0"/>
      <c r="JLD65" s="0"/>
      <c r="JLE65" s="0"/>
      <c r="JLF65" s="0"/>
      <c r="JLG65" s="0"/>
      <c r="JLH65" s="0"/>
      <c r="JLI65" s="0"/>
      <c r="JLJ65" s="0"/>
      <c r="JLK65" s="0"/>
      <c r="JLL65" s="0"/>
      <c r="JLM65" s="0"/>
      <c r="JLN65" s="0"/>
      <c r="JLO65" s="0"/>
      <c r="JLP65" s="0"/>
      <c r="JLQ65" s="0"/>
      <c r="JLR65" s="0"/>
      <c r="JLS65" s="0"/>
      <c r="JLT65" s="0"/>
      <c r="JLU65" s="0"/>
      <c r="JLV65" s="0"/>
      <c r="JLW65" s="0"/>
      <c r="JLX65" s="0"/>
      <c r="JLY65" s="0"/>
      <c r="JLZ65" s="0"/>
      <c r="JMA65" s="0"/>
      <c r="JMB65" s="0"/>
      <c r="JMC65" s="0"/>
      <c r="JMD65" s="0"/>
      <c r="JME65" s="0"/>
      <c r="JMF65" s="0"/>
      <c r="JMG65" s="0"/>
      <c r="JMH65" s="0"/>
      <c r="JMI65" s="0"/>
      <c r="JMJ65" s="0"/>
      <c r="JMK65" s="0"/>
      <c r="JML65" s="0"/>
      <c r="JMM65" s="0"/>
      <c r="JMN65" s="0"/>
      <c r="JMO65" s="0"/>
      <c r="JMP65" s="0"/>
      <c r="JMQ65" s="0"/>
      <c r="JMR65" s="0"/>
      <c r="JMS65" s="0"/>
      <c r="JMT65" s="0"/>
      <c r="JMU65" s="0"/>
      <c r="JMV65" s="0"/>
      <c r="JMW65" s="0"/>
      <c r="JMX65" s="0"/>
      <c r="JMY65" s="0"/>
      <c r="JMZ65" s="0"/>
      <c r="JNA65" s="0"/>
      <c r="JNB65" s="0"/>
      <c r="JNC65" s="0"/>
      <c r="JND65" s="0"/>
      <c r="JNE65" s="0"/>
      <c r="JNF65" s="0"/>
      <c r="JNG65" s="0"/>
      <c r="JNH65" s="0"/>
      <c r="JNI65" s="0"/>
      <c r="JNJ65" s="0"/>
      <c r="JNK65" s="0"/>
      <c r="JNL65" s="0"/>
      <c r="JNM65" s="0"/>
      <c r="JNN65" s="0"/>
      <c r="JNO65" s="0"/>
      <c r="JNP65" s="0"/>
      <c r="JNQ65" s="0"/>
      <c r="JNR65" s="0"/>
      <c r="JNS65" s="0"/>
      <c r="JNT65" s="0"/>
      <c r="JNU65" s="0"/>
      <c r="JNV65" s="0"/>
      <c r="JNW65" s="0"/>
      <c r="JNX65" s="0"/>
      <c r="JNY65" s="0"/>
      <c r="JNZ65" s="0"/>
      <c r="JOA65" s="0"/>
      <c r="JOB65" s="0"/>
      <c r="JOC65" s="0"/>
      <c r="JOD65" s="0"/>
      <c r="JOE65" s="0"/>
      <c r="JOF65" s="0"/>
      <c r="JOG65" s="0"/>
      <c r="JOH65" s="0"/>
      <c r="JOI65" s="0"/>
      <c r="JOJ65" s="0"/>
      <c r="JOK65" s="0"/>
      <c r="JOL65" s="0"/>
      <c r="JOM65" s="0"/>
      <c r="JON65" s="0"/>
      <c r="JOO65" s="0"/>
      <c r="JOP65" s="0"/>
      <c r="JOQ65" s="0"/>
      <c r="JOR65" s="0"/>
      <c r="JOS65" s="0"/>
      <c r="JOT65" s="0"/>
      <c r="JOU65" s="0"/>
      <c r="JOV65" s="0"/>
      <c r="JOW65" s="0"/>
      <c r="JOX65" s="0"/>
      <c r="JOY65" s="0"/>
      <c r="JOZ65" s="0"/>
      <c r="JPA65" s="0"/>
      <c r="JPB65" s="0"/>
      <c r="JPC65" s="0"/>
      <c r="JPD65" s="0"/>
      <c r="JPE65" s="0"/>
      <c r="JPF65" s="0"/>
      <c r="JPG65" s="0"/>
      <c r="JPH65" s="0"/>
      <c r="JPI65" s="0"/>
      <c r="JPJ65" s="0"/>
      <c r="JPK65" s="0"/>
      <c r="JPL65" s="0"/>
      <c r="JPM65" s="0"/>
      <c r="JPN65" s="0"/>
      <c r="JPO65" s="0"/>
      <c r="JPP65" s="0"/>
      <c r="JPQ65" s="0"/>
      <c r="JPR65" s="0"/>
      <c r="JPS65" s="0"/>
      <c r="JPT65" s="0"/>
      <c r="JPU65" s="0"/>
      <c r="JPV65" s="0"/>
      <c r="JPW65" s="0"/>
      <c r="JPX65" s="0"/>
      <c r="JPY65" s="0"/>
      <c r="JPZ65" s="0"/>
      <c r="JQA65" s="0"/>
      <c r="JQB65" s="0"/>
      <c r="JQC65" s="0"/>
      <c r="JQD65" s="0"/>
      <c r="JQE65" s="0"/>
      <c r="JQF65" s="0"/>
      <c r="JQG65" s="0"/>
      <c r="JQH65" s="0"/>
      <c r="JQI65" s="0"/>
      <c r="JQJ65" s="0"/>
      <c r="JQK65" s="0"/>
      <c r="JQL65" s="0"/>
      <c r="JQM65" s="0"/>
      <c r="JQN65" s="0"/>
      <c r="JQO65" s="0"/>
      <c r="JQP65" s="0"/>
      <c r="JQQ65" s="0"/>
      <c r="JQR65" s="0"/>
      <c r="JQS65" s="0"/>
      <c r="JQT65" s="0"/>
      <c r="JQU65" s="0"/>
      <c r="JQV65" s="0"/>
      <c r="JQW65" s="0"/>
      <c r="JQX65" s="0"/>
      <c r="JQY65" s="0"/>
      <c r="JQZ65" s="0"/>
      <c r="JRA65" s="0"/>
      <c r="JRB65" s="0"/>
      <c r="JRC65" s="0"/>
      <c r="JRD65" s="0"/>
      <c r="JRE65" s="0"/>
      <c r="JRF65" s="0"/>
      <c r="JRG65" s="0"/>
      <c r="JRH65" s="0"/>
      <c r="JRI65" s="0"/>
      <c r="JRJ65" s="0"/>
      <c r="JRK65" s="0"/>
      <c r="JRL65" s="0"/>
      <c r="JRM65" s="0"/>
      <c r="JRN65" s="0"/>
      <c r="JRO65" s="0"/>
      <c r="JRP65" s="0"/>
      <c r="JRQ65" s="0"/>
      <c r="JRR65" s="0"/>
      <c r="JRS65" s="0"/>
      <c r="JRT65" s="0"/>
      <c r="JRU65" s="0"/>
      <c r="JRV65" s="0"/>
      <c r="JRW65" s="0"/>
      <c r="JRX65" s="0"/>
      <c r="JRY65" s="0"/>
      <c r="JRZ65" s="0"/>
      <c r="JSA65" s="0"/>
      <c r="JSB65" s="0"/>
      <c r="JSC65" s="0"/>
      <c r="JSD65" s="0"/>
      <c r="JSE65" s="0"/>
      <c r="JSF65" s="0"/>
      <c r="JSG65" s="0"/>
      <c r="JSH65" s="0"/>
      <c r="JSI65" s="0"/>
      <c r="JSJ65" s="0"/>
      <c r="JSK65" s="0"/>
      <c r="JSL65" s="0"/>
      <c r="JSM65" s="0"/>
      <c r="JSN65" s="0"/>
      <c r="JSO65" s="0"/>
      <c r="JSP65" s="0"/>
      <c r="JSQ65" s="0"/>
      <c r="JSR65" s="0"/>
      <c r="JSS65" s="0"/>
      <c r="JST65" s="0"/>
      <c r="JSU65" s="0"/>
      <c r="JSV65" s="0"/>
      <c r="JSW65" s="0"/>
      <c r="JSX65" s="0"/>
      <c r="JSY65" s="0"/>
      <c r="JSZ65" s="0"/>
      <c r="JTA65" s="0"/>
      <c r="JTB65" s="0"/>
      <c r="JTC65" s="0"/>
      <c r="JTD65" s="0"/>
      <c r="JTE65" s="0"/>
      <c r="JTF65" s="0"/>
      <c r="JTG65" s="0"/>
      <c r="JTH65" s="0"/>
      <c r="JTI65" s="0"/>
      <c r="JTJ65" s="0"/>
      <c r="JTK65" s="0"/>
      <c r="JTL65" s="0"/>
      <c r="JTM65" s="0"/>
      <c r="JTN65" s="0"/>
      <c r="JTO65" s="0"/>
      <c r="JTP65" s="0"/>
      <c r="JTQ65" s="0"/>
      <c r="JTR65" s="0"/>
      <c r="JTS65" s="0"/>
      <c r="JTT65" s="0"/>
      <c r="JTU65" s="0"/>
      <c r="JTV65" s="0"/>
      <c r="JTW65" s="0"/>
      <c r="JTX65" s="0"/>
      <c r="JTY65" s="0"/>
      <c r="JTZ65" s="0"/>
      <c r="JUA65" s="0"/>
      <c r="JUB65" s="0"/>
      <c r="JUC65" s="0"/>
      <c r="JUD65" s="0"/>
      <c r="JUE65" s="0"/>
      <c r="JUF65" s="0"/>
      <c r="JUG65" s="0"/>
      <c r="JUH65" s="0"/>
      <c r="JUI65" s="0"/>
      <c r="JUJ65" s="0"/>
      <c r="JUK65" s="0"/>
      <c r="JUL65" s="0"/>
      <c r="JUM65" s="0"/>
      <c r="JUN65" s="0"/>
      <c r="JUO65" s="0"/>
      <c r="JUP65" s="0"/>
      <c r="JUQ65" s="0"/>
      <c r="JUR65" s="0"/>
      <c r="JUS65" s="0"/>
      <c r="JUT65" s="0"/>
      <c r="JUU65" s="0"/>
      <c r="JUV65" s="0"/>
      <c r="JUW65" s="0"/>
      <c r="JUX65" s="0"/>
      <c r="JUY65" s="0"/>
      <c r="JUZ65" s="0"/>
      <c r="JVA65" s="0"/>
      <c r="JVB65" s="0"/>
      <c r="JVC65" s="0"/>
      <c r="JVD65" s="0"/>
      <c r="JVE65" s="0"/>
      <c r="JVF65" s="0"/>
      <c r="JVG65" s="0"/>
      <c r="JVH65" s="0"/>
      <c r="JVI65" s="0"/>
      <c r="JVJ65" s="0"/>
      <c r="JVK65" s="0"/>
      <c r="JVL65" s="0"/>
      <c r="JVM65" s="0"/>
      <c r="JVN65" s="0"/>
      <c r="JVO65" s="0"/>
      <c r="JVP65" s="0"/>
      <c r="JVQ65" s="0"/>
      <c r="JVR65" s="0"/>
      <c r="JVS65" s="0"/>
      <c r="JVT65" s="0"/>
      <c r="JVU65" s="0"/>
      <c r="JVV65" s="0"/>
      <c r="JVW65" s="0"/>
      <c r="JVX65" s="0"/>
      <c r="JVY65" s="0"/>
      <c r="JVZ65" s="0"/>
      <c r="JWA65" s="0"/>
      <c r="JWB65" s="0"/>
      <c r="JWC65" s="0"/>
      <c r="JWD65" s="0"/>
      <c r="JWE65" s="0"/>
      <c r="JWF65" s="0"/>
      <c r="JWG65" s="0"/>
      <c r="JWH65" s="0"/>
      <c r="JWI65" s="0"/>
      <c r="JWJ65" s="0"/>
      <c r="JWK65" s="0"/>
      <c r="JWL65" s="0"/>
      <c r="JWM65" s="0"/>
      <c r="JWN65" s="0"/>
      <c r="JWO65" s="0"/>
      <c r="JWP65" s="0"/>
      <c r="JWQ65" s="0"/>
      <c r="JWR65" s="0"/>
      <c r="JWS65" s="0"/>
      <c r="JWT65" s="0"/>
      <c r="JWU65" s="0"/>
      <c r="JWV65" s="0"/>
      <c r="JWW65" s="0"/>
      <c r="JWX65" s="0"/>
      <c r="JWY65" s="0"/>
      <c r="JWZ65" s="0"/>
      <c r="JXA65" s="0"/>
      <c r="JXB65" s="0"/>
      <c r="JXC65" s="0"/>
      <c r="JXD65" s="0"/>
      <c r="JXE65" s="0"/>
      <c r="JXF65" s="0"/>
      <c r="JXG65" s="0"/>
      <c r="JXH65" s="0"/>
      <c r="JXI65" s="0"/>
      <c r="JXJ65" s="0"/>
      <c r="JXK65" s="0"/>
      <c r="JXL65" s="0"/>
      <c r="JXM65" s="0"/>
      <c r="JXN65" s="0"/>
      <c r="JXO65" s="0"/>
      <c r="JXP65" s="0"/>
      <c r="JXQ65" s="0"/>
      <c r="JXR65" s="0"/>
      <c r="JXS65" s="0"/>
      <c r="JXT65" s="0"/>
      <c r="JXU65" s="0"/>
      <c r="JXV65" s="0"/>
      <c r="JXW65" s="0"/>
      <c r="JXX65" s="0"/>
      <c r="JXY65" s="0"/>
      <c r="JXZ65" s="0"/>
      <c r="JYA65" s="0"/>
      <c r="JYB65" s="0"/>
      <c r="JYC65" s="0"/>
      <c r="JYD65" s="0"/>
      <c r="JYE65" s="0"/>
      <c r="JYF65" s="0"/>
      <c r="JYG65" s="0"/>
      <c r="JYH65" s="0"/>
      <c r="JYI65" s="0"/>
      <c r="JYJ65" s="0"/>
      <c r="JYK65" s="0"/>
      <c r="JYL65" s="0"/>
      <c r="JYM65" s="0"/>
      <c r="JYN65" s="0"/>
      <c r="JYO65" s="0"/>
      <c r="JYP65" s="0"/>
      <c r="JYQ65" s="0"/>
      <c r="JYR65" s="0"/>
      <c r="JYS65" s="0"/>
      <c r="JYT65" s="0"/>
      <c r="JYU65" s="0"/>
      <c r="JYV65" s="0"/>
      <c r="JYW65" s="0"/>
      <c r="JYX65" s="0"/>
      <c r="JYY65" s="0"/>
      <c r="JYZ65" s="0"/>
      <c r="JZA65" s="0"/>
      <c r="JZB65" s="0"/>
      <c r="JZC65" s="0"/>
      <c r="JZD65" s="0"/>
      <c r="JZE65" s="0"/>
      <c r="JZF65" s="0"/>
      <c r="JZG65" s="0"/>
      <c r="JZH65" s="0"/>
      <c r="JZI65" s="0"/>
      <c r="JZJ65" s="0"/>
      <c r="JZK65" s="0"/>
      <c r="JZL65" s="0"/>
      <c r="JZM65" s="0"/>
      <c r="JZN65" s="0"/>
      <c r="JZO65" s="0"/>
      <c r="JZP65" s="0"/>
      <c r="JZQ65" s="0"/>
      <c r="JZR65" s="0"/>
      <c r="JZS65" s="0"/>
      <c r="JZT65" s="0"/>
      <c r="JZU65" s="0"/>
      <c r="JZV65" s="0"/>
      <c r="JZW65" s="0"/>
      <c r="JZX65" s="0"/>
      <c r="JZY65" s="0"/>
      <c r="JZZ65" s="0"/>
      <c r="KAA65" s="0"/>
      <c r="KAB65" s="0"/>
      <c r="KAC65" s="0"/>
      <c r="KAD65" s="0"/>
      <c r="KAE65" s="0"/>
      <c r="KAF65" s="0"/>
      <c r="KAG65" s="0"/>
      <c r="KAH65" s="0"/>
      <c r="KAI65" s="0"/>
      <c r="KAJ65" s="0"/>
      <c r="KAK65" s="0"/>
      <c r="KAL65" s="0"/>
      <c r="KAM65" s="0"/>
      <c r="KAN65" s="0"/>
      <c r="KAO65" s="0"/>
      <c r="KAP65" s="0"/>
      <c r="KAQ65" s="0"/>
      <c r="KAR65" s="0"/>
      <c r="KAS65" s="0"/>
      <c r="KAT65" s="0"/>
      <c r="KAU65" s="0"/>
      <c r="KAV65" s="0"/>
      <c r="KAW65" s="0"/>
      <c r="KAX65" s="0"/>
      <c r="KAY65" s="0"/>
      <c r="KAZ65" s="0"/>
      <c r="KBA65" s="0"/>
      <c r="KBB65" s="0"/>
      <c r="KBC65" s="0"/>
      <c r="KBD65" s="0"/>
      <c r="KBE65" s="0"/>
      <c r="KBF65" s="0"/>
      <c r="KBG65" s="0"/>
      <c r="KBH65" s="0"/>
      <c r="KBI65" s="0"/>
      <c r="KBJ65" s="0"/>
      <c r="KBK65" s="0"/>
      <c r="KBL65" s="0"/>
      <c r="KBM65" s="0"/>
      <c r="KBN65" s="0"/>
      <c r="KBO65" s="0"/>
      <c r="KBP65" s="0"/>
      <c r="KBQ65" s="0"/>
      <c r="KBR65" s="0"/>
      <c r="KBS65" s="0"/>
      <c r="KBT65" s="0"/>
      <c r="KBU65" s="0"/>
      <c r="KBV65" s="0"/>
      <c r="KBW65" s="0"/>
      <c r="KBX65" s="0"/>
      <c r="KBY65" s="0"/>
      <c r="KBZ65" s="0"/>
      <c r="KCA65" s="0"/>
      <c r="KCB65" s="0"/>
      <c r="KCC65" s="0"/>
      <c r="KCD65" s="0"/>
      <c r="KCE65" s="0"/>
      <c r="KCF65" s="0"/>
      <c r="KCG65" s="0"/>
      <c r="KCH65" s="0"/>
      <c r="KCI65" s="0"/>
      <c r="KCJ65" s="0"/>
      <c r="KCK65" s="0"/>
      <c r="KCL65" s="0"/>
      <c r="KCM65" s="0"/>
      <c r="KCN65" s="0"/>
      <c r="KCO65" s="0"/>
      <c r="KCP65" s="0"/>
      <c r="KCQ65" s="0"/>
      <c r="KCR65" s="0"/>
      <c r="KCS65" s="0"/>
      <c r="KCT65" s="0"/>
      <c r="KCU65" s="0"/>
      <c r="KCV65" s="0"/>
      <c r="KCW65" s="0"/>
      <c r="KCX65" s="0"/>
      <c r="KCY65" s="0"/>
      <c r="KCZ65" s="0"/>
      <c r="KDA65" s="0"/>
      <c r="KDB65" s="0"/>
      <c r="KDC65" s="0"/>
      <c r="KDD65" s="0"/>
      <c r="KDE65" s="0"/>
      <c r="KDF65" s="0"/>
      <c r="KDG65" s="0"/>
      <c r="KDH65" s="0"/>
      <c r="KDI65" s="0"/>
      <c r="KDJ65" s="0"/>
      <c r="KDK65" s="0"/>
      <c r="KDL65" s="0"/>
      <c r="KDM65" s="0"/>
      <c r="KDN65" s="0"/>
      <c r="KDO65" s="0"/>
      <c r="KDP65" s="0"/>
      <c r="KDQ65" s="0"/>
      <c r="KDR65" s="0"/>
      <c r="KDS65" s="0"/>
      <c r="KDT65" s="0"/>
      <c r="KDU65" s="0"/>
      <c r="KDV65" s="0"/>
      <c r="KDW65" s="0"/>
      <c r="KDX65" s="0"/>
      <c r="KDY65" s="0"/>
      <c r="KDZ65" s="0"/>
      <c r="KEA65" s="0"/>
      <c r="KEB65" s="0"/>
      <c r="KEC65" s="0"/>
      <c r="KED65" s="0"/>
      <c r="KEE65" s="0"/>
      <c r="KEF65" s="0"/>
      <c r="KEG65" s="0"/>
      <c r="KEH65" s="0"/>
      <c r="KEI65" s="0"/>
      <c r="KEJ65" s="0"/>
      <c r="KEK65" s="0"/>
      <c r="KEL65" s="0"/>
      <c r="KEM65" s="0"/>
      <c r="KEN65" s="0"/>
      <c r="KEO65" s="0"/>
      <c r="KEP65" s="0"/>
      <c r="KEQ65" s="0"/>
      <c r="KER65" s="0"/>
      <c r="KES65" s="0"/>
      <c r="KET65" s="0"/>
      <c r="KEU65" s="0"/>
      <c r="KEV65" s="0"/>
      <c r="KEW65" s="0"/>
      <c r="KEX65" s="0"/>
      <c r="KEY65" s="0"/>
      <c r="KEZ65" s="0"/>
      <c r="KFA65" s="0"/>
      <c r="KFB65" s="0"/>
      <c r="KFC65" s="0"/>
      <c r="KFD65" s="0"/>
      <c r="KFE65" s="0"/>
      <c r="KFF65" s="0"/>
      <c r="KFG65" s="0"/>
      <c r="KFH65" s="0"/>
      <c r="KFI65" s="0"/>
      <c r="KFJ65" s="0"/>
      <c r="KFK65" s="0"/>
      <c r="KFL65" s="0"/>
      <c r="KFM65" s="0"/>
      <c r="KFN65" s="0"/>
      <c r="KFO65" s="0"/>
      <c r="KFP65" s="0"/>
      <c r="KFQ65" s="0"/>
      <c r="KFR65" s="0"/>
      <c r="KFS65" s="0"/>
      <c r="KFT65" s="0"/>
      <c r="KFU65" s="0"/>
      <c r="KFV65" s="0"/>
      <c r="KFW65" s="0"/>
      <c r="KFX65" s="0"/>
      <c r="KFY65" s="0"/>
      <c r="KFZ65" s="0"/>
      <c r="KGA65" s="0"/>
      <c r="KGB65" s="0"/>
      <c r="KGC65" s="0"/>
      <c r="KGD65" s="0"/>
      <c r="KGE65" s="0"/>
      <c r="KGF65" s="0"/>
      <c r="KGG65" s="0"/>
      <c r="KGH65" s="0"/>
      <c r="KGI65" s="0"/>
      <c r="KGJ65" s="0"/>
      <c r="KGK65" s="0"/>
      <c r="KGL65" s="0"/>
      <c r="KGM65" s="0"/>
      <c r="KGN65" s="0"/>
      <c r="KGO65" s="0"/>
      <c r="KGP65" s="0"/>
      <c r="KGQ65" s="0"/>
      <c r="KGR65" s="0"/>
      <c r="KGS65" s="0"/>
      <c r="KGT65" s="0"/>
      <c r="KGU65" s="0"/>
      <c r="KGV65" s="0"/>
      <c r="KGW65" s="0"/>
      <c r="KGX65" s="0"/>
      <c r="KGY65" s="0"/>
      <c r="KGZ65" s="0"/>
      <c r="KHA65" s="0"/>
      <c r="KHB65" s="0"/>
      <c r="KHC65" s="0"/>
      <c r="KHD65" s="0"/>
      <c r="KHE65" s="0"/>
      <c r="KHF65" s="0"/>
      <c r="KHG65" s="0"/>
      <c r="KHH65" s="0"/>
      <c r="KHI65" s="0"/>
      <c r="KHJ65" s="0"/>
      <c r="KHK65" s="0"/>
      <c r="KHL65" s="0"/>
      <c r="KHM65" s="0"/>
      <c r="KHN65" s="0"/>
      <c r="KHO65" s="0"/>
      <c r="KHP65" s="0"/>
      <c r="KHQ65" s="0"/>
      <c r="KHR65" s="0"/>
      <c r="KHS65" s="0"/>
      <c r="KHT65" s="0"/>
      <c r="KHU65" s="0"/>
      <c r="KHV65" s="0"/>
      <c r="KHW65" s="0"/>
      <c r="KHX65" s="0"/>
      <c r="KHY65" s="0"/>
      <c r="KHZ65" s="0"/>
      <c r="KIA65" s="0"/>
      <c r="KIB65" s="0"/>
      <c r="KIC65" s="0"/>
      <c r="KID65" s="0"/>
      <c r="KIE65" s="0"/>
      <c r="KIF65" s="0"/>
      <c r="KIG65" s="0"/>
      <c r="KIH65" s="0"/>
      <c r="KII65" s="0"/>
      <c r="KIJ65" s="0"/>
      <c r="KIK65" s="0"/>
      <c r="KIL65" s="0"/>
      <c r="KIM65" s="0"/>
      <c r="KIN65" s="0"/>
      <c r="KIO65" s="0"/>
      <c r="KIP65" s="0"/>
      <c r="KIQ65" s="0"/>
      <c r="KIR65" s="0"/>
      <c r="KIS65" s="0"/>
      <c r="KIT65" s="0"/>
      <c r="KIU65" s="0"/>
      <c r="KIV65" s="0"/>
      <c r="KIW65" s="0"/>
      <c r="KIX65" s="0"/>
      <c r="KIY65" s="0"/>
      <c r="KIZ65" s="0"/>
      <c r="KJA65" s="0"/>
      <c r="KJB65" s="0"/>
      <c r="KJC65" s="0"/>
      <c r="KJD65" s="0"/>
      <c r="KJE65" s="0"/>
      <c r="KJF65" s="0"/>
      <c r="KJG65" s="0"/>
      <c r="KJH65" s="0"/>
      <c r="KJI65" s="0"/>
      <c r="KJJ65" s="0"/>
      <c r="KJK65" s="0"/>
      <c r="KJL65" s="0"/>
      <c r="KJM65" s="0"/>
      <c r="KJN65" s="0"/>
      <c r="KJO65" s="0"/>
      <c r="KJP65" s="0"/>
      <c r="KJQ65" s="0"/>
      <c r="KJR65" s="0"/>
      <c r="KJS65" s="0"/>
      <c r="KJT65" s="0"/>
      <c r="KJU65" s="0"/>
      <c r="KJV65" s="0"/>
      <c r="KJW65" s="0"/>
      <c r="KJX65" s="0"/>
      <c r="KJY65" s="0"/>
      <c r="KJZ65" s="0"/>
      <c r="KKA65" s="0"/>
      <c r="KKB65" s="0"/>
      <c r="KKC65" s="0"/>
      <c r="KKD65" s="0"/>
      <c r="KKE65" s="0"/>
      <c r="KKF65" s="0"/>
      <c r="KKG65" s="0"/>
      <c r="KKH65" s="0"/>
      <c r="KKI65" s="0"/>
      <c r="KKJ65" s="0"/>
      <c r="KKK65" s="0"/>
      <c r="KKL65" s="0"/>
      <c r="KKM65" s="0"/>
      <c r="KKN65" s="0"/>
      <c r="KKO65" s="0"/>
      <c r="KKP65" s="0"/>
      <c r="KKQ65" s="0"/>
      <c r="KKR65" s="0"/>
      <c r="KKS65" s="0"/>
      <c r="KKT65" s="0"/>
      <c r="KKU65" s="0"/>
      <c r="KKV65" s="0"/>
      <c r="KKW65" s="0"/>
      <c r="KKX65" s="0"/>
      <c r="KKY65" s="0"/>
      <c r="KKZ65" s="0"/>
      <c r="KLA65" s="0"/>
      <c r="KLB65" s="0"/>
      <c r="KLC65" s="0"/>
      <c r="KLD65" s="0"/>
      <c r="KLE65" s="0"/>
      <c r="KLF65" s="0"/>
      <c r="KLG65" s="0"/>
      <c r="KLH65" s="0"/>
      <c r="KLI65" s="0"/>
      <c r="KLJ65" s="0"/>
      <c r="KLK65" s="0"/>
      <c r="KLL65" s="0"/>
      <c r="KLM65" s="0"/>
      <c r="KLN65" s="0"/>
      <c r="KLO65" s="0"/>
      <c r="KLP65" s="0"/>
      <c r="KLQ65" s="0"/>
      <c r="KLR65" s="0"/>
      <c r="KLS65" s="0"/>
      <c r="KLT65" s="0"/>
      <c r="KLU65" s="0"/>
      <c r="KLV65" s="0"/>
      <c r="KLW65" s="0"/>
      <c r="KLX65" s="0"/>
      <c r="KLY65" s="0"/>
      <c r="KLZ65" s="0"/>
      <c r="KMA65" s="0"/>
      <c r="KMB65" s="0"/>
      <c r="KMC65" s="0"/>
      <c r="KMD65" s="0"/>
      <c r="KME65" s="0"/>
      <c r="KMF65" s="0"/>
      <c r="KMG65" s="0"/>
      <c r="KMH65" s="0"/>
      <c r="KMI65" s="0"/>
      <c r="KMJ65" s="0"/>
      <c r="KMK65" s="0"/>
      <c r="KML65" s="0"/>
      <c r="KMM65" s="0"/>
      <c r="KMN65" s="0"/>
      <c r="KMO65" s="0"/>
      <c r="KMP65" s="0"/>
      <c r="KMQ65" s="0"/>
      <c r="KMR65" s="0"/>
      <c r="KMS65" s="0"/>
      <c r="KMT65" s="0"/>
      <c r="KMU65" s="0"/>
      <c r="KMV65" s="0"/>
      <c r="KMW65" s="0"/>
      <c r="KMX65" s="0"/>
      <c r="KMY65" s="0"/>
      <c r="KMZ65" s="0"/>
      <c r="KNA65" s="0"/>
      <c r="KNB65" s="0"/>
      <c r="KNC65" s="0"/>
      <c r="KND65" s="0"/>
      <c r="KNE65" s="0"/>
      <c r="KNF65" s="0"/>
      <c r="KNG65" s="0"/>
      <c r="KNH65" s="0"/>
      <c r="KNI65" s="0"/>
      <c r="KNJ65" s="0"/>
      <c r="KNK65" s="0"/>
      <c r="KNL65" s="0"/>
      <c r="KNM65" s="0"/>
      <c r="KNN65" s="0"/>
      <c r="KNO65" s="0"/>
      <c r="KNP65" s="0"/>
      <c r="KNQ65" s="0"/>
      <c r="KNR65" s="0"/>
      <c r="KNS65" s="0"/>
      <c r="KNT65" s="0"/>
      <c r="KNU65" s="0"/>
      <c r="KNV65" s="0"/>
      <c r="KNW65" s="0"/>
      <c r="KNX65" s="0"/>
      <c r="KNY65" s="0"/>
      <c r="KNZ65" s="0"/>
      <c r="KOA65" s="0"/>
      <c r="KOB65" s="0"/>
      <c r="KOC65" s="0"/>
      <c r="KOD65" s="0"/>
      <c r="KOE65" s="0"/>
      <c r="KOF65" s="0"/>
      <c r="KOG65" s="0"/>
      <c r="KOH65" s="0"/>
      <c r="KOI65" s="0"/>
      <c r="KOJ65" s="0"/>
      <c r="KOK65" s="0"/>
      <c r="KOL65" s="0"/>
      <c r="KOM65" s="0"/>
      <c r="KON65" s="0"/>
      <c r="KOO65" s="0"/>
      <c r="KOP65" s="0"/>
      <c r="KOQ65" s="0"/>
      <c r="KOR65" s="0"/>
      <c r="KOS65" s="0"/>
      <c r="KOT65" s="0"/>
      <c r="KOU65" s="0"/>
      <c r="KOV65" s="0"/>
      <c r="KOW65" s="0"/>
      <c r="KOX65" s="0"/>
      <c r="KOY65" s="0"/>
      <c r="KOZ65" s="0"/>
      <c r="KPA65" s="0"/>
      <c r="KPB65" s="0"/>
      <c r="KPC65" s="0"/>
      <c r="KPD65" s="0"/>
      <c r="KPE65" s="0"/>
      <c r="KPF65" s="0"/>
      <c r="KPG65" s="0"/>
      <c r="KPH65" s="0"/>
      <c r="KPI65" s="0"/>
      <c r="KPJ65" s="0"/>
      <c r="KPK65" s="0"/>
      <c r="KPL65" s="0"/>
      <c r="KPM65" s="0"/>
      <c r="KPN65" s="0"/>
      <c r="KPO65" s="0"/>
      <c r="KPP65" s="0"/>
      <c r="KPQ65" s="0"/>
      <c r="KPR65" s="0"/>
      <c r="KPS65" s="0"/>
      <c r="KPT65" s="0"/>
      <c r="KPU65" s="0"/>
      <c r="KPV65" s="0"/>
      <c r="KPW65" s="0"/>
      <c r="KPX65" s="0"/>
      <c r="KPY65" s="0"/>
      <c r="KPZ65" s="0"/>
      <c r="KQA65" s="0"/>
      <c r="KQB65" s="0"/>
      <c r="KQC65" s="0"/>
      <c r="KQD65" s="0"/>
      <c r="KQE65" s="0"/>
      <c r="KQF65" s="0"/>
      <c r="KQG65" s="0"/>
      <c r="KQH65" s="0"/>
      <c r="KQI65" s="0"/>
      <c r="KQJ65" s="0"/>
      <c r="KQK65" s="0"/>
      <c r="KQL65" s="0"/>
      <c r="KQM65" s="0"/>
      <c r="KQN65" s="0"/>
      <c r="KQO65" s="0"/>
      <c r="KQP65" s="0"/>
      <c r="KQQ65" s="0"/>
      <c r="KQR65" s="0"/>
      <c r="KQS65" s="0"/>
      <c r="KQT65" s="0"/>
      <c r="KQU65" s="0"/>
      <c r="KQV65" s="0"/>
      <c r="KQW65" s="0"/>
      <c r="KQX65" s="0"/>
      <c r="KQY65" s="0"/>
      <c r="KQZ65" s="0"/>
      <c r="KRA65" s="0"/>
      <c r="KRB65" s="0"/>
      <c r="KRC65" s="0"/>
      <c r="KRD65" s="0"/>
      <c r="KRE65" s="0"/>
      <c r="KRF65" s="0"/>
      <c r="KRG65" s="0"/>
      <c r="KRH65" s="0"/>
      <c r="KRI65" s="0"/>
      <c r="KRJ65" s="0"/>
      <c r="KRK65" s="0"/>
      <c r="KRL65" s="0"/>
      <c r="KRM65" s="0"/>
      <c r="KRN65" s="0"/>
      <c r="KRO65" s="0"/>
      <c r="KRP65" s="0"/>
      <c r="KRQ65" s="0"/>
      <c r="KRR65" s="0"/>
      <c r="KRS65" s="0"/>
      <c r="KRT65" s="0"/>
      <c r="KRU65" s="0"/>
      <c r="KRV65" s="0"/>
      <c r="KRW65" s="0"/>
      <c r="KRX65" s="0"/>
      <c r="KRY65" s="0"/>
      <c r="KRZ65" s="0"/>
      <c r="KSA65" s="0"/>
      <c r="KSB65" s="0"/>
      <c r="KSC65" s="0"/>
      <c r="KSD65" s="0"/>
      <c r="KSE65" s="0"/>
      <c r="KSF65" s="0"/>
      <c r="KSG65" s="0"/>
      <c r="KSH65" s="0"/>
      <c r="KSI65" s="0"/>
      <c r="KSJ65" s="0"/>
      <c r="KSK65" s="0"/>
      <c r="KSL65" s="0"/>
      <c r="KSM65" s="0"/>
      <c r="KSN65" s="0"/>
      <c r="KSO65" s="0"/>
      <c r="KSP65" s="0"/>
      <c r="KSQ65" s="0"/>
      <c r="KSR65" s="0"/>
      <c r="KSS65" s="0"/>
      <c r="KST65" s="0"/>
      <c r="KSU65" s="0"/>
      <c r="KSV65" s="0"/>
      <c r="KSW65" s="0"/>
      <c r="KSX65" s="0"/>
      <c r="KSY65" s="0"/>
      <c r="KSZ65" s="0"/>
      <c r="KTA65" s="0"/>
      <c r="KTB65" s="0"/>
      <c r="KTC65" s="0"/>
      <c r="KTD65" s="0"/>
      <c r="KTE65" s="0"/>
      <c r="KTF65" s="0"/>
      <c r="KTG65" s="0"/>
      <c r="KTH65" s="0"/>
      <c r="KTI65" s="0"/>
      <c r="KTJ65" s="0"/>
      <c r="KTK65" s="0"/>
      <c r="KTL65" s="0"/>
      <c r="KTM65" s="0"/>
      <c r="KTN65" s="0"/>
      <c r="KTO65" s="0"/>
      <c r="KTP65" s="0"/>
      <c r="KTQ65" s="0"/>
      <c r="KTR65" s="0"/>
      <c r="KTS65" s="0"/>
      <c r="KTT65" s="0"/>
      <c r="KTU65" s="0"/>
      <c r="KTV65" s="0"/>
      <c r="KTW65" s="0"/>
      <c r="KTX65" s="0"/>
      <c r="KTY65" s="0"/>
      <c r="KTZ65" s="0"/>
      <c r="KUA65" s="0"/>
      <c r="KUB65" s="0"/>
      <c r="KUC65" s="0"/>
      <c r="KUD65" s="0"/>
      <c r="KUE65" s="0"/>
      <c r="KUF65" s="0"/>
      <c r="KUG65" s="0"/>
      <c r="KUH65" s="0"/>
      <c r="KUI65" s="0"/>
      <c r="KUJ65" s="0"/>
      <c r="KUK65" s="0"/>
      <c r="KUL65" s="0"/>
      <c r="KUM65" s="0"/>
      <c r="KUN65" s="0"/>
      <c r="KUO65" s="0"/>
      <c r="KUP65" s="0"/>
      <c r="KUQ65" s="0"/>
      <c r="KUR65" s="0"/>
      <c r="KUS65" s="0"/>
      <c r="KUT65" s="0"/>
      <c r="KUU65" s="0"/>
      <c r="KUV65" s="0"/>
      <c r="KUW65" s="0"/>
      <c r="KUX65" s="0"/>
      <c r="KUY65" s="0"/>
      <c r="KUZ65" s="0"/>
      <c r="KVA65" s="0"/>
      <c r="KVB65" s="0"/>
      <c r="KVC65" s="0"/>
      <c r="KVD65" s="0"/>
      <c r="KVE65" s="0"/>
      <c r="KVF65" s="0"/>
      <c r="KVG65" s="0"/>
      <c r="KVH65" s="0"/>
      <c r="KVI65" s="0"/>
      <c r="KVJ65" s="0"/>
      <c r="KVK65" s="0"/>
      <c r="KVL65" s="0"/>
      <c r="KVM65" s="0"/>
      <c r="KVN65" s="0"/>
      <c r="KVO65" s="0"/>
      <c r="KVP65" s="0"/>
      <c r="KVQ65" s="0"/>
      <c r="KVR65" s="0"/>
      <c r="KVS65" s="0"/>
      <c r="KVT65" s="0"/>
      <c r="KVU65" s="0"/>
      <c r="KVV65" s="0"/>
      <c r="KVW65" s="0"/>
      <c r="KVX65" s="0"/>
      <c r="KVY65" s="0"/>
      <c r="KVZ65" s="0"/>
      <c r="KWA65" s="0"/>
      <c r="KWB65" s="0"/>
      <c r="KWC65" s="0"/>
      <c r="KWD65" s="0"/>
      <c r="KWE65" s="0"/>
      <c r="KWF65" s="0"/>
      <c r="KWG65" s="0"/>
      <c r="KWH65" s="0"/>
      <c r="KWI65" s="0"/>
      <c r="KWJ65" s="0"/>
      <c r="KWK65" s="0"/>
      <c r="KWL65" s="0"/>
      <c r="KWM65" s="0"/>
      <c r="KWN65" s="0"/>
      <c r="KWO65" s="0"/>
      <c r="KWP65" s="0"/>
      <c r="KWQ65" s="0"/>
      <c r="KWR65" s="0"/>
      <c r="KWS65" s="0"/>
      <c r="KWT65" s="0"/>
      <c r="KWU65" s="0"/>
      <c r="KWV65" s="0"/>
      <c r="KWW65" s="0"/>
      <c r="KWX65" s="0"/>
      <c r="KWY65" s="0"/>
      <c r="KWZ65" s="0"/>
      <c r="KXA65" s="0"/>
      <c r="KXB65" s="0"/>
      <c r="KXC65" s="0"/>
      <c r="KXD65" s="0"/>
      <c r="KXE65" s="0"/>
      <c r="KXF65" s="0"/>
      <c r="KXG65" s="0"/>
      <c r="KXH65" s="0"/>
      <c r="KXI65" s="0"/>
      <c r="KXJ65" s="0"/>
      <c r="KXK65" s="0"/>
      <c r="KXL65" s="0"/>
      <c r="KXM65" s="0"/>
      <c r="KXN65" s="0"/>
      <c r="KXO65" s="0"/>
      <c r="KXP65" s="0"/>
      <c r="KXQ65" s="0"/>
      <c r="KXR65" s="0"/>
      <c r="KXS65" s="0"/>
      <c r="KXT65" s="0"/>
      <c r="KXU65" s="0"/>
      <c r="KXV65" s="0"/>
      <c r="KXW65" s="0"/>
      <c r="KXX65" s="0"/>
      <c r="KXY65" s="0"/>
      <c r="KXZ65" s="0"/>
      <c r="KYA65" s="0"/>
      <c r="KYB65" s="0"/>
      <c r="KYC65" s="0"/>
      <c r="KYD65" s="0"/>
      <c r="KYE65" s="0"/>
      <c r="KYF65" s="0"/>
      <c r="KYG65" s="0"/>
      <c r="KYH65" s="0"/>
      <c r="KYI65" s="0"/>
      <c r="KYJ65" s="0"/>
      <c r="KYK65" s="0"/>
      <c r="KYL65" s="0"/>
      <c r="KYM65" s="0"/>
      <c r="KYN65" s="0"/>
      <c r="KYO65" s="0"/>
      <c r="KYP65" s="0"/>
      <c r="KYQ65" s="0"/>
      <c r="KYR65" s="0"/>
      <c r="KYS65" s="0"/>
      <c r="KYT65" s="0"/>
      <c r="KYU65" s="0"/>
      <c r="KYV65" s="0"/>
      <c r="KYW65" s="0"/>
      <c r="KYX65" s="0"/>
      <c r="KYY65" s="0"/>
      <c r="KYZ65" s="0"/>
      <c r="KZA65" s="0"/>
      <c r="KZB65" s="0"/>
      <c r="KZC65" s="0"/>
      <c r="KZD65" s="0"/>
      <c r="KZE65" s="0"/>
      <c r="KZF65" s="0"/>
      <c r="KZG65" s="0"/>
      <c r="KZH65" s="0"/>
      <c r="KZI65" s="0"/>
      <c r="KZJ65" s="0"/>
      <c r="KZK65" s="0"/>
      <c r="KZL65" s="0"/>
      <c r="KZM65" s="0"/>
      <c r="KZN65" s="0"/>
      <c r="KZO65" s="0"/>
      <c r="KZP65" s="0"/>
      <c r="KZQ65" s="0"/>
      <c r="KZR65" s="0"/>
      <c r="KZS65" s="0"/>
      <c r="KZT65" s="0"/>
      <c r="KZU65" s="0"/>
      <c r="KZV65" s="0"/>
      <c r="KZW65" s="0"/>
      <c r="KZX65" s="0"/>
      <c r="KZY65" s="0"/>
      <c r="KZZ65" s="0"/>
      <c r="LAA65" s="0"/>
      <c r="LAB65" s="0"/>
      <c r="LAC65" s="0"/>
      <c r="LAD65" s="0"/>
      <c r="LAE65" s="0"/>
      <c r="LAF65" s="0"/>
      <c r="LAG65" s="0"/>
      <c r="LAH65" s="0"/>
      <c r="LAI65" s="0"/>
      <c r="LAJ65" s="0"/>
      <c r="LAK65" s="0"/>
      <c r="LAL65" s="0"/>
      <c r="LAM65" s="0"/>
      <c r="LAN65" s="0"/>
      <c r="LAO65" s="0"/>
      <c r="LAP65" s="0"/>
      <c r="LAQ65" s="0"/>
      <c r="LAR65" s="0"/>
      <c r="LAS65" s="0"/>
      <c r="LAT65" s="0"/>
      <c r="LAU65" s="0"/>
      <c r="LAV65" s="0"/>
      <c r="LAW65" s="0"/>
      <c r="LAX65" s="0"/>
      <c r="LAY65" s="0"/>
      <c r="LAZ65" s="0"/>
      <c r="LBA65" s="0"/>
      <c r="LBB65" s="0"/>
      <c r="LBC65" s="0"/>
      <c r="LBD65" s="0"/>
      <c r="LBE65" s="0"/>
      <c r="LBF65" s="0"/>
      <c r="LBG65" s="0"/>
      <c r="LBH65" s="0"/>
      <c r="LBI65" s="0"/>
      <c r="LBJ65" s="0"/>
      <c r="LBK65" s="0"/>
      <c r="LBL65" s="0"/>
      <c r="LBM65" s="0"/>
      <c r="LBN65" s="0"/>
      <c r="LBO65" s="0"/>
      <c r="LBP65" s="0"/>
      <c r="LBQ65" s="0"/>
      <c r="LBR65" s="0"/>
      <c r="LBS65" s="0"/>
      <c r="LBT65" s="0"/>
      <c r="LBU65" s="0"/>
      <c r="LBV65" s="0"/>
      <c r="LBW65" s="0"/>
      <c r="LBX65" s="0"/>
      <c r="LBY65" s="0"/>
      <c r="LBZ65" s="0"/>
      <c r="LCA65" s="0"/>
      <c r="LCB65" s="0"/>
      <c r="LCC65" s="0"/>
      <c r="LCD65" s="0"/>
      <c r="LCE65" s="0"/>
      <c r="LCF65" s="0"/>
      <c r="LCG65" s="0"/>
      <c r="LCH65" s="0"/>
      <c r="LCI65" s="0"/>
      <c r="LCJ65" s="0"/>
      <c r="LCK65" s="0"/>
      <c r="LCL65" s="0"/>
      <c r="LCM65" s="0"/>
      <c r="LCN65" s="0"/>
      <c r="LCO65" s="0"/>
      <c r="LCP65" s="0"/>
      <c r="LCQ65" s="0"/>
      <c r="LCR65" s="0"/>
      <c r="LCS65" s="0"/>
      <c r="LCT65" s="0"/>
      <c r="LCU65" s="0"/>
      <c r="LCV65" s="0"/>
      <c r="LCW65" s="0"/>
      <c r="LCX65" s="0"/>
      <c r="LCY65" s="0"/>
      <c r="LCZ65" s="0"/>
      <c r="LDA65" s="0"/>
      <c r="LDB65" s="0"/>
      <c r="LDC65" s="0"/>
      <c r="LDD65" s="0"/>
      <c r="LDE65" s="0"/>
      <c r="LDF65" s="0"/>
      <c r="LDG65" s="0"/>
      <c r="LDH65" s="0"/>
      <c r="LDI65" s="0"/>
      <c r="LDJ65" s="0"/>
      <c r="LDK65" s="0"/>
      <c r="LDL65" s="0"/>
      <c r="LDM65" s="0"/>
      <c r="LDN65" s="0"/>
      <c r="LDO65" s="0"/>
      <c r="LDP65" s="0"/>
      <c r="LDQ65" s="0"/>
      <c r="LDR65" s="0"/>
      <c r="LDS65" s="0"/>
      <c r="LDT65" s="0"/>
      <c r="LDU65" s="0"/>
      <c r="LDV65" s="0"/>
      <c r="LDW65" s="0"/>
      <c r="LDX65" s="0"/>
      <c r="LDY65" s="0"/>
      <c r="LDZ65" s="0"/>
      <c r="LEA65" s="0"/>
      <c r="LEB65" s="0"/>
      <c r="LEC65" s="0"/>
      <c r="LED65" s="0"/>
      <c r="LEE65" s="0"/>
      <c r="LEF65" s="0"/>
      <c r="LEG65" s="0"/>
      <c r="LEH65" s="0"/>
      <c r="LEI65" s="0"/>
      <c r="LEJ65" s="0"/>
      <c r="LEK65" s="0"/>
      <c r="LEL65" s="0"/>
      <c r="LEM65" s="0"/>
      <c r="LEN65" s="0"/>
      <c r="LEO65" s="0"/>
      <c r="LEP65" s="0"/>
      <c r="LEQ65" s="0"/>
      <c r="LER65" s="0"/>
      <c r="LES65" s="0"/>
      <c r="LET65" s="0"/>
      <c r="LEU65" s="0"/>
      <c r="LEV65" s="0"/>
      <c r="LEW65" s="0"/>
      <c r="LEX65" s="0"/>
      <c r="LEY65" s="0"/>
      <c r="LEZ65" s="0"/>
      <c r="LFA65" s="0"/>
      <c r="LFB65" s="0"/>
      <c r="LFC65" s="0"/>
      <c r="LFD65" s="0"/>
      <c r="LFE65" s="0"/>
      <c r="LFF65" s="0"/>
      <c r="LFG65" s="0"/>
      <c r="LFH65" s="0"/>
      <c r="LFI65" s="0"/>
      <c r="LFJ65" s="0"/>
      <c r="LFK65" s="0"/>
      <c r="LFL65" s="0"/>
      <c r="LFM65" s="0"/>
      <c r="LFN65" s="0"/>
      <c r="LFO65" s="0"/>
      <c r="LFP65" s="0"/>
      <c r="LFQ65" s="0"/>
      <c r="LFR65" s="0"/>
      <c r="LFS65" s="0"/>
      <c r="LFT65" s="0"/>
      <c r="LFU65" s="0"/>
      <c r="LFV65" s="0"/>
      <c r="LFW65" s="0"/>
      <c r="LFX65" s="0"/>
      <c r="LFY65" s="0"/>
      <c r="LFZ65" s="0"/>
      <c r="LGA65" s="0"/>
      <c r="LGB65" s="0"/>
      <c r="LGC65" s="0"/>
      <c r="LGD65" s="0"/>
      <c r="LGE65" s="0"/>
      <c r="LGF65" s="0"/>
      <c r="LGG65" s="0"/>
      <c r="LGH65" s="0"/>
      <c r="LGI65" s="0"/>
      <c r="LGJ65" s="0"/>
      <c r="LGK65" s="0"/>
      <c r="LGL65" s="0"/>
      <c r="LGM65" s="0"/>
      <c r="LGN65" s="0"/>
      <c r="LGO65" s="0"/>
      <c r="LGP65" s="0"/>
      <c r="LGQ65" s="0"/>
      <c r="LGR65" s="0"/>
      <c r="LGS65" s="0"/>
      <c r="LGT65" s="0"/>
      <c r="LGU65" s="0"/>
      <c r="LGV65" s="0"/>
      <c r="LGW65" s="0"/>
      <c r="LGX65" s="0"/>
      <c r="LGY65" s="0"/>
      <c r="LGZ65" s="0"/>
      <c r="LHA65" s="0"/>
      <c r="LHB65" s="0"/>
      <c r="LHC65" s="0"/>
      <c r="LHD65" s="0"/>
      <c r="LHE65" s="0"/>
      <c r="LHF65" s="0"/>
      <c r="LHG65" s="0"/>
      <c r="LHH65" s="0"/>
      <c r="LHI65" s="0"/>
      <c r="LHJ65" s="0"/>
      <c r="LHK65" s="0"/>
      <c r="LHL65" s="0"/>
      <c r="LHM65" s="0"/>
      <c r="LHN65" s="0"/>
      <c r="LHO65" s="0"/>
      <c r="LHP65" s="0"/>
      <c r="LHQ65" s="0"/>
      <c r="LHR65" s="0"/>
      <c r="LHS65" s="0"/>
      <c r="LHT65" s="0"/>
      <c r="LHU65" s="0"/>
      <c r="LHV65" s="0"/>
      <c r="LHW65" s="0"/>
      <c r="LHX65" s="0"/>
      <c r="LHY65" s="0"/>
      <c r="LHZ65" s="0"/>
      <c r="LIA65" s="0"/>
      <c r="LIB65" s="0"/>
      <c r="LIC65" s="0"/>
      <c r="LID65" s="0"/>
      <c r="LIE65" s="0"/>
      <c r="LIF65" s="0"/>
      <c r="LIG65" s="0"/>
      <c r="LIH65" s="0"/>
      <c r="LII65" s="0"/>
      <c r="LIJ65" s="0"/>
      <c r="LIK65" s="0"/>
      <c r="LIL65" s="0"/>
      <c r="LIM65" s="0"/>
      <c r="LIN65" s="0"/>
      <c r="LIO65" s="0"/>
      <c r="LIP65" s="0"/>
      <c r="LIQ65" s="0"/>
      <c r="LIR65" s="0"/>
      <c r="LIS65" s="0"/>
      <c r="LIT65" s="0"/>
      <c r="LIU65" s="0"/>
      <c r="LIV65" s="0"/>
      <c r="LIW65" s="0"/>
      <c r="LIX65" s="0"/>
      <c r="LIY65" s="0"/>
      <c r="LIZ65" s="0"/>
      <c r="LJA65" s="0"/>
      <c r="LJB65" s="0"/>
      <c r="LJC65" s="0"/>
      <c r="LJD65" s="0"/>
      <c r="LJE65" s="0"/>
      <c r="LJF65" s="0"/>
      <c r="LJG65" s="0"/>
      <c r="LJH65" s="0"/>
      <c r="LJI65" s="0"/>
      <c r="LJJ65" s="0"/>
      <c r="LJK65" s="0"/>
      <c r="LJL65" s="0"/>
      <c r="LJM65" s="0"/>
      <c r="LJN65" s="0"/>
      <c r="LJO65" s="0"/>
      <c r="LJP65" s="0"/>
      <c r="LJQ65" s="0"/>
      <c r="LJR65" s="0"/>
      <c r="LJS65" s="0"/>
      <c r="LJT65" s="0"/>
      <c r="LJU65" s="0"/>
      <c r="LJV65" s="0"/>
      <c r="LJW65" s="0"/>
      <c r="LJX65" s="0"/>
      <c r="LJY65" s="0"/>
      <c r="LJZ65" s="0"/>
      <c r="LKA65" s="0"/>
      <c r="LKB65" s="0"/>
      <c r="LKC65" s="0"/>
      <c r="LKD65" s="0"/>
      <c r="LKE65" s="0"/>
      <c r="LKF65" s="0"/>
      <c r="LKG65" s="0"/>
      <c r="LKH65" s="0"/>
      <c r="LKI65" s="0"/>
      <c r="LKJ65" s="0"/>
      <c r="LKK65" s="0"/>
      <c r="LKL65" s="0"/>
      <c r="LKM65" s="0"/>
      <c r="LKN65" s="0"/>
      <c r="LKO65" s="0"/>
      <c r="LKP65" s="0"/>
      <c r="LKQ65" s="0"/>
      <c r="LKR65" s="0"/>
      <c r="LKS65" s="0"/>
      <c r="LKT65" s="0"/>
      <c r="LKU65" s="0"/>
      <c r="LKV65" s="0"/>
      <c r="LKW65" s="0"/>
      <c r="LKX65" s="0"/>
      <c r="LKY65" s="0"/>
      <c r="LKZ65" s="0"/>
      <c r="LLA65" s="0"/>
      <c r="LLB65" s="0"/>
      <c r="LLC65" s="0"/>
      <c r="LLD65" s="0"/>
      <c r="LLE65" s="0"/>
      <c r="LLF65" s="0"/>
      <c r="LLG65" s="0"/>
      <c r="LLH65" s="0"/>
      <c r="LLI65" s="0"/>
      <c r="LLJ65" s="0"/>
      <c r="LLK65" s="0"/>
      <c r="LLL65" s="0"/>
      <c r="LLM65" s="0"/>
      <c r="LLN65" s="0"/>
      <c r="LLO65" s="0"/>
      <c r="LLP65" s="0"/>
      <c r="LLQ65" s="0"/>
      <c r="LLR65" s="0"/>
      <c r="LLS65" s="0"/>
      <c r="LLT65" s="0"/>
      <c r="LLU65" s="0"/>
      <c r="LLV65" s="0"/>
      <c r="LLW65" s="0"/>
      <c r="LLX65" s="0"/>
      <c r="LLY65" s="0"/>
      <c r="LLZ65" s="0"/>
      <c r="LMA65" s="0"/>
      <c r="LMB65" s="0"/>
      <c r="LMC65" s="0"/>
      <c r="LMD65" s="0"/>
      <c r="LME65" s="0"/>
      <c r="LMF65" s="0"/>
      <c r="LMG65" s="0"/>
      <c r="LMH65" s="0"/>
      <c r="LMI65" s="0"/>
      <c r="LMJ65" s="0"/>
      <c r="LMK65" s="0"/>
      <c r="LML65" s="0"/>
      <c r="LMM65" s="0"/>
      <c r="LMN65" s="0"/>
      <c r="LMO65" s="0"/>
      <c r="LMP65" s="0"/>
      <c r="LMQ65" s="0"/>
      <c r="LMR65" s="0"/>
      <c r="LMS65" s="0"/>
      <c r="LMT65" s="0"/>
      <c r="LMU65" s="0"/>
      <c r="LMV65" s="0"/>
      <c r="LMW65" s="0"/>
      <c r="LMX65" s="0"/>
      <c r="LMY65" s="0"/>
      <c r="LMZ65" s="0"/>
      <c r="LNA65" s="0"/>
      <c r="LNB65" s="0"/>
      <c r="LNC65" s="0"/>
      <c r="LND65" s="0"/>
      <c r="LNE65" s="0"/>
      <c r="LNF65" s="0"/>
      <c r="LNG65" s="0"/>
      <c r="LNH65" s="0"/>
      <c r="LNI65" s="0"/>
      <c r="LNJ65" s="0"/>
      <c r="LNK65" s="0"/>
      <c r="LNL65" s="0"/>
      <c r="LNM65" s="0"/>
      <c r="LNN65" s="0"/>
      <c r="LNO65" s="0"/>
      <c r="LNP65" s="0"/>
      <c r="LNQ65" s="0"/>
      <c r="LNR65" s="0"/>
      <c r="LNS65" s="0"/>
      <c r="LNT65" s="0"/>
      <c r="LNU65" s="0"/>
      <c r="LNV65" s="0"/>
      <c r="LNW65" s="0"/>
      <c r="LNX65" s="0"/>
      <c r="LNY65" s="0"/>
      <c r="LNZ65" s="0"/>
      <c r="LOA65" s="0"/>
      <c r="LOB65" s="0"/>
      <c r="LOC65" s="0"/>
      <c r="LOD65" s="0"/>
      <c r="LOE65" s="0"/>
      <c r="LOF65" s="0"/>
      <c r="LOG65" s="0"/>
      <c r="LOH65" s="0"/>
      <c r="LOI65" s="0"/>
      <c r="LOJ65" s="0"/>
      <c r="LOK65" s="0"/>
      <c r="LOL65" s="0"/>
      <c r="LOM65" s="0"/>
      <c r="LON65" s="0"/>
      <c r="LOO65" s="0"/>
      <c r="LOP65" s="0"/>
      <c r="LOQ65" s="0"/>
      <c r="LOR65" s="0"/>
      <c r="LOS65" s="0"/>
      <c r="LOT65" s="0"/>
      <c r="LOU65" s="0"/>
      <c r="LOV65" s="0"/>
      <c r="LOW65" s="0"/>
      <c r="LOX65" s="0"/>
      <c r="LOY65" s="0"/>
      <c r="LOZ65" s="0"/>
      <c r="LPA65" s="0"/>
      <c r="LPB65" s="0"/>
      <c r="LPC65" s="0"/>
      <c r="LPD65" s="0"/>
      <c r="LPE65" s="0"/>
      <c r="LPF65" s="0"/>
      <c r="LPG65" s="0"/>
      <c r="LPH65" s="0"/>
      <c r="LPI65" s="0"/>
      <c r="LPJ65" s="0"/>
      <c r="LPK65" s="0"/>
      <c r="LPL65" s="0"/>
      <c r="LPM65" s="0"/>
      <c r="LPN65" s="0"/>
      <c r="LPO65" s="0"/>
      <c r="LPP65" s="0"/>
      <c r="LPQ65" s="0"/>
      <c r="LPR65" s="0"/>
      <c r="LPS65" s="0"/>
      <c r="LPT65" s="0"/>
      <c r="LPU65" s="0"/>
      <c r="LPV65" s="0"/>
      <c r="LPW65" s="0"/>
      <c r="LPX65" s="0"/>
      <c r="LPY65" s="0"/>
      <c r="LPZ65" s="0"/>
      <c r="LQA65" s="0"/>
      <c r="LQB65" s="0"/>
      <c r="LQC65" s="0"/>
      <c r="LQD65" s="0"/>
      <c r="LQE65" s="0"/>
      <c r="LQF65" s="0"/>
      <c r="LQG65" s="0"/>
      <c r="LQH65" s="0"/>
      <c r="LQI65" s="0"/>
      <c r="LQJ65" s="0"/>
      <c r="LQK65" s="0"/>
      <c r="LQL65" s="0"/>
      <c r="LQM65" s="0"/>
      <c r="LQN65" s="0"/>
      <c r="LQO65" s="0"/>
      <c r="LQP65" s="0"/>
      <c r="LQQ65" s="0"/>
      <c r="LQR65" s="0"/>
      <c r="LQS65" s="0"/>
      <c r="LQT65" s="0"/>
      <c r="LQU65" s="0"/>
      <c r="LQV65" s="0"/>
      <c r="LQW65" s="0"/>
      <c r="LQX65" s="0"/>
      <c r="LQY65" s="0"/>
      <c r="LQZ65" s="0"/>
      <c r="LRA65" s="0"/>
      <c r="LRB65" s="0"/>
      <c r="LRC65" s="0"/>
      <c r="LRD65" s="0"/>
      <c r="LRE65" s="0"/>
      <c r="LRF65" s="0"/>
      <c r="LRG65" s="0"/>
      <c r="LRH65" s="0"/>
      <c r="LRI65" s="0"/>
      <c r="LRJ65" s="0"/>
      <c r="LRK65" s="0"/>
      <c r="LRL65" s="0"/>
      <c r="LRM65" s="0"/>
      <c r="LRN65" s="0"/>
      <c r="LRO65" s="0"/>
      <c r="LRP65" s="0"/>
      <c r="LRQ65" s="0"/>
      <c r="LRR65" s="0"/>
      <c r="LRS65" s="0"/>
      <c r="LRT65" s="0"/>
      <c r="LRU65" s="0"/>
      <c r="LRV65" s="0"/>
      <c r="LRW65" s="0"/>
      <c r="LRX65" s="0"/>
      <c r="LRY65" s="0"/>
      <c r="LRZ65" s="0"/>
      <c r="LSA65" s="0"/>
      <c r="LSB65" s="0"/>
      <c r="LSC65" s="0"/>
      <c r="LSD65" s="0"/>
      <c r="LSE65" s="0"/>
      <c r="LSF65" s="0"/>
      <c r="LSG65" s="0"/>
      <c r="LSH65" s="0"/>
      <c r="LSI65" s="0"/>
      <c r="LSJ65" s="0"/>
      <c r="LSK65" s="0"/>
      <c r="LSL65" s="0"/>
      <c r="LSM65" s="0"/>
      <c r="LSN65" s="0"/>
      <c r="LSO65" s="0"/>
      <c r="LSP65" s="0"/>
      <c r="LSQ65" s="0"/>
      <c r="LSR65" s="0"/>
      <c r="LSS65" s="0"/>
      <c r="LST65" s="0"/>
      <c r="LSU65" s="0"/>
      <c r="LSV65" s="0"/>
      <c r="LSW65" s="0"/>
      <c r="LSX65" s="0"/>
      <c r="LSY65" s="0"/>
      <c r="LSZ65" s="0"/>
      <c r="LTA65" s="0"/>
      <c r="LTB65" s="0"/>
      <c r="LTC65" s="0"/>
      <c r="LTD65" s="0"/>
      <c r="LTE65" s="0"/>
      <c r="LTF65" s="0"/>
      <c r="LTG65" s="0"/>
      <c r="LTH65" s="0"/>
      <c r="LTI65" s="0"/>
      <c r="LTJ65" s="0"/>
      <c r="LTK65" s="0"/>
      <c r="LTL65" s="0"/>
      <c r="LTM65" s="0"/>
      <c r="LTN65" s="0"/>
      <c r="LTO65" s="0"/>
      <c r="LTP65" s="0"/>
      <c r="LTQ65" s="0"/>
      <c r="LTR65" s="0"/>
      <c r="LTS65" s="0"/>
      <c r="LTT65" s="0"/>
      <c r="LTU65" s="0"/>
      <c r="LTV65" s="0"/>
      <c r="LTW65" s="0"/>
      <c r="LTX65" s="0"/>
      <c r="LTY65" s="0"/>
      <c r="LTZ65" s="0"/>
      <c r="LUA65" s="0"/>
      <c r="LUB65" s="0"/>
      <c r="LUC65" s="0"/>
      <c r="LUD65" s="0"/>
      <c r="LUE65" s="0"/>
      <c r="LUF65" s="0"/>
      <c r="LUG65" s="0"/>
      <c r="LUH65" s="0"/>
      <c r="LUI65" s="0"/>
      <c r="LUJ65" s="0"/>
      <c r="LUK65" s="0"/>
      <c r="LUL65" s="0"/>
      <c r="LUM65" s="0"/>
      <c r="LUN65" s="0"/>
      <c r="LUO65" s="0"/>
      <c r="LUP65" s="0"/>
      <c r="LUQ65" s="0"/>
      <c r="LUR65" s="0"/>
      <c r="LUS65" s="0"/>
      <c r="LUT65" s="0"/>
      <c r="LUU65" s="0"/>
      <c r="LUV65" s="0"/>
      <c r="LUW65" s="0"/>
      <c r="LUX65" s="0"/>
      <c r="LUY65" s="0"/>
      <c r="LUZ65" s="0"/>
      <c r="LVA65" s="0"/>
      <c r="LVB65" s="0"/>
      <c r="LVC65" s="0"/>
      <c r="LVD65" s="0"/>
      <c r="LVE65" s="0"/>
      <c r="LVF65" s="0"/>
      <c r="LVG65" s="0"/>
      <c r="LVH65" s="0"/>
      <c r="LVI65" s="0"/>
      <c r="LVJ65" s="0"/>
      <c r="LVK65" s="0"/>
      <c r="LVL65" s="0"/>
      <c r="LVM65" s="0"/>
      <c r="LVN65" s="0"/>
      <c r="LVO65" s="0"/>
      <c r="LVP65" s="0"/>
      <c r="LVQ65" s="0"/>
      <c r="LVR65" s="0"/>
      <c r="LVS65" s="0"/>
      <c r="LVT65" s="0"/>
      <c r="LVU65" s="0"/>
      <c r="LVV65" s="0"/>
      <c r="LVW65" s="0"/>
      <c r="LVX65" s="0"/>
      <c r="LVY65" s="0"/>
      <c r="LVZ65" s="0"/>
      <c r="LWA65" s="0"/>
      <c r="LWB65" s="0"/>
      <c r="LWC65" s="0"/>
      <c r="LWD65" s="0"/>
      <c r="LWE65" s="0"/>
      <c r="LWF65" s="0"/>
      <c r="LWG65" s="0"/>
      <c r="LWH65" s="0"/>
      <c r="LWI65" s="0"/>
      <c r="LWJ65" s="0"/>
      <c r="LWK65" s="0"/>
      <c r="LWL65" s="0"/>
      <c r="LWM65" s="0"/>
      <c r="LWN65" s="0"/>
      <c r="LWO65" s="0"/>
      <c r="LWP65" s="0"/>
      <c r="LWQ65" s="0"/>
      <c r="LWR65" s="0"/>
      <c r="LWS65" s="0"/>
      <c r="LWT65" s="0"/>
      <c r="LWU65" s="0"/>
      <c r="LWV65" s="0"/>
      <c r="LWW65" s="0"/>
      <c r="LWX65" s="0"/>
      <c r="LWY65" s="0"/>
      <c r="LWZ65" s="0"/>
      <c r="LXA65" s="0"/>
      <c r="LXB65" s="0"/>
      <c r="LXC65" s="0"/>
      <c r="LXD65" s="0"/>
      <c r="LXE65" s="0"/>
      <c r="LXF65" s="0"/>
      <c r="LXG65" s="0"/>
      <c r="LXH65" s="0"/>
      <c r="LXI65" s="0"/>
      <c r="LXJ65" s="0"/>
      <c r="LXK65" s="0"/>
      <c r="LXL65" s="0"/>
      <c r="LXM65" s="0"/>
      <c r="LXN65" s="0"/>
      <c r="LXO65" s="0"/>
      <c r="LXP65" s="0"/>
      <c r="LXQ65" s="0"/>
      <c r="LXR65" s="0"/>
      <c r="LXS65" s="0"/>
      <c r="LXT65" s="0"/>
      <c r="LXU65" s="0"/>
      <c r="LXV65" s="0"/>
      <c r="LXW65" s="0"/>
      <c r="LXX65" s="0"/>
      <c r="LXY65" s="0"/>
      <c r="LXZ65" s="0"/>
      <c r="LYA65" s="0"/>
      <c r="LYB65" s="0"/>
      <c r="LYC65" s="0"/>
      <c r="LYD65" s="0"/>
      <c r="LYE65" s="0"/>
      <c r="LYF65" s="0"/>
      <c r="LYG65" s="0"/>
      <c r="LYH65" s="0"/>
      <c r="LYI65" s="0"/>
      <c r="LYJ65" s="0"/>
      <c r="LYK65" s="0"/>
      <c r="LYL65" s="0"/>
      <c r="LYM65" s="0"/>
      <c r="LYN65" s="0"/>
      <c r="LYO65" s="0"/>
      <c r="LYP65" s="0"/>
      <c r="LYQ65" s="0"/>
      <c r="LYR65" s="0"/>
      <c r="LYS65" s="0"/>
      <c r="LYT65" s="0"/>
      <c r="LYU65" s="0"/>
      <c r="LYV65" s="0"/>
      <c r="LYW65" s="0"/>
      <c r="LYX65" s="0"/>
      <c r="LYY65" s="0"/>
      <c r="LYZ65" s="0"/>
      <c r="LZA65" s="0"/>
      <c r="LZB65" s="0"/>
      <c r="LZC65" s="0"/>
      <c r="LZD65" s="0"/>
      <c r="LZE65" s="0"/>
      <c r="LZF65" s="0"/>
      <c r="LZG65" s="0"/>
      <c r="LZH65" s="0"/>
      <c r="LZI65" s="0"/>
      <c r="LZJ65" s="0"/>
      <c r="LZK65" s="0"/>
      <c r="LZL65" s="0"/>
      <c r="LZM65" s="0"/>
      <c r="LZN65" s="0"/>
      <c r="LZO65" s="0"/>
      <c r="LZP65" s="0"/>
      <c r="LZQ65" s="0"/>
      <c r="LZR65" s="0"/>
      <c r="LZS65" s="0"/>
      <c r="LZT65" s="0"/>
      <c r="LZU65" s="0"/>
      <c r="LZV65" s="0"/>
      <c r="LZW65" s="0"/>
      <c r="LZX65" s="0"/>
      <c r="LZY65" s="0"/>
      <c r="LZZ65" s="0"/>
      <c r="MAA65" s="0"/>
      <c r="MAB65" s="0"/>
      <c r="MAC65" s="0"/>
      <c r="MAD65" s="0"/>
      <c r="MAE65" s="0"/>
      <c r="MAF65" s="0"/>
      <c r="MAG65" s="0"/>
      <c r="MAH65" s="0"/>
      <c r="MAI65" s="0"/>
      <c r="MAJ65" s="0"/>
      <c r="MAK65" s="0"/>
      <c r="MAL65" s="0"/>
      <c r="MAM65" s="0"/>
      <c r="MAN65" s="0"/>
      <c r="MAO65" s="0"/>
      <c r="MAP65" s="0"/>
      <c r="MAQ65" s="0"/>
      <c r="MAR65" s="0"/>
      <c r="MAS65" s="0"/>
      <c r="MAT65" s="0"/>
      <c r="MAU65" s="0"/>
      <c r="MAV65" s="0"/>
      <c r="MAW65" s="0"/>
      <c r="MAX65" s="0"/>
      <c r="MAY65" s="0"/>
      <c r="MAZ65" s="0"/>
      <c r="MBA65" s="0"/>
      <c r="MBB65" s="0"/>
      <c r="MBC65" s="0"/>
      <c r="MBD65" s="0"/>
      <c r="MBE65" s="0"/>
      <c r="MBF65" s="0"/>
      <c r="MBG65" s="0"/>
      <c r="MBH65" s="0"/>
      <c r="MBI65" s="0"/>
      <c r="MBJ65" s="0"/>
      <c r="MBK65" s="0"/>
      <c r="MBL65" s="0"/>
      <c r="MBM65" s="0"/>
      <c r="MBN65" s="0"/>
      <c r="MBO65" s="0"/>
      <c r="MBP65" s="0"/>
      <c r="MBQ65" s="0"/>
      <c r="MBR65" s="0"/>
      <c r="MBS65" s="0"/>
      <c r="MBT65" s="0"/>
      <c r="MBU65" s="0"/>
      <c r="MBV65" s="0"/>
      <c r="MBW65" s="0"/>
      <c r="MBX65" s="0"/>
      <c r="MBY65" s="0"/>
      <c r="MBZ65" s="0"/>
      <c r="MCA65" s="0"/>
      <c r="MCB65" s="0"/>
      <c r="MCC65" s="0"/>
      <c r="MCD65" s="0"/>
      <c r="MCE65" s="0"/>
      <c r="MCF65" s="0"/>
      <c r="MCG65" s="0"/>
      <c r="MCH65" s="0"/>
      <c r="MCI65" s="0"/>
      <c r="MCJ65" s="0"/>
      <c r="MCK65" s="0"/>
      <c r="MCL65" s="0"/>
      <c r="MCM65" s="0"/>
      <c r="MCN65" s="0"/>
      <c r="MCO65" s="0"/>
      <c r="MCP65" s="0"/>
      <c r="MCQ65" s="0"/>
      <c r="MCR65" s="0"/>
      <c r="MCS65" s="0"/>
      <c r="MCT65" s="0"/>
      <c r="MCU65" s="0"/>
      <c r="MCV65" s="0"/>
      <c r="MCW65" s="0"/>
      <c r="MCX65" s="0"/>
      <c r="MCY65" s="0"/>
      <c r="MCZ65" s="0"/>
      <c r="MDA65" s="0"/>
      <c r="MDB65" s="0"/>
      <c r="MDC65" s="0"/>
      <c r="MDD65" s="0"/>
      <c r="MDE65" s="0"/>
      <c r="MDF65" s="0"/>
      <c r="MDG65" s="0"/>
      <c r="MDH65" s="0"/>
      <c r="MDI65" s="0"/>
      <c r="MDJ65" s="0"/>
      <c r="MDK65" s="0"/>
      <c r="MDL65" s="0"/>
      <c r="MDM65" s="0"/>
      <c r="MDN65" s="0"/>
      <c r="MDO65" s="0"/>
      <c r="MDP65" s="0"/>
      <c r="MDQ65" s="0"/>
      <c r="MDR65" s="0"/>
      <c r="MDS65" s="0"/>
      <c r="MDT65" s="0"/>
      <c r="MDU65" s="0"/>
      <c r="MDV65" s="0"/>
      <c r="MDW65" s="0"/>
      <c r="MDX65" s="0"/>
      <c r="MDY65" s="0"/>
      <c r="MDZ65" s="0"/>
      <c r="MEA65" s="0"/>
      <c r="MEB65" s="0"/>
      <c r="MEC65" s="0"/>
      <c r="MED65" s="0"/>
      <c r="MEE65" s="0"/>
      <c r="MEF65" s="0"/>
      <c r="MEG65" s="0"/>
      <c r="MEH65" s="0"/>
      <c r="MEI65" s="0"/>
      <c r="MEJ65" s="0"/>
      <c r="MEK65" s="0"/>
      <c r="MEL65" s="0"/>
      <c r="MEM65" s="0"/>
      <c r="MEN65" s="0"/>
      <c r="MEO65" s="0"/>
      <c r="MEP65" s="0"/>
      <c r="MEQ65" s="0"/>
      <c r="MER65" s="0"/>
      <c r="MES65" s="0"/>
      <c r="MET65" s="0"/>
      <c r="MEU65" s="0"/>
      <c r="MEV65" s="0"/>
      <c r="MEW65" s="0"/>
      <c r="MEX65" s="0"/>
      <c r="MEY65" s="0"/>
      <c r="MEZ65" s="0"/>
      <c r="MFA65" s="0"/>
      <c r="MFB65" s="0"/>
      <c r="MFC65" s="0"/>
      <c r="MFD65" s="0"/>
      <c r="MFE65" s="0"/>
      <c r="MFF65" s="0"/>
      <c r="MFG65" s="0"/>
      <c r="MFH65" s="0"/>
      <c r="MFI65" s="0"/>
      <c r="MFJ65" s="0"/>
      <c r="MFK65" s="0"/>
      <c r="MFL65" s="0"/>
      <c r="MFM65" s="0"/>
      <c r="MFN65" s="0"/>
      <c r="MFO65" s="0"/>
      <c r="MFP65" s="0"/>
      <c r="MFQ65" s="0"/>
      <c r="MFR65" s="0"/>
      <c r="MFS65" s="0"/>
      <c r="MFT65" s="0"/>
      <c r="MFU65" s="0"/>
      <c r="MFV65" s="0"/>
      <c r="MFW65" s="0"/>
      <c r="MFX65" s="0"/>
      <c r="MFY65" s="0"/>
      <c r="MFZ65" s="0"/>
      <c r="MGA65" s="0"/>
      <c r="MGB65" s="0"/>
      <c r="MGC65" s="0"/>
      <c r="MGD65" s="0"/>
      <c r="MGE65" s="0"/>
      <c r="MGF65" s="0"/>
      <c r="MGG65" s="0"/>
      <c r="MGH65" s="0"/>
      <c r="MGI65" s="0"/>
      <c r="MGJ65" s="0"/>
      <c r="MGK65" s="0"/>
      <c r="MGL65" s="0"/>
      <c r="MGM65" s="0"/>
      <c r="MGN65" s="0"/>
      <c r="MGO65" s="0"/>
      <c r="MGP65" s="0"/>
      <c r="MGQ65" s="0"/>
      <c r="MGR65" s="0"/>
      <c r="MGS65" s="0"/>
      <c r="MGT65" s="0"/>
      <c r="MGU65" s="0"/>
      <c r="MGV65" s="0"/>
      <c r="MGW65" s="0"/>
      <c r="MGX65" s="0"/>
      <c r="MGY65" s="0"/>
      <c r="MGZ65" s="0"/>
      <c r="MHA65" s="0"/>
      <c r="MHB65" s="0"/>
      <c r="MHC65" s="0"/>
      <c r="MHD65" s="0"/>
      <c r="MHE65" s="0"/>
      <c r="MHF65" s="0"/>
      <c r="MHG65" s="0"/>
      <c r="MHH65" s="0"/>
      <c r="MHI65" s="0"/>
      <c r="MHJ65" s="0"/>
      <c r="MHK65" s="0"/>
      <c r="MHL65" s="0"/>
      <c r="MHM65" s="0"/>
      <c r="MHN65" s="0"/>
      <c r="MHO65" s="0"/>
      <c r="MHP65" s="0"/>
      <c r="MHQ65" s="0"/>
      <c r="MHR65" s="0"/>
      <c r="MHS65" s="0"/>
      <c r="MHT65" s="0"/>
      <c r="MHU65" s="0"/>
      <c r="MHV65" s="0"/>
      <c r="MHW65" s="0"/>
      <c r="MHX65" s="0"/>
      <c r="MHY65" s="0"/>
      <c r="MHZ65" s="0"/>
      <c r="MIA65" s="0"/>
      <c r="MIB65" s="0"/>
      <c r="MIC65" s="0"/>
      <c r="MID65" s="0"/>
      <c r="MIE65" s="0"/>
      <c r="MIF65" s="0"/>
      <c r="MIG65" s="0"/>
      <c r="MIH65" s="0"/>
      <c r="MII65" s="0"/>
      <c r="MIJ65" s="0"/>
      <c r="MIK65" s="0"/>
      <c r="MIL65" s="0"/>
      <c r="MIM65" s="0"/>
      <c r="MIN65" s="0"/>
      <c r="MIO65" s="0"/>
      <c r="MIP65" s="0"/>
      <c r="MIQ65" s="0"/>
      <c r="MIR65" s="0"/>
      <c r="MIS65" s="0"/>
      <c r="MIT65" s="0"/>
      <c r="MIU65" s="0"/>
      <c r="MIV65" s="0"/>
      <c r="MIW65" s="0"/>
      <c r="MIX65" s="0"/>
      <c r="MIY65" s="0"/>
      <c r="MIZ65" s="0"/>
      <c r="MJA65" s="0"/>
      <c r="MJB65" s="0"/>
      <c r="MJC65" s="0"/>
      <c r="MJD65" s="0"/>
      <c r="MJE65" s="0"/>
      <c r="MJF65" s="0"/>
      <c r="MJG65" s="0"/>
      <c r="MJH65" s="0"/>
      <c r="MJI65" s="0"/>
      <c r="MJJ65" s="0"/>
      <c r="MJK65" s="0"/>
      <c r="MJL65" s="0"/>
      <c r="MJM65" s="0"/>
      <c r="MJN65" s="0"/>
      <c r="MJO65" s="0"/>
      <c r="MJP65" s="0"/>
      <c r="MJQ65" s="0"/>
      <c r="MJR65" s="0"/>
      <c r="MJS65" s="0"/>
      <c r="MJT65" s="0"/>
      <c r="MJU65" s="0"/>
      <c r="MJV65" s="0"/>
      <c r="MJW65" s="0"/>
      <c r="MJX65" s="0"/>
      <c r="MJY65" s="0"/>
      <c r="MJZ65" s="0"/>
      <c r="MKA65" s="0"/>
      <c r="MKB65" s="0"/>
      <c r="MKC65" s="0"/>
      <c r="MKD65" s="0"/>
      <c r="MKE65" s="0"/>
      <c r="MKF65" s="0"/>
      <c r="MKG65" s="0"/>
      <c r="MKH65" s="0"/>
      <c r="MKI65" s="0"/>
      <c r="MKJ65" s="0"/>
      <c r="MKK65" s="0"/>
      <c r="MKL65" s="0"/>
      <c r="MKM65" s="0"/>
      <c r="MKN65" s="0"/>
      <c r="MKO65" s="0"/>
      <c r="MKP65" s="0"/>
      <c r="MKQ65" s="0"/>
      <c r="MKR65" s="0"/>
      <c r="MKS65" s="0"/>
      <c r="MKT65" s="0"/>
      <c r="MKU65" s="0"/>
      <c r="MKV65" s="0"/>
      <c r="MKW65" s="0"/>
      <c r="MKX65" s="0"/>
      <c r="MKY65" s="0"/>
      <c r="MKZ65" s="0"/>
      <c r="MLA65" s="0"/>
      <c r="MLB65" s="0"/>
      <c r="MLC65" s="0"/>
      <c r="MLD65" s="0"/>
      <c r="MLE65" s="0"/>
      <c r="MLF65" s="0"/>
      <c r="MLG65" s="0"/>
      <c r="MLH65" s="0"/>
      <c r="MLI65" s="0"/>
      <c r="MLJ65" s="0"/>
      <c r="MLK65" s="0"/>
      <c r="MLL65" s="0"/>
      <c r="MLM65" s="0"/>
      <c r="MLN65" s="0"/>
      <c r="MLO65" s="0"/>
      <c r="MLP65" s="0"/>
      <c r="MLQ65" s="0"/>
      <c r="MLR65" s="0"/>
      <c r="MLS65" s="0"/>
      <c r="MLT65" s="0"/>
      <c r="MLU65" s="0"/>
      <c r="MLV65" s="0"/>
      <c r="MLW65" s="0"/>
      <c r="MLX65" s="0"/>
      <c r="MLY65" s="0"/>
      <c r="MLZ65" s="0"/>
      <c r="MMA65" s="0"/>
      <c r="MMB65" s="0"/>
      <c r="MMC65" s="0"/>
      <c r="MMD65" s="0"/>
      <c r="MME65" s="0"/>
      <c r="MMF65" s="0"/>
      <c r="MMG65" s="0"/>
      <c r="MMH65" s="0"/>
      <c r="MMI65" s="0"/>
      <c r="MMJ65" s="0"/>
      <c r="MMK65" s="0"/>
      <c r="MML65" s="0"/>
      <c r="MMM65" s="0"/>
      <c r="MMN65" s="0"/>
      <c r="MMO65" s="0"/>
      <c r="MMP65" s="0"/>
      <c r="MMQ65" s="0"/>
      <c r="MMR65" s="0"/>
      <c r="MMS65" s="0"/>
      <c r="MMT65" s="0"/>
      <c r="MMU65" s="0"/>
      <c r="MMV65" s="0"/>
      <c r="MMW65" s="0"/>
      <c r="MMX65" s="0"/>
      <c r="MMY65" s="0"/>
      <c r="MMZ65" s="0"/>
      <c r="MNA65" s="0"/>
      <c r="MNB65" s="0"/>
      <c r="MNC65" s="0"/>
      <c r="MND65" s="0"/>
      <c r="MNE65" s="0"/>
      <c r="MNF65" s="0"/>
      <c r="MNG65" s="0"/>
      <c r="MNH65" s="0"/>
      <c r="MNI65" s="0"/>
      <c r="MNJ65" s="0"/>
      <c r="MNK65" s="0"/>
      <c r="MNL65" s="0"/>
      <c r="MNM65" s="0"/>
      <c r="MNN65" s="0"/>
      <c r="MNO65" s="0"/>
      <c r="MNP65" s="0"/>
      <c r="MNQ65" s="0"/>
      <c r="MNR65" s="0"/>
      <c r="MNS65" s="0"/>
      <c r="MNT65" s="0"/>
      <c r="MNU65" s="0"/>
      <c r="MNV65" s="0"/>
      <c r="MNW65" s="0"/>
      <c r="MNX65" s="0"/>
      <c r="MNY65" s="0"/>
      <c r="MNZ65" s="0"/>
      <c r="MOA65" s="0"/>
      <c r="MOB65" s="0"/>
      <c r="MOC65" s="0"/>
      <c r="MOD65" s="0"/>
      <c r="MOE65" s="0"/>
      <c r="MOF65" s="0"/>
      <c r="MOG65" s="0"/>
      <c r="MOH65" s="0"/>
      <c r="MOI65" s="0"/>
      <c r="MOJ65" s="0"/>
      <c r="MOK65" s="0"/>
      <c r="MOL65" s="0"/>
      <c r="MOM65" s="0"/>
      <c r="MON65" s="0"/>
      <c r="MOO65" s="0"/>
      <c r="MOP65" s="0"/>
      <c r="MOQ65" s="0"/>
      <c r="MOR65" s="0"/>
      <c r="MOS65" s="0"/>
      <c r="MOT65" s="0"/>
      <c r="MOU65" s="0"/>
      <c r="MOV65" s="0"/>
      <c r="MOW65" s="0"/>
      <c r="MOX65" s="0"/>
      <c r="MOY65" s="0"/>
      <c r="MOZ65" s="0"/>
      <c r="MPA65" s="0"/>
      <c r="MPB65" s="0"/>
      <c r="MPC65" s="0"/>
      <c r="MPD65" s="0"/>
      <c r="MPE65" s="0"/>
      <c r="MPF65" s="0"/>
      <c r="MPG65" s="0"/>
      <c r="MPH65" s="0"/>
      <c r="MPI65" s="0"/>
      <c r="MPJ65" s="0"/>
      <c r="MPK65" s="0"/>
      <c r="MPL65" s="0"/>
      <c r="MPM65" s="0"/>
      <c r="MPN65" s="0"/>
      <c r="MPO65" s="0"/>
      <c r="MPP65" s="0"/>
      <c r="MPQ65" s="0"/>
      <c r="MPR65" s="0"/>
      <c r="MPS65" s="0"/>
      <c r="MPT65" s="0"/>
      <c r="MPU65" s="0"/>
      <c r="MPV65" s="0"/>
      <c r="MPW65" s="0"/>
      <c r="MPX65" s="0"/>
      <c r="MPY65" s="0"/>
      <c r="MPZ65" s="0"/>
      <c r="MQA65" s="0"/>
      <c r="MQB65" s="0"/>
      <c r="MQC65" s="0"/>
      <c r="MQD65" s="0"/>
      <c r="MQE65" s="0"/>
      <c r="MQF65" s="0"/>
      <c r="MQG65" s="0"/>
      <c r="MQH65" s="0"/>
      <c r="MQI65" s="0"/>
      <c r="MQJ65" s="0"/>
      <c r="MQK65" s="0"/>
      <c r="MQL65" s="0"/>
      <c r="MQM65" s="0"/>
      <c r="MQN65" s="0"/>
      <c r="MQO65" s="0"/>
      <c r="MQP65" s="0"/>
      <c r="MQQ65" s="0"/>
      <c r="MQR65" s="0"/>
      <c r="MQS65" s="0"/>
      <c r="MQT65" s="0"/>
      <c r="MQU65" s="0"/>
      <c r="MQV65" s="0"/>
      <c r="MQW65" s="0"/>
      <c r="MQX65" s="0"/>
      <c r="MQY65" s="0"/>
      <c r="MQZ65" s="0"/>
      <c r="MRA65" s="0"/>
      <c r="MRB65" s="0"/>
      <c r="MRC65" s="0"/>
      <c r="MRD65" s="0"/>
      <c r="MRE65" s="0"/>
      <c r="MRF65" s="0"/>
      <c r="MRG65" s="0"/>
      <c r="MRH65" s="0"/>
      <c r="MRI65" s="0"/>
      <c r="MRJ65" s="0"/>
      <c r="MRK65" s="0"/>
      <c r="MRL65" s="0"/>
      <c r="MRM65" s="0"/>
      <c r="MRN65" s="0"/>
      <c r="MRO65" s="0"/>
      <c r="MRP65" s="0"/>
      <c r="MRQ65" s="0"/>
      <c r="MRR65" s="0"/>
      <c r="MRS65" s="0"/>
      <c r="MRT65" s="0"/>
      <c r="MRU65" s="0"/>
      <c r="MRV65" s="0"/>
      <c r="MRW65" s="0"/>
      <c r="MRX65" s="0"/>
      <c r="MRY65" s="0"/>
      <c r="MRZ65" s="0"/>
      <c r="MSA65" s="0"/>
      <c r="MSB65" s="0"/>
      <c r="MSC65" s="0"/>
      <c r="MSD65" s="0"/>
      <c r="MSE65" s="0"/>
      <c r="MSF65" s="0"/>
      <c r="MSG65" s="0"/>
      <c r="MSH65" s="0"/>
      <c r="MSI65" s="0"/>
      <c r="MSJ65" s="0"/>
      <c r="MSK65" s="0"/>
      <c r="MSL65" s="0"/>
      <c r="MSM65" s="0"/>
      <c r="MSN65" s="0"/>
      <c r="MSO65" s="0"/>
      <c r="MSP65" s="0"/>
      <c r="MSQ65" s="0"/>
      <c r="MSR65" s="0"/>
      <c r="MSS65" s="0"/>
      <c r="MST65" s="0"/>
      <c r="MSU65" s="0"/>
      <c r="MSV65" s="0"/>
      <c r="MSW65" s="0"/>
      <c r="MSX65" s="0"/>
      <c r="MSY65" s="0"/>
      <c r="MSZ65" s="0"/>
      <c r="MTA65" s="0"/>
      <c r="MTB65" s="0"/>
      <c r="MTC65" s="0"/>
      <c r="MTD65" s="0"/>
      <c r="MTE65" s="0"/>
      <c r="MTF65" s="0"/>
      <c r="MTG65" s="0"/>
      <c r="MTH65" s="0"/>
      <c r="MTI65" s="0"/>
      <c r="MTJ65" s="0"/>
      <c r="MTK65" s="0"/>
      <c r="MTL65" s="0"/>
      <c r="MTM65" s="0"/>
      <c r="MTN65" s="0"/>
      <c r="MTO65" s="0"/>
      <c r="MTP65" s="0"/>
      <c r="MTQ65" s="0"/>
      <c r="MTR65" s="0"/>
      <c r="MTS65" s="0"/>
      <c r="MTT65" s="0"/>
      <c r="MTU65" s="0"/>
      <c r="MTV65" s="0"/>
      <c r="MTW65" s="0"/>
      <c r="MTX65" s="0"/>
      <c r="MTY65" s="0"/>
      <c r="MTZ65" s="0"/>
      <c r="MUA65" s="0"/>
      <c r="MUB65" s="0"/>
      <c r="MUC65" s="0"/>
      <c r="MUD65" s="0"/>
      <c r="MUE65" s="0"/>
      <c r="MUF65" s="0"/>
      <c r="MUG65" s="0"/>
      <c r="MUH65" s="0"/>
      <c r="MUI65" s="0"/>
      <c r="MUJ65" s="0"/>
      <c r="MUK65" s="0"/>
      <c r="MUL65" s="0"/>
      <c r="MUM65" s="0"/>
      <c r="MUN65" s="0"/>
      <c r="MUO65" s="0"/>
      <c r="MUP65" s="0"/>
      <c r="MUQ65" s="0"/>
      <c r="MUR65" s="0"/>
      <c r="MUS65" s="0"/>
      <c r="MUT65" s="0"/>
      <c r="MUU65" s="0"/>
      <c r="MUV65" s="0"/>
      <c r="MUW65" s="0"/>
      <c r="MUX65" s="0"/>
      <c r="MUY65" s="0"/>
      <c r="MUZ65" s="0"/>
      <c r="MVA65" s="0"/>
      <c r="MVB65" s="0"/>
      <c r="MVC65" s="0"/>
      <c r="MVD65" s="0"/>
      <c r="MVE65" s="0"/>
      <c r="MVF65" s="0"/>
      <c r="MVG65" s="0"/>
      <c r="MVH65" s="0"/>
      <c r="MVI65" s="0"/>
      <c r="MVJ65" s="0"/>
      <c r="MVK65" s="0"/>
      <c r="MVL65" s="0"/>
      <c r="MVM65" s="0"/>
      <c r="MVN65" s="0"/>
      <c r="MVO65" s="0"/>
      <c r="MVP65" s="0"/>
      <c r="MVQ65" s="0"/>
      <c r="MVR65" s="0"/>
      <c r="MVS65" s="0"/>
      <c r="MVT65" s="0"/>
      <c r="MVU65" s="0"/>
      <c r="MVV65" s="0"/>
      <c r="MVW65" s="0"/>
      <c r="MVX65" s="0"/>
      <c r="MVY65" s="0"/>
      <c r="MVZ65" s="0"/>
      <c r="MWA65" s="0"/>
      <c r="MWB65" s="0"/>
      <c r="MWC65" s="0"/>
      <c r="MWD65" s="0"/>
      <c r="MWE65" s="0"/>
      <c r="MWF65" s="0"/>
      <c r="MWG65" s="0"/>
      <c r="MWH65" s="0"/>
      <c r="MWI65" s="0"/>
      <c r="MWJ65" s="0"/>
      <c r="MWK65" s="0"/>
      <c r="MWL65" s="0"/>
      <c r="MWM65" s="0"/>
      <c r="MWN65" s="0"/>
      <c r="MWO65" s="0"/>
      <c r="MWP65" s="0"/>
      <c r="MWQ65" s="0"/>
      <c r="MWR65" s="0"/>
      <c r="MWS65" s="0"/>
      <c r="MWT65" s="0"/>
      <c r="MWU65" s="0"/>
      <c r="MWV65" s="0"/>
      <c r="MWW65" s="0"/>
      <c r="MWX65" s="0"/>
      <c r="MWY65" s="0"/>
      <c r="MWZ65" s="0"/>
      <c r="MXA65" s="0"/>
      <c r="MXB65" s="0"/>
      <c r="MXC65" s="0"/>
      <c r="MXD65" s="0"/>
      <c r="MXE65" s="0"/>
      <c r="MXF65" s="0"/>
      <c r="MXG65" s="0"/>
      <c r="MXH65" s="0"/>
      <c r="MXI65" s="0"/>
      <c r="MXJ65" s="0"/>
      <c r="MXK65" s="0"/>
      <c r="MXL65" s="0"/>
      <c r="MXM65" s="0"/>
      <c r="MXN65" s="0"/>
      <c r="MXO65" s="0"/>
      <c r="MXP65" s="0"/>
      <c r="MXQ65" s="0"/>
      <c r="MXR65" s="0"/>
      <c r="MXS65" s="0"/>
      <c r="MXT65" s="0"/>
      <c r="MXU65" s="0"/>
      <c r="MXV65" s="0"/>
      <c r="MXW65" s="0"/>
      <c r="MXX65" s="0"/>
      <c r="MXY65" s="0"/>
      <c r="MXZ65" s="0"/>
      <c r="MYA65" s="0"/>
      <c r="MYB65" s="0"/>
      <c r="MYC65" s="0"/>
      <c r="MYD65" s="0"/>
      <c r="MYE65" s="0"/>
      <c r="MYF65" s="0"/>
      <c r="MYG65" s="0"/>
      <c r="MYH65" s="0"/>
      <c r="MYI65" s="0"/>
      <c r="MYJ65" s="0"/>
      <c r="MYK65" s="0"/>
      <c r="MYL65" s="0"/>
      <c r="MYM65" s="0"/>
      <c r="MYN65" s="0"/>
      <c r="MYO65" s="0"/>
      <c r="MYP65" s="0"/>
      <c r="MYQ65" s="0"/>
      <c r="MYR65" s="0"/>
      <c r="MYS65" s="0"/>
      <c r="MYT65" s="0"/>
      <c r="MYU65" s="0"/>
      <c r="MYV65" s="0"/>
      <c r="MYW65" s="0"/>
      <c r="MYX65" s="0"/>
      <c r="MYY65" s="0"/>
      <c r="MYZ65" s="0"/>
      <c r="MZA65" s="0"/>
      <c r="MZB65" s="0"/>
      <c r="MZC65" s="0"/>
      <c r="MZD65" s="0"/>
      <c r="MZE65" s="0"/>
      <c r="MZF65" s="0"/>
      <c r="MZG65" s="0"/>
      <c r="MZH65" s="0"/>
      <c r="MZI65" s="0"/>
      <c r="MZJ65" s="0"/>
      <c r="MZK65" s="0"/>
      <c r="MZL65" s="0"/>
      <c r="MZM65" s="0"/>
      <c r="MZN65" s="0"/>
      <c r="MZO65" s="0"/>
      <c r="MZP65" s="0"/>
      <c r="MZQ65" s="0"/>
      <c r="MZR65" s="0"/>
      <c r="MZS65" s="0"/>
      <c r="MZT65" s="0"/>
      <c r="MZU65" s="0"/>
      <c r="MZV65" s="0"/>
      <c r="MZW65" s="0"/>
      <c r="MZX65" s="0"/>
      <c r="MZY65" s="0"/>
      <c r="MZZ65" s="0"/>
      <c r="NAA65" s="0"/>
      <c r="NAB65" s="0"/>
      <c r="NAC65" s="0"/>
      <c r="NAD65" s="0"/>
      <c r="NAE65" s="0"/>
      <c r="NAF65" s="0"/>
      <c r="NAG65" s="0"/>
      <c r="NAH65" s="0"/>
      <c r="NAI65" s="0"/>
      <c r="NAJ65" s="0"/>
      <c r="NAK65" s="0"/>
      <c r="NAL65" s="0"/>
      <c r="NAM65" s="0"/>
      <c r="NAN65" s="0"/>
      <c r="NAO65" s="0"/>
      <c r="NAP65" s="0"/>
      <c r="NAQ65" s="0"/>
      <c r="NAR65" s="0"/>
      <c r="NAS65" s="0"/>
      <c r="NAT65" s="0"/>
      <c r="NAU65" s="0"/>
      <c r="NAV65" s="0"/>
      <c r="NAW65" s="0"/>
      <c r="NAX65" s="0"/>
      <c r="NAY65" s="0"/>
      <c r="NAZ65" s="0"/>
      <c r="NBA65" s="0"/>
      <c r="NBB65" s="0"/>
      <c r="NBC65" s="0"/>
      <c r="NBD65" s="0"/>
      <c r="NBE65" s="0"/>
      <c r="NBF65" s="0"/>
      <c r="NBG65" s="0"/>
      <c r="NBH65" s="0"/>
      <c r="NBI65" s="0"/>
      <c r="NBJ65" s="0"/>
      <c r="NBK65" s="0"/>
      <c r="NBL65" s="0"/>
      <c r="NBM65" s="0"/>
      <c r="NBN65" s="0"/>
      <c r="NBO65" s="0"/>
      <c r="NBP65" s="0"/>
      <c r="NBQ65" s="0"/>
      <c r="NBR65" s="0"/>
      <c r="NBS65" s="0"/>
      <c r="NBT65" s="0"/>
      <c r="NBU65" s="0"/>
      <c r="NBV65" s="0"/>
      <c r="NBW65" s="0"/>
      <c r="NBX65" s="0"/>
      <c r="NBY65" s="0"/>
      <c r="NBZ65" s="0"/>
      <c r="NCA65" s="0"/>
      <c r="NCB65" s="0"/>
      <c r="NCC65" s="0"/>
      <c r="NCD65" s="0"/>
      <c r="NCE65" s="0"/>
      <c r="NCF65" s="0"/>
      <c r="NCG65" s="0"/>
      <c r="NCH65" s="0"/>
      <c r="NCI65" s="0"/>
      <c r="NCJ65" s="0"/>
      <c r="NCK65" s="0"/>
      <c r="NCL65" s="0"/>
      <c r="NCM65" s="0"/>
      <c r="NCN65" s="0"/>
      <c r="NCO65" s="0"/>
      <c r="NCP65" s="0"/>
      <c r="NCQ65" s="0"/>
      <c r="NCR65" s="0"/>
      <c r="NCS65" s="0"/>
      <c r="NCT65" s="0"/>
      <c r="NCU65" s="0"/>
      <c r="NCV65" s="0"/>
      <c r="NCW65" s="0"/>
      <c r="NCX65" s="0"/>
      <c r="NCY65" s="0"/>
      <c r="NCZ65" s="0"/>
      <c r="NDA65" s="0"/>
      <c r="NDB65" s="0"/>
      <c r="NDC65" s="0"/>
      <c r="NDD65" s="0"/>
      <c r="NDE65" s="0"/>
      <c r="NDF65" s="0"/>
      <c r="NDG65" s="0"/>
      <c r="NDH65" s="0"/>
      <c r="NDI65" s="0"/>
      <c r="NDJ65" s="0"/>
      <c r="NDK65" s="0"/>
      <c r="NDL65" s="0"/>
      <c r="NDM65" s="0"/>
      <c r="NDN65" s="0"/>
      <c r="NDO65" s="0"/>
      <c r="NDP65" s="0"/>
      <c r="NDQ65" s="0"/>
      <c r="NDR65" s="0"/>
      <c r="NDS65" s="0"/>
      <c r="NDT65" s="0"/>
      <c r="NDU65" s="0"/>
      <c r="NDV65" s="0"/>
      <c r="NDW65" s="0"/>
      <c r="NDX65" s="0"/>
      <c r="NDY65" s="0"/>
      <c r="NDZ65" s="0"/>
      <c r="NEA65" s="0"/>
      <c r="NEB65" s="0"/>
      <c r="NEC65" s="0"/>
      <c r="NED65" s="0"/>
      <c r="NEE65" s="0"/>
      <c r="NEF65" s="0"/>
      <c r="NEG65" s="0"/>
      <c r="NEH65" s="0"/>
      <c r="NEI65" s="0"/>
      <c r="NEJ65" s="0"/>
      <c r="NEK65" s="0"/>
      <c r="NEL65" s="0"/>
      <c r="NEM65" s="0"/>
      <c r="NEN65" s="0"/>
      <c r="NEO65" s="0"/>
      <c r="NEP65" s="0"/>
      <c r="NEQ65" s="0"/>
      <c r="NER65" s="0"/>
      <c r="NES65" s="0"/>
      <c r="NET65" s="0"/>
      <c r="NEU65" s="0"/>
      <c r="NEV65" s="0"/>
      <c r="NEW65" s="0"/>
      <c r="NEX65" s="0"/>
      <c r="NEY65" s="0"/>
      <c r="NEZ65" s="0"/>
      <c r="NFA65" s="0"/>
      <c r="NFB65" s="0"/>
      <c r="NFC65" s="0"/>
      <c r="NFD65" s="0"/>
      <c r="NFE65" s="0"/>
      <c r="NFF65" s="0"/>
      <c r="NFG65" s="0"/>
      <c r="NFH65" s="0"/>
      <c r="NFI65" s="0"/>
      <c r="NFJ65" s="0"/>
      <c r="NFK65" s="0"/>
      <c r="NFL65" s="0"/>
      <c r="NFM65" s="0"/>
      <c r="NFN65" s="0"/>
      <c r="NFO65" s="0"/>
      <c r="NFP65" s="0"/>
      <c r="NFQ65" s="0"/>
      <c r="NFR65" s="0"/>
      <c r="NFS65" s="0"/>
      <c r="NFT65" s="0"/>
      <c r="NFU65" s="0"/>
      <c r="NFV65" s="0"/>
      <c r="NFW65" s="0"/>
      <c r="NFX65" s="0"/>
      <c r="NFY65" s="0"/>
      <c r="NFZ65" s="0"/>
      <c r="NGA65" s="0"/>
      <c r="NGB65" s="0"/>
      <c r="NGC65" s="0"/>
      <c r="NGD65" s="0"/>
      <c r="NGE65" s="0"/>
      <c r="NGF65" s="0"/>
      <c r="NGG65" s="0"/>
      <c r="NGH65" s="0"/>
      <c r="NGI65" s="0"/>
      <c r="NGJ65" s="0"/>
      <c r="NGK65" s="0"/>
      <c r="NGL65" s="0"/>
      <c r="NGM65" s="0"/>
      <c r="NGN65" s="0"/>
      <c r="NGO65" s="0"/>
      <c r="NGP65" s="0"/>
      <c r="NGQ65" s="0"/>
      <c r="NGR65" s="0"/>
      <c r="NGS65" s="0"/>
      <c r="NGT65" s="0"/>
      <c r="NGU65" s="0"/>
      <c r="NGV65" s="0"/>
      <c r="NGW65" s="0"/>
      <c r="NGX65" s="0"/>
      <c r="NGY65" s="0"/>
      <c r="NGZ65" s="0"/>
      <c r="NHA65" s="0"/>
      <c r="NHB65" s="0"/>
      <c r="NHC65" s="0"/>
      <c r="NHD65" s="0"/>
      <c r="NHE65" s="0"/>
      <c r="NHF65" s="0"/>
      <c r="NHG65" s="0"/>
      <c r="NHH65" s="0"/>
      <c r="NHI65" s="0"/>
      <c r="NHJ65" s="0"/>
      <c r="NHK65" s="0"/>
      <c r="NHL65" s="0"/>
      <c r="NHM65" s="0"/>
      <c r="NHN65" s="0"/>
      <c r="NHO65" s="0"/>
      <c r="NHP65" s="0"/>
      <c r="NHQ65" s="0"/>
      <c r="NHR65" s="0"/>
      <c r="NHS65" s="0"/>
      <c r="NHT65" s="0"/>
      <c r="NHU65" s="0"/>
      <c r="NHV65" s="0"/>
      <c r="NHW65" s="0"/>
      <c r="NHX65" s="0"/>
      <c r="NHY65" s="0"/>
      <c r="NHZ65" s="0"/>
      <c r="NIA65" s="0"/>
      <c r="NIB65" s="0"/>
      <c r="NIC65" s="0"/>
      <c r="NID65" s="0"/>
      <c r="NIE65" s="0"/>
      <c r="NIF65" s="0"/>
      <c r="NIG65" s="0"/>
      <c r="NIH65" s="0"/>
      <c r="NII65" s="0"/>
      <c r="NIJ65" s="0"/>
      <c r="NIK65" s="0"/>
      <c r="NIL65" s="0"/>
      <c r="NIM65" s="0"/>
      <c r="NIN65" s="0"/>
      <c r="NIO65" s="0"/>
      <c r="NIP65" s="0"/>
      <c r="NIQ65" s="0"/>
      <c r="NIR65" s="0"/>
      <c r="NIS65" s="0"/>
      <c r="NIT65" s="0"/>
      <c r="NIU65" s="0"/>
      <c r="NIV65" s="0"/>
      <c r="NIW65" s="0"/>
      <c r="NIX65" s="0"/>
      <c r="NIY65" s="0"/>
      <c r="NIZ65" s="0"/>
      <c r="NJA65" s="0"/>
      <c r="NJB65" s="0"/>
      <c r="NJC65" s="0"/>
      <c r="NJD65" s="0"/>
      <c r="NJE65" s="0"/>
      <c r="NJF65" s="0"/>
      <c r="NJG65" s="0"/>
      <c r="NJH65" s="0"/>
      <c r="NJI65" s="0"/>
      <c r="NJJ65" s="0"/>
      <c r="NJK65" s="0"/>
      <c r="NJL65" s="0"/>
      <c r="NJM65" s="0"/>
      <c r="NJN65" s="0"/>
      <c r="NJO65" s="0"/>
      <c r="NJP65" s="0"/>
      <c r="NJQ65" s="0"/>
      <c r="NJR65" s="0"/>
      <c r="NJS65" s="0"/>
      <c r="NJT65" s="0"/>
      <c r="NJU65" s="0"/>
      <c r="NJV65" s="0"/>
      <c r="NJW65" s="0"/>
      <c r="NJX65" s="0"/>
      <c r="NJY65" s="0"/>
      <c r="NJZ65" s="0"/>
      <c r="NKA65" s="0"/>
      <c r="NKB65" s="0"/>
      <c r="NKC65" s="0"/>
      <c r="NKD65" s="0"/>
      <c r="NKE65" s="0"/>
      <c r="NKF65" s="0"/>
      <c r="NKG65" s="0"/>
      <c r="NKH65" s="0"/>
      <c r="NKI65" s="0"/>
      <c r="NKJ65" s="0"/>
      <c r="NKK65" s="0"/>
      <c r="NKL65" s="0"/>
      <c r="NKM65" s="0"/>
      <c r="NKN65" s="0"/>
      <c r="NKO65" s="0"/>
      <c r="NKP65" s="0"/>
      <c r="NKQ65" s="0"/>
      <c r="NKR65" s="0"/>
      <c r="NKS65" s="0"/>
      <c r="NKT65" s="0"/>
      <c r="NKU65" s="0"/>
      <c r="NKV65" s="0"/>
      <c r="NKW65" s="0"/>
      <c r="NKX65" s="0"/>
      <c r="NKY65" s="0"/>
      <c r="NKZ65" s="0"/>
      <c r="NLA65" s="0"/>
      <c r="NLB65" s="0"/>
      <c r="NLC65" s="0"/>
      <c r="NLD65" s="0"/>
      <c r="NLE65" s="0"/>
      <c r="NLF65" s="0"/>
      <c r="NLG65" s="0"/>
      <c r="NLH65" s="0"/>
      <c r="NLI65" s="0"/>
      <c r="NLJ65" s="0"/>
      <c r="NLK65" s="0"/>
      <c r="NLL65" s="0"/>
      <c r="NLM65" s="0"/>
      <c r="NLN65" s="0"/>
      <c r="NLO65" s="0"/>
      <c r="NLP65" s="0"/>
      <c r="NLQ65" s="0"/>
      <c r="NLR65" s="0"/>
      <c r="NLS65" s="0"/>
      <c r="NLT65" s="0"/>
      <c r="NLU65" s="0"/>
      <c r="NLV65" s="0"/>
      <c r="NLW65" s="0"/>
      <c r="NLX65" s="0"/>
      <c r="NLY65" s="0"/>
      <c r="NLZ65" s="0"/>
      <c r="NMA65" s="0"/>
      <c r="NMB65" s="0"/>
      <c r="NMC65" s="0"/>
      <c r="NMD65" s="0"/>
      <c r="NME65" s="0"/>
      <c r="NMF65" s="0"/>
      <c r="NMG65" s="0"/>
      <c r="NMH65" s="0"/>
      <c r="NMI65" s="0"/>
      <c r="NMJ65" s="0"/>
      <c r="NMK65" s="0"/>
      <c r="NML65" s="0"/>
      <c r="NMM65" s="0"/>
      <c r="NMN65" s="0"/>
      <c r="NMO65" s="0"/>
      <c r="NMP65" s="0"/>
      <c r="NMQ65" s="0"/>
      <c r="NMR65" s="0"/>
      <c r="NMS65" s="0"/>
      <c r="NMT65" s="0"/>
      <c r="NMU65" s="0"/>
      <c r="NMV65" s="0"/>
      <c r="NMW65" s="0"/>
      <c r="NMX65" s="0"/>
      <c r="NMY65" s="0"/>
      <c r="NMZ65" s="0"/>
      <c r="NNA65" s="0"/>
      <c r="NNB65" s="0"/>
      <c r="NNC65" s="0"/>
      <c r="NND65" s="0"/>
      <c r="NNE65" s="0"/>
      <c r="NNF65" s="0"/>
      <c r="NNG65" s="0"/>
      <c r="NNH65" s="0"/>
      <c r="NNI65" s="0"/>
      <c r="NNJ65" s="0"/>
      <c r="NNK65" s="0"/>
      <c r="NNL65" s="0"/>
      <c r="NNM65" s="0"/>
      <c r="NNN65" s="0"/>
      <c r="NNO65" s="0"/>
      <c r="NNP65" s="0"/>
      <c r="NNQ65" s="0"/>
      <c r="NNR65" s="0"/>
      <c r="NNS65" s="0"/>
      <c r="NNT65" s="0"/>
      <c r="NNU65" s="0"/>
      <c r="NNV65" s="0"/>
      <c r="NNW65" s="0"/>
      <c r="NNX65" s="0"/>
      <c r="NNY65" s="0"/>
      <c r="NNZ65" s="0"/>
      <c r="NOA65" s="0"/>
      <c r="NOB65" s="0"/>
      <c r="NOC65" s="0"/>
      <c r="NOD65" s="0"/>
      <c r="NOE65" s="0"/>
      <c r="NOF65" s="0"/>
      <c r="NOG65" s="0"/>
      <c r="NOH65" s="0"/>
      <c r="NOI65" s="0"/>
      <c r="NOJ65" s="0"/>
      <c r="NOK65" s="0"/>
      <c r="NOL65" s="0"/>
      <c r="NOM65" s="0"/>
      <c r="NON65" s="0"/>
      <c r="NOO65" s="0"/>
      <c r="NOP65" s="0"/>
      <c r="NOQ65" s="0"/>
      <c r="NOR65" s="0"/>
      <c r="NOS65" s="0"/>
      <c r="NOT65" s="0"/>
      <c r="NOU65" s="0"/>
      <c r="NOV65" s="0"/>
      <c r="NOW65" s="0"/>
      <c r="NOX65" s="0"/>
      <c r="NOY65" s="0"/>
      <c r="NOZ65" s="0"/>
      <c r="NPA65" s="0"/>
      <c r="NPB65" s="0"/>
      <c r="NPC65" s="0"/>
      <c r="NPD65" s="0"/>
      <c r="NPE65" s="0"/>
      <c r="NPF65" s="0"/>
      <c r="NPG65" s="0"/>
      <c r="NPH65" s="0"/>
      <c r="NPI65" s="0"/>
      <c r="NPJ65" s="0"/>
      <c r="NPK65" s="0"/>
      <c r="NPL65" s="0"/>
      <c r="NPM65" s="0"/>
      <c r="NPN65" s="0"/>
      <c r="NPO65" s="0"/>
      <c r="NPP65" s="0"/>
      <c r="NPQ65" s="0"/>
      <c r="NPR65" s="0"/>
      <c r="NPS65" s="0"/>
      <c r="NPT65" s="0"/>
      <c r="NPU65" s="0"/>
      <c r="NPV65" s="0"/>
      <c r="NPW65" s="0"/>
      <c r="NPX65" s="0"/>
      <c r="NPY65" s="0"/>
      <c r="NPZ65" s="0"/>
      <c r="NQA65" s="0"/>
      <c r="NQB65" s="0"/>
      <c r="NQC65" s="0"/>
      <c r="NQD65" s="0"/>
      <c r="NQE65" s="0"/>
      <c r="NQF65" s="0"/>
      <c r="NQG65" s="0"/>
      <c r="NQH65" s="0"/>
      <c r="NQI65" s="0"/>
      <c r="NQJ65" s="0"/>
      <c r="NQK65" s="0"/>
      <c r="NQL65" s="0"/>
      <c r="NQM65" s="0"/>
      <c r="NQN65" s="0"/>
      <c r="NQO65" s="0"/>
      <c r="NQP65" s="0"/>
      <c r="NQQ65" s="0"/>
      <c r="NQR65" s="0"/>
      <c r="NQS65" s="0"/>
      <c r="NQT65" s="0"/>
      <c r="NQU65" s="0"/>
      <c r="NQV65" s="0"/>
      <c r="NQW65" s="0"/>
      <c r="NQX65" s="0"/>
      <c r="NQY65" s="0"/>
      <c r="NQZ65" s="0"/>
      <c r="NRA65" s="0"/>
      <c r="NRB65" s="0"/>
      <c r="NRC65" s="0"/>
      <c r="NRD65" s="0"/>
      <c r="NRE65" s="0"/>
      <c r="NRF65" s="0"/>
      <c r="NRG65" s="0"/>
      <c r="NRH65" s="0"/>
      <c r="NRI65" s="0"/>
      <c r="NRJ65" s="0"/>
      <c r="NRK65" s="0"/>
      <c r="NRL65" s="0"/>
      <c r="NRM65" s="0"/>
      <c r="NRN65" s="0"/>
      <c r="NRO65" s="0"/>
      <c r="NRP65" s="0"/>
      <c r="NRQ65" s="0"/>
      <c r="NRR65" s="0"/>
      <c r="NRS65" s="0"/>
      <c r="NRT65" s="0"/>
      <c r="NRU65" s="0"/>
      <c r="NRV65" s="0"/>
      <c r="NRW65" s="0"/>
      <c r="NRX65" s="0"/>
      <c r="NRY65" s="0"/>
      <c r="NRZ65" s="0"/>
      <c r="NSA65" s="0"/>
      <c r="NSB65" s="0"/>
      <c r="NSC65" s="0"/>
      <c r="NSD65" s="0"/>
      <c r="NSE65" s="0"/>
      <c r="NSF65" s="0"/>
      <c r="NSG65" s="0"/>
      <c r="NSH65" s="0"/>
      <c r="NSI65" s="0"/>
      <c r="NSJ65" s="0"/>
      <c r="NSK65" s="0"/>
      <c r="NSL65" s="0"/>
      <c r="NSM65" s="0"/>
      <c r="NSN65" s="0"/>
      <c r="NSO65" s="0"/>
      <c r="NSP65" s="0"/>
      <c r="NSQ65" s="0"/>
      <c r="NSR65" s="0"/>
      <c r="NSS65" s="0"/>
      <c r="NST65" s="0"/>
      <c r="NSU65" s="0"/>
      <c r="NSV65" s="0"/>
      <c r="NSW65" s="0"/>
      <c r="NSX65" s="0"/>
      <c r="NSY65" s="0"/>
      <c r="NSZ65" s="0"/>
      <c r="NTA65" s="0"/>
      <c r="NTB65" s="0"/>
      <c r="NTC65" s="0"/>
      <c r="NTD65" s="0"/>
      <c r="NTE65" s="0"/>
      <c r="NTF65" s="0"/>
      <c r="NTG65" s="0"/>
      <c r="NTH65" s="0"/>
      <c r="NTI65" s="0"/>
      <c r="NTJ65" s="0"/>
      <c r="NTK65" s="0"/>
      <c r="NTL65" s="0"/>
      <c r="NTM65" s="0"/>
      <c r="NTN65" s="0"/>
      <c r="NTO65" s="0"/>
      <c r="NTP65" s="0"/>
      <c r="NTQ65" s="0"/>
      <c r="NTR65" s="0"/>
      <c r="NTS65" s="0"/>
      <c r="NTT65" s="0"/>
      <c r="NTU65" s="0"/>
      <c r="NTV65" s="0"/>
      <c r="NTW65" s="0"/>
      <c r="NTX65" s="0"/>
      <c r="NTY65" s="0"/>
      <c r="NTZ65" s="0"/>
      <c r="NUA65" s="0"/>
      <c r="NUB65" s="0"/>
      <c r="NUC65" s="0"/>
      <c r="NUD65" s="0"/>
      <c r="NUE65" s="0"/>
      <c r="NUF65" s="0"/>
      <c r="NUG65" s="0"/>
      <c r="NUH65" s="0"/>
      <c r="NUI65" s="0"/>
      <c r="NUJ65" s="0"/>
      <c r="NUK65" s="0"/>
      <c r="NUL65" s="0"/>
      <c r="NUM65" s="0"/>
      <c r="NUN65" s="0"/>
      <c r="NUO65" s="0"/>
      <c r="NUP65" s="0"/>
      <c r="NUQ65" s="0"/>
      <c r="NUR65" s="0"/>
      <c r="NUS65" s="0"/>
      <c r="NUT65" s="0"/>
      <c r="NUU65" s="0"/>
      <c r="NUV65" s="0"/>
      <c r="NUW65" s="0"/>
      <c r="NUX65" s="0"/>
      <c r="NUY65" s="0"/>
      <c r="NUZ65" s="0"/>
      <c r="NVA65" s="0"/>
      <c r="NVB65" s="0"/>
      <c r="NVC65" s="0"/>
      <c r="NVD65" s="0"/>
      <c r="NVE65" s="0"/>
      <c r="NVF65" s="0"/>
      <c r="NVG65" s="0"/>
      <c r="NVH65" s="0"/>
      <c r="NVI65" s="0"/>
      <c r="NVJ65" s="0"/>
      <c r="NVK65" s="0"/>
      <c r="NVL65" s="0"/>
      <c r="NVM65" s="0"/>
      <c r="NVN65" s="0"/>
      <c r="NVO65" s="0"/>
      <c r="NVP65" s="0"/>
      <c r="NVQ65" s="0"/>
      <c r="NVR65" s="0"/>
      <c r="NVS65" s="0"/>
      <c r="NVT65" s="0"/>
      <c r="NVU65" s="0"/>
      <c r="NVV65" s="0"/>
      <c r="NVW65" s="0"/>
      <c r="NVX65" s="0"/>
      <c r="NVY65" s="0"/>
      <c r="NVZ65" s="0"/>
      <c r="NWA65" s="0"/>
      <c r="NWB65" s="0"/>
      <c r="NWC65" s="0"/>
      <c r="NWD65" s="0"/>
      <c r="NWE65" s="0"/>
      <c r="NWF65" s="0"/>
      <c r="NWG65" s="0"/>
      <c r="NWH65" s="0"/>
      <c r="NWI65" s="0"/>
      <c r="NWJ65" s="0"/>
      <c r="NWK65" s="0"/>
      <c r="NWL65" s="0"/>
      <c r="NWM65" s="0"/>
      <c r="NWN65" s="0"/>
      <c r="NWO65" s="0"/>
      <c r="NWP65" s="0"/>
      <c r="NWQ65" s="0"/>
      <c r="NWR65" s="0"/>
      <c r="NWS65" s="0"/>
      <c r="NWT65" s="0"/>
      <c r="NWU65" s="0"/>
      <c r="NWV65" s="0"/>
      <c r="NWW65" s="0"/>
      <c r="NWX65" s="0"/>
      <c r="NWY65" s="0"/>
      <c r="NWZ65" s="0"/>
      <c r="NXA65" s="0"/>
      <c r="NXB65" s="0"/>
      <c r="NXC65" s="0"/>
      <c r="NXD65" s="0"/>
      <c r="NXE65" s="0"/>
      <c r="NXF65" s="0"/>
      <c r="NXG65" s="0"/>
      <c r="NXH65" s="0"/>
      <c r="NXI65" s="0"/>
      <c r="NXJ65" s="0"/>
      <c r="NXK65" s="0"/>
      <c r="NXL65" s="0"/>
      <c r="NXM65" s="0"/>
      <c r="NXN65" s="0"/>
      <c r="NXO65" s="0"/>
      <c r="NXP65" s="0"/>
      <c r="NXQ65" s="0"/>
      <c r="NXR65" s="0"/>
      <c r="NXS65" s="0"/>
      <c r="NXT65" s="0"/>
      <c r="NXU65" s="0"/>
      <c r="NXV65" s="0"/>
      <c r="NXW65" s="0"/>
      <c r="NXX65" s="0"/>
      <c r="NXY65" s="0"/>
      <c r="NXZ65" s="0"/>
      <c r="NYA65" s="0"/>
      <c r="NYB65" s="0"/>
      <c r="NYC65" s="0"/>
      <c r="NYD65" s="0"/>
      <c r="NYE65" s="0"/>
      <c r="NYF65" s="0"/>
      <c r="NYG65" s="0"/>
      <c r="NYH65" s="0"/>
      <c r="NYI65" s="0"/>
      <c r="NYJ65" s="0"/>
      <c r="NYK65" s="0"/>
      <c r="NYL65" s="0"/>
      <c r="NYM65" s="0"/>
      <c r="NYN65" s="0"/>
      <c r="NYO65" s="0"/>
      <c r="NYP65" s="0"/>
      <c r="NYQ65" s="0"/>
      <c r="NYR65" s="0"/>
      <c r="NYS65" s="0"/>
      <c r="NYT65" s="0"/>
      <c r="NYU65" s="0"/>
      <c r="NYV65" s="0"/>
      <c r="NYW65" s="0"/>
      <c r="NYX65" s="0"/>
      <c r="NYY65" s="0"/>
      <c r="NYZ65" s="0"/>
      <c r="NZA65" s="0"/>
      <c r="NZB65" s="0"/>
      <c r="NZC65" s="0"/>
      <c r="NZD65" s="0"/>
      <c r="NZE65" s="0"/>
      <c r="NZF65" s="0"/>
      <c r="NZG65" s="0"/>
      <c r="NZH65" s="0"/>
      <c r="NZI65" s="0"/>
      <c r="NZJ65" s="0"/>
      <c r="NZK65" s="0"/>
      <c r="NZL65" s="0"/>
      <c r="NZM65" s="0"/>
      <c r="NZN65" s="0"/>
      <c r="NZO65" s="0"/>
      <c r="NZP65" s="0"/>
      <c r="NZQ65" s="0"/>
      <c r="NZR65" s="0"/>
      <c r="NZS65" s="0"/>
      <c r="NZT65" s="0"/>
      <c r="NZU65" s="0"/>
      <c r="NZV65" s="0"/>
      <c r="NZW65" s="0"/>
      <c r="NZX65" s="0"/>
      <c r="NZY65" s="0"/>
      <c r="NZZ65" s="0"/>
      <c r="OAA65" s="0"/>
      <c r="OAB65" s="0"/>
      <c r="OAC65" s="0"/>
      <c r="OAD65" s="0"/>
      <c r="OAE65" s="0"/>
      <c r="OAF65" s="0"/>
      <c r="OAG65" s="0"/>
      <c r="OAH65" s="0"/>
      <c r="OAI65" s="0"/>
      <c r="OAJ65" s="0"/>
      <c r="OAK65" s="0"/>
      <c r="OAL65" s="0"/>
      <c r="OAM65" s="0"/>
      <c r="OAN65" s="0"/>
      <c r="OAO65" s="0"/>
      <c r="OAP65" s="0"/>
      <c r="OAQ65" s="0"/>
      <c r="OAR65" s="0"/>
      <c r="OAS65" s="0"/>
      <c r="OAT65" s="0"/>
      <c r="OAU65" s="0"/>
      <c r="OAV65" s="0"/>
      <c r="OAW65" s="0"/>
      <c r="OAX65" s="0"/>
      <c r="OAY65" s="0"/>
      <c r="OAZ65" s="0"/>
      <c r="OBA65" s="0"/>
      <c r="OBB65" s="0"/>
      <c r="OBC65" s="0"/>
      <c r="OBD65" s="0"/>
      <c r="OBE65" s="0"/>
      <c r="OBF65" s="0"/>
      <c r="OBG65" s="0"/>
      <c r="OBH65" s="0"/>
      <c r="OBI65" s="0"/>
      <c r="OBJ65" s="0"/>
      <c r="OBK65" s="0"/>
      <c r="OBL65" s="0"/>
      <c r="OBM65" s="0"/>
      <c r="OBN65" s="0"/>
      <c r="OBO65" s="0"/>
      <c r="OBP65" s="0"/>
      <c r="OBQ65" s="0"/>
      <c r="OBR65" s="0"/>
      <c r="OBS65" s="0"/>
      <c r="OBT65" s="0"/>
      <c r="OBU65" s="0"/>
      <c r="OBV65" s="0"/>
      <c r="OBW65" s="0"/>
      <c r="OBX65" s="0"/>
      <c r="OBY65" s="0"/>
      <c r="OBZ65" s="0"/>
      <c r="OCA65" s="0"/>
      <c r="OCB65" s="0"/>
      <c r="OCC65" s="0"/>
      <c r="OCD65" s="0"/>
      <c r="OCE65" s="0"/>
      <c r="OCF65" s="0"/>
      <c r="OCG65" s="0"/>
      <c r="OCH65" s="0"/>
      <c r="OCI65" s="0"/>
      <c r="OCJ65" s="0"/>
      <c r="OCK65" s="0"/>
      <c r="OCL65" s="0"/>
      <c r="OCM65" s="0"/>
      <c r="OCN65" s="0"/>
      <c r="OCO65" s="0"/>
      <c r="OCP65" s="0"/>
      <c r="OCQ65" s="0"/>
      <c r="OCR65" s="0"/>
      <c r="OCS65" s="0"/>
      <c r="OCT65" s="0"/>
      <c r="OCU65" s="0"/>
      <c r="OCV65" s="0"/>
      <c r="OCW65" s="0"/>
      <c r="OCX65" s="0"/>
      <c r="OCY65" s="0"/>
      <c r="OCZ65" s="0"/>
      <c r="ODA65" s="0"/>
      <c r="ODB65" s="0"/>
      <c r="ODC65" s="0"/>
      <c r="ODD65" s="0"/>
      <c r="ODE65" s="0"/>
      <c r="ODF65" s="0"/>
      <c r="ODG65" s="0"/>
      <c r="ODH65" s="0"/>
      <c r="ODI65" s="0"/>
      <c r="ODJ65" s="0"/>
      <c r="ODK65" s="0"/>
      <c r="ODL65" s="0"/>
      <c r="ODM65" s="0"/>
      <c r="ODN65" s="0"/>
      <c r="ODO65" s="0"/>
      <c r="ODP65" s="0"/>
      <c r="ODQ65" s="0"/>
      <c r="ODR65" s="0"/>
      <c r="ODS65" s="0"/>
      <c r="ODT65" s="0"/>
      <c r="ODU65" s="0"/>
      <c r="ODV65" s="0"/>
      <c r="ODW65" s="0"/>
      <c r="ODX65" s="0"/>
      <c r="ODY65" s="0"/>
      <c r="ODZ65" s="0"/>
      <c r="OEA65" s="0"/>
      <c r="OEB65" s="0"/>
      <c r="OEC65" s="0"/>
      <c r="OED65" s="0"/>
      <c r="OEE65" s="0"/>
      <c r="OEF65" s="0"/>
      <c r="OEG65" s="0"/>
      <c r="OEH65" s="0"/>
      <c r="OEI65" s="0"/>
      <c r="OEJ65" s="0"/>
      <c r="OEK65" s="0"/>
      <c r="OEL65" s="0"/>
      <c r="OEM65" s="0"/>
      <c r="OEN65" s="0"/>
      <c r="OEO65" s="0"/>
      <c r="OEP65" s="0"/>
      <c r="OEQ65" s="0"/>
      <c r="OER65" s="0"/>
      <c r="OES65" s="0"/>
      <c r="OET65" s="0"/>
      <c r="OEU65" s="0"/>
      <c r="OEV65" s="0"/>
      <c r="OEW65" s="0"/>
      <c r="OEX65" s="0"/>
      <c r="OEY65" s="0"/>
      <c r="OEZ65" s="0"/>
      <c r="OFA65" s="0"/>
      <c r="OFB65" s="0"/>
      <c r="OFC65" s="0"/>
      <c r="OFD65" s="0"/>
      <c r="OFE65" s="0"/>
      <c r="OFF65" s="0"/>
      <c r="OFG65" s="0"/>
      <c r="OFH65" s="0"/>
      <c r="OFI65" s="0"/>
      <c r="OFJ65" s="0"/>
      <c r="OFK65" s="0"/>
      <c r="OFL65" s="0"/>
      <c r="OFM65" s="0"/>
      <c r="OFN65" s="0"/>
      <c r="OFO65" s="0"/>
      <c r="OFP65" s="0"/>
      <c r="OFQ65" s="0"/>
      <c r="OFR65" s="0"/>
      <c r="OFS65" s="0"/>
      <c r="OFT65" s="0"/>
      <c r="OFU65" s="0"/>
      <c r="OFV65" s="0"/>
      <c r="OFW65" s="0"/>
      <c r="OFX65" s="0"/>
      <c r="OFY65" s="0"/>
      <c r="OFZ65" s="0"/>
      <c r="OGA65" s="0"/>
      <c r="OGB65" s="0"/>
      <c r="OGC65" s="0"/>
      <c r="OGD65" s="0"/>
      <c r="OGE65" s="0"/>
      <c r="OGF65" s="0"/>
      <c r="OGG65" s="0"/>
      <c r="OGH65" s="0"/>
      <c r="OGI65" s="0"/>
      <c r="OGJ65" s="0"/>
      <c r="OGK65" s="0"/>
      <c r="OGL65" s="0"/>
      <c r="OGM65" s="0"/>
      <c r="OGN65" s="0"/>
      <c r="OGO65" s="0"/>
      <c r="OGP65" s="0"/>
      <c r="OGQ65" s="0"/>
      <c r="OGR65" s="0"/>
      <c r="OGS65" s="0"/>
      <c r="OGT65" s="0"/>
      <c r="OGU65" s="0"/>
      <c r="OGV65" s="0"/>
      <c r="OGW65" s="0"/>
      <c r="OGX65" s="0"/>
      <c r="OGY65" s="0"/>
      <c r="OGZ65" s="0"/>
      <c r="OHA65" s="0"/>
      <c r="OHB65" s="0"/>
      <c r="OHC65" s="0"/>
      <c r="OHD65" s="0"/>
      <c r="OHE65" s="0"/>
      <c r="OHF65" s="0"/>
      <c r="OHG65" s="0"/>
      <c r="OHH65" s="0"/>
      <c r="OHI65" s="0"/>
      <c r="OHJ65" s="0"/>
      <c r="OHK65" s="0"/>
      <c r="OHL65" s="0"/>
      <c r="OHM65" s="0"/>
      <c r="OHN65" s="0"/>
      <c r="OHO65" s="0"/>
      <c r="OHP65" s="0"/>
      <c r="OHQ65" s="0"/>
      <c r="OHR65" s="0"/>
      <c r="OHS65" s="0"/>
      <c r="OHT65" s="0"/>
      <c r="OHU65" s="0"/>
      <c r="OHV65" s="0"/>
      <c r="OHW65" s="0"/>
      <c r="OHX65" s="0"/>
      <c r="OHY65" s="0"/>
      <c r="OHZ65" s="0"/>
      <c r="OIA65" s="0"/>
      <c r="OIB65" s="0"/>
      <c r="OIC65" s="0"/>
      <c r="OID65" s="0"/>
      <c r="OIE65" s="0"/>
      <c r="OIF65" s="0"/>
      <c r="OIG65" s="0"/>
      <c r="OIH65" s="0"/>
      <c r="OII65" s="0"/>
      <c r="OIJ65" s="0"/>
      <c r="OIK65" s="0"/>
      <c r="OIL65" s="0"/>
      <c r="OIM65" s="0"/>
      <c r="OIN65" s="0"/>
      <c r="OIO65" s="0"/>
      <c r="OIP65" s="0"/>
      <c r="OIQ65" s="0"/>
      <c r="OIR65" s="0"/>
      <c r="OIS65" s="0"/>
      <c r="OIT65" s="0"/>
      <c r="OIU65" s="0"/>
      <c r="OIV65" s="0"/>
      <c r="OIW65" s="0"/>
      <c r="OIX65" s="0"/>
      <c r="OIY65" s="0"/>
      <c r="OIZ65" s="0"/>
      <c r="OJA65" s="0"/>
      <c r="OJB65" s="0"/>
      <c r="OJC65" s="0"/>
      <c r="OJD65" s="0"/>
      <c r="OJE65" s="0"/>
      <c r="OJF65" s="0"/>
      <c r="OJG65" s="0"/>
      <c r="OJH65" s="0"/>
      <c r="OJI65" s="0"/>
      <c r="OJJ65" s="0"/>
      <c r="OJK65" s="0"/>
      <c r="OJL65" s="0"/>
      <c r="OJM65" s="0"/>
      <c r="OJN65" s="0"/>
      <c r="OJO65" s="0"/>
      <c r="OJP65" s="0"/>
      <c r="OJQ65" s="0"/>
      <c r="OJR65" s="0"/>
      <c r="OJS65" s="0"/>
      <c r="OJT65" s="0"/>
      <c r="OJU65" s="0"/>
      <c r="OJV65" s="0"/>
      <c r="OJW65" s="0"/>
      <c r="OJX65" s="0"/>
      <c r="OJY65" s="0"/>
      <c r="OJZ65" s="0"/>
      <c r="OKA65" s="0"/>
      <c r="OKB65" s="0"/>
      <c r="OKC65" s="0"/>
      <c r="OKD65" s="0"/>
      <c r="OKE65" s="0"/>
      <c r="OKF65" s="0"/>
      <c r="OKG65" s="0"/>
      <c r="OKH65" s="0"/>
      <c r="OKI65" s="0"/>
      <c r="OKJ65" s="0"/>
      <c r="OKK65" s="0"/>
      <c r="OKL65" s="0"/>
      <c r="OKM65" s="0"/>
      <c r="OKN65" s="0"/>
      <c r="OKO65" s="0"/>
      <c r="OKP65" s="0"/>
      <c r="OKQ65" s="0"/>
      <c r="OKR65" s="0"/>
      <c r="OKS65" s="0"/>
      <c r="OKT65" s="0"/>
      <c r="OKU65" s="0"/>
      <c r="OKV65" s="0"/>
      <c r="OKW65" s="0"/>
      <c r="OKX65" s="0"/>
      <c r="OKY65" s="0"/>
      <c r="OKZ65" s="0"/>
      <c r="OLA65" s="0"/>
      <c r="OLB65" s="0"/>
      <c r="OLC65" s="0"/>
      <c r="OLD65" s="0"/>
      <c r="OLE65" s="0"/>
      <c r="OLF65" s="0"/>
      <c r="OLG65" s="0"/>
      <c r="OLH65" s="0"/>
      <c r="OLI65" s="0"/>
      <c r="OLJ65" s="0"/>
      <c r="OLK65" s="0"/>
      <c r="OLL65" s="0"/>
      <c r="OLM65" s="0"/>
      <c r="OLN65" s="0"/>
      <c r="OLO65" s="0"/>
      <c r="OLP65" s="0"/>
      <c r="OLQ65" s="0"/>
      <c r="OLR65" s="0"/>
      <c r="OLS65" s="0"/>
      <c r="OLT65" s="0"/>
      <c r="OLU65" s="0"/>
      <c r="OLV65" s="0"/>
      <c r="OLW65" s="0"/>
      <c r="OLX65" s="0"/>
      <c r="OLY65" s="0"/>
      <c r="OLZ65" s="0"/>
      <c r="OMA65" s="0"/>
      <c r="OMB65" s="0"/>
      <c r="OMC65" s="0"/>
      <c r="OMD65" s="0"/>
      <c r="OME65" s="0"/>
      <c r="OMF65" s="0"/>
      <c r="OMG65" s="0"/>
      <c r="OMH65" s="0"/>
      <c r="OMI65" s="0"/>
      <c r="OMJ65" s="0"/>
      <c r="OMK65" s="0"/>
      <c r="OML65" s="0"/>
      <c r="OMM65" s="0"/>
      <c r="OMN65" s="0"/>
      <c r="OMO65" s="0"/>
      <c r="OMP65" s="0"/>
      <c r="OMQ65" s="0"/>
      <c r="OMR65" s="0"/>
      <c r="OMS65" s="0"/>
      <c r="OMT65" s="0"/>
      <c r="OMU65" s="0"/>
      <c r="OMV65" s="0"/>
      <c r="OMW65" s="0"/>
      <c r="OMX65" s="0"/>
      <c r="OMY65" s="0"/>
      <c r="OMZ65" s="0"/>
      <c r="ONA65" s="0"/>
      <c r="ONB65" s="0"/>
      <c r="ONC65" s="0"/>
      <c r="OND65" s="0"/>
      <c r="ONE65" s="0"/>
      <c r="ONF65" s="0"/>
      <c r="ONG65" s="0"/>
      <c r="ONH65" s="0"/>
      <c r="ONI65" s="0"/>
      <c r="ONJ65" s="0"/>
      <c r="ONK65" s="0"/>
      <c r="ONL65" s="0"/>
      <c r="ONM65" s="0"/>
      <c r="ONN65" s="0"/>
      <c r="ONO65" s="0"/>
      <c r="ONP65" s="0"/>
      <c r="ONQ65" s="0"/>
      <c r="ONR65" s="0"/>
      <c r="ONS65" s="0"/>
      <c r="ONT65" s="0"/>
      <c r="ONU65" s="0"/>
      <c r="ONV65" s="0"/>
      <c r="ONW65" s="0"/>
      <c r="ONX65" s="0"/>
      <c r="ONY65" s="0"/>
      <c r="ONZ65" s="0"/>
      <c r="OOA65" s="0"/>
      <c r="OOB65" s="0"/>
      <c r="OOC65" s="0"/>
      <c r="OOD65" s="0"/>
      <c r="OOE65" s="0"/>
      <c r="OOF65" s="0"/>
      <c r="OOG65" s="0"/>
      <c r="OOH65" s="0"/>
      <c r="OOI65" s="0"/>
      <c r="OOJ65" s="0"/>
      <c r="OOK65" s="0"/>
      <c r="OOL65" s="0"/>
      <c r="OOM65" s="0"/>
      <c r="OON65" s="0"/>
      <c r="OOO65" s="0"/>
      <c r="OOP65" s="0"/>
      <c r="OOQ65" s="0"/>
      <c r="OOR65" s="0"/>
      <c r="OOS65" s="0"/>
      <c r="OOT65" s="0"/>
      <c r="OOU65" s="0"/>
      <c r="OOV65" s="0"/>
      <c r="OOW65" s="0"/>
      <c r="OOX65" s="0"/>
      <c r="OOY65" s="0"/>
      <c r="OOZ65" s="0"/>
      <c r="OPA65" s="0"/>
      <c r="OPB65" s="0"/>
      <c r="OPC65" s="0"/>
      <c r="OPD65" s="0"/>
      <c r="OPE65" s="0"/>
      <c r="OPF65" s="0"/>
      <c r="OPG65" s="0"/>
      <c r="OPH65" s="0"/>
      <c r="OPI65" s="0"/>
      <c r="OPJ65" s="0"/>
      <c r="OPK65" s="0"/>
      <c r="OPL65" s="0"/>
      <c r="OPM65" s="0"/>
      <c r="OPN65" s="0"/>
      <c r="OPO65" s="0"/>
      <c r="OPP65" s="0"/>
      <c r="OPQ65" s="0"/>
      <c r="OPR65" s="0"/>
      <c r="OPS65" s="0"/>
      <c r="OPT65" s="0"/>
      <c r="OPU65" s="0"/>
      <c r="OPV65" s="0"/>
      <c r="OPW65" s="0"/>
      <c r="OPX65" s="0"/>
      <c r="OPY65" s="0"/>
      <c r="OPZ65" s="0"/>
      <c r="OQA65" s="0"/>
      <c r="OQB65" s="0"/>
      <c r="OQC65" s="0"/>
      <c r="OQD65" s="0"/>
      <c r="OQE65" s="0"/>
      <c r="OQF65" s="0"/>
      <c r="OQG65" s="0"/>
      <c r="OQH65" s="0"/>
      <c r="OQI65" s="0"/>
      <c r="OQJ65" s="0"/>
      <c r="OQK65" s="0"/>
      <c r="OQL65" s="0"/>
      <c r="OQM65" s="0"/>
      <c r="OQN65" s="0"/>
      <c r="OQO65" s="0"/>
      <c r="OQP65" s="0"/>
      <c r="OQQ65" s="0"/>
      <c r="OQR65" s="0"/>
      <c r="OQS65" s="0"/>
      <c r="OQT65" s="0"/>
      <c r="OQU65" s="0"/>
      <c r="OQV65" s="0"/>
      <c r="OQW65" s="0"/>
      <c r="OQX65" s="0"/>
      <c r="OQY65" s="0"/>
      <c r="OQZ65" s="0"/>
      <c r="ORA65" s="0"/>
      <c r="ORB65" s="0"/>
      <c r="ORC65" s="0"/>
      <c r="ORD65" s="0"/>
      <c r="ORE65" s="0"/>
      <c r="ORF65" s="0"/>
      <c r="ORG65" s="0"/>
      <c r="ORH65" s="0"/>
      <c r="ORI65" s="0"/>
      <c r="ORJ65" s="0"/>
      <c r="ORK65" s="0"/>
      <c r="ORL65" s="0"/>
      <c r="ORM65" s="0"/>
      <c r="ORN65" s="0"/>
      <c r="ORO65" s="0"/>
      <c r="ORP65" s="0"/>
      <c r="ORQ65" s="0"/>
      <c r="ORR65" s="0"/>
      <c r="ORS65" s="0"/>
      <c r="ORT65" s="0"/>
      <c r="ORU65" s="0"/>
      <c r="ORV65" s="0"/>
      <c r="ORW65" s="0"/>
      <c r="ORX65" s="0"/>
      <c r="ORY65" s="0"/>
      <c r="ORZ65" s="0"/>
      <c r="OSA65" s="0"/>
      <c r="OSB65" s="0"/>
      <c r="OSC65" s="0"/>
      <c r="OSD65" s="0"/>
      <c r="OSE65" s="0"/>
      <c r="OSF65" s="0"/>
      <c r="OSG65" s="0"/>
      <c r="OSH65" s="0"/>
      <c r="OSI65" s="0"/>
      <c r="OSJ65" s="0"/>
      <c r="OSK65" s="0"/>
      <c r="OSL65" s="0"/>
      <c r="OSM65" s="0"/>
      <c r="OSN65" s="0"/>
      <c r="OSO65" s="0"/>
      <c r="OSP65" s="0"/>
      <c r="OSQ65" s="0"/>
      <c r="OSR65" s="0"/>
      <c r="OSS65" s="0"/>
      <c r="OST65" s="0"/>
      <c r="OSU65" s="0"/>
      <c r="OSV65" s="0"/>
      <c r="OSW65" s="0"/>
      <c r="OSX65" s="0"/>
      <c r="OSY65" s="0"/>
      <c r="OSZ65" s="0"/>
      <c r="OTA65" s="0"/>
      <c r="OTB65" s="0"/>
      <c r="OTC65" s="0"/>
      <c r="OTD65" s="0"/>
      <c r="OTE65" s="0"/>
      <c r="OTF65" s="0"/>
      <c r="OTG65" s="0"/>
      <c r="OTH65" s="0"/>
      <c r="OTI65" s="0"/>
      <c r="OTJ65" s="0"/>
      <c r="OTK65" s="0"/>
      <c r="OTL65" s="0"/>
      <c r="OTM65" s="0"/>
      <c r="OTN65" s="0"/>
      <c r="OTO65" s="0"/>
      <c r="OTP65" s="0"/>
      <c r="OTQ65" s="0"/>
      <c r="OTR65" s="0"/>
      <c r="OTS65" s="0"/>
      <c r="OTT65" s="0"/>
      <c r="OTU65" s="0"/>
      <c r="OTV65" s="0"/>
      <c r="OTW65" s="0"/>
      <c r="OTX65" s="0"/>
      <c r="OTY65" s="0"/>
      <c r="OTZ65" s="0"/>
      <c r="OUA65" s="0"/>
      <c r="OUB65" s="0"/>
      <c r="OUC65" s="0"/>
      <c r="OUD65" s="0"/>
      <c r="OUE65" s="0"/>
      <c r="OUF65" s="0"/>
      <c r="OUG65" s="0"/>
      <c r="OUH65" s="0"/>
      <c r="OUI65" s="0"/>
      <c r="OUJ65" s="0"/>
      <c r="OUK65" s="0"/>
      <c r="OUL65" s="0"/>
      <c r="OUM65" s="0"/>
      <c r="OUN65" s="0"/>
      <c r="OUO65" s="0"/>
      <c r="OUP65" s="0"/>
      <c r="OUQ65" s="0"/>
      <c r="OUR65" s="0"/>
      <c r="OUS65" s="0"/>
      <c r="OUT65" s="0"/>
      <c r="OUU65" s="0"/>
      <c r="OUV65" s="0"/>
      <c r="OUW65" s="0"/>
      <c r="OUX65" s="0"/>
      <c r="OUY65" s="0"/>
      <c r="OUZ65" s="0"/>
      <c r="OVA65" s="0"/>
      <c r="OVB65" s="0"/>
      <c r="OVC65" s="0"/>
      <c r="OVD65" s="0"/>
      <c r="OVE65" s="0"/>
      <c r="OVF65" s="0"/>
      <c r="OVG65" s="0"/>
      <c r="OVH65" s="0"/>
      <c r="OVI65" s="0"/>
      <c r="OVJ65" s="0"/>
      <c r="OVK65" s="0"/>
      <c r="OVL65" s="0"/>
      <c r="OVM65" s="0"/>
      <c r="OVN65" s="0"/>
      <c r="OVO65" s="0"/>
      <c r="OVP65" s="0"/>
      <c r="OVQ65" s="0"/>
      <c r="OVR65" s="0"/>
      <c r="OVS65" s="0"/>
      <c r="OVT65" s="0"/>
      <c r="OVU65" s="0"/>
      <c r="OVV65" s="0"/>
      <c r="OVW65" s="0"/>
      <c r="OVX65" s="0"/>
      <c r="OVY65" s="0"/>
      <c r="OVZ65" s="0"/>
      <c r="OWA65" s="0"/>
      <c r="OWB65" s="0"/>
      <c r="OWC65" s="0"/>
      <c r="OWD65" s="0"/>
      <c r="OWE65" s="0"/>
      <c r="OWF65" s="0"/>
      <c r="OWG65" s="0"/>
      <c r="OWH65" s="0"/>
      <c r="OWI65" s="0"/>
      <c r="OWJ65" s="0"/>
      <c r="OWK65" s="0"/>
      <c r="OWL65" s="0"/>
      <c r="OWM65" s="0"/>
      <c r="OWN65" s="0"/>
      <c r="OWO65" s="0"/>
      <c r="OWP65" s="0"/>
      <c r="OWQ65" s="0"/>
      <c r="OWR65" s="0"/>
      <c r="OWS65" s="0"/>
      <c r="OWT65" s="0"/>
      <c r="OWU65" s="0"/>
      <c r="OWV65" s="0"/>
      <c r="OWW65" s="0"/>
      <c r="OWX65" s="0"/>
      <c r="OWY65" s="0"/>
      <c r="OWZ65" s="0"/>
      <c r="OXA65" s="0"/>
      <c r="OXB65" s="0"/>
      <c r="OXC65" s="0"/>
      <c r="OXD65" s="0"/>
      <c r="OXE65" s="0"/>
      <c r="OXF65" s="0"/>
      <c r="OXG65" s="0"/>
      <c r="OXH65" s="0"/>
      <c r="OXI65" s="0"/>
      <c r="OXJ65" s="0"/>
      <c r="OXK65" s="0"/>
      <c r="OXL65" s="0"/>
      <c r="OXM65" s="0"/>
      <c r="OXN65" s="0"/>
      <c r="OXO65" s="0"/>
      <c r="OXP65" s="0"/>
      <c r="OXQ65" s="0"/>
      <c r="OXR65" s="0"/>
      <c r="OXS65" s="0"/>
      <c r="OXT65" s="0"/>
      <c r="OXU65" s="0"/>
      <c r="OXV65" s="0"/>
      <c r="OXW65" s="0"/>
      <c r="OXX65" s="0"/>
      <c r="OXY65" s="0"/>
      <c r="OXZ65" s="0"/>
      <c r="OYA65" s="0"/>
      <c r="OYB65" s="0"/>
      <c r="OYC65" s="0"/>
      <c r="OYD65" s="0"/>
      <c r="OYE65" s="0"/>
      <c r="OYF65" s="0"/>
      <c r="OYG65" s="0"/>
      <c r="OYH65" s="0"/>
      <c r="OYI65" s="0"/>
      <c r="OYJ65" s="0"/>
      <c r="OYK65" s="0"/>
      <c r="OYL65" s="0"/>
      <c r="OYM65" s="0"/>
      <c r="OYN65" s="0"/>
      <c r="OYO65" s="0"/>
      <c r="OYP65" s="0"/>
      <c r="OYQ65" s="0"/>
      <c r="OYR65" s="0"/>
      <c r="OYS65" s="0"/>
      <c r="OYT65" s="0"/>
      <c r="OYU65" s="0"/>
      <c r="OYV65" s="0"/>
      <c r="OYW65" s="0"/>
      <c r="OYX65" s="0"/>
      <c r="OYY65" s="0"/>
      <c r="OYZ65" s="0"/>
      <c r="OZA65" s="0"/>
      <c r="OZB65" s="0"/>
      <c r="OZC65" s="0"/>
      <c r="OZD65" s="0"/>
      <c r="OZE65" s="0"/>
      <c r="OZF65" s="0"/>
      <c r="OZG65" s="0"/>
      <c r="OZH65" s="0"/>
      <c r="OZI65" s="0"/>
      <c r="OZJ65" s="0"/>
      <c r="OZK65" s="0"/>
      <c r="OZL65" s="0"/>
      <c r="OZM65" s="0"/>
      <c r="OZN65" s="0"/>
      <c r="OZO65" s="0"/>
      <c r="OZP65" s="0"/>
      <c r="OZQ65" s="0"/>
      <c r="OZR65" s="0"/>
      <c r="OZS65" s="0"/>
      <c r="OZT65" s="0"/>
      <c r="OZU65" s="0"/>
      <c r="OZV65" s="0"/>
      <c r="OZW65" s="0"/>
      <c r="OZX65" s="0"/>
      <c r="OZY65" s="0"/>
      <c r="OZZ65" s="0"/>
      <c r="PAA65" s="0"/>
      <c r="PAB65" s="0"/>
      <c r="PAC65" s="0"/>
      <c r="PAD65" s="0"/>
      <c r="PAE65" s="0"/>
      <c r="PAF65" s="0"/>
      <c r="PAG65" s="0"/>
      <c r="PAH65" s="0"/>
      <c r="PAI65" s="0"/>
      <c r="PAJ65" s="0"/>
      <c r="PAK65" s="0"/>
      <c r="PAL65" s="0"/>
      <c r="PAM65" s="0"/>
      <c r="PAN65" s="0"/>
      <c r="PAO65" s="0"/>
      <c r="PAP65" s="0"/>
      <c r="PAQ65" s="0"/>
      <c r="PAR65" s="0"/>
      <c r="PAS65" s="0"/>
      <c r="PAT65" s="0"/>
      <c r="PAU65" s="0"/>
      <c r="PAV65" s="0"/>
      <c r="PAW65" s="0"/>
      <c r="PAX65" s="0"/>
      <c r="PAY65" s="0"/>
      <c r="PAZ65" s="0"/>
      <c r="PBA65" s="0"/>
      <c r="PBB65" s="0"/>
      <c r="PBC65" s="0"/>
      <c r="PBD65" s="0"/>
      <c r="PBE65" s="0"/>
      <c r="PBF65" s="0"/>
      <c r="PBG65" s="0"/>
      <c r="PBH65" s="0"/>
      <c r="PBI65" s="0"/>
      <c r="PBJ65" s="0"/>
      <c r="PBK65" s="0"/>
      <c r="PBL65" s="0"/>
      <c r="PBM65" s="0"/>
      <c r="PBN65" s="0"/>
      <c r="PBO65" s="0"/>
      <c r="PBP65" s="0"/>
      <c r="PBQ65" s="0"/>
      <c r="PBR65" s="0"/>
      <c r="PBS65" s="0"/>
      <c r="PBT65" s="0"/>
      <c r="PBU65" s="0"/>
      <c r="PBV65" s="0"/>
      <c r="PBW65" s="0"/>
      <c r="PBX65" s="0"/>
      <c r="PBY65" s="0"/>
      <c r="PBZ65" s="0"/>
      <c r="PCA65" s="0"/>
      <c r="PCB65" s="0"/>
      <c r="PCC65" s="0"/>
      <c r="PCD65" s="0"/>
      <c r="PCE65" s="0"/>
      <c r="PCF65" s="0"/>
      <c r="PCG65" s="0"/>
      <c r="PCH65" s="0"/>
      <c r="PCI65" s="0"/>
      <c r="PCJ65" s="0"/>
      <c r="PCK65" s="0"/>
      <c r="PCL65" s="0"/>
      <c r="PCM65" s="0"/>
      <c r="PCN65" s="0"/>
      <c r="PCO65" s="0"/>
      <c r="PCP65" s="0"/>
      <c r="PCQ65" s="0"/>
      <c r="PCR65" s="0"/>
      <c r="PCS65" s="0"/>
      <c r="PCT65" s="0"/>
      <c r="PCU65" s="0"/>
      <c r="PCV65" s="0"/>
      <c r="PCW65" s="0"/>
      <c r="PCX65" s="0"/>
      <c r="PCY65" s="0"/>
      <c r="PCZ65" s="0"/>
      <c r="PDA65" s="0"/>
      <c r="PDB65" s="0"/>
      <c r="PDC65" s="0"/>
      <c r="PDD65" s="0"/>
      <c r="PDE65" s="0"/>
      <c r="PDF65" s="0"/>
      <c r="PDG65" s="0"/>
      <c r="PDH65" s="0"/>
      <c r="PDI65" s="0"/>
      <c r="PDJ65" s="0"/>
      <c r="PDK65" s="0"/>
      <c r="PDL65" s="0"/>
      <c r="PDM65" s="0"/>
      <c r="PDN65" s="0"/>
      <c r="PDO65" s="0"/>
      <c r="PDP65" s="0"/>
      <c r="PDQ65" s="0"/>
      <c r="PDR65" s="0"/>
      <c r="PDS65" s="0"/>
      <c r="PDT65" s="0"/>
      <c r="PDU65" s="0"/>
      <c r="PDV65" s="0"/>
      <c r="PDW65" s="0"/>
      <c r="PDX65" s="0"/>
      <c r="PDY65" s="0"/>
      <c r="PDZ65" s="0"/>
      <c r="PEA65" s="0"/>
      <c r="PEB65" s="0"/>
      <c r="PEC65" s="0"/>
      <c r="PED65" s="0"/>
      <c r="PEE65" s="0"/>
      <c r="PEF65" s="0"/>
      <c r="PEG65" s="0"/>
      <c r="PEH65" s="0"/>
      <c r="PEI65" s="0"/>
      <c r="PEJ65" s="0"/>
      <c r="PEK65" s="0"/>
      <c r="PEL65" s="0"/>
      <c r="PEM65" s="0"/>
      <c r="PEN65" s="0"/>
      <c r="PEO65" s="0"/>
      <c r="PEP65" s="0"/>
      <c r="PEQ65" s="0"/>
      <c r="PER65" s="0"/>
      <c r="PES65" s="0"/>
      <c r="PET65" s="0"/>
      <c r="PEU65" s="0"/>
      <c r="PEV65" s="0"/>
      <c r="PEW65" s="0"/>
      <c r="PEX65" s="0"/>
      <c r="PEY65" s="0"/>
      <c r="PEZ65" s="0"/>
      <c r="PFA65" s="0"/>
      <c r="PFB65" s="0"/>
      <c r="PFC65" s="0"/>
      <c r="PFD65" s="0"/>
      <c r="PFE65" s="0"/>
      <c r="PFF65" s="0"/>
      <c r="PFG65" s="0"/>
      <c r="PFH65" s="0"/>
      <c r="PFI65" s="0"/>
      <c r="PFJ65" s="0"/>
      <c r="PFK65" s="0"/>
      <c r="PFL65" s="0"/>
      <c r="PFM65" s="0"/>
      <c r="PFN65" s="0"/>
      <c r="PFO65" s="0"/>
      <c r="PFP65" s="0"/>
      <c r="PFQ65" s="0"/>
      <c r="PFR65" s="0"/>
      <c r="PFS65" s="0"/>
      <c r="PFT65" s="0"/>
      <c r="PFU65" s="0"/>
      <c r="PFV65" s="0"/>
      <c r="PFW65" s="0"/>
      <c r="PFX65" s="0"/>
      <c r="PFY65" s="0"/>
      <c r="PFZ65" s="0"/>
      <c r="PGA65" s="0"/>
      <c r="PGB65" s="0"/>
      <c r="PGC65" s="0"/>
      <c r="PGD65" s="0"/>
      <c r="PGE65" s="0"/>
      <c r="PGF65" s="0"/>
      <c r="PGG65" s="0"/>
      <c r="PGH65" s="0"/>
      <c r="PGI65" s="0"/>
      <c r="PGJ65" s="0"/>
      <c r="PGK65" s="0"/>
      <c r="PGL65" s="0"/>
      <c r="PGM65" s="0"/>
      <c r="PGN65" s="0"/>
      <c r="PGO65" s="0"/>
      <c r="PGP65" s="0"/>
      <c r="PGQ65" s="0"/>
      <c r="PGR65" s="0"/>
      <c r="PGS65" s="0"/>
      <c r="PGT65" s="0"/>
      <c r="PGU65" s="0"/>
      <c r="PGV65" s="0"/>
      <c r="PGW65" s="0"/>
      <c r="PGX65" s="0"/>
      <c r="PGY65" s="0"/>
      <c r="PGZ65" s="0"/>
      <c r="PHA65" s="0"/>
      <c r="PHB65" s="0"/>
      <c r="PHC65" s="0"/>
      <c r="PHD65" s="0"/>
      <c r="PHE65" s="0"/>
      <c r="PHF65" s="0"/>
      <c r="PHG65" s="0"/>
      <c r="PHH65" s="0"/>
      <c r="PHI65" s="0"/>
      <c r="PHJ65" s="0"/>
      <c r="PHK65" s="0"/>
      <c r="PHL65" s="0"/>
      <c r="PHM65" s="0"/>
      <c r="PHN65" s="0"/>
      <c r="PHO65" s="0"/>
      <c r="PHP65" s="0"/>
      <c r="PHQ65" s="0"/>
      <c r="PHR65" s="0"/>
      <c r="PHS65" s="0"/>
      <c r="PHT65" s="0"/>
      <c r="PHU65" s="0"/>
      <c r="PHV65" s="0"/>
      <c r="PHW65" s="0"/>
      <c r="PHX65" s="0"/>
      <c r="PHY65" s="0"/>
      <c r="PHZ65" s="0"/>
      <c r="PIA65" s="0"/>
      <c r="PIB65" s="0"/>
      <c r="PIC65" s="0"/>
      <c r="PID65" s="0"/>
      <c r="PIE65" s="0"/>
      <c r="PIF65" s="0"/>
      <c r="PIG65" s="0"/>
      <c r="PIH65" s="0"/>
      <c r="PII65" s="0"/>
      <c r="PIJ65" s="0"/>
      <c r="PIK65" s="0"/>
      <c r="PIL65" s="0"/>
      <c r="PIM65" s="0"/>
      <c r="PIN65" s="0"/>
      <c r="PIO65" s="0"/>
      <c r="PIP65" s="0"/>
      <c r="PIQ65" s="0"/>
      <c r="PIR65" s="0"/>
      <c r="PIS65" s="0"/>
      <c r="PIT65" s="0"/>
      <c r="PIU65" s="0"/>
      <c r="PIV65" s="0"/>
      <c r="PIW65" s="0"/>
      <c r="PIX65" s="0"/>
      <c r="PIY65" s="0"/>
      <c r="PIZ65" s="0"/>
      <c r="PJA65" s="0"/>
      <c r="PJB65" s="0"/>
      <c r="PJC65" s="0"/>
      <c r="PJD65" s="0"/>
      <c r="PJE65" s="0"/>
      <c r="PJF65" s="0"/>
      <c r="PJG65" s="0"/>
      <c r="PJH65" s="0"/>
      <c r="PJI65" s="0"/>
      <c r="PJJ65" s="0"/>
      <c r="PJK65" s="0"/>
      <c r="PJL65" s="0"/>
      <c r="PJM65" s="0"/>
      <c r="PJN65" s="0"/>
      <c r="PJO65" s="0"/>
      <c r="PJP65" s="0"/>
      <c r="PJQ65" s="0"/>
      <c r="PJR65" s="0"/>
      <c r="PJS65" s="0"/>
      <c r="PJT65" s="0"/>
      <c r="PJU65" s="0"/>
      <c r="PJV65" s="0"/>
      <c r="PJW65" s="0"/>
      <c r="PJX65" s="0"/>
      <c r="PJY65" s="0"/>
      <c r="PJZ65" s="0"/>
      <c r="PKA65" s="0"/>
      <c r="PKB65" s="0"/>
      <c r="PKC65" s="0"/>
      <c r="PKD65" s="0"/>
      <c r="PKE65" s="0"/>
      <c r="PKF65" s="0"/>
      <c r="PKG65" s="0"/>
      <c r="PKH65" s="0"/>
      <c r="PKI65" s="0"/>
      <c r="PKJ65" s="0"/>
      <c r="PKK65" s="0"/>
      <c r="PKL65" s="0"/>
      <c r="PKM65" s="0"/>
      <c r="PKN65" s="0"/>
      <c r="PKO65" s="0"/>
      <c r="PKP65" s="0"/>
      <c r="PKQ65" s="0"/>
      <c r="PKR65" s="0"/>
      <c r="PKS65" s="0"/>
      <c r="PKT65" s="0"/>
      <c r="PKU65" s="0"/>
      <c r="PKV65" s="0"/>
      <c r="PKW65" s="0"/>
      <c r="PKX65" s="0"/>
      <c r="PKY65" s="0"/>
      <c r="PKZ65" s="0"/>
      <c r="PLA65" s="0"/>
      <c r="PLB65" s="0"/>
      <c r="PLC65" s="0"/>
      <c r="PLD65" s="0"/>
      <c r="PLE65" s="0"/>
      <c r="PLF65" s="0"/>
      <c r="PLG65" s="0"/>
      <c r="PLH65" s="0"/>
      <c r="PLI65" s="0"/>
      <c r="PLJ65" s="0"/>
      <c r="PLK65" s="0"/>
      <c r="PLL65" s="0"/>
      <c r="PLM65" s="0"/>
      <c r="PLN65" s="0"/>
      <c r="PLO65" s="0"/>
      <c r="PLP65" s="0"/>
      <c r="PLQ65" s="0"/>
      <c r="PLR65" s="0"/>
      <c r="PLS65" s="0"/>
      <c r="PLT65" s="0"/>
      <c r="PLU65" s="0"/>
      <c r="PLV65" s="0"/>
      <c r="PLW65" s="0"/>
      <c r="PLX65" s="0"/>
      <c r="PLY65" s="0"/>
      <c r="PLZ65" s="0"/>
      <c r="PMA65" s="0"/>
      <c r="PMB65" s="0"/>
      <c r="PMC65" s="0"/>
      <c r="PMD65" s="0"/>
      <c r="PME65" s="0"/>
      <c r="PMF65" s="0"/>
      <c r="PMG65" s="0"/>
      <c r="PMH65" s="0"/>
      <c r="PMI65" s="0"/>
      <c r="PMJ65" s="0"/>
      <c r="PMK65" s="0"/>
      <c r="PML65" s="0"/>
      <c r="PMM65" s="0"/>
      <c r="PMN65" s="0"/>
      <c r="PMO65" s="0"/>
      <c r="PMP65" s="0"/>
      <c r="PMQ65" s="0"/>
      <c r="PMR65" s="0"/>
      <c r="PMS65" s="0"/>
      <c r="PMT65" s="0"/>
      <c r="PMU65" s="0"/>
      <c r="PMV65" s="0"/>
      <c r="PMW65" s="0"/>
      <c r="PMX65" s="0"/>
      <c r="PMY65" s="0"/>
      <c r="PMZ65" s="0"/>
      <c r="PNA65" s="0"/>
      <c r="PNB65" s="0"/>
      <c r="PNC65" s="0"/>
      <c r="PND65" s="0"/>
      <c r="PNE65" s="0"/>
      <c r="PNF65" s="0"/>
      <c r="PNG65" s="0"/>
      <c r="PNH65" s="0"/>
      <c r="PNI65" s="0"/>
      <c r="PNJ65" s="0"/>
      <c r="PNK65" s="0"/>
      <c r="PNL65" s="0"/>
      <c r="PNM65" s="0"/>
      <c r="PNN65" s="0"/>
      <c r="PNO65" s="0"/>
      <c r="PNP65" s="0"/>
      <c r="PNQ65" s="0"/>
      <c r="PNR65" s="0"/>
      <c r="PNS65" s="0"/>
      <c r="PNT65" s="0"/>
      <c r="PNU65" s="0"/>
      <c r="PNV65" s="0"/>
      <c r="PNW65" s="0"/>
      <c r="PNX65" s="0"/>
      <c r="PNY65" s="0"/>
      <c r="PNZ65" s="0"/>
      <c r="POA65" s="0"/>
      <c r="POB65" s="0"/>
      <c r="POC65" s="0"/>
      <c r="POD65" s="0"/>
      <c r="POE65" s="0"/>
      <c r="POF65" s="0"/>
      <c r="POG65" s="0"/>
      <c r="POH65" s="0"/>
      <c r="POI65" s="0"/>
      <c r="POJ65" s="0"/>
      <c r="POK65" s="0"/>
      <c r="POL65" s="0"/>
      <c r="POM65" s="0"/>
      <c r="PON65" s="0"/>
      <c r="POO65" s="0"/>
      <c r="POP65" s="0"/>
      <c r="POQ65" s="0"/>
      <c r="POR65" s="0"/>
      <c r="POS65" s="0"/>
      <c r="POT65" s="0"/>
      <c r="POU65" s="0"/>
      <c r="POV65" s="0"/>
      <c r="POW65" s="0"/>
      <c r="POX65" s="0"/>
      <c r="POY65" s="0"/>
      <c r="POZ65" s="0"/>
      <c r="PPA65" s="0"/>
      <c r="PPB65" s="0"/>
      <c r="PPC65" s="0"/>
      <c r="PPD65" s="0"/>
      <c r="PPE65" s="0"/>
      <c r="PPF65" s="0"/>
      <c r="PPG65" s="0"/>
      <c r="PPH65" s="0"/>
      <c r="PPI65" s="0"/>
      <c r="PPJ65" s="0"/>
      <c r="PPK65" s="0"/>
      <c r="PPL65" s="0"/>
      <c r="PPM65" s="0"/>
      <c r="PPN65" s="0"/>
      <c r="PPO65" s="0"/>
      <c r="PPP65" s="0"/>
      <c r="PPQ65" s="0"/>
      <c r="PPR65" s="0"/>
      <c r="PPS65" s="0"/>
      <c r="PPT65" s="0"/>
      <c r="PPU65" s="0"/>
      <c r="PPV65" s="0"/>
      <c r="PPW65" s="0"/>
      <c r="PPX65" s="0"/>
      <c r="PPY65" s="0"/>
      <c r="PPZ65" s="0"/>
      <c r="PQA65" s="0"/>
      <c r="PQB65" s="0"/>
      <c r="PQC65" s="0"/>
      <c r="PQD65" s="0"/>
      <c r="PQE65" s="0"/>
      <c r="PQF65" s="0"/>
      <c r="PQG65" s="0"/>
      <c r="PQH65" s="0"/>
      <c r="PQI65" s="0"/>
      <c r="PQJ65" s="0"/>
      <c r="PQK65" s="0"/>
      <c r="PQL65" s="0"/>
      <c r="PQM65" s="0"/>
      <c r="PQN65" s="0"/>
      <c r="PQO65" s="0"/>
      <c r="PQP65" s="0"/>
      <c r="PQQ65" s="0"/>
      <c r="PQR65" s="0"/>
      <c r="PQS65" s="0"/>
      <c r="PQT65" s="0"/>
      <c r="PQU65" s="0"/>
      <c r="PQV65" s="0"/>
      <c r="PQW65" s="0"/>
      <c r="PQX65" s="0"/>
      <c r="PQY65" s="0"/>
      <c r="PQZ65" s="0"/>
      <c r="PRA65" s="0"/>
      <c r="PRB65" s="0"/>
      <c r="PRC65" s="0"/>
      <c r="PRD65" s="0"/>
      <c r="PRE65" s="0"/>
      <c r="PRF65" s="0"/>
      <c r="PRG65" s="0"/>
      <c r="PRH65" s="0"/>
      <c r="PRI65" s="0"/>
      <c r="PRJ65" s="0"/>
      <c r="PRK65" s="0"/>
      <c r="PRL65" s="0"/>
      <c r="PRM65" s="0"/>
      <c r="PRN65" s="0"/>
      <c r="PRO65" s="0"/>
      <c r="PRP65" s="0"/>
      <c r="PRQ65" s="0"/>
      <c r="PRR65" s="0"/>
      <c r="PRS65" s="0"/>
      <c r="PRT65" s="0"/>
      <c r="PRU65" s="0"/>
      <c r="PRV65" s="0"/>
      <c r="PRW65" s="0"/>
      <c r="PRX65" s="0"/>
      <c r="PRY65" s="0"/>
      <c r="PRZ65" s="0"/>
      <c r="PSA65" s="0"/>
      <c r="PSB65" s="0"/>
      <c r="PSC65" s="0"/>
      <c r="PSD65" s="0"/>
      <c r="PSE65" s="0"/>
      <c r="PSF65" s="0"/>
      <c r="PSG65" s="0"/>
      <c r="PSH65" s="0"/>
      <c r="PSI65" s="0"/>
      <c r="PSJ65" s="0"/>
      <c r="PSK65" s="0"/>
      <c r="PSL65" s="0"/>
      <c r="PSM65" s="0"/>
      <c r="PSN65" s="0"/>
      <c r="PSO65" s="0"/>
      <c r="PSP65" s="0"/>
      <c r="PSQ65" s="0"/>
      <c r="PSR65" s="0"/>
      <c r="PSS65" s="0"/>
      <c r="PST65" s="0"/>
      <c r="PSU65" s="0"/>
      <c r="PSV65" s="0"/>
      <c r="PSW65" s="0"/>
      <c r="PSX65" s="0"/>
      <c r="PSY65" s="0"/>
      <c r="PSZ65" s="0"/>
      <c r="PTA65" s="0"/>
      <c r="PTB65" s="0"/>
      <c r="PTC65" s="0"/>
      <c r="PTD65" s="0"/>
      <c r="PTE65" s="0"/>
      <c r="PTF65" s="0"/>
      <c r="PTG65" s="0"/>
      <c r="PTH65" s="0"/>
      <c r="PTI65" s="0"/>
      <c r="PTJ65" s="0"/>
      <c r="PTK65" s="0"/>
      <c r="PTL65" s="0"/>
      <c r="PTM65" s="0"/>
      <c r="PTN65" s="0"/>
      <c r="PTO65" s="0"/>
      <c r="PTP65" s="0"/>
      <c r="PTQ65" s="0"/>
      <c r="PTR65" s="0"/>
      <c r="PTS65" s="0"/>
      <c r="PTT65" s="0"/>
      <c r="PTU65" s="0"/>
      <c r="PTV65" s="0"/>
      <c r="PTW65" s="0"/>
      <c r="PTX65" s="0"/>
      <c r="PTY65" s="0"/>
      <c r="PTZ65" s="0"/>
      <c r="PUA65" s="0"/>
      <c r="PUB65" s="0"/>
      <c r="PUC65" s="0"/>
      <c r="PUD65" s="0"/>
      <c r="PUE65" s="0"/>
      <c r="PUF65" s="0"/>
      <c r="PUG65" s="0"/>
      <c r="PUH65" s="0"/>
      <c r="PUI65" s="0"/>
      <c r="PUJ65" s="0"/>
      <c r="PUK65" s="0"/>
      <c r="PUL65" s="0"/>
      <c r="PUM65" s="0"/>
      <c r="PUN65" s="0"/>
      <c r="PUO65" s="0"/>
      <c r="PUP65" s="0"/>
      <c r="PUQ65" s="0"/>
      <c r="PUR65" s="0"/>
      <c r="PUS65" s="0"/>
      <c r="PUT65" s="0"/>
      <c r="PUU65" s="0"/>
      <c r="PUV65" s="0"/>
      <c r="PUW65" s="0"/>
      <c r="PUX65" s="0"/>
      <c r="PUY65" s="0"/>
      <c r="PUZ65" s="0"/>
      <c r="PVA65" s="0"/>
      <c r="PVB65" s="0"/>
      <c r="PVC65" s="0"/>
      <c r="PVD65" s="0"/>
      <c r="PVE65" s="0"/>
      <c r="PVF65" s="0"/>
      <c r="PVG65" s="0"/>
      <c r="PVH65" s="0"/>
      <c r="PVI65" s="0"/>
      <c r="PVJ65" s="0"/>
      <c r="PVK65" s="0"/>
      <c r="PVL65" s="0"/>
      <c r="PVM65" s="0"/>
      <c r="PVN65" s="0"/>
      <c r="PVO65" s="0"/>
      <c r="PVP65" s="0"/>
      <c r="PVQ65" s="0"/>
      <c r="PVR65" s="0"/>
      <c r="PVS65" s="0"/>
      <c r="PVT65" s="0"/>
      <c r="PVU65" s="0"/>
      <c r="PVV65" s="0"/>
      <c r="PVW65" s="0"/>
      <c r="PVX65" s="0"/>
      <c r="PVY65" s="0"/>
      <c r="PVZ65" s="0"/>
      <c r="PWA65" s="0"/>
      <c r="PWB65" s="0"/>
      <c r="PWC65" s="0"/>
      <c r="PWD65" s="0"/>
      <c r="PWE65" s="0"/>
      <c r="PWF65" s="0"/>
      <c r="PWG65" s="0"/>
      <c r="PWH65" s="0"/>
      <c r="PWI65" s="0"/>
      <c r="PWJ65" s="0"/>
      <c r="PWK65" s="0"/>
      <c r="PWL65" s="0"/>
      <c r="PWM65" s="0"/>
      <c r="PWN65" s="0"/>
      <c r="PWO65" s="0"/>
      <c r="PWP65" s="0"/>
      <c r="PWQ65" s="0"/>
      <c r="PWR65" s="0"/>
      <c r="PWS65" s="0"/>
      <c r="PWT65" s="0"/>
      <c r="PWU65" s="0"/>
      <c r="PWV65" s="0"/>
      <c r="PWW65" s="0"/>
      <c r="PWX65" s="0"/>
      <c r="PWY65" s="0"/>
      <c r="PWZ65" s="0"/>
      <c r="PXA65" s="0"/>
      <c r="PXB65" s="0"/>
      <c r="PXC65" s="0"/>
      <c r="PXD65" s="0"/>
      <c r="PXE65" s="0"/>
      <c r="PXF65" s="0"/>
      <c r="PXG65" s="0"/>
      <c r="PXH65" s="0"/>
      <c r="PXI65" s="0"/>
      <c r="PXJ65" s="0"/>
      <c r="PXK65" s="0"/>
      <c r="PXL65" s="0"/>
      <c r="PXM65" s="0"/>
      <c r="PXN65" s="0"/>
      <c r="PXO65" s="0"/>
      <c r="PXP65" s="0"/>
      <c r="PXQ65" s="0"/>
      <c r="PXR65" s="0"/>
      <c r="PXS65" s="0"/>
      <c r="PXT65" s="0"/>
      <c r="PXU65" s="0"/>
      <c r="PXV65" s="0"/>
      <c r="PXW65" s="0"/>
      <c r="PXX65" s="0"/>
      <c r="PXY65" s="0"/>
      <c r="PXZ65" s="0"/>
      <c r="PYA65" s="0"/>
      <c r="PYB65" s="0"/>
      <c r="PYC65" s="0"/>
      <c r="PYD65" s="0"/>
      <c r="PYE65" s="0"/>
      <c r="PYF65" s="0"/>
      <c r="PYG65" s="0"/>
      <c r="PYH65" s="0"/>
      <c r="PYI65" s="0"/>
      <c r="PYJ65" s="0"/>
      <c r="PYK65" s="0"/>
      <c r="PYL65" s="0"/>
      <c r="PYM65" s="0"/>
      <c r="PYN65" s="0"/>
      <c r="PYO65" s="0"/>
      <c r="PYP65" s="0"/>
      <c r="PYQ65" s="0"/>
      <c r="PYR65" s="0"/>
      <c r="PYS65" s="0"/>
      <c r="PYT65" s="0"/>
      <c r="PYU65" s="0"/>
      <c r="PYV65" s="0"/>
      <c r="PYW65" s="0"/>
      <c r="PYX65" s="0"/>
      <c r="PYY65" s="0"/>
      <c r="PYZ65" s="0"/>
      <c r="PZA65" s="0"/>
      <c r="PZB65" s="0"/>
      <c r="PZC65" s="0"/>
      <c r="PZD65" s="0"/>
      <c r="PZE65" s="0"/>
      <c r="PZF65" s="0"/>
      <c r="PZG65" s="0"/>
      <c r="PZH65" s="0"/>
      <c r="PZI65" s="0"/>
      <c r="PZJ65" s="0"/>
      <c r="PZK65" s="0"/>
      <c r="PZL65" s="0"/>
      <c r="PZM65" s="0"/>
      <c r="PZN65" s="0"/>
      <c r="PZO65" s="0"/>
      <c r="PZP65" s="0"/>
      <c r="PZQ65" s="0"/>
      <c r="PZR65" s="0"/>
      <c r="PZS65" s="0"/>
      <c r="PZT65" s="0"/>
      <c r="PZU65" s="0"/>
      <c r="PZV65" s="0"/>
      <c r="PZW65" s="0"/>
      <c r="PZX65" s="0"/>
      <c r="PZY65" s="0"/>
      <c r="PZZ65" s="0"/>
      <c r="QAA65" s="0"/>
      <c r="QAB65" s="0"/>
      <c r="QAC65" s="0"/>
      <c r="QAD65" s="0"/>
      <c r="QAE65" s="0"/>
      <c r="QAF65" s="0"/>
      <c r="QAG65" s="0"/>
      <c r="QAH65" s="0"/>
      <c r="QAI65" s="0"/>
      <c r="QAJ65" s="0"/>
      <c r="QAK65" s="0"/>
      <c r="QAL65" s="0"/>
      <c r="QAM65" s="0"/>
      <c r="QAN65" s="0"/>
      <c r="QAO65" s="0"/>
      <c r="QAP65" s="0"/>
      <c r="QAQ65" s="0"/>
      <c r="QAR65" s="0"/>
      <c r="QAS65" s="0"/>
      <c r="QAT65" s="0"/>
      <c r="QAU65" s="0"/>
      <c r="QAV65" s="0"/>
      <c r="QAW65" s="0"/>
      <c r="QAX65" s="0"/>
      <c r="QAY65" s="0"/>
      <c r="QAZ65" s="0"/>
      <c r="QBA65" s="0"/>
      <c r="QBB65" s="0"/>
      <c r="QBC65" s="0"/>
      <c r="QBD65" s="0"/>
      <c r="QBE65" s="0"/>
      <c r="QBF65" s="0"/>
      <c r="QBG65" s="0"/>
      <c r="QBH65" s="0"/>
      <c r="QBI65" s="0"/>
      <c r="QBJ65" s="0"/>
      <c r="QBK65" s="0"/>
      <c r="QBL65" s="0"/>
      <c r="QBM65" s="0"/>
      <c r="QBN65" s="0"/>
      <c r="QBO65" s="0"/>
      <c r="QBP65" s="0"/>
      <c r="QBQ65" s="0"/>
      <c r="QBR65" s="0"/>
      <c r="QBS65" s="0"/>
      <c r="QBT65" s="0"/>
      <c r="QBU65" s="0"/>
      <c r="QBV65" s="0"/>
      <c r="QBW65" s="0"/>
      <c r="QBX65" s="0"/>
      <c r="QBY65" s="0"/>
      <c r="QBZ65" s="0"/>
      <c r="QCA65" s="0"/>
      <c r="QCB65" s="0"/>
      <c r="QCC65" s="0"/>
      <c r="QCD65" s="0"/>
      <c r="QCE65" s="0"/>
      <c r="QCF65" s="0"/>
      <c r="QCG65" s="0"/>
      <c r="QCH65" s="0"/>
      <c r="QCI65" s="0"/>
      <c r="QCJ65" s="0"/>
      <c r="QCK65" s="0"/>
      <c r="QCL65" s="0"/>
      <c r="QCM65" s="0"/>
      <c r="QCN65" s="0"/>
      <c r="QCO65" s="0"/>
      <c r="QCP65" s="0"/>
      <c r="QCQ65" s="0"/>
      <c r="QCR65" s="0"/>
      <c r="QCS65" s="0"/>
      <c r="QCT65" s="0"/>
      <c r="QCU65" s="0"/>
      <c r="QCV65" s="0"/>
      <c r="QCW65" s="0"/>
      <c r="QCX65" s="0"/>
      <c r="QCY65" s="0"/>
      <c r="QCZ65" s="0"/>
      <c r="QDA65" s="0"/>
      <c r="QDB65" s="0"/>
      <c r="QDC65" s="0"/>
      <c r="QDD65" s="0"/>
      <c r="QDE65" s="0"/>
      <c r="QDF65" s="0"/>
      <c r="QDG65" s="0"/>
      <c r="QDH65" s="0"/>
      <c r="QDI65" s="0"/>
      <c r="QDJ65" s="0"/>
      <c r="QDK65" s="0"/>
      <c r="QDL65" s="0"/>
      <c r="QDM65" s="0"/>
      <c r="QDN65" s="0"/>
      <c r="QDO65" s="0"/>
      <c r="QDP65" s="0"/>
      <c r="QDQ65" s="0"/>
      <c r="QDR65" s="0"/>
      <c r="QDS65" s="0"/>
      <c r="QDT65" s="0"/>
      <c r="QDU65" s="0"/>
      <c r="QDV65" s="0"/>
      <c r="QDW65" s="0"/>
      <c r="QDX65" s="0"/>
      <c r="QDY65" s="0"/>
      <c r="QDZ65" s="0"/>
      <c r="QEA65" s="0"/>
      <c r="QEB65" s="0"/>
      <c r="QEC65" s="0"/>
      <c r="QED65" s="0"/>
      <c r="QEE65" s="0"/>
      <c r="QEF65" s="0"/>
      <c r="QEG65" s="0"/>
      <c r="QEH65" s="0"/>
      <c r="QEI65" s="0"/>
      <c r="QEJ65" s="0"/>
      <c r="QEK65" s="0"/>
      <c r="QEL65" s="0"/>
      <c r="QEM65" s="0"/>
      <c r="QEN65" s="0"/>
      <c r="QEO65" s="0"/>
      <c r="QEP65" s="0"/>
      <c r="QEQ65" s="0"/>
      <c r="QER65" s="0"/>
      <c r="QES65" s="0"/>
      <c r="QET65" s="0"/>
      <c r="QEU65" s="0"/>
      <c r="QEV65" s="0"/>
      <c r="QEW65" s="0"/>
      <c r="QEX65" s="0"/>
      <c r="QEY65" s="0"/>
      <c r="QEZ65" s="0"/>
      <c r="QFA65" s="0"/>
      <c r="QFB65" s="0"/>
      <c r="QFC65" s="0"/>
      <c r="QFD65" s="0"/>
      <c r="QFE65" s="0"/>
      <c r="QFF65" s="0"/>
      <c r="QFG65" s="0"/>
      <c r="QFH65" s="0"/>
      <c r="QFI65" s="0"/>
      <c r="QFJ65" s="0"/>
      <c r="QFK65" s="0"/>
      <c r="QFL65" s="0"/>
      <c r="QFM65" s="0"/>
      <c r="QFN65" s="0"/>
      <c r="QFO65" s="0"/>
      <c r="QFP65" s="0"/>
      <c r="QFQ65" s="0"/>
      <c r="QFR65" s="0"/>
      <c r="QFS65" s="0"/>
      <c r="QFT65" s="0"/>
      <c r="QFU65" s="0"/>
      <c r="QFV65" s="0"/>
      <c r="QFW65" s="0"/>
      <c r="QFX65" s="0"/>
      <c r="QFY65" s="0"/>
      <c r="QFZ65" s="0"/>
      <c r="QGA65" s="0"/>
      <c r="QGB65" s="0"/>
      <c r="QGC65" s="0"/>
      <c r="QGD65" s="0"/>
      <c r="QGE65" s="0"/>
      <c r="QGF65" s="0"/>
      <c r="QGG65" s="0"/>
      <c r="QGH65" s="0"/>
      <c r="QGI65" s="0"/>
      <c r="QGJ65" s="0"/>
      <c r="QGK65" s="0"/>
      <c r="QGL65" s="0"/>
      <c r="QGM65" s="0"/>
      <c r="QGN65" s="0"/>
      <c r="QGO65" s="0"/>
      <c r="QGP65" s="0"/>
      <c r="QGQ65" s="0"/>
      <c r="QGR65" s="0"/>
      <c r="QGS65" s="0"/>
      <c r="QGT65" s="0"/>
      <c r="QGU65" s="0"/>
      <c r="QGV65" s="0"/>
      <c r="QGW65" s="0"/>
      <c r="QGX65" s="0"/>
      <c r="QGY65" s="0"/>
      <c r="QGZ65" s="0"/>
      <c r="QHA65" s="0"/>
      <c r="QHB65" s="0"/>
      <c r="QHC65" s="0"/>
      <c r="QHD65" s="0"/>
      <c r="QHE65" s="0"/>
      <c r="QHF65" s="0"/>
      <c r="QHG65" s="0"/>
      <c r="QHH65" s="0"/>
      <c r="QHI65" s="0"/>
      <c r="QHJ65" s="0"/>
      <c r="QHK65" s="0"/>
      <c r="QHL65" s="0"/>
      <c r="QHM65" s="0"/>
      <c r="QHN65" s="0"/>
      <c r="QHO65" s="0"/>
      <c r="QHP65" s="0"/>
      <c r="QHQ65" s="0"/>
      <c r="QHR65" s="0"/>
      <c r="QHS65" s="0"/>
      <c r="QHT65" s="0"/>
      <c r="QHU65" s="0"/>
      <c r="QHV65" s="0"/>
      <c r="QHW65" s="0"/>
      <c r="QHX65" s="0"/>
      <c r="QHY65" s="0"/>
      <c r="QHZ65" s="0"/>
      <c r="QIA65" s="0"/>
      <c r="QIB65" s="0"/>
      <c r="QIC65" s="0"/>
      <c r="QID65" s="0"/>
      <c r="QIE65" s="0"/>
      <c r="QIF65" s="0"/>
      <c r="QIG65" s="0"/>
      <c r="QIH65" s="0"/>
      <c r="QII65" s="0"/>
      <c r="QIJ65" s="0"/>
      <c r="QIK65" s="0"/>
      <c r="QIL65" s="0"/>
      <c r="QIM65" s="0"/>
      <c r="QIN65" s="0"/>
      <c r="QIO65" s="0"/>
      <c r="QIP65" s="0"/>
      <c r="QIQ65" s="0"/>
      <c r="QIR65" s="0"/>
      <c r="QIS65" s="0"/>
      <c r="QIT65" s="0"/>
      <c r="QIU65" s="0"/>
      <c r="QIV65" s="0"/>
      <c r="QIW65" s="0"/>
      <c r="QIX65" s="0"/>
      <c r="QIY65" s="0"/>
      <c r="QIZ65" s="0"/>
      <c r="QJA65" s="0"/>
      <c r="QJB65" s="0"/>
      <c r="QJC65" s="0"/>
      <c r="QJD65" s="0"/>
      <c r="QJE65" s="0"/>
      <c r="QJF65" s="0"/>
      <c r="QJG65" s="0"/>
      <c r="QJH65" s="0"/>
      <c r="QJI65" s="0"/>
      <c r="QJJ65" s="0"/>
      <c r="QJK65" s="0"/>
      <c r="QJL65" s="0"/>
      <c r="QJM65" s="0"/>
      <c r="QJN65" s="0"/>
      <c r="QJO65" s="0"/>
      <c r="QJP65" s="0"/>
      <c r="QJQ65" s="0"/>
      <c r="QJR65" s="0"/>
      <c r="QJS65" s="0"/>
      <c r="QJT65" s="0"/>
      <c r="QJU65" s="0"/>
      <c r="QJV65" s="0"/>
      <c r="QJW65" s="0"/>
      <c r="QJX65" s="0"/>
      <c r="QJY65" s="0"/>
      <c r="QJZ65" s="0"/>
      <c r="QKA65" s="0"/>
      <c r="QKB65" s="0"/>
      <c r="QKC65" s="0"/>
      <c r="QKD65" s="0"/>
      <c r="QKE65" s="0"/>
      <c r="QKF65" s="0"/>
      <c r="QKG65" s="0"/>
      <c r="QKH65" s="0"/>
      <c r="QKI65" s="0"/>
      <c r="QKJ65" s="0"/>
      <c r="QKK65" s="0"/>
      <c r="QKL65" s="0"/>
      <c r="QKM65" s="0"/>
      <c r="QKN65" s="0"/>
      <c r="QKO65" s="0"/>
      <c r="QKP65" s="0"/>
      <c r="QKQ65" s="0"/>
      <c r="QKR65" s="0"/>
      <c r="QKS65" s="0"/>
      <c r="QKT65" s="0"/>
      <c r="QKU65" s="0"/>
      <c r="QKV65" s="0"/>
      <c r="QKW65" s="0"/>
      <c r="QKX65" s="0"/>
      <c r="QKY65" s="0"/>
      <c r="QKZ65" s="0"/>
      <c r="QLA65" s="0"/>
      <c r="QLB65" s="0"/>
      <c r="QLC65" s="0"/>
      <c r="QLD65" s="0"/>
      <c r="QLE65" s="0"/>
      <c r="QLF65" s="0"/>
      <c r="QLG65" s="0"/>
      <c r="QLH65" s="0"/>
      <c r="QLI65" s="0"/>
      <c r="QLJ65" s="0"/>
      <c r="QLK65" s="0"/>
      <c r="QLL65" s="0"/>
      <c r="QLM65" s="0"/>
      <c r="QLN65" s="0"/>
      <c r="QLO65" s="0"/>
      <c r="QLP65" s="0"/>
      <c r="QLQ65" s="0"/>
      <c r="QLR65" s="0"/>
      <c r="QLS65" s="0"/>
      <c r="QLT65" s="0"/>
      <c r="QLU65" s="0"/>
      <c r="QLV65" s="0"/>
      <c r="QLW65" s="0"/>
      <c r="QLX65" s="0"/>
      <c r="QLY65" s="0"/>
      <c r="QLZ65" s="0"/>
      <c r="QMA65" s="0"/>
      <c r="QMB65" s="0"/>
      <c r="QMC65" s="0"/>
      <c r="QMD65" s="0"/>
      <c r="QME65" s="0"/>
      <c r="QMF65" s="0"/>
      <c r="QMG65" s="0"/>
      <c r="QMH65" s="0"/>
      <c r="QMI65" s="0"/>
      <c r="QMJ65" s="0"/>
      <c r="QMK65" s="0"/>
      <c r="QML65" s="0"/>
      <c r="QMM65" s="0"/>
      <c r="QMN65" s="0"/>
      <c r="QMO65" s="0"/>
      <c r="QMP65" s="0"/>
      <c r="QMQ65" s="0"/>
      <c r="QMR65" s="0"/>
      <c r="QMS65" s="0"/>
      <c r="QMT65" s="0"/>
      <c r="QMU65" s="0"/>
      <c r="QMV65" s="0"/>
      <c r="QMW65" s="0"/>
      <c r="QMX65" s="0"/>
      <c r="QMY65" s="0"/>
      <c r="QMZ65" s="0"/>
      <c r="QNA65" s="0"/>
      <c r="QNB65" s="0"/>
      <c r="QNC65" s="0"/>
      <c r="QND65" s="0"/>
      <c r="QNE65" s="0"/>
      <c r="QNF65" s="0"/>
      <c r="QNG65" s="0"/>
      <c r="QNH65" s="0"/>
      <c r="QNI65" s="0"/>
      <c r="QNJ65" s="0"/>
      <c r="QNK65" s="0"/>
      <c r="QNL65" s="0"/>
      <c r="QNM65" s="0"/>
      <c r="QNN65" s="0"/>
      <c r="QNO65" s="0"/>
      <c r="QNP65" s="0"/>
      <c r="QNQ65" s="0"/>
      <c r="QNR65" s="0"/>
      <c r="QNS65" s="0"/>
      <c r="QNT65" s="0"/>
      <c r="QNU65" s="0"/>
      <c r="QNV65" s="0"/>
      <c r="QNW65" s="0"/>
      <c r="QNX65" s="0"/>
      <c r="QNY65" s="0"/>
      <c r="QNZ65" s="0"/>
      <c r="QOA65" s="0"/>
      <c r="QOB65" s="0"/>
      <c r="QOC65" s="0"/>
      <c r="QOD65" s="0"/>
      <c r="QOE65" s="0"/>
      <c r="QOF65" s="0"/>
      <c r="QOG65" s="0"/>
      <c r="QOH65" s="0"/>
      <c r="QOI65" s="0"/>
      <c r="QOJ65" s="0"/>
      <c r="QOK65" s="0"/>
      <c r="QOL65" s="0"/>
      <c r="QOM65" s="0"/>
      <c r="QON65" s="0"/>
      <c r="QOO65" s="0"/>
      <c r="QOP65" s="0"/>
      <c r="QOQ65" s="0"/>
      <c r="QOR65" s="0"/>
      <c r="QOS65" s="0"/>
      <c r="QOT65" s="0"/>
      <c r="QOU65" s="0"/>
      <c r="QOV65" s="0"/>
      <c r="QOW65" s="0"/>
      <c r="QOX65" s="0"/>
      <c r="QOY65" s="0"/>
      <c r="QOZ65" s="0"/>
      <c r="QPA65" s="0"/>
      <c r="QPB65" s="0"/>
      <c r="QPC65" s="0"/>
      <c r="QPD65" s="0"/>
      <c r="QPE65" s="0"/>
      <c r="QPF65" s="0"/>
      <c r="QPG65" s="0"/>
      <c r="QPH65" s="0"/>
      <c r="QPI65" s="0"/>
      <c r="QPJ65" s="0"/>
      <c r="QPK65" s="0"/>
      <c r="QPL65" s="0"/>
      <c r="QPM65" s="0"/>
      <c r="QPN65" s="0"/>
      <c r="QPO65" s="0"/>
      <c r="QPP65" s="0"/>
      <c r="QPQ65" s="0"/>
      <c r="QPR65" s="0"/>
      <c r="QPS65" s="0"/>
      <c r="QPT65" s="0"/>
      <c r="QPU65" s="0"/>
      <c r="QPV65" s="0"/>
      <c r="QPW65" s="0"/>
      <c r="QPX65" s="0"/>
      <c r="QPY65" s="0"/>
      <c r="QPZ65" s="0"/>
      <c r="QQA65" s="0"/>
      <c r="QQB65" s="0"/>
      <c r="QQC65" s="0"/>
      <c r="QQD65" s="0"/>
      <c r="QQE65" s="0"/>
      <c r="QQF65" s="0"/>
      <c r="QQG65" s="0"/>
      <c r="QQH65" s="0"/>
      <c r="QQI65" s="0"/>
      <c r="QQJ65" s="0"/>
      <c r="QQK65" s="0"/>
      <c r="QQL65" s="0"/>
      <c r="QQM65" s="0"/>
      <c r="QQN65" s="0"/>
      <c r="QQO65" s="0"/>
      <c r="QQP65" s="0"/>
      <c r="QQQ65" s="0"/>
      <c r="QQR65" s="0"/>
      <c r="QQS65" s="0"/>
      <c r="QQT65" s="0"/>
      <c r="QQU65" s="0"/>
      <c r="QQV65" s="0"/>
      <c r="QQW65" s="0"/>
      <c r="QQX65" s="0"/>
      <c r="QQY65" s="0"/>
      <c r="QQZ65" s="0"/>
      <c r="QRA65" s="0"/>
      <c r="QRB65" s="0"/>
      <c r="QRC65" s="0"/>
      <c r="QRD65" s="0"/>
      <c r="QRE65" s="0"/>
      <c r="QRF65" s="0"/>
      <c r="QRG65" s="0"/>
      <c r="QRH65" s="0"/>
      <c r="QRI65" s="0"/>
      <c r="QRJ65" s="0"/>
      <c r="QRK65" s="0"/>
      <c r="QRL65" s="0"/>
      <c r="QRM65" s="0"/>
      <c r="QRN65" s="0"/>
      <c r="QRO65" s="0"/>
      <c r="QRP65" s="0"/>
      <c r="QRQ65" s="0"/>
      <c r="QRR65" s="0"/>
      <c r="QRS65" s="0"/>
      <c r="QRT65" s="0"/>
      <c r="QRU65" s="0"/>
      <c r="QRV65" s="0"/>
      <c r="QRW65" s="0"/>
      <c r="QRX65" s="0"/>
      <c r="QRY65" s="0"/>
      <c r="QRZ65" s="0"/>
      <c r="QSA65" s="0"/>
      <c r="QSB65" s="0"/>
      <c r="QSC65" s="0"/>
      <c r="QSD65" s="0"/>
      <c r="QSE65" s="0"/>
      <c r="QSF65" s="0"/>
      <c r="QSG65" s="0"/>
      <c r="QSH65" s="0"/>
      <c r="QSI65" s="0"/>
      <c r="QSJ65" s="0"/>
      <c r="QSK65" s="0"/>
      <c r="QSL65" s="0"/>
      <c r="QSM65" s="0"/>
      <c r="QSN65" s="0"/>
      <c r="QSO65" s="0"/>
      <c r="QSP65" s="0"/>
      <c r="QSQ65" s="0"/>
      <c r="QSR65" s="0"/>
      <c r="QSS65" s="0"/>
      <c r="QST65" s="0"/>
      <c r="QSU65" s="0"/>
      <c r="QSV65" s="0"/>
      <c r="QSW65" s="0"/>
      <c r="QSX65" s="0"/>
      <c r="QSY65" s="0"/>
      <c r="QSZ65" s="0"/>
      <c r="QTA65" s="0"/>
      <c r="QTB65" s="0"/>
      <c r="QTC65" s="0"/>
      <c r="QTD65" s="0"/>
      <c r="QTE65" s="0"/>
      <c r="QTF65" s="0"/>
      <c r="QTG65" s="0"/>
      <c r="QTH65" s="0"/>
      <c r="QTI65" s="0"/>
      <c r="QTJ65" s="0"/>
      <c r="QTK65" s="0"/>
      <c r="QTL65" s="0"/>
      <c r="QTM65" s="0"/>
      <c r="QTN65" s="0"/>
      <c r="QTO65" s="0"/>
      <c r="QTP65" s="0"/>
      <c r="QTQ65" s="0"/>
      <c r="QTR65" s="0"/>
      <c r="QTS65" s="0"/>
      <c r="QTT65" s="0"/>
      <c r="QTU65" s="0"/>
      <c r="QTV65" s="0"/>
      <c r="QTW65" s="0"/>
      <c r="QTX65" s="0"/>
      <c r="QTY65" s="0"/>
      <c r="QTZ65" s="0"/>
      <c r="QUA65" s="0"/>
      <c r="QUB65" s="0"/>
      <c r="QUC65" s="0"/>
      <c r="QUD65" s="0"/>
      <c r="QUE65" s="0"/>
      <c r="QUF65" s="0"/>
      <c r="QUG65" s="0"/>
      <c r="QUH65" s="0"/>
      <c r="QUI65" s="0"/>
      <c r="QUJ65" s="0"/>
      <c r="QUK65" s="0"/>
      <c r="QUL65" s="0"/>
      <c r="QUM65" s="0"/>
      <c r="QUN65" s="0"/>
      <c r="QUO65" s="0"/>
      <c r="QUP65" s="0"/>
      <c r="QUQ65" s="0"/>
      <c r="QUR65" s="0"/>
      <c r="QUS65" s="0"/>
      <c r="QUT65" s="0"/>
      <c r="QUU65" s="0"/>
      <c r="QUV65" s="0"/>
      <c r="QUW65" s="0"/>
      <c r="QUX65" s="0"/>
      <c r="QUY65" s="0"/>
      <c r="QUZ65" s="0"/>
      <c r="QVA65" s="0"/>
      <c r="QVB65" s="0"/>
      <c r="QVC65" s="0"/>
      <c r="QVD65" s="0"/>
      <c r="QVE65" s="0"/>
      <c r="QVF65" s="0"/>
      <c r="QVG65" s="0"/>
      <c r="QVH65" s="0"/>
      <c r="QVI65" s="0"/>
      <c r="QVJ65" s="0"/>
      <c r="QVK65" s="0"/>
      <c r="QVL65" s="0"/>
      <c r="QVM65" s="0"/>
      <c r="QVN65" s="0"/>
      <c r="QVO65" s="0"/>
      <c r="QVP65" s="0"/>
      <c r="QVQ65" s="0"/>
      <c r="QVR65" s="0"/>
      <c r="QVS65" s="0"/>
      <c r="QVT65" s="0"/>
      <c r="QVU65" s="0"/>
      <c r="QVV65" s="0"/>
      <c r="QVW65" s="0"/>
      <c r="QVX65" s="0"/>
      <c r="QVY65" s="0"/>
      <c r="QVZ65" s="0"/>
      <c r="QWA65" s="0"/>
      <c r="QWB65" s="0"/>
      <c r="QWC65" s="0"/>
      <c r="QWD65" s="0"/>
      <c r="QWE65" s="0"/>
      <c r="QWF65" s="0"/>
      <c r="QWG65" s="0"/>
      <c r="QWH65" s="0"/>
      <c r="QWI65" s="0"/>
      <c r="QWJ65" s="0"/>
      <c r="QWK65" s="0"/>
      <c r="QWL65" s="0"/>
      <c r="QWM65" s="0"/>
      <c r="QWN65" s="0"/>
      <c r="QWO65" s="0"/>
      <c r="QWP65" s="0"/>
      <c r="QWQ65" s="0"/>
      <c r="QWR65" s="0"/>
      <c r="QWS65" s="0"/>
      <c r="QWT65" s="0"/>
      <c r="QWU65" s="0"/>
      <c r="QWV65" s="0"/>
      <c r="QWW65" s="0"/>
      <c r="QWX65" s="0"/>
      <c r="QWY65" s="0"/>
      <c r="QWZ65" s="0"/>
      <c r="QXA65" s="0"/>
      <c r="QXB65" s="0"/>
      <c r="QXC65" s="0"/>
      <c r="QXD65" s="0"/>
      <c r="QXE65" s="0"/>
      <c r="QXF65" s="0"/>
      <c r="QXG65" s="0"/>
      <c r="QXH65" s="0"/>
      <c r="QXI65" s="0"/>
      <c r="QXJ65" s="0"/>
      <c r="QXK65" s="0"/>
      <c r="QXL65" s="0"/>
      <c r="QXM65" s="0"/>
      <c r="QXN65" s="0"/>
      <c r="QXO65" s="0"/>
      <c r="QXP65" s="0"/>
      <c r="QXQ65" s="0"/>
      <c r="QXR65" s="0"/>
      <c r="QXS65" s="0"/>
      <c r="QXT65" s="0"/>
      <c r="QXU65" s="0"/>
      <c r="QXV65" s="0"/>
      <c r="QXW65" s="0"/>
      <c r="QXX65" s="0"/>
      <c r="QXY65" s="0"/>
      <c r="QXZ65" s="0"/>
      <c r="QYA65" s="0"/>
      <c r="QYB65" s="0"/>
      <c r="QYC65" s="0"/>
      <c r="QYD65" s="0"/>
      <c r="QYE65" s="0"/>
      <c r="QYF65" s="0"/>
      <c r="QYG65" s="0"/>
      <c r="QYH65" s="0"/>
      <c r="QYI65" s="0"/>
      <c r="QYJ65" s="0"/>
      <c r="QYK65" s="0"/>
      <c r="QYL65" s="0"/>
      <c r="QYM65" s="0"/>
      <c r="QYN65" s="0"/>
      <c r="QYO65" s="0"/>
      <c r="QYP65" s="0"/>
      <c r="QYQ65" s="0"/>
      <c r="QYR65" s="0"/>
      <c r="QYS65" s="0"/>
      <c r="QYT65" s="0"/>
      <c r="QYU65" s="0"/>
      <c r="QYV65" s="0"/>
      <c r="QYW65" s="0"/>
      <c r="QYX65" s="0"/>
      <c r="QYY65" s="0"/>
      <c r="QYZ65" s="0"/>
      <c r="QZA65" s="0"/>
      <c r="QZB65" s="0"/>
      <c r="QZC65" s="0"/>
      <c r="QZD65" s="0"/>
      <c r="QZE65" s="0"/>
      <c r="QZF65" s="0"/>
      <c r="QZG65" s="0"/>
      <c r="QZH65" s="0"/>
      <c r="QZI65" s="0"/>
      <c r="QZJ65" s="0"/>
      <c r="QZK65" s="0"/>
      <c r="QZL65" s="0"/>
      <c r="QZM65" s="0"/>
      <c r="QZN65" s="0"/>
      <c r="QZO65" s="0"/>
      <c r="QZP65" s="0"/>
      <c r="QZQ65" s="0"/>
      <c r="QZR65" s="0"/>
      <c r="QZS65" s="0"/>
      <c r="QZT65" s="0"/>
      <c r="QZU65" s="0"/>
      <c r="QZV65" s="0"/>
      <c r="QZW65" s="0"/>
      <c r="QZX65" s="0"/>
      <c r="QZY65" s="0"/>
      <c r="QZZ65" s="0"/>
      <c r="RAA65" s="0"/>
      <c r="RAB65" s="0"/>
      <c r="RAC65" s="0"/>
      <c r="RAD65" s="0"/>
      <c r="RAE65" s="0"/>
      <c r="RAF65" s="0"/>
      <c r="RAG65" s="0"/>
      <c r="RAH65" s="0"/>
      <c r="RAI65" s="0"/>
      <c r="RAJ65" s="0"/>
      <c r="RAK65" s="0"/>
      <c r="RAL65" s="0"/>
      <c r="RAM65" s="0"/>
      <c r="RAN65" s="0"/>
      <c r="RAO65" s="0"/>
      <c r="RAP65" s="0"/>
      <c r="RAQ65" s="0"/>
      <c r="RAR65" s="0"/>
      <c r="RAS65" s="0"/>
      <c r="RAT65" s="0"/>
      <c r="RAU65" s="0"/>
      <c r="RAV65" s="0"/>
      <c r="RAW65" s="0"/>
      <c r="RAX65" s="0"/>
      <c r="RAY65" s="0"/>
      <c r="RAZ65" s="0"/>
      <c r="RBA65" s="0"/>
      <c r="RBB65" s="0"/>
      <c r="RBC65" s="0"/>
      <c r="RBD65" s="0"/>
      <c r="RBE65" s="0"/>
      <c r="RBF65" s="0"/>
      <c r="RBG65" s="0"/>
      <c r="RBH65" s="0"/>
      <c r="RBI65" s="0"/>
      <c r="RBJ65" s="0"/>
      <c r="RBK65" s="0"/>
      <c r="RBL65" s="0"/>
      <c r="RBM65" s="0"/>
      <c r="RBN65" s="0"/>
      <c r="RBO65" s="0"/>
      <c r="RBP65" s="0"/>
      <c r="RBQ65" s="0"/>
      <c r="RBR65" s="0"/>
      <c r="RBS65" s="0"/>
      <c r="RBT65" s="0"/>
      <c r="RBU65" s="0"/>
      <c r="RBV65" s="0"/>
      <c r="RBW65" s="0"/>
      <c r="RBX65" s="0"/>
      <c r="RBY65" s="0"/>
      <c r="RBZ65" s="0"/>
      <c r="RCA65" s="0"/>
      <c r="RCB65" s="0"/>
      <c r="RCC65" s="0"/>
      <c r="RCD65" s="0"/>
      <c r="RCE65" s="0"/>
      <c r="RCF65" s="0"/>
      <c r="RCG65" s="0"/>
      <c r="RCH65" s="0"/>
      <c r="RCI65" s="0"/>
      <c r="RCJ65" s="0"/>
      <c r="RCK65" s="0"/>
      <c r="RCL65" s="0"/>
      <c r="RCM65" s="0"/>
      <c r="RCN65" s="0"/>
      <c r="RCO65" s="0"/>
      <c r="RCP65" s="0"/>
      <c r="RCQ65" s="0"/>
      <c r="RCR65" s="0"/>
      <c r="RCS65" s="0"/>
      <c r="RCT65" s="0"/>
      <c r="RCU65" s="0"/>
      <c r="RCV65" s="0"/>
      <c r="RCW65" s="0"/>
      <c r="RCX65" s="0"/>
      <c r="RCY65" s="0"/>
      <c r="RCZ65" s="0"/>
      <c r="RDA65" s="0"/>
      <c r="RDB65" s="0"/>
      <c r="RDC65" s="0"/>
      <c r="RDD65" s="0"/>
      <c r="RDE65" s="0"/>
      <c r="RDF65" s="0"/>
      <c r="RDG65" s="0"/>
      <c r="RDH65" s="0"/>
      <c r="RDI65" s="0"/>
      <c r="RDJ65" s="0"/>
      <c r="RDK65" s="0"/>
      <c r="RDL65" s="0"/>
      <c r="RDM65" s="0"/>
      <c r="RDN65" s="0"/>
      <c r="RDO65" s="0"/>
      <c r="RDP65" s="0"/>
      <c r="RDQ65" s="0"/>
      <c r="RDR65" s="0"/>
      <c r="RDS65" s="0"/>
      <c r="RDT65" s="0"/>
      <c r="RDU65" s="0"/>
      <c r="RDV65" s="0"/>
      <c r="RDW65" s="0"/>
      <c r="RDX65" s="0"/>
      <c r="RDY65" s="0"/>
      <c r="RDZ65" s="0"/>
      <c r="REA65" s="0"/>
      <c r="REB65" s="0"/>
      <c r="REC65" s="0"/>
      <c r="RED65" s="0"/>
      <c r="REE65" s="0"/>
      <c r="REF65" s="0"/>
      <c r="REG65" s="0"/>
      <c r="REH65" s="0"/>
      <c r="REI65" s="0"/>
      <c r="REJ65" s="0"/>
      <c r="REK65" s="0"/>
      <c r="REL65" s="0"/>
      <c r="REM65" s="0"/>
      <c r="REN65" s="0"/>
      <c r="REO65" s="0"/>
      <c r="REP65" s="0"/>
      <c r="REQ65" s="0"/>
      <c r="RER65" s="0"/>
      <c r="RES65" s="0"/>
      <c r="RET65" s="0"/>
      <c r="REU65" s="0"/>
      <c r="REV65" s="0"/>
      <c r="REW65" s="0"/>
      <c r="REX65" s="0"/>
      <c r="REY65" s="0"/>
      <c r="REZ65" s="0"/>
      <c r="RFA65" s="0"/>
      <c r="RFB65" s="0"/>
      <c r="RFC65" s="0"/>
      <c r="RFD65" s="0"/>
      <c r="RFE65" s="0"/>
      <c r="RFF65" s="0"/>
      <c r="RFG65" s="0"/>
      <c r="RFH65" s="0"/>
      <c r="RFI65" s="0"/>
      <c r="RFJ65" s="0"/>
      <c r="RFK65" s="0"/>
      <c r="RFL65" s="0"/>
      <c r="RFM65" s="0"/>
      <c r="RFN65" s="0"/>
      <c r="RFO65" s="0"/>
      <c r="RFP65" s="0"/>
      <c r="RFQ65" s="0"/>
      <c r="RFR65" s="0"/>
      <c r="RFS65" s="0"/>
      <c r="RFT65" s="0"/>
      <c r="RFU65" s="0"/>
      <c r="RFV65" s="0"/>
      <c r="RFW65" s="0"/>
      <c r="RFX65" s="0"/>
      <c r="RFY65" s="0"/>
      <c r="RFZ65" s="0"/>
      <c r="RGA65" s="0"/>
      <c r="RGB65" s="0"/>
      <c r="RGC65" s="0"/>
      <c r="RGD65" s="0"/>
      <c r="RGE65" s="0"/>
      <c r="RGF65" s="0"/>
      <c r="RGG65" s="0"/>
      <c r="RGH65" s="0"/>
      <c r="RGI65" s="0"/>
      <c r="RGJ65" s="0"/>
      <c r="RGK65" s="0"/>
      <c r="RGL65" s="0"/>
      <c r="RGM65" s="0"/>
      <c r="RGN65" s="0"/>
      <c r="RGO65" s="0"/>
      <c r="RGP65" s="0"/>
      <c r="RGQ65" s="0"/>
      <c r="RGR65" s="0"/>
      <c r="RGS65" s="0"/>
      <c r="RGT65" s="0"/>
      <c r="RGU65" s="0"/>
      <c r="RGV65" s="0"/>
      <c r="RGW65" s="0"/>
      <c r="RGX65" s="0"/>
      <c r="RGY65" s="0"/>
      <c r="RGZ65" s="0"/>
      <c r="RHA65" s="0"/>
      <c r="RHB65" s="0"/>
      <c r="RHC65" s="0"/>
      <c r="RHD65" s="0"/>
      <c r="RHE65" s="0"/>
      <c r="RHF65" s="0"/>
      <c r="RHG65" s="0"/>
      <c r="RHH65" s="0"/>
      <c r="RHI65" s="0"/>
      <c r="RHJ65" s="0"/>
      <c r="RHK65" s="0"/>
      <c r="RHL65" s="0"/>
      <c r="RHM65" s="0"/>
      <c r="RHN65" s="0"/>
      <c r="RHO65" s="0"/>
      <c r="RHP65" s="0"/>
      <c r="RHQ65" s="0"/>
      <c r="RHR65" s="0"/>
      <c r="RHS65" s="0"/>
      <c r="RHT65" s="0"/>
      <c r="RHU65" s="0"/>
      <c r="RHV65" s="0"/>
      <c r="RHW65" s="0"/>
      <c r="RHX65" s="0"/>
      <c r="RHY65" s="0"/>
      <c r="RHZ65" s="0"/>
      <c r="RIA65" s="0"/>
      <c r="RIB65" s="0"/>
      <c r="RIC65" s="0"/>
      <c r="RID65" s="0"/>
      <c r="RIE65" s="0"/>
      <c r="RIF65" s="0"/>
      <c r="RIG65" s="0"/>
      <c r="RIH65" s="0"/>
      <c r="RII65" s="0"/>
      <c r="RIJ65" s="0"/>
      <c r="RIK65" s="0"/>
      <c r="RIL65" s="0"/>
      <c r="RIM65" s="0"/>
      <c r="RIN65" s="0"/>
      <c r="RIO65" s="0"/>
      <c r="RIP65" s="0"/>
      <c r="RIQ65" s="0"/>
      <c r="RIR65" s="0"/>
      <c r="RIS65" s="0"/>
      <c r="RIT65" s="0"/>
      <c r="RIU65" s="0"/>
      <c r="RIV65" s="0"/>
      <c r="RIW65" s="0"/>
      <c r="RIX65" s="0"/>
      <c r="RIY65" s="0"/>
      <c r="RIZ65" s="0"/>
      <c r="RJA65" s="0"/>
      <c r="RJB65" s="0"/>
      <c r="RJC65" s="0"/>
      <c r="RJD65" s="0"/>
      <c r="RJE65" s="0"/>
      <c r="RJF65" s="0"/>
      <c r="RJG65" s="0"/>
      <c r="RJH65" s="0"/>
      <c r="RJI65" s="0"/>
      <c r="RJJ65" s="0"/>
      <c r="RJK65" s="0"/>
      <c r="RJL65" s="0"/>
      <c r="RJM65" s="0"/>
      <c r="RJN65" s="0"/>
      <c r="RJO65" s="0"/>
      <c r="RJP65" s="0"/>
      <c r="RJQ65" s="0"/>
      <c r="RJR65" s="0"/>
      <c r="RJS65" s="0"/>
      <c r="RJT65" s="0"/>
      <c r="RJU65" s="0"/>
      <c r="RJV65" s="0"/>
      <c r="RJW65" s="0"/>
      <c r="RJX65" s="0"/>
      <c r="RJY65" s="0"/>
      <c r="RJZ65" s="0"/>
      <c r="RKA65" s="0"/>
      <c r="RKB65" s="0"/>
      <c r="RKC65" s="0"/>
      <c r="RKD65" s="0"/>
      <c r="RKE65" s="0"/>
      <c r="RKF65" s="0"/>
      <c r="RKG65" s="0"/>
      <c r="RKH65" s="0"/>
      <c r="RKI65" s="0"/>
      <c r="RKJ65" s="0"/>
      <c r="RKK65" s="0"/>
      <c r="RKL65" s="0"/>
      <c r="RKM65" s="0"/>
      <c r="RKN65" s="0"/>
      <c r="RKO65" s="0"/>
      <c r="RKP65" s="0"/>
      <c r="RKQ65" s="0"/>
      <c r="RKR65" s="0"/>
      <c r="RKS65" s="0"/>
      <c r="RKT65" s="0"/>
      <c r="RKU65" s="0"/>
      <c r="RKV65" s="0"/>
      <c r="RKW65" s="0"/>
      <c r="RKX65" s="0"/>
      <c r="RKY65" s="0"/>
      <c r="RKZ65" s="0"/>
      <c r="RLA65" s="0"/>
      <c r="RLB65" s="0"/>
      <c r="RLC65" s="0"/>
      <c r="RLD65" s="0"/>
      <c r="RLE65" s="0"/>
      <c r="RLF65" s="0"/>
      <c r="RLG65" s="0"/>
      <c r="RLH65" s="0"/>
      <c r="RLI65" s="0"/>
      <c r="RLJ65" s="0"/>
      <c r="RLK65" s="0"/>
      <c r="RLL65" s="0"/>
      <c r="RLM65" s="0"/>
      <c r="RLN65" s="0"/>
      <c r="RLO65" s="0"/>
      <c r="RLP65" s="0"/>
      <c r="RLQ65" s="0"/>
      <c r="RLR65" s="0"/>
      <c r="RLS65" s="0"/>
      <c r="RLT65" s="0"/>
      <c r="RLU65" s="0"/>
      <c r="RLV65" s="0"/>
      <c r="RLW65" s="0"/>
      <c r="RLX65" s="0"/>
      <c r="RLY65" s="0"/>
      <c r="RLZ65" s="0"/>
      <c r="RMA65" s="0"/>
      <c r="RMB65" s="0"/>
      <c r="RMC65" s="0"/>
      <c r="RMD65" s="0"/>
      <c r="RME65" s="0"/>
      <c r="RMF65" s="0"/>
      <c r="RMG65" s="0"/>
      <c r="RMH65" s="0"/>
      <c r="RMI65" s="0"/>
      <c r="RMJ65" s="0"/>
      <c r="RMK65" s="0"/>
      <c r="RML65" s="0"/>
      <c r="RMM65" s="0"/>
      <c r="RMN65" s="0"/>
      <c r="RMO65" s="0"/>
      <c r="RMP65" s="0"/>
      <c r="RMQ65" s="0"/>
      <c r="RMR65" s="0"/>
      <c r="RMS65" s="0"/>
      <c r="RMT65" s="0"/>
      <c r="RMU65" s="0"/>
      <c r="RMV65" s="0"/>
      <c r="RMW65" s="0"/>
      <c r="RMX65" s="0"/>
      <c r="RMY65" s="0"/>
      <c r="RMZ65" s="0"/>
      <c r="RNA65" s="0"/>
      <c r="RNB65" s="0"/>
      <c r="RNC65" s="0"/>
      <c r="RND65" s="0"/>
      <c r="RNE65" s="0"/>
      <c r="RNF65" s="0"/>
      <c r="RNG65" s="0"/>
      <c r="RNH65" s="0"/>
      <c r="RNI65" s="0"/>
      <c r="RNJ65" s="0"/>
      <c r="RNK65" s="0"/>
      <c r="RNL65" s="0"/>
      <c r="RNM65" s="0"/>
      <c r="RNN65" s="0"/>
      <c r="RNO65" s="0"/>
      <c r="RNP65" s="0"/>
      <c r="RNQ65" s="0"/>
      <c r="RNR65" s="0"/>
      <c r="RNS65" s="0"/>
      <c r="RNT65" s="0"/>
      <c r="RNU65" s="0"/>
      <c r="RNV65" s="0"/>
      <c r="RNW65" s="0"/>
      <c r="RNX65" s="0"/>
      <c r="RNY65" s="0"/>
      <c r="RNZ65" s="0"/>
      <c r="ROA65" s="0"/>
      <c r="ROB65" s="0"/>
      <c r="ROC65" s="0"/>
      <c r="ROD65" s="0"/>
      <c r="ROE65" s="0"/>
      <c r="ROF65" s="0"/>
      <c r="ROG65" s="0"/>
      <c r="ROH65" s="0"/>
      <c r="ROI65" s="0"/>
      <c r="ROJ65" s="0"/>
      <c r="ROK65" s="0"/>
      <c r="ROL65" s="0"/>
      <c r="ROM65" s="0"/>
      <c r="RON65" s="0"/>
      <c r="ROO65" s="0"/>
      <c r="ROP65" s="0"/>
      <c r="ROQ65" s="0"/>
      <c r="ROR65" s="0"/>
      <c r="ROS65" s="0"/>
      <c r="ROT65" s="0"/>
      <c r="ROU65" s="0"/>
      <c r="ROV65" s="0"/>
      <c r="ROW65" s="0"/>
      <c r="ROX65" s="0"/>
      <c r="ROY65" s="0"/>
      <c r="ROZ65" s="0"/>
      <c r="RPA65" s="0"/>
      <c r="RPB65" s="0"/>
      <c r="RPC65" s="0"/>
      <c r="RPD65" s="0"/>
      <c r="RPE65" s="0"/>
      <c r="RPF65" s="0"/>
      <c r="RPG65" s="0"/>
      <c r="RPH65" s="0"/>
      <c r="RPI65" s="0"/>
      <c r="RPJ65" s="0"/>
      <c r="RPK65" s="0"/>
      <c r="RPL65" s="0"/>
      <c r="RPM65" s="0"/>
      <c r="RPN65" s="0"/>
      <c r="RPO65" s="0"/>
      <c r="RPP65" s="0"/>
      <c r="RPQ65" s="0"/>
      <c r="RPR65" s="0"/>
      <c r="RPS65" s="0"/>
      <c r="RPT65" s="0"/>
      <c r="RPU65" s="0"/>
      <c r="RPV65" s="0"/>
      <c r="RPW65" s="0"/>
      <c r="RPX65" s="0"/>
      <c r="RPY65" s="0"/>
      <c r="RPZ65" s="0"/>
      <c r="RQA65" s="0"/>
      <c r="RQB65" s="0"/>
      <c r="RQC65" s="0"/>
      <c r="RQD65" s="0"/>
      <c r="RQE65" s="0"/>
      <c r="RQF65" s="0"/>
      <c r="RQG65" s="0"/>
      <c r="RQH65" s="0"/>
      <c r="RQI65" s="0"/>
      <c r="RQJ65" s="0"/>
      <c r="RQK65" s="0"/>
      <c r="RQL65" s="0"/>
      <c r="RQM65" s="0"/>
      <c r="RQN65" s="0"/>
      <c r="RQO65" s="0"/>
      <c r="RQP65" s="0"/>
      <c r="RQQ65" s="0"/>
      <c r="RQR65" s="0"/>
      <c r="RQS65" s="0"/>
      <c r="RQT65" s="0"/>
      <c r="RQU65" s="0"/>
      <c r="RQV65" s="0"/>
      <c r="RQW65" s="0"/>
      <c r="RQX65" s="0"/>
      <c r="RQY65" s="0"/>
      <c r="RQZ65" s="0"/>
      <c r="RRA65" s="0"/>
      <c r="RRB65" s="0"/>
      <c r="RRC65" s="0"/>
      <c r="RRD65" s="0"/>
      <c r="RRE65" s="0"/>
      <c r="RRF65" s="0"/>
      <c r="RRG65" s="0"/>
      <c r="RRH65" s="0"/>
      <c r="RRI65" s="0"/>
      <c r="RRJ65" s="0"/>
      <c r="RRK65" s="0"/>
      <c r="RRL65" s="0"/>
      <c r="RRM65" s="0"/>
      <c r="RRN65" s="0"/>
      <c r="RRO65" s="0"/>
      <c r="RRP65" s="0"/>
      <c r="RRQ65" s="0"/>
      <c r="RRR65" s="0"/>
      <c r="RRS65" s="0"/>
      <c r="RRT65" s="0"/>
      <c r="RRU65" s="0"/>
      <c r="RRV65" s="0"/>
      <c r="RRW65" s="0"/>
      <c r="RRX65" s="0"/>
      <c r="RRY65" s="0"/>
      <c r="RRZ65" s="0"/>
      <c r="RSA65" s="0"/>
      <c r="RSB65" s="0"/>
      <c r="RSC65" s="0"/>
      <c r="RSD65" s="0"/>
      <c r="RSE65" s="0"/>
      <c r="RSF65" s="0"/>
      <c r="RSG65" s="0"/>
      <c r="RSH65" s="0"/>
      <c r="RSI65" s="0"/>
      <c r="RSJ65" s="0"/>
      <c r="RSK65" s="0"/>
      <c r="RSL65" s="0"/>
      <c r="RSM65" s="0"/>
      <c r="RSN65" s="0"/>
      <c r="RSO65" s="0"/>
      <c r="RSP65" s="0"/>
      <c r="RSQ65" s="0"/>
      <c r="RSR65" s="0"/>
      <c r="RSS65" s="0"/>
      <c r="RST65" s="0"/>
      <c r="RSU65" s="0"/>
      <c r="RSV65" s="0"/>
      <c r="RSW65" s="0"/>
      <c r="RSX65" s="0"/>
      <c r="RSY65" s="0"/>
      <c r="RSZ65" s="0"/>
      <c r="RTA65" s="0"/>
      <c r="RTB65" s="0"/>
      <c r="RTC65" s="0"/>
      <c r="RTD65" s="0"/>
      <c r="RTE65" s="0"/>
      <c r="RTF65" s="0"/>
      <c r="RTG65" s="0"/>
      <c r="RTH65" s="0"/>
      <c r="RTI65" s="0"/>
      <c r="RTJ65" s="0"/>
      <c r="RTK65" s="0"/>
      <c r="RTL65" s="0"/>
      <c r="RTM65" s="0"/>
      <c r="RTN65" s="0"/>
      <c r="RTO65" s="0"/>
      <c r="RTP65" s="0"/>
      <c r="RTQ65" s="0"/>
      <c r="RTR65" s="0"/>
      <c r="RTS65" s="0"/>
      <c r="RTT65" s="0"/>
      <c r="RTU65" s="0"/>
      <c r="RTV65" s="0"/>
      <c r="RTW65" s="0"/>
      <c r="RTX65" s="0"/>
      <c r="RTY65" s="0"/>
      <c r="RTZ65" s="0"/>
      <c r="RUA65" s="0"/>
      <c r="RUB65" s="0"/>
      <c r="RUC65" s="0"/>
      <c r="RUD65" s="0"/>
      <c r="RUE65" s="0"/>
      <c r="RUF65" s="0"/>
      <c r="RUG65" s="0"/>
      <c r="RUH65" s="0"/>
      <c r="RUI65" s="0"/>
      <c r="RUJ65" s="0"/>
      <c r="RUK65" s="0"/>
      <c r="RUL65" s="0"/>
      <c r="RUM65" s="0"/>
      <c r="RUN65" s="0"/>
      <c r="RUO65" s="0"/>
      <c r="RUP65" s="0"/>
      <c r="RUQ65" s="0"/>
      <c r="RUR65" s="0"/>
      <c r="RUS65" s="0"/>
      <c r="RUT65" s="0"/>
      <c r="RUU65" s="0"/>
      <c r="RUV65" s="0"/>
      <c r="RUW65" s="0"/>
      <c r="RUX65" s="0"/>
      <c r="RUY65" s="0"/>
      <c r="RUZ65" s="0"/>
      <c r="RVA65" s="0"/>
      <c r="RVB65" s="0"/>
      <c r="RVC65" s="0"/>
      <c r="RVD65" s="0"/>
      <c r="RVE65" s="0"/>
      <c r="RVF65" s="0"/>
      <c r="RVG65" s="0"/>
      <c r="RVH65" s="0"/>
      <c r="RVI65" s="0"/>
      <c r="RVJ65" s="0"/>
      <c r="RVK65" s="0"/>
      <c r="RVL65" s="0"/>
      <c r="RVM65" s="0"/>
      <c r="RVN65" s="0"/>
      <c r="RVO65" s="0"/>
      <c r="RVP65" s="0"/>
      <c r="RVQ65" s="0"/>
      <c r="RVR65" s="0"/>
      <c r="RVS65" s="0"/>
      <c r="RVT65" s="0"/>
      <c r="RVU65" s="0"/>
      <c r="RVV65" s="0"/>
      <c r="RVW65" s="0"/>
      <c r="RVX65" s="0"/>
      <c r="RVY65" s="0"/>
      <c r="RVZ65" s="0"/>
      <c r="RWA65" s="0"/>
      <c r="RWB65" s="0"/>
      <c r="RWC65" s="0"/>
      <c r="RWD65" s="0"/>
      <c r="RWE65" s="0"/>
      <c r="RWF65" s="0"/>
      <c r="RWG65" s="0"/>
      <c r="RWH65" s="0"/>
      <c r="RWI65" s="0"/>
      <c r="RWJ65" s="0"/>
      <c r="RWK65" s="0"/>
      <c r="RWL65" s="0"/>
      <c r="RWM65" s="0"/>
      <c r="RWN65" s="0"/>
      <c r="RWO65" s="0"/>
      <c r="RWP65" s="0"/>
      <c r="RWQ65" s="0"/>
      <c r="RWR65" s="0"/>
      <c r="RWS65" s="0"/>
      <c r="RWT65" s="0"/>
      <c r="RWU65" s="0"/>
      <c r="RWV65" s="0"/>
      <c r="RWW65" s="0"/>
      <c r="RWX65" s="0"/>
      <c r="RWY65" s="0"/>
      <c r="RWZ65" s="0"/>
      <c r="RXA65" s="0"/>
      <c r="RXB65" s="0"/>
      <c r="RXC65" s="0"/>
      <c r="RXD65" s="0"/>
      <c r="RXE65" s="0"/>
      <c r="RXF65" s="0"/>
      <c r="RXG65" s="0"/>
      <c r="RXH65" s="0"/>
      <c r="RXI65" s="0"/>
      <c r="RXJ65" s="0"/>
      <c r="RXK65" s="0"/>
      <c r="RXL65" s="0"/>
      <c r="RXM65" s="0"/>
      <c r="RXN65" s="0"/>
      <c r="RXO65" s="0"/>
      <c r="RXP65" s="0"/>
      <c r="RXQ65" s="0"/>
      <c r="RXR65" s="0"/>
      <c r="RXS65" s="0"/>
      <c r="RXT65" s="0"/>
      <c r="RXU65" s="0"/>
      <c r="RXV65" s="0"/>
      <c r="RXW65" s="0"/>
      <c r="RXX65" s="0"/>
      <c r="RXY65" s="0"/>
      <c r="RXZ65" s="0"/>
      <c r="RYA65" s="0"/>
      <c r="RYB65" s="0"/>
      <c r="RYC65" s="0"/>
      <c r="RYD65" s="0"/>
      <c r="RYE65" s="0"/>
      <c r="RYF65" s="0"/>
      <c r="RYG65" s="0"/>
      <c r="RYH65" s="0"/>
      <c r="RYI65" s="0"/>
      <c r="RYJ65" s="0"/>
      <c r="RYK65" s="0"/>
      <c r="RYL65" s="0"/>
      <c r="RYM65" s="0"/>
      <c r="RYN65" s="0"/>
      <c r="RYO65" s="0"/>
      <c r="RYP65" s="0"/>
      <c r="RYQ65" s="0"/>
      <c r="RYR65" s="0"/>
      <c r="RYS65" s="0"/>
      <c r="RYT65" s="0"/>
      <c r="RYU65" s="0"/>
      <c r="RYV65" s="0"/>
      <c r="RYW65" s="0"/>
      <c r="RYX65" s="0"/>
      <c r="RYY65" s="0"/>
      <c r="RYZ65" s="0"/>
      <c r="RZA65" s="0"/>
      <c r="RZB65" s="0"/>
      <c r="RZC65" s="0"/>
      <c r="RZD65" s="0"/>
      <c r="RZE65" s="0"/>
      <c r="RZF65" s="0"/>
      <c r="RZG65" s="0"/>
      <c r="RZH65" s="0"/>
      <c r="RZI65" s="0"/>
      <c r="RZJ65" s="0"/>
      <c r="RZK65" s="0"/>
      <c r="RZL65" s="0"/>
      <c r="RZM65" s="0"/>
      <c r="RZN65" s="0"/>
      <c r="RZO65" s="0"/>
      <c r="RZP65" s="0"/>
      <c r="RZQ65" s="0"/>
      <c r="RZR65" s="0"/>
      <c r="RZS65" s="0"/>
      <c r="RZT65" s="0"/>
      <c r="RZU65" s="0"/>
      <c r="RZV65" s="0"/>
      <c r="RZW65" s="0"/>
      <c r="RZX65" s="0"/>
      <c r="RZY65" s="0"/>
      <c r="RZZ65" s="0"/>
      <c r="SAA65" s="0"/>
      <c r="SAB65" s="0"/>
      <c r="SAC65" s="0"/>
      <c r="SAD65" s="0"/>
      <c r="SAE65" s="0"/>
      <c r="SAF65" s="0"/>
      <c r="SAG65" s="0"/>
      <c r="SAH65" s="0"/>
      <c r="SAI65" s="0"/>
      <c r="SAJ65" s="0"/>
      <c r="SAK65" s="0"/>
      <c r="SAL65" s="0"/>
      <c r="SAM65" s="0"/>
      <c r="SAN65" s="0"/>
      <c r="SAO65" s="0"/>
      <c r="SAP65" s="0"/>
      <c r="SAQ65" s="0"/>
      <c r="SAR65" s="0"/>
      <c r="SAS65" s="0"/>
      <c r="SAT65" s="0"/>
      <c r="SAU65" s="0"/>
      <c r="SAV65" s="0"/>
      <c r="SAW65" s="0"/>
      <c r="SAX65" s="0"/>
      <c r="SAY65" s="0"/>
      <c r="SAZ65" s="0"/>
      <c r="SBA65" s="0"/>
      <c r="SBB65" s="0"/>
      <c r="SBC65" s="0"/>
      <c r="SBD65" s="0"/>
      <c r="SBE65" s="0"/>
      <c r="SBF65" s="0"/>
      <c r="SBG65" s="0"/>
      <c r="SBH65" s="0"/>
      <c r="SBI65" s="0"/>
      <c r="SBJ65" s="0"/>
      <c r="SBK65" s="0"/>
      <c r="SBL65" s="0"/>
      <c r="SBM65" s="0"/>
      <c r="SBN65" s="0"/>
      <c r="SBO65" s="0"/>
      <c r="SBP65" s="0"/>
      <c r="SBQ65" s="0"/>
      <c r="SBR65" s="0"/>
      <c r="SBS65" s="0"/>
      <c r="SBT65" s="0"/>
      <c r="SBU65" s="0"/>
      <c r="SBV65" s="0"/>
      <c r="SBW65" s="0"/>
      <c r="SBX65" s="0"/>
      <c r="SBY65" s="0"/>
      <c r="SBZ65" s="0"/>
      <c r="SCA65" s="0"/>
      <c r="SCB65" s="0"/>
      <c r="SCC65" s="0"/>
      <c r="SCD65" s="0"/>
      <c r="SCE65" s="0"/>
      <c r="SCF65" s="0"/>
      <c r="SCG65" s="0"/>
      <c r="SCH65" s="0"/>
      <c r="SCI65" s="0"/>
      <c r="SCJ65" s="0"/>
      <c r="SCK65" s="0"/>
      <c r="SCL65" s="0"/>
      <c r="SCM65" s="0"/>
      <c r="SCN65" s="0"/>
      <c r="SCO65" s="0"/>
      <c r="SCP65" s="0"/>
      <c r="SCQ65" s="0"/>
      <c r="SCR65" s="0"/>
      <c r="SCS65" s="0"/>
      <c r="SCT65" s="0"/>
      <c r="SCU65" s="0"/>
      <c r="SCV65" s="0"/>
      <c r="SCW65" s="0"/>
      <c r="SCX65" s="0"/>
      <c r="SCY65" s="0"/>
      <c r="SCZ65" s="0"/>
      <c r="SDA65" s="0"/>
      <c r="SDB65" s="0"/>
      <c r="SDC65" s="0"/>
      <c r="SDD65" s="0"/>
      <c r="SDE65" s="0"/>
      <c r="SDF65" s="0"/>
      <c r="SDG65" s="0"/>
      <c r="SDH65" s="0"/>
      <c r="SDI65" s="0"/>
      <c r="SDJ65" s="0"/>
      <c r="SDK65" s="0"/>
      <c r="SDL65" s="0"/>
      <c r="SDM65" s="0"/>
      <c r="SDN65" s="0"/>
      <c r="SDO65" s="0"/>
      <c r="SDP65" s="0"/>
      <c r="SDQ65" s="0"/>
      <c r="SDR65" s="0"/>
      <c r="SDS65" s="0"/>
      <c r="SDT65" s="0"/>
      <c r="SDU65" s="0"/>
      <c r="SDV65" s="0"/>
      <c r="SDW65" s="0"/>
      <c r="SDX65" s="0"/>
      <c r="SDY65" s="0"/>
      <c r="SDZ65" s="0"/>
      <c r="SEA65" s="0"/>
      <c r="SEB65" s="0"/>
      <c r="SEC65" s="0"/>
      <c r="SED65" s="0"/>
      <c r="SEE65" s="0"/>
      <c r="SEF65" s="0"/>
      <c r="SEG65" s="0"/>
      <c r="SEH65" s="0"/>
      <c r="SEI65" s="0"/>
      <c r="SEJ65" s="0"/>
      <c r="SEK65" s="0"/>
      <c r="SEL65" s="0"/>
      <c r="SEM65" s="0"/>
      <c r="SEN65" s="0"/>
      <c r="SEO65" s="0"/>
      <c r="SEP65" s="0"/>
      <c r="SEQ65" s="0"/>
      <c r="SER65" s="0"/>
      <c r="SES65" s="0"/>
      <c r="SET65" s="0"/>
      <c r="SEU65" s="0"/>
      <c r="SEV65" s="0"/>
      <c r="SEW65" s="0"/>
      <c r="SEX65" s="0"/>
      <c r="SEY65" s="0"/>
      <c r="SEZ65" s="0"/>
      <c r="SFA65" s="0"/>
      <c r="SFB65" s="0"/>
      <c r="SFC65" s="0"/>
      <c r="SFD65" s="0"/>
      <c r="SFE65" s="0"/>
      <c r="SFF65" s="0"/>
      <c r="SFG65" s="0"/>
      <c r="SFH65" s="0"/>
      <c r="SFI65" s="0"/>
      <c r="SFJ65" s="0"/>
      <c r="SFK65" s="0"/>
      <c r="SFL65" s="0"/>
      <c r="SFM65" s="0"/>
      <c r="SFN65" s="0"/>
      <c r="SFO65" s="0"/>
      <c r="SFP65" s="0"/>
      <c r="SFQ65" s="0"/>
      <c r="SFR65" s="0"/>
      <c r="SFS65" s="0"/>
      <c r="SFT65" s="0"/>
      <c r="SFU65" s="0"/>
      <c r="SFV65" s="0"/>
      <c r="SFW65" s="0"/>
      <c r="SFX65" s="0"/>
      <c r="SFY65" s="0"/>
      <c r="SFZ65" s="0"/>
      <c r="SGA65" s="0"/>
      <c r="SGB65" s="0"/>
      <c r="SGC65" s="0"/>
      <c r="SGD65" s="0"/>
      <c r="SGE65" s="0"/>
      <c r="SGF65" s="0"/>
      <c r="SGG65" s="0"/>
      <c r="SGH65" s="0"/>
      <c r="SGI65" s="0"/>
      <c r="SGJ65" s="0"/>
      <c r="SGK65" s="0"/>
      <c r="SGL65" s="0"/>
      <c r="SGM65" s="0"/>
      <c r="SGN65" s="0"/>
      <c r="SGO65" s="0"/>
      <c r="SGP65" s="0"/>
      <c r="SGQ65" s="0"/>
      <c r="SGR65" s="0"/>
      <c r="SGS65" s="0"/>
      <c r="SGT65" s="0"/>
      <c r="SGU65" s="0"/>
      <c r="SGV65" s="0"/>
      <c r="SGW65" s="0"/>
      <c r="SGX65" s="0"/>
      <c r="SGY65" s="0"/>
      <c r="SGZ65" s="0"/>
      <c r="SHA65" s="0"/>
      <c r="SHB65" s="0"/>
      <c r="SHC65" s="0"/>
      <c r="SHD65" s="0"/>
      <c r="SHE65" s="0"/>
      <c r="SHF65" s="0"/>
      <c r="SHG65" s="0"/>
      <c r="SHH65" s="0"/>
      <c r="SHI65" s="0"/>
      <c r="SHJ65" s="0"/>
      <c r="SHK65" s="0"/>
      <c r="SHL65" s="0"/>
      <c r="SHM65" s="0"/>
      <c r="SHN65" s="0"/>
      <c r="SHO65" s="0"/>
      <c r="SHP65" s="0"/>
      <c r="SHQ65" s="0"/>
      <c r="SHR65" s="0"/>
      <c r="SHS65" s="0"/>
      <c r="SHT65" s="0"/>
      <c r="SHU65" s="0"/>
      <c r="SHV65" s="0"/>
      <c r="SHW65" s="0"/>
      <c r="SHX65" s="0"/>
      <c r="SHY65" s="0"/>
      <c r="SHZ65" s="0"/>
      <c r="SIA65" s="0"/>
      <c r="SIB65" s="0"/>
      <c r="SIC65" s="0"/>
      <c r="SID65" s="0"/>
      <c r="SIE65" s="0"/>
      <c r="SIF65" s="0"/>
      <c r="SIG65" s="0"/>
      <c r="SIH65" s="0"/>
      <c r="SII65" s="0"/>
      <c r="SIJ65" s="0"/>
      <c r="SIK65" s="0"/>
      <c r="SIL65" s="0"/>
      <c r="SIM65" s="0"/>
      <c r="SIN65" s="0"/>
      <c r="SIO65" s="0"/>
      <c r="SIP65" s="0"/>
      <c r="SIQ65" s="0"/>
      <c r="SIR65" s="0"/>
      <c r="SIS65" s="0"/>
      <c r="SIT65" s="0"/>
      <c r="SIU65" s="0"/>
      <c r="SIV65" s="0"/>
      <c r="SIW65" s="0"/>
      <c r="SIX65" s="0"/>
      <c r="SIY65" s="0"/>
      <c r="SIZ65" s="0"/>
      <c r="SJA65" s="0"/>
      <c r="SJB65" s="0"/>
      <c r="SJC65" s="0"/>
      <c r="SJD65" s="0"/>
      <c r="SJE65" s="0"/>
      <c r="SJF65" s="0"/>
      <c r="SJG65" s="0"/>
      <c r="SJH65" s="0"/>
      <c r="SJI65" s="0"/>
      <c r="SJJ65" s="0"/>
      <c r="SJK65" s="0"/>
      <c r="SJL65" s="0"/>
      <c r="SJM65" s="0"/>
      <c r="SJN65" s="0"/>
      <c r="SJO65" s="0"/>
      <c r="SJP65" s="0"/>
      <c r="SJQ65" s="0"/>
      <c r="SJR65" s="0"/>
      <c r="SJS65" s="0"/>
      <c r="SJT65" s="0"/>
      <c r="SJU65" s="0"/>
      <c r="SJV65" s="0"/>
      <c r="SJW65" s="0"/>
      <c r="SJX65" s="0"/>
      <c r="SJY65" s="0"/>
      <c r="SJZ65" s="0"/>
      <c r="SKA65" s="0"/>
      <c r="SKB65" s="0"/>
      <c r="SKC65" s="0"/>
      <c r="SKD65" s="0"/>
      <c r="SKE65" s="0"/>
      <c r="SKF65" s="0"/>
      <c r="SKG65" s="0"/>
      <c r="SKH65" s="0"/>
      <c r="SKI65" s="0"/>
      <c r="SKJ65" s="0"/>
      <c r="SKK65" s="0"/>
      <c r="SKL65" s="0"/>
      <c r="SKM65" s="0"/>
      <c r="SKN65" s="0"/>
      <c r="SKO65" s="0"/>
      <c r="SKP65" s="0"/>
      <c r="SKQ65" s="0"/>
      <c r="SKR65" s="0"/>
      <c r="SKS65" s="0"/>
      <c r="SKT65" s="0"/>
      <c r="SKU65" s="0"/>
      <c r="SKV65" s="0"/>
      <c r="SKW65" s="0"/>
      <c r="SKX65" s="0"/>
      <c r="SKY65" s="0"/>
      <c r="SKZ65" s="0"/>
      <c r="SLA65" s="0"/>
      <c r="SLB65" s="0"/>
      <c r="SLC65" s="0"/>
      <c r="SLD65" s="0"/>
      <c r="SLE65" s="0"/>
      <c r="SLF65" s="0"/>
      <c r="SLG65" s="0"/>
      <c r="SLH65" s="0"/>
      <c r="SLI65" s="0"/>
      <c r="SLJ65" s="0"/>
      <c r="SLK65" s="0"/>
      <c r="SLL65" s="0"/>
      <c r="SLM65" s="0"/>
      <c r="SLN65" s="0"/>
      <c r="SLO65" s="0"/>
      <c r="SLP65" s="0"/>
      <c r="SLQ65" s="0"/>
      <c r="SLR65" s="0"/>
      <c r="SLS65" s="0"/>
      <c r="SLT65" s="0"/>
      <c r="SLU65" s="0"/>
      <c r="SLV65" s="0"/>
      <c r="SLW65" s="0"/>
      <c r="SLX65" s="0"/>
      <c r="SLY65" s="0"/>
      <c r="SLZ65" s="0"/>
      <c r="SMA65" s="0"/>
      <c r="SMB65" s="0"/>
      <c r="SMC65" s="0"/>
      <c r="SMD65" s="0"/>
      <c r="SME65" s="0"/>
      <c r="SMF65" s="0"/>
      <c r="SMG65" s="0"/>
      <c r="SMH65" s="0"/>
      <c r="SMI65" s="0"/>
      <c r="SMJ65" s="0"/>
      <c r="SMK65" s="0"/>
      <c r="SML65" s="0"/>
      <c r="SMM65" s="0"/>
      <c r="SMN65" s="0"/>
      <c r="SMO65" s="0"/>
      <c r="SMP65" s="0"/>
      <c r="SMQ65" s="0"/>
      <c r="SMR65" s="0"/>
      <c r="SMS65" s="0"/>
      <c r="SMT65" s="0"/>
      <c r="SMU65" s="0"/>
      <c r="SMV65" s="0"/>
      <c r="SMW65" s="0"/>
      <c r="SMX65" s="0"/>
      <c r="SMY65" s="0"/>
      <c r="SMZ65" s="0"/>
      <c r="SNA65" s="0"/>
      <c r="SNB65" s="0"/>
      <c r="SNC65" s="0"/>
      <c r="SND65" s="0"/>
      <c r="SNE65" s="0"/>
      <c r="SNF65" s="0"/>
      <c r="SNG65" s="0"/>
      <c r="SNH65" s="0"/>
      <c r="SNI65" s="0"/>
      <c r="SNJ65" s="0"/>
      <c r="SNK65" s="0"/>
      <c r="SNL65" s="0"/>
      <c r="SNM65" s="0"/>
      <c r="SNN65" s="0"/>
      <c r="SNO65" s="0"/>
      <c r="SNP65" s="0"/>
      <c r="SNQ65" s="0"/>
      <c r="SNR65" s="0"/>
      <c r="SNS65" s="0"/>
      <c r="SNT65" s="0"/>
      <c r="SNU65" s="0"/>
      <c r="SNV65" s="0"/>
      <c r="SNW65" s="0"/>
      <c r="SNX65" s="0"/>
      <c r="SNY65" s="0"/>
      <c r="SNZ65" s="0"/>
      <c r="SOA65" s="0"/>
      <c r="SOB65" s="0"/>
      <c r="SOC65" s="0"/>
      <c r="SOD65" s="0"/>
      <c r="SOE65" s="0"/>
      <c r="SOF65" s="0"/>
      <c r="SOG65" s="0"/>
      <c r="SOH65" s="0"/>
      <c r="SOI65" s="0"/>
      <c r="SOJ65" s="0"/>
      <c r="SOK65" s="0"/>
      <c r="SOL65" s="0"/>
      <c r="SOM65" s="0"/>
      <c r="SON65" s="0"/>
      <c r="SOO65" s="0"/>
      <c r="SOP65" s="0"/>
      <c r="SOQ65" s="0"/>
      <c r="SOR65" s="0"/>
      <c r="SOS65" s="0"/>
      <c r="SOT65" s="0"/>
      <c r="SOU65" s="0"/>
      <c r="SOV65" s="0"/>
      <c r="SOW65" s="0"/>
      <c r="SOX65" s="0"/>
      <c r="SOY65" s="0"/>
      <c r="SOZ65" s="0"/>
      <c r="SPA65" s="0"/>
      <c r="SPB65" s="0"/>
      <c r="SPC65" s="0"/>
      <c r="SPD65" s="0"/>
      <c r="SPE65" s="0"/>
      <c r="SPF65" s="0"/>
      <c r="SPG65" s="0"/>
      <c r="SPH65" s="0"/>
      <c r="SPI65" s="0"/>
      <c r="SPJ65" s="0"/>
      <c r="SPK65" s="0"/>
      <c r="SPL65" s="0"/>
      <c r="SPM65" s="0"/>
      <c r="SPN65" s="0"/>
      <c r="SPO65" s="0"/>
      <c r="SPP65" s="0"/>
      <c r="SPQ65" s="0"/>
      <c r="SPR65" s="0"/>
      <c r="SPS65" s="0"/>
      <c r="SPT65" s="0"/>
      <c r="SPU65" s="0"/>
      <c r="SPV65" s="0"/>
      <c r="SPW65" s="0"/>
      <c r="SPX65" s="0"/>
      <c r="SPY65" s="0"/>
      <c r="SPZ65" s="0"/>
      <c r="SQA65" s="0"/>
      <c r="SQB65" s="0"/>
      <c r="SQC65" s="0"/>
      <c r="SQD65" s="0"/>
      <c r="SQE65" s="0"/>
      <c r="SQF65" s="0"/>
      <c r="SQG65" s="0"/>
      <c r="SQH65" s="0"/>
      <c r="SQI65" s="0"/>
      <c r="SQJ65" s="0"/>
      <c r="SQK65" s="0"/>
      <c r="SQL65" s="0"/>
      <c r="SQM65" s="0"/>
      <c r="SQN65" s="0"/>
      <c r="SQO65" s="0"/>
      <c r="SQP65" s="0"/>
      <c r="SQQ65" s="0"/>
      <c r="SQR65" s="0"/>
      <c r="SQS65" s="0"/>
      <c r="SQT65" s="0"/>
      <c r="SQU65" s="0"/>
      <c r="SQV65" s="0"/>
      <c r="SQW65" s="0"/>
      <c r="SQX65" s="0"/>
      <c r="SQY65" s="0"/>
      <c r="SQZ65" s="0"/>
      <c r="SRA65" s="0"/>
      <c r="SRB65" s="0"/>
      <c r="SRC65" s="0"/>
      <c r="SRD65" s="0"/>
      <c r="SRE65" s="0"/>
      <c r="SRF65" s="0"/>
      <c r="SRG65" s="0"/>
      <c r="SRH65" s="0"/>
      <c r="SRI65" s="0"/>
      <c r="SRJ65" s="0"/>
      <c r="SRK65" s="0"/>
      <c r="SRL65" s="0"/>
      <c r="SRM65" s="0"/>
      <c r="SRN65" s="0"/>
      <c r="SRO65" s="0"/>
      <c r="SRP65" s="0"/>
      <c r="SRQ65" s="0"/>
      <c r="SRR65" s="0"/>
      <c r="SRS65" s="0"/>
      <c r="SRT65" s="0"/>
      <c r="SRU65" s="0"/>
      <c r="SRV65" s="0"/>
      <c r="SRW65" s="0"/>
      <c r="SRX65" s="0"/>
      <c r="SRY65" s="0"/>
      <c r="SRZ65" s="0"/>
      <c r="SSA65" s="0"/>
      <c r="SSB65" s="0"/>
      <c r="SSC65" s="0"/>
      <c r="SSD65" s="0"/>
      <c r="SSE65" s="0"/>
      <c r="SSF65" s="0"/>
      <c r="SSG65" s="0"/>
      <c r="SSH65" s="0"/>
      <c r="SSI65" s="0"/>
      <c r="SSJ65" s="0"/>
      <c r="SSK65" s="0"/>
      <c r="SSL65" s="0"/>
      <c r="SSM65" s="0"/>
      <c r="SSN65" s="0"/>
      <c r="SSO65" s="0"/>
      <c r="SSP65" s="0"/>
      <c r="SSQ65" s="0"/>
      <c r="SSR65" s="0"/>
      <c r="SSS65" s="0"/>
      <c r="SST65" s="0"/>
      <c r="SSU65" s="0"/>
      <c r="SSV65" s="0"/>
      <c r="SSW65" s="0"/>
      <c r="SSX65" s="0"/>
      <c r="SSY65" s="0"/>
      <c r="SSZ65" s="0"/>
      <c r="STA65" s="0"/>
      <c r="STB65" s="0"/>
      <c r="STC65" s="0"/>
      <c r="STD65" s="0"/>
      <c r="STE65" s="0"/>
      <c r="STF65" s="0"/>
      <c r="STG65" s="0"/>
      <c r="STH65" s="0"/>
      <c r="STI65" s="0"/>
      <c r="STJ65" s="0"/>
      <c r="STK65" s="0"/>
      <c r="STL65" s="0"/>
      <c r="STM65" s="0"/>
      <c r="STN65" s="0"/>
      <c r="STO65" s="0"/>
      <c r="STP65" s="0"/>
      <c r="STQ65" s="0"/>
      <c r="STR65" s="0"/>
      <c r="STS65" s="0"/>
      <c r="STT65" s="0"/>
      <c r="STU65" s="0"/>
      <c r="STV65" s="0"/>
      <c r="STW65" s="0"/>
      <c r="STX65" s="0"/>
      <c r="STY65" s="0"/>
      <c r="STZ65" s="0"/>
      <c r="SUA65" s="0"/>
      <c r="SUB65" s="0"/>
      <c r="SUC65" s="0"/>
      <c r="SUD65" s="0"/>
      <c r="SUE65" s="0"/>
      <c r="SUF65" s="0"/>
      <c r="SUG65" s="0"/>
      <c r="SUH65" s="0"/>
      <c r="SUI65" s="0"/>
      <c r="SUJ65" s="0"/>
      <c r="SUK65" s="0"/>
      <c r="SUL65" s="0"/>
      <c r="SUM65" s="0"/>
      <c r="SUN65" s="0"/>
      <c r="SUO65" s="0"/>
      <c r="SUP65" s="0"/>
      <c r="SUQ65" s="0"/>
      <c r="SUR65" s="0"/>
      <c r="SUS65" s="0"/>
      <c r="SUT65" s="0"/>
      <c r="SUU65" s="0"/>
      <c r="SUV65" s="0"/>
      <c r="SUW65" s="0"/>
      <c r="SUX65" s="0"/>
      <c r="SUY65" s="0"/>
      <c r="SUZ65" s="0"/>
      <c r="SVA65" s="0"/>
      <c r="SVB65" s="0"/>
      <c r="SVC65" s="0"/>
      <c r="SVD65" s="0"/>
      <c r="SVE65" s="0"/>
      <c r="SVF65" s="0"/>
      <c r="SVG65" s="0"/>
      <c r="SVH65" s="0"/>
      <c r="SVI65" s="0"/>
      <c r="SVJ65" s="0"/>
      <c r="SVK65" s="0"/>
      <c r="SVL65" s="0"/>
      <c r="SVM65" s="0"/>
      <c r="SVN65" s="0"/>
      <c r="SVO65" s="0"/>
      <c r="SVP65" s="0"/>
      <c r="SVQ65" s="0"/>
      <c r="SVR65" s="0"/>
      <c r="SVS65" s="0"/>
      <c r="SVT65" s="0"/>
      <c r="SVU65" s="0"/>
      <c r="SVV65" s="0"/>
      <c r="SVW65" s="0"/>
      <c r="SVX65" s="0"/>
      <c r="SVY65" s="0"/>
      <c r="SVZ65" s="0"/>
      <c r="SWA65" s="0"/>
      <c r="SWB65" s="0"/>
      <c r="SWC65" s="0"/>
      <c r="SWD65" s="0"/>
      <c r="SWE65" s="0"/>
      <c r="SWF65" s="0"/>
      <c r="SWG65" s="0"/>
      <c r="SWH65" s="0"/>
      <c r="SWI65" s="0"/>
      <c r="SWJ65" s="0"/>
      <c r="SWK65" s="0"/>
      <c r="SWL65" s="0"/>
      <c r="SWM65" s="0"/>
      <c r="SWN65" s="0"/>
      <c r="SWO65" s="0"/>
      <c r="SWP65" s="0"/>
      <c r="SWQ65" s="0"/>
      <c r="SWR65" s="0"/>
      <c r="SWS65" s="0"/>
      <c r="SWT65" s="0"/>
      <c r="SWU65" s="0"/>
      <c r="SWV65" s="0"/>
      <c r="SWW65" s="0"/>
      <c r="SWX65" s="0"/>
      <c r="SWY65" s="0"/>
      <c r="SWZ65" s="0"/>
      <c r="SXA65" s="0"/>
      <c r="SXB65" s="0"/>
      <c r="SXC65" s="0"/>
      <c r="SXD65" s="0"/>
      <c r="SXE65" s="0"/>
      <c r="SXF65" s="0"/>
      <c r="SXG65" s="0"/>
      <c r="SXH65" s="0"/>
      <c r="SXI65" s="0"/>
      <c r="SXJ65" s="0"/>
      <c r="SXK65" s="0"/>
      <c r="SXL65" s="0"/>
      <c r="SXM65" s="0"/>
      <c r="SXN65" s="0"/>
      <c r="SXO65" s="0"/>
      <c r="SXP65" s="0"/>
      <c r="SXQ65" s="0"/>
      <c r="SXR65" s="0"/>
      <c r="SXS65" s="0"/>
      <c r="SXT65" s="0"/>
      <c r="SXU65" s="0"/>
      <c r="SXV65" s="0"/>
      <c r="SXW65" s="0"/>
      <c r="SXX65" s="0"/>
      <c r="SXY65" s="0"/>
      <c r="SXZ65" s="0"/>
      <c r="SYA65" s="0"/>
      <c r="SYB65" s="0"/>
      <c r="SYC65" s="0"/>
      <c r="SYD65" s="0"/>
      <c r="SYE65" s="0"/>
      <c r="SYF65" s="0"/>
      <c r="SYG65" s="0"/>
      <c r="SYH65" s="0"/>
      <c r="SYI65" s="0"/>
      <c r="SYJ65" s="0"/>
      <c r="SYK65" s="0"/>
      <c r="SYL65" s="0"/>
      <c r="SYM65" s="0"/>
      <c r="SYN65" s="0"/>
      <c r="SYO65" s="0"/>
      <c r="SYP65" s="0"/>
      <c r="SYQ65" s="0"/>
      <c r="SYR65" s="0"/>
      <c r="SYS65" s="0"/>
      <c r="SYT65" s="0"/>
      <c r="SYU65" s="0"/>
      <c r="SYV65" s="0"/>
      <c r="SYW65" s="0"/>
      <c r="SYX65" s="0"/>
      <c r="SYY65" s="0"/>
      <c r="SYZ65" s="0"/>
      <c r="SZA65" s="0"/>
      <c r="SZB65" s="0"/>
      <c r="SZC65" s="0"/>
      <c r="SZD65" s="0"/>
      <c r="SZE65" s="0"/>
      <c r="SZF65" s="0"/>
      <c r="SZG65" s="0"/>
      <c r="SZH65" s="0"/>
      <c r="SZI65" s="0"/>
      <c r="SZJ65" s="0"/>
      <c r="SZK65" s="0"/>
      <c r="SZL65" s="0"/>
      <c r="SZM65" s="0"/>
      <c r="SZN65" s="0"/>
      <c r="SZO65" s="0"/>
      <c r="SZP65" s="0"/>
      <c r="SZQ65" s="0"/>
      <c r="SZR65" s="0"/>
      <c r="SZS65" s="0"/>
      <c r="SZT65" s="0"/>
      <c r="SZU65" s="0"/>
      <c r="SZV65" s="0"/>
      <c r="SZW65" s="0"/>
      <c r="SZX65" s="0"/>
      <c r="SZY65" s="0"/>
      <c r="SZZ65" s="0"/>
      <c r="TAA65" s="0"/>
      <c r="TAB65" s="0"/>
      <c r="TAC65" s="0"/>
      <c r="TAD65" s="0"/>
      <c r="TAE65" s="0"/>
      <c r="TAF65" s="0"/>
      <c r="TAG65" s="0"/>
      <c r="TAH65" s="0"/>
      <c r="TAI65" s="0"/>
      <c r="TAJ65" s="0"/>
      <c r="TAK65" s="0"/>
      <c r="TAL65" s="0"/>
      <c r="TAM65" s="0"/>
      <c r="TAN65" s="0"/>
      <c r="TAO65" s="0"/>
      <c r="TAP65" s="0"/>
      <c r="TAQ65" s="0"/>
      <c r="TAR65" s="0"/>
      <c r="TAS65" s="0"/>
      <c r="TAT65" s="0"/>
      <c r="TAU65" s="0"/>
      <c r="TAV65" s="0"/>
      <c r="TAW65" s="0"/>
      <c r="TAX65" s="0"/>
      <c r="TAY65" s="0"/>
      <c r="TAZ65" s="0"/>
      <c r="TBA65" s="0"/>
      <c r="TBB65" s="0"/>
      <c r="TBC65" s="0"/>
      <c r="TBD65" s="0"/>
      <c r="TBE65" s="0"/>
      <c r="TBF65" s="0"/>
      <c r="TBG65" s="0"/>
      <c r="TBH65" s="0"/>
      <c r="TBI65" s="0"/>
      <c r="TBJ65" s="0"/>
      <c r="TBK65" s="0"/>
      <c r="TBL65" s="0"/>
      <c r="TBM65" s="0"/>
      <c r="TBN65" s="0"/>
      <c r="TBO65" s="0"/>
      <c r="TBP65" s="0"/>
      <c r="TBQ65" s="0"/>
      <c r="TBR65" s="0"/>
      <c r="TBS65" s="0"/>
      <c r="TBT65" s="0"/>
      <c r="TBU65" s="0"/>
      <c r="TBV65" s="0"/>
      <c r="TBW65" s="0"/>
      <c r="TBX65" s="0"/>
      <c r="TBY65" s="0"/>
      <c r="TBZ65" s="0"/>
      <c r="TCA65" s="0"/>
      <c r="TCB65" s="0"/>
      <c r="TCC65" s="0"/>
      <c r="TCD65" s="0"/>
      <c r="TCE65" s="0"/>
      <c r="TCF65" s="0"/>
      <c r="TCG65" s="0"/>
      <c r="TCH65" s="0"/>
      <c r="TCI65" s="0"/>
      <c r="TCJ65" s="0"/>
      <c r="TCK65" s="0"/>
      <c r="TCL65" s="0"/>
      <c r="TCM65" s="0"/>
      <c r="TCN65" s="0"/>
      <c r="TCO65" s="0"/>
      <c r="TCP65" s="0"/>
      <c r="TCQ65" s="0"/>
      <c r="TCR65" s="0"/>
      <c r="TCS65" s="0"/>
      <c r="TCT65" s="0"/>
      <c r="TCU65" s="0"/>
      <c r="TCV65" s="0"/>
      <c r="TCW65" s="0"/>
      <c r="TCX65" s="0"/>
      <c r="TCY65" s="0"/>
      <c r="TCZ65" s="0"/>
      <c r="TDA65" s="0"/>
      <c r="TDB65" s="0"/>
      <c r="TDC65" s="0"/>
      <c r="TDD65" s="0"/>
      <c r="TDE65" s="0"/>
      <c r="TDF65" s="0"/>
      <c r="TDG65" s="0"/>
      <c r="TDH65" s="0"/>
      <c r="TDI65" s="0"/>
      <c r="TDJ65" s="0"/>
      <c r="TDK65" s="0"/>
      <c r="TDL65" s="0"/>
      <c r="TDM65" s="0"/>
      <c r="TDN65" s="0"/>
      <c r="TDO65" s="0"/>
      <c r="TDP65" s="0"/>
      <c r="TDQ65" s="0"/>
      <c r="TDR65" s="0"/>
      <c r="TDS65" s="0"/>
      <c r="TDT65" s="0"/>
      <c r="TDU65" s="0"/>
      <c r="TDV65" s="0"/>
      <c r="TDW65" s="0"/>
      <c r="TDX65" s="0"/>
      <c r="TDY65" s="0"/>
      <c r="TDZ65" s="0"/>
      <c r="TEA65" s="0"/>
      <c r="TEB65" s="0"/>
      <c r="TEC65" s="0"/>
      <c r="TED65" s="0"/>
      <c r="TEE65" s="0"/>
      <c r="TEF65" s="0"/>
      <c r="TEG65" s="0"/>
      <c r="TEH65" s="0"/>
      <c r="TEI65" s="0"/>
      <c r="TEJ65" s="0"/>
      <c r="TEK65" s="0"/>
      <c r="TEL65" s="0"/>
      <c r="TEM65" s="0"/>
      <c r="TEN65" s="0"/>
      <c r="TEO65" s="0"/>
      <c r="TEP65" s="0"/>
      <c r="TEQ65" s="0"/>
      <c r="TER65" s="0"/>
      <c r="TES65" s="0"/>
      <c r="TET65" s="0"/>
      <c r="TEU65" s="0"/>
      <c r="TEV65" s="0"/>
      <c r="TEW65" s="0"/>
      <c r="TEX65" s="0"/>
      <c r="TEY65" s="0"/>
      <c r="TEZ65" s="0"/>
      <c r="TFA65" s="0"/>
      <c r="TFB65" s="0"/>
      <c r="TFC65" s="0"/>
      <c r="TFD65" s="0"/>
      <c r="TFE65" s="0"/>
      <c r="TFF65" s="0"/>
      <c r="TFG65" s="0"/>
      <c r="TFH65" s="0"/>
      <c r="TFI65" s="0"/>
      <c r="TFJ65" s="0"/>
      <c r="TFK65" s="0"/>
      <c r="TFL65" s="0"/>
      <c r="TFM65" s="0"/>
      <c r="TFN65" s="0"/>
      <c r="TFO65" s="0"/>
      <c r="TFP65" s="0"/>
      <c r="TFQ65" s="0"/>
      <c r="TFR65" s="0"/>
      <c r="TFS65" s="0"/>
      <c r="TFT65" s="0"/>
      <c r="TFU65" s="0"/>
      <c r="TFV65" s="0"/>
      <c r="TFW65" s="0"/>
      <c r="TFX65" s="0"/>
      <c r="TFY65" s="0"/>
      <c r="TFZ65" s="0"/>
      <c r="TGA65" s="0"/>
      <c r="TGB65" s="0"/>
      <c r="TGC65" s="0"/>
      <c r="TGD65" s="0"/>
      <c r="TGE65" s="0"/>
      <c r="TGF65" s="0"/>
      <c r="TGG65" s="0"/>
      <c r="TGH65" s="0"/>
      <c r="TGI65" s="0"/>
      <c r="TGJ65" s="0"/>
      <c r="TGK65" s="0"/>
      <c r="TGL65" s="0"/>
      <c r="TGM65" s="0"/>
      <c r="TGN65" s="0"/>
      <c r="TGO65" s="0"/>
      <c r="TGP65" s="0"/>
      <c r="TGQ65" s="0"/>
      <c r="TGR65" s="0"/>
      <c r="TGS65" s="0"/>
      <c r="TGT65" s="0"/>
      <c r="TGU65" s="0"/>
      <c r="TGV65" s="0"/>
      <c r="TGW65" s="0"/>
      <c r="TGX65" s="0"/>
      <c r="TGY65" s="0"/>
      <c r="TGZ65" s="0"/>
      <c r="THA65" s="0"/>
      <c r="THB65" s="0"/>
      <c r="THC65" s="0"/>
      <c r="THD65" s="0"/>
      <c r="THE65" s="0"/>
      <c r="THF65" s="0"/>
      <c r="THG65" s="0"/>
      <c r="THH65" s="0"/>
      <c r="THI65" s="0"/>
      <c r="THJ65" s="0"/>
      <c r="THK65" s="0"/>
      <c r="THL65" s="0"/>
      <c r="THM65" s="0"/>
      <c r="THN65" s="0"/>
      <c r="THO65" s="0"/>
      <c r="THP65" s="0"/>
      <c r="THQ65" s="0"/>
      <c r="THR65" s="0"/>
      <c r="THS65" s="0"/>
      <c r="THT65" s="0"/>
      <c r="THU65" s="0"/>
      <c r="THV65" s="0"/>
      <c r="THW65" s="0"/>
      <c r="THX65" s="0"/>
      <c r="THY65" s="0"/>
      <c r="THZ65" s="0"/>
      <c r="TIA65" s="0"/>
      <c r="TIB65" s="0"/>
      <c r="TIC65" s="0"/>
      <c r="TID65" s="0"/>
      <c r="TIE65" s="0"/>
      <c r="TIF65" s="0"/>
      <c r="TIG65" s="0"/>
      <c r="TIH65" s="0"/>
      <c r="TII65" s="0"/>
      <c r="TIJ65" s="0"/>
      <c r="TIK65" s="0"/>
      <c r="TIL65" s="0"/>
      <c r="TIM65" s="0"/>
      <c r="TIN65" s="0"/>
      <c r="TIO65" s="0"/>
      <c r="TIP65" s="0"/>
      <c r="TIQ65" s="0"/>
      <c r="TIR65" s="0"/>
      <c r="TIS65" s="0"/>
      <c r="TIT65" s="0"/>
      <c r="TIU65" s="0"/>
      <c r="TIV65" s="0"/>
      <c r="TIW65" s="0"/>
      <c r="TIX65" s="0"/>
      <c r="TIY65" s="0"/>
      <c r="TIZ65" s="0"/>
      <c r="TJA65" s="0"/>
      <c r="TJB65" s="0"/>
      <c r="TJC65" s="0"/>
      <c r="TJD65" s="0"/>
      <c r="TJE65" s="0"/>
      <c r="TJF65" s="0"/>
      <c r="TJG65" s="0"/>
      <c r="TJH65" s="0"/>
      <c r="TJI65" s="0"/>
      <c r="TJJ65" s="0"/>
      <c r="TJK65" s="0"/>
      <c r="TJL65" s="0"/>
      <c r="TJM65" s="0"/>
      <c r="TJN65" s="0"/>
      <c r="TJO65" s="0"/>
      <c r="TJP65" s="0"/>
      <c r="TJQ65" s="0"/>
      <c r="TJR65" s="0"/>
      <c r="TJS65" s="0"/>
      <c r="TJT65" s="0"/>
      <c r="TJU65" s="0"/>
      <c r="TJV65" s="0"/>
      <c r="TJW65" s="0"/>
      <c r="TJX65" s="0"/>
      <c r="TJY65" s="0"/>
      <c r="TJZ65" s="0"/>
      <c r="TKA65" s="0"/>
      <c r="TKB65" s="0"/>
      <c r="TKC65" s="0"/>
      <c r="TKD65" s="0"/>
      <c r="TKE65" s="0"/>
      <c r="TKF65" s="0"/>
      <c r="TKG65" s="0"/>
      <c r="TKH65" s="0"/>
      <c r="TKI65" s="0"/>
      <c r="TKJ65" s="0"/>
      <c r="TKK65" s="0"/>
      <c r="TKL65" s="0"/>
      <c r="TKM65" s="0"/>
      <c r="TKN65" s="0"/>
      <c r="TKO65" s="0"/>
      <c r="TKP65" s="0"/>
      <c r="TKQ65" s="0"/>
      <c r="TKR65" s="0"/>
      <c r="TKS65" s="0"/>
      <c r="TKT65" s="0"/>
      <c r="TKU65" s="0"/>
      <c r="TKV65" s="0"/>
      <c r="TKW65" s="0"/>
      <c r="TKX65" s="0"/>
      <c r="TKY65" s="0"/>
      <c r="TKZ65" s="0"/>
      <c r="TLA65" s="0"/>
      <c r="TLB65" s="0"/>
      <c r="TLC65" s="0"/>
      <c r="TLD65" s="0"/>
      <c r="TLE65" s="0"/>
      <c r="TLF65" s="0"/>
      <c r="TLG65" s="0"/>
      <c r="TLH65" s="0"/>
      <c r="TLI65" s="0"/>
      <c r="TLJ65" s="0"/>
      <c r="TLK65" s="0"/>
      <c r="TLL65" s="0"/>
      <c r="TLM65" s="0"/>
      <c r="TLN65" s="0"/>
      <c r="TLO65" s="0"/>
      <c r="TLP65" s="0"/>
      <c r="TLQ65" s="0"/>
      <c r="TLR65" s="0"/>
      <c r="TLS65" s="0"/>
      <c r="TLT65" s="0"/>
      <c r="TLU65" s="0"/>
      <c r="TLV65" s="0"/>
      <c r="TLW65" s="0"/>
      <c r="TLX65" s="0"/>
      <c r="TLY65" s="0"/>
      <c r="TLZ65" s="0"/>
      <c r="TMA65" s="0"/>
      <c r="TMB65" s="0"/>
      <c r="TMC65" s="0"/>
      <c r="TMD65" s="0"/>
      <c r="TME65" s="0"/>
      <c r="TMF65" s="0"/>
      <c r="TMG65" s="0"/>
      <c r="TMH65" s="0"/>
      <c r="TMI65" s="0"/>
      <c r="TMJ65" s="0"/>
      <c r="TMK65" s="0"/>
      <c r="TML65" s="0"/>
      <c r="TMM65" s="0"/>
      <c r="TMN65" s="0"/>
      <c r="TMO65" s="0"/>
      <c r="TMP65" s="0"/>
      <c r="TMQ65" s="0"/>
      <c r="TMR65" s="0"/>
      <c r="TMS65" s="0"/>
      <c r="TMT65" s="0"/>
      <c r="TMU65" s="0"/>
      <c r="TMV65" s="0"/>
      <c r="TMW65" s="0"/>
      <c r="TMX65" s="0"/>
      <c r="TMY65" s="0"/>
      <c r="TMZ65" s="0"/>
      <c r="TNA65" s="0"/>
      <c r="TNB65" s="0"/>
      <c r="TNC65" s="0"/>
      <c r="TND65" s="0"/>
      <c r="TNE65" s="0"/>
      <c r="TNF65" s="0"/>
      <c r="TNG65" s="0"/>
      <c r="TNH65" s="0"/>
      <c r="TNI65" s="0"/>
      <c r="TNJ65" s="0"/>
      <c r="TNK65" s="0"/>
      <c r="TNL65" s="0"/>
      <c r="TNM65" s="0"/>
      <c r="TNN65" s="0"/>
      <c r="TNO65" s="0"/>
      <c r="TNP65" s="0"/>
      <c r="TNQ65" s="0"/>
      <c r="TNR65" s="0"/>
      <c r="TNS65" s="0"/>
      <c r="TNT65" s="0"/>
      <c r="TNU65" s="0"/>
      <c r="TNV65" s="0"/>
      <c r="TNW65" s="0"/>
      <c r="TNX65" s="0"/>
      <c r="TNY65" s="0"/>
      <c r="TNZ65" s="0"/>
      <c r="TOA65" s="0"/>
      <c r="TOB65" s="0"/>
      <c r="TOC65" s="0"/>
      <c r="TOD65" s="0"/>
      <c r="TOE65" s="0"/>
      <c r="TOF65" s="0"/>
      <c r="TOG65" s="0"/>
      <c r="TOH65" s="0"/>
      <c r="TOI65" s="0"/>
      <c r="TOJ65" s="0"/>
      <c r="TOK65" s="0"/>
      <c r="TOL65" s="0"/>
      <c r="TOM65" s="0"/>
      <c r="TON65" s="0"/>
      <c r="TOO65" s="0"/>
      <c r="TOP65" s="0"/>
      <c r="TOQ65" s="0"/>
      <c r="TOR65" s="0"/>
      <c r="TOS65" s="0"/>
      <c r="TOT65" s="0"/>
      <c r="TOU65" s="0"/>
      <c r="TOV65" s="0"/>
      <c r="TOW65" s="0"/>
      <c r="TOX65" s="0"/>
      <c r="TOY65" s="0"/>
      <c r="TOZ65" s="0"/>
      <c r="TPA65" s="0"/>
      <c r="TPB65" s="0"/>
      <c r="TPC65" s="0"/>
      <c r="TPD65" s="0"/>
      <c r="TPE65" s="0"/>
      <c r="TPF65" s="0"/>
      <c r="TPG65" s="0"/>
      <c r="TPH65" s="0"/>
      <c r="TPI65" s="0"/>
      <c r="TPJ65" s="0"/>
      <c r="TPK65" s="0"/>
      <c r="TPL65" s="0"/>
      <c r="TPM65" s="0"/>
      <c r="TPN65" s="0"/>
      <c r="TPO65" s="0"/>
      <c r="TPP65" s="0"/>
      <c r="TPQ65" s="0"/>
      <c r="TPR65" s="0"/>
      <c r="TPS65" s="0"/>
      <c r="TPT65" s="0"/>
      <c r="TPU65" s="0"/>
      <c r="TPV65" s="0"/>
      <c r="TPW65" s="0"/>
      <c r="TPX65" s="0"/>
      <c r="TPY65" s="0"/>
      <c r="TPZ65" s="0"/>
      <c r="TQA65" s="0"/>
      <c r="TQB65" s="0"/>
      <c r="TQC65" s="0"/>
      <c r="TQD65" s="0"/>
      <c r="TQE65" s="0"/>
      <c r="TQF65" s="0"/>
      <c r="TQG65" s="0"/>
      <c r="TQH65" s="0"/>
      <c r="TQI65" s="0"/>
      <c r="TQJ65" s="0"/>
      <c r="TQK65" s="0"/>
      <c r="TQL65" s="0"/>
      <c r="TQM65" s="0"/>
      <c r="TQN65" s="0"/>
      <c r="TQO65" s="0"/>
      <c r="TQP65" s="0"/>
      <c r="TQQ65" s="0"/>
      <c r="TQR65" s="0"/>
      <c r="TQS65" s="0"/>
      <c r="TQT65" s="0"/>
      <c r="TQU65" s="0"/>
      <c r="TQV65" s="0"/>
      <c r="TQW65" s="0"/>
      <c r="TQX65" s="0"/>
      <c r="TQY65" s="0"/>
      <c r="TQZ65" s="0"/>
      <c r="TRA65" s="0"/>
      <c r="TRB65" s="0"/>
      <c r="TRC65" s="0"/>
      <c r="TRD65" s="0"/>
      <c r="TRE65" s="0"/>
      <c r="TRF65" s="0"/>
      <c r="TRG65" s="0"/>
      <c r="TRH65" s="0"/>
      <c r="TRI65" s="0"/>
      <c r="TRJ65" s="0"/>
      <c r="TRK65" s="0"/>
      <c r="TRL65" s="0"/>
      <c r="TRM65" s="0"/>
      <c r="TRN65" s="0"/>
      <c r="TRO65" s="0"/>
      <c r="TRP65" s="0"/>
      <c r="TRQ65" s="0"/>
      <c r="TRR65" s="0"/>
      <c r="TRS65" s="0"/>
      <c r="TRT65" s="0"/>
      <c r="TRU65" s="0"/>
      <c r="TRV65" s="0"/>
      <c r="TRW65" s="0"/>
      <c r="TRX65" s="0"/>
      <c r="TRY65" s="0"/>
      <c r="TRZ65" s="0"/>
      <c r="TSA65" s="0"/>
      <c r="TSB65" s="0"/>
      <c r="TSC65" s="0"/>
      <c r="TSD65" s="0"/>
      <c r="TSE65" s="0"/>
      <c r="TSF65" s="0"/>
      <c r="TSG65" s="0"/>
      <c r="TSH65" s="0"/>
      <c r="TSI65" s="0"/>
      <c r="TSJ65" s="0"/>
      <c r="TSK65" s="0"/>
      <c r="TSL65" s="0"/>
      <c r="TSM65" s="0"/>
      <c r="TSN65" s="0"/>
      <c r="TSO65" s="0"/>
      <c r="TSP65" s="0"/>
      <c r="TSQ65" s="0"/>
      <c r="TSR65" s="0"/>
      <c r="TSS65" s="0"/>
      <c r="TST65" s="0"/>
      <c r="TSU65" s="0"/>
      <c r="TSV65" s="0"/>
      <c r="TSW65" s="0"/>
      <c r="TSX65" s="0"/>
      <c r="TSY65" s="0"/>
      <c r="TSZ65" s="0"/>
      <c r="TTA65" s="0"/>
      <c r="TTB65" s="0"/>
      <c r="TTC65" s="0"/>
      <c r="TTD65" s="0"/>
      <c r="TTE65" s="0"/>
      <c r="TTF65" s="0"/>
      <c r="TTG65" s="0"/>
      <c r="TTH65" s="0"/>
      <c r="TTI65" s="0"/>
      <c r="TTJ65" s="0"/>
      <c r="TTK65" s="0"/>
      <c r="TTL65" s="0"/>
      <c r="TTM65" s="0"/>
      <c r="TTN65" s="0"/>
      <c r="TTO65" s="0"/>
      <c r="TTP65" s="0"/>
      <c r="TTQ65" s="0"/>
      <c r="TTR65" s="0"/>
      <c r="TTS65" s="0"/>
      <c r="TTT65" s="0"/>
      <c r="TTU65" s="0"/>
      <c r="TTV65" s="0"/>
      <c r="TTW65" s="0"/>
      <c r="TTX65" s="0"/>
      <c r="TTY65" s="0"/>
      <c r="TTZ65" s="0"/>
      <c r="TUA65" s="0"/>
      <c r="TUB65" s="0"/>
      <c r="TUC65" s="0"/>
      <c r="TUD65" s="0"/>
      <c r="TUE65" s="0"/>
      <c r="TUF65" s="0"/>
      <c r="TUG65" s="0"/>
      <c r="TUH65" s="0"/>
      <c r="TUI65" s="0"/>
      <c r="TUJ65" s="0"/>
      <c r="TUK65" s="0"/>
      <c r="TUL65" s="0"/>
      <c r="TUM65" s="0"/>
      <c r="TUN65" s="0"/>
      <c r="TUO65" s="0"/>
      <c r="TUP65" s="0"/>
      <c r="TUQ65" s="0"/>
      <c r="TUR65" s="0"/>
      <c r="TUS65" s="0"/>
      <c r="TUT65" s="0"/>
      <c r="TUU65" s="0"/>
      <c r="TUV65" s="0"/>
      <c r="TUW65" s="0"/>
      <c r="TUX65" s="0"/>
      <c r="TUY65" s="0"/>
      <c r="TUZ65" s="0"/>
      <c r="TVA65" s="0"/>
      <c r="TVB65" s="0"/>
      <c r="TVC65" s="0"/>
      <c r="TVD65" s="0"/>
      <c r="TVE65" s="0"/>
      <c r="TVF65" s="0"/>
      <c r="TVG65" s="0"/>
      <c r="TVH65" s="0"/>
      <c r="TVI65" s="0"/>
      <c r="TVJ65" s="0"/>
      <c r="TVK65" s="0"/>
      <c r="TVL65" s="0"/>
      <c r="TVM65" s="0"/>
      <c r="TVN65" s="0"/>
      <c r="TVO65" s="0"/>
      <c r="TVP65" s="0"/>
      <c r="TVQ65" s="0"/>
      <c r="TVR65" s="0"/>
      <c r="TVS65" s="0"/>
      <c r="TVT65" s="0"/>
      <c r="TVU65" s="0"/>
      <c r="TVV65" s="0"/>
      <c r="TVW65" s="0"/>
      <c r="TVX65" s="0"/>
      <c r="TVY65" s="0"/>
      <c r="TVZ65" s="0"/>
      <c r="TWA65" s="0"/>
      <c r="TWB65" s="0"/>
      <c r="TWC65" s="0"/>
      <c r="TWD65" s="0"/>
      <c r="TWE65" s="0"/>
      <c r="TWF65" s="0"/>
      <c r="TWG65" s="0"/>
      <c r="TWH65" s="0"/>
      <c r="TWI65" s="0"/>
      <c r="TWJ65" s="0"/>
      <c r="TWK65" s="0"/>
      <c r="TWL65" s="0"/>
      <c r="TWM65" s="0"/>
      <c r="TWN65" s="0"/>
      <c r="TWO65" s="0"/>
      <c r="TWP65" s="0"/>
      <c r="TWQ65" s="0"/>
      <c r="TWR65" s="0"/>
      <c r="TWS65" s="0"/>
      <c r="TWT65" s="0"/>
      <c r="TWU65" s="0"/>
      <c r="TWV65" s="0"/>
      <c r="TWW65" s="0"/>
      <c r="TWX65" s="0"/>
      <c r="TWY65" s="0"/>
      <c r="TWZ65" s="0"/>
      <c r="TXA65" s="0"/>
      <c r="TXB65" s="0"/>
      <c r="TXC65" s="0"/>
      <c r="TXD65" s="0"/>
      <c r="TXE65" s="0"/>
      <c r="TXF65" s="0"/>
      <c r="TXG65" s="0"/>
      <c r="TXH65" s="0"/>
      <c r="TXI65" s="0"/>
      <c r="TXJ65" s="0"/>
      <c r="TXK65" s="0"/>
      <c r="TXL65" s="0"/>
      <c r="TXM65" s="0"/>
      <c r="TXN65" s="0"/>
      <c r="TXO65" s="0"/>
      <c r="TXP65" s="0"/>
      <c r="TXQ65" s="0"/>
      <c r="TXR65" s="0"/>
      <c r="TXS65" s="0"/>
      <c r="TXT65" s="0"/>
      <c r="TXU65" s="0"/>
      <c r="TXV65" s="0"/>
      <c r="TXW65" s="0"/>
      <c r="TXX65" s="0"/>
      <c r="TXY65" s="0"/>
      <c r="TXZ65" s="0"/>
      <c r="TYA65" s="0"/>
      <c r="TYB65" s="0"/>
      <c r="TYC65" s="0"/>
      <c r="TYD65" s="0"/>
      <c r="TYE65" s="0"/>
      <c r="TYF65" s="0"/>
      <c r="TYG65" s="0"/>
      <c r="TYH65" s="0"/>
      <c r="TYI65" s="0"/>
      <c r="TYJ65" s="0"/>
      <c r="TYK65" s="0"/>
      <c r="TYL65" s="0"/>
      <c r="TYM65" s="0"/>
      <c r="TYN65" s="0"/>
      <c r="TYO65" s="0"/>
      <c r="TYP65" s="0"/>
      <c r="TYQ65" s="0"/>
      <c r="TYR65" s="0"/>
      <c r="TYS65" s="0"/>
      <c r="TYT65" s="0"/>
      <c r="TYU65" s="0"/>
      <c r="TYV65" s="0"/>
      <c r="TYW65" s="0"/>
      <c r="TYX65" s="0"/>
      <c r="TYY65" s="0"/>
      <c r="TYZ65" s="0"/>
      <c r="TZA65" s="0"/>
      <c r="TZB65" s="0"/>
      <c r="TZC65" s="0"/>
      <c r="TZD65" s="0"/>
      <c r="TZE65" s="0"/>
      <c r="TZF65" s="0"/>
      <c r="TZG65" s="0"/>
      <c r="TZH65" s="0"/>
      <c r="TZI65" s="0"/>
      <c r="TZJ65" s="0"/>
      <c r="TZK65" s="0"/>
      <c r="TZL65" s="0"/>
      <c r="TZM65" s="0"/>
      <c r="TZN65" s="0"/>
      <c r="TZO65" s="0"/>
      <c r="TZP65" s="0"/>
      <c r="TZQ65" s="0"/>
      <c r="TZR65" s="0"/>
      <c r="TZS65" s="0"/>
      <c r="TZT65" s="0"/>
      <c r="TZU65" s="0"/>
      <c r="TZV65" s="0"/>
      <c r="TZW65" s="0"/>
      <c r="TZX65" s="0"/>
      <c r="TZY65" s="0"/>
      <c r="TZZ65" s="0"/>
      <c r="UAA65" s="0"/>
      <c r="UAB65" s="0"/>
      <c r="UAC65" s="0"/>
      <c r="UAD65" s="0"/>
      <c r="UAE65" s="0"/>
      <c r="UAF65" s="0"/>
      <c r="UAG65" s="0"/>
      <c r="UAH65" s="0"/>
      <c r="UAI65" s="0"/>
      <c r="UAJ65" s="0"/>
      <c r="UAK65" s="0"/>
      <c r="UAL65" s="0"/>
      <c r="UAM65" s="0"/>
      <c r="UAN65" s="0"/>
      <c r="UAO65" s="0"/>
      <c r="UAP65" s="0"/>
      <c r="UAQ65" s="0"/>
      <c r="UAR65" s="0"/>
      <c r="UAS65" s="0"/>
      <c r="UAT65" s="0"/>
      <c r="UAU65" s="0"/>
      <c r="UAV65" s="0"/>
      <c r="UAW65" s="0"/>
      <c r="UAX65" s="0"/>
      <c r="UAY65" s="0"/>
      <c r="UAZ65" s="0"/>
      <c r="UBA65" s="0"/>
      <c r="UBB65" s="0"/>
      <c r="UBC65" s="0"/>
      <c r="UBD65" s="0"/>
      <c r="UBE65" s="0"/>
      <c r="UBF65" s="0"/>
      <c r="UBG65" s="0"/>
      <c r="UBH65" s="0"/>
      <c r="UBI65" s="0"/>
      <c r="UBJ65" s="0"/>
      <c r="UBK65" s="0"/>
      <c r="UBL65" s="0"/>
      <c r="UBM65" s="0"/>
      <c r="UBN65" s="0"/>
      <c r="UBO65" s="0"/>
      <c r="UBP65" s="0"/>
      <c r="UBQ65" s="0"/>
      <c r="UBR65" s="0"/>
      <c r="UBS65" s="0"/>
      <c r="UBT65" s="0"/>
      <c r="UBU65" s="0"/>
      <c r="UBV65" s="0"/>
      <c r="UBW65" s="0"/>
      <c r="UBX65" s="0"/>
      <c r="UBY65" s="0"/>
      <c r="UBZ65" s="0"/>
      <c r="UCA65" s="0"/>
      <c r="UCB65" s="0"/>
      <c r="UCC65" s="0"/>
      <c r="UCD65" s="0"/>
      <c r="UCE65" s="0"/>
      <c r="UCF65" s="0"/>
      <c r="UCG65" s="0"/>
      <c r="UCH65" s="0"/>
      <c r="UCI65" s="0"/>
      <c r="UCJ65" s="0"/>
      <c r="UCK65" s="0"/>
      <c r="UCL65" s="0"/>
      <c r="UCM65" s="0"/>
      <c r="UCN65" s="0"/>
      <c r="UCO65" s="0"/>
      <c r="UCP65" s="0"/>
      <c r="UCQ65" s="0"/>
      <c r="UCR65" s="0"/>
      <c r="UCS65" s="0"/>
      <c r="UCT65" s="0"/>
      <c r="UCU65" s="0"/>
      <c r="UCV65" s="0"/>
      <c r="UCW65" s="0"/>
      <c r="UCX65" s="0"/>
      <c r="UCY65" s="0"/>
      <c r="UCZ65" s="0"/>
      <c r="UDA65" s="0"/>
      <c r="UDB65" s="0"/>
      <c r="UDC65" s="0"/>
      <c r="UDD65" s="0"/>
      <c r="UDE65" s="0"/>
      <c r="UDF65" s="0"/>
      <c r="UDG65" s="0"/>
      <c r="UDH65" s="0"/>
      <c r="UDI65" s="0"/>
      <c r="UDJ65" s="0"/>
      <c r="UDK65" s="0"/>
      <c r="UDL65" s="0"/>
      <c r="UDM65" s="0"/>
      <c r="UDN65" s="0"/>
      <c r="UDO65" s="0"/>
      <c r="UDP65" s="0"/>
      <c r="UDQ65" s="0"/>
      <c r="UDR65" s="0"/>
      <c r="UDS65" s="0"/>
      <c r="UDT65" s="0"/>
      <c r="UDU65" s="0"/>
      <c r="UDV65" s="0"/>
      <c r="UDW65" s="0"/>
      <c r="UDX65" s="0"/>
      <c r="UDY65" s="0"/>
      <c r="UDZ65" s="0"/>
      <c r="UEA65" s="0"/>
      <c r="UEB65" s="0"/>
      <c r="UEC65" s="0"/>
      <c r="UED65" s="0"/>
      <c r="UEE65" s="0"/>
      <c r="UEF65" s="0"/>
      <c r="UEG65" s="0"/>
      <c r="UEH65" s="0"/>
      <c r="UEI65" s="0"/>
      <c r="UEJ65" s="0"/>
      <c r="UEK65" s="0"/>
      <c r="UEL65" s="0"/>
      <c r="UEM65" s="0"/>
      <c r="UEN65" s="0"/>
      <c r="UEO65" s="0"/>
      <c r="UEP65" s="0"/>
      <c r="UEQ65" s="0"/>
      <c r="UER65" s="0"/>
      <c r="UES65" s="0"/>
      <c r="UET65" s="0"/>
      <c r="UEU65" s="0"/>
      <c r="UEV65" s="0"/>
      <c r="UEW65" s="0"/>
      <c r="UEX65" s="0"/>
      <c r="UEY65" s="0"/>
      <c r="UEZ65" s="0"/>
      <c r="UFA65" s="0"/>
      <c r="UFB65" s="0"/>
      <c r="UFC65" s="0"/>
      <c r="UFD65" s="0"/>
      <c r="UFE65" s="0"/>
      <c r="UFF65" s="0"/>
      <c r="UFG65" s="0"/>
      <c r="UFH65" s="0"/>
      <c r="UFI65" s="0"/>
      <c r="UFJ65" s="0"/>
      <c r="UFK65" s="0"/>
      <c r="UFL65" s="0"/>
      <c r="UFM65" s="0"/>
      <c r="UFN65" s="0"/>
      <c r="UFO65" s="0"/>
      <c r="UFP65" s="0"/>
      <c r="UFQ65" s="0"/>
      <c r="UFR65" s="0"/>
      <c r="UFS65" s="0"/>
      <c r="UFT65" s="0"/>
      <c r="UFU65" s="0"/>
      <c r="UFV65" s="0"/>
      <c r="UFW65" s="0"/>
      <c r="UFX65" s="0"/>
      <c r="UFY65" s="0"/>
      <c r="UFZ65" s="0"/>
      <c r="UGA65" s="0"/>
      <c r="UGB65" s="0"/>
      <c r="UGC65" s="0"/>
      <c r="UGD65" s="0"/>
      <c r="UGE65" s="0"/>
      <c r="UGF65" s="0"/>
      <c r="UGG65" s="0"/>
      <c r="UGH65" s="0"/>
      <c r="UGI65" s="0"/>
      <c r="UGJ65" s="0"/>
      <c r="UGK65" s="0"/>
      <c r="UGL65" s="0"/>
      <c r="UGM65" s="0"/>
      <c r="UGN65" s="0"/>
      <c r="UGO65" s="0"/>
      <c r="UGP65" s="0"/>
      <c r="UGQ65" s="0"/>
      <c r="UGR65" s="0"/>
      <c r="UGS65" s="0"/>
      <c r="UGT65" s="0"/>
      <c r="UGU65" s="0"/>
      <c r="UGV65" s="0"/>
      <c r="UGW65" s="0"/>
      <c r="UGX65" s="0"/>
      <c r="UGY65" s="0"/>
      <c r="UGZ65" s="0"/>
      <c r="UHA65" s="0"/>
      <c r="UHB65" s="0"/>
      <c r="UHC65" s="0"/>
      <c r="UHD65" s="0"/>
      <c r="UHE65" s="0"/>
      <c r="UHF65" s="0"/>
      <c r="UHG65" s="0"/>
      <c r="UHH65" s="0"/>
      <c r="UHI65" s="0"/>
      <c r="UHJ65" s="0"/>
      <c r="UHK65" s="0"/>
      <c r="UHL65" s="0"/>
      <c r="UHM65" s="0"/>
      <c r="UHN65" s="0"/>
      <c r="UHO65" s="0"/>
      <c r="UHP65" s="0"/>
      <c r="UHQ65" s="0"/>
      <c r="UHR65" s="0"/>
      <c r="UHS65" s="0"/>
      <c r="UHT65" s="0"/>
      <c r="UHU65" s="0"/>
      <c r="UHV65" s="0"/>
      <c r="UHW65" s="0"/>
      <c r="UHX65" s="0"/>
      <c r="UHY65" s="0"/>
      <c r="UHZ65" s="0"/>
      <c r="UIA65" s="0"/>
      <c r="UIB65" s="0"/>
      <c r="UIC65" s="0"/>
      <c r="UID65" s="0"/>
      <c r="UIE65" s="0"/>
      <c r="UIF65" s="0"/>
      <c r="UIG65" s="0"/>
      <c r="UIH65" s="0"/>
      <c r="UII65" s="0"/>
      <c r="UIJ65" s="0"/>
      <c r="UIK65" s="0"/>
      <c r="UIL65" s="0"/>
      <c r="UIM65" s="0"/>
      <c r="UIN65" s="0"/>
      <c r="UIO65" s="0"/>
      <c r="UIP65" s="0"/>
      <c r="UIQ65" s="0"/>
      <c r="UIR65" s="0"/>
      <c r="UIS65" s="0"/>
      <c r="UIT65" s="0"/>
      <c r="UIU65" s="0"/>
      <c r="UIV65" s="0"/>
      <c r="UIW65" s="0"/>
      <c r="UIX65" s="0"/>
      <c r="UIY65" s="0"/>
      <c r="UIZ65" s="0"/>
      <c r="UJA65" s="0"/>
      <c r="UJB65" s="0"/>
      <c r="UJC65" s="0"/>
      <c r="UJD65" s="0"/>
      <c r="UJE65" s="0"/>
      <c r="UJF65" s="0"/>
      <c r="UJG65" s="0"/>
      <c r="UJH65" s="0"/>
      <c r="UJI65" s="0"/>
      <c r="UJJ65" s="0"/>
      <c r="UJK65" s="0"/>
      <c r="UJL65" s="0"/>
      <c r="UJM65" s="0"/>
      <c r="UJN65" s="0"/>
      <c r="UJO65" s="0"/>
      <c r="UJP65" s="0"/>
      <c r="UJQ65" s="0"/>
      <c r="UJR65" s="0"/>
      <c r="UJS65" s="0"/>
      <c r="UJT65" s="0"/>
      <c r="UJU65" s="0"/>
      <c r="UJV65" s="0"/>
      <c r="UJW65" s="0"/>
      <c r="UJX65" s="0"/>
      <c r="UJY65" s="0"/>
      <c r="UJZ65" s="0"/>
      <c r="UKA65" s="0"/>
      <c r="UKB65" s="0"/>
      <c r="UKC65" s="0"/>
      <c r="UKD65" s="0"/>
      <c r="UKE65" s="0"/>
      <c r="UKF65" s="0"/>
      <c r="UKG65" s="0"/>
      <c r="UKH65" s="0"/>
      <c r="UKI65" s="0"/>
      <c r="UKJ65" s="0"/>
      <c r="UKK65" s="0"/>
      <c r="UKL65" s="0"/>
      <c r="UKM65" s="0"/>
      <c r="UKN65" s="0"/>
      <c r="UKO65" s="0"/>
      <c r="UKP65" s="0"/>
      <c r="UKQ65" s="0"/>
      <c r="UKR65" s="0"/>
      <c r="UKS65" s="0"/>
      <c r="UKT65" s="0"/>
      <c r="UKU65" s="0"/>
      <c r="UKV65" s="0"/>
      <c r="UKW65" s="0"/>
      <c r="UKX65" s="0"/>
      <c r="UKY65" s="0"/>
      <c r="UKZ65" s="0"/>
      <c r="ULA65" s="0"/>
      <c r="ULB65" s="0"/>
      <c r="ULC65" s="0"/>
      <c r="ULD65" s="0"/>
      <c r="ULE65" s="0"/>
      <c r="ULF65" s="0"/>
      <c r="ULG65" s="0"/>
      <c r="ULH65" s="0"/>
      <c r="ULI65" s="0"/>
      <c r="ULJ65" s="0"/>
      <c r="ULK65" s="0"/>
      <c r="ULL65" s="0"/>
      <c r="ULM65" s="0"/>
      <c r="ULN65" s="0"/>
      <c r="ULO65" s="0"/>
      <c r="ULP65" s="0"/>
      <c r="ULQ65" s="0"/>
      <c r="ULR65" s="0"/>
      <c r="ULS65" s="0"/>
      <c r="ULT65" s="0"/>
      <c r="ULU65" s="0"/>
      <c r="ULV65" s="0"/>
      <c r="ULW65" s="0"/>
      <c r="ULX65" s="0"/>
      <c r="ULY65" s="0"/>
      <c r="ULZ65" s="0"/>
      <c r="UMA65" s="0"/>
      <c r="UMB65" s="0"/>
      <c r="UMC65" s="0"/>
      <c r="UMD65" s="0"/>
      <c r="UME65" s="0"/>
      <c r="UMF65" s="0"/>
      <c r="UMG65" s="0"/>
      <c r="UMH65" s="0"/>
      <c r="UMI65" s="0"/>
      <c r="UMJ65" s="0"/>
      <c r="UMK65" s="0"/>
      <c r="UML65" s="0"/>
      <c r="UMM65" s="0"/>
      <c r="UMN65" s="0"/>
      <c r="UMO65" s="0"/>
      <c r="UMP65" s="0"/>
      <c r="UMQ65" s="0"/>
      <c r="UMR65" s="0"/>
      <c r="UMS65" s="0"/>
      <c r="UMT65" s="0"/>
      <c r="UMU65" s="0"/>
      <c r="UMV65" s="0"/>
      <c r="UMW65" s="0"/>
      <c r="UMX65" s="0"/>
      <c r="UMY65" s="0"/>
      <c r="UMZ65" s="0"/>
      <c r="UNA65" s="0"/>
      <c r="UNB65" s="0"/>
      <c r="UNC65" s="0"/>
      <c r="UND65" s="0"/>
      <c r="UNE65" s="0"/>
      <c r="UNF65" s="0"/>
      <c r="UNG65" s="0"/>
      <c r="UNH65" s="0"/>
      <c r="UNI65" s="0"/>
      <c r="UNJ65" s="0"/>
      <c r="UNK65" s="0"/>
      <c r="UNL65" s="0"/>
      <c r="UNM65" s="0"/>
      <c r="UNN65" s="0"/>
      <c r="UNO65" s="0"/>
      <c r="UNP65" s="0"/>
      <c r="UNQ65" s="0"/>
      <c r="UNR65" s="0"/>
      <c r="UNS65" s="0"/>
      <c r="UNT65" s="0"/>
      <c r="UNU65" s="0"/>
      <c r="UNV65" s="0"/>
      <c r="UNW65" s="0"/>
      <c r="UNX65" s="0"/>
      <c r="UNY65" s="0"/>
      <c r="UNZ65" s="0"/>
      <c r="UOA65" s="0"/>
      <c r="UOB65" s="0"/>
      <c r="UOC65" s="0"/>
      <c r="UOD65" s="0"/>
      <c r="UOE65" s="0"/>
      <c r="UOF65" s="0"/>
      <c r="UOG65" s="0"/>
      <c r="UOH65" s="0"/>
      <c r="UOI65" s="0"/>
      <c r="UOJ65" s="0"/>
      <c r="UOK65" s="0"/>
      <c r="UOL65" s="0"/>
      <c r="UOM65" s="0"/>
      <c r="UON65" s="0"/>
      <c r="UOO65" s="0"/>
      <c r="UOP65" s="0"/>
      <c r="UOQ65" s="0"/>
      <c r="UOR65" s="0"/>
      <c r="UOS65" s="0"/>
      <c r="UOT65" s="0"/>
      <c r="UOU65" s="0"/>
      <c r="UOV65" s="0"/>
      <c r="UOW65" s="0"/>
      <c r="UOX65" s="0"/>
      <c r="UOY65" s="0"/>
      <c r="UOZ65" s="0"/>
      <c r="UPA65" s="0"/>
      <c r="UPB65" s="0"/>
      <c r="UPC65" s="0"/>
      <c r="UPD65" s="0"/>
      <c r="UPE65" s="0"/>
      <c r="UPF65" s="0"/>
      <c r="UPG65" s="0"/>
      <c r="UPH65" s="0"/>
      <c r="UPI65" s="0"/>
      <c r="UPJ65" s="0"/>
      <c r="UPK65" s="0"/>
      <c r="UPL65" s="0"/>
      <c r="UPM65" s="0"/>
      <c r="UPN65" s="0"/>
      <c r="UPO65" s="0"/>
      <c r="UPP65" s="0"/>
      <c r="UPQ65" s="0"/>
      <c r="UPR65" s="0"/>
      <c r="UPS65" s="0"/>
      <c r="UPT65" s="0"/>
      <c r="UPU65" s="0"/>
      <c r="UPV65" s="0"/>
      <c r="UPW65" s="0"/>
      <c r="UPX65" s="0"/>
      <c r="UPY65" s="0"/>
      <c r="UPZ65" s="0"/>
      <c r="UQA65" s="0"/>
      <c r="UQB65" s="0"/>
      <c r="UQC65" s="0"/>
      <c r="UQD65" s="0"/>
      <c r="UQE65" s="0"/>
      <c r="UQF65" s="0"/>
      <c r="UQG65" s="0"/>
      <c r="UQH65" s="0"/>
      <c r="UQI65" s="0"/>
      <c r="UQJ65" s="0"/>
      <c r="UQK65" s="0"/>
      <c r="UQL65" s="0"/>
      <c r="UQM65" s="0"/>
      <c r="UQN65" s="0"/>
      <c r="UQO65" s="0"/>
      <c r="UQP65" s="0"/>
      <c r="UQQ65" s="0"/>
      <c r="UQR65" s="0"/>
      <c r="UQS65" s="0"/>
      <c r="UQT65" s="0"/>
      <c r="UQU65" s="0"/>
      <c r="UQV65" s="0"/>
      <c r="UQW65" s="0"/>
      <c r="UQX65" s="0"/>
      <c r="UQY65" s="0"/>
      <c r="UQZ65" s="0"/>
      <c r="URA65" s="0"/>
      <c r="URB65" s="0"/>
      <c r="URC65" s="0"/>
      <c r="URD65" s="0"/>
      <c r="URE65" s="0"/>
      <c r="URF65" s="0"/>
      <c r="URG65" s="0"/>
      <c r="URH65" s="0"/>
      <c r="URI65" s="0"/>
      <c r="URJ65" s="0"/>
      <c r="URK65" s="0"/>
      <c r="URL65" s="0"/>
      <c r="URM65" s="0"/>
      <c r="URN65" s="0"/>
      <c r="URO65" s="0"/>
      <c r="URP65" s="0"/>
      <c r="URQ65" s="0"/>
      <c r="URR65" s="0"/>
      <c r="URS65" s="0"/>
      <c r="URT65" s="0"/>
      <c r="URU65" s="0"/>
      <c r="URV65" s="0"/>
      <c r="URW65" s="0"/>
      <c r="URX65" s="0"/>
      <c r="URY65" s="0"/>
      <c r="URZ65" s="0"/>
      <c r="USA65" s="0"/>
      <c r="USB65" s="0"/>
      <c r="USC65" s="0"/>
      <c r="USD65" s="0"/>
      <c r="USE65" s="0"/>
      <c r="USF65" s="0"/>
      <c r="USG65" s="0"/>
      <c r="USH65" s="0"/>
      <c r="USI65" s="0"/>
      <c r="USJ65" s="0"/>
      <c r="USK65" s="0"/>
      <c r="USL65" s="0"/>
      <c r="USM65" s="0"/>
      <c r="USN65" s="0"/>
      <c r="USO65" s="0"/>
      <c r="USP65" s="0"/>
      <c r="USQ65" s="0"/>
      <c r="USR65" s="0"/>
      <c r="USS65" s="0"/>
      <c r="UST65" s="0"/>
      <c r="USU65" s="0"/>
      <c r="USV65" s="0"/>
      <c r="USW65" s="0"/>
      <c r="USX65" s="0"/>
      <c r="USY65" s="0"/>
      <c r="USZ65" s="0"/>
      <c r="UTA65" s="0"/>
      <c r="UTB65" s="0"/>
      <c r="UTC65" s="0"/>
      <c r="UTD65" s="0"/>
      <c r="UTE65" s="0"/>
      <c r="UTF65" s="0"/>
      <c r="UTG65" s="0"/>
      <c r="UTH65" s="0"/>
      <c r="UTI65" s="0"/>
      <c r="UTJ65" s="0"/>
      <c r="UTK65" s="0"/>
      <c r="UTL65" s="0"/>
      <c r="UTM65" s="0"/>
      <c r="UTN65" s="0"/>
      <c r="UTO65" s="0"/>
      <c r="UTP65" s="0"/>
      <c r="UTQ65" s="0"/>
      <c r="UTR65" s="0"/>
      <c r="UTS65" s="0"/>
      <c r="UTT65" s="0"/>
      <c r="UTU65" s="0"/>
      <c r="UTV65" s="0"/>
      <c r="UTW65" s="0"/>
      <c r="UTX65" s="0"/>
      <c r="UTY65" s="0"/>
      <c r="UTZ65" s="0"/>
      <c r="UUA65" s="0"/>
      <c r="UUB65" s="0"/>
      <c r="UUC65" s="0"/>
      <c r="UUD65" s="0"/>
      <c r="UUE65" s="0"/>
      <c r="UUF65" s="0"/>
      <c r="UUG65" s="0"/>
      <c r="UUH65" s="0"/>
      <c r="UUI65" s="0"/>
      <c r="UUJ65" s="0"/>
      <c r="UUK65" s="0"/>
      <c r="UUL65" s="0"/>
      <c r="UUM65" s="0"/>
      <c r="UUN65" s="0"/>
      <c r="UUO65" s="0"/>
      <c r="UUP65" s="0"/>
      <c r="UUQ65" s="0"/>
      <c r="UUR65" s="0"/>
      <c r="UUS65" s="0"/>
      <c r="UUT65" s="0"/>
      <c r="UUU65" s="0"/>
      <c r="UUV65" s="0"/>
      <c r="UUW65" s="0"/>
      <c r="UUX65" s="0"/>
      <c r="UUY65" s="0"/>
      <c r="UUZ65" s="0"/>
      <c r="UVA65" s="0"/>
      <c r="UVB65" s="0"/>
      <c r="UVC65" s="0"/>
      <c r="UVD65" s="0"/>
      <c r="UVE65" s="0"/>
      <c r="UVF65" s="0"/>
      <c r="UVG65" s="0"/>
      <c r="UVH65" s="0"/>
      <c r="UVI65" s="0"/>
      <c r="UVJ65" s="0"/>
      <c r="UVK65" s="0"/>
      <c r="UVL65" s="0"/>
      <c r="UVM65" s="0"/>
      <c r="UVN65" s="0"/>
      <c r="UVO65" s="0"/>
      <c r="UVP65" s="0"/>
      <c r="UVQ65" s="0"/>
      <c r="UVR65" s="0"/>
      <c r="UVS65" s="0"/>
      <c r="UVT65" s="0"/>
      <c r="UVU65" s="0"/>
      <c r="UVV65" s="0"/>
      <c r="UVW65" s="0"/>
      <c r="UVX65" s="0"/>
      <c r="UVY65" s="0"/>
      <c r="UVZ65" s="0"/>
      <c r="UWA65" s="0"/>
      <c r="UWB65" s="0"/>
      <c r="UWC65" s="0"/>
      <c r="UWD65" s="0"/>
      <c r="UWE65" s="0"/>
      <c r="UWF65" s="0"/>
      <c r="UWG65" s="0"/>
      <c r="UWH65" s="0"/>
      <c r="UWI65" s="0"/>
      <c r="UWJ65" s="0"/>
      <c r="UWK65" s="0"/>
      <c r="UWL65" s="0"/>
      <c r="UWM65" s="0"/>
      <c r="UWN65" s="0"/>
      <c r="UWO65" s="0"/>
      <c r="UWP65" s="0"/>
      <c r="UWQ65" s="0"/>
      <c r="UWR65" s="0"/>
      <c r="UWS65" s="0"/>
      <c r="UWT65" s="0"/>
      <c r="UWU65" s="0"/>
      <c r="UWV65" s="0"/>
      <c r="UWW65" s="0"/>
      <c r="UWX65" s="0"/>
      <c r="UWY65" s="0"/>
      <c r="UWZ65" s="0"/>
      <c r="UXA65" s="0"/>
      <c r="UXB65" s="0"/>
      <c r="UXC65" s="0"/>
      <c r="UXD65" s="0"/>
      <c r="UXE65" s="0"/>
      <c r="UXF65" s="0"/>
      <c r="UXG65" s="0"/>
      <c r="UXH65" s="0"/>
      <c r="UXI65" s="0"/>
      <c r="UXJ65" s="0"/>
      <c r="UXK65" s="0"/>
      <c r="UXL65" s="0"/>
      <c r="UXM65" s="0"/>
      <c r="UXN65" s="0"/>
      <c r="UXO65" s="0"/>
      <c r="UXP65" s="0"/>
      <c r="UXQ65" s="0"/>
      <c r="UXR65" s="0"/>
      <c r="UXS65" s="0"/>
      <c r="UXT65" s="0"/>
      <c r="UXU65" s="0"/>
      <c r="UXV65" s="0"/>
      <c r="UXW65" s="0"/>
      <c r="UXX65" s="0"/>
      <c r="UXY65" s="0"/>
      <c r="UXZ65" s="0"/>
      <c r="UYA65" s="0"/>
      <c r="UYB65" s="0"/>
      <c r="UYC65" s="0"/>
      <c r="UYD65" s="0"/>
      <c r="UYE65" s="0"/>
      <c r="UYF65" s="0"/>
      <c r="UYG65" s="0"/>
      <c r="UYH65" s="0"/>
      <c r="UYI65" s="0"/>
      <c r="UYJ65" s="0"/>
      <c r="UYK65" s="0"/>
      <c r="UYL65" s="0"/>
      <c r="UYM65" s="0"/>
      <c r="UYN65" s="0"/>
      <c r="UYO65" s="0"/>
      <c r="UYP65" s="0"/>
      <c r="UYQ65" s="0"/>
      <c r="UYR65" s="0"/>
      <c r="UYS65" s="0"/>
      <c r="UYT65" s="0"/>
      <c r="UYU65" s="0"/>
      <c r="UYV65" s="0"/>
      <c r="UYW65" s="0"/>
      <c r="UYX65" s="0"/>
      <c r="UYY65" s="0"/>
      <c r="UYZ65" s="0"/>
      <c r="UZA65" s="0"/>
      <c r="UZB65" s="0"/>
      <c r="UZC65" s="0"/>
      <c r="UZD65" s="0"/>
      <c r="UZE65" s="0"/>
      <c r="UZF65" s="0"/>
      <c r="UZG65" s="0"/>
      <c r="UZH65" s="0"/>
      <c r="UZI65" s="0"/>
      <c r="UZJ65" s="0"/>
      <c r="UZK65" s="0"/>
      <c r="UZL65" s="0"/>
      <c r="UZM65" s="0"/>
      <c r="UZN65" s="0"/>
      <c r="UZO65" s="0"/>
      <c r="UZP65" s="0"/>
      <c r="UZQ65" s="0"/>
      <c r="UZR65" s="0"/>
      <c r="UZS65" s="0"/>
      <c r="UZT65" s="0"/>
      <c r="UZU65" s="0"/>
      <c r="UZV65" s="0"/>
      <c r="UZW65" s="0"/>
      <c r="UZX65" s="0"/>
      <c r="UZY65" s="0"/>
      <c r="UZZ65" s="0"/>
      <c r="VAA65" s="0"/>
      <c r="VAB65" s="0"/>
      <c r="VAC65" s="0"/>
      <c r="VAD65" s="0"/>
      <c r="VAE65" s="0"/>
      <c r="VAF65" s="0"/>
      <c r="VAG65" s="0"/>
      <c r="VAH65" s="0"/>
      <c r="VAI65" s="0"/>
      <c r="VAJ65" s="0"/>
      <c r="VAK65" s="0"/>
      <c r="VAL65" s="0"/>
      <c r="VAM65" s="0"/>
      <c r="VAN65" s="0"/>
      <c r="VAO65" s="0"/>
      <c r="VAP65" s="0"/>
      <c r="VAQ65" s="0"/>
      <c r="VAR65" s="0"/>
      <c r="VAS65" s="0"/>
      <c r="VAT65" s="0"/>
      <c r="VAU65" s="0"/>
      <c r="VAV65" s="0"/>
      <c r="VAW65" s="0"/>
      <c r="VAX65" s="0"/>
      <c r="VAY65" s="0"/>
      <c r="VAZ65" s="0"/>
      <c r="VBA65" s="0"/>
      <c r="VBB65" s="0"/>
      <c r="VBC65" s="0"/>
      <c r="VBD65" s="0"/>
      <c r="VBE65" s="0"/>
      <c r="VBF65" s="0"/>
      <c r="VBG65" s="0"/>
      <c r="VBH65" s="0"/>
      <c r="VBI65" s="0"/>
      <c r="VBJ65" s="0"/>
      <c r="VBK65" s="0"/>
      <c r="VBL65" s="0"/>
      <c r="VBM65" s="0"/>
      <c r="VBN65" s="0"/>
      <c r="VBO65" s="0"/>
      <c r="VBP65" s="0"/>
      <c r="VBQ65" s="0"/>
      <c r="VBR65" s="0"/>
      <c r="VBS65" s="0"/>
      <c r="VBT65" s="0"/>
      <c r="VBU65" s="0"/>
      <c r="VBV65" s="0"/>
      <c r="VBW65" s="0"/>
      <c r="VBX65" s="0"/>
      <c r="VBY65" s="0"/>
      <c r="VBZ65" s="0"/>
      <c r="VCA65" s="0"/>
      <c r="VCB65" s="0"/>
      <c r="VCC65" s="0"/>
      <c r="VCD65" s="0"/>
      <c r="VCE65" s="0"/>
      <c r="VCF65" s="0"/>
      <c r="VCG65" s="0"/>
      <c r="VCH65" s="0"/>
      <c r="VCI65" s="0"/>
      <c r="VCJ65" s="0"/>
      <c r="VCK65" s="0"/>
      <c r="VCL65" s="0"/>
      <c r="VCM65" s="0"/>
      <c r="VCN65" s="0"/>
      <c r="VCO65" s="0"/>
      <c r="VCP65" s="0"/>
      <c r="VCQ65" s="0"/>
      <c r="VCR65" s="0"/>
      <c r="VCS65" s="0"/>
      <c r="VCT65" s="0"/>
      <c r="VCU65" s="0"/>
      <c r="VCV65" s="0"/>
      <c r="VCW65" s="0"/>
      <c r="VCX65" s="0"/>
      <c r="VCY65" s="0"/>
      <c r="VCZ65" s="0"/>
      <c r="VDA65" s="0"/>
      <c r="VDB65" s="0"/>
      <c r="VDC65" s="0"/>
      <c r="VDD65" s="0"/>
      <c r="VDE65" s="0"/>
      <c r="VDF65" s="0"/>
      <c r="VDG65" s="0"/>
      <c r="VDH65" s="0"/>
      <c r="VDI65" s="0"/>
      <c r="VDJ65" s="0"/>
      <c r="VDK65" s="0"/>
      <c r="VDL65" s="0"/>
      <c r="VDM65" s="0"/>
      <c r="VDN65" s="0"/>
      <c r="VDO65" s="0"/>
      <c r="VDP65" s="0"/>
      <c r="VDQ65" s="0"/>
      <c r="VDR65" s="0"/>
      <c r="VDS65" s="0"/>
      <c r="VDT65" s="0"/>
      <c r="VDU65" s="0"/>
      <c r="VDV65" s="0"/>
      <c r="VDW65" s="0"/>
      <c r="VDX65" s="0"/>
      <c r="VDY65" s="0"/>
      <c r="VDZ65" s="0"/>
      <c r="VEA65" s="0"/>
      <c r="VEB65" s="0"/>
      <c r="VEC65" s="0"/>
      <c r="VED65" s="0"/>
      <c r="VEE65" s="0"/>
      <c r="VEF65" s="0"/>
      <c r="VEG65" s="0"/>
      <c r="VEH65" s="0"/>
      <c r="VEI65" s="0"/>
      <c r="VEJ65" s="0"/>
      <c r="VEK65" s="0"/>
      <c r="VEL65" s="0"/>
      <c r="VEM65" s="0"/>
      <c r="VEN65" s="0"/>
      <c r="VEO65" s="0"/>
      <c r="VEP65" s="0"/>
      <c r="VEQ65" s="0"/>
      <c r="VER65" s="0"/>
      <c r="VES65" s="0"/>
      <c r="VET65" s="0"/>
      <c r="VEU65" s="0"/>
      <c r="VEV65" s="0"/>
      <c r="VEW65" s="0"/>
      <c r="VEX65" s="0"/>
      <c r="VEY65" s="0"/>
      <c r="VEZ65" s="0"/>
      <c r="VFA65" s="0"/>
      <c r="VFB65" s="0"/>
      <c r="VFC65" s="0"/>
      <c r="VFD65" s="0"/>
      <c r="VFE65" s="0"/>
      <c r="VFF65" s="0"/>
      <c r="VFG65" s="0"/>
      <c r="VFH65" s="0"/>
      <c r="VFI65" s="0"/>
      <c r="VFJ65" s="0"/>
      <c r="VFK65" s="0"/>
      <c r="VFL65" s="0"/>
      <c r="VFM65" s="0"/>
      <c r="VFN65" s="0"/>
      <c r="VFO65" s="0"/>
      <c r="VFP65" s="0"/>
      <c r="VFQ65" s="0"/>
      <c r="VFR65" s="0"/>
      <c r="VFS65" s="0"/>
      <c r="VFT65" s="0"/>
      <c r="VFU65" s="0"/>
      <c r="VFV65" s="0"/>
      <c r="VFW65" s="0"/>
      <c r="VFX65" s="0"/>
      <c r="VFY65" s="0"/>
      <c r="VFZ65" s="0"/>
      <c r="VGA65" s="0"/>
      <c r="VGB65" s="0"/>
      <c r="VGC65" s="0"/>
      <c r="VGD65" s="0"/>
      <c r="VGE65" s="0"/>
      <c r="VGF65" s="0"/>
      <c r="VGG65" s="0"/>
      <c r="VGH65" s="0"/>
      <c r="VGI65" s="0"/>
      <c r="VGJ65" s="0"/>
      <c r="VGK65" s="0"/>
      <c r="VGL65" s="0"/>
      <c r="VGM65" s="0"/>
      <c r="VGN65" s="0"/>
      <c r="VGO65" s="0"/>
      <c r="VGP65" s="0"/>
      <c r="VGQ65" s="0"/>
      <c r="VGR65" s="0"/>
      <c r="VGS65" s="0"/>
      <c r="VGT65" s="0"/>
      <c r="VGU65" s="0"/>
      <c r="VGV65" s="0"/>
      <c r="VGW65" s="0"/>
      <c r="VGX65" s="0"/>
      <c r="VGY65" s="0"/>
      <c r="VGZ65" s="0"/>
      <c r="VHA65" s="0"/>
      <c r="VHB65" s="0"/>
      <c r="VHC65" s="0"/>
      <c r="VHD65" s="0"/>
      <c r="VHE65" s="0"/>
      <c r="VHF65" s="0"/>
      <c r="VHG65" s="0"/>
      <c r="VHH65" s="0"/>
      <c r="VHI65" s="0"/>
      <c r="VHJ65" s="0"/>
      <c r="VHK65" s="0"/>
      <c r="VHL65" s="0"/>
      <c r="VHM65" s="0"/>
      <c r="VHN65" s="0"/>
      <c r="VHO65" s="0"/>
      <c r="VHP65" s="0"/>
      <c r="VHQ65" s="0"/>
      <c r="VHR65" s="0"/>
      <c r="VHS65" s="0"/>
      <c r="VHT65" s="0"/>
      <c r="VHU65" s="0"/>
      <c r="VHV65" s="0"/>
      <c r="VHW65" s="0"/>
      <c r="VHX65" s="0"/>
      <c r="VHY65" s="0"/>
      <c r="VHZ65" s="0"/>
      <c r="VIA65" s="0"/>
      <c r="VIB65" s="0"/>
      <c r="VIC65" s="0"/>
      <c r="VID65" s="0"/>
      <c r="VIE65" s="0"/>
      <c r="VIF65" s="0"/>
      <c r="VIG65" s="0"/>
      <c r="VIH65" s="0"/>
      <c r="VII65" s="0"/>
      <c r="VIJ65" s="0"/>
      <c r="VIK65" s="0"/>
      <c r="VIL65" s="0"/>
      <c r="VIM65" s="0"/>
      <c r="VIN65" s="0"/>
      <c r="VIO65" s="0"/>
      <c r="VIP65" s="0"/>
      <c r="VIQ65" s="0"/>
      <c r="VIR65" s="0"/>
      <c r="VIS65" s="0"/>
      <c r="VIT65" s="0"/>
      <c r="VIU65" s="0"/>
      <c r="VIV65" s="0"/>
      <c r="VIW65" s="0"/>
      <c r="VIX65" s="0"/>
      <c r="VIY65" s="0"/>
      <c r="VIZ65" s="0"/>
      <c r="VJA65" s="0"/>
      <c r="VJB65" s="0"/>
      <c r="VJC65" s="0"/>
      <c r="VJD65" s="0"/>
      <c r="VJE65" s="0"/>
      <c r="VJF65" s="0"/>
      <c r="VJG65" s="0"/>
      <c r="VJH65" s="0"/>
      <c r="VJI65" s="0"/>
      <c r="VJJ65" s="0"/>
      <c r="VJK65" s="0"/>
      <c r="VJL65" s="0"/>
      <c r="VJM65" s="0"/>
      <c r="VJN65" s="0"/>
      <c r="VJO65" s="0"/>
      <c r="VJP65" s="0"/>
      <c r="VJQ65" s="0"/>
      <c r="VJR65" s="0"/>
      <c r="VJS65" s="0"/>
      <c r="VJT65" s="0"/>
      <c r="VJU65" s="0"/>
      <c r="VJV65" s="0"/>
      <c r="VJW65" s="0"/>
      <c r="VJX65" s="0"/>
      <c r="VJY65" s="0"/>
      <c r="VJZ65" s="0"/>
      <c r="VKA65" s="0"/>
      <c r="VKB65" s="0"/>
      <c r="VKC65" s="0"/>
      <c r="VKD65" s="0"/>
      <c r="VKE65" s="0"/>
      <c r="VKF65" s="0"/>
      <c r="VKG65" s="0"/>
      <c r="VKH65" s="0"/>
      <c r="VKI65" s="0"/>
      <c r="VKJ65" s="0"/>
      <c r="VKK65" s="0"/>
      <c r="VKL65" s="0"/>
      <c r="VKM65" s="0"/>
      <c r="VKN65" s="0"/>
      <c r="VKO65" s="0"/>
      <c r="VKP65" s="0"/>
      <c r="VKQ65" s="0"/>
      <c r="VKR65" s="0"/>
      <c r="VKS65" s="0"/>
      <c r="VKT65" s="0"/>
      <c r="VKU65" s="0"/>
      <c r="VKV65" s="0"/>
      <c r="VKW65" s="0"/>
      <c r="VKX65" s="0"/>
      <c r="VKY65" s="0"/>
      <c r="VKZ65" s="0"/>
      <c r="VLA65" s="0"/>
      <c r="VLB65" s="0"/>
      <c r="VLC65" s="0"/>
      <c r="VLD65" s="0"/>
      <c r="VLE65" s="0"/>
      <c r="VLF65" s="0"/>
      <c r="VLG65" s="0"/>
      <c r="VLH65" s="0"/>
      <c r="VLI65" s="0"/>
      <c r="VLJ65" s="0"/>
      <c r="VLK65" s="0"/>
      <c r="VLL65" s="0"/>
      <c r="VLM65" s="0"/>
      <c r="VLN65" s="0"/>
      <c r="VLO65" s="0"/>
      <c r="VLP65" s="0"/>
      <c r="VLQ65" s="0"/>
      <c r="VLR65" s="0"/>
      <c r="VLS65" s="0"/>
      <c r="VLT65" s="0"/>
      <c r="VLU65" s="0"/>
      <c r="VLV65" s="0"/>
      <c r="VLW65" s="0"/>
      <c r="VLX65" s="0"/>
      <c r="VLY65" s="0"/>
      <c r="VLZ65" s="0"/>
      <c r="VMA65" s="0"/>
      <c r="VMB65" s="0"/>
      <c r="VMC65" s="0"/>
      <c r="VMD65" s="0"/>
      <c r="VME65" s="0"/>
      <c r="VMF65" s="0"/>
      <c r="VMG65" s="0"/>
      <c r="VMH65" s="0"/>
      <c r="VMI65" s="0"/>
      <c r="VMJ65" s="0"/>
      <c r="VMK65" s="0"/>
      <c r="VML65" s="0"/>
      <c r="VMM65" s="0"/>
      <c r="VMN65" s="0"/>
      <c r="VMO65" s="0"/>
      <c r="VMP65" s="0"/>
      <c r="VMQ65" s="0"/>
      <c r="VMR65" s="0"/>
      <c r="VMS65" s="0"/>
      <c r="VMT65" s="0"/>
      <c r="VMU65" s="0"/>
      <c r="VMV65" s="0"/>
      <c r="VMW65" s="0"/>
      <c r="VMX65" s="0"/>
      <c r="VMY65" s="0"/>
      <c r="VMZ65" s="0"/>
      <c r="VNA65" s="0"/>
      <c r="VNB65" s="0"/>
      <c r="VNC65" s="0"/>
      <c r="VND65" s="0"/>
      <c r="VNE65" s="0"/>
      <c r="VNF65" s="0"/>
      <c r="VNG65" s="0"/>
      <c r="VNH65" s="0"/>
      <c r="VNI65" s="0"/>
      <c r="VNJ65" s="0"/>
      <c r="VNK65" s="0"/>
      <c r="VNL65" s="0"/>
      <c r="VNM65" s="0"/>
      <c r="VNN65" s="0"/>
      <c r="VNO65" s="0"/>
      <c r="VNP65" s="0"/>
      <c r="VNQ65" s="0"/>
      <c r="VNR65" s="0"/>
      <c r="VNS65" s="0"/>
      <c r="VNT65" s="0"/>
      <c r="VNU65" s="0"/>
      <c r="VNV65" s="0"/>
      <c r="VNW65" s="0"/>
      <c r="VNX65" s="0"/>
      <c r="VNY65" s="0"/>
      <c r="VNZ65" s="0"/>
      <c r="VOA65" s="0"/>
      <c r="VOB65" s="0"/>
      <c r="VOC65" s="0"/>
      <c r="VOD65" s="0"/>
      <c r="VOE65" s="0"/>
      <c r="VOF65" s="0"/>
      <c r="VOG65" s="0"/>
      <c r="VOH65" s="0"/>
      <c r="VOI65" s="0"/>
      <c r="VOJ65" s="0"/>
      <c r="VOK65" s="0"/>
      <c r="VOL65" s="0"/>
      <c r="VOM65" s="0"/>
      <c r="VON65" s="0"/>
      <c r="VOO65" s="0"/>
      <c r="VOP65" s="0"/>
      <c r="VOQ65" s="0"/>
      <c r="VOR65" s="0"/>
      <c r="VOS65" s="0"/>
      <c r="VOT65" s="0"/>
      <c r="VOU65" s="0"/>
      <c r="VOV65" s="0"/>
      <c r="VOW65" s="0"/>
      <c r="VOX65" s="0"/>
      <c r="VOY65" s="0"/>
      <c r="VOZ65" s="0"/>
      <c r="VPA65" s="0"/>
      <c r="VPB65" s="0"/>
      <c r="VPC65" s="0"/>
      <c r="VPD65" s="0"/>
      <c r="VPE65" s="0"/>
      <c r="VPF65" s="0"/>
      <c r="VPG65" s="0"/>
      <c r="VPH65" s="0"/>
      <c r="VPI65" s="0"/>
      <c r="VPJ65" s="0"/>
      <c r="VPK65" s="0"/>
      <c r="VPL65" s="0"/>
      <c r="VPM65" s="0"/>
      <c r="VPN65" s="0"/>
      <c r="VPO65" s="0"/>
      <c r="VPP65" s="0"/>
      <c r="VPQ65" s="0"/>
      <c r="VPR65" s="0"/>
      <c r="VPS65" s="0"/>
      <c r="VPT65" s="0"/>
      <c r="VPU65" s="0"/>
      <c r="VPV65" s="0"/>
      <c r="VPW65" s="0"/>
      <c r="VPX65" s="0"/>
      <c r="VPY65" s="0"/>
      <c r="VPZ65" s="0"/>
      <c r="VQA65" s="0"/>
      <c r="VQB65" s="0"/>
      <c r="VQC65" s="0"/>
      <c r="VQD65" s="0"/>
      <c r="VQE65" s="0"/>
      <c r="VQF65" s="0"/>
      <c r="VQG65" s="0"/>
      <c r="VQH65" s="0"/>
      <c r="VQI65" s="0"/>
      <c r="VQJ65" s="0"/>
      <c r="VQK65" s="0"/>
      <c r="VQL65" s="0"/>
      <c r="VQM65" s="0"/>
      <c r="VQN65" s="0"/>
      <c r="VQO65" s="0"/>
      <c r="VQP65" s="0"/>
      <c r="VQQ65" s="0"/>
      <c r="VQR65" s="0"/>
      <c r="VQS65" s="0"/>
      <c r="VQT65" s="0"/>
      <c r="VQU65" s="0"/>
      <c r="VQV65" s="0"/>
      <c r="VQW65" s="0"/>
      <c r="VQX65" s="0"/>
      <c r="VQY65" s="0"/>
      <c r="VQZ65" s="0"/>
      <c r="VRA65" s="0"/>
      <c r="VRB65" s="0"/>
      <c r="VRC65" s="0"/>
      <c r="VRD65" s="0"/>
      <c r="VRE65" s="0"/>
      <c r="VRF65" s="0"/>
      <c r="VRG65" s="0"/>
      <c r="VRH65" s="0"/>
      <c r="VRI65" s="0"/>
      <c r="VRJ65" s="0"/>
      <c r="VRK65" s="0"/>
      <c r="VRL65" s="0"/>
      <c r="VRM65" s="0"/>
      <c r="VRN65" s="0"/>
      <c r="VRO65" s="0"/>
      <c r="VRP65" s="0"/>
      <c r="VRQ65" s="0"/>
      <c r="VRR65" s="0"/>
      <c r="VRS65" s="0"/>
      <c r="VRT65" s="0"/>
      <c r="VRU65" s="0"/>
      <c r="VRV65" s="0"/>
      <c r="VRW65" s="0"/>
      <c r="VRX65" s="0"/>
      <c r="VRY65" s="0"/>
      <c r="VRZ65" s="0"/>
      <c r="VSA65" s="0"/>
      <c r="VSB65" s="0"/>
      <c r="VSC65" s="0"/>
      <c r="VSD65" s="0"/>
      <c r="VSE65" s="0"/>
      <c r="VSF65" s="0"/>
      <c r="VSG65" s="0"/>
      <c r="VSH65" s="0"/>
      <c r="VSI65" s="0"/>
      <c r="VSJ65" s="0"/>
      <c r="VSK65" s="0"/>
      <c r="VSL65" s="0"/>
      <c r="VSM65" s="0"/>
      <c r="VSN65" s="0"/>
      <c r="VSO65" s="0"/>
      <c r="VSP65" s="0"/>
      <c r="VSQ65" s="0"/>
      <c r="VSR65" s="0"/>
      <c r="VSS65" s="0"/>
      <c r="VST65" s="0"/>
      <c r="VSU65" s="0"/>
      <c r="VSV65" s="0"/>
      <c r="VSW65" s="0"/>
      <c r="VSX65" s="0"/>
      <c r="VSY65" s="0"/>
      <c r="VSZ65" s="0"/>
      <c r="VTA65" s="0"/>
      <c r="VTB65" s="0"/>
      <c r="VTC65" s="0"/>
      <c r="VTD65" s="0"/>
      <c r="VTE65" s="0"/>
      <c r="VTF65" s="0"/>
      <c r="VTG65" s="0"/>
      <c r="VTH65" s="0"/>
      <c r="VTI65" s="0"/>
      <c r="VTJ65" s="0"/>
      <c r="VTK65" s="0"/>
      <c r="VTL65" s="0"/>
      <c r="VTM65" s="0"/>
      <c r="VTN65" s="0"/>
      <c r="VTO65" s="0"/>
      <c r="VTP65" s="0"/>
      <c r="VTQ65" s="0"/>
      <c r="VTR65" s="0"/>
      <c r="VTS65" s="0"/>
      <c r="VTT65" s="0"/>
      <c r="VTU65" s="0"/>
      <c r="VTV65" s="0"/>
      <c r="VTW65" s="0"/>
      <c r="VTX65" s="0"/>
      <c r="VTY65" s="0"/>
      <c r="VTZ65" s="0"/>
      <c r="VUA65" s="0"/>
      <c r="VUB65" s="0"/>
      <c r="VUC65" s="0"/>
      <c r="VUD65" s="0"/>
      <c r="VUE65" s="0"/>
      <c r="VUF65" s="0"/>
      <c r="VUG65" s="0"/>
      <c r="VUH65" s="0"/>
      <c r="VUI65" s="0"/>
      <c r="VUJ65" s="0"/>
      <c r="VUK65" s="0"/>
      <c r="VUL65" s="0"/>
      <c r="VUM65" s="0"/>
      <c r="VUN65" s="0"/>
      <c r="VUO65" s="0"/>
      <c r="VUP65" s="0"/>
      <c r="VUQ65" s="0"/>
      <c r="VUR65" s="0"/>
      <c r="VUS65" s="0"/>
      <c r="VUT65" s="0"/>
      <c r="VUU65" s="0"/>
      <c r="VUV65" s="0"/>
      <c r="VUW65" s="0"/>
      <c r="VUX65" s="0"/>
      <c r="VUY65" s="0"/>
      <c r="VUZ65" s="0"/>
      <c r="VVA65" s="0"/>
      <c r="VVB65" s="0"/>
      <c r="VVC65" s="0"/>
      <c r="VVD65" s="0"/>
      <c r="VVE65" s="0"/>
      <c r="VVF65" s="0"/>
      <c r="VVG65" s="0"/>
      <c r="VVH65" s="0"/>
      <c r="VVI65" s="0"/>
      <c r="VVJ65" s="0"/>
      <c r="VVK65" s="0"/>
      <c r="VVL65" s="0"/>
      <c r="VVM65" s="0"/>
      <c r="VVN65" s="0"/>
      <c r="VVO65" s="0"/>
      <c r="VVP65" s="0"/>
      <c r="VVQ65" s="0"/>
      <c r="VVR65" s="0"/>
      <c r="VVS65" s="0"/>
      <c r="VVT65" s="0"/>
      <c r="VVU65" s="0"/>
      <c r="VVV65" s="0"/>
      <c r="VVW65" s="0"/>
      <c r="VVX65" s="0"/>
      <c r="VVY65" s="0"/>
      <c r="VVZ65" s="0"/>
      <c r="VWA65" s="0"/>
      <c r="VWB65" s="0"/>
      <c r="VWC65" s="0"/>
      <c r="VWD65" s="0"/>
      <c r="VWE65" s="0"/>
      <c r="VWF65" s="0"/>
      <c r="VWG65" s="0"/>
      <c r="VWH65" s="0"/>
      <c r="VWI65" s="0"/>
      <c r="VWJ65" s="0"/>
      <c r="VWK65" s="0"/>
      <c r="VWL65" s="0"/>
      <c r="VWM65" s="0"/>
      <c r="VWN65" s="0"/>
      <c r="VWO65" s="0"/>
      <c r="VWP65" s="0"/>
      <c r="VWQ65" s="0"/>
      <c r="VWR65" s="0"/>
      <c r="VWS65" s="0"/>
      <c r="VWT65" s="0"/>
      <c r="VWU65" s="0"/>
      <c r="VWV65" s="0"/>
      <c r="VWW65" s="0"/>
      <c r="VWX65" s="0"/>
      <c r="VWY65" s="0"/>
      <c r="VWZ65" s="0"/>
      <c r="VXA65" s="0"/>
      <c r="VXB65" s="0"/>
      <c r="VXC65" s="0"/>
      <c r="VXD65" s="0"/>
      <c r="VXE65" s="0"/>
      <c r="VXF65" s="0"/>
      <c r="VXG65" s="0"/>
      <c r="VXH65" s="0"/>
      <c r="VXI65" s="0"/>
      <c r="VXJ65" s="0"/>
      <c r="VXK65" s="0"/>
      <c r="VXL65" s="0"/>
      <c r="VXM65" s="0"/>
      <c r="VXN65" s="0"/>
      <c r="VXO65" s="0"/>
      <c r="VXP65" s="0"/>
      <c r="VXQ65" s="0"/>
      <c r="VXR65" s="0"/>
      <c r="VXS65" s="0"/>
      <c r="VXT65" s="0"/>
      <c r="VXU65" s="0"/>
      <c r="VXV65" s="0"/>
      <c r="VXW65" s="0"/>
      <c r="VXX65" s="0"/>
      <c r="VXY65" s="0"/>
      <c r="VXZ65" s="0"/>
      <c r="VYA65" s="0"/>
      <c r="VYB65" s="0"/>
      <c r="VYC65" s="0"/>
      <c r="VYD65" s="0"/>
      <c r="VYE65" s="0"/>
      <c r="VYF65" s="0"/>
      <c r="VYG65" s="0"/>
      <c r="VYH65" s="0"/>
      <c r="VYI65" s="0"/>
      <c r="VYJ65" s="0"/>
      <c r="VYK65" s="0"/>
      <c r="VYL65" s="0"/>
      <c r="VYM65" s="0"/>
      <c r="VYN65" s="0"/>
      <c r="VYO65" s="0"/>
      <c r="VYP65" s="0"/>
      <c r="VYQ65" s="0"/>
      <c r="VYR65" s="0"/>
      <c r="VYS65" s="0"/>
      <c r="VYT65" s="0"/>
      <c r="VYU65" s="0"/>
      <c r="VYV65" s="0"/>
      <c r="VYW65" s="0"/>
      <c r="VYX65" s="0"/>
      <c r="VYY65" s="0"/>
      <c r="VYZ65" s="0"/>
      <c r="VZA65" s="0"/>
      <c r="VZB65" s="0"/>
      <c r="VZC65" s="0"/>
      <c r="VZD65" s="0"/>
      <c r="VZE65" s="0"/>
      <c r="VZF65" s="0"/>
      <c r="VZG65" s="0"/>
      <c r="VZH65" s="0"/>
      <c r="VZI65" s="0"/>
      <c r="VZJ65" s="0"/>
      <c r="VZK65" s="0"/>
      <c r="VZL65" s="0"/>
      <c r="VZM65" s="0"/>
      <c r="VZN65" s="0"/>
      <c r="VZO65" s="0"/>
      <c r="VZP65" s="0"/>
      <c r="VZQ65" s="0"/>
      <c r="VZR65" s="0"/>
      <c r="VZS65" s="0"/>
      <c r="VZT65" s="0"/>
      <c r="VZU65" s="0"/>
      <c r="VZV65" s="0"/>
      <c r="VZW65" s="0"/>
      <c r="VZX65" s="0"/>
      <c r="VZY65" s="0"/>
      <c r="VZZ65" s="0"/>
      <c r="WAA65" s="0"/>
      <c r="WAB65" s="0"/>
      <c r="WAC65" s="0"/>
      <c r="WAD65" s="0"/>
      <c r="WAE65" s="0"/>
      <c r="WAF65" s="0"/>
      <c r="WAG65" s="0"/>
      <c r="WAH65" s="0"/>
      <c r="WAI65" s="0"/>
      <c r="WAJ65" s="0"/>
      <c r="WAK65" s="0"/>
      <c r="WAL65" s="0"/>
      <c r="WAM65" s="0"/>
      <c r="WAN65" s="0"/>
      <c r="WAO65" s="0"/>
      <c r="WAP65" s="0"/>
      <c r="WAQ65" s="0"/>
      <c r="WAR65" s="0"/>
      <c r="WAS65" s="0"/>
      <c r="WAT65" s="0"/>
      <c r="WAU65" s="0"/>
      <c r="WAV65" s="0"/>
      <c r="WAW65" s="0"/>
      <c r="WAX65" s="0"/>
      <c r="WAY65" s="0"/>
      <c r="WAZ65" s="0"/>
      <c r="WBA65" s="0"/>
      <c r="WBB65" s="0"/>
      <c r="WBC65" s="0"/>
      <c r="WBD65" s="0"/>
      <c r="WBE65" s="0"/>
      <c r="WBF65" s="0"/>
      <c r="WBG65" s="0"/>
      <c r="WBH65" s="0"/>
      <c r="WBI65" s="0"/>
      <c r="WBJ65" s="0"/>
      <c r="WBK65" s="0"/>
      <c r="WBL65" s="0"/>
      <c r="WBM65" s="0"/>
      <c r="WBN65" s="0"/>
      <c r="WBO65" s="0"/>
      <c r="WBP65" s="0"/>
      <c r="WBQ65" s="0"/>
      <c r="WBR65" s="0"/>
      <c r="WBS65" s="0"/>
      <c r="WBT65" s="0"/>
      <c r="WBU65" s="0"/>
      <c r="WBV65" s="0"/>
      <c r="WBW65" s="0"/>
      <c r="WBX65" s="0"/>
      <c r="WBY65" s="0"/>
      <c r="WBZ65" s="0"/>
      <c r="WCA65" s="0"/>
      <c r="WCB65" s="0"/>
      <c r="WCC65" s="0"/>
      <c r="WCD65" s="0"/>
      <c r="WCE65" s="0"/>
      <c r="WCF65" s="0"/>
      <c r="WCG65" s="0"/>
      <c r="WCH65" s="0"/>
      <c r="WCI65" s="0"/>
      <c r="WCJ65" s="0"/>
      <c r="WCK65" s="0"/>
      <c r="WCL65" s="0"/>
      <c r="WCM65" s="0"/>
      <c r="WCN65" s="0"/>
      <c r="WCO65" s="0"/>
      <c r="WCP65" s="0"/>
      <c r="WCQ65" s="0"/>
      <c r="WCR65" s="0"/>
      <c r="WCS65" s="0"/>
      <c r="WCT65" s="0"/>
      <c r="WCU65" s="0"/>
      <c r="WCV65" s="0"/>
      <c r="WCW65" s="0"/>
      <c r="WCX65" s="0"/>
      <c r="WCY65" s="0"/>
      <c r="WCZ65" s="0"/>
      <c r="WDA65" s="0"/>
      <c r="WDB65" s="0"/>
      <c r="WDC65" s="0"/>
      <c r="WDD65" s="0"/>
      <c r="WDE65" s="0"/>
      <c r="WDF65" s="0"/>
      <c r="WDG65" s="0"/>
      <c r="WDH65" s="0"/>
      <c r="WDI65" s="0"/>
      <c r="WDJ65" s="0"/>
      <c r="WDK65" s="0"/>
      <c r="WDL65" s="0"/>
      <c r="WDM65" s="0"/>
      <c r="WDN65" s="0"/>
      <c r="WDO65" s="0"/>
      <c r="WDP65" s="0"/>
      <c r="WDQ65" s="0"/>
      <c r="WDR65" s="0"/>
      <c r="WDS65" s="0"/>
      <c r="WDT65" s="0"/>
      <c r="WDU65" s="0"/>
      <c r="WDV65" s="0"/>
      <c r="WDW65" s="0"/>
      <c r="WDX65" s="0"/>
      <c r="WDY65" s="0"/>
      <c r="WDZ65" s="0"/>
      <c r="WEA65" s="0"/>
      <c r="WEB65" s="0"/>
      <c r="WEC65" s="0"/>
      <c r="WED65" s="0"/>
      <c r="WEE65" s="0"/>
      <c r="WEF65" s="0"/>
      <c r="WEG65" s="0"/>
      <c r="WEH65" s="0"/>
      <c r="WEI65" s="0"/>
      <c r="WEJ65" s="0"/>
      <c r="WEK65" s="0"/>
      <c r="WEL65" s="0"/>
      <c r="WEM65" s="0"/>
      <c r="WEN65" s="0"/>
      <c r="WEO65" s="0"/>
      <c r="WEP65" s="0"/>
      <c r="WEQ65" s="0"/>
      <c r="WER65" s="0"/>
      <c r="WES65" s="0"/>
      <c r="WET65" s="0"/>
      <c r="WEU65" s="0"/>
      <c r="WEV65" s="0"/>
      <c r="WEW65" s="0"/>
      <c r="WEX65" s="0"/>
      <c r="WEY65" s="0"/>
      <c r="WEZ65" s="0"/>
      <c r="WFA65" s="0"/>
      <c r="WFB65" s="0"/>
      <c r="WFC65" s="0"/>
      <c r="WFD65" s="0"/>
      <c r="WFE65" s="0"/>
      <c r="WFF65" s="0"/>
      <c r="WFG65" s="0"/>
      <c r="WFH65" s="0"/>
      <c r="WFI65" s="0"/>
      <c r="WFJ65" s="0"/>
      <c r="WFK65" s="0"/>
      <c r="WFL65" s="0"/>
      <c r="WFM65" s="0"/>
      <c r="WFN65" s="0"/>
      <c r="WFO65" s="0"/>
      <c r="WFP65" s="0"/>
      <c r="WFQ65" s="0"/>
      <c r="WFR65" s="0"/>
      <c r="WFS65" s="0"/>
      <c r="WFT65" s="0"/>
      <c r="WFU65" s="0"/>
      <c r="WFV65" s="0"/>
      <c r="WFW65" s="0"/>
      <c r="WFX65" s="0"/>
      <c r="WFY65" s="0"/>
      <c r="WFZ65" s="0"/>
      <c r="WGA65" s="0"/>
      <c r="WGB65" s="0"/>
      <c r="WGC65" s="0"/>
      <c r="WGD65" s="0"/>
      <c r="WGE65" s="0"/>
      <c r="WGF65" s="0"/>
      <c r="WGG65" s="0"/>
      <c r="WGH65" s="0"/>
      <c r="WGI65" s="0"/>
      <c r="WGJ65" s="0"/>
      <c r="WGK65" s="0"/>
      <c r="WGL65" s="0"/>
      <c r="WGM65" s="0"/>
      <c r="WGN65" s="0"/>
      <c r="WGO65" s="0"/>
      <c r="WGP65" s="0"/>
      <c r="WGQ65" s="0"/>
      <c r="WGR65" s="0"/>
      <c r="WGS65" s="0"/>
      <c r="WGT65" s="0"/>
      <c r="WGU65" s="0"/>
      <c r="WGV65" s="0"/>
      <c r="WGW65" s="0"/>
      <c r="WGX65" s="0"/>
      <c r="WGY65" s="0"/>
      <c r="WGZ65" s="0"/>
      <c r="WHA65" s="0"/>
      <c r="WHB65" s="0"/>
      <c r="WHC65" s="0"/>
      <c r="WHD65" s="0"/>
      <c r="WHE65" s="0"/>
      <c r="WHF65" s="0"/>
      <c r="WHG65" s="0"/>
      <c r="WHH65" s="0"/>
      <c r="WHI65" s="0"/>
      <c r="WHJ65" s="0"/>
      <c r="WHK65" s="0"/>
      <c r="WHL65" s="0"/>
      <c r="WHM65" s="0"/>
      <c r="WHN65" s="0"/>
      <c r="WHO65" s="0"/>
      <c r="WHP65" s="0"/>
      <c r="WHQ65" s="0"/>
      <c r="WHR65" s="0"/>
      <c r="WHS65" s="0"/>
      <c r="WHT65" s="0"/>
      <c r="WHU65" s="0"/>
      <c r="WHV65" s="0"/>
      <c r="WHW65" s="0"/>
      <c r="WHX65" s="0"/>
      <c r="WHY65" s="0"/>
      <c r="WHZ65" s="0"/>
      <c r="WIA65" s="0"/>
      <c r="WIB65" s="0"/>
      <c r="WIC65" s="0"/>
      <c r="WID65" s="0"/>
      <c r="WIE65" s="0"/>
      <c r="WIF65" s="0"/>
      <c r="WIG65" s="0"/>
      <c r="WIH65" s="0"/>
      <c r="WII65" s="0"/>
      <c r="WIJ65" s="0"/>
      <c r="WIK65" s="0"/>
      <c r="WIL65" s="0"/>
      <c r="WIM65" s="0"/>
      <c r="WIN65" s="0"/>
      <c r="WIO65" s="0"/>
      <c r="WIP65" s="0"/>
      <c r="WIQ65" s="0"/>
      <c r="WIR65" s="0"/>
      <c r="WIS65" s="0"/>
      <c r="WIT65" s="0"/>
      <c r="WIU65" s="0"/>
      <c r="WIV65" s="0"/>
      <c r="WIW65" s="0"/>
      <c r="WIX65" s="0"/>
      <c r="WIY65" s="0"/>
      <c r="WIZ65" s="0"/>
      <c r="WJA65" s="0"/>
      <c r="WJB65" s="0"/>
      <c r="WJC65" s="0"/>
      <c r="WJD65" s="0"/>
      <c r="WJE65" s="0"/>
      <c r="WJF65" s="0"/>
      <c r="WJG65" s="0"/>
      <c r="WJH65" s="0"/>
      <c r="WJI65" s="0"/>
      <c r="WJJ65" s="0"/>
      <c r="WJK65" s="0"/>
      <c r="WJL65" s="0"/>
      <c r="WJM65" s="0"/>
      <c r="WJN65" s="0"/>
      <c r="WJO65" s="0"/>
      <c r="WJP65" s="0"/>
      <c r="WJQ65" s="0"/>
      <c r="WJR65" s="0"/>
      <c r="WJS65" s="0"/>
      <c r="WJT65" s="0"/>
      <c r="WJU65" s="0"/>
      <c r="WJV65" s="0"/>
      <c r="WJW65" s="0"/>
      <c r="WJX65" s="0"/>
      <c r="WJY65" s="0"/>
      <c r="WJZ65" s="0"/>
      <c r="WKA65" s="0"/>
      <c r="WKB65" s="0"/>
      <c r="WKC65" s="0"/>
      <c r="WKD65" s="0"/>
      <c r="WKE65" s="0"/>
      <c r="WKF65" s="0"/>
      <c r="WKG65" s="0"/>
      <c r="WKH65" s="0"/>
      <c r="WKI65" s="0"/>
      <c r="WKJ65" s="0"/>
      <c r="WKK65" s="0"/>
      <c r="WKL65" s="0"/>
      <c r="WKM65" s="0"/>
      <c r="WKN65" s="0"/>
      <c r="WKO65" s="0"/>
      <c r="WKP65" s="0"/>
      <c r="WKQ65" s="0"/>
      <c r="WKR65" s="0"/>
      <c r="WKS65" s="0"/>
      <c r="WKT65" s="0"/>
      <c r="WKU65" s="0"/>
      <c r="WKV65" s="0"/>
      <c r="WKW65" s="0"/>
      <c r="WKX65" s="0"/>
      <c r="WKY65" s="0"/>
      <c r="WKZ65" s="0"/>
      <c r="WLA65" s="0"/>
      <c r="WLB65" s="0"/>
      <c r="WLC65" s="0"/>
      <c r="WLD65" s="0"/>
      <c r="WLE65" s="0"/>
      <c r="WLF65" s="0"/>
      <c r="WLG65" s="0"/>
      <c r="WLH65" s="0"/>
      <c r="WLI65" s="0"/>
      <c r="WLJ65" s="0"/>
      <c r="WLK65" s="0"/>
      <c r="WLL65" s="0"/>
      <c r="WLM65" s="0"/>
      <c r="WLN65" s="0"/>
      <c r="WLO65" s="0"/>
      <c r="WLP65" s="0"/>
      <c r="WLQ65" s="0"/>
      <c r="WLR65" s="0"/>
      <c r="WLS65" s="0"/>
      <c r="WLT65" s="0"/>
      <c r="WLU65" s="0"/>
      <c r="WLV65" s="0"/>
      <c r="WLW65" s="0"/>
      <c r="WLX65" s="0"/>
      <c r="WLY65" s="0"/>
      <c r="WLZ65" s="0"/>
      <c r="WMA65" s="0"/>
      <c r="WMB65" s="0"/>
      <c r="WMC65" s="0"/>
      <c r="WMD65" s="0"/>
      <c r="WME65" s="0"/>
      <c r="WMF65" s="0"/>
      <c r="WMG65" s="0"/>
      <c r="WMH65" s="0"/>
      <c r="WMI65" s="0"/>
      <c r="WMJ65" s="0"/>
      <c r="WMK65" s="0"/>
      <c r="WML65" s="0"/>
      <c r="WMM65" s="0"/>
      <c r="WMN65" s="0"/>
      <c r="WMO65" s="0"/>
      <c r="WMP65" s="0"/>
      <c r="WMQ65" s="0"/>
      <c r="WMR65" s="0"/>
      <c r="WMS65" s="0"/>
      <c r="WMT65" s="0"/>
      <c r="WMU65" s="0"/>
      <c r="WMV65" s="0"/>
      <c r="WMW65" s="0"/>
      <c r="WMX65" s="0"/>
      <c r="WMY65" s="0"/>
      <c r="WMZ65" s="0"/>
      <c r="WNA65" s="0"/>
      <c r="WNB65" s="0"/>
      <c r="WNC65" s="0"/>
      <c r="WND65" s="0"/>
      <c r="WNE65" s="0"/>
      <c r="WNF65" s="0"/>
      <c r="WNG65" s="0"/>
      <c r="WNH65" s="0"/>
      <c r="WNI65" s="0"/>
      <c r="WNJ65" s="0"/>
      <c r="WNK65" s="0"/>
      <c r="WNL65" s="0"/>
      <c r="WNM65" s="0"/>
      <c r="WNN65" s="0"/>
      <c r="WNO65" s="0"/>
      <c r="WNP65" s="0"/>
      <c r="WNQ65" s="0"/>
      <c r="WNR65" s="0"/>
      <c r="WNS65" s="0"/>
      <c r="WNT65" s="0"/>
      <c r="WNU65" s="0"/>
      <c r="WNV65" s="0"/>
      <c r="WNW65" s="0"/>
      <c r="WNX65" s="0"/>
      <c r="WNY65" s="0"/>
      <c r="WNZ65" s="0"/>
      <c r="WOA65" s="0"/>
      <c r="WOB65" s="0"/>
      <c r="WOC65" s="0"/>
      <c r="WOD65" s="0"/>
      <c r="WOE65" s="0"/>
      <c r="WOF65" s="0"/>
      <c r="WOG65" s="0"/>
      <c r="WOH65" s="0"/>
      <c r="WOI65" s="0"/>
      <c r="WOJ65" s="0"/>
      <c r="WOK65" s="0"/>
      <c r="WOL65" s="0"/>
      <c r="WOM65" s="0"/>
      <c r="WON65" s="0"/>
      <c r="WOO65" s="0"/>
      <c r="WOP65" s="0"/>
      <c r="WOQ65" s="0"/>
      <c r="WOR65" s="0"/>
      <c r="WOS65" s="0"/>
      <c r="WOT65" s="0"/>
      <c r="WOU65" s="0"/>
      <c r="WOV65" s="0"/>
      <c r="WOW65" s="0"/>
      <c r="WOX65" s="0"/>
      <c r="WOY65" s="0"/>
      <c r="WOZ65" s="0"/>
      <c r="WPA65" s="0"/>
      <c r="WPB65" s="0"/>
      <c r="WPC65" s="0"/>
      <c r="WPD65" s="0"/>
      <c r="WPE65" s="0"/>
      <c r="WPF65" s="0"/>
      <c r="WPG65" s="0"/>
      <c r="WPH65" s="0"/>
      <c r="WPI65" s="0"/>
      <c r="WPJ65" s="0"/>
      <c r="WPK65" s="0"/>
      <c r="WPL65" s="0"/>
      <c r="WPM65" s="0"/>
      <c r="WPN65" s="0"/>
      <c r="WPO65" s="0"/>
      <c r="WPP65" s="0"/>
      <c r="WPQ65" s="0"/>
      <c r="WPR65" s="0"/>
      <c r="WPS65" s="0"/>
      <c r="WPT65" s="0"/>
      <c r="WPU65" s="0"/>
      <c r="WPV65" s="0"/>
      <c r="WPW65" s="0"/>
      <c r="WPX65" s="0"/>
      <c r="WPY65" s="0"/>
      <c r="WPZ65" s="0"/>
      <c r="WQA65" s="0"/>
      <c r="WQB65" s="0"/>
      <c r="WQC65" s="0"/>
      <c r="WQD65" s="0"/>
      <c r="WQE65" s="0"/>
      <c r="WQF65" s="0"/>
      <c r="WQG65" s="0"/>
      <c r="WQH65" s="0"/>
      <c r="WQI65" s="0"/>
      <c r="WQJ65" s="0"/>
      <c r="WQK65" s="0"/>
      <c r="WQL65" s="0"/>
      <c r="WQM65" s="0"/>
      <c r="WQN65" s="0"/>
      <c r="WQO65" s="0"/>
      <c r="WQP65" s="0"/>
      <c r="WQQ65" s="0"/>
      <c r="WQR65" s="0"/>
      <c r="WQS65" s="0"/>
      <c r="WQT65" s="0"/>
      <c r="WQU65" s="0"/>
      <c r="WQV65" s="0"/>
      <c r="WQW65" s="0"/>
      <c r="WQX65" s="0"/>
      <c r="WQY65" s="0"/>
      <c r="WQZ65" s="0"/>
      <c r="WRA65" s="0"/>
      <c r="WRB65" s="0"/>
      <c r="WRC65" s="0"/>
      <c r="WRD65" s="0"/>
      <c r="WRE65" s="0"/>
      <c r="WRF65" s="0"/>
      <c r="WRG65" s="0"/>
      <c r="WRH65" s="0"/>
      <c r="WRI65" s="0"/>
      <c r="WRJ65" s="0"/>
      <c r="WRK65" s="0"/>
      <c r="WRL65" s="0"/>
      <c r="WRM65" s="0"/>
      <c r="WRN65" s="0"/>
      <c r="WRO65" s="0"/>
      <c r="WRP65" s="0"/>
      <c r="WRQ65" s="0"/>
      <c r="WRR65" s="0"/>
      <c r="WRS65" s="0"/>
      <c r="WRT65" s="0"/>
      <c r="WRU65" s="0"/>
      <c r="WRV65" s="0"/>
      <c r="WRW65" s="0"/>
      <c r="WRX65" s="0"/>
      <c r="WRY65" s="0"/>
      <c r="WRZ65" s="0"/>
      <c r="WSA65" s="0"/>
      <c r="WSB65" s="0"/>
      <c r="WSC65" s="0"/>
      <c r="WSD65" s="0"/>
      <c r="WSE65" s="0"/>
      <c r="WSF65" s="0"/>
      <c r="WSG65" s="0"/>
      <c r="WSH65" s="0"/>
      <c r="WSI65" s="0"/>
      <c r="WSJ65" s="0"/>
      <c r="WSK65" s="0"/>
      <c r="WSL65" s="0"/>
      <c r="WSM65" s="0"/>
      <c r="WSN65" s="0"/>
      <c r="WSO65" s="0"/>
      <c r="WSP65" s="0"/>
      <c r="WSQ65" s="0"/>
      <c r="WSR65" s="0"/>
      <c r="WSS65" s="0"/>
      <c r="WST65" s="0"/>
      <c r="WSU65" s="0"/>
      <c r="WSV65" s="0"/>
      <c r="WSW65" s="0"/>
      <c r="WSX65" s="0"/>
      <c r="WSY65" s="0"/>
      <c r="WSZ65" s="0"/>
      <c r="WTA65" s="0"/>
      <c r="WTB65" s="0"/>
      <c r="WTC65" s="0"/>
      <c r="WTD65" s="0"/>
      <c r="WTE65" s="0"/>
      <c r="WTF65" s="0"/>
      <c r="WTG65" s="0"/>
      <c r="WTH65" s="0"/>
      <c r="WTI65" s="0"/>
      <c r="WTJ65" s="0"/>
      <c r="WTK65" s="0"/>
      <c r="WTL65" s="0"/>
      <c r="WTM65" s="0"/>
      <c r="WTN65" s="0"/>
      <c r="WTO65" s="0"/>
      <c r="WTP65" s="0"/>
      <c r="WTQ65" s="0"/>
      <c r="WTR65" s="0"/>
      <c r="WTS65" s="0"/>
      <c r="WTT65" s="0"/>
      <c r="WTU65" s="0"/>
      <c r="WTV65" s="0"/>
      <c r="WTW65" s="0"/>
      <c r="WTX65" s="0"/>
      <c r="WTY65" s="0"/>
      <c r="WTZ65" s="0"/>
      <c r="WUA65" s="0"/>
      <c r="WUB65" s="0"/>
      <c r="WUC65" s="0"/>
      <c r="WUD65" s="0"/>
      <c r="WUE65" s="0"/>
      <c r="WUF65" s="0"/>
      <c r="WUG65" s="0"/>
      <c r="WUH65" s="0"/>
      <c r="WUI65" s="0"/>
      <c r="WUJ65" s="0"/>
      <c r="WUK65" s="0"/>
      <c r="WUL65" s="0"/>
      <c r="WUM65" s="0"/>
      <c r="WUN65" s="0"/>
      <c r="WUO65" s="0"/>
      <c r="WUP65" s="0"/>
      <c r="WUQ65" s="0"/>
      <c r="WUR65" s="0"/>
      <c r="WUS65" s="0"/>
      <c r="WUT65" s="0"/>
      <c r="WUU65" s="0"/>
      <c r="WUV65" s="0"/>
      <c r="WUW65" s="0"/>
      <c r="WUX65" s="0"/>
      <c r="WUY65" s="0"/>
      <c r="WUZ65" s="0"/>
      <c r="WVA65" s="0"/>
      <c r="WVB65" s="0"/>
      <c r="WVC65" s="0"/>
      <c r="WVD65" s="0"/>
      <c r="WVE65" s="0"/>
      <c r="WVF65" s="0"/>
      <c r="WVG65" s="0"/>
      <c r="WVH65" s="0"/>
      <c r="WVI65" s="0"/>
      <c r="WVJ65" s="0"/>
      <c r="WVK65" s="0"/>
      <c r="WVL65" s="0"/>
      <c r="WVM65" s="0"/>
      <c r="WVN65" s="0"/>
      <c r="WVO65" s="0"/>
      <c r="WVP65" s="0"/>
      <c r="WVQ65" s="0"/>
      <c r="WVR65" s="0"/>
      <c r="WVS65" s="0"/>
      <c r="WVT65" s="0"/>
      <c r="WVU65" s="0"/>
      <c r="WVV65" s="0"/>
      <c r="WVW65" s="0"/>
      <c r="WVX65" s="0"/>
      <c r="WVY65" s="0"/>
      <c r="WVZ65" s="0"/>
      <c r="WWA65" s="0"/>
      <c r="WWB65" s="0"/>
      <c r="WWC65" s="0"/>
      <c r="WWD65" s="0"/>
      <c r="WWE65" s="0"/>
      <c r="WWF65" s="0"/>
      <c r="WWG65" s="0"/>
      <c r="WWH65" s="0"/>
      <c r="WWI65" s="0"/>
      <c r="WWJ65" s="0"/>
      <c r="WWK65" s="0"/>
      <c r="WWL65" s="0"/>
      <c r="WWM65" s="0"/>
      <c r="WWN65" s="0"/>
      <c r="WWO65" s="0"/>
      <c r="WWP65" s="0"/>
      <c r="WWQ65" s="0"/>
      <c r="WWR65" s="0"/>
      <c r="WWS65" s="0"/>
      <c r="WWT65" s="0"/>
      <c r="WWU65" s="0"/>
      <c r="WWV65" s="0"/>
      <c r="WWW65" s="0"/>
      <c r="WWX65" s="0"/>
      <c r="WWY65" s="0"/>
      <c r="WWZ65" s="0"/>
      <c r="WXA65" s="0"/>
      <c r="WXB65" s="0"/>
      <c r="WXC65" s="0"/>
      <c r="WXD65" s="0"/>
      <c r="WXE65" s="0"/>
      <c r="WXF65" s="0"/>
      <c r="WXG65" s="0"/>
      <c r="WXH65" s="0"/>
      <c r="WXI65" s="0"/>
      <c r="WXJ65" s="0"/>
      <c r="WXK65" s="0"/>
      <c r="WXL65" s="0"/>
      <c r="WXM65" s="0"/>
      <c r="WXN65" s="0"/>
      <c r="WXO65" s="0"/>
      <c r="WXP65" s="0"/>
      <c r="WXQ65" s="0"/>
      <c r="WXR65" s="0"/>
      <c r="WXS65" s="0"/>
      <c r="WXT65" s="0"/>
      <c r="WXU65" s="0"/>
      <c r="WXV65" s="0"/>
      <c r="WXW65" s="0"/>
      <c r="WXX65" s="0"/>
      <c r="WXY65" s="0"/>
      <c r="WXZ65" s="0"/>
      <c r="WYA65" s="0"/>
      <c r="WYB65" s="0"/>
      <c r="WYC65" s="0"/>
      <c r="WYD65" s="0"/>
      <c r="WYE65" s="0"/>
      <c r="WYF65" s="0"/>
      <c r="WYG65" s="0"/>
      <c r="WYH65" s="0"/>
      <c r="WYI65" s="0"/>
      <c r="WYJ65" s="0"/>
      <c r="WYK65" s="0"/>
      <c r="WYL65" s="0"/>
      <c r="WYM65" s="0"/>
      <c r="WYN65" s="0"/>
      <c r="WYO65" s="0"/>
      <c r="WYP65" s="0"/>
      <c r="WYQ65" s="0"/>
      <c r="WYR65" s="0"/>
      <c r="WYS65" s="0"/>
      <c r="WYT65" s="0"/>
      <c r="WYU65" s="0"/>
      <c r="WYV65" s="0"/>
      <c r="WYW65" s="0"/>
      <c r="WYX65" s="0"/>
      <c r="WYY65" s="0"/>
      <c r="WYZ65" s="0"/>
      <c r="WZA65" s="0"/>
      <c r="WZB65" s="0"/>
      <c r="WZC65" s="0"/>
      <c r="WZD65" s="0"/>
      <c r="WZE65" s="0"/>
      <c r="WZF65" s="0"/>
      <c r="WZG65" s="0"/>
      <c r="WZH65" s="0"/>
      <c r="WZI65" s="0"/>
      <c r="WZJ65" s="0"/>
      <c r="WZK65" s="0"/>
      <c r="WZL65" s="0"/>
      <c r="WZM65" s="0"/>
      <c r="WZN65" s="0"/>
      <c r="WZO65" s="0"/>
      <c r="WZP65" s="0"/>
      <c r="WZQ65" s="0"/>
      <c r="WZR65" s="0"/>
      <c r="WZS65" s="0"/>
      <c r="WZT65" s="0"/>
      <c r="WZU65" s="0"/>
      <c r="WZV65" s="0"/>
      <c r="WZW65" s="0"/>
      <c r="WZX65" s="0"/>
      <c r="WZY65" s="0"/>
      <c r="WZZ65" s="0"/>
      <c r="XAA65" s="0"/>
      <c r="XAB65" s="0"/>
      <c r="XAC65" s="0"/>
      <c r="XAD65" s="0"/>
      <c r="XAE65" s="0"/>
      <c r="XAF65" s="0"/>
      <c r="XAG65" s="0"/>
      <c r="XAH65" s="0"/>
      <c r="XAI65" s="0"/>
      <c r="XAJ65" s="0"/>
      <c r="XAK65" s="0"/>
      <c r="XAL65" s="0"/>
      <c r="XAM65" s="0"/>
      <c r="XAN65" s="0"/>
      <c r="XAO65" s="0"/>
      <c r="XAP65" s="0"/>
      <c r="XAQ65" s="0"/>
      <c r="XAR65" s="0"/>
      <c r="XAS65" s="0"/>
      <c r="XAT65" s="0"/>
      <c r="XAU65" s="0"/>
      <c r="XAV65" s="0"/>
      <c r="XAW65" s="0"/>
      <c r="XAX65" s="0"/>
      <c r="XAY65" s="0"/>
      <c r="XAZ65" s="0"/>
      <c r="XBA65" s="0"/>
      <c r="XBB65" s="0"/>
      <c r="XBC65" s="0"/>
      <c r="XBD65" s="0"/>
      <c r="XBE65" s="0"/>
      <c r="XBF65" s="0"/>
      <c r="XBG65" s="0"/>
      <c r="XBH65" s="0"/>
      <c r="XBI65" s="0"/>
      <c r="XBJ65" s="0"/>
      <c r="XBK65" s="0"/>
      <c r="XBL65" s="0"/>
      <c r="XBM65" s="0"/>
      <c r="XBN65" s="0"/>
      <c r="XBO65" s="0"/>
      <c r="XBP65" s="0"/>
      <c r="XBQ65" s="0"/>
      <c r="XBR65" s="0"/>
      <c r="XBS65" s="0"/>
      <c r="XBT65" s="0"/>
      <c r="XBU65" s="0"/>
      <c r="XBV65" s="0"/>
      <c r="XBW65" s="0"/>
      <c r="XBX65" s="0"/>
      <c r="XBY65" s="0"/>
      <c r="XBZ65" s="0"/>
      <c r="XCA65" s="0"/>
      <c r="XCB65" s="0"/>
      <c r="XCC65" s="0"/>
      <c r="XCD65" s="0"/>
      <c r="XCE65" s="0"/>
      <c r="XCF65" s="0"/>
      <c r="XCG65" s="0"/>
      <c r="XCH65" s="0"/>
      <c r="XCI65" s="0"/>
      <c r="XCJ65" s="0"/>
      <c r="XCK65" s="0"/>
      <c r="XCL65" s="0"/>
      <c r="XCM65" s="0"/>
      <c r="XCN65" s="0"/>
      <c r="XCO65" s="0"/>
      <c r="XCP65" s="0"/>
      <c r="XCQ65" s="0"/>
      <c r="XCR65" s="0"/>
      <c r="XCS65" s="0"/>
      <c r="XCT65" s="0"/>
      <c r="XCU65" s="0"/>
      <c r="XCV65" s="0"/>
      <c r="XCW65" s="0"/>
      <c r="XCX65" s="0"/>
      <c r="XCY65" s="0"/>
      <c r="XCZ65" s="0"/>
      <c r="XDA65" s="0"/>
      <c r="XDB65" s="0"/>
      <c r="XDC65" s="0"/>
      <c r="XDD65" s="0"/>
      <c r="XDE65" s="0"/>
      <c r="XDF65" s="0"/>
      <c r="XDG65" s="0"/>
      <c r="XDH65" s="0"/>
      <c r="XDI65" s="0"/>
      <c r="XDJ65" s="0"/>
      <c r="XDK65" s="0"/>
      <c r="XDL65" s="0"/>
      <c r="XDM65" s="0"/>
      <c r="XDN65" s="0"/>
      <c r="XDO65" s="0"/>
      <c r="XDP65" s="0"/>
      <c r="XDQ65" s="0"/>
      <c r="XDR65" s="0"/>
      <c r="XDS65" s="0"/>
      <c r="XDT65" s="0"/>
      <c r="XDU65" s="0"/>
      <c r="XDV65" s="0"/>
      <c r="XDW65" s="0"/>
      <c r="XDX65" s="0"/>
      <c r="XDY65" s="0"/>
      <c r="XDZ65" s="0"/>
      <c r="XEA65" s="0"/>
      <c r="XEB65" s="0"/>
      <c r="XEC65" s="0"/>
      <c r="XED65" s="0"/>
      <c r="XEE65" s="0"/>
      <c r="XEF65" s="0"/>
      <c r="XEG65" s="0"/>
      <c r="XEH65" s="0"/>
      <c r="XEI65" s="0"/>
      <c r="XEJ65" s="0"/>
      <c r="XEK65" s="0"/>
      <c r="XEL65" s="0"/>
      <c r="XEM65" s="0"/>
      <c r="XEN65" s="0"/>
      <c r="XEO65" s="0"/>
      <c r="XEP65" s="0"/>
      <c r="XEQ65" s="0"/>
      <c r="XER65" s="0"/>
      <c r="XES65" s="0"/>
      <c r="XET65" s="0"/>
      <c r="XEU65" s="0"/>
      <c r="XEV65" s="0"/>
      <c r="XEW65" s="0"/>
      <c r="XEX65" s="0"/>
      <c r="XEY65" s="0"/>
      <c r="XEZ65" s="0"/>
      <c r="XFA65" s="0"/>
      <c r="XFB65" s="0"/>
      <c r="XFC65" s="0"/>
      <c r="XFD65" s="0"/>
    </row>
    <row r="66" customFormat="false" ht="13.8" hidden="false" customHeight="false" outlineLevel="0" collapsed="false">
      <c r="A66" s="0" t="s">
        <v>431</v>
      </c>
      <c r="B66" s="0" t="s">
        <v>432</v>
      </c>
      <c r="C66" s="0" t="n">
        <v>488</v>
      </c>
      <c r="D66" s="0"/>
      <c r="E66" s="0" t="n">
        <v>515</v>
      </c>
      <c r="F66" s="0" t="s">
        <v>89</v>
      </c>
      <c r="G66" s="0" t="s">
        <v>90</v>
      </c>
      <c r="H66" s="0" t="s">
        <v>91</v>
      </c>
      <c r="I66" s="0" t="s">
        <v>92</v>
      </c>
      <c r="J66" s="0" t="n">
        <v>2020</v>
      </c>
      <c r="K66" s="0"/>
      <c r="L66" s="0"/>
      <c r="M66" s="0" t="n">
        <v>12</v>
      </c>
      <c r="N66" s="0" t="n">
        <v>7000</v>
      </c>
      <c r="O66" s="27" t="n">
        <v>2700</v>
      </c>
      <c r="P66" s="28"/>
      <c r="Q66" s="28"/>
      <c r="R66" s="28"/>
      <c r="S66" s="28"/>
      <c r="T66" s="28"/>
      <c r="U66" s="28"/>
      <c r="V66" s="28"/>
      <c r="W66" s="0" t="n">
        <v>204</v>
      </c>
      <c r="X66" s="27"/>
      <c r="Y66" s="0" t="n">
        <v>5</v>
      </c>
      <c r="Z66" s="0" t="n">
        <v>400</v>
      </c>
      <c r="AA66" s="29" t="n">
        <f aca="false">IF(AND(W66&gt;0,Z66&gt;0),(Z66/((W66+X66)*10)),"")</f>
        <v>0.196078431372549</v>
      </c>
      <c r="AB66" s="0" t="n">
        <v>100</v>
      </c>
      <c r="AC66" s="0" t="n">
        <f aca="false">ROUND(AB66*1.6, 0)</f>
        <v>160</v>
      </c>
      <c r="AD66" s="0"/>
      <c r="AE66" s="0"/>
      <c r="AF66" s="0" t="n">
        <v>19.7</v>
      </c>
      <c r="AG66" s="0" t="n">
        <v>20</v>
      </c>
      <c r="AH66" s="0"/>
      <c r="AI66" s="0"/>
      <c r="AJ66" s="30" t="n">
        <v>60</v>
      </c>
      <c r="AK66" s="0" t="str">
        <f aca="false">CONCATENATE(VLOOKUP(AL66, 'Voxel Sizes'!$A$2:$B$18,2,FALSE()),"x",INT(AH66*15), "x", INT(AI66*15))</f>
        <v>198x0x0</v>
      </c>
      <c r="AL66" s="0" t="n">
        <f aca="false">ROUND(15*((AG66*10)/256),0)</f>
        <v>12</v>
      </c>
      <c r="AM66" s="0"/>
      <c r="AN66" s="1" t="str">
        <f aca="false">CONCATENATE(VLOOKUP(AL66,Constants!$A$2:$C$16,IF(AM66&lt;&gt;"", 3, 2), FALSE()),IF(AM66&lt;&gt;"",CONCATENATE(",",VLOOKUP(AM66,$B:$AN,38,FALSE())),""))</f>
        <v>4,4,4</v>
      </c>
      <c r="AO66" s="0" t="s">
        <v>433</v>
      </c>
      <c r="AP66" s="31"/>
      <c r="AQ66" s="31"/>
      <c r="AR66" s="0"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S66" s="0"/>
      <c r="AT66" s="0" t="str">
        <f aca="false">STAD_745_NS</f>
        <v>1,1,1,1,0,0,0,0,0,0,1,1</v>
      </c>
      <c r="AU66" s="0" t="s">
        <v>434</v>
      </c>
      <c r="AV66" s="0"/>
      <c r="AW66" s="0"/>
      <c r="AX66" s="0" t="n">
        <v>30</v>
      </c>
      <c r="AY66" s="32" t="str">
        <f aca="false">IF(L66&lt;&gt;"",MAX(16,(L66-J66)+8),"")</f>
        <v/>
      </c>
      <c r="AZ66" s="0" t="n">
        <v>-15</v>
      </c>
      <c r="BA66" s="0" t="n">
        <v>-30</v>
      </c>
      <c r="BB66" s="0" t="n">
        <f aca="false">MIN(AB66/150, 1)*30</f>
        <v>20</v>
      </c>
      <c r="BC66" s="0" t="n">
        <f aca="false">MIN(N66/4000, 1)*20</f>
        <v>20</v>
      </c>
      <c r="BD66" s="0" t="n">
        <f aca="false">MIN(Z66/400,1)*20</f>
        <v>20</v>
      </c>
      <c r="BE66" s="29" t="n">
        <f aca="false">1-(MAX(J66-1900, 0)/750)</f>
        <v>0.84</v>
      </c>
      <c r="BF66" s="0" t="n">
        <f aca="false">((MAX($M66,1)*MIN($AJ66/300,1)))*IF(G66="Wagon",50,10)</f>
        <v>24</v>
      </c>
      <c r="BG66" s="1" t="n">
        <f aca="false">VLOOKUP($H66,Constants!$I:$K, 2, FALSE())</f>
        <v>0.85</v>
      </c>
      <c r="BH66" s="1" t="n">
        <f aca="false">VLOOKUP($H66,Constants!$I:$K, 3, FALSE())*IF(AND(G66="multiple_unit",AB66&lt;110),0.75,1)</f>
        <v>1.725</v>
      </c>
      <c r="BI66" s="1" t="n">
        <f aca="false">INT(POWER(((Constants!$G$2+$BB66+$BC66+$BD66+$BF66)*$BE66)*$BH66, 1.05))+$BA66</f>
        <v>134</v>
      </c>
      <c r="BJ66" s="1" t="n">
        <f aca="false">INT(POWER((((Constants!$G$1+$BB66+$BC66+$BD66+$BF66)*($BE66))*$BG66),IF($G66="wagon",1,1.2)))+$AZ66</f>
        <v>150</v>
      </c>
      <c r="BK66" s="33" t="n">
        <f aca="false">BI66*IF($G66="wagon",62.5,781.25)</f>
        <v>104687.5</v>
      </c>
      <c r="BL66" s="33" t="n">
        <f aca="false">BJ66*IF($G66="wagon",2.73,81.25)</f>
        <v>12187.5</v>
      </c>
      <c r="BM66" s="0"/>
      <c r="BN66" s="0"/>
      <c r="BO66" s="0"/>
      <c r="BP66" s="0"/>
      <c r="BQ66" s="0"/>
      <c r="BR66" s="0"/>
      <c r="BS66" s="0" t="s">
        <v>209</v>
      </c>
      <c r="BT66" s="0" t="n">
        <v>2</v>
      </c>
      <c r="BU66" s="0"/>
      <c r="BV66" s="0"/>
      <c r="BW66" s="0"/>
      <c r="BX66" s="0" t="s">
        <v>95</v>
      </c>
      <c r="BY66" s="1" t="s">
        <v>415</v>
      </c>
      <c r="BZ66" s="34" t="s">
        <v>97</v>
      </c>
      <c r="CA66" s="0" t="str">
        <f aca="false">CONCATENATE(BY66,"_",BZ66)</f>
        <v>mod_EMU</v>
      </c>
      <c r="CB66" s="0" t="str">
        <f aca="false">_xlfn.CONCAT(H66, "_",I66)</f>
        <v>electric_ELRL</v>
      </c>
      <c r="CC66" s="35" t="str">
        <f aca="false" t="array" ref="CC66:CC66">_xlfn.CONCAT("{BLACK}Length: {GOLD}", TEXT(ROUNDUP(IF(AQ66&lt;&gt;"",SUM(VALUE(_xlfn.TEXTSPLIT(AQ66, ","))), SUM(VALUE(_xlfn.TEXTSPLIT(AN66, ",")))*IF(M66, M66, 1))/16, 1), "#,##0.0"), " tiles{}")</f>
        <v>{BLACK}Length: {GOLD}9.0 tiles{}</v>
      </c>
      <c r="CD66" s="1" t="str">
        <f aca="false">VLOOKUP($CB66, Constants!$M:$N, 2, FALSE())</f>
        <v>{BLACK}Powered by: {GOLD}25kV AC</v>
      </c>
      <c r="CE66" s="0" t="str">
        <f aca="false">IF(M66&gt;1,_xlfn.CONCAT("{BLACK}Cars: {GOLD}", M66),"")</f>
        <v>{BLACK}Cars: {GOLD}12</v>
      </c>
      <c r="CF66" s="0" t="s">
        <v>435</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{GOLD}25kV AC {BLACK}Cars: {GOLD}12{}{BLACK}Length: {GOLD}9.0 tiles{}{SILVER}Stadler’s Class 745 units replaced Class 90 hauled trains on the GEML. The semi-articulated design was required to meet crashworthiness specifications.</v>
      </c>
      <c r="CI66" s="0"/>
      <c r="CJ66" s="0"/>
      <c r="CK66" s="0"/>
      <c r="CL66" s="0"/>
      <c r="CM66" s="0"/>
      <c r="CN66" s="0"/>
      <c r="CO66" s="0"/>
      <c r="CP66" s="0"/>
      <c r="CQ66" s="0"/>
      <c r="CR66" s="0"/>
      <c r="CS66" s="0"/>
      <c r="CT66" s="0"/>
      <c r="CU66" s="0"/>
      <c r="CV66" s="0"/>
      <c r="CW66" s="0"/>
      <c r="CX66" s="0"/>
      <c r="CY66" s="0"/>
      <c r="CZ66" s="0"/>
      <c r="DA66" s="0"/>
      <c r="DB66" s="0"/>
      <c r="DC66" s="0"/>
      <c r="DD66" s="0"/>
      <c r="DE66" s="0"/>
      <c r="DF66" s="0"/>
      <c r="DG66" s="0"/>
      <c r="DH66" s="0"/>
      <c r="DI66" s="0"/>
      <c r="DJ66" s="0"/>
      <c r="DK66" s="0"/>
      <c r="DL66" s="0"/>
      <c r="DM66" s="0"/>
      <c r="DN66" s="0"/>
      <c r="DO66" s="0"/>
      <c r="DP66" s="0"/>
      <c r="DQ66" s="0"/>
      <c r="DR66" s="0"/>
      <c r="DS66" s="0"/>
      <c r="DT66" s="0"/>
      <c r="DU66" s="0"/>
      <c r="DV66" s="0"/>
      <c r="DW66" s="0"/>
      <c r="DX66" s="0"/>
      <c r="DY66" s="0"/>
      <c r="DZ66" s="0"/>
      <c r="EA66" s="0"/>
      <c r="EB66" s="0"/>
      <c r="EC66" s="0"/>
      <c r="ED66" s="0"/>
      <c r="EE66" s="0"/>
      <c r="EF66" s="0"/>
      <c r="EG66" s="0"/>
      <c r="EH66" s="0"/>
      <c r="EI66" s="0"/>
      <c r="EJ66" s="0"/>
      <c r="EK66" s="0"/>
      <c r="EL66" s="0"/>
      <c r="EM66" s="0"/>
      <c r="EN66" s="0"/>
      <c r="EO66" s="0"/>
      <c r="EP66" s="0"/>
      <c r="EQ66" s="0"/>
      <c r="ER66" s="0"/>
      <c r="ES66" s="0"/>
      <c r="ET66" s="0"/>
      <c r="EU66" s="0"/>
      <c r="EV66" s="0"/>
      <c r="EW66" s="0"/>
      <c r="EX66" s="0"/>
      <c r="EY66" s="0"/>
      <c r="EZ66" s="0"/>
      <c r="FA66" s="0"/>
      <c r="FB66" s="0"/>
      <c r="FC66" s="0"/>
      <c r="FD66" s="0"/>
      <c r="FE66" s="0"/>
      <c r="FF66" s="0"/>
      <c r="FG66" s="0"/>
      <c r="FH66" s="0"/>
      <c r="FI66" s="0"/>
      <c r="FJ66" s="0"/>
      <c r="FK66" s="0"/>
      <c r="FL66" s="0"/>
      <c r="FM66" s="0"/>
      <c r="FN66" s="0"/>
      <c r="FO66" s="0"/>
      <c r="FP66" s="0"/>
      <c r="FQ66" s="0"/>
      <c r="FR66" s="0"/>
      <c r="FS66" s="0"/>
      <c r="FT66" s="0"/>
      <c r="FU66" s="0"/>
      <c r="FV66" s="0"/>
      <c r="FW66" s="0"/>
      <c r="FX66" s="0"/>
      <c r="FY66" s="0"/>
      <c r="FZ66" s="0"/>
      <c r="GA66" s="0"/>
      <c r="GB66" s="0"/>
      <c r="GC66" s="0"/>
      <c r="GD66" s="0"/>
      <c r="GE66" s="0"/>
      <c r="GF66" s="0"/>
      <c r="GG66" s="0"/>
      <c r="GH66" s="0"/>
      <c r="GI66" s="0"/>
      <c r="GJ66" s="0"/>
      <c r="GK66" s="0"/>
      <c r="GL66" s="0"/>
      <c r="GM66" s="0"/>
      <c r="GN66" s="0"/>
      <c r="GO66" s="0"/>
      <c r="GP66" s="0"/>
      <c r="GQ66" s="0"/>
      <c r="GR66" s="0"/>
      <c r="GS66" s="0"/>
      <c r="GT66" s="0"/>
      <c r="GU66" s="0"/>
      <c r="GV66" s="0"/>
      <c r="GW66" s="0"/>
      <c r="GX66" s="0"/>
      <c r="GY66" s="0"/>
      <c r="GZ66" s="0"/>
      <c r="HA66" s="0"/>
      <c r="HB66" s="0"/>
      <c r="HC66" s="0"/>
      <c r="HD66" s="0"/>
      <c r="HE66" s="0"/>
      <c r="HF66" s="0"/>
      <c r="HG66" s="0"/>
      <c r="HH66" s="0"/>
      <c r="HI66" s="0"/>
      <c r="HJ66" s="0"/>
      <c r="HK66" s="0"/>
      <c r="HL66" s="0"/>
      <c r="HM66" s="0"/>
      <c r="HN66" s="0"/>
      <c r="HO66" s="0"/>
      <c r="HP66" s="0"/>
      <c r="HQ66" s="0"/>
      <c r="HR66" s="0"/>
      <c r="HS66" s="0"/>
      <c r="HT66" s="0"/>
      <c r="HU66" s="0"/>
      <c r="HV66" s="0"/>
      <c r="HW66" s="0"/>
      <c r="HX66" s="0"/>
      <c r="HY66" s="0"/>
      <c r="HZ66" s="0"/>
      <c r="IA66" s="0"/>
      <c r="IB66" s="0"/>
      <c r="IC66" s="0"/>
      <c r="ID66" s="0"/>
      <c r="IE66" s="0"/>
      <c r="IF66" s="0"/>
      <c r="IG66" s="0"/>
      <c r="IH66" s="0"/>
      <c r="II66" s="0"/>
      <c r="IJ66" s="0"/>
      <c r="IK66" s="0"/>
      <c r="IL66" s="0"/>
      <c r="IM66" s="0"/>
      <c r="IN66" s="0"/>
      <c r="IO66" s="0"/>
      <c r="IP66" s="0"/>
      <c r="IQ66" s="0"/>
      <c r="IR66" s="0"/>
      <c r="IS66" s="0"/>
      <c r="IT66" s="0"/>
      <c r="IU66" s="0"/>
      <c r="IV66" s="0"/>
      <c r="IW66" s="0"/>
      <c r="IX66" s="0"/>
      <c r="IY66" s="0"/>
      <c r="IZ66" s="0"/>
      <c r="JA66" s="0"/>
      <c r="JB66" s="0"/>
      <c r="JC66" s="0"/>
      <c r="JD66" s="0"/>
      <c r="JE66" s="0"/>
      <c r="JF66" s="0"/>
      <c r="JG66" s="0"/>
      <c r="JH66" s="0"/>
      <c r="JI66" s="0"/>
      <c r="JJ66" s="0"/>
      <c r="JK66" s="0"/>
      <c r="JL66" s="0"/>
      <c r="JM66" s="0"/>
      <c r="JN66" s="0"/>
      <c r="JO66" s="0"/>
      <c r="JP66" s="0"/>
      <c r="JQ66" s="0"/>
      <c r="JR66" s="0"/>
      <c r="JS66" s="0"/>
      <c r="JT66" s="0"/>
      <c r="JU66" s="0"/>
      <c r="JV66" s="0"/>
      <c r="JW66" s="0"/>
      <c r="JX66" s="0"/>
      <c r="JY66" s="0"/>
      <c r="JZ66" s="0"/>
      <c r="KA66" s="0"/>
      <c r="KB66" s="0"/>
      <c r="KC66" s="0"/>
      <c r="KD66" s="0"/>
      <c r="KE66" s="0"/>
      <c r="KF66" s="0"/>
      <c r="KG66" s="0"/>
      <c r="KH66" s="0"/>
      <c r="KI66" s="0"/>
      <c r="KJ66" s="0"/>
      <c r="KK66" s="0"/>
      <c r="KL66" s="0"/>
      <c r="KM66" s="0"/>
      <c r="KN66" s="0"/>
      <c r="KO66" s="0"/>
      <c r="KP66" s="0"/>
      <c r="KQ66" s="0"/>
      <c r="KR66" s="0"/>
      <c r="KS66" s="0"/>
      <c r="KT66" s="0"/>
      <c r="KU66" s="0"/>
      <c r="KV66" s="0"/>
      <c r="KW66" s="0"/>
      <c r="KX66" s="0"/>
      <c r="KY66" s="0"/>
      <c r="KZ66" s="0"/>
      <c r="LA66" s="0"/>
      <c r="LB66" s="0"/>
      <c r="LC66" s="0"/>
      <c r="LD66" s="0"/>
      <c r="LE66" s="0"/>
      <c r="LF66" s="0"/>
      <c r="LG66" s="0"/>
      <c r="LH66" s="0"/>
      <c r="LI66" s="0"/>
      <c r="LJ66" s="0"/>
      <c r="LK66" s="0"/>
      <c r="LL66" s="0"/>
      <c r="LM66" s="0"/>
      <c r="LN66" s="0"/>
      <c r="LO66" s="0"/>
      <c r="LP66" s="0"/>
      <c r="LQ66" s="0"/>
      <c r="LR66" s="0"/>
      <c r="LS66" s="0"/>
      <c r="LT66" s="0"/>
      <c r="LU66" s="0"/>
      <c r="LV66" s="0"/>
      <c r="LW66" s="0"/>
      <c r="LX66" s="0"/>
      <c r="LY66" s="0"/>
      <c r="LZ66" s="0"/>
      <c r="MA66" s="0"/>
      <c r="MB66" s="0"/>
      <c r="MC66" s="0"/>
      <c r="MD66" s="0"/>
      <c r="ME66" s="0"/>
      <c r="MF66" s="0"/>
      <c r="MG66" s="0"/>
      <c r="MH66" s="0"/>
      <c r="MI66" s="0"/>
      <c r="MJ66" s="0"/>
      <c r="MK66" s="0"/>
      <c r="ML66" s="0"/>
      <c r="MM66" s="0"/>
      <c r="MN66" s="0"/>
      <c r="MO66" s="0"/>
      <c r="MP66" s="0"/>
      <c r="MQ66" s="0"/>
      <c r="MR66" s="0"/>
      <c r="MS66" s="0"/>
      <c r="MT66" s="0"/>
      <c r="MU66" s="0"/>
      <c r="MV66" s="0"/>
      <c r="MW66" s="0"/>
      <c r="MX66" s="0"/>
      <c r="MY66" s="0"/>
      <c r="MZ66" s="0"/>
      <c r="NA66" s="0"/>
      <c r="NB66" s="0"/>
      <c r="NC66" s="0"/>
      <c r="ND66" s="0"/>
      <c r="NE66" s="0"/>
      <c r="NF66" s="0"/>
      <c r="NG66" s="0"/>
      <c r="NH66" s="0"/>
      <c r="NI66" s="0"/>
      <c r="NJ66" s="0"/>
      <c r="NK66" s="0"/>
      <c r="NL66" s="0"/>
      <c r="NM66" s="0"/>
      <c r="NN66" s="0"/>
      <c r="NO66" s="0"/>
      <c r="NP66" s="0"/>
      <c r="NQ66" s="0"/>
      <c r="NR66" s="0"/>
      <c r="NS66" s="0"/>
      <c r="NT66" s="0"/>
      <c r="NU66" s="0"/>
      <c r="NV66" s="0"/>
      <c r="NW66" s="0"/>
      <c r="NX66" s="0"/>
      <c r="NY66" s="0"/>
      <c r="NZ66" s="0"/>
      <c r="OA66" s="0"/>
      <c r="OB66" s="0"/>
      <c r="OC66" s="0"/>
      <c r="OD66" s="0"/>
      <c r="OE66" s="0"/>
      <c r="OF66" s="0"/>
      <c r="OG66" s="0"/>
      <c r="OH66" s="0"/>
      <c r="OI66" s="0"/>
      <c r="OJ66" s="0"/>
      <c r="OK66" s="0"/>
      <c r="OL66" s="0"/>
      <c r="OM66" s="0"/>
      <c r="ON66" s="0"/>
      <c r="OO66" s="0"/>
      <c r="OP66" s="0"/>
      <c r="OQ66" s="0"/>
      <c r="OR66" s="0"/>
      <c r="OS66" s="0"/>
      <c r="OT66" s="0"/>
      <c r="OU66" s="0"/>
      <c r="OV66" s="0"/>
      <c r="OW66" s="0"/>
      <c r="OX66" s="0"/>
      <c r="OY66" s="0"/>
      <c r="OZ66" s="0"/>
      <c r="PA66" s="0"/>
      <c r="PB66" s="0"/>
      <c r="PC66" s="0"/>
      <c r="PD66" s="0"/>
      <c r="PE66" s="0"/>
      <c r="PF66" s="0"/>
      <c r="PG66" s="0"/>
      <c r="PH66" s="0"/>
      <c r="PI66" s="0"/>
      <c r="PJ66" s="0"/>
      <c r="PK66" s="0"/>
      <c r="PL66" s="0"/>
      <c r="PM66" s="0"/>
      <c r="PN66" s="0"/>
      <c r="PO66" s="0"/>
      <c r="PP66" s="0"/>
      <c r="PQ66" s="0"/>
      <c r="PR66" s="0"/>
      <c r="PS66" s="0"/>
      <c r="PT66" s="0"/>
      <c r="PU66" s="0"/>
      <c r="PV66" s="0"/>
      <c r="PW66" s="0"/>
      <c r="PX66" s="0"/>
      <c r="PY66" s="0"/>
      <c r="PZ66" s="0"/>
      <c r="QA66" s="0"/>
      <c r="QB66" s="0"/>
      <c r="QC66" s="0"/>
      <c r="QD66" s="0"/>
      <c r="QE66" s="0"/>
      <c r="QF66" s="0"/>
      <c r="QG66" s="0"/>
      <c r="QH66" s="0"/>
      <c r="QI66" s="0"/>
      <c r="QJ66" s="0"/>
      <c r="QK66" s="0"/>
      <c r="QL66" s="0"/>
      <c r="QM66" s="0"/>
      <c r="QN66" s="0"/>
      <c r="QO66" s="0"/>
      <c r="QP66" s="0"/>
      <c r="QQ66" s="0"/>
      <c r="QR66" s="0"/>
      <c r="QS66" s="0"/>
      <c r="QT66" s="0"/>
      <c r="QU66" s="0"/>
      <c r="QV66" s="0"/>
      <c r="QW66" s="0"/>
      <c r="QX66" s="0"/>
      <c r="QY66" s="0"/>
      <c r="QZ66" s="0"/>
      <c r="RA66" s="0"/>
      <c r="RB66" s="0"/>
      <c r="RC66" s="0"/>
      <c r="RD66" s="0"/>
      <c r="RE66" s="0"/>
      <c r="RF66" s="0"/>
      <c r="RG66" s="0"/>
      <c r="RH66" s="0"/>
      <c r="RI66" s="0"/>
      <c r="RJ66" s="0"/>
      <c r="RK66" s="0"/>
      <c r="RL66" s="0"/>
      <c r="RM66" s="0"/>
      <c r="RN66" s="0"/>
      <c r="RO66" s="0"/>
      <c r="RP66" s="0"/>
      <c r="RQ66" s="0"/>
      <c r="RR66" s="0"/>
      <c r="RS66" s="0"/>
      <c r="RT66" s="0"/>
      <c r="RU66" s="0"/>
      <c r="RV66" s="0"/>
      <c r="RW66" s="0"/>
      <c r="RX66" s="0"/>
      <c r="RY66" s="0"/>
      <c r="RZ66" s="0"/>
      <c r="SA66" s="0"/>
      <c r="SB66" s="0"/>
      <c r="SC66" s="0"/>
      <c r="SD66" s="0"/>
      <c r="SE66" s="0"/>
      <c r="SF66" s="0"/>
      <c r="SG66" s="0"/>
      <c r="SH66" s="0"/>
      <c r="SI66" s="0"/>
      <c r="SJ66" s="0"/>
      <c r="SK66" s="0"/>
      <c r="SL66" s="0"/>
      <c r="SM66" s="0"/>
      <c r="SN66" s="0"/>
      <c r="SO66" s="0"/>
      <c r="SP66" s="0"/>
      <c r="SQ66" s="0"/>
      <c r="SR66" s="0"/>
      <c r="SS66" s="0"/>
      <c r="ST66" s="0"/>
      <c r="SU66" s="0"/>
      <c r="SV66" s="0"/>
      <c r="SW66" s="0"/>
      <c r="SX66" s="0"/>
      <c r="SY66" s="0"/>
      <c r="SZ66" s="0"/>
      <c r="TA66" s="0"/>
      <c r="TB66" s="0"/>
      <c r="TC66" s="0"/>
      <c r="TD66" s="0"/>
      <c r="TE66" s="0"/>
      <c r="TF66" s="0"/>
      <c r="TG66" s="0"/>
      <c r="TH66" s="0"/>
      <c r="TI66" s="0"/>
      <c r="TJ66" s="0"/>
      <c r="TK66" s="0"/>
      <c r="TL66" s="0"/>
      <c r="TM66" s="0"/>
      <c r="TN66" s="0"/>
      <c r="TO66" s="0"/>
      <c r="TP66" s="0"/>
      <c r="TQ66" s="0"/>
      <c r="TR66" s="0"/>
      <c r="TS66" s="0"/>
      <c r="TT66" s="0"/>
      <c r="TU66" s="0"/>
      <c r="TV66" s="0"/>
      <c r="TW66" s="0"/>
      <c r="TX66" s="0"/>
      <c r="TY66" s="0"/>
      <c r="TZ66" s="0"/>
      <c r="UA66" s="0"/>
      <c r="UB66" s="0"/>
      <c r="UC66" s="0"/>
      <c r="UD66" s="0"/>
      <c r="UE66" s="0"/>
      <c r="UF66" s="0"/>
      <c r="UG66" s="0"/>
      <c r="UH66" s="0"/>
      <c r="UI66" s="0"/>
      <c r="UJ66" s="0"/>
      <c r="UK66" s="0"/>
      <c r="UL66" s="0"/>
      <c r="UM66" s="0"/>
      <c r="UN66" s="0"/>
      <c r="UO66" s="0"/>
      <c r="UP66" s="0"/>
      <c r="UQ66" s="0"/>
      <c r="UR66" s="0"/>
      <c r="US66" s="0"/>
      <c r="UT66" s="0"/>
      <c r="UU66" s="0"/>
      <c r="UV66" s="0"/>
      <c r="UW66" s="0"/>
      <c r="UX66" s="0"/>
      <c r="UY66" s="0"/>
      <c r="UZ66" s="0"/>
      <c r="VA66" s="0"/>
      <c r="VB66" s="0"/>
      <c r="VC66" s="0"/>
      <c r="VD66" s="0"/>
      <c r="VE66" s="0"/>
      <c r="VF66" s="0"/>
      <c r="VG66" s="0"/>
      <c r="VH66" s="0"/>
      <c r="VI66" s="0"/>
      <c r="VJ66" s="0"/>
      <c r="VK66" s="0"/>
      <c r="VL66" s="0"/>
      <c r="VM66" s="0"/>
      <c r="VN66" s="0"/>
      <c r="VO66" s="0"/>
      <c r="VP66" s="0"/>
      <c r="VQ66" s="0"/>
      <c r="VR66" s="0"/>
      <c r="VS66" s="0"/>
      <c r="VT66" s="0"/>
      <c r="VU66" s="0"/>
      <c r="VV66" s="0"/>
      <c r="VW66" s="0"/>
      <c r="VX66" s="0"/>
      <c r="VY66" s="0"/>
      <c r="VZ66" s="0"/>
      <c r="WA66" s="0"/>
      <c r="WB66" s="0"/>
      <c r="WC66" s="0"/>
      <c r="WD66" s="0"/>
      <c r="WE66" s="0"/>
      <c r="WF66" s="0"/>
      <c r="WG66" s="0"/>
      <c r="WH66" s="0"/>
      <c r="WI66" s="0"/>
      <c r="WJ66" s="0"/>
      <c r="WK66" s="0"/>
      <c r="WL66" s="0"/>
      <c r="WM66" s="0"/>
      <c r="WN66" s="0"/>
      <c r="WO66" s="0"/>
      <c r="WP66" s="0"/>
      <c r="WQ66" s="0"/>
      <c r="WR66" s="0"/>
      <c r="WS66" s="0"/>
      <c r="WT66" s="0"/>
      <c r="WU66" s="0"/>
      <c r="WV66" s="0"/>
      <c r="WW66" s="0"/>
      <c r="WX66" s="0"/>
      <c r="WY66" s="0"/>
      <c r="WZ66" s="0"/>
      <c r="XA66" s="0"/>
      <c r="XB66" s="0"/>
      <c r="XC66" s="0"/>
      <c r="XD66" s="0"/>
      <c r="XE66" s="0"/>
      <c r="XF66" s="0"/>
      <c r="XG66" s="0"/>
      <c r="XH66" s="0"/>
      <c r="XI66" s="0"/>
      <c r="XJ66" s="0"/>
      <c r="XK66" s="0"/>
      <c r="XL66" s="0"/>
      <c r="XM66" s="0"/>
      <c r="XN66" s="0"/>
      <c r="XO66" s="0"/>
      <c r="XP66" s="0"/>
      <c r="XQ66" s="0"/>
      <c r="XR66" s="0"/>
      <c r="XS66" s="0"/>
      <c r="XT66" s="0"/>
      <c r="XU66" s="0"/>
      <c r="XV66" s="0"/>
      <c r="XW66" s="0"/>
      <c r="XX66" s="0"/>
      <c r="XY66" s="0"/>
      <c r="XZ66" s="0"/>
      <c r="YA66" s="0"/>
      <c r="YB66" s="0"/>
      <c r="YC66" s="0"/>
      <c r="YD66" s="0"/>
      <c r="YE66" s="0"/>
      <c r="YF66" s="0"/>
      <c r="YG66" s="0"/>
      <c r="YH66" s="0"/>
      <c r="YI66" s="0"/>
      <c r="YJ66" s="0"/>
      <c r="YK66" s="0"/>
      <c r="YL66" s="0"/>
      <c r="YM66" s="0"/>
      <c r="YN66" s="0"/>
      <c r="YO66" s="0"/>
      <c r="YP66" s="0"/>
      <c r="YQ66" s="0"/>
      <c r="YR66" s="0"/>
      <c r="YS66" s="0"/>
      <c r="YT66" s="0"/>
      <c r="YU66" s="0"/>
      <c r="YV66" s="0"/>
      <c r="YW66" s="0"/>
      <c r="YX66" s="0"/>
      <c r="YY66" s="0"/>
      <c r="YZ66" s="0"/>
      <c r="ZA66" s="0"/>
      <c r="ZB66" s="0"/>
      <c r="ZC66" s="0"/>
      <c r="ZD66" s="0"/>
      <c r="ZE66" s="0"/>
      <c r="ZF66" s="0"/>
      <c r="ZG66" s="0"/>
      <c r="ZH66" s="0"/>
      <c r="ZI66" s="0"/>
      <c r="ZJ66" s="0"/>
      <c r="ZK66" s="0"/>
      <c r="ZL66" s="0"/>
      <c r="ZM66" s="0"/>
      <c r="ZN66" s="0"/>
      <c r="ZO66" s="0"/>
      <c r="ZP66" s="0"/>
      <c r="ZQ66" s="0"/>
      <c r="ZR66" s="0"/>
      <c r="ZS66" s="0"/>
      <c r="ZT66" s="0"/>
      <c r="ZU66" s="0"/>
      <c r="ZV66" s="0"/>
      <c r="ZW66" s="0"/>
      <c r="ZX66" s="0"/>
      <c r="ZY66" s="0"/>
      <c r="ZZ66" s="0"/>
      <c r="AAA66" s="0"/>
      <c r="AAB66" s="0"/>
      <c r="AAC66" s="0"/>
      <c r="AAD66" s="0"/>
      <c r="AAE66" s="0"/>
      <c r="AAF66" s="0"/>
      <c r="AAG66" s="0"/>
      <c r="AAH66" s="0"/>
      <c r="AAI66" s="0"/>
      <c r="AAJ66" s="0"/>
      <c r="AAK66" s="0"/>
      <c r="AAL66" s="0"/>
      <c r="AAM66" s="0"/>
      <c r="AAN66" s="0"/>
      <c r="AAO66" s="0"/>
      <c r="AAP66" s="0"/>
      <c r="AAQ66" s="0"/>
      <c r="AAR66" s="0"/>
      <c r="AAS66" s="0"/>
      <c r="AAT66" s="0"/>
      <c r="AAU66" s="0"/>
      <c r="AAV66" s="0"/>
      <c r="AAW66" s="0"/>
      <c r="AAX66" s="0"/>
      <c r="AAY66" s="0"/>
      <c r="AAZ66" s="0"/>
      <c r="ABA66" s="0"/>
      <c r="ABB66" s="0"/>
      <c r="ABC66" s="0"/>
      <c r="ABD66" s="0"/>
      <c r="ABE66" s="0"/>
      <c r="ABF66" s="0"/>
      <c r="ABG66" s="0"/>
      <c r="ABH66" s="0"/>
      <c r="ABI66" s="0"/>
      <c r="ABJ66" s="0"/>
      <c r="ABK66" s="0"/>
      <c r="ABL66" s="0"/>
      <c r="ABM66" s="0"/>
      <c r="ABN66" s="0"/>
      <c r="ABO66" s="0"/>
      <c r="ABP66" s="0"/>
      <c r="ABQ66" s="0"/>
      <c r="ABR66" s="0"/>
      <c r="ABS66" s="0"/>
      <c r="ABT66" s="0"/>
      <c r="ABU66" s="0"/>
      <c r="ABV66" s="0"/>
      <c r="ABW66" s="0"/>
      <c r="ABX66" s="0"/>
      <c r="ABY66" s="0"/>
      <c r="ABZ66" s="0"/>
      <c r="ACA66" s="0"/>
      <c r="ACB66" s="0"/>
      <c r="ACC66" s="0"/>
      <c r="ACD66" s="0"/>
      <c r="ACE66" s="0"/>
      <c r="ACF66" s="0"/>
      <c r="ACG66" s="0"/>
      <c r="ACH66" s="0"/>
      <c r="ACI66" s="0"/>
      <c r="ACJ66" s="0"/>
      <c r="ACK66" s="0"/>
      <c r="ACL66" s="0"/>
      <c r="ACM66" s="0"/>
      <c r="ACN66" s="0"/>
      <c r="ACO66" s="0"/>
      <c r="ACP66" s="0"/>
      <c r="ACQ66" s="0"/>
      <c r="ACR66" s="0"/>
      <c r="ACS66" s="0"/>
      <c r="ACT66" s="0"/>
      <c r="ACU66" s="0"/>
      <c r="ACV66" s="0"/>
      <c r="ACW66" s="0"/>
      <c r="ACX66" s="0"/>
      <c r="ACY66" s="0"/>
      <c r="ACZ66" s="0"/>
      <c r="ADA66" s="0"/>
      <c r="ADB66" s="0"/>
      <c r="ADC66" s="0"/>
      <c r="ADD66" s="0"/>
      <c r="ADE66" s="0"/>
      <c r="ADF66" s="0"/>
      <c r="ADG66" s="0"/>
      <c r="ADH66" s="0"/>
      <c r="ADI66" s="0"/>
      <c r="ADJ66" s="0"/>
      <c r="ADK66" s="0"/>
      <c r="ADL66" s="0"/>
      <c r="ADM66" s="0"/>
      <c r="ADN66" s="0"/>
      <c r="ADO66" s="0"/>
      <c r="ADP66" s="0"/>
      <c r="ADQ66" s="0"/>
      <c r="ADR66" s="0"/>
      <c r="ADS66" s="0"/>
      <c r="ADT66" s="0"/>
      <c r="ADU66" s="0"/>
      <c r="ADV66" s="0"/>
      <c r="ADW66" s="0"/>
      <c r="ADX66" s="0"/>
      <c r="ADY66" s="0"/>
      <c r="ADZ66" s="0"/>
      <c r="AEA66" s="0"/>
      <c r="AEB66" s="0"/>
      <c r="AEC66" s="0"/>
      <c r="AED66" s="0"/>
      <c r="AEE66" s="0"/>
      <c r="AEF66" s="0"/>
      <c r="AEG66" s="0"/>
      <c r="AEH66" s="0"/>
      <c r="AEI66" s="0"/>
      <c r="AEJ66" s="0"/>
      <c r="AEK66" s="0"/>
      <c r="AEL66" s="0"/>
      <c r="AEM66" s="0"/>
      <c r="AEN66" s="0"/>
      <c r="AEO66" s="0"/>
      <c r="AEP66" s="0"/>
      <c r="AEQ66" s="0"/>
      <c r="AER66" s="0"/>
      <c r="AES66" s="0"/>
      <c r="AET66" s="0"/>
      <c r="AEU66" s="0"/>
      <c r="AEV66" s="0"/>
      <c r="AEW66" s="0"/>
      <c r="AEX66" s="0"/>
      <c r="AEY66" s="0"/>
      <c r="AEZ66" s="0"/>
      <c r="AFA66" s="0"/>
      <c r="AFB66" s="0"/>
      <c r="AFC66" s="0"/>
      <c r="AFD66" s="0"/>
      <c r="AFE66" s="0"/>
      <c r="AFF66" s="0"/>
      <c r="AFG66" s="0"/>
      <c r="AFH66" s="0"/>
      <c r="AFI66" s="0"/>
      <c r="AFJ66" s="0"/>
      <c r="AFK66" s="0"/>
      <c r="AFL66" s="0"/>
      <c r="AFM66" s="0"/>
      <c r="AFN66" s="0"/>
      <c r="AFO66" s="0"/>
      <c r="AFP66" s="0"/>
      <c r="AFQ66" s="0"/>
      <c r="AFR66" s="0"/>
      <c r="AFS66" s="0"/>
      <c r="AFT66" s="0"/>
      <c r="AFU66" s="0"/>
      <c r="AFV66" s="0"/>
      <c r="AFW66" s="0"/>
      <c r="AFX66" s="0"/>
      <c r="AFY66" s="0"/>
      <c r="AFZ66" s="0"/>
      <c r="AGA66" s="0"/>
      <c r="AGB66" s="0"/>
      <c r="AGC66" s="0"/>
      <c r="AGD66" s="0"/>
      <c r="AGE66" s="0"/>
      <c r="AGF66" s="0"/>
      <c r="AGG66" s="0"/>
      <c r="AGH66" s="0"/>
      <c r="AGI66" s="0"/>
      <c r="AGJ66" s="0"/>
      <c r="AGK66" s="0"/>
      <c r="AGL66" s="0"/>
      <c r="AGM66" s="0"/>
      <c r="AGN66" s="0"/>
      <c r="AGO66" s="0"/>
      <c r="AGP66" s="0"/>
      <c r="AGQ66" s="0"/>
      <c r="AGR66" s="0"/>
      <c r="AGS66" s="0"/>
      <c r="AGT66" s="0"/>
      <c r="AGU66" s="0"/>
      <c r="AGV66" s="0"/>
      <c r="AGW66" s="0"/>
      <c r="AGX66" s="0"/>
      <c r="AGY66" s="0"/>
      <c r="AGZ66" s="0"/>
      <c r="AHA66" s="0"/>
      <c r="AHB66" s="0"/>
      <c r="AHC66" s="0"/>
      <c r="AHD66" s="0"/>
      <c r="AHE66" s="0"/>
      <c r="AHF66" s="0"/>
      <c r="AHG66" s="0"/>
      <c r="AHH66" s="0"/>
      <c r="AHI66" s="0"/>
      <c r="AHJ66" s="0"/>
      <c r="AHK66" s="0"/>
      <c r="AHL66" s="0"/>
      <c r="AHM66" s="0"/>
      <c r="AHN66" s="0"/>
      <c r="AHO66" s="0"/>
      <c r="AHP66" s="0"/>
      <c r="AHQ66" s="0"/>
      <c r="AHR66" s="0"/>
      <c r="AHS66" s="0"/>
      <c r="AHT66" s="0"/>
      <c r="AHU66" s="0"/>
      <c r="AHV66" s="0"/>
      <c r="AHW66" s="0"/>
      <c r="AHX66" s="0"/>
      <c r="AHY66" s="0"/>
      <c r="AHZ66" s="0"/>
      <c r="AIA66" s="0"/>
      <c r="AIB66" s="0"/>
      <c r="AIC66" s="0"/>
      <c r="AID66" s="0"/>
      <c r="AIE66" s="0"/>
      <c r="AIF66" s="0"/>
      <c r="AIG66" s="0"/>
      <c r="AIH66" s="0"/>
      <c r="AII66" s="0"/>
      <c r="AIJ66" s="0"/>
      <c r="AIK66" s="0"/>
      <c r="AIL66" s="0"/>
      <c r="AIM66" s="0"/>
      <c r="AIN66" s="0"/>
      <c r="AIO66" s="0"/>
      <c r="AIP66" s="0"/>
      <c r="AIQ66" s="0"/>
      <c r="AIR66" s="0"/>
      <c r="AIS66" s="0"/>
      <c r="AIT66" s="0"/>
      <c r="AIU66" s="0"/>
      <c r="AIV66" s="0"/>
      <c r="AIW66" s="0"/>
      <c r="AIX66" s="0"/>
      <c r="AIY66" s="0"/>
      <c r="AIZ66" s="0"/>
      <c r="AJA66" s="0"/>
      <c r="AJB66" s="0"/>
      <c r="AJC66" s="0"/>
      <c r="AJD66" s="0"/>
      <c r="AJE66" s="0"/>
      <c r="AJF66" s="0"/>
      <c r="AJG66" s="0"/>
      <c r="AJH66" s="0"/>
      <c r="AJI66" s="0"/>
      <c r="AJJ66" s="0"/>
      <c r="AJK66" s="0"/>
      <c r="AJL66" s="0"/>
      <c r="AJM66" s="0"/>
      <c r="AJN66" s="0"/>
      <c r="AJO66" s="0"/>
      <c r="AJP66" s="0"/>
      <c r="AJQ66" s="0"/>
      <c r="AJR66" s="0"/>
      <c r="AJS66" s="0"/>
      <c r="AJT66" s="0"/>
      <c r="AJU66" s="0"/>
      <c r="AJV66" s="0"/>
      <c r="AJW66" s="0"/>
      <c r="AJX66" s="0"/>
      <c r="AJY66" s="0"/>
      <c r="AJZ66" s="0"/>
      <c r="AKA66" s="0"/>
      <c r="AKB66" s="0"/>
      <c r="AKC66" s="0"/>
      <c r="AKD66" s="0"/>
      <c r="AKE66" s="0"/>
      <c r="AKF66" s="0"/>
      <c r="AKG66" s="0"/>
      <c r="AKH66" s="0"/>
      <c r="AKI66" s="0"/>
      <c r="AKJ66" s="0"/>
      <c r="AKK66" s="0"/>
      <c r="AKL66" s="0"/>
      <c r="AKM66" s="0"/>
      <c r="AKN66" s="0"/>
      <c r="AKO66" s="0"/>
      <c r="AKP66" s="0"/>
      <c r="AKQ66" s="0"/>
      <c r="AKR66" s="0"/>
      <c r="AKS66" s="0"/>
      <c r="AKT66" s="0"/>
      <c r="AKU66" s="0"/>
      <c r="AKV66" s="0"/>
      <c r="AKW66" s="0"/>
      <c r="AKX66" s="0"/>
      <c r="AKY66" s="0"/>
      <c r="AKZ66" s="0"/>
      <c r="ALA66" s="0"/>
      <c r="ALB66" s="0"/>
      <c r="ALC66" s="0"/>
      <c r="ALD66" s="0"/>
      <c r="ALE66" s="0"/>
      <c r="ALF66" s="0"/>
      <c r="ALG66" s="0"/>
      <c r="ALH66" s="0"/>
      <c r="ALI66" s="0"/>
      <c r="ALJ66" s="0"/>
      <c r="ALK66" s="0"/>
      <c r="ALL66" s="0"/>
      <c r="ALM66" s="0"/>
      <c r="ALN66" s="0"/>
      <c r="ALO66" s="0"/>
      <c r="ALP66" s="0"/>
      <c r="ALQ66" s="0"/>
      <c r="ALR66" s="0"/>
      <c r="ALS66" s="0"/>
      <c r="ALT66" s="0"/>
      <c r="ALU66" s="0"/>
      <c r="ALV66" s="0"/>
      <c r="ALW66" s="0"/>
      <c r="ALX66" s="0"/>
      <c r="ALY66" s="0"/>
      <c r="ALZ66" s="0"/>
      <c r="AMA66" s="0"/>
      <c r="AMB66" s="0"/>
      <c r="AMC66" s="0"/>
      <c r="AMD66" s="0"/>
      <c r="AME66" s="0"/>
      <c r="AMF66" s="0"/>
      <c r="AMG66" s="0"/>
      <c r="AMH66" s="0"/>
      <c r="AMI66" s="0"/>
      <c r="AMJ66" s="0"/>
      <c r="AMK66" s="0"/>
      <c r="AML66" s="0"/>
      <c r="AMM66" s="0"/>
      <c r="AMN66" s="0"/>
      <c r="AMO66" s="0"/>
      <c r="AMP66" s="0"/>
      <c r="AMQ66" s="0"/>
      <c r="AMR66" s="0"/>
      <c r="AMS66" s="0"/>
      <c r="AMT66" s="0"/>
      <c r="AMU66" s="0"/>
      <c r="AMV66" s="0"/>
      <c r="AMW66" s="0"/>
      <c r="AMX66" s="0"/>
      <c r="AMY66" s="0"/>
      <c r="AMZ66" s="0"/>
      <c r="ANA66" s="0"/>
      <c r="ANB66" s="0"/>
      <c r="ANC66" s="0"/>
      <c r="AND66" s="0"/>
      <c r="ANE66" s="0"/>
      <c r="ANF66" s="0"/>
      <c r="ANG66" s="0"/>
      <c r="ANH66" s="0"/>
      <c r="ANI66" s="0"/>
      <c r="ANJ66" s="0"/>
      <c r="ANK66" s="0"/>
      <c r="ANL66" s="0"/>
      <c r="ANM66" s="0"/>
      <c r="ANN66" s="0"/>
      <c r="ANO66" s="0"/>
      <c r="ANP66" s="0"/>
      <c r="ANQ66" s="0"/>
      <c r="ANR66" s="0"/>
      <c r="ANS66" s="0"/>
      <c r="ANT66" s="0"/>
      <c r="ANU66" s="0"/>
      <c r="ANV66" s="0"/>
      <c r="ANW66" s="0"/>
      <c r="ANX66" s="0"/>
      <c r="ANY66" s="0"/>
      <c r="ANZ66" s="0"/>
      <c r="AOA66" s="0"/>
      <c r="AOB66" s="0"/>
      <c r="AOC66" s="0"/>
      <c r="AOD66" s="0"/>
      <c r="AOE66" s="0"/>
      <c r="AOF66" s="0"/>
      <c r="AOG66" s="0"/>
      <c r="AOH66" s="0"/>
      <c r="AOI66" s="0"/>
      <c r="AOJ66" s="0"/>
      <c r="AOK66" s="0"/>
      <c r="AOL66" s="0"/>
      <c r="AOM66" s="0"/>
      <c r="AON66" s="0"/>
      <c r="AOO66" s="0"/>
      <c r="AOP66" s="0"/>
      <c r="AOQ66" s="0"/>
      <c r="AOR66" s="0"/>
      <c r="AOS66" s="0"/>
      <c r="AOT66" s="0"/>
      <c r="AOU66" s="0"/>
      <c r="AOV66" s="0"/>
      <c r="AOW66" s="0"/>
      <c r="AOX66" s="0"/>
      <c r="AOY66" s="0"/>
      <c r="AOZ66" s="0"/>
      <c r="APA66" s="0"/>
      <c r="APB66" s="0"/>
      <c r="APC66" s="0"/>
      <c r="APD66" s="0"/>
      <c r="APE66" s="0"/>
      <c r="APF66" s="0"/>
      <c r="APG66" s="0"/>
      <c r="APH66" s="0"/>
      <c r="API66" s="0"/>
      <c r="APJ66" s="0"/>
      <c r="APK66" s="0"/>
      <c r="APL66" s="0"/>
      <c r="APM66" s="0"/>
      <c r="APN66" s="0"/>
      <c r="APO66" s="0"/>
      <c r="APP66" s="0"/>
      <c r="APQ66" s="0"/>
      <c r="APR66" s="0"/>
      <c r="APS66" s="0"/>
      <c r="APT66" s="0"/>
      <c r="APU66" s="0"/>
      <c r="APV66" s="0"/>
      <c r="APW66" s="0"/>
      <c r="APX66" s="0"/>
      <c r="APY66" s="0"/>
      <c r="APZ66" s="0"/>
      <c r="AQA66" s="0"/>
      <c r="AQB66" s="0"/>
      <c r="AQC66" s="0"/>
      <c r="AQD66" s="0"/>
      <c r="AQE66" s="0"/>
      <c r="AQF66" s="0"/>
      <c r="AQG66" s="0"/>
      <c r="AQH66" s="0"/>
      <c r="AQI66" s="0"/>
      <c r="AQJ66" s="0"/>
      <c r="AQK66" s="0"/>
      <c r="AQL66" s="0"/>
      <c r="AQM66" s="0"/>
      <c r="AQN66" s="0"/>
      <c r="AQO66" s="0"/>
      <c r="AQP66" s="0"/>
      <c r="AQQ66" s="0"/>
      <c r="AQR66" s="0"/>
      <c r="AQS66" s="0"/>
      <c r="AQT66" s="0"/>
      <c r="AQU66" s="0"/>
      <c r="AQV66" s="0"/>
      <c r="AQW66" s="0"/>
      <c r="AQX66" s="0"/>
      <c r="AQY66" s="0"/>
      <c r="AQZ66" s="0"/>
      <c r="ARA66" s="0"/>
      <c r="ARB66" s="0"/>
      <c r="ARC66" s="0"/>
      <c r="ARD66" s="0"/>
      <c r="ARE66" s="0"/>
      <c r="ARF66" s="0"/>
      <c r="ARG66" s="0"/>
      <c r="ARH66" s="0"/>
      <c r="ARI66" s="0"/>
      <c r="ARJ66" s="0"/>
      <c r="ARK66" s="0"/>
      <c r="ARL66" s="0"/>
      <c r="ARM66" s="0"/>
      <c r="ARN66" s="0"/>
      <c r="ARO66" s="0"/>
      <c r="ARP66" s="0"/>
      <c r="ARQ66" s="0"/>
      <c r="ARR66" s="0"/>
      <c r="ARS66" s="0"/>
      <c r="ART66" s="0"/>
      <c r="ARU66" s="0"/>
      <c r="ARV66" s="0"/>
      <c r="ARW66" s="0"/>
      <c r="ARX66" s="0"/>
      <c r="ARY66" s="0"/>
      <c r="ARZ66" s="0"/>
      <c r="ASA66" s="0"/>
      <c r="ASB66" s="0"/>
      <c r="ASC66" s="0"/>
      <c r="ASD66" s="0"/>
      <c r="ASE66" s="0"/>
      <c r="ASF66" s="0"/>
      <c r="ASG66" s="0"/>
      <c r="ASH66" s="0"/>
      <c r="ASI66" s="0"/>
      <c r="ASJ66" s="0"/>
      <c r="ASK66" s="0"/>
      <c r="ASL66" s="0"/>
      <c r="ASM66" s="0"/>
      <c r="ASN66" s="0"/>
      <c r="ASO66" s="0"/>
      <c r="ASP66" s="0"/>
      <c r="ASQ66" s="0"/>
      <c r="ASR66" s="0"/>
      <c r="ASS66" s="0"/>
      <c r="AST66" s="0"/>
      <c r="ASU66" s="0"/>
      <c r="ASV66" s="0"/>
      <c r="ASW66" s="0"/>
      <c r="ASX66" s="0"/>
      <c r="ASY66" s="0"/>
      <c r="ASZ66" s="0"/>
      <c r="ATA66" s="0"/>
      <c r="ATB66" s="0"/>
      <c r="ATC66" s="0"/>
      <c r="ATD66" s="0"/>
      <c r="ATE66" s="0"/>
      <c r="ATF66" s="0"/>
      <c r="ATG66" s="0"/>
      <c r="ATH66" s="0"/>
      <c r="ATI66" s="0"/>
      <c r="ATJ66" s="0"/>
      <c r="ATK66" s="0"/>
      <c r="ATL66" s="0"/>
      <c r="ATM66" s="0"/>
      <c r="ATN66" s="0"/>
      <c r="ATO66" s="0"/>
      <c r="ATP66" s="0"/>
      <c r="ATQ66" s="0"/>
      <c r="ATR66" s="0"/>
      <c r="ATS66" s="0"/>
      <c r="ATT66" s="0"/>
      <c r="ATU66" s="0"/>
      <c r="ATV66" s="0"/>
      <c r="ATW66" s="0"/>
      <c r="ATX66" s="0"/>
      <c r="ATY66" s="0"/>
      <c r="ATZ66" s="0"/>
      <c r="AUA66" s="0"/>
      <c r="AUB66" s="0"/>
      <c r="AUC66" s="0"/>
      <c r="AUD66" s="0"/>
      <c r="AUE66" s="0"/>
      <c r="AUF66" s="0"/>
      <c r="AUG66" s="0"/>
      <c r="AUH66" s="0"/>
      <c r="AUI66" s="0"/>
      <c r="AUJ66" s="0"/>
      <c r="AUK66" s="0"/>
      <c r="AUL66" s="0"/>
      <c r="AUM66" s="0"/>
      <c r="AUN66" s="0"/>
      <c r="AUO66" s="0"/>
      <c r="AUP66" s="0"/>
      <c r="AUQ66" s="0"/>
      <c r="AUR66" s="0"/>
      <c r="AUS66" s="0"/>
      <c r="AUT66" s="0"/>
      <c r="AUU66" s="0"/>
      <c r="AUV66" s="0"/>
      <c r="AUW66" s="0"/>
      <c r="AUX66" s="0"/>
      <c r="AUY66" s="0"/>
      <c r="AUZ66" s="0"/>
      <c r="AVA66" s="0"/>
      <c r="AVB66" s="0"/>
      <c r="AVC66" s="0"/>
      <c r="AVD66" s="0"/>
      <c r="AVE66" s="0"/>
      <c r="AVF66" s="0"/>
      <c r="AVG66" s="0"/>
      <c r="AVH66" s="0"/>
      <c r="AVI66" s="0"/>
      <c r="AVJ66" s="0"/>
      <c r="AVK66" s="0"/>
      <c r="AVL66" s="0"/>
      <c r="AVM66" s="0"/>
      <c r="AVN66" s="0"/>
      <c r="AVO66" s="0"/>
      <c r="AVP66" s="0"/>
      <c r="AVQ66" s="0"/>
      <c r="AVR66" s="0"/>
      <c r="AVS66" s="0"/>
      <c r="AVT66" s="0"/>
      <c r="AVU66" s="0"/>
      <c r="AVV66" s="0"/>
      <c r="AVW66" s="0"/>
      <c r="AVX66" s="0"/>
      <c r="AVY66" s="0"/>
      <c r="AVZ66" s="0"/>
      <c r="AWA66" s="0"/>
      <c r="AWB66" s="0"/>
      <c r="AWC66" s="0"/>
      <c r="AWD66" s="0"/>
      <c r="AWE66" s="0"/>
      <c r="AWF66" s="0"/>
      <c r="AWG66" s="0"/>
      <c r="AWH66" s="0"/>
      <c r="AWI66" s="0"/>
      <c r="AWJ66" s="0"/>
      <c r="AWK66" s="0"/>
      <c r="AWL66" s="0"/>
      <c r="AWM66" s="0"/>
      <c r="AWN66" s="0"/>
      <c r="AWO66" s="0"/>
      <c r="AWP66" s="0"/>
      <c r="AWQ66" s="0"/>
      <c r="AWR66" s="0"/>
      <c r="AWS66" s="0"/>
      <c r="AWT66" s="0"/>
      <c r="AWU66" s="0"/>
      <c r="AWV66" s="0"/>
      <c r="AWW66" s="0"/>
      <c r="AWX66" s="0"/>
      <c r="AWY66" s="0"/>
      <c r="AWZ66" s="0"/>
      <c r="AXA66" s="0"/>
      <c r="AXB66" s="0"/>
      <c r="AXC66" s="0"/>
      <c r="AXD66" s="0"/>
      <c r="AXE66" s="0"/>
      <c r="AXF66" s="0"/>
      <c r="AXG66" s="0"/>
      <c r="AXH66" s="0"/>
      <c r="AXI66" s="0"/>
      <c r="AXJ66" s="0"/>
      <c r="AXK66" s="0"/>
      <c r="AXL66" s="0"/>
      <c r="AXM66" s="0"/>
      <c r="AXN66" s="0"/>
      <c r="AXO66" s="0"/>
      <c r="AXP66" s="0"/>
      <c r="AXQ66" s="0"/>
      <c r="AXR66" s="0"/>
      <c r="AXS66" s="0"/>
      <c r="AXT66" s="0"/>
      <c r="AXU66" s="0"/>
      <c r="AXV66" s="0"/>
      <c r="AXW66" s="0"/>
      <c r="AXX66" s="0"/>
      <c r="AXY66" s="0"/>
      <c r="AXZ66" s="0"/>
      <c r="AYA66" s="0"/>
      <c r="AYB66" s="0"/>
      <c r="AYC66" s="0"/>
      <c r="AYD66" s="0"/>
      <c r="AYE66" s="0"/>
      <c r="AYF66" s="0"/>
      <c r="AYG66" s="0"/>
      <c r="AYH66" s="0"/>
      <c r="AYI66" s="0"/>
      <c r="AYJ66" s="0"/>
      <c r="AYK66" s="0"/>
      <c r="AYL66" s="0"/>
      <c r="AYM66" s="0"/>
      <c r="AYN66" s="0"/>
      <c r="AYO66" s="0"/>
      <c r="AYP66" s="0"/>
      <c r="AYQ66" s="0"/>
      <c r="AYR66" s="0"/>
      <c r="AYS66" s="0"/>
      <c r="AYT66" s="0"/>
      <c r="AYU66" s="0"/>
      <c r="AYV66" s="0"/>
      <c r="AYW66" s="0"/>
      <c r="AYX66" s="0"/>
      <c r="AYY66" s="0"/>
      <c r="AYZ66" s="0"/>
      <c r="AZA66" s="0"/>
      <c r="AZB66" s="0"/>
      <c r="AZC66" s="0"/>
      <c r="AZD66" s="0"/>
      <c r="AZE66" s="0"/>
      <c r="AZF66" s="0"/>
      <c r="AZG66" s="0"/>
      <c r="AZH66" s="0"/>
      <c r="AZI66" s="0"/>
      <c r="AZJ66" s="0"/>
      <c r="AZK66" s="0"/>
      <c r="AZL66" s="0"/>
      <c r="AZM66" s="0"/>
      <c r="AZN66" s="0"/>
      <c r="AZO66" s="0"/>
      <c r="AZP66" s="0"/>
      <c r="AZQ66" s="0"/>
      <c r="AZR66" s="0"/>
      <c r="AZS66" s="0"/>
      <c r="AZT66" s="0"/>
      <c r="AZU66" s="0"/>
      <c r="AZV66" s="0"/>
      <c r="AZW66" s="0"/>
      <c r="AZX66" s="0"/>
      <c r="AZY66" s="0"/>
      <c r="AZZ66" s="0"/>
      <c r="BAA66" s="0"/>
      <c r="BAB66" s="0"/>
      <c r="BAC66" s="0"/>
      <c r="BAD66" s="0"/>
      <c r="BAE66" s="0"/>
      <c r="BAF66" s="0"/>
      <c r="BAG66" s="0"/>
      <c r="BAH66" s="0"/>
      <c r="BAI66" s="0"/>
      <c r="BAJ66" s="0"/>
      <c r="BAK66" s="0"/>
      <c r="BAL66" s="0"/>
      <c r="BAM66" s="0"/>
      <c r="BAN66" s="0"/>
      <c r="BAO66" s="0"/>
      <c r="BAP66" s="0"/>
      <c r="BAQ66" s="0"/>
      <c r="BAR66" s="0"/>
      <c r="BAS66" s="0"/>
      <c r="BAT66" s="0"/>
      <c r="BAU66" s="0"/>
      <c r="BAV66" s="0"/>
      <c r="BAW66" s="0"/>
      <c r="BAX66" s="0"/>
      <c r="BAY66" s="0"/>
      <c r="BAZ66" s="0"/>
      <c r="BBA66" s="0"/>
      <c r="BBB66" s="0"/>
      <c r="BBC66" s="0"/>
      <c r="BBD66" s="0"/>
      <c r="BBE66" s="0"/>
      <c r="BBF66" s="0"/>
      <c r="BBG66" s="0"/>
      <c r="BBH66" s="0"/>
      <c r="BBI66" s="0"/>
      <c r="BBJ66" s="0"/>
      <c r="BBK66" s="0"/>
      <c r="BBL66" s="0"/>
      <c r="BBM66" s="0"/>
      <c r="BBN66" s="0"/>
      <c r="BBO66" s="0"/>
      <c r="BBP66" s="0"/>
      <c r="BBQ66" s="0"/>
      <c r="BBR66" s="0"/>
      <c r="BBS66" s="0"/>
      <c r="BBT66" s="0"/>
      <c r="BBU66" s="0"/>
      <c r="BBV66" s="0"/>
      <c r="BBW66" s="0"/>
      <c r="BBX66" s="0"/>
      <c r="BBY66" s="0"/>
      <c r="BBZ66" s="0"/>
      <c r="BCA66" s="0"/>
      <c r="BCB66" s="0"/>
      <c r="BCC66" s="0"/>
      <c r="BCD66" s="0"/>
      <c r="BCE66" s="0"/>
      <c r="BCF66" s="0"/>
      <c r="BCG66" s="0"/>
      <c r="BCH66" s="0"/>
      <c r="BCI66" s="0"/>
      <c r="BCJ66" s="0"/>
      <c r="BCK66" s="0"/>
      <c r="BCL66" s="0"/>
      <c r="BCM66" s="0"/>
      <c r="BCN66" s="0"/>
      <c r="BCO66" s="0"/>
      <c r="BCP66" s="0"/>
      <c r="BCQ66" s="0"/>
      <c r="BCR66" s="0"/>
      <c r="BCS66" s="0"/>
      <c r="BCT66" s="0"/>
      <c r="BCU66" s="0"/>
      <c r="BCV66" s="0"/>
      <c r="BCW66" s="0"/>
      <c r="BCX66" s="0"/>
      <c r="BCY66" s="0"/>
      <c r="BCZ66" s="0"/>
      <c r="BDA66" s="0"/>
      <c r="BDB66" s="0"/>
      <c r="BDC66" s="0"/>
      <c r="BDD66" s="0"/>
      <c r="BDE66" s="0"/>
      <c r="BDF66" s="0"/>
      <c r="BDG66" s="0"/>
      <c r="BDH66" s="0"/>
      <c r="BDI66" s="0"/>
      <c r="BDJ66" s="0"/>
      <c r="BDK66" s="0"/>
      <c r="BDL66" s="0"/>
      <c r="BDM66" s="0"/>
      <c r="BDN66" s="0"/>
      <c r="BDO66" s="0"/>
      <c r="BDP66" s="0"/>
      <c r="BDQ66" s="0"/>
      <c r="BDR66" s="0"/>
      <c r="BDS66" s="0"/>
      <c r="BDT66" s="0"/>
      <c r="BDU66" s="0"/>
      <c r="BDV66" s="0"/>
      <c r="BDW66" s="0"/>
      <c r="BDX66" s="0"/>
      <c r="BDY66" s="0"/>
      <c r="BDZ66" s="0"/>
      <c r="BEA66" s="0"/>
      <c r="BEB66" s="0"/>
      <c r="BEC66" s="0"/>
      <c r="BED66" s="0"/>
      <c r="BEE66" s="0"/>
      <c r="BEF66" s="0"/>
      <c r="BEG66" s="0"/>
      <c r="BEH66" s="0"/>
      <c r="BEI66" s="0"/>
      <c r="BEJ66" s="0"/>
      <c r="BEK66" s="0"/>
      <c r="BEL66" s="0"/>
      <c r="BEM66" s="0"/>
      <c r="BEN66" s="0"/>
      <c r="BEO66" s="0"/>
      <c r="BEP66" s="0"/>
      <c r="BEQ66" s="0"/>
      <c r="BER66" s="0"/>
      <c r="BES66" s="0"/>
      <c r="BET66" s="0"/>
      <c r="BEU66" s="0"/>
      <c r="BEV66" s="0"/>
      <c r="BEW66" s="0"/>
      <c r="BEX66" s="0"/>
      <c r="BEY66" s="0"/>
      <c r="BEZ66" s="0"/>
      <c r="BFA66" s="0"/>
      <c r="BFB66" s="0"/>
      <c r="BFC66" s="0"/>
      <c r="BFD66" s="0"/>
      <c r="BFE66" s="0"/>
      <c r="BFF66" s="0"/>
      <c r="BFG66" s="0"/>
      <c r="BFH66" s="0"/>
      <c r="BFI66" s="0"/>
      <c r="BFJ66" s="0"/>
      <c r="BFK66" s="0"/>
      <c r="BFL66" s="0"/>
      <c r="BFM66" s="0"/>
      <c r="BFN66" s="0"/>
      <c r="BFO66" s="0"/>
      <c r="BFP66" s="0"/>
      <c r="BFQ66" s="0"/>
      <c r="BFR66" s="0"/>
      <c r="BFS66" s="0"/>
      <c r="BFT66" s="0"/>
      <c r="BFU66" s="0"/>
      <c r="BFV66" s="0"/>
      <c r="BFW66" s="0"/>
      <c r="BFX66" s="0"/>
      <c r="BFY66" s="0"/>
      <c r="BFZ66" s="0"/>
      <c r="BGA66" s="0"/>
      <c r="BGB66" s="0"/>
      <c r="BGC66" s="0"/>
      <c r="BGD66" s="0"/>
      <c r="BGE66" s="0"/>
      <c r="BGF66" s="0"/>
      <c r="BGG66" s="0"/>
      <c r="BGH66" s="0"/>
      <c r="BGI66" s="0"/>
      <c r="BGJ66" s="0"/>
      <c r="BGK66" s="0"/>
      <c r="BGL66" s="0"/>
      <c r="BGM66" s="0"/>
      <c r="BGN66" s="0"/>
      <c r="BGO66" s="0"/>
      <c r="BGP66" s="0"/>
      <c r="BGQ66" s="0"/>
      <c r="BGR66" s="0"/>
      <c r="BGS66" s="0"/>
      <c r="BGT66" s="0"/>
      <c r="BGU66" s="0"/>
      <c r="BGV66" s="0"/>
      <c r="BGW66" s="0"/>
      <c r="BGX66" s="0"/>
      <c r="BGY66" s="0"/>
      <c r="BGZ66" s="0"/>
      <c r="BHA66" s="0"/>
      <c r="BHB66" s="0"/>
      <c r="BHC66" s="0"/>
      <c r="BHD66" s="0"/>
      <c r="BHE66" s="0"/>
      <c r="BHF66" s="0"/>
      <c r="BHG66" s="0"/>
      <c r="BHH66" s="0"/>
      <c r="BHI66" s="0"/>
      <c r="BHJ66" s="0"/>
      <c r="BHK66" s="0"/>
      <c r="BHL66" s="0"/>
      <c r="BHM66" s="0"/>
      <c r="BHN66" s="0"/>
      <c r="BHO66" s="0"/>
      <c r="BHP66" s="0"/>
      <c r="BHQ66" s="0"/>
      <c r="BHR66" s="0"/>
      <c r="BHS66" s="0"/>
      <c r="BHT66" s="0"/>
      <c r="BHU66" s="0"/>
      <c r="BHV66" s="0"/>
      <c r="BHW66" s="0"/>
      <c r="BHX66" s="0"/>
      <c r="BHY66" s="0"/>
      <c r="BHZ66" s="0"/>
      <c r="BIA66" s="0"/>
      <c r="BIB66" s="0"/>
      <c r="BIC66" s="0"/>
      <c r="BID66" s="0"/>
      <c r="BIE66" s="0"/>
      <c r="BIF66" s="0"/>
      <c r="BIG66" s="0"/>
      <c r="BIH66" s="0"/>
      <c r="BII66" s="0"/>
      <c r="BIJ66" s="0"/>
      <c r="BIK66" s="0"/>
      <c r="BIL66" s="0"/>
      <c r="BIM66" s="0"/>
      <c r="BIN66" s="0"/>
      <c r="BIO66" s="0"/>
      <c r="BIP66" s="0"/>
      <c r="BIQ66" s="0"/>
      <c r="BIR66" s="0"/>
      <c r="BIS66" s="0"/>
      <c r="BIT66" s="0"/>
      <c r="BIU66" s="0"/>
      <c r="BIV66" s="0"/>
      <c r="BIW66" s="0"/>
      <c r="BIX66" s="0"/>
      <c r="BIY66" s="0"/>
      <c r="BIZ66" s="0"/>
      <c r="BJA66" s="0"/>
      <c r="BJB66" s="0"/>
      <c r="BJC66" s="0"/>
      <c r="BJD66" s="0"/>
      <c r="BJE66" s="0"/>
      <c r="BJF66" s="0"/>
      <c r="BJG66" s="0"/>
      <c r="BJH66" s="0"/>
      <c r="BJI66" s="0"/>
      <c r="BJJ66" s="0"/>
      <c r="BJK66" s="0"/>
      <c r="BJL66" s="0"/>
      <c r="BJM66" s="0"/>
      <c r="BJN66" s="0"/>
      <c r="BJO66" s="0"/>
      <c r="BJP66" s="0"/>
      <c r="BJQ66" s="0"/>
      <c r="BJR66" s="0"/>
      <c r="BJS66" s="0"/>
      <c r="BJT66" s="0"/>
      <c r="BJU66" s="0"/>
      <c r="BJV66" s="0"/>
      <c r="BJW66" s="0"/>
      <c r="BJX66" s="0"/>
      <c r="BJY66" s="0"/>
      <c r="BJZ66" s="0"/>
      <c r="BKA66" s="0"/>
      <c r="BKB66" s="0"/>
      <c r="BKC66" s="0"/>
      <c r="BKD66" s="0"/>
      <c r="BKE66" s="0"/>
      <c r="BKF66" s="0"/>
      <c r="BKG66" s="0"/>
      <c r="BKH66" s="0"/>
      <c r="BKI66" s="0"/>
      <c r="BKJ66" s="0"/>
      <c r="BKK66" s="0"/>
      <c r="BKL66" s="0"/>
      <c r="BKM66" s="0"/>
      <c r="BKN66" s="0"/>
      <c r="BKO66" s="0"/>
      <c r="BKP66" s="0"/>
      <c r="BKQ66" s="0"/>
      <c r="BKR66" s="0"/>
      <c r="BKS66" s="0"/>
      <c r="BKT66" s="0"/>
      <c r="BKU66" s="0"/>
      <c r="BKV66" s="0"/>
      <c r="BKW66" s="0"/>
      <c r="BKX66" s="0"/>
      <c r="BKY66" s="0"/>
      <c r="BKZ66" s="0"/>
      <c r="BLA66" s="0"/>
      <c r="BLB66" s="0"/>
      <c r="BLC66" s="0"/>
      <c r="BLD66" s="0"/>
      <c r="BLE66" s="0"/>
      <c r="BLF66" s="0"/>
      <c r="BLG66" s="0"/>
      <c r="BLH66" s="0"/>
      <c r="BLI66" s="0"/>
      <c r="BLJ66" s="0"/>
      <c r="BLK66" s="0"/>
      <c r="BLL66" s="0"/>
      <c r="BLM66" s="0"/>
      <c r="BLN66" s="0"/>
      <c r="BLO66" s="0"/>
      <c r="BLP66" s="0"/>
      <c r="BLQ66" s="0"/>
      <c r="BLR66" s="0"/>
      <c r="BLS66" s="0"/>
      <c r="BLT66" s="0"/>
      <c r="BLU66" s="0"/>
      <c r="BLV66" s="0"/>
      <c r="BLW66" s="0"/>
      <c r="BLX66" s="0"/>
      <c r="BLY66" s="0"/>
      <c r="BLZ66" s="0"/>
      <c r="BMA66" s="0"/>
      <c r="BMB66" s="0"/>
      <c r="BMC66" s="0"/>
      <c r="BMD66" s="0"/>
      <c r="BME66" s="0"/>
      <c r="BMF66" s="0"/>
      <c r="BMG66" s="0"/>
      <c r="BMH66" s="0"/>
      <c r="BMI66" s="0"/>
      <c r="BMJ66" s="0"/>
      <c r="BMK66" s="0"/>
      <c r="BML66" s="0"/>
      <c r="BMM66" s="0"/>
      <c r="BMN66" s="0"/>
      <c r="BMO66" s="0"/>
      <c r="BMP66" s="0"/>
      <c r="BMQ66" s="0"/>
      <c r="BMR66" s="0"/>
      <c r="BMS66" s="0"/>
      <c r="BMT66" s="0"/>
      <c r="BMU66" s="0"/>
      <c r="BMV66" s="0"/>
      <c r="BMW66" s="0"/>
      <c r="BMX66" s="0"/>
      <c r="BMY66" s="0"/>
      <c r="BMZ66" s="0"/>
      <c r="BNA66" s="0"/>
      <c r="BNB66" s="0"/>
      <c r="BNC66" s="0"/>
      <c r="BND66" s="0"/>
      <c r="BNE66" s="0"/>
      <c r="BNF66" s="0"/>
      <c r="BNG66" s="0"/>
      <c r="BNH66" s="0"/>
      <c r="BNI66" s="0"/>
      <c r="BNJ66" s="0"/>
      <c r="BNK66" s="0"/>
      <c r="BNL66" s="0"/>
      <c r="BNM66" s="0"/>
      <c r="BNN66" s="0"/>
      <c r="BNO66" s="0"/>
      <c r="BNP66" s="0"/>
      <c r="BNQ66" s="0"/>
      <c r="BNR66" s="0"/>
      <c r="BNS66" s="0"/>
      <c r="BNT66" s="0"/>
      <c r="BNU66" s="0"/>
      <c r="BNV66" s="0"/>
      <c r="BNW66" s="0"/>
      <c r="BNX66" s="0"/>
      <c r="BNY66" s="0"/>
      <c r="BNZ66" s="0"/>
      <c r="BOA66" s="0"/>
      <c r="BOB66" s="0"/>
      <c r="BOC66" s="0"/>
      <c r="BOD66" s="0"/>
      <c r="BOE66" s="0"/>
      <c r="BOF66" s="0"/>
      <c r="BOG66" s="0"/>
      <c r="BOH66" s="0"/>
      <c r="BOI66" s="0"/>
      <c r="BOJ66" s="0"/>
      <c r="BOK66" s="0"/>
      <c r="BOL66" s="0"/>
      <c r="BOM66" s="0"/>
      <c r="BON66" s="0"/>
      <c r="BOO66" s="0"/>
      <c r="BOP66" s="0"/>
      <c r="BOQ66" s="0"/>
      <c r="BOR66" s="0"/>
      <c r="BOS66" s="0"/>
      <c r="BOT66" s="0"/>
      <c r="BOU66" s="0"/>
      <c r="BOV66" s="0"/>
      <c r="BOW66" s="0"/>
      <c r="BOX66" s="0"/>
      <c r="BOY66" s="0"/>
      <c r="BOZ66" s="0"/>
      <c r="BPA66" s="0"/>
      <c r="BPB66" s="0"/>
      <c r="BPC66" s="0"/>
      <c r="BPD66" s="0"/>
      <c r="BPE66" s="0"/>
      <c r="BPF66" s="0"/>
      <c r="BPG66" s="0"/>
      <c r="BPH66" s="0"/>
      <c r="BPI66" s="0"/>
      <c r="BPJ66" s="0"/>
      <c r="BPK66" s="0"/>
      <c r="BPL66" s="0"/>
      <c r="BPM66" s="0"/>
      <c r="BPN66" s="0"/>
      <c r="BPO66" s="0"/>
      <c r="BPP66" s="0"/>
      <c r="BPQ66" s="0"/>
      <c r="BPR66" s="0"/>
      <c r="BPS66" s="0"/>
      <c r="BPT66" s="0"/>
      <c r="BPU66" s="0"/>
      <c r="BPV66" s="0"/>
      <c r="BPW66" s="0"/>
      <c r="BPX66" s="0"/>
      <c r="BPY66" s="0"/>
      <c r="BPZ66" s="0"/>
      <c r="BQA66" s="0"/>
      <c r="BQB66" s="0"/>
      <c r="BQC66" s="0"/>
      <c r="BQD66" s="0"/>
      <c r="BQE66" s="0"/>
      <c r="BQF66" s="0"/>
      <c r="BQG66" s="0"/>
      <c r="BQH66" s="0"/>
      <c r="BQI66" s="0"/>
      <c r="BQJ66" s="0"/>
      <c r="BQK66" s="0"/>
      <c r="BQL66" s="0"/>
      <c r="BQM66" s="0"/>
      <c r="BQN66" s="0"/>
      <c r="BQO66" s="0"/>
      <c r="BQP66" s="0"/>
      <c r="BQQ66" s="0"/>
      <c r="BQR66" s="0"/>
      <c r="BQS66" s="0"/>
      <c r="BQT66" s="0"/>
      <c r="BQU66" s="0"/>
      <c r="BQV66" s="0"/>
      <c r="BQW66" s="0"/>
      <c r="BQX66" s="0"/>
      <c r="BQY66" s="0"/>
      <c r="BQZ66" s="0"/>
      <c r="BRA66" s="0"/>
      <c r="BRB66" s="0"/>
      <c r="BRC66" s="0"/>
      <c r="BRD66" s="0"/>
      <c r="BRE66" s="0"/>
      <c r="BRF66" s="0"/>
      <c r="BRG66" s="0"/>
      <c r="BRH66" s="0"/>
      <c r="BRI66" s="0"/>
      <c r="BRJ66" s="0"/>
      <c r="BRK66" s="0"/>
      <c r="BRL66" s="0"/>
      <c r="BRM66" s="0"/>
      <c r="BRN66" s="0"/>
      <c r="BRO66" s="0"/>
      <c r="BRP66" s="0"/>
      <c r="BRQ66" s="0"/>
      <c r="BRR66" s="0"/>
      <c r="BRS66" s="0"/>
      <c r="BRT66" s="0"/>
      <c r="BRU66" s="0"/>
      <c r="BRV66" s="0"/>
      <c r="BRW66" s="0"/>
      <c r="BRX66" s="0"/>
      <c r="BRY66" s="0"/>
      <c r="BRZ66" s="0"/>
      <c r="BSA66" s="0"/>
      <c r="BSB66" s="0"/>
      <c r="BSC66" s="0"/>
      <c r="BSD66" s="0"/>
      <c r="BSE66" s="0"/>
      <c r="BSF66" s="0"/>
      <c r="BSG66" s="0"/>
      <c r="BSH66" s="0"/>
      <c r="BSI66" s="0"/>
      <c r="BSJ66" s="0"/>
      <c r="BSK66" s="0"/>
      <c r="BSL66" s="0"/>
      <c r="BSM66" s="0"/>
      <c r="BSN66" s="0"/>
      <c r="BSO66" s="0"/>
      <c r="BSP66" s="0"/>
      <c r="BSQ66" s="0"/>
      <c r="BSR66" s="0"/>
      <c r="BSS66" s="0"/>
      <c r="BST66" s="0"/>
      <c r="BSU66" s="0"/>
      <c r="BSV66" s="0"/>
      <c r="BSW66" s="0"/>
      <c r="BSX66" s="0"/>
      <c r="BSY66" s="0"/>
      <c r="BSZ66" s="0"/>
      <c r="BTA66" s="0"/>
      <c r="BTB66" s="0"/>
      <c r="BTC66" s="0"/>
      <c r="BTD66" s="0"/>
      <c r="BTE66" s="0"/>
      <c r="BTF66" s="0"/>
      <c r="BTG66" s="0"/>
      <c r="BTH66" s="0"/>
      <c r="BTI66" s="0"/>
      <c r="BTJ66" s="0"/>
      <c r="BTK66" s="0"/>
      <c r="BTL66" s="0"/>
      <c r="BTM66" s="0"/>
      <c r="BTN66" s="0"/>
      <c r="BTO66" s="0"/>
      <c r="BTP66" s="0"/>
      <c r="BTQ66" s="0"/>
      <c r="BTR66" s="0"/>
      <c r="BTS66" s="0"/>
      <c r="BTT66" s="0"/>
      <c r="BTU66" s="0"/>
      <c r="BTV66" s="0"/>
      <c r="BTW66" s="0"/>
      <c r="BTX66" s="0"/>
      <c r="BTY66" s="0"/>
      <c r="BTZ66" s="0"/>
      <c r="BUA66" s="0"/>
      <c r="BUB66" s="0"/>
      <c r="BUC66" s="0"/>
      <c r="BUD66" s="0"/>
      <c r="BUE66" s="0"/>
      <c r="BUF66" s="0"/>
      <c r="BUG66" s="0"/>
      <c r="BUH66" s="0"/>
      <c r="BUI66" s="0"/>
      <c r="BUJ66" s="0"/>
      <c r="BUK66" s="0"/>
      <c r="BUL66" s="0"/>
      <c r="BUM66" s="0"/>
      <c r="BUN66" s="0"/>
      <c r="BUO66" s="0"/>
      <c r="BUP66" s="0"/>
      <c r="BUQ66" s="0"/>
      <c r="BUR66" s="0"/>
      <c r="BUS66" s="0"/>
      <c r="BUT66" s="0"/>
      <c r="BUU66" s="0"/>
      <c r="BUV66" s="0"/>
      <c r="BUW66" s="0"/>
      <c r="BUX66" s="0"/>
      <c r="BUY66" s="0"/>
      <c r="BUZ66" s="0"/>
      <c r="BVA66" s="0"/>
      <c r="BVB66" s="0"/>
      <c r="BVC66" s="0"/>
      <c r="BVD66" s="0"/>
      <c r="BVE66" s="0"/>
      <c r="BVF66" s="0"/>
      <c r="BVG66" s="0"/>
      <c r="BVH66" s="0"/>
      <c r="BVI66" s="0"/>
      <c r="BVJ66" s="0"/>
      <c r="BVK66" s="0"/>
      <c r="BVL66" s="0"/>
      <c r="BVM66" s="0"/>
      <c r="BVN66" s="0"/>
      <c r="BVO66" s="0"/>
      <c r="BVP66" s="0"/>
      <c r="BVQ66" s="0"/>
      <c r="BVR66" s="0"/>
      <c r="BVS66" s="0"/>
      <c r="BVT66" s="0"/>
      <c r="BVU66" s="0"/>
      <c r="BVV66" s="0"/>
      <c r="BVW66" s="0"/>
      <c r="BVX66" s="0"/>
      <c r="BVY66" s="0"/>
      <c r="BVZ66" s="0"/>
      <c r="BWA66" s="0"/>
      <c r="BWB66" s="0"/>
      <c r="BWC66" s="0"/>
      <c r="BWD66" s="0"/>
      <c r="BWE66" s="0"/>
      <c r="BWF66" s="0"/>
      <c r="BWG66" s="0"/>
      <c r="BWH66" s="0"/>
      <c r="BWI66" s="0"/>
      <c r="BWJ66" s="0"/>
      <c r="BWK66" s="0"/>
      <c r="BWL66" s="0"/>
      <c r="BWM66" s="0"/>
      <c r="BWN66" s="0"/>
      <c r="BWO66" s="0"/>
      <c r="BWP66" s="0"/>
      <c r="BWQ66" s="0"/>
      <c r="BWR66" s="0"/>
      <c r="BWS66" s="0"/>
      <c r="BWT66" s="0"/>
      <c r="BWU66" s="0"/>
      <c r="BWV66" s="0"/>
      <c r="BWW66" s="0"/>
      <c r="BWX66" s="0"/>
      <c r="BWY66" s="0"/>
      <c r="BWZ66" s="0"/>
      <c r="BXA66" s="0"/>
      <c r="BXB66" s="0"/>
      <c r="BXC66" s="0"/>
      <c r="BXD66" s="0"/>
      <c r="BXE66" s="0"/>
      <c r="BXF66" s="0"/>
      <c r="BXG66" s="0"/>
      <c r="BXH66" s="0"/>
      <c r="BXI66" s="0"/>
      <c r="BXJ66" s="0"/>
      <c r="BXK66" s="0"/>
      <c r="BXL66" s="0"/>
      <c r="BXM66" s="0"/>
      <c r="BXN66" s="0"/>
      <c r="BXO66" s="0"/>
      <c r="BXP66" s="0"/>
      <c r="BXQ66" s="0"/>
      <c r="BXR66" s="0"/>
      <c r="BXS66" s="0"/>
      <c r="BXT66" s="0"/>
      <c r="BXU66" s="0"/>
      <c r="BXV66" s="0"/>
      <c r="BXW66" s="0"/>
      <c r="BXX66" s="0"/>
      <c r="BXY66" s="0"/>
      <c r="BXZ66" s="0"/>
      <c r="BYA66" s="0"/>
      <c r="BYB66" s="0"/>
      <c r="BYC66" s="0"/>
      <c r="BYD66" s="0"/>
      <c r="BYE66" s="0"/>
      <c r="BYF66" s="0"/>
      <c r="BYG66" s="0"/>
      <c r="BYH66" s="0"/>
      <c r="BYI66" s="0"/>
      <c r="BYJ66" s="0"/>
      <c r="BYK66" s="0"/>
      <c r="BYL66" s="0"/>
      <c r="BYM66" s="0"/>
      <c r="BYN66" s="0"/>
      <c r="BYO66" s="0"/>
      <c r="BYP66" s="0"/>
      <c r="BYQ66" s="0"/>
      <c r="BYR66" s="0"/>
      <c r="BYS66" s="0"/>
      <c r="BYT66" s="0"/>
      <c r="BYU66" s="0"/>
      <c r="BYV66" s="0"/>
      <c r="BYW66" s="0"/>
      <c r="BYX66" s="0"/>
      <c r="BYY66" s="0"/>
      <c r="BYZ66" s="0"/>
      <c r="BZA66" s="0"/>
      <c r="BZB66" s="0"/>
      <c r="BZC66" s="0"/>
      <c r="BZD66" s="0"/>
      <c r="BZE66" s="0"/>
      <c r="BZF66" s="0"/>
      <c r="BZG66" s="0"/>
      <c r="BZH66" s="0"/>
      <c r="BZI66" s="0"/>
      <c r="BZJ66" s="0"/>
      <c r="BZK66" s="0"/>
      <c r="BZL66" s="0"/>
      <c r="BZM66" s="0"/>
      <c r="BZN66" s="0"/>
      <c r="BZO66" s="0"/>
      <c r="BZP66" s="0"/>
      <c r="BZQ66" s="0"/>
      <c r="BZR66" s="0"/>
      <c r="BZS66" s="0"/>
      <c r="BZT66" s="0"/>
      <c r="BZU66" s="0"/>
      <c r="BZV66" s="0"/>
      <c r="BZW66" s="0"/>
      <c r="BZX66" s="0"/>
      <c r="BZY66" s="0"/>
      <c r="BZZ66" s="0"/>
      <c r="CAA66" s="0"/>
      <c r="CAB66" s="0"/>
      <c r="CAC66" s="0"/>
      <c r="CAD66" s="0"/>
      <c r="CAE66" s="0"/>
      <c r="CAF66" s="0"/>
      <c r="CAG66" s="0"/>
      <c r="CAH66" s="0"/>
      <c r="CAI66" s="0"/>
      <c r="CAJ66" s="0"/>
      <c r="CAK66" s="0"/>
      <c r="CAL66" s="0"/>
      <c r="CAM66" s="0"/>
      <c r="CAN66" s="0"/>
      <c r="CAO66" s="0"/>
      <c r="CAP66" s="0"/>
      <c r="CAQ66" s="0"/>
      <c r="CAR66" s="0"/>
      <c r="CAS66" s="0"/>
      <c r="CAT66" s="0"/>
      <c r="CAU66" s="0"/>
      <c r="CAV66" s="0"/>
      <c r="CAW66" s="0"/>
      <c r="CAX66" s="0"/>
      <c r="CAY66" s="0"/>
      <c r="CAZ66" s="0"/>
      <c r="CBA66" s="0"/>
      <c r="CBB66" s="0"/>
      <c r="CBC66" s="0"/>
      <c r="CBD66" s="0"/>
      <c r="CBE66" s="0"/>
      <c r="CBF66" s="0"/>
      <c r="CBG66" s="0"/>
      <c r="CBH66" s="0"/>
      <c r="CBI66" s="0"/>
      <c r="CBJ66" s="0"/>
      <c r="CBK66" s="0"/>
      <c r="CBL66" s="0"/>
      <c r="CBM66" s="0"/>
      <c r="CBN66" s="0"/>
      <c r="CBO66" s="0"/>
      <c r="CBP66" s="0"/>
      <c r="CBQ66" s="0"/>
      <c r="CBR66" s="0"/>
      <c r="CBS66" s="0"/>
      <c r="CBT66" s="0"/>
      <c r="CBU66" s="0"/>
      <c r="CBV66" s="0"/>
      <c r="CBW66" s="0"/>
      <c r="CBX66" s="0"/>
      <c r="CBY66" s="0"/>
      <c r="CBZ66" s="0"/>
      <c r="CCA66" s="0"/>
      <c r="CCB66" s="0"/>
      <c r="CCC66" s="0"/>
      <c r="CCD66" s="0"/>
      <c r="CCE66" s="0"/>
      <c r="CCF66" s="0"/>
      <c r="CCG66" s="0"/>
      <c r="CCH66" s="0"/>
      <c r="CCI66" s="0"/>
      <c r="CCJ66" s="0"/>
      <c r="CCK66" s="0"/>
      <c r="CCL66" s="0"/>
      <c r="CCM66" s="0"/>
      <c r="CCN66" s="0"/>
      <c r="CCO66" s="0"/>
      <c r="CCP66" s="0"/>
      <c r="CCQ66" s="0"/>
      <c r="CCR66" s="0"/>
      <c r="CCS66" s="0"/>
      <c r="CCT66" s="0"/>
      <c r="CCU66" s="0"/>
      <c r="CCV66" s="0"/>
      <c r="CCW66" s="0"/>
      <c r="CCX66" s="0"/>
      <c r="CCY66" s="0"/>
      <c r="CCZ66" s="0"/>
      <c r="CDA66" s="0"/>
      <c r="CDB66" s="0"/>
      <c r="CDC66" s="0"/>
      <c r="CDD66" s="0"/>
      <c r="CDE66" s="0"/>
      <c r="CDF66" s="0"/>
      <c r="CDG66" s="0"/>
      <c r="CDH66" s="0"/>
      <c r="CDI66" s="0"/>
      <c r="CDJ66" s="0"/>
      <c r="CDK66" s="0"/>
      <c r="CDL66" s="0"/>
      <c r="CDM66" s="0"/>
      <c r="CDN66" s="0"/>
      <c r="CDO66" s="0"/>
      <c r="CDP66" s="0"/>
      <c r="CDQ66" s="0"/>
      <c r="CDR66" s="0"/>
      <c r="CDS66" s="0"/>
      <c r="CDT66" s="0"/>
      <c r="CDU66" s="0"/>
      <c r="CDV66" s="0"/>
      <c r="CDW66" s="0"/>
      <c r="CDX66" s="0"/>
      <c r="CDY66" s="0"/>
      <c r="CDZ66" s="0"/>
      <c r="CEA66" s="0"/>
      <c r="CEB66" s="0"/>
      <c r="CEC66" s="0"/>
      <c r="CED66" s="0"/>
      <c r="CEE66" s="0"/>
      <c r="CEF66" s="0"/>
      <c r="CEG66" s="0"/>
      <c r="CEH66" s="0"/>
      <c r="CEI66" s="0"/>
      <c r="CEJ66" s="0"/>
      <c r="CEK66" s="0"/>
      <c r="CEL66" s="0"/>
      <c r="CEM66" s="0"/>
      <c r="CEN66" s="0"/>
      <c r="CEO66" s="0"/>
      <c r="CEP66" s="0"/>
      <c r="CEQ66" s="0"/>
      <c r="CER66" s="0"/>
      <c r="CES66" s="0"/>
      <c r="CET66" s="0"/>
      <c r="CEU66" s="0"/>
      <c r="CEV66" s="0"/>
      <c r="CEW66" s="0"/>
      <c r="CEX66" s="0"/>
      <c r="CEY66" s="0"/>
      <c r="CEZ66" s="0"/>
      <c r="CFA66" s="0"/>
      <c r="CFB66" s="0"/>
      <c r="CFC66" s="0"/>
      <c r="CFD66" s="0"/>
      <c r="CFE66" s="0"/>
      <c r="CFF66" s="0"/>
      <c r="CFG66" s="0"/>
      <c r="CFH66" s="0"/>
      <c r="CFI66" s="0"/>
      <c r="CFJ66" s="0"/>
      <c r="CFK66" s="0"/>
      <c r="CFL66" s="0"/>
      <c r="CFM66" s="0"/>
      <c r="CFN66" s="0"/>
      <c r="CFO66" s="0"/>
      <c r="CFP66" s="0"/>
      <c r="CFQ66" s="0"/>
      <c r="CFR66" s="0"/>
      <c r="CFS66" s="0"/>
      <c r="CFT66" s="0"/>
      <c r="CFU66" s="0"/>
      <c r="CFV66" s="0"/>
      <c r="CFW66" s="0"/>
      <c r="CFX66" s="0"/>
      <c r="CFY66" s="0"/>
      <c r="CFZ66" s="0"/>
      <c r="CGA66" s="0"/>
      <c r="CGB66" s="0"/>
      <c r="CGC66" s="0"/>
      <c r="CGD66" s="0"/>
      <c r="CGE66" s="0"/>
      <c r="CGF66" s="0"/>
      <c r="CGG66" s="0"/>
      <c r="CGH66" s="0"/>
      <c r="CGI66" s="0"/>
      <c r="CGJ66" s="0"/>
      <c r="CGK66" s="0"/>
      <c r="CGL66" s="0"/>
      <c r="CGM66" s="0"/>
      <c r="CGN66" s="0"/>
      <c r="CGO66" s="0"/>
      <c r="CGP66" s="0"/>
      <c r="CGQ66" s="0"/>
      <c r="CGR66" s="0"/>
      <c r="CGS66" s="0"/>
      <c r="CGT66" s="0"/>
      <c r="CGU66" s="0"/>
      <c r="CGV66" s="0"/>
      <c r="CGW66" s="0"/>
      <c r="CGX66" s="0"/>
      <c r="CGY66" s="0"/>
      <c r="CGZ66" s="0"/>
      <c r="CHA66" s="0"/>
      <c r="CHB66" s="0"/>
      <c r="CHC66" s="0"/>
      <c r="CHD66" s="0"/>
      <c r="CHE66" s="0"/>
      <c r="CHF66" s="0"/>
      <c r="CHG66" s="0"/>
      <c r="CHH66" s="0"/>
      <c r="CHI66" s="0"/>
      <c r="CHJ66" s="0"/>
      <c r="CHK66" s="0"/>
      <c r="CHL66" s="0"/>
      <c r="CHM66" s="0"/>
      <c r="CHN66" s="0"/>
      <c r="CHO66" s="0"/>
      <c r="CHP66" s="0"/>
      <c r="CHQ66" s="0"/>
      <c r="CHR66" s="0"/>
      <c r="CHS66" s="0"/>
      <c r="CHT66" s="0"/>
      <c r="CHU66" s="0"/>
      <c r="CHV66" s="0"/>
      <c r="CHW66" s="0"/>
      <c r="CHX66" s="0"/>
      <c r="CHY66" s="0"/>
      <c r="CHZ66" s="0"/>
      <c r="CIA66" s="0"/>
      <c r="CIB66" s="0"/>
      <c r="CIC66" s="0"/>
      <c r="CID66" s="0"/>
      <c r="CIE66" s="0"/>
      <c r="CIF66" s="0"/>
      <c r="CIG66" s="0"/>
      <c r="CIH66" s="0"/>
      <c r="CII66" s="0"/>
      <c r="CIJ66" s="0"/>
      <c r="CIK66" s="0"/>
      <c r="CIL66" s="0"/>
      <c r="CIM66" s="0"/>
      <c r="CIN66" s="0"/>
      <c r="CIO66" s="0"/>
      <c r="CIP66" s="0"/>
      <c r="CIQ66" s="0"/>
      <c r="CIR66" s="0"/>
      <c r="CIS66" s="0"/>
      <c r="CIT66" s="0"/>
      <c r="CIU66" s="0"/>
      <c r="CIV66" s="0"/>
      <c r="CIW66" s="0"/>
      <c r="CIX66" s="0"/>
      <c r="CIY66" s="0"/>
      <c r="CIZ66" s="0"/>
      <c r="CJA66" s="0"/>
      <c r="CJB66" s="0"/>
      <c r="CJC66" s="0"/>
      <c r="CJD66" s="0"/>
      <c r="CJE66" s="0"/>
      <c r="CJF66" s="0"/>
      <c r="CJG66" s="0"/>
      <c r="CJH66" s="0"/>
      <c r="CJI66" s="0"/>
      <c r="CJJ66" s="0"/>
      <c r="CJK66" s="0"/>
      <c r="CJL66" s="0"/>
      <c r="CJM66" s="0"/>
      <c r="CJN66" s="0"/>
      <c r="CJO66" s="0"/>
      <c r="CJP66" s="0"/>
      <c r="CJQ66" s="0"/>
      <c r="CJR66" s="0"/>
      <c r="CJS66" s="0"/>
      <c r="CJT66" s="0"/>
      <c r="CJU66" s="0"/>
      <c r="CJV66" s="0"/>
      <c r="CJW66" s="0"/>
      <c r="CJX66" s="0"/>
      <c r="CJY66" s="0"/>
      <c r="CJZ66" s="0"/>
      <c r="CKA66" s="0"/>
      <c r="CKB66" s="0"/>
      <c r="CKC66" s="0"/>
      <c r="CKD66" s="0"/>
      <c r="CKE66" s="0"/>
      <c r="CKF66" s="0"/>
      <c r="CKG66" s="0"/>
      <c r="CKH66" s="0"/>
      <c r="CKI66" s="0"/>
      <c r="CKJ66" s="0"/>
      <c r="CKK66" s="0"/>
      <c r="CKL66" s="0"/>
      <c r="CKM66" s="0"/>
      <c r="CKN66" s="0"/>
      <c r="CKO66" s="0"/>
      <c r="CKP66" s="0"/>
      <c r="CKQ66" s="0"/>
      <c r="CKR66" s="0"/>
      <c r="CKS66" s="0"/>
      <c r="CKT66" s="0"/>
      <c r="CKU66" s="0"/>
      <c r="CKV66" s="0"/>
      <c r="CKW66" s="0"/>
      <c r="CKX66" s="0"/>
      <c r="CKY66" s="0"/>
      <c r="CKZ66" s="0"/>
      <c r="CLA66" s="0"/>
      <c r="CLB66" s="0"/>
      <c r="CLC66" s="0"/>
      <c r="CLD66" s="0"/>
      <c r="CLE66" s="0"/>
      <c r="CLF66" s="0"/>
      <c r="CLG66" s="0"/>
      <c r="CLH66" s="0"/>
      <c r="CLI66" s="0"/>
      <c r="CLJ66" s="0"/>
      <c r="CLK66" s="0"/>
      <c r="CLL66" s="0"/>
      <c r="CLM66" s="0"/>
      <c r="CLN66" s="0"/>
      <c r="CLO66" s="0"/>
      <c r="CLP66" s="0"/>
      <c r="CLQ66" s="0"/>
      <c r="CLR66" s="0"/>
      <c r="CLS66" s="0"/>
      <c r="CLT66" s="0"/>
      <c r="CLU66" s="0"/>
      <c r="CLV66" s="0"/>
      <c r="CLW66" s="0"/>
      <c r="CLX66" s="0"/>
      <c r="CLY66" s="0"/>
      <c r="CLZ66" s="0"/>
      <c r="CMA66" s="0"/>
      <c r="CMB66" s="0"/>
      <c r="CMC66" s="0"/>
      <c r="CMD66" s="0"/>
      <c r="CME66" s="0"/>
      <c r="CMF66" s="0"/>
      <c r="CMG66" s="0"/>
      <c r="CMH66" s="0"/>
      <c r="CMI66" s="0"/>
      <c r="CMJ66" s="0"/>
      <c r="CMK66" s="0"/>
      <c r="CML66" s="0"/>
      <c r="CMM66" s="0"/>
      <c r="CMN66" s="0"/>
      <c r="CMO66" s="0"/>
      <c r="CMP66" s="0"/>
      <c r="CMQ66" s="0"/>
      <c r="CMR66" s="0"/>
      <c r="CMS66" s="0"/>
      <c r="CMT66" s="0"/>
      <c r="CMU66" s="0"/>
      <c r="CMV66" s="0"/>
      <c r="CMW66" s="0"/>
      <c r="CMX66" s="0"/>
      <c r="CMY66" s="0"/>
      <c r="CMZ66" s="0"/>
      <c r="CNA66" s="0"/>
      <c r="CNB66" s="0"/>
      <c r="CNC66" s="0"/>
      <c r="CND66" s="0"/>
      <c r="CNE66" s="0"/>
      <c r="CNF66" s="0"/>
      <c r="CNG66" s="0"/>
      <c r="CNH66" s="0"/>
      <c r="CNI66" s="0"/>
      <c r="CNJ66" s="0"/>
      <c r="CNK66" s="0"/>
      <c r="CNL66" s="0"/>
      <c r="CNM66" s="0"/>
      <c r="CNN66" s="0"/>
      <c r="CNO66" s="0"/>
      <c r="CNP66" s="0"/>
      <c r="CNQ66" s="0"/>
      <c r="CNR66" s="0"/>
      <c r="CNS66" s="0"/>
      <c r="CNT66" s="0"/>
      <c r="CNU66" s="0"/>
      <c r="CNV66" s="0"/>
      <c r="CNW66" s="0"/>
      <c r="CNX66" s="0"/>
      <c r="CNY66" s="0"/>
      <c r="CNZ66" s="0"/>
      <c r="COA66" s="0"/>
      <c r="COB66" s="0"/>
      <c r="COC66" s="0"/>
      <c r="COD66" s="0"/>
      <c r="COE66" s="0"/>
      <c r="COF66" s="0"/>
      <c r="COG66" s="0"/>
      <c r="COH66" s="0"/>
      <c r="COI66" s="0"/>
      <c r="COJ66" s="0"/>
      <c r="COK66" s="0"/>
      <c r="COL66" s="0"/>
      <c r="COM66" s="0"/>
      <c r="CON66" s="0"/>
      <c r="COO66" s="0"/>
      <c r="COP66" s="0"/>
      <c r="COQ66" s="0"/>
      <c r="COR66" s="0"/>
      <c r="COS66" s="0"/>
      <c r="COT66" s="0"/>
      <c r="COU66" s="0"/>
      <c r="COV66" s="0"/>
      <c r="COW66" s="0"/>
      <c r="COX66" s="0"/>
      <c r="COY66" s="0"/>
      <c r="COZ66" s="0"/>
      <c r="CPA66" s="0"/>
      <c r="CPB66" s="0"/>
      <c r="CPC66" s="0"/>
      <c r="CPD66" s="0"/>
      <c r="CPE66" s="0"/>
      <c r="CPF66" s="0"/>
      <c r="CPG66" s="0"/>
      <c r="CPH66" s="0"/>
      <c r="CPI66" s="0"/>
      <c r="CPJ66" s="0"/>
      <c r="CPK66" s="0"/>
      <c r="CPL66" s="0"/>
      <c r="CPM66" s="0"/>
      <c r="CPN66" s="0"/>
      <c r="CPO66" s="0"/>
      <c r="CPP66" s="0"/>
      <c r="CPQ66" s="0"/>
      <c r="CPR66" s="0"/>
      <c r="CPS66" s="0"/>
      <c r="CPT66" s="0"/>
      <c r="CPU66" s="0"/>
      <c r="CPV66" s="0"/>
      <c r="CPW66" s="0"/>
      <c r="CPX66" s="0"/>
      <c r="CPY66" s="0"/>
      <c r="CPZ66" s="0"/>
      <c r="CQA66" s="0"/>
      <c r="CQB66" s="0"/>
      <c r="CQC66" s="0"/>
      <c r="CQD66" s="0"/>
      <c r="CQE66" s="0"/>
      <c r="CQF66" s="0"/>
      <c r="CQG66" s="0"/>
      <c r="CQH66" s="0"/>
      <c r="CQI66" s="0"/>
      <c r="CQJ66" s="0"/>
      <c r="CQK66" s="0"/>
      <c r="CQL66" s="0"/>
      <c r="CQM66" s="0"/>
      <c r="CQN66" s="0"/>
      <c r="CQO66" s="0"/>
      <c r="CQP66" s="0"/>
      <c r="CQQ66" s="0"/>
      <c r="CQR66" s="0"/>
      <c r="CQS66" s="0"/>
      <c r="CQT66" s="0"/>
      <c r="CQU66" s="0"/>
      <c r="CQV66" s="0"/>
      <c r="CQW66" s="0"/>
      <c r="CQX66" s="0"/>
      <c r="CQY66" s="0"/>
      <c r="CQZ66" s="0"/>
      <c r="CRA66" s="0"/>
      <c r="CRB66" s="0"/>
      <c r="CRC66" s="0"/>
      <c r="CRD66" s="0"/>
      <c r="CRE66" s="0"/>
      <c r="CRF66" s="0"/>
      <c r="CRG66" s="0"/>
      <c r="CRH66" s="0"/>
      <c r="CRI66" s="0"/>
      <c r="CRJ66" s="0"/>
      <c r="CRK66" s="0"/>
      <c r="CRL66" s="0"/>
      <c r="CRM66" s="0"/>
      <c r="CRN66" s="0"/>
      <c r="CRO66" s="0"/>
      <c r="CRP66" s="0"/>
      <c r="CRQ66" s="0"/>
      <c r="CRR66" s="0"/>
      <c r="CRS66" s="0"/>
      <c r="CRT66" s="0"/>
      <c r="CRU66" s="0"/>
      <c r="CRV66" s="0"/>
      <c r="CRW66" s="0"/>
      <c r="CRX66" s="0"/>
      <c r="CRY66" s="0"/>
      <c r="CRZ66" s="0"/>
      <c r="CSA66" s="0"/>
      <c r="CSB66" s="0"/>
      <c r="CSC66" s="0"/>
      <c r="CSD66" s="0"/>
      <c r="CSE66" s="0"/>
      <c r="CSF66" s="0"/>
      <c r="CSG66" s="0"/>
      <c r="CSH66" s="0"/>
      <c r="CSI66" s="0"/>
      <c r="CSJ66" s="0"/>
      <c r="CSK66" s="0"/>
      <c r="CSL66" s="0"/>
      <c r="CSM66" s="0"/>
      <c r="CSN66" s="0"/>
      <c r="CSO66" s="0"/>
      <c r="CSP66" s="0"/>
      <c r="CSQ66" s="0"/>
      <c r="CSR66" s="0"/>
      <c r="CSS66" s="0"/>
      <c r="CST66" s="0"/>
      <c r="CSU66" s="0"/>
      <c r="CSV66" s="0"/>
      <c r="CSW66" s="0"/>
      <c r="CSX66" s="0"/>
      <c r="CSY66" s="0"/>
      <c r="CSZ66" s="0"/>
      <c r="CTA66" s="0"/>
      <c r="CTB66" s="0"/>
      <c r="CTC66" s="0"/>
      <c r="CTD66" s="0"/>
      <c r="CTE66" s="0"/>
      <c r="CTF66" s="0"/>
      <c r="CTG66" s="0"/>
      <c r="CTH66" s="0"/>
      <c r="CTI66" s="0"/>
      <c r="CTJ66" s="0"/>
      <c r="CTK66" s="0"/>
      <c r="CTL66" s="0"/>
      <c r="CTM66" s="0"/>
      <c r="CTN66" s="0"/>
      <c r="CTO66" s="0"/>
      <c r="CTP66" s="0"/>
      <c r="CTQ66" s="0"/>
      <c r="CTR66" s="0"/>
      <c r="CTS66" s="0"/>
      <c r="CTT66" s="0"/>
      <c r="CTU66" s="0"/>
      <c r="CTV66" s="0"/>
      <c r="CTW66" s="0"/>
      <c r="CTX66" s="0"/>
      <c r="CTY66" s="0"/>
      <c r="CTZ66" s="0"/>
      <c r="CUA66" s="0"/>
      <c r="CUB66" s="0"/>
      <c r="CUC66" s="0"/>
      <c r="CUD66" s="0"/>
      <c r="CUE66" s="0"/>
      <c r="CUF66" s="0"/>
      <c r="CUG66" s="0"/>
      <c r="CUH66" s="0"/>
      <c r="CUI66" s="0"/>
      <c r="CUJ66" s="0"/>
      <c r="CUK66" s="0"/>
      <c r="CUL66" s="0"/>
      <c r="CUM66" s="0"/>
      <c r="CUN66" s="0"/>
      <c r="CUO66" s="0"/>
      <c r="CUP66" s="0"/>
      <c r="CUQ66" s="0"/>
      <c r="CUR66" s="0"/>
      <c r="CUS66" s="0"/>
      <c r="CUT66" s="0"/>
      <c r="CUU66" s="0"/>
      <c r="CUV66" s="0"/>
      <c r="CUW66" s="0"/>
      <c r="CUX66" s="0"/>
      <c r="CUY66" s="0"/>
      <c r="CUZ66" s="0"/>
      <c r="CVA66" s="0"/>
      <c r="CVB66" s="0"/>
      <c r="CVC66" s="0"/>
      <c r="CVD66" s="0"/>
      <c r="CVE66" s="0"/>
      <c r="CVF66" s="0"/>
      <c r="CVG66" s="0"/>
      <c r="CVH66" s="0"/>
      <c r="CVI66" s="0"/>
      <c r="CVJ66" s="0"/>
      <c r="CVK66" s="0"/>
      <c r="CVL66" s="0"/>
      <c r="CVM66" s="0"/>
      <c r="CVN66" s="0"/>
      <c r="CVO66" s="0"/>
      <c r="CVP66" s="0"/>
      <c r="CVQ66" s="0"/>
      <c r="CVR66" s="0"/>
      <c r="CVS66" s="0"/>
      <c r="CVT66" s="0"/>
      <c r="CVU66" s="0"/>
      <c r="CVV66" s="0"/>
      <c r="CVW66" s="0"/>
      <c r="CVX66" s="0"/>
      <c r="CVY66" s="0"/>
      <c r="CVZ66" s="0"/>
      <c r="CWA66" s="0"/>
      <c r="CWB66" s="0"/>
      <c r="CWC66" s="0"/>
      <c r="CWD66" s="0"/>
      <c r="CWE66" s="0"/>
      <c r="CWF66" s="0"/>
      <c r="CWG66" s="0"/>
      <c r="CWH66" s="0"/>
      <c r="CWI66" s="0"/>
      <c r="CWJ66" s="0"/>
      <c r="CWK66" s="0"/>
      <c r="CWL66" s="0"/>
      <c r="CWM66" s="0"/>
      <c r="CWN66" s="0"/>
      <c r="CWO66" s="0"/>
      <c r="CWP66" s="0"/>
      <c r="CWQ66" s="0"/>
      <c r="CWR66" s="0"/>
      <c r="CWS66" s="0"/>
      <c r="CWT66" s="0"/>
      <c r="CWU66" s="0"/>
      <c r="CWV66" s="0"/>
      <c r="CWW66" s="0"/>
      <c r="CWX66" s="0"/>
      <c r="CWY66" s="0"/>
      <c r="CWZ66" s="0"/>
      <c r="CXA66" s="0"/>
      <c r="CXB66" s="0"/>
      <c r="CXC66" s="0"/>
      <c r="CXD66" s="0"/>
      <c r="CXE66" s="0"/>
      <c r="CXF66" s="0"/>
      <c r="CXG66" s="0"/>
      <c r="CXH66" s="0"/>
      <c r="CXI66" s="0"/>
      <c r="CXJ66" s="0"/>
      <c r="CXK66" s="0"/>
      <c r="CXL66" s="0"/>
      <c r="CXM66" s="0"/>
      <c r="CXN66" s="0"/>
      <c r="CXO66" s="0"/>
      <c r="CXP66" s="0"/>
      <c r="CXQ66" s="0"/>
      <c r="CXR66" s="0"/>
      <c r="CXS66" s="0"/>
      <c r="CXT66" s="0"/>
      <c r="CXU66" s="0"/>
      <c r="CXV66" s="0"/>
      <c r="CXW66" s="0"/>
      <c r="CXX66" s="0"/>
      <c r="CXY66" s="0"/>
      <c r="CXZ66" s="0"/>
      <c r="CYA66" s="0"/>
      <c r="CYB66" s="0"/>
      <c r="CYC66" s="0"/>
      <c r="CYD66" s="0"/>
      <c r="CYE66" s="0"/>
      <c r="CYF66" s="0"/>
      <c r="CYG66" s="0"/>
      <c r="CYH66" s="0"/>
      <c r="CYI66" s="0"/>
      <c r="CYJ66" s="0"/>
      <c r="CYK66" s="0"/>
      <c r="CYL66" s="0"/>
      <c r="CYM66" s="0"/>
      <c r="CYN66" s="0"/>
      <c r="CYO66" s="0"/>
      <c r="CYP66" s="0"/>
      <c r="CYQ66" s="0"/>
      <c r="CYR66" s="0"/>
      <c r="CYS66" s="0"/>
      <c r="CYT66" s="0"/>
      <c r="CYU66" s="0"/>
      <c r="CYV66" s="0"/>
      <c r="CYW66" s="0"/>
      <c r="CYX66" s="0"/>
      <c r="CYY66" s="0"/>
      <c r="CYZ66" s="0"/>
      <c r="CZA66" s="0"/>
      <c r="CZB66" s="0"/>
      <c r="CZC66" s="0"/>
      <c r="CZD66" s="0"/>
      <c r="CZE66" s="0"/>
      <c r="CZF66" s="0"/>
      <c r="CZG66" s="0"/>
      <c r="CZH66" s="0"/>
      <c r="CZI66" s="0"/>
      <c r="CZJ66" s="0"/>
      <c r="CZK66" s="0"/>
      <c r="CZL66" s="0"/>
      <c r="CZM66" s="0"/>
      <c r="CZN66" s="0"/>
      <c r="CZO66" s="0"/>
      <c r="CZP66" s="0"/>
      <c r="CZQ66" s="0"/>
      <c r="CZR66" s="0"/>
      <c r="CZS66" s="0"/>
      <c r="CZT66" s="0"/>
      <c r="CZU66" s="0"/>
      <c r="CZV66" s="0"/>
      <c r="CZW66" s="0"/>
      <c r="CZX66" s="0"/>
      <c r="CZY66" s="0"/>
      <c r="CZZ66" s="0"/>
      <c r="DAA66" s="0"/>
      <c r="DAB66" s="0"/>
      <c r="DAC66" s="0"/>
      <c r="DAD66" s="0"/>
      <c r="DAE66" s="0"/>
      <c r="DAF66" s="0"/>
      <c r="DAG66" s="0"/>
      <c r="DAH66" s="0"/>
      <c r="DAI66" s="0"/>
      <c r="DAJ66" s="0"/>
      <c r="DAK66" s="0"/>
      <c r="DAL66" s="0"/>
      <c r="DAM66" s="0"/>
      <c r="DAN66" s="0"/>
      <c r="DAO66" s="0"/>
      <c r="DAP66" s="0"/>
      <c r="DAQ66" s="0"/>
      <c r="DAR66" s="0"/>
      <c r="DAS66" s="0"/>
      <c r="DAT66" s="0"/>
      <c r="DAU66" s="0"/>
      <c r="DAV66" s="0"/>
      <c r="DAW66" s="0"/>
      <c r="DAX66" s="0"/>
      <c r="DAY66" s="0"/>
      <c r="DAZ66" s="0"/>
      <c r="DBA66" s="0"/>
      <c r="DBB66" s="0"/>
      <c r="DBC66" s="0"/>
      <c r="DBD66" s="0"/>
      <c r="DBE66" s="0"/>
      <c r="DBF66" s="0"/>
      <c r="DBG66" s="0"/>
      <c r="DBH66" s="0"/>
      <c r="DBI66" s="0"/>
      <c r="DBJ66" s="0"/>
      <c r="DBK66" s="0"/>
      <c r="DBL66" s="0"/>
      <c r="DBM66" s="0"/>
      <c r="DBN66" s="0"/>
      <c r="DBO66" s="0"/>
      <c r="DBP66" s="0"/>
      <c r="DBQ66" s="0"/>
      <c r="DBR66" s="0"/>
      <c r="DBS66" s="0"/>
      <c r="DBT66" s="0"/>
      <c r="DBU66" s="0"/>
      <c r="DBV66" s="0"/>
      <c r="DBW66" s="0"/>
      <c r="DBX66" s="0"/>
      <c r="DBY66" s="0"/>
      <c r="DBZ66" s="0"/>
      <c r="DCA66" s="0"/>
      <c r="DCB66" s="0"/>
      <c r="DCC66" s="0"/>
      <c r="DCD66" s="0"/>
      <c r="DCE66" s="0"/>
      <c r="DCF66" s="0"/>
      <c r="DCG66" s="0"/>
      <c r="DCH66" s="0"/>
      <c r="DCI66" s="0"/>
      <c r="DCJ66" s="0"/>
      <c r="DCK66" s="0"/>
      <c r="DCL66" s="0"/>
      <c r="DCM66" s="0"/>
      <c r="DCN66" s="0"/>
      <c r="DCO66" s="0"/>
      <c r="DCP66" s="0"/>
      <c r="DCQ66" s="0"/>
      <c r="DCR66" s="0"/>
      <c r="DCS66" s="0"/>
      <c r="DCT66" s="0"/>
      <c r="DCU66" s="0"/>
      <c r="DCV66" s="0"/>
      <c r="DCW66" s="0"/>
      <c r="DCX66" s="0"/>
      <c r="DCY66" s="0"/>
      <c r="DCZ66" s="0"/>
      <c r="DDA66" s="0"/>
      <c r="DDB66" s="0"/>
      <c r="DDC66" s="0"/>
      <c r="DDD66" s="0"/>
      <c r="DDE66" s="0"/>
      <c r="DDF66" s="0"/>
      <c r="DDG66" s="0"/>
      <c r="DDH66" s="0"/>
      <c r="DDI66" s="0"/>
      <c r="DDJ66" s="0"/>
      <c r="DDK66" s="0"/>
      <c r="DDL66" s="0"/>
      <c r="DDM66" s="0"/>
      <c r="DDN66" s="0"/>
      <c r="DDO66" s="0"/>
      <c r="DDP66" s="0"/>
      <c r="DDQ66" s="0"/>
      <c r="DDR66" s="0"/>
      <c r="DDS66" s="0"/>
      <c r="DDT66" s="0"/>
      <c r="DDU66" s="0"/>
      <c r="DDV66" s="0"/>
      <c r="DDW66" s="0"/>
      <c r="DDX66" s="0"/>
      <c r="DDY66" s="0"/>
      <c r="DDZ66" s="0"/>
      <c r="DEA66" s="0"/>
      <c r="DEB66" s="0"/>
      <c r="DEC66" s="0"/>
      <c r="DED66" s="0"/>
      <c r="DEE66" s="0"/>
      <c r="DEF66" s="0"/>
      <c r="DEG66" s="0"/>
      <c r="DEH66" s="0"/>
      <c r="DEI66" s="0"/>
      <c r="DEJ66" s="0"/>
      <c r="DEK66" s="0"/>
      <c r="DEL66" s="0"/>
      <c r="DEM66" s="0"/>
      <c r="DEN66" s="0"/>
      <c r="DEO66" s="0"/>
      <c r="DEP66" s="0"/>
      <c r="DEQ66" s="0"/>
      <c r="DER66" s="0"/>
      <c r="DES66" s="0"/>
      <c r="DET66" s="0"/>
      <c r="DEU66" s="0"/>
      <c r="DEV66" s="0"/>
      <c r="DEW66" s="0"/>
      <c r="DEX66" s="0"/>
      <c r="DEY66" s="0"/>
      <c r="DEZ66" s="0"/>
      <c r="DFA66" s="0"/>
      <c r="DFB66" s="0"/>
      <c r="DFC66" s="0"/>
      <c r="DFD66" s="0"/>
      <c r="DFE66" s="0"/>
      <c r="DFF66" s="0"/>
      <c r="DFG66" s="0"/>
      <c r="DFH66" s="0"/>
      <c r="DFI66" s="0"/>
      <c r="DFJ66" s="0"/>
      <c r="DFK66" s="0"/>
      <c r="DFL66" s="0"/>
      <c r="DFM66" s="0"/>
      <c r="DFN66" s="0"/>
      <c r="DFO66" s="0"/>
      <c r="DFP66" s="0"/>
      <c r="DFQ66" s="0"/>
      <c r="DFR66" s="0"/>
      <c r="DFS66" s="0"/>
      <c r="DFT66" s="0"/>
      <c r="DFU66" s="0"/>
      <c r="DFV66" s="0"/>
      <c r="DFW66" s="0"/>
      <c r="DFX66" s="0"/>
      <c r="DFY66" s="0"/>
      <c r="DFZ66" s="0"/>
      <c r="DGA66" s="0"/>
      <c r="DGB66" s="0"/>
      <c r="DGC66" s="0"/>
      <c r="DGD66" s="0"/>
      <c r="DGE66" s="0"/>
      <c r="DGF66" s="0"/>
      <c r="DGG66" s="0"/>
      <c r="DGH66" s="0"/>
      <c r="DGI66" s="0"/>
      <c r="DGJ66" s="0"/>
      <c r="DGK66" s="0"/>
      <c r="DGL66" s="0"/>
      <c r="DGM66" s="0"/>
      <c r="DGN66" s="0"/>
      <c r="DGO66" s="0"/>
      <c r="DGP66" s="0"/>
      <c r="DGQ66" s="0"/>
      <c r="DGR66" s="0"/>
      <c r="DGS66" s="0"/>
      <c r="DGT66" s="0"/>
      <c r="DGU66" s="0"/>
      <c r="DGV66" s="0"/>
      <c r="DGW66" s="0"/>
      <c r="DGX66" s="0"/>
      <c r="DGY66" s="0"/>
      <c r="DGZ66" s="0"/>
      <c r="DHA66" s="0"/>
      <c r="DHB66" s="0"/>
      <c r="DHC66" s="0"/>
      <c r="DHD66" s="0"/>
      <c r="DHE66" s="0"/>
      <c r="DHF66" s="0"/>
      <c r="DHG66" s="0"/>
      <c r="DHH66" s="0"/>
      <c r="DHI66" s="0"/>
      <c r="DHJ66" s="0"/>
      <c r="DHK66" s="0"/>
      <c r="DHL66" s="0"/>
      <c r="DHM66" s="0"/>
      <c r="DHN66" s="0"/>
      <c r="DHO66" s="0"/>
      <c r="DHP66" s="0"/>
      <c r="DHQ66" s="0"/>
      <c r="DHR66" s="0"/>
      <c r="DHS66" s="0"/>
      <c r="DHT66" s="0"/>
      <c r="DHU66" s="0"/>
      <c r="DHV66" s="0"/>
      <c r="DHW66" s="0"/>
      <c r="DHX66" s="0"/>
      <c r="DHY66" s="0"/>
      <c r="DHZ66" s="0"/>
      <c r="DIA66" s="0"/>
      <c r="DIB66" s="0"/>
      <c r="DIC66" s="0"/>
      <c r="DID66" s="0"/>
      <c r="DIE66" s="0"/>
      <c r="DIF66" s="0"/>
      <c r="DIG66" s="0"/>
      <c r="DIH66" s="0"/>
      <c r="DII66" s="0"/>
      <c r="DIJ66" s="0"/>
      <c r="DIK66" s="0"/>
      <c r="DIL66" s="0"/>
      <c r="DIM66" s="0"/>
      <c r="DIN66" s="0"/>
      <c r="DIO66" s="0"/>
      <c r="DIP66" s="0"/>
      <c r="DIQ66" s="0"/>
      <c r="DIR66" s="0"/>
      <c r="DIS66" s="0"/>
      <c r="DIT66" s="0"/>
      <c r="DIU66" s="0"/>
      <c r="DIV66" s="0"/>
      <c r="DIW66" s="0"/>
      <c r="DIX66" s="0"/>
      <c r="DIY66" s="0"/>
      <c r="DIZ66" s="0"/>
      <c r="DJA66" s="0"/>
      <c r="DJB66" s="0"/>
      <c r="DJC66" s="0"/>
      <c r="DJD66" s="0"/>
      <c r="DJE66" s="0"/>
      <c r="DJF66" s="0"/>
      <c r="DJG66" s="0"/>
      <c r="DJH66" s="0"/>
      <c r="DJI66" s="0"/>
      <c r="DJJ66" s="0"/>
      <c r="DJK66" s="0"/>
      <c r="DJL66" s="0"/>
      <c r="DJM66" s="0"/>
      <c r="DJN66" s="0"/>
      <c r="DJO66" s="0"/>
      <c r="DJP66" s="0"/>
      <c r="DJQ66" s="0"/>
      <c r="DJR66" s="0"/>
      <c r="DJS66" s="0"/>
      <c r="DJT66" s="0"/>
      <c r="DJU66" s="0"/>
      <c r="DJV66" s="0"/>
      <c r="DJW66" s="0"/>
      <c r="DJX66" s="0"/>
      <c r="DJY66" s="0"/>
      <c r="DJZ66" s="0"/>
      <c r="DKA66" s="0"/>
      <c r="DKB66" s="0"/>
      <c r="DKC66" s="0"/>
      <c r="DKD66" s="0"/>
      <c r="DKE66" s="0"/>
      <c r="DKF66" s="0"/>
      <c r="DKG66" s="0"/>
      <c r="DKH66" s="0"/>
      <c r="DKI66" s="0"/>
      <c r="DKJ66" s="0"/>
      <c r="DKK66" s="0"/>
      <c r="DKL66" s="0"/>
      <c r="DKM66" s="0"/>
      <c r="DKN66" s="0"/>
      <c r="DKO66" s="0"/>
      <c r="DKP66" s="0"/>
      <c r="DKQ66" s="0"/>
      <c r="DKR66" s="0"/>
      <c r="DKS66" s="0"/>
      <c r="DKT66" s="0"/>
      <c r="DKU66" s="0"/>
      <c r="DKV66" s="0"/>
      <c r="DKW66" s="0"/>
      <c r="DKX66" s="0"/>
      <c r="DKY66" s="0"/>
      <c r="DKZ66" s="0"/>
      <c r="DLA66" s="0"/>
      <c r="DLB66" s="0"/>
      <c r="DLC66" s="0"/>
      <c r="DLD66" s="0"/>
      <c r="DLE66" s="0"/>
      <c r="DLF66" s="0"/>
      <c r="DLG66" s="0"/>
      <c r="DLH66" s="0"/>
      <c r="DLI66" s="0"/>
      <c r="DLJ66" s="0"/>
      <c r="DLK66" s="0"/>
      <c r="DLL66" s="0"/>
      <c r="DLM66" s="0"/>
      <c r="DLN66" s="0"/>
      <c r="DLO66" s="0"/>
      <c r="DLP66" s="0"/>
      <c r="DLQ66" s="0"/>
      <c r="DLR66" s="0"/>
      <c r="DLS66" s="0"/>
      <c r="DLT66" s="0"/>
      <c r="DLU66" s="0"/>
      <c r="DLV66" s="0"/>
      <c r="DLW66" s="0"/>
      <c r="DLX66" s="0"/>
      <c r="DLY66" s="0"/>
      <c r="DLZ66" s="0"/>
      <c r="DMA66" s="0"/>
      <c r="DMB66" s="0"/>
      <c r="DMC66" s="0"/>
      <c r="DMD66" s="0"/>
      <c r="DME66" s="0"/>
      <c r="DMF66" s="0"/>
      <c r="DMG66" s="0"/>
      <c r="DMH66" s="0"/>
      <c r="DMI66" s="0"/>
      <c r="DMJ66" s="0"/>
      <c r="DMK66" s="0"/>
      <c r="DML66" s="0"/>
      <c r="DMM66" s="0"/>
      <c r="DMN66" s="0"/>
      <c r="DMO66" s="0"/>
      <c r="DMP66" s="0"/>
      <c r="DMQ66" s="0"/>
      <c r="DMR66" s="0"/>
      <c r="DMS66" s="0"/>
      <c r="DMT66" s="0"/>
      <c r="DMU66" s="0"/>
      <c r="DMV66" s="0"/>
      <c r="DMW66" s="0"/>
      <c r="DMX66" s="0"/>
      <c r="DMY66" s="0"/>
      <c r="DMZ66" s="0"/>
      <c r="DNA66" s="0"/>
      <c r="DNB66" s="0"/>
      <c r="DNC66" s="0"/>
      <c r="DND66" s="0"/>
      <c r="DNE66" s="0"/>
      <c r="DNF66" s="0"/>
      <c r="DNG66" s="0"/>
      <c r="DNH66" s="0"/>
      <c r="DNI66" s="0"/>
      <c r="DNJ66" s="0"/>
      <c r="DNK66" s="0"/>
      <c r="DNL66" s="0"/>
      <c r="DNM66" s="0"/>
      <c r="DNN66" s="0"/>
      <c r="DNO66" s="0"/>
      <c r="DNP66" s="0"/>
      <c r="DNQ66" s="0"/>
      <c r="DNR66" s="0"/>
      <c r="DNS66" s="0"/>
      <c r="DNT66" s="0"/>
      <c r="DNU66" s="0"/>
      <c r="DNV66" s="0"/>
      <c r="DNW66" s="0"/>
      <c r="DNX66" s="0"/>
      <c r="DNY66" s="0"/>
      <c r="DNZ66" s="0"/>
      <c r="DOA66" s="0"/>
      <c r="DOB66" s="0"/>
      <c r="DOC66" s="0"/>
      <c r="DOD66" s="0"/>
      <c r="DOE66" s="0"/>
      <c r="DOF66" s="0"/>
      <c r="DOG66" s="0"/>
      <c r="DOH66" s="0"/>
      <c r="DOI66" s="0"/>
      <c r="DOJ66" s="0"/>
      <c r="DOK66" s="0"/>
      <c r="DOL66" s="0"/>
      <c r="DOM66" s="0"/>
      <c r="DON66" s="0"/>
      <c r="DOO66" s="0"/>
      <c r="DOP66" s="0"/>
      <c r="DOQ66" s="0"/>
      <c r="DOR66" s="0"/>
      <c r="DOS66" s="0"/>
      <c r="DOT66" s="0"/>
      <c r="DOU66" s="0"/>
      <c r="DOV66" s="0"/>
      <c r="DOW66" s="0"/>
      <c r="DOX66" s="0"/>
      <c r="DOY66" s="0"/>
      <c r="DOZ66" s="0"/>
      <c r="DPA66" s="0"/>
      <c r="DPB66" s="0"/>
      <c r="DPC66" s="0"/>
      <c r="DPD66" s="0"/>
      <c r="DPE66" s="0"/>
      <c r="DPF66" s="0"/>
      <c r="DPG66" s="0"/>
      <c r="DPH66" s="0"/>
      <c r="DPI66" s="0"/>
      <c r="DPJ66" s="0"/>
      <c r="DPK66" s="0"/>
      <c r="DPL66" s="0"/>
      <c r="DPM66" s="0"/>
      <c r="DPN66" s="0"/>
      <c r="DPO66" s="0"/>
      <c r="DPP66" s="0"/>
      <c r="DPQ66" s="0"/>
      <c r="DPR66" s="0"/>
      <c r="DPS66" s="0"/>
      <c r="DPT66" s="0"/>
      <c r="DPU66" s="0"/>
      <c r="DPV66" s="0"/>
      <c r="DPW66" s="0"/>
      <c r="DPX66" s="0"/>
      <c r="DPY66" s="0"/>
      <c r="DPZ66" s="0"/>
      <c r="DQA66" s="0"/>
      <c r="DQB66" s="0"/>
      <c r="DQC66" s="0"/>
      <c r="DQD66" s="0"/>
      <c r="DQE66" s="0"/>
      <c r="DQF66" s="0"/>
      <c r="DQG66" s="0"/>
      <c r="DQH66" s="0"/>
      <c r="DQI66" s="0"/>
      <c r="DQJ66" s="0"/>
      <c r="DQK66" s="0"/>
      <c r="DQL66" s="0"/>
      <c r="DQM66" s="0"/>
      <c r="DQN66" s="0"/>
      <c r="DQO66" s="0"/>
      <c r="DQP66" s="0"/>
      <c r="DQQ66" s="0"/>
      <c r="DQR66" s="0"/>
      <c r="DQS66" s="0"/>
      <c r="DQT66" s="0"/>
      <c r="DQU66" s="0"/>
      <c r="DQV66" s="0"/>
      <c r="DQW66" s="0"/>
      <c r="DQX66" s="0"/>
      <c r="DQY66" s="0"/>
      <c r="DQZ66" s="0"/>
      <c r="DRA66" s="0"/>
      <c r="DRB66" s="0"/>
      <c r="DRC66" s="0"/>
      <c r="DRD66" s="0"/>
      <c r="DRE66" s="0"/>
      <c r="DRF66" s="0"/>
      <c r="DRG66" s="0"/>
      <c r="DRH66" s="0"/>
      <c r="DRI66" s="0"/>
      <c r="DRJ66" s="0"/>
      <c r="DRK66" s="0"/>
      <c r="DRL66" s="0"/>
      <c r="DRM66" s="0"/>
      <c r="DRN66" s="0"/>
      <c r="DRO66" s="0"/>
      <c r="DRP66" s="0"/>
      <c r="DRQ66" s="0"/>
      <c r="DRR66" s="0"/>
      <c r="DRS66" s="0"/>
      <c r="DRT66" s="0"/>
      <c r="DRU66" s="0"/>
      <c r="DRV66" s="0"/>
      <c r="DRW66" s="0"/>
      <c r="DRX66" s="0"/>
      <c r="DRY66" s="0"/>
      <c r="DRZ66" s="0"/>
      <c r="DSA66" s="0"/>
      <c r="DSB66" s="0"/>
      <c r="DSC66" s="0"/>
      <c r="DSD66" s="0"/>
      <c r="DSE66" s="0"/>
      <c r="DSF66" s="0"/>
      <c r="DSG66" s="0"/>
      <c r="DSH66" s="0"/>
      <c r="DSI66" s="0"/>
      <c r="DSJ66" s="0"/>
      <c r="DSK66" s="0"/>
      <c r="DSL66" s="0"/>
      <c r="DSM66" s="0"/>
      <c r="DSN66" s="0"/>
      <c r="DSO66" s="0"/>
      <c r="DSP66" s="0"/>
      <c r="DSQ66" s="0"/>
      <c r="DSR66" s="0"/>
      <c r="DSS66" s="0"/>
      <c r="DST66" s="0"/>
      <c r="DSU66" s="0"/>
      <c r="DSV66" s="0"/>
      <c r="DSW66" s="0"/>
      <c r="DSX66" s="0"/>
      <c r="DSY66" s="0"/>
      <c r="DSZ66" s="0"/>
      <c r="DTA66" s="0"/>
      <c r="DTB66" s="0"/>
      <c r="DTC66" s="0"/>
      <c r="DTD66" s="0"/>
      <c r="DTE66" s="0"/>
      <c r="DTF66" s="0"/>
      <c r="DTG66" s="0"/>
      <c r="DTH66" s="0"/>
      <c r="DTI66" s="0"/>
      <c r="DTJ66" s="0"/>
      <c r="DTK66" s="0"/>
      <c r="DTL66" s="0"/>
      <c r="DTM66" s="0"/>
      <c r="DTN66" s="0"/>
      <c r="DTO66" s="0"/>
      <c r="DTP66" s="0"/>
      <c r="DTQ66" s="0"/>
      <c r="DTR66" s="0"/>
      <c r="DTS66" s="0"/>
      <c r="DTT66" s="0"/>
      <c r="DTU66" s="0"/>
      <c r="DTV66" s="0"/>
      <c r="DTW66" s="0"/>
      <c r="DTX66" s="0"/>
      <c r="DTY66" s="0"/>
      <c r="DTZ66" s="0"/>
      <c r="DUA66" s="0"/>
      <c r="DUB66" s="0"/>
      <c r="DUC66" s="0"/>
      <c r="DUD66" s="0"/>
      <c r="DUE66" s="0"/>
      <c r="DUF66" s="0"/>
      <c r="DUG66" s="0"/>
      <c r="DUH66" s="0"/>
      <c r="DUI66" s="0"/>
      <c r="DUJ66" s="0"/>
      <c r="DUK66" s="0"/>
      <c r="DUL66" s="0"/>
      <c r="DUM66" s="0"/>
      <c r="DUN66" s="0"/>
      <c r="DUO66" s="0"/>
      <c r="DUP66" s="0"/>
      <c r="DUQ66" s="0"/>
      <c r="DUR66" s="0"/>
      <c r="DUS66" s="0"/>
      <c r="DUT66" s="0"/>
      <c r="DUU66" s="0"/>
      <c r="DUV66" s="0"/>
      <c r="DUW66" s="0"/>
      <c r="DUX66" s="0"/>
      <c r="DUY66" s="0"/>
      <c r="DUZ66" s="0"/>
      <c r="DVA66" s="0"/>
      <c r="DVB66" s="0"/>
      <c r="DVC66" s="0"/>
      <c r="DVD66" s="0"/>
      <c r="DVE66" s="0"/>
      <c r="DVF66" s="0"/>
      <c r="DVG66" s="0"/>
      <c r="DVH66" s="0"/>
      <c r="DVI66" s="0"/>
      <c r="DVJ66" s="0"/>
      <c r="DVK66" s="0"/>
      <c r="DVL66" s="0"/>
      <c r="DVM66" s="0"/>
      <c r="DVN66" s="0"/>
      <c r="DVO66" s="0"/>
      <c r="DVP66" s="0"/>
      <c r="DVQ66" s="0"/>
      <c r="DVR66" s="0"/>
      <c r="DVS66" s="0"/>
      <c r="DVT66" s="0"/>
      <c r="DVU66" s="0"/>
      <c r="DVV66" s="0"/>
      <c r="DVW66" s="0"/>
      <c r="DVX66" s="0"/>
      <c r="DVY66" s="0"/>
      <c r="DVZ66" s="0"/>
      <c r="DWA66" s="0"/>
      <c r="DWB66" s="0"/>
      <c r="DWC66" s="0"/>
      <c r="DWD66" s="0"/>
      <c r="DWE66" s="0"/>
      <c r="DWF66" s="0"/>
      <c r="DWG66" s="0"/>
      <c r="DWH66" s="0"/>
      <c r="DWI66" s="0"/>
      <c r="DWJ66" s="0"/>
      <c r="DWK66" s="0"/>
      <c r="DWL66" s="0"/>
      <c r="DWM66" s="0"/>
      <c r="DWN66" s="0"/>
      <c r="DWO66" s="0"/>
      <c r="DWP66" s="0"/>
      <c r="DWQ66" s="0"/>
      <c r="DWR66" s="0"/>
      <c r="DWS66" s="0"/>
      <c r="DWT66" s="0"/>
      <c r="DWU66" s="0"/>
      <c r="DWV66" s="0"/>
      <c r="DWW66" s="0"/>
      <c r="DWX66" s="0"/>
      <c r="DWY66" s="0"/>
      <c r="DWZ66" s="0"/>
      <c r="DXA66" s="0"/>
      <c r="DXB66" s="0"/>
      <c r="DXC66" s="0"/>
      <c r="DXD66" s="0"/>
      <c r="DXE66" s="0"/>
      <c r="DXF66" s="0"/>
      <c r="DXG66" s="0"/>
      <c r="DXH66" s="0"/>
      <c r="DXI66" s="0"/>
      <c r="DXJ66" s="0"/>
      <c r="DXK66" s="0"/>
      <c r="DXL66" s="0"/>
      <c r="DXM66" s="0"/>
      <c r="DXN66" s="0"/>
      <c r="DXO66" s="0"/>
      <c r="DXP66" s="0"/>
      <c r="DXQ66" s="0"/>
      <c r="DXR66" s="0"/>
      <c r="DXS66" s="0"/>
      <c r="DXT66" s="0"/>
      <c r="DXU66" s="0"/>
      <c r="DXV66" s="0"/>
      <c r="DXW66" s="0"/>
      <c r="DXX66" s="0"/>
      <c r="DXY66" s="0"/>
      <c r="DXZ66" s="0"/>
      <c r="DYA66" s="0"/>
      <c r="DYB66" s="0"/>
      <c r="DYC66" s="0"/>
      <c r="DYD66" s="0"/>
      <c r="DYE66" s="0"/>
      <c r="DYF66" s="0"/>
      <c r="DYG66" s="0"/>
      <c r="DYH66" s="0"/>
      <c r="DYI66" s="0"/>
      <c r="DYJ66" s="0"/>
      <c r="DYK66" s="0"/>
      <c r="DYL66" s="0"/>
      <c r="DYM66" s="0"/>
      <c r="DYN66" s="0"/>
      <c r="DYO66" s="0"/>
      <c r="DYP66" s="0"/>
      <c r="DYQ66" s="0"/>
      <c r="DYR66" s="0"/>
      <c r="DYS66" s="0"/>
      <c r="DYT66" s="0"/>
      <c r="DYU66" s="0"/>
      <c r="DYV66" s="0"/>
      <c r="DYW66" s="0"/>
      <c r="DYX66" s="0"/>
      <c r="DYY66" s="0"/>
      <c r="DYZ66" s="0"/>
      <c r="DZA66" s="0"/>
      <c r="DZB66" s="0"/>
      <c r="DZC66" s="0"/>
      <c r="DZD66" s="0"/>
      <c r="DZE66" s="0"/>
      <c r="DZF66" s="0"/>
      <c r="DZG66" s="0"/>
      <c r="DZH66" s="0"/>
      <c r="DZI66" s="0"/>
      <c r="DZJ66" s="0"/>
      <c r="DZK66" s="0"/>
      <c r="DZL66" s="0"/>
      <c r="DZM66" s="0"/>
      <c r="DZN66" s="0"/>
      <c r="DZO66" s="0"/>
      <c r="DZP66" s="0"/>
      <c r="DZQ66" s="0"/>
      <c r="DZR66" s="0"/>
      <c r="DZS66" s="0"/>
      <c r="DZT66" s="0"/>
      <c r="DZU66" s="0"/>
      <c r="DZV66" s="0"/>
      <c r="DZW66" s="0"/>
      <c r="DZX66" s="0"/>
      <c r="DZY66" s="0"/>
      <c r="DZZ66" s="0"/>
      <c r="EAA66" s="0"/>
      <c r="EAB66" s="0"/>
      <c r="EAC66" s="0"/>
      <c r="EAD66" s="0"/>
      <c r="EAE66" s="0"/>
      <c r="EAF66" s="0"/>
      <c r="EAG66" s="0"/>
      <c r="EAH66" s="0"/>
      <c r="EAI66" s="0"/>
      <c r="EAJ66" s="0"/>
      <c r="EAK66" s="0"/>
      <c r="EAL66" s="0"/>
      <c r="EAM66" s="0"/>
      <c r="EAN66" s="0"/>
      <c r="EAO66" s="0"/>
      <c r="EAP66" s="0"/>
      <c r="EAQ66" s="0"/>
      <c r="EAR66" s="0"/>
      <c r="EAS66" s="0"/>
      <c r="EAT66" s="0"/>
      <c r="EAU66" s="0"/>
      <c r="EAV66" s="0"/>
      <c r="EAW66" s="0"/>
      <c r="EAX66" s="0"/>
      <c r="EAY66" s="0"/>
      <c r="EAZ66" s="0"/>
      <c r="EBA66" s="0"/>
      <c r="EBB66" s="0"/>
      <c r="EBC66" s="0"/>
      <c r="EBD66" s="0"/>
      <c r="EBE66" s="0"/>
      <c r="EBF66" s="0"/>
      <c r="EBG66" s="0"/>
      <c r="EBH66" s="0"/>
      <c r="EBI66" s="0"/>
      <c r="EBJ66" s="0"/>
      <c r="EBK66" s="0"/>
      <c r="EBL66" s="0"/>
      <c r="EBM66" s="0"/>
      <c r="EBN66" s="0"/>
      <c r="EBO66" s="0"/>
      <c r="EBP66" s="0"/>
      <c r="EBQ66" s="0"/>
      <c r="EBR66" s="0"/>
      <c r="EBS66" s="0"/>
      <c r="EBT66" s="0"/>
      <c r="EBU66" s="0"/>
      <c r="EBV66" s="0"/>
      <c r="EBW66" s="0"/>
      <c r="EBX66" s="0"/>
      <c r="EBY66" s="0"/>
      <c r="EBZ66" s="0"/>
      <c r="ECA66" s="0"/>
      <c r="ECB66" s="0"/>
      <c r="ECC66" s="0"/>
      <c r="ECD66" s="0"/>
      <c r="ECE66" s="0"/>
      <c r="ECF66" s="0"/>
      <c r="ECG66" s="0"/>
      <c r="ECH66" s="0"/>
      <c r="ECI66" s="0"/>
      <c r="ECJ66" s="0"/>
      <c r="ECK66" s="0"/>
      <c r="ECL66" s="0"/>
      <c r="ECM66" s="0"/>
      <c r="ECN66" s="0"/>
      <c r="ECO66" s="0"/>
      <c r="ECP66" s="0"/>
      <c r="ECQ66" s="0"/>
      <c r="ECR66" s="0"/>
      <c r="ECS66" s="0"/>
      <c r="ECT66" s="0"/>
      <c r="ECU66" s="0"/>
      <c r="ECV66" s="0"/>
      <c r="ECW66" s="0"/>
      <c r="ECX66" s="0"/>
      <c r="ECY66" s="0"/>
      <c r="ECZ66" s="0"/>
      <c r="EDA66" s="0"/>
      <c r="EDB66" s="0"/>
      <c r="EDC66" s="0"/>
      <c r="EDD66" s="0"/>
      <c r="EDE66" s="0"/>
      <c r="EDF66" s="0"/>
      <c r="EDG66" s="0"/>
      <c r="EDH66" s="0"/>
      <c r="EDI66" s="0"/>
      <c r="EDJ66" s="0"/>
      <c r="EDK66" s="0"/>
      <c r="EDL66" s="0"/>
      <c r="EDM66" s="0"/>
      <c r="EDN66" s="0"/>
      <c r="EDO66" s="0"/>
      <c r="EDP66" s="0"/>
      <c r="EDQ66" s="0"/>
      <c r="EDR66" s="0"/>
      <c r="EDS66" s="0"/>
      <c r="EDT66" s="0"/>
      <c r="EDU66" s="0"/>
      <c r="EDV66" s="0"/>
      <c r="EDW66" s="0"/>
      <c r="EDX66" s="0"/>
      <c r="EDY66" s="0"/>
      <c r="EDZ66" s="0"/>
      <c r="EEA66" s="0"/>
      <c r="EEB66" s="0"/>
      <c r="EEC66" s="0"/>
      <c r="EED66" s="0"/>
      <c r="EEE66" s="0"/>
      <c r="EEF66" s="0"/>
      <c r="EEG66" s="0"/>
      <c r="EEH66" s="0"/>
      <c r="EEI66" s="0"/>
      <c r="EEJ66" s="0"/>
      <c r="EEK66" s="0"/>
      <c r="EEL66" s="0"/>
      <c r="EEM66" s="0"/>
      <c r="EEN66" s="0"/>
      <c r="EEO66" s="0"/>
      <c r="EEP66" s="0"/>
      <c r="EEQ66" s="0"/>
      <c r="EER66" s="0"/>
      <c r="EES66" s="0"/>
      <c r="EET66" s="0"/>
      <c r="EEU66" s="0"/>
      <c r="EEV66" s="0"/>
      <c r="EEW66" s="0"/>
      <c r="EEX66" s="0"/>
      <c r="EEY66" s="0"/>
      <c r="EEZ66" s="0"/>
      <c r="EFA66" s="0"/>
      <c r="EFB66" s="0"/>
      <c r="EFC66" s="0"/>
      <c r="EFD66" s="0"/>
      <c r="EFE66" s="0"/>
      <c r="EFF66" s="0"/>
      <c r="EFG66" s="0"/>
      <c r="EFH66" s="0"/>
      <c r="EFI66" s="0"/>
      <c r="EFJ66" s="0"/>
      <c r="EFK66" s="0"/>
      <c r="EFL66" s="0"/>
      <c r="EFM66" s="0"/>
      <c r="EFN66" s="0"/>
      <c r="EFO66" s="0"/>
      <c r="EFP66" s="0"/>
      <c r="EFQ66" s="0"/>
      <c r="EFR66" s="0"/>
      <c r="EFS66" s="0"/>
      <c r="EFT66" s="0"/>
      <c r="EFU66" s="0"/>
      <c r="EFV66" s="0"/>
      <c r="EFW66" s="0"/>
      <c r="EFX66" s="0"/>
      <c r="EFY66" s="0"/>
      <c r="EFZ66" s="0"/>
      <c r="EGA66" s="0"/>
      <c r="EGB66" s="0"/>
      <c r="EGC66" s="0"/>
      <c r="EGD66" s="0"/>
      <c r="EGE66" s="0"/>
      <c r="EGF66" s="0"/>
      <c r="EGG66" s="0"/>
      <c r="EGH66" s="0"/>
      <c r="EGI66" s="0"/>
      <c r="EGJ66" s="0"/>
      <c r="EGK66" s="0"/>
      <c r="EGL66" s="0"/>
      <c r="EGM66" s="0"/>
      <c r="EGN66" s="0"/>
      <c r="EGO66" s="0"/>
      <c r="EGP66" s="0"/>
      <c r="EGQ66" s="0"/>
      <c r="EGR66" s="0"/>
      <c r="EGS66" s="0"/>
      <c r="EGT66" s="0"/>
      <c r="EGU66" s="0"/>
      <c r="EGV66" s="0"/>
      <c r="EGW66" s="0"/>
      <c r="EGX66" s="0"/>
      <c r="EGY66" s="0"/>
      <c r="EGZ66" s="0"/>
      <c r="EHA66" s="0"/>
      <c r="EHB66" s="0"/>
      <c r="EHC66" s="0"/>
      <c r="EHD66" s="0"/>
      <c r="EHE66" s="0"/>
      <c r="EHF66" s="0"/>
      <c r="EHG66" s="0"/>
      <c r="EHH66" s="0"/>
      <c r="EHI66" s="0"/>
      <c r="EHJ66" s="0"/>
      <c r="EHK66" s="0"/>
      <c r="EHL66" s="0"/>
      <c r="EHM66" s="0"/>
      <c r="EHN66" s="0"/>
      <c r="EHO66" s="0"/>
      <c r="EHP66" s="0"/>
      <c r="EHQ66" s="0"/>
      <c r="EHR66" s="0"/>
      <c r="EHS66" s="0"/>
      <c r="EHT66" s="0"/>
      <c r="EHU66" s="0"/>
      <c r="EHV66" s="0"/>
      <c r="EHW66" s="0"/>
      <c r="EHX66" s="0"/>
      <c r="EHY66" s="0"/>
      <c r="EHZ66" s="0"/>
      <c r="EIA66" s="0"/>
      <c r="EIB66" s="0"/>
      <c r="EIC66" s="0"/>
      <c r="EID66" s="0"/>
      <c r="EIE66" s="0"/>
      <c r="EIF66" s="0"/>
      <c r="EIG66" s="0"/>
      <c r="EIH66" s="0"/>
      <c r="EII66" s="0"/>
      <c r="EIJ66" s="0"/>
      <c r="EIK66" s="0"/>
      <c r="EIL66" s="0"/>
      <c r="EIM66" s="0"/>
      <c r="EIN66" s="0"/>
      <c r="EIO66" s="0"/>
      <c r="EIP66" s="0"/>
      <c r="EIQ66" s="0"/>
      <c r="EIR66" s="0"/>
      <c r="EIS66" s="0"/>
      <c r="EIT66" s="0"/>
      <c r="EIU66" s="0"/>
      <c r="EIV66" s="0"/>
      <c r="EIW66" s="0"/>
      <c r="EIX66" s="0"/>
      <c r="EIY66" s="0"/>
      <c r="EIZ66" s="0"/>
      <c r="EJA66" s="0"/>
      <c r="EJB66" s="0"/>
      <c r="EJC66" s="0"/>
      <c r="EJD66" s="0"/>
      <c r="EJE66" s="0"/>
      <c r="EJF66" s="0"/>
      <c r="EJG66" s="0"/>
      <c r="EJH66" s="0"/>
      <c r="EJI66" s="0"/>
      <c r="EJJ66" s="0"/>
      <c r="EJK66" s="0"/>
      <c r="EJL66" s="0"/>
      <c r="EJM66" s="0"/>
      <c r="EJN66" s="0"/>
      <c r="EJO66" s="0"/>
      <c r="EJP66" s="0"/>
      <c r="EJQ66" s="0"/>
      <c r="EJR66" s="0"/>
      <c r="EJS66" s="0"/>
      <c r="EJT66" s="0"/>
      <c r="EJU66" s="0"/>
      <c r="EJV66" s="0"/>
      <c r="EJW66" s="0"/>
      <c r="EJX66" s="0"/>
      <c r="EJY66" s="0"/>
      <c r="EJZ66" s="0"/>
      <c r="EKA66" s="0"/>
      <c r="EKB66" s="0"/>
      <c r="EKC66" s="0"/>
      <c r="EKD66" s="0"/>
      <c r="EKE66" s="0"/>
      <c r="EKF66" s="0"/>
      <c r="EKG66" s="0"/>
      <c r="EKH66" s="0"/>
      <c r="EKI66" s="0"/>
      <c r="EKJ66" s="0"/>
      <c r="EKK66" s="0"/>
      <c r="EKL66" s="0"/>
      <c r="EKM66" s="0"/>
      <c r="EKN66" s="0"/>
      <c r="EKO66" s="0"/>
      <c r="EKP66" s="0"/>
      <c r="EKQ66" s="0"/>
      <c r="EKR66" s="0"/>
      <c r="EKS66" s="0"/>
      <c r="EKT66" s="0"/>
      <c r="EKU66" s="0"/>
      <c r="EKV66" s="0"/>
      <c r="EKW66" s="0"/>
      <c r="EKX66" s="0"/>
      <c r="EKY66" s="0"/>
      <c r="EKZ66" s="0"/>
      <c r="ELA66" s="0"/>
      <c r="ELB66" s="0"/>
      <c r="ELC66" s="0"/>
      <c r="ELD66" s="0"/>
      <c r="ELE66" s="0"/>
      <c r="ELF66" s="0"/>
      <c r="ELG66" s="0"/>
      <c r="ELH66" s="0"/>
      <c r="ELI66" s="0"/>
      <c r="ELJ66" s="0"/>
      <c r="ELK66" s="0"/>
      <c r="ELL66" s="0"/>
      <c r="ELM66" s="0"/>
      <c r="ELN66" s="0"/>
      <c r="ELO66" s="0"/>
      <c r="ELP66" s="0"/>
      <c r="ELQ66" s="0"/>
      <c r="ELR66" s="0"/>
      <c r="ELS66" s="0"/>
      <c r="ELT66" s="0"/>
      <c r="ELU66" s="0"/>
      <c r="ELV66" s="0"/>
      <c r="ELW66" s="0"/>
      <c r="ELX66" s="0"/>
      <c r="ELY66" s="0"/>
      <c r="ELZ66" s="0"/>
      <c r="EMA66" s="0"/>
      <c r="EMB66" s="0"/>
      <c r="EMC66" s="0"/>
      <c r="EMD66" s="0"/>
      <c r="EME66" s="0"/>
      <c r="EMF66" s="0"/>
      <c r="EMG66" s="0"/>
      <c r="EMH66" s="0"/>
      <c r="EMI66" s="0"/>
      <c r="EMJ66" s="0"/>
      <c r="EMK66" s="0"/>
      <c r="EML66" s="0"/>
      <c r="EMM66" s="0"/>
      <c r="EMN66" s="0"/>
      <c r="EMO66" s="0"/>
      <c r="EMP66" s="0"/>
      <c r="EMQ66" s="0"/>
      <c r="EMR66" s="0"/>
      <c r="EMS66" s="0"/>
      <c r="EMT66" s="0"/>
      <c r="EMU66" s="0"/>
      <c r="EMV66" s="0"/>
      <c r="EMW66" s="0"/>
      <c r="EMX66" s="0"/>
      <c r="EMY66" s="0"/>
      <c r="EMZ66" s="0"/>
      <c r="ENA66" s="0"/>
      <c r="ENB66" s="0"/>
      <c r="ENC66" s="0"/>
      <c r="END66" s="0"/>
      <c r="ENE66" s="0"/>
      <c r="ENF66" s="0"/>
      <c r="ENG66" s="0"/>
      <c r="ENH66" s="0"/>
      <c r="ENI66" s="0"/>
      <c r="ENJ66" s="0"/>
      <c r="ENK66" s="0"/>
      <c r="ENL66" s="0"/>
      <c r="ENM66" s="0"/>
      <c r="ENN66" s="0"/>
      <c r="ENO66" s="0"/>
      <c r="ENP66" s="0"/>
      <c r="ENQ66" s="0"/>
      <c r="ENR66" s="0"/>
      <c r="ENS66" s="0"/>
      <c r="ENT66" s="0"/>
      <c r="ENU66" s="0"/>
      <c r="ENV66" s="0"/>
      <c r="ENW66" s="0"/>
      <c r="ENX66" s="0"/>
      <c r="ENY66" s="0"/>
      <c r="ENZ66" s="0"/>
      <c r="EOA66" s="0"/>
      <c r="EOB66" s="0"/>
      <c r="EOC66" s="0"/>
      <c r="EOD66" s="0"/>
      <c r="EOE66" s="0"/>
      <c r="EOF66" s="0"/>
      <c r="EOG66" s="0"/>
      <c r="EOH66" s="0"/>
      <c r="EOI66" s="0"/>
      <c r="EOJ66" s="0"/>
      <c r="EOK66" s="0"/>
      <c r="EOL66" s="0"/>
      <c r="EOM66" s="0"/>
      <c r="EON66" s="0"/>
      <c r="EOO66" s="0"/>
      <c r="EOP66" s="0"/>
      <c r="EOQ66" s="0"/>
      <c r="EOR66" s="0"/>
      <c r="EOS66" s="0"/>
      <c r="EOT66" s="0"/>
      <c r="EOU66" s="0"/>
      <c r="EOV66" s="0"/>
      <c r="EOW66" s="0"/>
      <c r="EOX66" s="0"/>
      <c r="EOY66" s="0"/>
      <c r="EOZ66" s="0"/>
      <c r="EPA66" s="0"/>
      <c r="EPB66" s="0"/>
      <c r="EPC66" s="0"/>
      <c r="EPD66" s="0"/>
      <c r="EPE66" s="0"/>
      <c r="EPF66" s="0"/>
      <c r="EPG66" s="0"/>
      <c r="EPH66" s="0"/>
      <c r="EPI66" s="0"/>
      <c r="EPJ66" s="0"/>
      <c r="EPK66" s="0"/>
      <c r="EPL66" s="0"/>
      <c r="EPM66" s="0"/>
      <c r="EPN66" s="0"/>
      <c r="EPO66" s="0"/>
      <c r="EPP66" s="0"/>
      <c r="EPQ66" s="0"/>
      <c r="EPR66" s="0"/>
      <c r="EPS66" s="0"/>
      <c r="EPT66" s="0"/>
      <c r="EPU66" s="0"/>
      <c r="EPV66" s="0"/>
      <c r="EPW66" s="0"/>
      <c r="EPX66" s="0"/>
      <c r="EPY66" s="0"/>
      <c r="EPZ66" s="0"/>
      <c r="EQA66" s="0"/>
      <c r="EQB66" s="0"/>
      <c r="EQC66" s="0"/>
      <c r="EQD66" s="0"/>
      <c r="EQE66" s="0"/>
      <c r="EQF66" s="0"/>
      <c r="EQG66" s="0"/>
      <c r="EQH66" s="0"/>
      <c r="EQI66" s="0"/>
      <c r="EQJ66" s="0"/>
      <c r="EQK66" s="0"/>
      <c r="EQL66" s="0"/>
      <c r="EQM66" s="0"/>
      <c r="EQN66" s="0"/>
      <c r="EQO66" s="0"/>
      <c r="EQP66" s="0"/>
      <c r="EQQ66" s="0"/>
      <c r="EQR66" s="0"/>
      <c r="EQS66" s="0"/>
      <c r="EQT66" s="0"/>
      <c r="EQU66" s="0"/>
      <c r="EQV66" s="0"/>
      <c r="EQW66" s="0"/>
      <c r="EQX66" s="0"/>
      <c r="EQY66" s="0"/>
      <c r="EQZ66" s="0"/>
      <c r="ERA66" s="0"/>
      <c r="ERB66" s="0"/>
      <c r="ERC66" s="0"/>
      <c r="ERD66" s="0"/>
      <c r="ERE66" s="0"/>
      <c r="ERF66" s="0"/>
      <c r="ERG66" s="0"/>
      <c r="ERH66" s="0"/>
      <c r="ERI66" s="0"/>
      <c r="ERJ66" s="0"/>
      <c r="ERK66" s="0"/>
      <c r="ERL66" s="0"/>
      <c r="ERM66" s="0"/>
      <c r="ERN66" s="0"/>
      <c r="ERO66" s="0"/>
      <c r="ERP66" s="0"/>
      <c r="ERQ66" s="0"/>
      <c r="ERR66" s="0"/>
      <c r="ERS66" s="0"/>
      <c r="ERT66" s="0"/>
      <c r="ERU66" s="0"/>
      <c r="ERV66" s="0"/>
      <c r="ERW66" s="0"/>
      <c r="ERX66" s="0"/>
      <c r="ERY66" s="0"/>
      <c r="ERZ66" s="0"/>
      <c r="ESA66" s="0"/>
      <c r="ESB66" s="0"/>
      <c r="ESC66" s="0"/>
      <c r="ESD66" s="0"/>
      <c r="ESE66" s="0"/>
      <c r="ESF66" s="0"/>
      <c r="ESG66" s="0"/>
      <c r="ESH66" s="0"/>
      <c r="ESI66" s="0"/>
      <c r="ESJ66" s="0"/>
      <c r="ESK66" s="0"/>
      <c r="ESL66" s="0"/>
      <c r="ESM66" s="0"/>
      <c r="ESN66" s="0"/>
      <c r="ESO66" s="0"/>
      <c r="ESP66" s="0"/>
      <c r="ESQ66" s="0"/>
      <c r="ESR66" s="0"/>
      <c r="ESS66" s="0"/>
      <c r="EST66" s="0"/>
      <c r="ESU66" s="0"/>
      <c r="ESV66" s="0"/>
      <c r="ESW66" s="0"/>
      <c r="ESX66" s="0"/>
      <c r="ESY66" s="0"/>
      <c r="ESZ66" s="0"/>
      <c r="ETA66" s="0"/>
      <c r="ETB66" s="0"/>
      <c r="ETC66" s="0"/>
      <c r="ETD66" s="0"/>
      <c r="ETE66" s="0"/>
      <c r="ETF66" s="0"/>
      <c r="ETG66" s="0"/>
      <c r="ETH66" s="0"/>
      <c r="ETI66" s="0"/>
      <c r="ETJ66" s="0"/>
      <c r="ETK66" s="0"/>
      <c r="ETL66" s="0"/>
      <c r="ETM66" s="0"/>
      <c r="ETN66" s="0"/>
      <c r="ETO66" s="0"/>
      <c r="ETP66" s="0"/>
      <c r="ETQ66" s="0"/>
      <c r="ETR66" s="0"/>
      <c r="ETS66" s="0"/>
      <c r="ETT66" s="0"/>
      <c r="ETU66" s="0"/>
      <c r="ETV66" s="0"/>
      <c r="ETW66" s="0"/>
      <c r="ETX66" s="0"/>
      <c r="ETY66" s="0"/>
      <c r="ETZ66" s="0"/>
      <c r="EUA66" s="0"/>
      <c r="EUB66" s="0"/>
      <c r="EUC66" s="0"/>
      <c r="EUD66" s="0"/>
      <c r="EUE66" s="0"/>
      <c r="EUF66" s="0"/>
      <c r="EUG66" s="0"/>
      <c r="EUH66" s="0"/>
      <c r="EUI66" s="0"/>
      <c r="EUJ66" s="0"/>
      <c r="EUK66" s="0"/>
      <c r="EUL66" s="0"/>
      <c r="EUM66" s="0"/>
      <c r="EUN66" s="0"/>
      <c r="EUO66" s="0"/>
      <c r="EUP66" s="0"/>
      <c r="EUQ66" s="0"/>
      <c r="EUR66" s="0"/>
      <c r="EUS66" s="0"/>
      <c r="EUT66" s="0"/>
      <c r="EUU66" s="0"/>
      <c r="EUV66" s="0"/>
      <c r="EUW66" s="0"/>
      <c r="EUX66" s="0"/>
      <c r="EUY66" s="0"/>
      <c r="EUZ66" s="0"/>
      <c r="EVA66" s="0"/>
      <c r="EVB66" s="0"/>
      <c r="EVC66" s="0"/>
      <c r="EVD66" s="0"/>
      <c r="EVE66" s="0"/>
      <c r="EVF66" s="0"/>
      <c r="EVG66" s="0"/>
      <c r="EVH66" s="0"/>
      <c r="EVI66" s="0"/>
      <c r="EVJ66" s="0"/>
      <c r="EVK66" s="0"/>
      <c r="EVL66" s="0"/>
      <c r="EVM66" s="0"/>
      <c r="EVN66" s="0"/>
      <c r="EVO66" s="0"/>
      <c r="EVP66" s="0"/>
      <c r="EVQ66" s="0"/>
      <c r="EVR66" s="0"/>
      <c r="EVS66" s="0"/>
      <c r="EVT66" s="0"/>
      <c r="EVU66" s="0"/>
      <c r="EVV66" s="0"/>
      <c r="EVW66" s="0"/>
      <c r="EVX66" s="0"/>
      <c r="EVY66" s="0"/>
      <c r="EVZ66" s="0"/>
      <c r="EWA66" s="0"/>
      <c r="EWB66" s="0"/>
      <c r="EWC66" s="0"/>
      <c r="EWD66" s="0"/>
      <c r="EWE66" s="0"/>
      <c r="EWF66" s="0"/>
      <c r="EWG66" s="0"/>
      <c r="EWH66" s="0"/>
      <c r="EWI66" s="0"/>
      <c r="EWJ66" s="0"/>
      <c r="EWK66" s="0"/>
      <c r="EWL66" s="0"/>
      <c r="EWM66" s="0"/>
      <c r="EWN66" s="0"/>
      <c r="EWO66" s="0"/>
      <c r="EWP66" s="0"/>
      <c r="EWQ66" s="0"/>
      <c r="EWR66" s="0"/>
      <c r="EWS66" s="0"/>
      <c r="EWT66" s="0"/>
      <c r="EWU66" s="0"/>
      <c r="EWV66" s="0"/>
      <c r="EWW66" s="0"/>
      <c r="EWX66" s="0"/>
      <c r="EWY66" s="0"/>
      <c r="EWZ66" s="0"/>
      <c r="EXA66" s="0"/>
      <c r="EXB66" s="0"/>
      <c r="EXC66" s="0"/>
      <c r="EXD66" s="0"/>
      <c r="EXE66" s="0"/>
      <c r="EXF66" s="0"/>
      <c r="EXG66" s="0"/>
      <c r="EXH66" s="0"/>
      <c r="EXI66" s="0"/>
      <c r="EXJ66" s="0"/>
      <c r="EXK66" s="0"/>
      <c r="EXL66" s="0"/>
      <c r="EXM66" s="0"/>
      <c r="EXN66" s="0"/>
      <c r="EXO66" s="0"/>
      <c r="EXP66" s="0"/>
      <c r="EXQ66" s="0"/>
      <c r="EXR66" s="0"/>
      <c r="EXS66" s="0"/>
      <c r="EXT66" s="0"/>
      <c r="EXU66" s="0"/>
      <c r="EXV66" s="0"/>
      <c r="EXW66" s="0"/>
      <c r="EXX66" s="0"/>
      <c r="EXY66" s="0"/>
      <c r="EXZ66" s="0"/>
      <c r="EYA66" s="0"/>
      <c r="EYB66" s="0"/>
      <c r="EYC66" s="0"/>
      <c r="EYD66" s="0"/>
      <c r="EYE66" s="0"/>
      <c r="EYF66" s="0"/>
      <c r="EYG66" s="0"/>
      <c r="EYH66" s="0"/>
      <c r="EYI66" s="0"/>
      <c r="EYJ66" s="0"/>
      <c r="EYK66" s="0"/>
      <c r="EYL66" s="0"/>
      <c r="EYM66" s="0"/>
      <c r="EYN66" s="0"/>
      <c r="EYO66" s="0"/>
      <c r="EYP66" s="0"/>
      <c r="EYQ66" s="0"/>
      <c r="EYR66" s="0"/>
      <c r="EYS66" s="0"/>
      <c r="EYT66" s="0"/>
      <c r="EYU66" s="0"/>
      <c r="EYV66" s="0"/>
      <c r="EYW66" s="0"/>
      <c r="EYX66" s="0"/>
      <c r="EYY66" s="0"/>
      <c r="EYZ66" s="0"/>
      <c r="EZA66" s="0"/>
      <c r="EZB66" s="0"/>
      <c r="EZC66" s="0"/>
      <c r="EZD66" s="0"/>
      <c r="EZE66" s="0"/>
      <c r="EZF66" s="0"/>
      <c r="EZG66" s="0"/>
      <c r="EZH66" s="0"/>
      <c r="EZI66" s="0"/>
      <c r="EZJ66" s="0"/>
      <c r="EZK66" s="0"/>
      <c r="EZL66" s="0"/>
      <c r="EZM66" s="0"/>
      <c r="EZN66" s="0"/>
      <c r="EZO66" s="0"/>
      <c r="EZP66" s="0"/>
      <c r="EZQ66" s="0"/>
      <c r="EZR66" s="0"/>
      <c r="EZS66" s="0"/>
      <c r="EZT66" s="0"/>
      <c r="EZU66" s="0"/>
      <c r="EZV66" s="0"/>
      <c r="EZW66" s="0"/>
      <c r="EZX66" s="0"/>
      <c r="EZY66" s="0"/>
      <c r="EZZ66" s="0"/>
      <c r="FAA66" s="0"/>
      <c r="FAB66" s="0"/>
      <c r="FAC66" s="0"/>
      <c r="FAD66" s="0"/>
      <c r="FAE66" s="0"/>
      <c r="FAF66" s="0"/>
      <c r="FAG66" s="0"/>
      <c r="FAH66" s="0"/>
      <c r="FAI66" s="0"/>
      <c r="FAJ66" s="0"/>
      <c r="FAK66" s="0"/>
      <c r="FAL66" s="0"/>
      <c r="FAM66" s="0"/>
      <c r="FAN66" s="0"/>
      <c r="FAO66" s="0"/>
      <c r="FAP66" s="0"/>
      <c r="FAQ66" s="0"/>
      <c r="FAR66" s="0"/>
      <c r="FAS66" s="0"/>
      <c r="FAT66" s="0"/>
      <c r="FAU66" s="0"/>
      <c r="FAV66" s="0"/>
      <c r="FAW66" s="0"/>
      <c r="FAX66" s="0"/>
      <c r="FAY66" s="0"/>
      <c r="FAZ66" s="0"/>
      <c r="FBA66" s="0"/>
      <c r="FBB66" s="0"/>
      <c r="FBC66" s="0"/>
      <c r="FBD66" s="0"/>
      <c r="FBE66" s="0"/>
      <c r="FBF66" s="0"/>
      <c r="FBG66" s="0"/>
      <c r="FBH66" s="0"/>
      <c r="FBI66" s="0"/>
      <c r="FBJ66" s="0"/>
      <c r="FBK66" s="0"/>
      <c r="FBL66" s="0"/>
      <c r="FBM66" s="0"/>
      <c r="FBN66" s="0"/>
      <c r="FBO66" s="0"/>
      <c r="FBP66" s="0"/>
      <c r="FBQ66" s="0"/>
      <c r="FBR66" s="0"/>
      <c r="FBS66" s="0"/>
      <c r="FBT66" s="0"/>
      <c r="FBU66" s="0"/>
      <c r="FBV66" s="0"/>
      <c r="FBW66" s="0"/>
      <c r="FBX66" s="0"/>
      <c r="FBY66" s="0"/>
      <c r="FBZ66" s="0"/>
      <c r="FCA66" s="0"/>
      <c r="FCB66" s="0"/>
      <c r="FCC66" s="0"/>
      <c r="FCD66" s="0"/>
      <c r="FCE66" s="0"/>
      <c r="FCF66" s="0"/>
      <c r="FCG66" s="0"/>
      <c r="FCH66" s="0"/>
      <c r="FCI66" s="0"/>
      <c r="FCJ66" s="0"/>
      <c r="FCK66" s="0"/>
      <c r="FCL66" s="0"/>
      <c r="FCM66" s="0"/>
      <c r="FCN66" s="0"/>
      <c r="FCO66" s="0"/>
      <c r="FCP66" s="0"/>
      <c r="FCQ66" s="0"/>
      <c r="FCR66" s="0"/>
      <c r="FCS66" s="0"/>
      <c r="FCT66" s="0"/>
      <c r="FCU66" s="0"/>
      <c r="FCV66" s="0"/>
      <c r="FCW66" s="0"/>
      <c r="FCX66" s="0"/>
      <c r="FCY66" s="0"/>
      <c r="FCZ66" s="0"/>
      <c r="FDA66" s="0"/>
      <c r="FDB66" s="0"/>
      <c r="FDC66" s="0"/>
      <c r="FDD66" s="0"/>
      <c r="FDE66" s="0"/>
      <c r="FDF66" s="0"/>
      <c r="FDG66" s="0"/>
      <c r="FDH66" s="0"/>
      <c r="FDI66" s="0"/>
      <c r="FDJ66" s="0"/>
      <c r="FDK66" s="0"/>
      <c r="FDL66" s="0"/>
      <c r="FDM66" s="0"/>
      <c r="FDN66" s="0"/>
      <c r="FDO66" s="0"/>
      <c r="FDP66" s="0"/>
      <c r="FDQ66" s="0"/>
      <c r="FDR66" s="0"/>
      <c r="FDS66" s="0"/>
      <c r="FDT66" s="0"/>
      <c r="FDU66" s="0"/>
      <c r="FDV66" s="0"/>
      <c r="FDW66" s="0"/>
      <c r="FDX66" s="0"/>
      <c r="FDY66" s="0"/>
      <c r="FDZ66" s="0"/>
      <c r="FEA66" s="0"/>
      <c r="FEB66" s="0"/>
      <c r="FEC66" s="0"/>
      <c r="FED66" s="0"/>
      <c r="FEE66" s="0"/>
      <c r="FEF66" s="0"/>
      <c r="FEG66" s="0"/>
      <c r="FEH66" s="0"/>
      <c r="FEI66" s="0"/>
      <c r="FEJ66" s="0"/>
      <c r="FEK66" s="0"/>
      <c r="FEL66" s="0"/>
      <c r="FEM66" s="0"/>
      <c r="FEN66" s="0"/>
      <c r="FEO66" s="0"/>
      <c r="FEP66" s="0"/>
      <c r="FEQ66" s="0"/>
      <c r="FER66" s="0"/>
      <c r="FES66" s="0"/>
      <c r="FET66" s="0"/>
      <c r="FEU66" s="0"/>
      <c r="FEV66" s="0"/>
      <c r="FEW66" s="0"/>
      <c r="FEX66" s="0"/>
      <c r="FEY66" s="0"/>
      <c r="FEZ66" s="0"/>
      <c r="FFA66" s="0"/>
      <c r="FFB66" s="0"/>
      <c r="FFC66" s="0"/>
      <c r="FFD66" s="0"/>
      <c r="FFE66" s="0"/>
      <c r="FFF66" s="0"/>
      <c r="FFG66" s="0"/>
      <c r="FFH66" s="0"/>
      <c r="FFI66" s="0"/>
      <c r="FFJ66" s="0"/>
      <c r="FFK66" s="0"/>
      <c r="FFL66" s="0"/>
      <c r="FFM66" s="0"/>
      <c r="FFN66" s="0"/>
      <c r="FFO66" s="0"/>
      <c r="FFP66" s="0"/>
      <c r="FFQ66" s="0"/>
      <c r="FFR66" s="0"/>
      <c r="FFS66" s="0"/>
      <c r="FFT66" s="0"/>
      <c r="FFU66" s="0"/>
      <c r="FFV66" s="0"/>
      <c r="FFW66" s="0"/>
      <c r="FFX66" s="0"/>
      <c r="FFY66" s="0"/>
      <c r="FFZ66" s="0"/>
      <c r="FGA66" s="0"/>
      <c r="FGB66" s="0"/>
      <c r="FGC66" s="0"/>
      <c r="FGD66" s="0"/>
      <c r="FGE66" s="0"/>
      <c r="FGF66" s="0"/>
      <c r="FGG66" s="0"/>
      <c r="FGH66" s="0"/>
      <c r="FGI66" s="0"/>
      <c r="FGJ66" s="0"/>
      <c r="FGK66" s="0"/>
      <c r="FGL66" s="0"/>
      <c r="FGM66" s="0"/>
      <c r="FGN66" s="0"/>
      <c r="FGO66" s="0"/>
      <c r="FGP66" s="0"/>
      <c r="FGQ66" s="0"/>
      <c r="FGR66" s="0"/>
      <c r="FGS66" s="0"/>
      <c r="FGT66" s="0"/>
      <c r="FGU66" s="0"/>
      <c r="FGV66" s="0"/>
      <c r="FGW66" s="0"/>
      <c r="FGX66" s="0"/>
      <c r="FGY66" s="0"/>
      <c r="FGZ66" s="0"/>
      <c r="FHA66" s="0"/>
      <c r="FHB66" s="0"/>
      <c r="FHC66" s="0"/>
      <c r="FHD66" s="0"/>
      <c r="FHE66" s="0"/>
      <c r="FHF66" s="0"/>
      <c r="FHG66" s="0"/>
      <c r="FHH66" s="0"/>
      <c r="FHI66" s="0"/>
      <c r="FHJ66" s="0"/>
      <c r="FHK66" s="0"/>
      <c r="FHL66" s="0"/>
      <c r="FHM66" s="0"/>
      <c r="FHN66" s="0"/>
      <c r="FHO66" s="0"/>
      <c r="FHP66" s="0"/>
      <c r="FHQ66" s="0"/>
      <c r="FHR66" s="0"/>
      <c r="FHS66" s="0"/>
      <c r="FHT66" s="0"/>
      <c r="FHU66" s="0"/>
      <c r="FHV66" s="0"/>
      <c r="FHW66" s="0"/>
      <c r="FHX66" s="0"/>
      <c r="FHY66" s="0"/>
      <c r="FHZ66" s="0"/>
      <c r="FIA66" s="0"/>
      <c r="FIB66" s="0"/>
      <c r="FIC66" s="0"/>
      <c r="FID66" s="0"/>
      <c r="FIE66" s="0"/>
      <c r="FIF66" s="0"/>
      <c r="FIG66" s="0"/>
      <c r="FIH66" s="0"/>
      <c r="FII66" s="0"/>
      <c r="FIJ66" s="0"/>
      <c r="FIK66" s="0"/>
      <c r="FIL66" s="0"/>
      <c r="FIM66" s="0"/>
      <c r="FIN66" s="0"/>
      <c r="FIO66" s="0"/>
      <c r="FIP66" s="0"/>
      <c r="FIQ66" s="0"/>
      <c r="FIR66" s="0"/>
      <c r="FIS66" s="0"/>
      <c r="FIT66" s="0"/>
      <c r="FIU66" s="0"/>
      <c r="FIV66" s="0"/>
      <c r="FIW66" s="0"/>
      <c r="FIX66" s="0"/>
      <c r="FIY66" s="0"/>
      <c r="FIZ66" s="0"/>
      <c r="FJA66" s="0"/>
      <c r="FJB66" s="0"/>
      <c r="FJC66" s="0"/>
      <c r="FJD66" s="0"/>
      <c r="FJE66" s="0"/>
      <c r="FJF66" s="0"/>
      <c r="FJG66" s="0"/>
      <c r="FJH66" s="0"/>
      <c r="FJI66" s="0"/>
      <c r="FJJ66" s="0"/>
      <c r="FJK66" s="0"/>
      <c r="FJL66" s="0"/>
      <c r="FJM66" s="0"/>
      <c r="FJN66" s="0"/>
      <c r="FJO66" s="0"/>
      <c r="FJP66" s="0"/>
      <c r="FJQ66" s="0"/>
      <c r="FJR66" s="0"/>
      <c r="FJS66" s="0"/>
      <c r="FJT66" s="0"/>
      <c r="FJU66" s="0"/>
      <c r="FJV66" s="0"/>
      <c r="FJW66" s="0"/>
      <c r="FJX66" s="0"/>
      <c r="FJY66" s="0"/>
      <c r="FJZ66" s="0"/>
      <c r="FKA66" s="0"/>
      <c r="FKB66" s="0"/>
      <c r="FKC66" s="0"/>
      <c r="FKD66" s="0"/>
      <c r="FKE66" s="0"/>
      <c r="FKF66" s="0"/>
      <c r="FKG66" s="0"/>
      <c r="FKH66" s="0"/>
      <c r="FKI66" s="0"/>
      <c r="FKJ66" s="0"/>
      <c r="FKK66" s="0"/>
      <c r="FKL66" s="0"/>
      <c r="FKM66" s="0"/>
      <c r="FKN66" s="0"/>
      <c r="FKO66" s="0"/>
      <c r="FKP66" s="0"/>
      <c r="FKQ66" s="0"/>
      <c r="FKR66" s="0"/>
      <c r="FKS66" s="0"/>
      <c r="FKT66" s="0"/>
      <c r="FKU66" s="0"/>
      <c r="FKV66" s="0"/>
      <c r="FKW66" s="0"/>
      <c r="FKX66" s="0"/>
      <c r="FKY66" s="0"/>
      <c r="FKZ66" s="0"/>
      <c r="FLA66" s="0"/>
      <c r="FLB66" s="0"/>
      <c r="FLC66" s="0"/>
      <c r="FLD66" s="0"/>
      <c r="FLE66" s="0"/>
      <c r="FLF66" s="0"/>
      <c r="FLG66" s="0"/>
      <c r="FLH66" s="0"/>
      <c r="FLI66" s="0"/>
      <c r="FLJ66" s="0"/>
      <c r="FLK66" s="0"/>
      <c r="FLL66" s="0"/>
      <c r="FLM66" s="0"/>
      <c r="FLN66" s="0"/>
      <c r="FLO66" s="0"/>
      <c r="FLP66" s="0"/>
      <c r="FLQ66" s="0"/>
      <c r="FLR66" s="0"/>
      <c r="FLS66" s="0"/>
      <c r="FLT66" s="0"/>
      <c r="FLU66" s="0"/>
      <c r="FLV66" s="0"/>
      <c r="FLW66" s="0"/>
      <c r="FLX66" s="0"/>
      <c r="FLY66" s="0"/>
      <c r="FLZ66" s="0"/>
      <c r="FMA66" s="0"/>
      <c r="FMB66" s="0"/>
      <c r="FMC66" s="0"/>
      <c r="FMD66" s="0"/>
      <c r="FME66" s="0"/>
      <c r="FMF66" s="0"/>
      <c r="FMG66" s="0"/>
      <c r="FMH66" s="0"/>
      <c r="FMI66" s="0"/>
      <c r="FMJ66" s="0"/>
      <c r="FMK66" s="0"/>
      <c r="FML66" s="0"/>
      <c r="FMM66" s="0"/>
      <c r="FMN66" s="0"/>
      <c r="FMO66" s="0"/>
      <c r="FMP66" s="0"/>
      <c r="FMQ66" s="0"/>
      <c r="FMR66" s="0"/>
      <c r="FMS66" s="0"/>
      <c r="FMT66" s="0"/>
      <c r="FMU66" s="0"/>
      <c r="FMV66" s="0"/>
      <c r="FMW66" s="0"/>
      <c r="FMX66" s="0"/>
      <c r="FMY66" s="0"/>
      <c r="FMZ66" s="0"/>
      <c r="FNA66" s="0"/>
      <c r="FNB66" s="0"/>
      <c r="FNC66" s="0"/>
      <c r="FND66" s="0"/>
      <c r="FNE66" s="0"/>
      <c r="FNF66" s="0"/>
      <c r="FNG66" s="0"/>
      <c r="FNH66" s="0"/>
      <c r="FNI66" s="0"/>
      <c r="FNJ66" s="0"/>
      <c r="FNK66" s="0"/>
      <c r="FNL66" s="0"/>
      <c r="FNM66" s="0"/>
      <c r="FNN66" s="0"/>
      <c r="FNO66" s="0"/>
      <c r="FNP66" s="0"/>
      <c r="FNQ66" s="0"/>
      <c r="FNR66" s="0"/>
      <c r="FNS66" s="0"/>
      <c r="FNT66" s="0"/>
      <c r="FNU66" s="0"/>
      <c r="FNV66" s="0"/>
      <c r="FNW66" s="0"/>
      <c r="FNX66" s="0"/>
      <c r="FNY66" s="0"/>
      <c r="FNZ66" s="0"/>
      <c r="FOA66" s="0"/>
      <c r="FOB66" s="0"/>
      <c r="FOC66" s="0"/>
      <c r="FOD66" s="0"/>
      <c r="FOE66" s="0"/>
      <c r="FOF66" s="0"/>
      <c r="FOG66" s="0"/>
      <c r="FOH66" s="0"/>
      <c r="FOI66" s="0"/>
      <c r="FOJ66" s="0"/>
      <c r="FOK66" s="0"/>
      <c r="FOL66" s="0"/>
      <c r="FOM66" s="0"/>
      <c r="FON66" s="0"/>
      <c r="FOO66" s="0"/>
      <c r="FOP66" s="0"/>
      <c r="FOQ66" s="0"/>
      <c r="FOR66" s="0"/>
      <c r="FOS66" s="0"/>
      <c r="FOT66" s="0"/>
      <c r="FOU66" s="0"/>
      <c r="FOV66" s="0"/>
      <c r="FOW66" s="0"/>
      <c r="FOX66" s="0"/>
      <c r="FOY66" s="0"/>
      <c r="FOZ66" s="0"/>
      <c r="FPA66" s="0"/>
      <c r="FPB66" s="0"/>
      <c r="FPC66" s="0"/>
      <c r="FPD66" s="0"/>
      <c r="FPE66" s="0"/>
      <c r="FPF66" s="0"/>
      <c r="FPG66" s="0"/>
      <c r="FPH66" s="0"/>
      <c r="FPI66" s="0"/>
      <c r="FPJ66" s="0"/>
      <c r="FPK66" s="0"/>
      <c r="FPL66" s="0"/>
      <c r="FPM66" s="0"/>
      <c r="FPN66" s="0"/>
      <c r="FPO66" s="0"/>
      <c r="FPP66" s="0"/>
      <c r="FPQ66" s="0"/>
      <c r="FPR66" s="0"/>
      <c r="FPS66" s="0"/>
      <c r="FPT66" s="0"/>
      <c r="FPU66" s="0"/>
      <c r="FPV66" s="0"/>
      <c r="FPW66" s="0"/>
      <c r="FPX66" s="0"/>
      <c r="FPY66" s="0"/>
      <c r="FPZ66" s="0"/>
      <c r="FQA66" s="0"/>
      <c r="FQB66" s="0"/>
      <c r="FQC66" s="0"/>
      <c r="FQD66" s="0"/>
      <c r="FQE66" s="0"/>
      <c r="FQF66" s="0"/>
      <c r="FQG66" s="0"/>
      <c r="FQH66" s="0"/>
      <c r="FQI66" s="0"/>
      <c r="FQJ66" s="0"/>
      <c r="FQK66" s="0"/>
      <c r="FQL66" s="0"/>
      <c r="FQM66" s="0"/>
      <c r="FQN66" s="0"/>
      <c r="FQO66" s="0"/>
      <c r="FQP66" s="0"/>
      <c r="FQQ66" s="0"/>
      <c r="FQR66" s="0"/>
      <c r="FQS66" s="0"/>
      <c r="FQT66" s="0"/>
      <c r="FQU66" s="0"/>
      <c r="FQV66" s="0"/>
      <c r="FQW66" s="0"/>
      <c r="FQX66" s="0"/>
      <c r="FQY66" s="0"/>
      <c r="FQZ66" s="0"/>
      <c r="FRA66" s="0"/>
      <c r="FRB66" s="0"/>
      <c r="FRC66" s="0"/>
      <c r="FRD66" s="0"/>
      <c r="FRE66" s="0"/>
      <c r="FRF66" s="0"/>
      <c r="FRG66" s="0"/>
      <c r="FRH66" s="0"/>
      <c r="FRI66" s="0"/>
      <c r="FRJ66" s="0"/>
      <c r="FRK66" s="0"/>
      <c r="FRL66" s="0"/>
      <c r="FRM66" s="0"/>
      <c r="FRN66" s="0"/>
      <c r="FRO66" s="0"/>
      <c r="FRP66" s="0"/>
      <c r="FRQ66" s="0"/>
      <c r="FRR66" s="0"/>
      <c r="FRS66" s="0"/>
      <c r="FRT66" s="0"/>
      <c r="FRU66" s="0"/>
      <c r="FRV66" s="0"/>
      <c r="FRW66" s="0"/>
      <c r="FRX66" s="0"/>
      <c r="FRY66" s="0"/>
      <c r="FRZ66" s="0"/>
      <c r="FSA66" s="0"/>
      <c r="FSB66" s="0"/>
      <c r="FSC66" s="0"/>
      <c r="FSD66" s="0"/>
      <c r="FSE66" s="0"/>
      <c r="FSF66" s="0"/>
      <c r="FSG66" s="0"/>
      <c r="FSH66" s="0"/>
      <c r="FSI66" s="0"/>
      <c r="FSJ66" s="0"/>
      <c r="FSK66" s="0"/>
      <c r="FSL66" s="0"/>
      <c r="FSM66" s="0"/>
      <c r="FSN66" s="0"/>
      <c r="FSO66" s="0"/>
      <c r="FSP66" s="0"/>
      <c r="FSQ66" s="0"/>
      <c r="FSR66" s="0"/>
      <c r="FSS66" s="0"/>
      <c r="FST66" s="0"/>
      <c r="FSU66" s="0"/>
      <c r="FSV66" s="0"/>
      <c r="FSW66" s="0"/>
      <c r="FSX66" s="0"/>
      <c r="FSY66" s="0"/>
      <c r="FSZ66" s="0"/>
      <c r="FTA66" s="0"/>
      <c r="FTB66" s="0"/>
      <c r="FTC66" s="0"/>
      <c r="FTD66" s="0"/>
      <c r="FTE66" s="0"/>
      <c r="FTF66" s="0"/>
      <c r="FTG66" s="0"/>
      <c r="FTH66" s="0"/>
      <c r="FTI66" s="0"/>
      <c r="FTJ66" s="0"/>
      <c r="FTK66" s="0"/>
      <c r="FTL66" s="0"/>
      <c r="FTM66" s="0"/>
      <c r="FTN66" s="0"/>
      <c r="FTO66" s="0"/>
      <c r="FTP66" s="0"/>
      <c r="FTQ66" s="0"/>
      <c r="FTR66" s="0"/>
      <c r="FTS66" s="0"/>
      <c r="FTT66" s="0"/>
      <c r="FTU66" s="0"/>
      <c r="FTV66" s="0"/>
      <c r="FTW66" s="0"/>
      <c r="FTX66" s="0"/>
      <c r="FTY66" s="0"/>
      <c r="FTZ66" s="0"/>
      <c r="FUA66" s="0"/>
      <c r="FUB66" s="0"/>
      <c r="FUC66" s="0"/>
      <c r="FUD66" s="0"/>
      <c r="FUE66" s="0"/>
      <c r="FUF66" s="0"/>
      <c r="FUG66" s="0"/>
      <c r="FUH66" s="0"/>
      <c r="FUI66" s="0"/>
      <c r="FUJ66" s="0"/>
      <c r="FUK66" s="0"/>
      <c r="FUL66" s="0"/>
      <c r="FUM66" s="0"/>
      <c r="FUN66" s="0"/>
      <c r="FUO66" s="0"/>
      <c r="FUP66" s="0"/>
      <c r="FUQ66" s="0"/>
      <c r="FUR66" s="0"/>
      <c r="FUS66" s="0"/>
      <c r="FUT66" s="0"/>
      <c r="FUU66" s="0"/>
      <c r="FUV66" s="0"/>
      <c r="FUW66" s="0"/>
      <c r="FUX66" s="0"/>
      <c r="FUY66" s="0"/>
      <c r="FUZ66" s="0"/>
      <c r="FVA66" s="0"/>
      <c r="FVB66" s="0"/>
      <c r="FVC66" s="0"/>
      <c r="FVD66" s="0"/>
      <c r="FVE66" s="0"/>
      <c r="FVF66" s="0"/>
      <c r="FVG66" s="0"/>
      <c r="FVH66" s="0"/>
      <c r="FVI66" s="0"/>
      <c r="FVJ66" s="0"/>
      <c r="FVK66" s="0"/>
      <c r="FVL66" s="0"/>
      <c r="FVM66" s="0"/>
      <c r="FVN66" s="0"/>
      <c r="FVO66" s="0"/>
      <c r="FVP66" s="0"/>
      <c r="FVQ66" s="0"/>
      <c r="FVR66" s="0"/>
      <c r="FVS66" s="0"/>
      <c r="FVT66" s="0"/>
      <c r="FVU66" s="0"/>
      <c r="FVV66" s="0"/>
      <c r="FVW66" s="0"/>
      <c r="FVX66" s="0"/>
      <c r="FVY66" s="0"/>
      <c r="FVZ66" s="0"/>
      <c r="FWA66" s="0"/>
      <c r="FWB66" s="0"/>
      <c r="FWC66" s="0"/>
      <c r="FWD66" s="0"/>
      <c r="FWE66" s="0"/>
      <c r="FWF66" s="0"/>
      <c r="FWG66" s="0"/>
      <c r="FWH66" s="0"/>
      <c r="FWI66" s="0"/>
      <c r="FWJ66" s="0"/>
      <c r="FWK66" s="0"/>
      <c r="FWL66" s="0"/>
      <c r="FWM66" s="0"/>
      <c r="FWN66" s="0"/>
      <c r="FWO66" s="0"/>
      <c r="FWP66" s="0"/>
      <c r="FWQ66" s="0"/>
      <c r="FWR66" s="0"/>
      <c r="FWS66" s="0"/>
      <c r="FWT66" s="0"/>
      <c r="FWU66" s="0"/>
      <c r="FWV66" s="0"/>
      <c r="FWW66" s="0"/>
      <c r="FWX66" s="0"/>
      <c r="FWY66" s="0"/>
      <c r="FWZ66" s="0"/>
      <c r="FXA66" s="0"/>
      <c r="FXB66" s="0"/>
      <c r="FXC66" s="0"/>
      <c r="FXD66" s="0"/>
      <c r="FXE66" s="0"/>
      <c r="FXF66" s="0"/>
      <c r="FXG66" s="0"/>
      <c r="FXH66" s="0"/>
      <c r="FXI66" s="0"/>
      <c r="FXJ66" s="0"/>
      <c r="FXK66" s="0"/>
      <c r="FXL66" s="0"/>
      <c r="FXM66" s="0"/>
      <c r="FXN66" s="0"/>
      <c r="FXO66" s="0"/>
      <c r="FXP66" s="0"/>
      <c r="FXQ66" s="0"/>
      <c r="FXR66" s="0"/>
      <c r="FXS66" s="0"/>
      <c r="FXT66" s="0"/>
      <c r="FXU66" s="0"/>
      <c r="FXV66" s="0"/>
      <c r="FXW66" s="0"/>
      <c r="FXX66" s="0"/>
      <c r="FXY66" s="0"/>
      <c r="FXZ66" s="0"/>
      <c r="FYA66" s="0"/>
      <c r="FYB66" s="0"/>
      <c r="FYC66" s="0"/>
      <c r="FYD66" s="0"/>
      <c r="FYE66" s="0"/>
      <c r="FYF66" s="0"/>
      <c r="FYG66" s="0"/>
      <c r="FYH66" s="0"/>
      <c r="FYI66" s="0"/>
      <c r="FYJ66" s="0"/>
      <c r="FYK66" s="0"/>
      <c r="FYL66" s="0"/>
      <c r="FYM66" s="0"/>
      <c r="FYN66" s="0"/>
      <c r="FYO66" s="0"/>
      <c r="FYP66" s="0"/>
      <c r="FYQ66" s="0"/>
      <c r="FYR66" s="0"/>
      <c r="FYS66" s="0"/>
      <c r="FYT66" s="0"/>
      <c r="FYU66" s="0"/>
      <c r="FYV66" s="0"/>
      <c r="FYW66" s="0"/>
      <c r="FYX66" s="0"/>
      <c r="FYY66" s="0"/>
      <c r="FYZ66" s="0"/>
      <c r="FZA66" s="0"/>
      <c r="FZB66" s="0"/>
      <c r="FZC66" s="0"/>
      <c r="FZD66" s="0"/>
      <c r="FZE66" s="0"/>
      <c r="FZF66" s="0"/>
      <c r="FZG66" s="0"/>
      <c r="FZH66" s="0"/>
      <c r="FZI66" s="0"/>
      <c r="FZJ66" s="0"/>
      <c r="FZK66" s="0"/>
      <c r="FZL66" s="0"/>
      <c r="FZM66" s="0"/>
      <c r="FZN66" s="0"/>
      <c r="FZO66" s="0"/>
      <c r="FZP66" s="0"/>
      <c r="FZQ66" s="0"/>
      <c r="FZR66" s="0"/>
      <c r="FZS66" s="0"/>
      <c r="FZT66" s="0"/>
      <c r="FZU66" s="0"/>
      <c r="FZV66" s="0"/>
      <c r="FZW66" s="0"/>
      <c r="FZX66" s="0"/>
      <c r="FZY66" s="0"/>
      <c r="FZZ66" s="0"/>
      <c r="GAA66" s="0"/>
      <c r="GAB66" s="0"/>
      <c r="GAC66" s="0"/>
      <c r="GAD66" s="0"/>
      <c r="GAE66" s="0"/>
      <c r="GAF66" s="0"/>
      <c r="GAG66" s="0"/>
      <c r="GAH66" s="0"/>
      <c r="GAI66" s="0"/>
      <c r="GAJ66" s="0"/>
      <c r="GAK66" s="0"/>
      <c r="GAL66" s="0"/>
      <c r="GAM66" s="0"/>
      <c r="GAN66" s="0"/>
      <c r="GAO66" s="0"/>
      <c r="GAP66" s="0"/>
      <c r="GAQ66" s="0"/>
      <c r="GAR66" s="0"/>
      <c r="GAS66" s="0"/>
      <c r="GAT66" s="0"/>
      <c r="GAU66" s="0"/>
      <c r="GAV66" s="0"/>
      <c r="GAW66" s="0"/>
      <c r="GAX66" s="0"/>
      <c r="GAY66" s="0"/>
      <c r="GAZ66" s="0"/>
      <c r="GBA66" s="0"/>
      <c r="GBB66" s="0"/>
      <c r="GBC66" s="0"/>
      <c r="GBD66" s="0"/>
      <c r="GBE66" s="0"/>
      <c r="GBF66" s="0"/>
      <c r="GBG66" s="0"/>
      <c r="GBH66" s="0"/>
      <c r="GBI66" s="0"/>
      <c r="GBJ66" s="0"/>
      <c r="GBK66" s="0"/>
      <c r="GBL66" s="0"/>
      <c r="GBM66" s="0"/>
      <c r="GBN66" s="0"/>
      <c r="GBO66" s="0"/>
      <c r="GBP66" s="0"/>
      <c r="GBQ66" s="0"/>
      <c r="GBR66" s="0"/>
      <c r="GBS66" s="0"/>
      <c r="GBT66" s="0"/>
      <c r="GBU66" s="0"/>
      <c r="GBV66" s="0"/>
      <c r="GBW66" s="0"/>
      <c r="GBX66" s="0"/>
      <c r="GBY66" s="0"/>
      <c r="GBZ66" s="0"/>
      <c r="GCA66" s="0"/>
      <c r="GCB66" s="0"/>
      <c r="GCC66" s="0"/>
      <c r="GCD66" s="0"/>
      <c r="GCE66" s="0"/>
      <c r="GCF66" s="0"/>
      <c r="GCG66" s="0"/>
      <c r="GCH66" s="0"/>
      <c r="GCI66" s="0"/>
      <c r="GCJ66" s="0"/>
      <c r="GCK66" s="0"/>
      <c r="GCL66" s="0"/>
      <c r="GCM66" s="0"/>
      <c r="GCN66" s="0"/>
      <c r="GCO66" s="0"/>
      <c r="GCP66" s="0"/>
      <c r="GCQ66" s="0"/>
      <c r="GCR66" s="0"/>
      <c r="GCS66" s="0"/>
      <c r="GCT66" s="0"/>
      <c r="GCU66" s="0"/>
      <c r="GCV66" s="0"/>
      <c r="GCW66" s="0"/>
      <c r="GCX66" s="0"/>
      <c r="GCY66" s="0"/>
      <c r="GCZ66" s="0"/>
      <c r="GDA66" s="0"/>
      <c r="GDB66" s="0"/>
      <c r="GDC66" s="0"/>
      <c r="GDD66" s="0"/>
      <c r="GDE66" s="0"/>
      <c r="GDF66" s="0"/>
      <c r="GDG66" s="0"/>
      <c r="GDH66" s="0"/>
      <c r="GDI66" s="0"/>
      <c r="GDJ66" s="0"/>
      <c r="GDK66" s="0"/>
      <c r="GDL66" s="0"/>
      <c r="GDM66" s="0"/>
      <c r="GDN66" s="0"/>
      <c r="GDO66" s="0"/>
      <c r="GDP66" s="0"/>
      <c r="GDQ66" s="0"/>
      <c r="GDR66" s="0"/>
      <c r="GDS66" s="0"/>
      <c r="GDT66" s="0"/>
      <c r="GDU66" s="0"/>
      <c r="GDV66" s="0"/>
      <c r="GDW66" s="0"/>
      <c r="GDX66" s="0"/>
      <c r="GDY66" s="0"/>
      <c r="GDZ66" s="0"/>
      <c r="GEA66" s="0"/>
      <c r="GEB66" s="0"/>
      <c r="GEC66" s="0"/>
      <c r="GED66" s="0"/>
      <c r="GEE66" s="0"/>
      <c r="GEF66" s="0"/>
      <c r="GEG66" s="0"/>
      <c r="GEH66" s="0"/>
      <c r="GEI66" s="0"/>
      <c r="GEJ66" s="0"/>
      <c r="GEK66" s="0"/>
      <c r="GEL66" s="0"/>
      <c r="GEM66" s="0"/>
      <c r="GEN66" s="0"/>
      <c r="GEO66" s="0"/>
      <c r="GEP66" s="0"/>
      <c r="GEQ66" s="0"/>
      <c r="GER66" s="0"/>
      <c r="GES66" s="0"/>
      <c r="GET66" s="0"/>
      <c r="GEU66" s="0"/>
      <c r="GEV66" s="0"/>
      <c r="GEW66" s="0"/>
      <c r="GEX66" s="0"/>
      <c r="GEY66" s="0"/>
      <c r="GEZ66" s="0"/>
      <c r="GFA66" s="0"/>
      <c r="GFB66" s="0"/>
      <c r="GFC66" s="0"/>
      <c r="GFD66" s="0"/>
      <c r="GFE66" s="0"/>
      <c r="GFF66" s="0"/>
      <c r="GFG66" s="0"/>
      <c r="GFH66" s="0"/>
      <c r="GFI66" s="0"/>
      <c r="GFJ66" s="0"/>
      <c r="GFK66" s="0"/>
      <c r="GFL66" s="0"/>
      <c r="GFM66" s="0"/>
      <c r="GFN66" s="0"/>
      <c r="GFO66" s="0"/>
      <c r="GFP66" s="0"/>
      <c r="GFQ66" s="0"/>
      <c r="GFR66" s="0"/>
      <c r="GFS66" s="0"/>
      <c r="GFT66" s="0"/>
      <c r="GFU66" s="0"/>
      <c r="GFV66" s="0"/>
      <c r="GFW66" s="0"/>
      <c r="GFX66" s="0"/>
      <c r="GFY66" s="0"/>
      <c r="GFZ66" s="0"/>
      <c r="GGA66" s="0"/>
      <c r="GGB66" s="0"/>
      <c r="GGC66" s="0"/>
      <c r="GGD66" s="0"/>
      <c r="GGE66" s="0"/>
      <c r="GGF66" s="0"/>
      <c r="GGG66" s="0"/>
      <c r="GGH66" s="0"/>
      <c r="GGI66" s="0"/>
      <c r="GGJ66" s="0"/>
      <c r="GGK66" s="0"/>
      <c r="GGL66" s="0"/>
      <c r="GGM66" s="0"/>
      <c r="GGN66" s="0"/>
      <c r="GGO66" s="0"/>
      <c r="GGP66" s="0"/>
      <c r="GGQ66" s="0"/>
      <c r="GGR66" s="0"/>
      <c r="GGS66" s="0"/>
      <c r="GGT66" s="0"/>
      <c r="GGU66" s="0"/>
      <c r="GGV66" s="0"/>
      <c r="GGW66" s="0"/>
      <c r="GGX66" s="0"/>
      <c r="GGY66" s="0"/>
      <c r="GGZ66" s="0"/>
      <c r="GHA66" s="0"/>
      <c r="GHB66" s="0"/>
      <c r="GHC66" s="0"/>
      <c r="GHD66" s="0"/>
      <c r="GHE66" s="0"/>
      <c r="GHF66" s="0"/>
      <c r="GHG66" s="0"/>
      <c r="GHH66" s="0"/>
      <c r="GHI66" s="0"/>
      <c r="GHJ66" s="0"/>
      <c r="GHK66" s="0"/>
      <c r="GHL66" s="0"/>
      <c r="GHM66" s="0"/>
      <c r="GHN66" s="0"/>
      <c r="GHO66" s="0"/>
      <c r="GHP66" s="0"/>
      <c r="GHQ66" s="0"/>
      <c r="GHR66" s="0"/>
      <c r="GHS66" s="0"/>
      <c r="GHT66" s="0"/>
      <c r="GHU66" s="0"/>
      <c r="GHV66" s="0"/>
      <c r="GHW66" s="0"/>
      <c r="GHX66" s="0"/>
      <c r="GHY66" s="0"/>
      <c r="GHZ66" s="0"/>
      <c r="GIA66" s="0"/>
      <c r="GIB66" s="0"/>
      <c r="GIC66" s="0"/>
      <c r="GID66" s="0"/>
      <c r="GIE66" s="0"/>
      <c r="GIF66" s="0"/>
      <c r="GIG66" s="0"/>
      <c r="GIH66" s="0"/>
      <c r="GII66" s="0"/>
      <c r="GIJ66" s="0"/>
      <c r="GIK66" s="0"/>
      <c r="GIL66" s="0"/>
      <c r="GIM66" s="0"/>
      <c r="GIN66" s="0"/>
      <c r="GIO66" s="0"/>
      <c r="GIP66" s="0"/>
      <c r="GIQ66" s="0"/>
      <c r="GIR66" s="0"/>
      <c r="GIS66" s="0"/>
      <c r="GIT66" s="0"/>
      <c r="GIU66" s="0"/>
      <c r="GIV66" s="0"/>
      <c r="GIW66" s="0"/>
      <c r="GIX66" s="0"/>
      <c r="GIY66" s="0"/>
      <c r="GIZ66" s="0"/>
      <c r="GJA66" s="0"/>
      <c r="GJB66" s="0"/>
      <c r="GJC66" s="0"/>
      <c r="GJD66" s="0"/>
      <c r="GJE66" s="0"/>
      <c r="GJF66" s="0"/>
      <c r="GJG66" s="0"/>
      <c r="GJH66" s="0"/>
      <c r="GJI66" s="0"/>
      <c r="GJJ66" s="0"/>
      <c r="GJK66" s="0"/>
      <c r="GJL66" s="0"/>
      <c r="GJM66" s="0"/>
      <c r="GJN66" s="0"/>
      <c r="GJO66" s="0"/>
      <c r="GJP66" s="0"/>
      <c r="GJQ66" s="0"/>
      <c r="GJR66" s="0"/>
      <c r="GJS66" s="0"/>
      <c r="GJT66" s="0"/>
      <c r="GJU66" s="0"/>
      <c r="GJV66" s="0"/>
      <c r="GJW66" s="0"/>
      <c r="GJX66" s="0"/>
      <c r="GJY66" s="0"/>
      <c r="GJZ66" s="0"/>
      <c r="GKA66" s="0"/>
      <c r="GKB66" s="0"/>
      <c r="GKC66" s="0"/>
      <c r="GKD66" s="0"/>
      <c r="GKE66" s="0"/>
      <c r="GKF66" s="0"/>
      <c r="GKG66" s="0"/>
      <c r="GKH66" s="0"/>
      <c r="GKI66" s="0"/>
      <c r="GKJ66" s="0"/>
      <c r="GKK66" s="0"/>
      <c r="GKL66" s="0"/>
      <c r="GKM66" s="0"/>
      <c r="GKN66" s="0"/>
      <c r="GKO66" s="0"/>
      <c r="GKP66" s="0"/>
      <c r="GKQ66" s="0"/>
      <c r="GKR66" s="0"/>
      <c r="GKS66" s="0"/>
      <c r="GKT66" s="0"/>
      <c r="GKU66" s="0"/>
      <c r="GKV66" s="0"/>
      <c r="GKW66" s="0"/>
      <c r="GKX66" s="0"/>
      <c r="GKY66" s="0"/>
      <c r="GKZ66" s="0"/>
      <c r="GLA66" s="0"/>
      <c r="GLB66" s="0"/>
      <c r="GLC66" s="0"/>
      <c r="GLD66" s="0"/>
      <c r="GLE66" s="0"/>
      <c r="GLF66" s="0"/>
      <c r="GLG66" s="0"/>
      <c r="GLH66" s="0"/>
      <c r="GLI66" s="0"/>
      <c r="GLJ66" s="0"/>
      <c r="GLK66" s="0"/>
      <c r="GLL66" s="0"/>
      <c r="GLM66" s="0"/>
      <c r="GLN66" s="0"/>
      <c r="GLO66" s="0"/>
      <c r="GLP66" s="0"/>
      <c r="GLQ66" s="0"/>
      <c r="GLR66" s="0"/>
      <c r="GLS66" s="0"/>
      <c r="GLT66" s="0"/>
      <c r="GLU66" s="0"/>
      <c r="GLV66" s="0"/>
      <c r="GLW66" s="0"/>
      <c r="GLX66" s="0"/>
      <c r="GLY66" s="0"/>
      <c r="GLZ66" s="0"/>
      <c r="GMA66" s="0"/>
      <c r="GMB66" s="0"/>
      <c r="GMC66" s="0"/>
      <c r="GMD66" s="0"/>
      <c r="GME66" s="0"/>
      <c r="GMF66" s="0"/>
      <c r="GMG66" s="0"/>
      <c r="GMH66" s="0"/>
      <c r="GMI66" s="0"/>
      <c r="GMJ66" s="0"/>
      <c r="GMK66" s="0"/>
      <c r="GML66" s="0"/>
      <c r="GMM66" s="0"/>
      <c r="GMN66" s="0"/>
      <c r="GMO66" s="0"/>
      <c r="GMP66" s="0"/>
      <c r="GMQ66" s="0"/>
      <c r="GMR66" s="0"/>
      <c r="GMS66" s="0"/>
      <c r="GMT66" s="0"/>
      <c r="GMU66" s="0"/>
      <c r="GMV66" s="0"/>
      <c r="GMW66" s="0"/>
      <c r="GMX66" s="0"/>
      <c r="GMY66" s="0"/>
      <c r="GMZ66" s="0"/>
      <c r="GNA66" s="0"/>
      <c r="GNB66" s="0"/>
      <c r="GNC66" s="0"/>
      <c r="GND66" s="0"/>
      <c r="GNE66" s="0"/>
      <c r="GNF66" s="0"/>
      <c r="GNG66" s="0"/>
      <c r="GNH66" s="0"/>
      <c r="GNI66" s="0"/>
      <c r="GNJ66" s="0"/>
      <c r="GNK66" s="0"/>
      <c r="GNL66" s="0"/>
      <c r="GNM66" s="0"/>
      <c r="GNN66" s="0"/>
      <c r="GNO66" s="0"/>
      <c r="GNP66" s="0"/>
      <c r="GNQ66" s="0"/>
      <c r="GNR66" s="0"/>
      <c r="GNS66" s="0"/>
      <c r="GNT66" s="0"/>
      <c r="GNU66" s="0"/>
      <c r="GNV66" s="0"/>
      <c r="GNW66" s="0"/>
      <c r="GNX66" s="0"/>
      <c r="GNY66" s="0"/>
      <c r="GNZ66" s="0"/>
      <c r="GOA66" s="0"/>
      <c r="GOB66" s="0"/>
      <c r="GOC66" s="0"/>
      <c r="GOD66" s="0"/>
      <c r="GOE66" s="0"/>
      <c r="GOF66" s="0"/>
      <c r="GOG66" s="0"/>
      <c r="GOH66" s="0"/>
      <c r="GOI66" s="0"/>
      <c r="GOJ66" s="0"/>
      <c r="GOK66" s="0"/>
      <c r="GOL66" s="0"/>
      <c r="GOM66" s="0"/>
      <c r="GON66" s="0"/>
      <c r="GOO66" s="0"/>
      <c r="GOP66" s="0"/>
      <c r="GOQ66" s="0"/>
      <c r="GOR66" s="0"/>
      <c r="GOS66" s="0"/>
      <c r="GOT66" s="0"/>
      <c r="GOU66" s="0"/>
      <c r="GOV66" s="0"/>
      <c r="GOW66" s="0"/>
      <c r="GOX66" s="0"/>
      <c r="GOY66" s="0"/>
      <c r="GOZ66" s="0"/>
      <c r="GPA66" s="0"/>
      <c r="GPB66" s="0"/>
      <c r="GPC66" s="0"/>
      <c r="GPD66" s="0"/>
      <c r="GPE66" s="0"/>
      <c r="GPF66" s="0"/>
      <c r="GPG66" s="0"/>
      <c r="GPH66" s="0"/>
      <c r="GPI66" s="0"/>
      <c r="GPJ66" s="0"/>
      <c r="GPK66" s="0"/>
      <c r="GPL66" s="0"/>
      <c r="GPM66" s="0"/>
      <c r="GPN66" s="0"/>
      <c r="GPO66" s="0"/>
      <c r="GPP66" s="0"/>
      <c r="GPQ66" s="0"/>
      <c r="GPR66" s="0"/>
      <c r="GPS66" s="0"/>
      <c r="GPT66" s="0"/>
      <c r="GPU66" s="0"/>
      <c r="GPV66" s="0"/>
      <c r="GPW66" s="0"/>
      <c r="GPX66" s="0"/>
      <c r="GPY66" s="0"/>
      <c r="GPZ66" s="0"/>
      <c r="GQA66" s="0"/>
      <c r="GQB66" s="0"/>
      <c r="GQC66" s="0"/>
      <c r="GQD66" s="0"/>
      <c r="GQE66" s="0"/>
      <c r="GQF66" s="0"/>
      <c r="GQG66" s="0"/>
      <c r="GQH66" s="0"/>
      <c r="GQI66" s="0"/>
      <c r="GQJ66" s="0"/>
      <c r="GQK66" s="0"/>
      <c r="GQL66" s="0"/>
      <c r="GQM66" s="0"/>
      <c r="GQN66" s="0"/>
      <c r="GQO66" s="0"/>
      <c r="GQP66" s="0"/>
      <c r="GQQ66" s="0"/>
      <c r="GQR66" s="0"/>
      <c r="GQS66" s="0"/>
      <c r="GQT66" s="0"/>
      <c r="GQU66" s="0"/>
      <c r="GQV66" s="0"/>
      <c r="GQW66" s="0"/>
      <c r="GQX66" s="0"/>
      <c r="GQY66" s="0"/>
      <c r="GQZ66" s="0"/>
      <c r="GRA66" s="0"/>
      <c r="GRB66" s="0"/>
      <c r="GRC66" s="0"/>
      <c r="GRD66" s="0"/>
      <c r="GRE66" s="0"/>
      <c r="GRF66" s="0"/>
      <c r="GRG66" s="0"/>
      <c r="GRH66" s="0"/>
      <c r="GRI66" s="0"/>
      <c r="GRJ66" s="0"/>
      <c r="GRK66" s="0"/>
      <c r="GRL66" s="0"/>
      <c r="GRM66" s="0"/>
      <c r="GRN66" s="0"/>
      <c r="GRO66" s="0"/>
      <c r="GRP66" s="0"/>
      <c r="GRQ66" s="0"/>
      <c r="GRR66" s="0"/>
      <c r="GRS66" s="0"/>
      <c r="GRT66" s="0"/>
      <c r="GRU66" s="0"/>
      <c r="GRV66" s="0"/>
      <c r="GRW66" s="0"/>
      <c r="GRX66" s="0"/>
      <c r="GRY66" s="0"/>
      <c r="GRZ66" s="0"/>
      <c r="GSA66" s="0"/>
      <c r="GSB66" s="0"/>
      <c r="GSC66" s="0"/>
      <c r="GSD66" s="0"/>
      <c r="GSE66" s="0"/>
      <c r="GSF66" s="0"/>
      <c r="GSG66" s="0"/>
      <c r="GSH66" s="0"/>
      <c r="GSI66" s="0"/>
      <c r="GSJ66" s="0"/>
      <c r="GSK66" s="0"/>
      <c r="GSL66" s="0"/>
      <c r="GSM66" s="0"/>
      <c r="GSN66" s="0"/>
      <c r="GSO66" s="0"/>
      <c r="GSP66" s="0"/>
      <c r="GSQ66" s="0"/>
      <c r="GSR66" s="0"/>
      <c r="GSS66" s="0"/>
      <c r="GST66" s="0"/>
      <c r="GSU66" s="0"/>
      <c r="GSV66" s="0"/>
      <c r="GSW66" s="0"/>
      <c r="GSX66" s="0"/>
      <c r="GSY66" s="0"/>
      <c r="GSZ66" s="0"/>
      <c r="GTA66" s="0"/>
      <c r="GTB66" s="0"/>
      <c r="GTC66" s="0"/>
      <c r="GTD66" s="0"/>
      <c r="GTE66" s="0"/>
      <c r="GTF66" s="0"/>
      <c r="GTG66" s="0"/>
      <c r="GTH66" s="0"/>
      <c r="GTI66" s="0"/>
      <c r="GTJ66" s="0"/>
      <c r="GTK66" s="0"/>
      <c r="GTL66" s="0"/>
      <c r="GTM66" s="0"/>
      <c r="GTN66" s="0"/>
      <c r="GTO66" s="0"/>
      <c r="GTP66" s="0"/>
      <c r="GTQ66" s="0"/>
      <c r="GTR66" s="0"/>
      <c r="GTS66" s="0"/>
      <c r="GTT66" s="0"/>
      <c r="GTU66" s="0"/>
      <c r="GTV66" s="0"/>
      <c r="GTW66" s="0"/>
      <c r="GTX66" s="0"/>
      <c r="GTY66" s="0"/>
      <c r="GTZ66" s="0"/>
      <c r="GUA66" s="0"/>
      <c r="GUB66" s="0"/>
      <c r="GUC66" s="0"/>
      <c r="GUD66" s="0"/>
      <c r="GUE66" s="0"/>
      <c r="GUF66" s="0"/>
      <c r="GUG66" s="0"/>
      <c r="GUH66" s="0"/>
      <c r="GUI66" s="0"/>
      <c r="GUJ66" s="0"/>
      <c r="GUK66" s="0"/>
      <c r="GUL66" s="0"/>
      <c r="GUM66" s="0"/>
      <c r="GUN66" s="0"/>
      <c r="GUO66" s="0"/>
      <c r="GUP66" s="0"/>
      <c r="GUQ66" s="0"/>
      <c r="GUR66" s="0"/>
      <c r="GUS66" s="0"/>
      <c r="GUT66" s="0"/>
      <c r="GUU66" s="0"/>
      <c r="GUV66" s="0"/>
      <c r="GUW66" s="0"/>
      <c r="GUX66" s="0"/>
      <c r="GUY66" s="0"/>
      <c r="GUZ66" s="0"/>
      <c r="GVA66" s="0"/>
      <c r="GVB66" s="0"/>
      <c r="GVC66" s="0"/>
      <c r="GVD66" s="0"/>
      <c r="GVE66" s="0"/>
      <c r="GVF66" s="0"/>
      <c r="GVG66" s="0"/>
      <c r="GVH66" s="0"/>
      <c r="GVI66" s="0"/>
      <c r="GVJ66" s="0"/>
      <c r="GVK66" s="0"/>
      <c r="GVL66" s="0"/>
      <c r="GVM66" s="0"/>
      <c r="GVN66" s="0"/>
      <c r="GVO66" s="0"/>
      <c r="GVP66" s="0"/>
      <c r="GVQ66" s="0"/>
      <c r="GVR66" s="0"/>
      <c r="GVS66" s="0"/>
      <c r="GVT66" s="0"/>
      <c r="GVU66" s="0"/>
      <c r="GVV66" s="0"/>
      <c r="GVW66" s="0"/>
      <c r="GVX66" s="0"/>
      <c r="GVY66" s="0"/>
      <c r="GVZ66" s="0"/>
      <c r="GWA66" s="0"/>
      <c r="GWB66" s="0"/>
      <c r="GWC66" s="0"/>
      <c r="GWD66" s="0"/>
      <c r="GWE66" s="0"/>
      <c r="GWF66" s="0"/>
      <c r="GWG66" s="0"/>
      <c r="GWH66" s="0"/>
      <c r="GWI66" s="0"/>
      <c r="GWJ66" s="0"/>
      <c r="GWK66" s="0"/>
      <c r="GWL66" s="0"/>
      <c r="GWM66" s="0"/>
      <c r="GWN66" s="0"/>
      <c r="GWO66" s="0"/>
      <c r="GWP66" s="0"/>
      <c r="GWQ66" s="0"/>
      <c r="GWR66" s="0"/>
      <c r="GWS66" s="0"/>
      <c r="GWT66" s="0"/>
      <c r="GWU66" s="0"/>
      <c r="GWV66" s="0"/>
      <c r="GWW66" s="0"/>
      <c r="GWX66" s="0"/>
      <c r="GWY66" s="0"/>
      <c r="GWZ66" s="0"/>
      <c r="GXA66" s="0"/>
      <c r="GXB66" s="0"/>
      <c r="GXC66" s="0"/>
      <c r="GXD66" s="0"/>
      <c r="GXE66" s="0"/>
      <c r="GXF66" s="0"/>
      <c r="GXG66" s="0"/>
      <c r="GXH66" s="0"/>
      <c r="GXI66" s="0"/>
      <c r="GXJ66" s="0"/>
      <c r="GXK66" s="0"/>
      <c r="GXL66" s="0"/>
      <c r="GXM66" s="0"/>
      <c r="GXN66" s="0"/>
      <c r="GXO66" s="0"/>
      <c r="GXP66" s="0"/>
      <c r="GXQ66" s="0"/>
      <c r="GXR66" s="0"/>
      <c r="GXS66" s="0"/>
      <c r="GXT66" s="0"/>
      <c r="GXU66" s="0"/>
      <c r="GXV66" s="0"/>
      <c r="GXW66" s="0"/>
      <c r="GXX66" s="0"/>
      <c r="GXY66" s="0"/>
      <c r="GXZ66" s="0"/>
      <c r="GYA66" s="0"/>
      <c r="GYB66" s="0"/>
      <c r="GYC66" s="0"/>
      <c r="GYD66" s="0"/>
      <c r="GYE66" s="0"/>
      <c r="GYF66" s="0"/>
      <c r="GYG66" s="0"/>
      <c r="GYH66" s="0"/>
      <c r="GYI66" s="0"/>
      <c r="GYJ66" s="0"/>
      <c r="GYK66" s="0"/>
      <c r="GYL66" s="0"/>
      <c r="GYM66" s="0"/>
      <c r="GYN66" s="0"/>
      <c r="GYO66" s="0"/>
      <c r="GYP66" s="0"/>
      <c r="GYQ66" s="0"/>
      <c r="GYR66" s="0"/>
      <c r="GYS66" s="0"/>
      <c r="GYT66" s="0"/>
      <c r="GYU66" s="0"/>
      <c r="GYV66" s="0"/>
      <c r="GYW66" s="0"/>
      <c r="GYX66" s="0"/>
      <c r="GYY66" s="0"/>
      <c r="GYZ66" s="0"/>
      <c r="GZA66" s="0"/>
      <c r="GZB66" s="0"/>
      <c r="GZC66" s="0"/>
      <c r="GZD66" s="0"/>
      <c r="GZE66" s="0"/>
      <c r="GZF66" s="0"/>
      <c r="GZG66" s="0"/>
      <c r="GZH66" s="0"/>
      <c r="GZI66" s="0"/>
      <c r="GZJ66" s="0"/>
      <c r="GZK66" s="0"/>
      <c r="GZL66" s="0"/>
      <c r="GZM66" s="0"/>
      <c r="GZN66" s="0"/>
      <c r="GZO66" s="0"/>
      <c r="GZP66" s="0"/>
      <c r="GZQ66" s="0"/>
      <c r="GZR66" s="0"/>
      <c r="GZS66" s="0"/>
      <c r="GZT66" s="0"/>
      <c r="GZU66" s="0"/>
      <c r="GZV66" s="0"/>
      <c r="GZW66" s="0"/>
      <c r="GZX66" s="0"/>
      <c r="GZY66" s="0"/>
      <c r="GZZ66" s="0"/>
      <c r="HAA66" s="0"/>
      <c r="HAB66" s="0"/>
      <c r="HAC66" s="0"/>
      <c r="HAD66" s="0"/>
      <c r="HAE66" s="0"/>
      <c r="HAF66" s="0"/>
      <c r="HAG66" s="0"/>
      <c r="HAH66" s="0"/>
      <c r="HAI66" s="0"/>
      <c r="HAJ66" s="0"/>
      <c r="HAK66" s="0"/>
      <c r="HAL66" s="0"/>
      <c r="HAM66" s="0"/>
      <c r="HAN66" s="0"/>
      <c r="HAO66" s="0"/>
      <c r="HAP66" s="0"/>
      <c r="HAQ66" s="0"/>
      <c r="HAR66" s="0"/>
      <c r="HAS66" s="0"/>
      <c r="HAT66" s="0"/>
      <c r="HAU66" s="0"/>
      <c r="HAV66" s="0"/>
      <c r="HAW66" s="0"/>
      <c r="HAX66" s="0"/>
      <c r="HAY66" s="0"/>
      <c r="HAZ66" s="0"/>
      <c r="HBA66" s="0"/>
      <c r="HBB66" s="0"/>
      <c r="HBC66" s="0"/>
      <c r="HBD66" s="0"/>
      <c r="HBE66" s="0"/>
      <c r="HBF66" s="0"/>
      <c r="HBG66" s="0"/>
      <c r="HBH66" s="0"/>
      <c r="HBI66" s="0"/>
      <c r="HBJ66" s="0"/>
      <c r="HBK66" s="0"/>
      <c r="HBL66" s="0"/>
      <c r="HBM66" s="0"/>
      <c r="HBN66" s="0"/>
      <c r="HBO66" s="0"/>
      <c r="HBP66" s="0"/>
      <c r="HBQ66" s="0"/>
      <c r="HBR66" s="0"/>
      <c r="HBS66" s="0"/>
      <c r="HBT66" s="0"/>
      <c r="HBU66" s="0"/>
      <c r="HBV66" s="0"/>
      <c r="HBW66" s="0"/>
      <c r="HBX66" s="0"/>
      <c r="HBY66" s="0"/>
      <c r="HBZ66" s="0"/>
      <c r="HCA66" s="0"/>
      <c r="HCB66" s="0"/>
      <c r="HCC66" s="0"/>
      <c r="HCD66" s="0"/>
      <c r="HCE66" s="0"/>
      <c r="HCF66" s="0"/>
      <c r="HCG66" s="0"/>
      <c r="HCH66" s="0"/>
      <c r="HCI66" s="0"/>
      <c r="HCJ66" s="0"/>
      <c r="HCK66" s="0"/>
      <c r="HCL66" s="0"/>
      <c r="HCM66" s="0"/>
      <c r="HCN66" s="0"/>
      <c r="HCO66" s="0"/>
      <c r="HCP66" s="0"/>
      <c r="HCQ66" s="0"/>
      <c r="HCR66" s="0"/>
      <c r="HCS66" s="0"/>
      <c r="HCT66" s="0"/>
      <c r="HCU66" s="0"/>
      <c r="HCV66" s="0"/>
      <c r="HCW66" s="0"/>
      <c r="HCX66" s="0"/>
      <c r="HCY66" s="0"/>
      <c r="HCZ66" s="0"/>
      <c r="HDA66" s="0"/>
      <c r="HDB66" s="0"/>
      <c r="HDC66" s="0"/>
      <c r="HDD66" s="0"/>
      <c r="HDE66" s="0"/>
      <c r="HDF66" s="0"/>
      <c r="HDG66" s="0"/>
      <c r="HDH66" s="0"/>
      <c r="HDI66" s="0"/>
      <c r="HDJ66" s="0"/>
      <c r="HDK66" s="0"/>
      <c r="HDL66" s="0"/>
      <c r="HDM66" s="0"/>
      <c r="HDN66" s="0"/>
      <c r="HDO66" s="0"/>
      <c r="HDP66" s="0"/>
      <c r="HDQ66" s="0"/>
      <c r="HDR66" s="0"/>
      <c r="HDS66" s="0"/>
      <c r="HDT66" s="0"/>
      <c r="HDU66" s="0"/>
      <c r="HDV66" s="0"/>
      <c r="HDW66" s="0"/>
      <c r="HDX66" s="0"/>
      <c r="HDY66" s="0"/>
      <c r="HDZ66" s="0"/>
      <c r="HEA66" s="0"/>
      <c r="HEB66" s="0"/>
      <c r="HEC66" s="0"/>
      <c r="HED66" s="0"/>
      <c r="HEE66" s="0"/>
      <c r="HEF66" s="0"/>
      <c r="HEG66" s="0"/>
      <c r="HEH66" s="0"/>
      <c r="HEI66" s="0"/>
      <c r="HEJ66" s="0"/>
      <c r="HEK66" s="0"/>
      <c r="HEL66" s="0"/>
      <c r="HEM66" s="0"/>
      <c r="HEN66" s="0"/>
      <c r="HEO66" s="0"/>
      <c r="HEP66" s="0"/>
      <c r="HEQ66" s="0"/>
      <c r="HER66" s="0"/>
      <c r="HES66" s="0"/>
      <c r="HET66" s="0"/>
      <c r="HEU66" s="0"/>
      <c r="HEV66" s="0"/>
      <c r="HEW66" s="0"/>
      <c r="HEX66" s="0"/>
      <c r="HEY66" s="0"/>
      <c r="HEZ66" s="0"/>
      <c r="HFA66" s="0"/>
      <c r="HFB66" s="0"/>
      <c r="HFC66" s="0"/>
      <c r="HFD66" s="0"/>
      <c r="HFE66" s="0"/>
      <c r="HFF66" s="0"/>
      <c r="HFG66" s="0"/>
      <c r="HFH66" s="0"/>
      <c r="HFI66" s="0"/>
      <c r="HFJ66" s="0"/>
      <c r="HFK66" s="0"/>
      <c r="HFL66" s="0"/>
      <c r="HFM66" s="0"/>
      <c r="HFN66" s="0"/>
      <c r="HFO66" s="0"/>
      <c r="HFP66" s="0"/>
      <c r="HFQ66" s="0"/>
      <c r="HFR66" s="0"/>
      <c r="HFS66" s="0"/>
      <c r="HFT66" s="0"/>
      <c r="HFU66" s="0"/>
      <c r="HFV66" s="0"/>
      <c r="HFW66" s="0"/>
      <c r="HFX66" s="0"/>
      <c r="HFY66" s="0"/>
      <c r="HFZ66" s="0"/>
      <c r="HGA66" s="0"/>
      <c r="HGB66" s="0"/>
      <c r="HGC66" s="0"/>
      <c r="HGD66" s="0"/>
      <c r="HGE66" s="0"/>
      <c r="HGF66" s="0"/>
      <c r="HGG66" s="0"/>
      <c r="HGH66" s="0"/>
      <c r="HGI66" s="0"/>
      <c r="HGJ66" s="0"/>
      <c r="HGK66" s="0"/>
      <c r="HGL66" s="0"/>
      <c r="HGM66" s="0"/>
      <c r="HGN66" s="0"/>
      <c r="HGO66" s="0"/>
      <c r="HGP66" s="0"/>
      <c r="HGQ66" s="0"/>
      <c r="HGR66" s="0"/>
      <c r="HGS66" s="0"/>
      <c r="HGT66" s="0"/>
      <c r="HGU66" s="0"/>
      <c r="HGV66" s="0"/>
      <c r="HGW66" s="0"/>
      <c r="HGX66" s="0"/>
      <c r="HGY66" s="0"/>
      <c r="HGZ66" s="0"/>
      <c r="HHA66" s="0"/>
      <c r="HHB66" s="0"/>
      <c r="HHC66" s="0"/>
      <c r="HHD66" s="0"/>
      <c r="HHE66" s="0"/>
      <c r="HHF66" s="0"/>
      <c r="HHG66" s="0"/>
      <c r="HHH66" s="0"/>
      <c r="HHI66" s="0"/>
      <c r="HHJ66" s="0"/>
      <c r="HHK66" s="0"/>
      <c r="HHL66" s="0"/>
      <c r="HHM66" s="0"/>
      <c r="HHN66" s="0"/>
      <c r="HHO66" s="0"/>
      <c r="HHP66" s="0"/>
      <c r="HHQ66" s="0"/>
      <c r="HHR66" s="0"/>
      <c r="HHS66" s="0"/>
      <c r="HHT66" s="0"/>
      <c r="HHU66" s="0"/>
      <c r="HHV66" s="0"/>
      <c r="HHW66" s="0"/>
      <c r="HHX66" s="0"/>
      <c r="HHY66" s="0"/>
      <c r="HHZ66" s="0"/>
      <c r="HIA66" s="0"/>
      <c r="HIB66" s="0"/>
      <c r="HIC66" s="0"/>
      <c r="HID66" s="0"/>
      <c r="HIE66" s="0"/>
      <c r="HIF66" s="0"/>
      <c r="HIG66" s="0"/>
      <c r="HIH66" s="0"/>
      <c r="HII66" s="0"/>
      <c r="HIJ66" s="0"/>
      <c r="HIK66" s="0"/>
      <c r="HIL66" s="0"/>
      <c r="HIM66" s="0"/>
      <c r="HIN66" s="0"/>
      <c r="HIO66" s="0"/>
      <c r="HIP66" s="0"/>
      <c r="HIQ66" s="0"/>
      <c r="HIR66" s="0"/>
      <c r="HIS66" s="0"/>
      <c r="HIT66" s="0"/>
      <c r="HIU66" s="0"/>
      <c r="HIV66" s="0"/>
      <c r="HIW66" s="0"/>
      <c r="HIX66" s="0"/>
      <c r="HIY66" s="0"/>
      <c r="HIZ66" s="0"/>
      <c r="HJA66" s="0"/>
      <c r="HJB66" s="0"/>
      <c r="HJC66" s="0"/>
      <c r="HJD66" s="0"/>
      <c r="HJE66" s="0"/>
      <c r="HJF66" s="0"/>
      <c r="HJG66" s="0"/>
      <c r="HJH66" s="0"/>
      <c r="HJI66" s="0"/>
      <c r="HJJ66" s="0"/>
      <c r="HJK66" s="0"/>
      <c r="HJL66" s="0"/>
      <c r="HJM66" s="0"/>
      <c r="HJN66" s="0"/>
      <c r="HJO66" s="0"/>
      <c r="HJP66" s="0"/>
      <c r="HJQ66" s="0"/>
      <c r="HJR66" s="0"/>
      <c r="HJS66" s="0"/>
      <c r="HJT66" s="0"/>
      <c r="HJU66" s="0"/>
      <c r="HJV66" s="0"/>
      <c r="HJW66" s="0"/>
      <c r="HJX66" s="0"/>
      <c r="HJY66" s="0"/>
      <c r="HJZ66" s="0"/>
      <c r="HKA66" s="0"/>
      <c r="HKB66" s="0"/>
      <c r="HKC66" s="0"/>
      <c r="HKD66" s="0"/>
      <c r="HKE66" s="0"/>
      <c r="HKF66" s="0"/>
      <c r="HKG66" s="0"/>
      <c r="HKH66" s="0"/>
      <c r="HKI66" s="0"/>
      <c r="HKJ66" s="0"/>
      <c r="HKK66" s="0"/>
      <c r="HKL66" s="0"/>
      <c r="HKM66" s="0"/>
      <c r="HKN66" s="0"/>
      <c r="HKO66" s="0"/>
      <c r="HKP66" s="0"/>
      <c r="HKQ66" s="0"/>
      <c r="HKR66" s="0"/>
      <c r="HKS66" s="0"/>
      <c r="HKT66" s="0"/>
      <c r="HKU66" s="0"/>
      <c r="HKV66" s="0"/>
      <c r="HKW66" s="0"/>
      <c r="HKX66" s="0"/>
      <c r="HKY66" s="0"/>
      <c r="HKZ66" s="0"/>
      <c r="HLA66" s="0"/>
      <c r="HLB66" s="0"/>
      <c r="HLC66" s="0"/>
      <c r="HLD66" s="0"/>
      <c r="HLE66" s="0"/>
      <c r="HLF66" s="0"/>
      <c r="HLG66" s="0"/>
      <c r="HLH66" s="0"/>
      <c r="HLI66" s="0"/>
      <c r="HLJ66" s="0"/>
      <c r="HLK66" s="0"/>
      <c r="HLL66" s="0"/>
      <c r="HLM66" s="0"/>
      <c r="HLN66" s="0"/>
      <c r="HLO66" s="0"/>
      <c r="HLP66" s="0"/>
      <c r="HLQ66" s="0"/>
      <c r="HLR66" s="0"/>
      <c r="HLS66" s="0"/>
      <c r="HLT66" s="0"/>
      <c r="HLU66" s="0"/>
      <c r="HLV66" s="0"/>
      <c r="HLW66" s="0"/>
      <c r="HLX66" s="0"/>
      <c r="HLY66" s="0"/>
      <c r="HLZ66" s="0"/>
      <c r="HMA66" s="0"/>
      <c r="HMB66" s="0"/>
      <c r="HMC66" s="0"/>
      <c r="HMD66" s="0"/>
      <c r="HME66" s="0"/>
      <c r="HMF66" s="0"/>
      <c r="HMG66" s="0"/>
      <c r="HMH66" s="0"/>
      <c r="HMI66" s="0"/>
      <c r="HMJ66" s="0"/>
      <c r="HMK66" s="0"/>
      <c r="HML66" s="0"/>
      <c r="HMM66" s="0"/>
      <c r="HMN66" s="0"/>
      <c r="HMO66" s="0"/>
      <c r="HMP66" s="0"/>
      <c r="HMQ66" s="0"/>
      <c r="HMR66" s="0"/>
      <c r="HMS66" s="0"/>
      <c r="HMT66" s="0"/>
      <c r="HMU66" s="0"/>
      <c r="HMV66" s="0"/>
      <c r="HMW66" s="0"/>
      <c r="HMX66" s="0"/>
      <c r="HMY66" s="0"/>
      <c r="HMZ66" s="0"/>
      <c r="HNA66" s="0"/>
      <c r="HNB66" s="0"/>
      <c r="HNC66" s="0"/>
      <c r="HND66" s="0"/>
      <c r="HNE66" s="0"/>
      <c r="HNF66" s="0"/>
      <c r="HNG66" s="0"/>
      <c r="HNH66" s="0"/>
      <c r="HNI66" s="0"/>
      <c r="HNJ66" s="0"/>
      <c r="HNK66" s="0"/>
      <c r="HNL66" s="0"/>
      <c r="HNM66" s="0"/>
      <c r="HNN66" s="0"/>
      <c r="HNO66" s="0"/>
      <c r="HNP66" s="0"/>
      <c r="HNQ66" s="0"/>
      <c r="HNR66" s="0"/>
      <c r="HNS66" s="0"/>
      <c r="HNT66" s="0"/>
      <c r="HNU66" s="0"/>
      <c r="HNV66" s="0"/>
      <c r="HNW66" s="0"/>
      <c r="HNX66" s="0"/>
      <c r="HNY66" s="0"/>
      <c r="HNZ66" s="0"/>
      <c r="HOA66" s="0"/>
      <c r="HOB66" s="0"/>
      <c r="HOC66" s="0"/>
      <c r="HOD66" s="0"/>
      <c r="HOE66" s="0"/>
      <c r="HOF66" s="0"/>
      <c r="HOG66" s="0"/>
      <c r="HOH66" s="0"/>
      <c r="HOI66" s="0"/>
      <c r="HOJ66" s="0"/>
      <c r="HOK66" s="0"/>
      <c r="HOL66" s="0"/>
      <c r="HOM66" s="0"/>
      <c r="HON66" s="0"/>
      <c r="HOO66" s="0"/>
      <c r="HOP66" s="0"/>
      <c r="HOQ66" s="0"/>
      <c r="HOR66" s="0"/>
      <c r="HOS66" s="0"/>
      <c r="HOT66" s="0"/>
      <c r="HOU66" s="0"/>
      <c r="HOV66" s="0"/>
      <c r="HOW66" s="0"/>
      <c r="HOX66" s="0"/>
      <c r="HOY66" s="0"/>
      <c r="HOZ66" s="0"/>
      <c r="HPA66" s="0"/>
      <c r="HPB66" s="0"/>
      <c r="HPC66" s="0"/>
      <c r="HPD66" s="0"/>
      <c r="HPE66" s="0"/>
      <c r="HPF66" s="0"/>
      <c r="HPG66" s="0"/>
      <c r="HPH66" s="0"/>
      <c r="HPI66" s="0"/>
      <c r="HPJ66" s="0"/>
      <c r="HPK66" s="0"/>
      <c r="HPL66" s="0"/>
      <c r="HPM66" s="0"/>
      <c r="HPN66" s="0"/>
      <c r="HPO66" s="0"/>
      <c r="HPP66" s="0"/>
      <c r="HPQ66" s="0"/>
      <c r="HPR66" s="0"/>
      <c r="HPS66" s="0"/>
      <c r="HPT66" s="0"/>
      <c r="HPU66" s="0"/>
      <c r="HPV66" s="0"/>
      <c r="HPW66" s="0"/>
      <c r="HPX66" s="0"/>
      <c r="HPY66" s="0"/>
      <c r="HPZ66" s="0"/>
      <c r="HQA66" s="0"/>
      <c r="HQB66" s="0"/>
      <c r="HQC66" s="0"/>
      <c r="HQD66" s="0"/>
      <c r="HQE66" s="0"/>
      <c r="HQF66" s="0"/>
      <c r="HQG66" s="0"/>
      <c r="HQH66" s="0"/>
      <c r="HQI66" s="0"/>
      <c r="HQJ66" s="0"/>
      <c r="HQK66" s="0"/>
      <c r="HQL66" s="0"/>
      <c r="HQM66" s="0"/>
      <c r="HQN66" s="0"/>
      <c r="HQO66" s="0"/>
      <c r="HQP66" s="0"/>
      <c r="HQQ66" s="0"/>
      <c r="HQR66" s="0"/>
      <c r="HQS66" s="0"/>
      <c r="HQT66" s="0"/>
      <c r="HQU66" s="0"/>
      <c r="HQV66" s="0"/>
      <c r="HQW66" s="0"/>
      <c r="HQX66" s="0"/>
      <c r="HQY66" s="0"/>
      <c r="HQZ66" s="0"/>
      <c r="HRA66" s="0"/>
      <c r="HRB66" s="0"/>
      <c r="HRC66" s="0"/>
      <c r="HRD66" s="0"/>
      <c r="HRE66" s="0"/>
      <c r="HRF66" s="0"/>
      <c r="HRG66" s="0"/>
      <c r="HRH66" s="0"/>
      <c r="HRI66" s="0"/>
      <c r="HRJ66" s="0"/>
      <c r="HRK66" s="0"/>
      <c r="HRL66" s="0"/>
      <c r="HRM66" s="0"/>
      <c r="HRN66" s="0"/>
      <c r="HRO66" s="0"/>
      <c r="HRP66" s="0"/>
      <c r="HRQ66" s="0"/>
      <c r="HRR66" s="0"/>
      <c r="HRS66" s="0"/>
      <c r="HRT66" s="0"/>
      <c r="HRU66" s="0"/>
      <c r="HRV66" s="0"/>
      <c r="HRW66" s="0"/>
      <c r="HRX66" s="0"/>
      <c r="HRY66" s="0"/>
      <c r="HRZ66" s="0"/>
      <c r="HSA66" s="0"/>
      <c r="HSB66" s="0"/>
      <c r="HSC66" s="0"/>
      <c r="HSD66" s="0"/>
      <c r="HSE66" s="0"/>
      <c r="HSF66" s="0"/>
      <c r="HSG66" s="0"/>
      <c r="HSH66" s="0"/>
      <c r="HSI66" s="0"/>
      <c r="HSJ66" s="0"/>
      <c r="HSK66" s="0"/>
      <c r="HSL66" s="0"/>
      <c r="HSM66" s="0"/>
      <c r="HSN66" s="0"/>
      <c r="HSO66" s="0"/>
      <c r="HSP66" s="0"/>
      <c r="HSQ66" s="0"/>
      <c r="HSR66" s="0"/>
      <c r="HSS66" s="0"/>
      <c r="HST66" s="0"/>
      <c r="HSU66" s="0"/>
      <c r="HSV66" s="0"/>
      <c r="HSW66" s="0"/>
      <c r="HSX66" s="0"/>
      <c r="HSY66" s="0"/>
      <c r="HSZ66" s="0"/>
      <c r="HTA66" s="0"/>
      <c r="HTB66" s="0"/>
      <c r="HTC66" s="0"/>
      <c r="HTD66" s="0"/>
      <c r="HTE66" s="0"/>
      <c r="HTF66" s="0"/>
      <c r="HTG66" s="0"/>
      <c r="HTH66" s="0"/>
      <c r="HTI66" s="0"/>
      <c r="HTJ66" s="0"/>
      <c r="HTK66" s="0"/>
      <c r="HTL66" s="0"/>
      <c r="HTM66" s="0"/>
      <c r="HTN66" s="0"/>
      <c r="HTO66" s="0"/>
      <c r="HTP66" s="0"/>
      <c r="HTQ66" s="0"/>
      <c r="HTR66" s="0"/>
      <c r="HTS66" s="0"/>
      <c r="HTT66" s="0"/>
      <c r="HTU66" s="0"/>
      <c r="HTV66" s="0"/>
      <c r="HTW66" s="0"/>
      <c r="HTX66" s="0"/>
      <c r="HTY66" s="0"/>
      <c r="HTZ66" s="0"/>
      <c r="HUA66" s="0"/>
      <c r="HUB66" s="0"/>
      <c r="HUC66" s="0"/>
      <c r="HUD66" s="0"/>
      <c r="HUE66" s="0"/>
      <c r="HUF66" s="0"/>
      <c r="HUG66" s="0"/>
      <c r="HUH66" s="0"/>
      <c r="HUI66" s="0"/>
      <c r="HUJ66" s="0"/>
      <c r="HUK66" s="0"/>
      <c r="HUL66" s="0"/>
      <c r="HUM66" s="0"/>
      <c r="HUN66" s="0"/>
      <c r="HUO66" s="0"/>
      <c r="HUP66" s="0"/>
      <c r="HUQ66" s="0"/>
      <c r="HUR66" s="0"/>
      <c r="HUS66" s="0"/>
      <c r="HUT66" s="0"/>
      <c r="HUU66" s="0"/>
      <c r="HUV66" s="0"/>
      <c r="HUW66" s="0"/>
      <c r="HUX66" s="0"/>
      <c r="HUY66" s="0"/>
      <c r="HUZ66" s="0"/>
      <c r="HVA66" s="0"/>
      <c r="HVB66" s="0"/>
      <c r="HVC66" s="0"/>
      <c r="HVD66" s="0"/>
      <c r="HVE66" s="0"/>
      <c r="HVF66" s="0"/>
      <c r="HVG66" s="0"/>
      <c r="HVH66" s="0"/>
      <c r="HVI66" s="0"/>
      <c r="HVJ66" s="0"/>
      <c r="HVK66" s="0"/>
      <c r="HVL66" s="0"/>
      <c r="HVM66" s="0"/>
      <c r="HVN66" s="0"/>
      <c r="HVO66" s="0"/>
      <c r="HVP66" s="0"/>
      <c r="HVQ66" s="0"/>
      <c r="HVR66" s="0"/>
      <c r="HVS66" s="0"/>
      <c r="HVT66" s="0"/>
      <c r="HVU66" s="0"/>
      <c r="HVV66" s="0"/>
      <c r="HVW66" s="0"/>
      <c r="HVX66" s="0"/>
      <c r="HVY66" s="0"/>
      <c r="HVZ66" s="0"/>
      <c r="HWA66" s="0"/>
      <c r="HWB66" s="0"/>
      <c r="HWC66" s="0"/>
      <c r="HWD66" s="0"/>
      <c r="HWE66" s="0"/>
      <c r="HWF66" s="0"/>
      <c r="HWG66" s="0"/>
      <c r="HWH66" s="0"/>
      <c r="HWI66" s="0"/>
      <c r="HWJ66" s="0"/>
      <c r="HWK66" s="0"/>
      <c r="HWL66" s="0"/>
      <c r="HWM66" s="0"/>
      <c r="HWN66" s="0"/>
      <c r="HWO66" s="0"/>
      <c r="HWP66" s="0"/>
      <c r="HWQ66" s="0"/>
      <c r="HWR66" s="0"/>
      <c r="HWS66" s="0"/>
      <c r="HWT66" s="0"/>
      <c r="HWU66" s="0"/>
      <c r="HWV66" s="0"/>
      <c r="HWW66" s="0"/>
      <c r="HWX66" s="0"/>
      <c r="HWY66" s="0"/>
      <c r="HWZ66" s="0"/>
      <c r="HXA66" s="0"/>
      <c r="HXB66" s="0"/>
      <c r="HXC66" s="0"/>
      <c r="HXD66" s="0"/>
      <c r="HXE66" s="0"/>
      <c r="HXF66" s="0"/>
      <c r="HXG66" s="0"/>
      <c r="HXH66" s="0"/>
      <c r="HXI66" s="0"/>
      <c r="HXJ66" s="0"/>
      <c r="HXK66" s="0"/>
      <c r="HXL66" s="0"/>
      <c r="HXM66" s="0"/>
      <c r="HXN66" s="0"/>
      <c r="HXO66" s="0"/>
      <c r="HXP66" s="0"/>
      <c r="HXQ66" s="0"/>
      <c r="HXR66" s="0"/>
      <c r="HXS66" s="0"/>
      <c r="HXT66" s="0"/>
      <c r="HXU66" s="0"/>
      <c r="HXV66" s="0"/>
      <c r="HXW66" s="0"/>
      <c r="HXX66" s="0"/>
      <c r="HXY66" s="0"/>
      <c r="HXZ66" s="0"/>
      <c r="HYA66" s="0"/>
      <c r="HYB66" s="0"/>
      <c r="HYC66" s="0"/>
      <c r="HYD66" s="0"/>
      <c r="HYE66" s="0"/>
      <c r="HYF66" s="0"/>
      <c r="HYG66" s="0"/>
      <c r="HYH66" s="0"/>
      <c r="HYI66" s="0"/>
      <c r="HYJ66" s="0"/>
      <c r="HYK66" s="0"/>
      <c r="HYL66" s="0"/>
      <c r="HYM66" s="0"/>
      <c r="HYN66" s="0"/>
      <c r="HYO66" s="0"/>
      <c r="HYP66" s="0"/>
      <c r="HYQ66" s="0"/>
      <c r="HYR66" s="0"/>
      <c r="HYS66" s="0"/>
      <c r="HYT66" s="0"/>
      <c r="HYU66" s="0"/>
      <c r="HYV66" s="0"/>
      <c r="HYW66" s="0"/>
      <c r="HYX66" s="0"/>
      <c r="HYY66" s="0"/>
      <c r="HYZ66" s="0"/>
      <c r="HZA66" s="0"/>
      <c r="HZB66" s="0"/>
      <c r="HZC66" s="0"/>
      <c r="HZD66" s="0"/>
      <c r="HZE66" s="0"/>
      <c r="HZF66" s="0"/>
      <c r="HZG66" s="0"/>
      <c r="HZH66" s="0"/>
      <c r="HZI66" s="0"/>
      <c r="HZJ66" s="0"/>
      <c r="HZK66" s="0"/>
      <c r="HZL66" s="0"/>
      <c r="HZM66" s="0"/>
      <c r="HZN66" s="0"/>
      <c r="HZO66" s="0"/>
      <c r="HZP66" s="0"/>
      <c r="HZQ66" s="0"/>
      <c r="HZR66" s="0"/>
      <c r="HZS66" s="0"/>
      <c r="HZT66" s="0"/>
      <c r="HZU66" s="0"/>
      <c r="HZV66" s="0"/>
      <c r="HZW66" s="0"/>
      <c r="HZX66" s="0"/>
      <c r="HZY66" s="0"/>
      <c r="HZZ66" s="0"/>
      <c r="IAA66" s="0"/>
      <c r="IAB66" s="0"/>
      <c r="IAC66" s="0"/>
      <c r="IAD66" s="0"/>
      <c r="IAE66" s="0"/>
      <c r="IAF66" s="0"/>
      <c r="IAG66" s="0"/>
      <c r="IAH66" s="0"/>
      <c r="IAI66" s="0"/>
      <c r="IAJ66" s="0"/>
      <c r="IAK66" s="0"/>
      <c r="IAL66" s="0"/>
      <c r="IAM66" s="0"/>
      <c r="IAN66" s="0"/>
      <c r="IAO66" s="0"/>
      <c r="IAP66" s="0"/>
      <c r="IAQ66" s="0"/>
      <c r="IAR66" s="0"/>
      <c r="IAS66" s="0"/>
      <c r="IAT66" s="0"/>
      <c r="IAU66" s="0"/>
      <c r="IAV66" s="0"/>
      <c r="IAW66" s="0"/>
      <c r="IAX66" s="0"/>
      <c r="IAY66" s="0"/>
      <c r="IAZ66" s="0"/>
      <c r="IBA66" s="0"/>
      <c r="IBB66" s="0"/>
      <c r="IBC66" s="0"/>
      <c r="IBD66" s="0"/>
      <c r="IBE66" s="0"/>
      <c r="IBF66" s="0"/>
      <c r="IBG66" s="0"/>
      <c r="IBH66" s="0"/>
      <c r="IBI66" s="0"/>
      <c r="IBJ66" s="0"/>
      <c r="IBK66" s="0"/>
      <c r="IBL66" s="0"/>
      <c r="IBM66" s="0"/>
      <c r="IBN66" s="0"/>
      <c r="IBO66" s="0"/>
      <c r="IBP66" s="0"/>
      <c r="IBQ66" s="0"/>
      <c r="IBR66" s="0"/>
      <c r="IBS66" s="0"/>
      <c r="IBT66" s="0"/>
      <c r="IBU66" s="0"/>
      <c r="IBV66" s="0"/>
      <c r="IBW66" s="0"/>
      <c r="IBX66" s="0"/>
      <c r="IBY66" s="0"/>
      <c r="IBZ66" s="0"/>
      <c r="ICA66" s="0"/>
      <c r="ICB66" s="0"/>
      <c r="ICC66" s="0"/>
      <c r="ICD66" s="0"/>
      <c r="ICE66" s="0"/>
      <c r="ICF66" s="0"/>
      <c r="ICG66" s="0"/>
      <c r="ICH66" s="0"/>
      <c r="ICI66" s="0"/>
      <c r="ICJ66" s="0"/>
      <c r="ICK66" s="0"/>
      <c r="ICL66" s="0"/>
      <c r="ICM66" s="0"/>
      <c r="ICN66" s="0"/>
      <c r="ICO66" s="0"/>
      <c r="ICP66" s="0"/>
      <c r="ICQ66" s="0"/>
      <c r="ICR66" s="0"/>
      <c r="ICS66" s="0"/>
      <c r="ICT66" s="0"/>
      <c r="ICU66" s="0"/>
      <c r="ICV66" s="0"/>
      <c r="ICW66" s="0"/>
      <c r="ICX66" s="0"/>
      <c r="ICY66" s="0"/>
      <c r="ICZ66" s="0"/>
      <c r="IDA66" s="0"/>
      <c r="IDB66" s="0"/>
      <c r="IDC66" s="0"/>
      <c r="IDD66" s="0"/>
      <c r="IDE66" s="0"/>
      <c r="IDF66" s="0"/>
      <c r="IDG66" s="0"/>
      <c r="IDH66" s="0"/>
      <c r="IDI66" s="0"/>
      <c r="IDJ66" s="0"/>
      <c r="IDK66" s="0"/>
      <c r="IDL66" s="0"/>
      <c r="IDM66" s="0"/>
      <c r="IDN66" s="0"/>
      <c r="IDO66" s="0"/>
      <c r="IDP66" s="0"/>
      <c r="IDQ66" s="0"/>
      <c r="IDR66" s="0"/>
      <c r="IDS66" s="0"/>
      <c r="IDT66" s="0"/>
      <c r="IDU66" s="0"/>
      <c r="IDV66" s="0"/>
      <c r="IDW66" s="0"/>
      <c r="IDX66" s="0"/>
      <c r="IDY66" s="0"/>
      <c r="IDZ66" s="0"/>
      <c r="IEA66" s="0"/>
      <c r="IEB66" s="0"/>
      <c r="IEC66" s="0"/>
      <c r="IED66" s="0"/>
      <c r="IEE66" s="0"/>
      <c r="IEF66" s="0"/>
      <c r="IEG66" s="0"/>
      <c r="IEH66" s="0"/>
      <c r="IEI66" s="0"/>
      <c r="IEJ66" s="0"/>
      <c r="IEK66" s="0"/>
      <c r="IEL66" s="0"/>
      <c r="IEM66" s="0"/>
      <c r="IEN66" s="0"/>
      <c r="IEO66" s="0"/>
      <c r="IEP66" s="0"/>
      <c r="IEQ66" s="0"/>
      <c r="IER66" s="0"/>
      <c r="IES66" s="0"/>
      <c r="IET66" s="0"/>
      <c r="IEU66" s="0"/>
      <c r="IEV66" s="0"/>
      <c r="IEW66" s="0"/>
      <c r="IEX66" s="0"/>
      <c r="IEY66" s="0"/>
      <c r="IEZ66" s="0"/>
      <c r="IFA66" s="0"/>
      <c r="IFB66" s="0"/>
      <c r="IFC66" s="0"/>
      <c r="IFD66" s="0"/>
      <c r="IFE66" s="0"/>
      <c r="IFF66" s="0"/>
      <c r="IFG66" s="0"/>
      <c r="IFH66" s="0"/>
      <c r="IFI66" s="0"/>
      <c r="IFJ66" s="0"/>
      <c r="IFK66" s="0"/>
      <c r="IFL66" s="0"/>
      <c r="IFM66" s="0"/>
      <c r="IFN66" s="0"/>
      <c r="IFO66" s="0"/>
      <c r="IFP66" s="0"/>
      <c r="IFQ66" s="0"/>
      <c r="IFR66" s="0"/>
      <c r="IFS66" s="0"/>
      <c r="IFT66" s="0"/>
      <c r="IFU66" s="0"/>
      <c r="IFV66" s="0"/>
      <c r="IFW66" s="0"/>
      <c r="IFX66" s="0"/>
      <c r="IFY66" s="0"/>
      <c r="IFZ66" s="0"/>
      <c r="IGA66" s="0"/>
      <c r="IGB66" s="0"/>
      <c r="IGC66" s="0"/>
      <c r="IGD66" s="0"/>
      <c r="IGE66" s="0"/>
      <c r="IGF66" s="0"/>
      <c r="IGG66" s="0"/>
      <c r="IGH66" s="0"/>
      <c r="IGI66" s="0"/>
      <c r="IGJ66" s="0"/>
      <c r="IGK66" s="0"/>
      <c r="IGL66" s="0"/>
      <c r="IGM66" s="0"/>
      <c r="IGN66" s="0"/>
      <c r="IGO66" s="0"/>
      <c r="IGP66" s="0"/>
      <c r="IGQ66" s="0"/>
      <c r="IGR66" s="0"/>
      <c r="IGS66" s="0"/>
      <c r="IGT66" s="0"/>
      <c r="IGU66" s="0"/>
      <c r="IGV66" s="0"/>
      <c r="IGW66" s="0"/>
      <c r="IGX66" s="0"/>
      <c r="IGY66" s="0"/>
      <c r="IGZ66" s="0"/>
      <c r="IHA66" s="0"/>
      <c r="IHB66" s="0"/>
      <c r="IHC66" s="0"/>
      <c r="IHD66" s="0"/>
      <c r="IHE66" s="0"/>
      <c r="IHF66" s="0"/>
      <c r="IHG66" s="0"/>
      <c r="IHH66" s="0"/>
      <c r="IHI66" s="0"/>
      <c r="IHJ66" s="0"/>
      <c r="IHK66" s="0"/>
      <c r="IHL66" s="0"/>
      <c r="IHM66" s="0"/>
      <c r="IHN66" s="0"/>
      <c r="IHO66" s="0"/>
      <c r="IHP66" s="0"/>
      <c r="IHQ66" s="0"/>
      <c r="IHR66" s="0"/>
      <c r="IHS66" s="0"/>
      <c r="IHT66" s="0"/>
      <c r="IHU66" s="0"/>
      <c r="IHV66" s="0"/>
      <c r="IHW66" s="0"/>
      <c r="IHX66" s="0"/>
      <c r="IHY66" s="0"/>
      <c r="IHZ66" s="0"/>
      <c r="IIA66" s="0"/>
      <c r="IIB66" s="0"/>
      <c r="IIC66" s="0"/>
      <c r="IID66" s="0"/>
      <c r="IIE66" s="0"/>
      <c r="IIF66" s="0"/>
      <c r="IIG66" s="0"/>
      <c r="IIH66" s="0"/>
      <c r="III66" s="0"/>
      <c r="IIJ66" s="0"/>
      <c r="IIK66" s="0"/>
      <c r="IIL66" s="0"/>
      <c r="IIM66" s="0"/>
      <c r="IIN66" s="0"/>
      <c r="IIO66" s="0"/>
      <c r="IIP66" s="0"/>
      <c r="IIQ66" s="0"/>
      <c r="IIR66" s="0"/>
      <c r="IIS66" s="0"/>
      <c r="IIT66" s="0"/>
      <c r="IIU66" s="0"/>
      <c r="IIV66" s="0"/>
      <c r="IIW66" s="0"/>
      <c r="IIX66" s="0"/>
      <c r="IIY66" s="0"/>
      <c r="IIZ66" s="0"/>
      <c r="IJA66" s="0"/>
      <c r="IJB66" s="0"/>
      <c r="IJC66" s="0"/>
      <c r="IJD66" s="0"/>
      <c r="IJE66" s="0"/>
      <c r="IJF66" s="0"/>
      <c r="IJG66" s="0"/>
      <c r="IJH66" s="0"/>
      <c r="IJI66" s="0"/>
      <c r="IJJ66" s="0"/>
      <c r="IJK66" s="0"/>
      <c r="IJL66" s="0"/>
      <c r="IJM66" s="0"/>
      <c r="IJN66" s="0"/>
      <c r="IJO66" s="0"/>
      <c r="IJP66" s="0"/>
      <c r="IJQ66" s="0"/>
      <c r="IJR66" s="0"/>
      <c r="IJS66" s="0"/>
      <c r="IJT66" s="0"/>
      <c r="IJU66" s="0"/>
      <c r="IJV66" s="0"/>
      <c r="IJW66" s="0"/>
      <c r="IJX66" s="0"/>
      <c r="IJY66" s="0"/>
      <c r="IJZ66" s="0"/>
      <c r="IKA66" s="0"/>
      <c r="IKB66" s="0"/>
      <c r="IKC66" s="0"/>
      <c r="IKD66" s="0"/>
      <c r="IKE66" s="0"/>
      <c r="IKF66" s="0"/>
      <c r="IKG66" s="0"/>
      <c r="IKH66" s="0"/>
      <c r="IKI66" s="0"/>
      <c r="IKJ66" s="0"/>
      <c r="IKK66" s="0"/>
      <c r="IKL66" s="0"/>
      <c r="IKM66" s="0"/>
      <c r="IKN66" s="0"/>
      <c r="IKO66" s="0"/>
      <c r="IKP66" s="0"/>
      <c r="IKQ66" s="0"/>
      <c r="IKR66" s="0"/>
      <c r="IKS66" s="0"/>
      <c r="IKT66" s="0"/>
      <c r="IKU66" s="0"/>
      <c r="IKV66" s="0"/>
      <c r="IKW66" s="0"/>
      <c r="IKX66" s="0"/>
      <c r="IKY66" s="0"/>
      <c r="IKZ66" s="0"/>
      <c r="ILA66" s="0"/>
      <c r="ILB66" s="0"/>
      <c r="ILC66" s="0"/>
      <c r="ILD66" s="0"/>
      <c r="ILE66" s="0"/>
      <c r="ILF66" s="0"/>
      <c r="ILG66" s="0"/>
      <c r="ILH66" s="0"/>
      <c r="ILI66" s="0"/>
      <c r="ILJ66" s="0"/>
      <c r="ILK66" s="0"/>
      <c r="ILL66" s="0"/>
      <c r="ILM66" s="0"/>
      <c r="ILN66" s="0"/>
      <c r="ILO66" s="0"/>
      <c r="ILP66" s="0"/>
      <c r="ILQ66" s="0"/>
      <c r="ILR66" s="0"/>
      <c r="ILS66" s="0"/>
      <c r="ILT66" s="0"/>
      <c r="ILU66" s="0"/>
      <c r="ILV66" s="0"/>
      <c r="ILW66" s="0"/>
      <c r="ILX66" s="0"/>
      <c r="ILY66" s="0"/>
      <c r="ILZ66" s="0"/>
      <c r="IMA66" s="0"/>
      <c r="IMB66" s="0"/>
      <c r="IMC66" s="0"/>
      <c r="IMD66" s="0"/>
      <c r="IME66" s="0"/>
      <c r="IMF66" s="0"/>
      <c r="IMG66" s="0"/>
      <c r="IMH66" s="0"/>
      <c r="IMI66" s="0"/>
      <c r="IMJ66" s="0"/>
      <c r="IMK66" s="0"/>
      <c r="IML66" s="0"/>
      <c r="IMM66" s="0"/>
      <c r="IMN66" s="0"/>
      <c r="IMO66" s="0"/>
      <c r="IMP66" s="0"/>
      <c r="IMQ66" s="0"/>
      <c r="IMR66" s="0"/>
      <c r="IMS66" s="0"/>
      <c r="IMT66" s="0"/>
      <c r="IMU66" s="0"/>
      <c r="IMV66" s="0"/>
      <c r="IMW66" s="0"/>
      <c r="IMX66" s="0"/>
      <c r="IMY66" s="0"/>
      <c r="IMZ66" s="0"/>
      <c r="INA66" s="0"/>
      <c r="INB66" s="0"/>
      <c r="INC66" s="0"/>
      <c r="IND66" s="0"/>
      <c r="INE66" s="0"/>
      <c r="INF66" s="0"/>
      <c r="ING66" s="0"/>
      <c r="INH66" s="0"/>
      <c r="INI66" s="0"/>
      <c r="INJ66" s="0"/>
      <c r="INK66" s="0"/>
      <c r="INL66" s="0"/>
      <c r="INM66" s="0"/>
      <c r="INN66" s="0"/>
      <c r="INO66" s="0"/>
      <c r="INP66" s="0"/>
      <c r="INQ66" s="0"/>
      <c r="INR66" s="0"/>
      <c r="INS66" s="0"/>
      <c r="INT66" s="0"/>
      <c r="INU66" s="0"/>
      <c r="INV66" s="0"/>
      <c r="INW66" s="0"/>
      <c r="INX66" s="0"/>
      <c r="INY66" s="0"/>
      <c r="INZ66" s="0"/>
      <c r="IOA66" s="0"/>
      <c r="IOB66" s="0"/>
      <c r="IOC66" s="0"/>
      <c r="IOD66" s="0"/>
      <c r="IOE66" s="0"/>
      <c r="IOF66" s="0"/>
      <c r="IOG66" s="0"/>
      <c r="IOH66" s="0"/>
      <c r="IOI66" s="0"/>
      <c r="IOJ66" s="0"/>
      <c r="IOK66" s="0"/>
      <c r="IOL66" s="0"/>
      <c r="IOM66" s="0"/>
      <c r="ION66" s="0"/>
      <c r="IOO66" s="0"/>
      <c r="IOP66" s="0"/>
      <c r="IOQ66" s="0"/>
      <c r="IOR66" s="0"/>
      <c r="IOS66" s="0"/>
      <c r="IOT66" s="0"/>
      <c r="IOU66" s="0"/>
      <c r="IOV66" s="0"/>
      <c r="IOW66" s="0"/>
      <c r="IOX66" s="0"/>
      <c r="IOY66" s="0"/>
      <c r="IOZ66" s="0"/>
      <c r="IPA66" s="0"/>
      <c r="IPB66" s="0"/>
      <c r="IPC66" s="0"/>
      <c r="IPD66" s="0"/>
      <c r="IPE66" s="0"/>
      <c r="IPF66" s="0"/>
      <c r="IPG66" s="0"/>
      <c r="IPH66" s="0"/>
      <c r="IPI66" s="0"/>
      <c r="IPJ66" s="0"/>
      <c r="IPK66" s="0"/>
      <c r="IPL66" s="0"/>
      <c r="IPM66" s="0"/>
      <c r="IPN66" s="0"/>
      <c r="IPO66" s="0"/>
      <c r="IPP66" s="0"/>
      <c r="IPQ66" s="0"/>
      <c r="IPR66" s="0"/>
      <c r="IPS66" s="0"/>
      <c r="IPT66" s="0"/>
      <c r="IPU66" s="0"/>
      <c r="IPV66" s="0"/>
      <c r="IPW66" s="0"/>
      <c r="IPX66" s="0"/>
      <c r="IPY66" s="0"/>
      <c r="IPZ66" s="0"/>
      <c r="IQA66" s="0"/>
      <c r="IQB66" s="0"/>
      <c r="IQC66" s="0"/>
      <c r="IQD66" s="0"/>
      <c r="IQE66" s="0"/>
      <c r="IQF66" s="0"/>
      <c r="IQG66" s="0"/>
      <c r="IQH66" s="0"/>
      <c r="IQI66" s="0"/>
      <c r="IQJ66" s="0"/>
      <c r="IQK66" s="0"/>
      <c r="IQL66" s="0"/>
      <c r="IQM66" s="0"/>
      <c r="IQN66" s="0"/>
      <c r="IQO66" s="0"/>
      <c r="IQP66" s="0"/>
      <c r="IQQ66" s="0"/>
      <c r="IQR66" s="0"/>
      <c r="IQS66" s="0"/>
      <c r="IQT66" s="0"/>
      <c r="IQU66" s="0"/>
      <c r="IQV66" s="0"/>
      <c r="IQW66" s="0"/>
      <c r="IQX66" s="0"/>
      <c r="IQY66" s="0"/>
      <c r="IQZ66" s="0"/>
      <c r="IRA66" s="0"/>
      <c r="IRB66" s="0"/>
      <c r="IRC66" s="0"/>
      <c r="IRD66" s="0"/>
      <c r="IRE66" s="0"/>
      <c r="IRF66" s="0"/>
      <c r="IRG66" s="0"/>
      <c r="IRH66" s="0"/>
      <c r="IRI66" s="0"/>
      <c r="IRJ66" s="0"/>
      <c r="IRK66" s="0"/>
      <c r="IRL66" s="0"/>
      <c r="IRM66" s="0"/>
      <c r="IRN66" s="0"/>
      <c r="IRO66" s="0"/>
      <c r="IRP66" s="0"/>
      <c r="IRQ66" s="0"/>
      <c r="IRR66" s="0"/>
      <c r="IRS66" s="0"/>
      <c r="IRT66" s="0"/>
      <c r="IRU66" s="0"/>
      <c r="IRV66" s="0"/>
      <c r="IRW66" s="0"/>
      <c r="IRX66" s="0"/>
      <c r="IRY66" s="0"/>
      <c r="IRZ66" s="0"/>
      <c r="ISA66" s="0"/>
      <c r="ISB66" s="0"/>
      <c r="ISC66" s="0"/>
      <c r="ISD66" s="0"/>
      <c r="ISE66" s="0"/>
      <c r="ISF66" s="0"/>
      <c r="ISG66" s="0"/>
      <c r="ISH66" s="0"/>
      <c r="ISI66" s="0"/>
      <c r="ISJ66" s="0"/>
      <c r="ISK66" s="0"/>
      <c r="ISL66" s="0"/>
      <c r="ISM66" s="0"/>
      <c r="ISN66" s="0"/>
      <c r="ISO66" s="0"/>
      <c r="ISP66" s="0"/>
      <c r="ISQ66" s="0"/>
      <c r="ISR66" s="0"/>
      <c r="ISS66" s="0"/>
      <c r="IST66" s="0"/>
      <c r="ISU66" s="0"/>
      <c r="ISV66" s="0"/>
      <c r="ISW66" s="0"/>
      <c r="ISX66" s="0"/>
      <c r="ISY66" s="0"/>
      <c r="ISZ66" s="0"/>
      <c r="ITA66" s="0"/>
      <c r="ITB66" s="0"/>
      <c r="ITC66" s="0"/>
      <c r="ITD66" s="0"/>
      <c r="ITE66" s="0"/>
      <c r="ITF66" s="0"/>
      <c r="ITG66" s="0"/>
      <c r="ITH66" s="0"/>
      <c r="ITI66" s="0"/>
      <c r="ITJ66" s="0"/>
      <c r="ITK66" s="0"/>
      <c r="ITL66" s="0"/>
      <c r="ITM66" s="0"/>
      <c r="ITN66" s="0"/>
      <c r="ITO66" s="0"/>
      <c r="ITP66" s="0"/>
      <c r="ITQ66" s="0"/>
      <c r="ITR66" s="0"/>
      <c r="ITS66" s="0"/>
      <c r="ITT66" s="0"/>
      <c r="ITU66" s="0"/>
      <c r="ITV66" s="0"/>
      <c r="ITW66" s="0"/>
      <c r="ITX66" s="0"/>
      <c r="ITY66" s="0"/>
      <c r="ITZ66" s="0"/>
      <c r="IUA66" s="0"/>
      <c r="IUB66" s="0"/>
      <c r="IUC66" s="0"/>
      <c r="IUD66" s="0"/>
      <c r="IUE66" s="0"/>
      <c r="IUF66" s="0"/>
      <c r="IUG66" s="0"/>
      <c r="IUH66" s="0"/>
      <c r="IUI66" s="0"/>
      <c r="IUJ66" s="0"/>
      <c r="IUK66" s="0"/>
      <c r="IUL66" s="0"/>
      <c r="IUM66" s="0"/>
      <c r="IUN66" s="0"/>
      <c r="IUO66" s="0"/>
      <c r="IUP66" s="0"/>
      <c r="IUQ66" s="0"/>
      <c r="IUR66" s="0"/>
      <c r="IUS66" s="0"/>
      <c r="IUT66" s="0"/>
      <c r="IUU66" s="0"/>
      <c r="IUV66" s="0"/>
      <c r="IUW66" s="0"/>
      <c r="IUX66" s="0"/>
      <c r="IUY66" s="0"/>
      <c r="IUZ66" s="0"/>
      <c r="IVA66" s="0"/>
      <c r="IVB66" s="0"/>
      <c r="IVC66" s="0"/>
      <c r="IVD66" s="0"/>
      <c r="IVE66" s="0"/>
      <c r="IVF66" s="0"/>
      <c r="IVG66" s="0"/>
      <c r="IVH66" s="0"/>
      <c r="IVI66" s="0"/>
      <c r="IVJ66" s="0"/>
      <c r="IVK66" s="0"/>
      <c r="IVL66" s="0"/>
      <c r="IVM66" s="0"/>
      <c r="IVN66" s="0"/>
      <c r="IVO66" s="0"/>
      <c r="IVP66" s="0"/>
      <c r="IVQ66" s="0"/>
      <c r="IVR66" s="0"/>
      <c r="IVS66" s="0"/>
      <c r="IVT66" s="0"/>
      <c r="IVU66" s="0"/>
      <c r="IVV66" s="0"/>
      <c r="IVW66" s="0"/>
      <c r="IVX66" s="0"/>
      <c r="IVY66" s="0"/>
      <c r="IVZ66" s="0"/>
      <c r="IWA66" s="0"/>
      <c r="IWB66" s="0"/>
      <c r="IWC66" s="0"/>
      <c r="IWD66" s="0"/>
      <c r="IWE66" s="0"/>
      <c r="IWF66" s="0"/>
      <c r="IWG66" s="0"/>
      <c r="IWH66" s="0"/>
      <c r="IWI66" s="0"/>
      <c r="IWJ66" s="0"/>
      <c r="IWK66" s="0"/>
      <c r="IWL66" s="0"/>
      <c r="IWM66" s="0"/>
      <c r="IWN66" s="0"/>
      <c r="IWO66" s="0"/>
      <c r="IWP66" s="0"/>
      <c r="IWQ66" s="0"/>
      <c r="IWR66" s="0"/>
      <c r="IWS66" s="0"/>
      <c r="IWT66" s="0"/>
      <c r="IWU66" s="0"/>
      <c r="IWV66" s="0"/>
      <c r="IWW66" s="0"/>
      <c r="IWX66" s="0"/>
      <c r="IWY66" s="0"/>
      <c r="IWZ66" s="0"/>
      <c r="IXA66" s="0"/>
      <c r="IXB66" s="0"/>
      <c r="IXC66" s="0"/>
      <c r="IXD66" s="0"/>
      <c r="IXE66" s="0"/>
      <c r="IXF66" s="0"/>
      <c r="IXG66" s="0"/>
      <c r="IXH66" s="0"/>
      <c r="IXI66" s="0"/>
      <c r="IXJ66" s="0"/>
      <c r="IXK66" s="0"/>
      <c r="IXL66" s="0"/>
      <c r="IXM66" s="0"/>
      <c r="IXN66" s="0"/>
      <c r="IXO66" s="0"/>
      <c r="IXP66" s="0"/>
      <c r="IXQ66" s="0"/>
      <c r="IXR66" s="0"/>
      <c r="IXS66" s="0"/>
      <c r="IXT66" s="0"/>
      <c r="IXU66" s="0"/>
      <c r="IXV66" s="0"/>
      <c r="IXW66" s="0"/>
      <c r="IXX66" s="0"/>
      <c r="IXY66" s="0"/>
      <c r="IXZ66" s="0"/>
      <c r="IYA66" s="0"/>
      <c r="IYB66" s="0"/>
      <c r="IYC66" s="0"/>
      <c r="IYD66" s="0"/>
      <c r="IYE66" s="0"/>
      <c r="IYF66" s="0"/>
      <c r="IYG66" s="0"/>
      <c r="IYH66" s="0"/>
      <c r="IYI66" s="0"/>
      <c r="IYJ66" s="0"/>
      <c r="IYK66" s="0"/>
      <c r="IYL66" s="0"/>
      <c r="IYM66" s="0"/>
      <c r="IYN66" s="0"/>
      <c r="IYO66" s="0"/>
      <c r="IYP66" s="0"/>
      <c r="IYQ66" s="0"/>
      <c r="IYR66" s="0"/>
      <c r="IYS66" s="0"/>
      <c r="IYT66" s="0"/>
      <c r="IYU66" s="0"/>
      <c r="IYV66" s="0"/>
      <c r="IYW66" s="0"/>
      <c r="IYX66" s="0"/>
      <c r="IYY66" s="0"/>
      <c r="IYZ66" s="0"/>
      <c r="IZA66" s="0"/>
      <c r="IZB66" s="0"/>
      <c r="IZC66" s="0"/>
      <c r="IZD66" s="0"/>
      <c r="IZE66" s="0"/>
      <c r="IZF66" s="0"/>
      <c r="IZG66" s="0"/>
      <c r="IZH66" s="0"/>
      <c r="IZI66" s="0"/>
      <c r="IZJ66" s="0"/>
      <c r="IZK66" s="0"/>
      <c r="IZL66" s="0"/>
      <c r="IZM66" s="0"/>
      <c r="IZN66" s="0"/>
      <c r="IZO66" s="0"/>
      <c r="IZP66" s="0"/>
      <c r="IZQ66" s="0"/>
      <c r="IZR66" s="0"/>
      <c r="IZS66" s="0"/>
      <c r="IZT66" s="0"/>
      <c r="IZU66" s="0"/>
      <c r="IZV66" s="0"/>
      <c r="IZW66" s="0"/>
      <c r="IZX66" s="0"/>
      <c r="IZY66" s="0"/>
      <c r="IZZ66" s="0"/>
      <c r="JAA66" s="0"/>
      <c r="JAB66" s="0"/>
      <c r="JAC66" s="0"/>
      <c r="JAD66" s="0"/>
      <c r="JAE66" s="0"/>
      <c r="JAF66" s="0"/>
      <c r="JAG66" s="0"/>
      <c r="JAH66" s="0"/>
      <c r="JAI66" s="0"/>
      <c r="JAJ66" s="0"/>
      <c r="JAK66" s="0"/>
      <c r="JAL66" s="0"/>
      <c r="JAM66" s="0"/>
      <c r="JAN66" s="0"/>
      <c r="JAO66" s="0"/>
      <c r="JAP66" s="0"/>
      <c r="JAQ66" s="0"/>
      <c r="JAR66" s="0"/>
      <c r="JAS66" s="0"/>
      <c r="JAT66" s="0"/>
      <c r="JAU66" s="0"/>
      <c r="JAV66" s="0"/>
      <c r="JAW66" s="0"/>
      <c r="JAX66" s="0"/>
      <c r="JAY66" s="0"/>
      <c r="JAZ66" s="0"/>
      <c r="JBA66" s="0"/>
      <c r="JBB66" s="0"/>
      <c r="JBC66" s="0"/>
      <c r="JBD66" s="0"/>
      <c r="JBE66" s="0"/>
      <c r="JBF66" s="0"/>
      <c r="JBG66" s="0"/>
      <c r="JBH66" s="0"/>
      <c r="JBI66" s="0"/>
      <c r="JBJ66" s="0"/>
      <c r="JBK66" s="0"/>
      <c r="JBL66" s="0"/>
      <c r="JBM66" s="0"/>
      <c r="JBN66" s="0"/>
      <c r="JBO66" s="0"/>
      <c r="JBP66" s="0"/>
      <c r="JBQ66" s="0"/>
      <c r="JBR66" s="0"/>
      <c r="JBS66" s="0"/>
      <c r="JBT66" s="0"/>
      <c r="JBU66" s="0"/>
      <c r="JBV66" s="0"/>
      <c r="JBW66" s="0"/>
      <c r="JBX66" s="0"/>
      <c r="JBY66" s="0"/>
      <c r="JBZ66" s="0"/>
      <c r="JCA66" s="0"/>
      <c r="JCB66" s="0"/>
      <c r="JCC66" s="0"/>
      <c r="JCD66" s="0"/>
      <c r="JCE66" s="0"/>
      <c r="JCF66" s="0"/>
      <c r="JCG66" s="0"/>
      <c r="JCH66" s="0"/>
      <c r="JCI66" s="0"/>
      <c r="JCJ66" s="0"/>
      <c r="JCK66" s="0"/>
      <c r="JCL66" s="0"/>
      <c r="JCM66" s="0"/>
      <c r="JCN66" s="0"/>
      <c r="JCO66" s="0"/>
      <c r="JCP66" s="0"/>
      <c r="JCQ66" s="0"/>
      <c r="JCR66" s="0"/>
      <c r="JCS66" s="0"/>
      <c r="JCT66" s="0"/>
      <c r="JCU66" s="0"/>
      <c r="JCV66" s="0"/>
      <c r="JCW66" s="0"/>
      <c r="JCX66" s="0"/>
      <c r="JCY66" s="0"/>
      <c r="JCZ66" s="0"/>
      <c r="JDA66" s="0"/>
      <c r="JDB66" s="0"/>
      <c r="JDC66" s="0"/>
      <c r="JDD66" s="0"/>
      <c r="JDE66" s="0"/>
      <c r="JDF66" s="0"/>
      <c r="JDG66" s="0"/>
      <c r="JDH66" s="0"/>
      <c r="JDI66" s="0"/>
      <c r="JDJ66" s="0"/>
      <c r="JDK66" s="0"/>
      <c r="JDL66" s="0"/>
      <c r="JDM66" s="0"/>
      <c r="JDN66" s="0"/>
      <c r="JDO66" s="0"/>
      <c r="JDP66" s="0"/>
      <c r="JDQ66" s="0"/>
      <c r="JDR66" s="0"/>
      <c r="JDS66" s="0"/>
      <c r="JDT66" s="0"/>
      <c r="JDU66" s="0"/>
      <c r="JDV66" s="0"/>
      <c r="JDW66" s="0"/>
      <c r="JDX66" s="0"/>
      <c r="JDY66" s="0"/>
      <c r="JDZ66" s="0"/>
      <c r="JEA66" s="0"/>
      <c r="JEB66" s="0"/>
      <c r="JEC66" s="0"/>
      <c r="JED66" s="0"/>
      <c r="JEE66" s="0"/>
      <c r="JEF66" s="0"/>
      <c r="JEG66" s="0"/>
      <c r="JEH66" s="0"/>
      <c r="JEI66" s="0"/>
      <c r="JEJ66" s="0"/>
      <c r="JEK66" s="0"/>
      <c r="JEL66" s="0"/>
      <c r="JEM66" s="0"/>
      <c r="JEN66" s="0"/>
      <c r="JEO66" s="0"/>
      <c r="JEP66" s="0"/>
      <c r="JEQ66" s="0"/>
      <c r="JER66" s="0"/>
      <c r="JES66" s="0"/>
      <c r="JET66" s="0"/>
      <c r="JEU66" s="0"/>
      <c r="JEV66" s="0"/>
      <c r="JEW66" s="0"/>
      <c r="JEX66" s="0"/>
      <c r="JEY66" s="0"/>
      <c r="JEZ66" s="0"/>
      <c r="JFA66" s="0"/>
      <c r="JFB66" s="0"/>
      <c r="JFC66" s="0"/>
      <c r="JFD66" s="0"/>
      <c r="JFE66" s="0"/>
      <c r="JFF66" s="0"/>
      <c r="JFG66" s="0"/>
      <c r="JFH66" s="0"/>
      <c r="JFI66" s="0"/>
      <c r="JFJ66" s="0"/>
      <c r="JFK66" s="0"/>
      <c r="JFL66" s="0"/>
      <c r="JFM66" s="0"/>
      <c r="JFN66" s="0"/>
      <c r="JFO66" s="0"/>
      <c r="JFP66" s="0"/>
      <c r="JFQ66" s="0"/>
      <c r="JFR66" s="0"/>
      <c r="JFS66" s="0"/>
      <c r="JFT66" s="0"/>
      <c r="JFU66" s="0"/>
      <c r="JFV66" s="0"/>
      <c r="JFW66" s="0"/>
      <c r="JFX66" s="0"/>
      <c r="JFY66" s="0"/>
      <c r="JFZ66" s="0"/>
      <c r="JGA66" s="0"/>
      <c r="JGB66" s="0"/>
      <c r="JGC66" s="0"/>
      <c r="JGD66" s="0"/>
      <c r="JGE66" s="0"/>
      <c r="JGF66" s="0"/>
      <c r="JGG66" s="0"/>
      <c r="JGH66" s="0"/>
      <c r="JGI66" s="0"/>
      <c r="JGJ66" s="0"/>
      <c r="JGK66" s="0"/>
      <c r="JGL66" s="0"/>
      <c r="JGM66" s="0"/>
      <c r="JGN66" s="0"/>
      <c r="JGO66" s="0"/>
      <c r="JGP66" s="0"/>
      <c r="JGQ66" s="0"/>
      <c r="JGR66" s="0"/>
      <c r="JGS66" s="0"/>
      <c r="JGT66" s="0"/>
      <c r="JGU66" s="0"/>
      <c r="JGV66" s="0"/>
      <c r="JGW66" s="0"/>
      <c r="JGX66" s="0"/>
      <c r="JGY66" s="0"/>
      <c r="JGZ66" s="0"/>
      <c r="JHA66" s="0"/>
      <c r="JHB66" s="0"/>
      <c r="JHC66" s="0"/>
      <c r="JHD66" s="0"/>
      <c r="JHE66" s="0"/>
      <c r="JHF66" s="0"/>
      <c r="JHG66" s="0"/>
      <c r="JHH66" s="0"/>
      <c r="JHI66" s="0"/>
      <c r="JHJ66" s="0"/>
      <c r="JHK66" s="0"/>
      <c r="JHL66" s="0"/>
      <c r="JHM66" s="0"/>
      <c r="JHN66" s="0"/>
      <c r="JHO66" s="0"/>
      <c r="JHP66" s="0"/>
      <c r="JHQ66" s="0"/>
      <c r="JHR66" s="0"/>
      <c r="JHS66" s="0"/>
      <c r="JHT66" s="0"/>
      <c r="JHU66" s="0"/>
      <c r="JHV66" s="0"/>
      <c r="JHW66" s="0"/>
      <c r="JHX66" s="0"/>
      <c r="JHY66" s="0"/>
      <c r="JHZ66" s="0"/>
      <c r="JIA66" s="0"/>
      <c r="JIB66" s="0"/>
      <c r="JIC66" s="0"/>
      <c r="JID66" s="0"/>
      <c r="JIE66" s="0"/>
      <c r="JIF66" s="0"/>
      <c r="JIG66" s="0"/>
      <c r="JIH66" s="0"/>
      <c r="JII66" s="0"/>
      <c r="JIJ66" s="0"/>
      <c r="JIK66" s="0"/>
      <c r="JIL66" s="0"/>
      <c r="JIM66" s="0"/>
      <c r="JIN66" s="0"/>
      <c r="JIO66" s="0"/>
      <c r="JIP66" s="0"/>
      <c r="JIQ66" s="0"/>
      <c r="JIR66" s="0"/>
      <c r="JIS66" s="0"/>
      <c r="JIT66" s="0"/>
      <c r="JIU66" s="0"/>
      <c r="JIV66" s="0"/>
      <c r="JIW66" s="0"/>
      <c r="JIX66" s="0"/>
      <c r="JIY66" s="0"/>
      <c r="JIZ66" s="0"/>
      <c r="JJA66" s="0"/>
      <c r="JJB66" s="0"/>
      <c r="JJC66" s="0"/>
      <c r="JJD66" s="0"/>
      <c r="JJE66" s="0"/>
      <c r="JJF66" s="0"/>
      <c r="JJG66" s="0"/>
      <c r="JJH66" s="0"/>
      <c r="JJI66" s="0"/>
      <c r="JJJ66" s="0"/>
      <c r="JJK66" s="0"/>
      <c r="JJL66" s="0"/>
      <c r="JJM66" s="0"/>
      <c r="JJN66" s="0"/>
      <c r="JJO66" s="0"/>
      <c r="JJP66" s="0"/>
      <c r="JJQ66" s="0"/>
      <c r="JJR66" s="0"/>
      <c r="JJS66" s="0"/>
      <c r="JJT66" s="0"/>
      <c r="JJU66" s="0"/>
      <c r="JJV66" s="0"/>
      <c r="JJW66" s="0"/>
      <c r="JJX66" s="0"/>
      <c r="JJY66" s="0"/>
      <c r="JJZ66" s="0"/>
      <c r="JKA66" s="0"/>
      <c r="JKB66" s="0"/>
      <c r="JKC66" s="0"/>
      <c r="JKD66" s="0"/>
      <c r="JKE66" s="0"/>
      <c r="JKF66" s="0"/>
      <c r="JKG66" s="0"/>
      <c r="JKH66" s="0"/>
      <c r="JKI66" s="0"/>
      <c r="JKJ66" s="0"/>
      <c r="JKK66" s="0"/>
      <c r="JKL66" s="0"/>
      <c r="JKM66" s="0"/>
      <c r="JKN66" s="0"/>
      <c r="JKO66" s="0"/>
      <c r="JKP66" s="0"/>
      <c r="JKQ66" s="0"/>
      <c r="JKR66" s="0"/>
      <c r="JKS66" s="0"/>
      <c r="JKT66" s="0"/>
      <c r="JKU66" s="0"/>
      <c r="JKV66" s="0"/>
      <c r="JKW66" s="0"/>
      <c r="JKX66" s="0"/>
      <c r="JKY66" s="0"/>
      <c r="JKZ66" s="0"/>
      <c r="JLA66" s="0"/>
      <c r="JLB66" s="0"/>
      <c r="JLC66" s="0"/>
      <c r="JLD66" s="0"/>
      <c r="JLE66" s="0"/>
      <c r="JLF66" s="0"/>
      <c r="JLG66" s="0"/>
      <c r="JLH66" s="0"/>
      <c r="JLI66" s="0"/>
      <c r="JLJ66" s="0"/>
      <c r="JLK66" s="0"/>
      <c r="JLL66" s="0"/>
      <c r="JLM66" s="0"/>
      <c r="JLN66" s="0"/>
      <c r="JLO66" s="0"/>
      <c r="JLP66" s="0"/>
      <c r="JLQ66" s="0"/>
      <c r="JLR66" s="0"/>
      <c r="JLS66" s="0"/>
      <c r="JLT66" s="0"/>
      <c r="JLU66" s="0"/>
      <c r="JLV66" s="0"/>
      <c r="JLW66" s="0"/>
      <c r="JLX66" s="0"/>
      <c r="JLY66" s="0"/>
      <c r="JLZ66" s="0"/>
      <c r="JMA66" s="0"/>
      <c r="JMB66" s="0"/>
      <c r="JMC66" s="0"/>
      <c r="JMD66" s="0"/>
      <c r="JME66" s="0"/>
      <c r="JMF66" s="0"/>
      <c r="JMG66" s="0"/>
      <c r="JMH66" s="0"/>
      <c r="JMI66" s="0"/>
      <c r="JMJ66" s="0"/>
      <c r="JMK66" s="0"/>
      <c r="JML66" s="0"/>
      <c r="JMM66" s="0"/>
      <c r="JMN66" s="0"/>
      <c r="JMO66" s="0"/>
      <c r="JMP66" s="0"/>
      <c r="JMQ66" s="0"/>
      <c r="JMR66" s="0"/>
      <c r="JMS66" s="0"/>
      <c r="JMT66" s="0"/>
      <c r="JMU66" s="0"/>
      <c r="JMV66" s="0"/>
      <c r="JMW66" s="0"/>
      <c r="JMX66" s="0"/>
      <c r="JMY66" s="0"/>
      <c r="JMZ66" s="0"/>
      <c r="JNA66" s="0"/>
      <c r="JNB66" s="0"/>
      <c r="JNC66" s="0"/>
      <c r="JND66" s="0"/>
      <c r="JNE66" s="0"/>
      <c r="JNF66" s="0"/>
      <c r="JNG66" s="0"/>
      <c r="JNH66" s="0"/>
      <c r="JNI66" s="0"/>
      <c r="JNJ66" s="0"/>
      <c r="JNK66" s="0"/>
      <c r="JNL66" s="0"/>
      <c r="JNM66" s="0"/>
      <c r="JNN66" s="0"/>
      <c r="JNO66" s="0"/>
      <c r="JNP66" s="0"/>
      <c r="JNQ66" s="0"/>
      <c r="JNR66" s="0"/>
      <c r="JNS66" s="0"/>
      <c r="JNT66" s="0"/>
      <c r="JNU66" s="0"/>
      <c r="JNV66" s="0"/>
      <c r="JNW66" s="0"/>
      <c r="JNX66" s="0"/>
      <c r="JNY66" s="0"/>
      <c r="JNZ66" s="0"/>
      <c r="JOA66" s="0"/>
      <c r="JOB66" s="0"/>
      <c r="JOC66" s="0"/>
      <c r="JOD66" s="0"/>
      <c r="JOE66" s="0"/>
      <c r="JOF66" s="0"/>
      <c r="JOG66" s="0"/>
      <c r="JOH66" s="0"/>
      <c r="JOI66" s="0"/>
      <c r="JOJ66" s="0"/>
      <c r="JOK66" s="0"/>
      <c r="JOL66" s="0"/>
      <c r="JOM66" s="0"/>
      <c r="JON66" s="0"/>
      <c r="JOO66" s="0"/>
      <c r="JOP66" s="0"/>
      <c r="JOQ66" s="0"/>
      <c r="JOR66" s="0"/>
      <c r="JOS66" s="0"/>
      <c r="JOT66" s="0"/>
      <c r="JOU66" s="0"/>
      <c r="JOV66" s="0"/>
      <c r="JOW66" s="0"/>
      <c r="JOX66" s="0"/>
      <c r="JOY66" s="0"/>
      <c r="JOZ66" s="0"/>
      <c r="JPA66" s="0"/>
      <c r="JPB66" s="0"/>
      <c r="JPC66" s="0"/>
      <c r="JPD66" s="0"/>
      <c r="JPE66" s="0"/>
      <c r="JPF66" s="0"/>
      <c r="JPG66" s="0"/>
      <c r="JPH66" s="0"/>
      <c r="JPI66" s="0"/>
      <c r="JPJ66" s="0"/>
      <c r="JPK66" s="0"/>
      <c r="JPL66" s="0"/>
      <c r="JPM66" s="0"/>
      <c r="JPN66" s="0"/>
      <c r="JPO66" s="0"/>
      <c r="JPP66" s="0"/>
      <c r="JPQ66" s="0"/>
      <c r="JPR66" s="0"/>
      <c r="JPS66" s="0"/>
      <c r="JPT66" s="0"/>
      <c r="JPU66" s="0"/>
      <c r="JPV66" s="0"/>
      <c r="JPW66" s="0"/>
      <c r="JPX66" s="0"/>
      <c r="JPY66" s="0"/>
      <c r="JPZ66" s="0"/>
      <c r="JQA66" s="0"/>
      <c r="JQB66" s="0"/>
      <c r="JQC66" s="0"/>
      <c r="JQD66" s="0"/>
      <c r="JQE66" s="0"/>
      <c r="JQF66" s="0"/>
      <c r="JQG66" s="0"/>
      <c r="JQH66" s="0"/>
      <c r="JQI66" s="0"/>
      <c r="JQJ66" s="0"/>
      <c r="JQK66" s="0"/>
      <c r="JQL66" s="0"/>
      <c r="JQM66" s="0"/>
      <c r="JQN66" s="0"/>
      <c r="JQO66" s="0"/>
      <c r="JQP66" s="0"/>
      <c r="JQQ66" s="0"/>
      <c r="JQR66" s="0"/>
      <c r="JQS66" s="0"/>
      <c r="JQT66" s="0"/>
      <c r="JQU66" s="0"/>
      <c r="JQV66" s="0"/>
      <c r="JQW66" s="0"/>
      <c r="JQX66" s="0"/>
      <c r="JQY66" s="0"/>
      <c r="JQZ66" s="0"/>
      <c r="JRA66" s="0"/>
      <c r="JRB66" s="0"/>
      <c r="JRC66" s="0"/>
      <c r="JRD66" s="0"/>
      <c r="JRE66" s="0"/>
      <c r="JRF66" s="0"/>
      <c r="JRG66" s="0"/>
      <c r="JRH66" s="0"/>
      <c r="JRI66" s="0"/>
      <c r="JRJ66" s="0"/>
      <c r="JRK66" s="0"/>
      <c r="JRL66" s="0"/>
      <c r="JRM66" s="0"/>
      <c r="JRN66" s="0"/>
      <c r="JRO66" s="0"/>
      <c r="JRP66" s="0"/>
      <c r="JRQ66" s="0"/>
      <c r="JRR66" s="0"/>
      <c r="JRS66" s="0"/>
      <c r="JRT66" s="0"/>
      <c r="JRU66" s="0"/>
      <c r="JRV66" s="0"/>
      <c r="JRW66" s="0"/>
      <c r="JRX66" s="0"/>
      <c r="JRY66" s="0"/>
      <c r="JRZ66" s="0"/>
      <c r="JSA66" s="0"/>
      <c r="JSB66" s="0"/>
      <c r="JSC66" s="0"/>
      <c r="JSD66" s="0"/>
      <c r="JSE66" s="0"/>
      <c r="JSF66" s="0"/>
      <c r="JSG66" s="0"/>
      <c r="JSH66" s="0"/>
      <c r="JSI66" s="0"/>
      <c r="JSJ66" s="0"/>
      <c r="JSK66" s="0"/>
      <c r="JSL66" s="0"/>
      <c r="JSM66" s="0"/>
      <c r="JSN66" s="0"/>
      <c r="JSO66" s="0"/>
      <c r="JSP66" s="0"/>
      <c r="JSQ66" s="0"/>
      <c r="JSR66" s="0"/>
      <c r="JSS66" s="0"/>
      <c r="JST66" s="0"/>
      <c r="JSU66" s="0"/>
      <c r="JSV66" s="0"/>
      <c r="JSW66" s="0"/>
      <c r="JSX66" s="0"/>
      <c r="JSY66" s="0"/>
      <c r="JSZ66" s="0"/>
      <c r="JTA66" s="0"/>
      <c r="JTB66" s="0"/>
      <c r="JTC66" s="0"/>
      <c r="JTD66" s="0"/>
      <c r="JTE66" s="0"/>
      <c r="JTF66" s="0"/>
      <c r="JTG66" s="0"/>
      <c r="JTH66" s="0"/>
      <c r="JTI66" s="0"/>
      <c r="JTJ66" s="0"/>
      <c r="JTK66" s="0"/>
      <c r="JTL66" s="0"/>
      <c r="JTM66" s="0"/>
      <c r="JTN66" s="0"/>
      <c r="JTO66" s="0"/>
      <c r="JTP66" s="0"/>
      <c r="JTQ66" s="0"/>
      <c r="JTR66" s="0"/>
      <c r="JTS66" s="0"/>
      <c r="JTT66" s="0"/>
      <c r="JTU66" s="0"/>
      <c r="JTV66" s="0"/>
      <c r="JTW66" s="0"/>
      <c r="JTX66" s="0"/>
      <c r="JTY66" s="0"/>
      <c r="JTZ66" s="0"/>
      <c r="JUA66" s="0"/>
      <c r="JUB66" s="0"/>
      <c r="JUC66" s="0"/>
      <c r="JUD66" s="0"/>
      <c r="JUE66" s="0"/>
      <c r="JUF66" s="0"/>
      <c r="JUG66" s="0"/>
      <c r="JUH66" s="0"/>
      <c r="JUI66" s="0"/>
      <c r="JUJ66" s="0"/>
      <c r="JUK66" s="0"/>
      <c r="JUL66" s="0"/>
      <c r="JUM66" s="0"/>
      <c r="JUN66" s="0"/>
      <c r="JUO66" s="0"/>
      <c r="JUP66" s="0"/>
      <c r="JUQ66" s="0"/>
      <c r="JUR66" s="0"/>
      <c r="JUS66" s="0"/>
      <c r="JUT66" s="0"/>
      <c r="JUU66" s="0"/>
      <c r="JUV66" s="0"/>
      <c r="JUW66" s="0"/>
      <c r="JUX66" s="0"/>
      <c r="JUY66" s="0"/>
      <c r="JUZ66" s="0"/>
      <c r="JVA66" s="0"/>
      <c r="JVB66" s="0"/>
      <c r="JVC66" s="0"/>
      <c r="JVD66" s="0"/>
      <c r="JVE66" s="0"/>
      <c r="JVF66" s="0"/>
      <c r="JVG66" s="0"/>
      <c r="JVH66" s="0"/>
      <c r="JVI66" s="0"/>
      <c r="JVJ66" s="0"/>
      <c r="JVK66" s="0"/>
      <c r="JVL66" s="0"/>
      <c r="JVM66" s="0"/>
      <c r="JVN66" s="0"/>
      <c r="JVO66" s="0"/>
      <c r="JVP66" s="0"/>
      <c r="JVQ66" s="0"/>
      <c r="JVR66" s="0"/>
      <c r="JVS66" s="0"/>
      <c r="JVT66" s="0"/>
      <c r="JVU66" s="0"/>
      <c r="JVV66" s="0"/>
      <c r="JVW66" s="0"/>
      <c r="JVX66" s="0"/>
      <c r="JVY66" s="0"/>
      <c r="JVZ66" s="0"/>
      <c r="JWA66" s="0"/>
      <c r="JWB66" s="0"/>
      <c r="JWC66" s="0"/>
      <c r="JWD66" s="0"/>
      <c r="JWE66" s="0"/>
      <c r="JWF66" s="0"/>
      <c r="JWG66" s="0"/>
      <c r="JWH66" s="0"/>
      <c r="JWI66" s="0"/>
      <c r="JWJ66" s="0"/>
      <c r="JWK66" s="0"/>
      <c r="JWL66" s="0"/>
      <c r="JWM66" s="0"/>
      <c r="JWN66" s="0"/>
      <c r="JWO66" s="0"/>
      <c r="JWP66" s="0"/>
      <c r="JWQ66" s="0"/>
      <c r="JWR66" s="0"/>
      <c r="JWS66" s="0"/>
      <c r="JWT66" s="0"/>
      <c r="JWU66" s="0"/>
      <c r="JWV66" s="0"/>
      <c r="JWW66" s="0"/>
      <c r="JWX66" s="0"/>
      <c r="JWY66" s="0"/>
      <c r="JWZ66" s="0"/>
      <c r="JXA66" s="0"/>
      <c r="JXB66" s="0"/>
      <c r="JXC66" s="0"/>
      <c r="JXD66" s="0"/>
      <c r="JXE66" s="0"/>
      <c r="JXF66" s="0"/>
      <c r="JXG66" s="0"/>
      <c r="JXH66" s="0"/>
      <c r="JXI66" s="0"/>
      <c r="JXJ66" s="0"/>
      <c r="JXK66" s="0"/>
      <c r="JXL66" s="0"/>
      <c r="JXM66" s="0"/>
      <c r="JXN66" s="0"/>
      <c r="JXO66" s="0"/>
      <c r="JXP66" s="0"/>
      <c r="JXQ66" s="0"/>
      <c r="JXR66" s="0"/>
      <c r="JXS66" s="0"/>
      <c r="JXT66" s="0"/>
      <c r="JXU66" s="0"/>
      <c r="JXV66" s="0"/>
      <c r="JXW66" s="0"/>
      <c r="JXX66" s="0"/>
      <c r="JXY66" s="0"/>
      <c r="JXZ66" s="0"/>
      <c r="JYA66" s="0"/>
      <c r="JYB66" s="0"/>
      <c r="JYC66" s="0"/>
      <c r="JYD66" s="0"/>
      <c r="JYE66" s="0"/>
      <c r="JYF66" s="0"/>
      <c r="JYG66" s="0"/>
      <c r="JYH66" s="0"/>
      <c r="JYI66" s="0"/>
      <c r="JYJ66" s="0"/>
      <c r="JYK66" s="0"/>
      <c r="JYL66" s="0"/>
      <c r="JYM66" s="0"/>
      <c r="JYN66" s="0"/>
      <c r="JYO66" s="0"/>
      <c r="JYP66" s="0"/>
      <c r="JYQ66" s="0"/>
      <c r="JYR66" s="0"/>
      <c r="JYS66" s="0"/>
      <c r="JYT66" s="0"/>
      <c r="JYU66" s="0"/>
      <c r="JYV66" s="0"/>
      <c r="JYW66" s="0"/>
      <c r="JYX66" s="0"/>
      <c r="JYY66" s="0"/>
      <c r="JYZ66" s="0"/>
      <c r="JZA66" s="0"/>
      <c r="JZB66" s="0"/>
      <c r="JZC66" s="0"/>
      <c r="JZD66" s="0"/>
      <c r="JZE66" s="0"/>
      <c r="JZF66" s="0"/>
      <c r="JZG66" s="0"/>
      <c r="JZH66" s="0"/>
      <c r="JZI66" s="0"/>
      <c r="JZJ66" s="0"/>
      <c r="JZK66" s="0"/>
      <c r="JZL66" s="0"/>
      <c r="JZM66" s="0"/>
      <c r="JZN66" s="0"/>
      <c r="JZO66" s="0"/>
      <c r="JZP66" s="0"/>
      <c r="JZQ66" s="0"/>
      <c r="JZR66" s="0"/>
      <c r="JZS66" s="0"/>
      <c r="JZT66" s="0"/>
      <c r="JZU66" s="0"/>
      <c r="JZV66" s="0"/>
      <c r="JZW66" s="0"/>
      <c r="JZX66" s="0"/>
      <c r="JZY66" s="0"/>
      <c r="JZZ66" s="0"/>
      <c r="KAA66" s="0"/>
      <c r="KAB66" s="0"/>
      <c r="KAC66" s="0"/>
      <c r="KAD66" s="0"/>
      <c r="KAE66" s="0"/>
      <c r="KAF66" s="0"/>
      <c r="KAG66" s="0"/>
      <c r="KAH66" s="0"/>
      <c r="KAI66" s="0"/>
      <c r="KAJ66" s="0"/>
      <c r="KAK66" s="0"/>
      <c r="KAL66" s="0"/>
      <c r="KAM66" s="0"/>
      <c r="KAN66" s="0"/>
      <c r="KAO66" s="0"/>
      <c r="KAP66" s="0"/>
      <c r="KAQ66" s="0"/>
      <c r="KAR66" s="0"/>
      <c r="KAS66" s="0"/>
      <c r="KAT66" s="0"/>
      <c r="KAU66" s="0"/>
      <c r="KAV66" s="0"/>
      <c r="KAW66" s="0"/>
      <c r="KAX66" s="0"/>
      <c r="KAY66" s="0"/>
      <c r="KAZ66" s="0"/>
      <c r="KBA66" s="0"/>
      <c r="KBB66" s="0"/>
      <c r="KBC66" s="0"/>
      <c r="KBD66" s="0"/>
      <c r="KBE66" s="0"/>
      <c r="KBF66" s="0"/>
      <c r="KBG66" s="0"/>
      <c r="KBH66" s="0"/>
      <c r="KBI66" s="0"/>
      <c r="KBJ66" s="0"/>
      <c r="KBK66" s="0"/>
      <c r="KBL66" s="0"/>
      <c r="KBM66" s="0"/>
      <c r="KBN66" s="0"/>
      <c r="KBO66" s="0"/>
      <c r="KBP66" s="0"/>
      <c r="KBQ66" s="0"/>
      <c r="KBR66" s="0"/>
      <c r="KBS66" s="0"/>
      <c r="KBT66" s="0"/>
      <c r="KBU66" s="0"/>
      <c r="KBV66" s="0"/>
      <c r="KBW66" s="0"/>
      <c r="KBX66" s="0"/>
      <c r="KBY66" s="0"/>
      <c r="KBZ66" s="0"/>
      <c r="KCA66" s="0"/>
      <c r="KCB66" s="0"/>
      <c r="KCC66" s="0"/>
      <c r="KCD66" s="0"/>
      <c r="KCE66" s="0"/>
      <c r="KCF66" s="0"/>
      <c r="KCG66" s="0"/>
      <c r="KCH66" s="0"/>
      <c r="KCI66" s="0"/>
      <c r="KCJ66" s="0"/>
      <c r="KCK66" s="0"/>
      <c r="KCL66" s="0"/>
      <c r="KCM66" s="0"/>
      <c r="KCN66" s="0"/>
      <c r="KCO66" s="0"/>
      <c r="KCP66" s="0"/>
      <c r="KCQ66" s="0"/>
      <c r="KCR66" s="0"/>
      <c r="KCS66" s="0"/>
      <c r="KCT66" s="0"/>
      <c r="KCU66" s="0"/>
      <c r="KCV66" s="0"/>
      <c r="KCW66" s="0"/>
      <c r="KCX66" s="0"/>
      <c r="KCY66" s="0"/>
      <c r="KCZ66" s="0"/>
      <c r="KDA66" s="0"/>
      <c r="KDB66" s="0"/>
      <c r="KDC66" s="0"/>
      <c r="KDD66" s="0"/>
      <c r="KDE66" s="0"/>
      <c r="KDF66" s="0"/>
      <c r="KDG66" s="0"/>
      <c r="KDH66" s="0"/>
      <c r="KDI66" s="0"/>
      <c r="KDJ66" s="0"/>
      <c r="KDK66" s="0"/>
      <c r="KDL66" s="0"/>
      <c r="KDM66" s="0"/>
      <c r="KDN66" s="0"/>
      <c r="KDO66" s="0"/>
      <c r="KDP66" s="0"/>
      <c r="KDQ66" s="0"/>
      <c r="KDR66" s="0"/>
      <c r="KDS66" s="0"/>
      <c r="KDT66" s="0"/>
      <c r="KDU66" s="0"/>
      <c r="KDV66" s="0"/>
      <c r="KDW66" s="0"/>
      <c r="KDX66" s="0"/>
      <c r="KDY66" s="0"/>
      <c r="KDZ66" s="0"/>
      <c r="KEA66" s="0"/>
      <c r="KEB66" s="0"/>
      <c r="KEC66" s="0"/>
      <c r="KED66" s="0"/>
      <c r="KEE66" s="0"/>
      <c r="KEF66" s="0"/>
      <c r="KEG66" s="0"/>
      <c r="KEH66" s="0"/>
      <c r="KEI66" s="0"/>
      <c r="KEJ66" s="0"/>
      <c r="KEK66" s="0"/>
      <c r="KEL66" s="0"/>
      <c r="KEM66" s="0"/>
      <c r="KEN66" s="0"/>
      <c r="KEO66" s="0"/>
      <c r="KEP66" s="0"/>
      <c r="KEQ66" s="0"/>
      <c r="KER66" s="0"/>
      <c r="KES66" s="0"/>
      <c r="KET66" s="0"/>
      <c r="KEU66" s="0"/>
      <c r="KEV66" s="0"/>
      <c r="KEW66" s="0"/>
      <c r="KEX66" s="0"/>
      <c r="KEY66" s="0"/>
      <c r="KEZ66" s="0"/>
      <c r="KFA66" s="0"/>
      <c r="KFB66" s="0"/>
      <c r="KFC66" s="0"/>
      <c r="KFD66" s="0"/>
      <c r="KFE66" s="0"/>
      <c r="KFF66" s="0"/>
      <c r="KFG66" s="0"/>
      <c r="KFH66" s="0"/>
      <c r="KFI66" s="0"/>
      <c r="KFJ66" s="0"/>
      <c r="KFK66" s="0"/>
      <c r="KFL66" s="0"/>
      <c r="KFM66" s="0"/>
      <c r="KFN66" s="0"/>
      <c r="KFO66" s="0"/>
      <c r="KFP66" s="0"/>
      <c r="KFQ66" s="0"/>
      <c r="KFR66" s="0"/>
      <c r="KFS66" s="0"/>
      <c r="KFT66" s="0"/>
      <c r="KFU66" s="0"/>
      <c r="KFV66" s="0"/>
      <c r="KFW66" s="0"/>
      <c r="KFX66" s="0"/>
      <c r="KFY66" s="0"/>
      <c r="KFZ66" s="0"/>
      <c r="KGA66" s="0"/>
      <c r="KGB66" s="0"/>
      <c r="KGC66" s="0"/>
      <c r="KGD66" s="0"/>
      <c r="KGE66" s="0"/>
      <c r="KGF66" s="0"/>
      <c r="KGG66" s="0"/>
      <c r="KGH66" s="0"/>
      <c r="KGI66" s="0"/>
      <c r="KGJ66" s="0"/>
      <c r="KGK66" s="0"/>
      <c r="KGL66" s="0"/>
      <c r="KGM66" s="0"/>
      <c r="KGN66" s="0"/>
      <c r="KGO66" s="0"/>
      <c r="KGP66" s="0"/>
      <c r="KGQ66" s="0"/>
      <c r="KGR66" s="0"/>
      <c r="KGS66" s="0"/>
      <c r="KGT66" s="0"/>
      <c r="KGU66" s="0"/>
      <c r="KGV66" s="0"/>
      <c r="KGW66" s="0"/>
      <c r="KGX66" s="0"/>
      <c r="KGY66" s="0"/>
      <c r="KGZ66" s="0"/>
      <c r="KHA66" s="0"/>
      <c r="KHB66" s="0"/>
      <c r="KHC66" s="0"/>
      <c r="KHD66" s="0"/>
      <c r="KHE66" s="0"/>
      <c r="KHF66" s="0"/>
      <c r="KHG66" s="0"/>
      <c r="KHH66" s="0"/>
      <c r="KHI66" s="0"/>
      <c r="KHJ66" s="0"/>
      <c r="KHK66" s="0"/>
      <c r="KHL66" s="0"/>
      <c r="KHM66" s="0"/>
      <c r="KHN66" s="0"/>
      <c r="KHO66" s="0"/>
      <c r="KHP66" s="0"/>
      <c r="KHQ66" s="0"/>
      <c r="KHR66" s="0"/>
      <c r="KHS66" s="0"/>
      <c r="KHT66" s="0"/>
      <c r="KHU66" s="0"/>
      <c r="KHV66" s="0"/>
      <c r="KHW66" s="0"/>
      <c r="KHX66" s="0"/>
      <c r="KHY66" s="0"/>
      <c r="KHZ66" s="0"/>
      <c r="KIA66" s="0"/>
      <c r="KIB66" s="0"/>
      <c r="KIC66" s="0"/>
      <c r="KID66" s="0"/>
      <c r="KIE66" s="0"/>
      <c r="KIF66" s="0"/>
      <c r="KIG66" s="0"/>
      <c r="KIH66" s="0"/>
      <c r="KII66" s="0"/>
      <c r="KIJ66" s="0"/>
      <c r="KIK66" s="0"/>
      <c r="KIL66" s="0"/>
      <c r="KIM66" s="0"/>
      <c r="KIN66" s="0"/>
      <c r="KIO66" s="0"/>
      <c r="KIP66" s="0"/>
      <c r="KIQ66" s="0"/>
      <c r="KIR66" s="0"/>
      <c r="KIS66" s="0"/>
      <c r="KIT66" s="0"/>
      <c r="KIU66" s="0"/>
      <c r="KIV66" s="0"/>
      <c r="KIW66" s="0"/>
      <c r="KIX66" s="0"/>
      <c r="KIY66" s="0"/>
      <c r="KIZ66" s="0"/>
      <c r="KJA66" s="0"/>
      <c r="KJB66" s="0"/>
      <c r="KJC66" s="0"/>
      <c r="KJD66" s="0"/>
      <c r="KJE66" s="0"/>
      <c r="KJF66" s="0"/>
      <c r="KJG66" s="0"/>
      <c r="KJH66" s="0"/>
      <c r="KJI66" s="0"/>
      <c r="KJJ66" s="0"/>
      <c r="KJK66" s="0"/>
      <c r="KJL66" s="0"/>
      <c r="KJM66" s="0"/>
      <c r="KJN66" s="0"/>
      <c r="KJO66" s="0"/>
      <c r="KJP66" s="0"/>
      <c r="KJQ66" s="0"/>
      <c r="KJR66" s="0"/>
      <c r="KJS66" s="0"/>
      <c r="KJT66" s="0"/>
      <c r="KJU66" s="0"/>
      <c r="KJV66" s="0"/>
      <c r="KJW66" s="0"/>
      <c r="KJX66" s="0"/>
      <c r="KJY66" s="0"/>
      <c r="KJZ66" s="0"/>
      <c r="KKA66" s="0"/>
      <c r="KKB66" s="0"/>
      <c r="KKC66" s="0"/>
      <c r="KKD66" s="0"/>
      <c r="KKE66" s="0"/>
      <c r="KKF66" s="0"/>
      <c r="KKG66" s="0"/>
      <c r="KKH66" s="0"/>
      <c r="KKI66" s="0"/>
      <c r="KKJ66" s="0"/>
      <c r="KKK66" s="0"/>
      <c r="KKL66" s="0"/>
      <c r="KKM66" s="0"/>
      <c r="KKN66" s="0"/>
      <c r="KKO66" s="0"/>
      <c r="KKP66" s="0"/>
      <c r="KKQ66" s="0"/>
      <c r="KKR66" s="0"/>
      <c r="KKS66" s="0"/>
      <c r="KKT66" s="0"/>
      <c r="KKU66" s="0"/>
      <c r="KKV66" s="0"/>
      <c r="KKW66" s="0"/>
      <c r="KKX66" s="0"/>
      <c r="KKY66" s="0"/>
      <c r="KKZ66" s="0"/>
      <c r="KLA66" s="0"/>
      <c r="KLB66" s="0"/>
      <c r="KLC66" s="0"/>
      <c r="KLD66" s="0"/>
      <c r="KLE66" s="0"/>
      <c r="KLF66" s="0"/>
      <c r="KLG66" s="0"/>
      <c r="KLH66" s="0"/>
      <c r="KLI66" s="0"/>
      <c r="KLJ66" s="0"/>
      <c r="KLK66" s="0"/>
      <c r="KLL66" s="0"/>
      <c r="KLM66" s="0"/>
      <c r="KLN66" s="0"/>
      <c r="KLO66" s="0"/>
      <c r="KLP66" s="0"/>
      <c r="KLQ66" s="0"/>
      <c r="KLR66" s="0"/>
      <c r="KLS66" s="0"/>
      <c r="KLT66" s="0"/>
      <c r="KLU66" s="0"/>
      <c r="KLV66" s="0"/>
      <c r="KLW66" s="0"/>
      <c r="KLX66" s="0"/>
      <c r="KLY66" s="0"/>
      <c r="KLZ66" s="0"/>
      <c r="KMA66" s="0"/>
      <c r="KMB66" s="0"/>
      <c r="KMC66" s="0"/>
      <c r="KMD66" s="0"/>
      <c r="KME66" s="0"/>
      <c r="KMF66" s="0"/>
      <c r="KMG66" s="0"/>
      <c r="KMH66" s="0"/>
      <c r="KMI66" s="0"/>
      <c r="KMJ66" s="0"/>
      <c r="KMK66" s="0"/>
      <c r="KML66" s="0"/>
      <c r="KMM66" s="0"/>
      <c r="KMN66" s="0"/>
      <c r="KMO66" s="0"/>
      <c r="KMP66" s="0"/>
      <c r="KMQ66" s="0"/>
      <c r="KMR66" s="0"/>
      <c r="KMS66" s="0"/>
      <c r="KMT66" s="0"/>
      <c r="KMU66" s="0"/>
      <c r="KMV66" s="0"/>
      <c r="KMW66" s="0"/>
      <c r="KMX66" s="0"/>
      <c r="KMY66" s="0"/>
      <c r="KMZ66" s="0"/>
      <c r="KNA66" s="0"/>
      <c r="KNB66" s="0"/>
      <c r="KNC66" s="0"/>
      <c r="KND66" s="0"/>
      <c r="KNE66" s="0"/>
      <c r="KNF66" s="0"/>
      <c r="KNG66" s="0"/>
      <c r="KNH66" s="0"/>
      <c r="KNI66" s="0"/>
      <c r="KNJ66" s="0"/>
      <c r="KNK66" s="0"/>
      <c r="KNL66" s="0"/>
      <c r="KNM66" s="0"/>
      <c r="KNN66" s="0"/>
      <c r="KNO66" s="0"/>
      <c r="KNP66" s="0"/>
      <c r="KNQ66" s="0"/>
      <c r="KNR66" s="0"/>
      <c r="KNS66" s="0"/>
      <c r="KNT66" s="0"/>
      <c r="KNU66" s="0"/>
      <c r="KNV66" s="0"/>
      <c r="KNW66" s="0"/>
      <c r="KNX66" s="0"/>
      <c r="KNY66" s="0"/>
      <c r="KNZ66" s="0"/>
      <c r="KOA66" s="0"/>
      <c r="KOB66" s="0"/>
      <c r="KOC66" s="0"/>
      <c r="KOD66" s="0"/>
      <c r="KOE66" s="0"/>
      <c r="KOF66" s="0"/>
      <c r="KOG66" s="0"/>
      <c r="KOH66" s="0"/>
      <c r="KOI66" s="0"/>
      <c r="KOJ66" s="0"/>
      <c r="KOK66" s="0"/>
      <c r="KOL66" s="0"/>
      <c r="KOM66" s="0"/>
      <c r="KON66" s="0"/>
      <c r="KOO66" s="0"/>
      <c r="KOP66" s="0"/>
      <c r="KOQ66" s="0"/>
      <c r="KOR66" s="0"/>
      <c r="KOS66" s="0"/>
      <c r="KOT66" s="0"/>
      <c r="KOU66" s="0"/>
      <c r="KOV66" s="0"/>
      <c r="KOW66" s="0"/>
      <c r="KOX66" s="0"/>
      <c r="KOY66" s="0"/>
      <c r="KOZ66" s="0"/>
      <c r="KPA66" s="0"/>
      <c r="KPB66" s="0"/>
      <c r="KPC66" s="0"/>
      <c r="KPD66" s="0"/>
      <c r="KPE66" s="0"/>
      <c r="KPF66" s="0"/>
      <c r="KPG66" s="0"/>
      <c r="KPH66" s="0"/>
      <c r="KPI66" s="0"/>
      <c r="KPJ66" s="0"/>
      <c r="KPK66" s="0"/>
      <c r="KPL66" s="0"/>
      <c r="KPM66" s="0"/>
      <c r="KPN66" s="0"/>
      <c r="KPO66" s="0"/>
      <c r="KPP66" s="0"/>
      <c r="KPQ66" s="0"/>
      <c r="KPR66" s="0"/>
      <c r="KPS66" s="0"/>
      <c r="KPT66" s="0"/>
      <c r="KPU66" s="0"/>
      <c r="KPV66" s="0"/>
      <c r="KPW66" s="0"/>
      <c r="KPX66" s="0"/>
      <c r="KPY66" s="0"/>
      <c r="KPZ66" s="0"/>
      <c r="KQA66" s="0"/>
      <c r="KQB66" s="0"/>
      <c r="KQC66" s="0"/>
      <c r="KQD66" s="0"/>
      <c r="KQE66" s="0"/>
      <c r="KQF66" s="0"/>
      <c r="KQG66" s="0"/>
      <c r="KQH66" s="0"/>
      <c r="KQI66" s="0"/>
      <c r="KQJ66" s="0"/>
      <c r="KQK66" s="0"/>
      <c r="KQL66" s="0"/>
      <c r="KQM66" s="0"/>
      <c r="KQN66" s="0"/>
      <c r="KQO66" s="0"/>
      <c r="KQP66" s="0"/>
      <c r="KQQ66" s="0"/>
      <c r="KQR66" s="0"/>
      <c r="KQS66" s="0"/>
      <c r="KQT66" s="0"/>
      <c r="KQU66" s="0"/>
      <c r="KQV66" s="0"/>
      <c r="KQW66" s="0"/>
      <c r="KQX66" s="0"/>
      <c r="KQY66" s="0"/>
      <c r="KQZ66" s="0"/>
      <c r="KRA66" s="0"/>
      <c r="KRB66" s="0"/>
      <c r="KRC66" s="0"/>
      <c r="KRD66" s="0"/>
      <c r="KRE66" s="0"/>
      <c r="KRF66" s="0"/>
      <c r="KRG66" s="0"/>
      <c r="KRH66" s="0"/>
      <c r="KRI66" s="0"/>
      <c r="KRJ66" s="0"/>
      <c r="KRK66" s="0"/>
      <c r="KRL66" s="0"/>
      <c r="KRM66" s="0"/>
      <c r="KRN66" s="0"/>
      <c r="KRO66" s="0"/>
      <c r="KRP66" s="0"/>
      <c r="KRQ66" s="0"/>
      <c r="KRR66" s="0"/>
      <c r="KRS66" s="0"/>
      <c r="KRT66" s="0"/>
      <c r="KRU66" s="0"/>
      <c r="KRV66" s="0"/>
      <c r="KRW66" s="0"/>
      <c r="KRX66" s="0"/>
      <c r="KRY66" s="0"/>
      <c r="KRZ66" s="0"/>
      <c r="KSA66" s="0"/>
      <c r="KSB66" s="0"/>
      <c r="KSC66" s="0"/>
      <c r="KSD66" s="0"/>
      <c r="KSE66" s="0"/>
      <c r="KSF66" s="0"/>
      <c r="KSG66" s="0"/>
      <c r="KSH66" s="0"/>
      <c r="KSI66" s="0"/>
      <c r="KSJ66" s="0"/>
      <c r="KSK66" s="0"/>
      <c r="KSL66" s="0"/>
      <c r="KSM66" s="0"/>
      <c r="KSN66" s="0"/>
      <c r="KSO66" s="0"/>
      <c r="KSP66" s="0"/>
      <c r="KSQ66" s="0"/>
      <c r="KSR66" s="0"/>
      <c r="KSS66" s="0"/>
      <c r="KST66" s="0"/>
      <c r="KSU66" s="0"/>
      <c r="KSV66" s="0"/>
      <c r="KSW66" s="0"/>
      <c r="KSX66" s="0"/>
      <c r="KSY66" s="0"/>
      <c r="KSZ66" s="0"/>
      <c r="KTA66" s="0"/>
      <c r="KTB66" s="0"/>
      <c r="KTC66" s="0"/>
      <c r="KTD66" s="0"/>
      <c r="KTE66" s="0"/>
      <c r="KTF66" s="0"/>
      <c r="KTG66" s="0"/>
      <c r="KTH66" s="0"/>
      <c r="KTI66" s="0"/>
      <c r="KTJ66" s="0"/>
      <c r="KTK66" s="0"/>
      <c r="KTL66" s="0"/>
      <c r="KTM66" s="0"/>
      <c r="KTN66" s="0"/>
      <c r="KTO66" s="0"/>
      <c r="KTP66" s="0"/>
      <c r="KTQ66" s="0"/>
      <c r="KTR66" s="0"/>
      <c r="KTS66" s="0"/>
      <c r="KTT66" s="0"/>
      <c r="KTU66" s="0"/>
      <c r="KTV66" s="0"/>
      <c r="KTW66" s="0"/>
      <c r="KTX66" s="0"/>
      <c r="KTY66" s="0"/>
      <c r="KTZ66" s="0"/>
      <c r="KUA66" s="0"/>
      <c r="KUB66" s="0"/>
      <c r="KUC66" s="0"/>
      <c r="KUD66" s="0"/>
      <c r="KUE66" s="0"/>
      <c r="KUF66" s="0"/>
      <c r="KUG66" s="0"/>
      <c r="KUH66" s="0"/>
      <c r="KUI66" s="0"/>
      <c r="KUJ66" s="0"/>
      <c r="KUK66" s="0"/>
      <c r="KUL66" s="0"/>
      <c r="KUM66" s="0"/>
      <c r="KUN66" s="0"/>
      <c r="KUO66" s="0"/>
      <c r="KUP66" s="0"/>
      <c r="KUQ66" s="0"/>
      <c r="KUR66" s="0"/>
      <c r="KUS66" s="0"/>
      <c r="KUT66" s="0"/>
      <c r="KUU66" s="0"/>
      <c r="KUV66" s="0"/>
      <c r="KUW66" s="0"/>
      <c r="KUX66" s="0"/>
      <c r="KUY66" s="0"/>
      <c r="KUZ66" s="0"/>
      <c r="KVA66" s="0"/>
      <c r="KVB66" s="0"/>
      <c r="KVC66" s="0"/>
      <c r="KVD66" s="0"/>
      <c r="KVE66" s="0"/>
      <c r="KVF66" s="0"/>
      <c r="KVG66" s="0"/>
      <c r="KVH66" s="0"/>
      <c r="KVI66" s="0"/>
      <c r="KVJ66" s="0"/>
      <c r="KVK66" s="0"/>
      <c r="KVL66" s="0"/>
      <c r="KVM66" s="0"/>
      <c r="KVN66" s="0"/>
      <c r="KVO66" s="0"/>
      <c r="KVP66" s="0"/>
      <c r="KVQ66" s="0"/>
      <c r="KVR66" s="0"/>
      <c r="KVS66" s="0"/>
      <c r="KVT66" s="0"/>
      <c r="KVU66" s="0"/>
      <c r="KVV66" s="0"/>
      <c r="KVW66" s="0"/>
      <c r="KVX66" s="0"/>
      <c r="KVY66" s="0"/>
      <c r="KVZ66" s="0"/>
      <c r="KWA66" s="0"/>
      <c r="KWB66" s="0"/>
      <c r="KWC66" s="0"/>
      <c r="KWD66" s="0"/>
      <c r="KWE66" s="0"/>
      <c r="KWF66" s="0"/>
      <c r="KWG66" s="0"/>
      <c r="KWH66" s="0"/>
      <c r="KWI66" s="0"/>
      <c r="KWJ66" s="0"/>
      <c r="KWK66" s="0"/>
      <c r="KWL66" s="0"/>
      <c r="KWM66" s="0"/>
      <c r="KWN66" s="0"/>
      <c r="KWO66" s="0"/>
      <c r="KWP66" s="0"/>
      <c r="KWQ66" s="0"/>
      <c r="KWR66" s="0"/>
      <c r="KWS66" s="0"/>
      <c r="KWT66" s="0"/>
      <c r="KWU66" s="0"/>
      <c r="KWV66" s="0"/>
      <c r="KWW66" s="0"/>
      <c r="KWX66" s="0"/>
      <c r="KWY66" s="0"/>
      <c r="KWZ66" s="0"/>
      <c r="KXA66" s="0"/>
      <c r="KXB66" s="0"/>
      <c r="KXC66" s="0"/>
      <c r="KXD66" s="0"/>
      <c r="KXE66" s="0"/>
      <c r="KXF66" s="0"/>
      <c r="KXG66" s="0"/>
      <c r="KXH66" s="0"/>
      <c r="KXI66" s="0"/>
      <c r="KXJ66" s="0"/>
      <c r="KXK66" s="0"/>
      <c r="KXL66" s="0"/>
      <c r="KXM66" s="0"/>
      <c r="KXN66" s="0"/>
      <c r="KXO66" s="0"/>
      <c r="KXP66" s="0"/>
      <c r="KXQ66" s="0"/>
      <c r="KXR66" s="0"/>
      <c r="KXS66" s="0"/>
      <c r="KXT66" s="0"/>
      <c r="KXU66" s="0"/>
      <c r="KXV66" s="0"/>
      <c r="KXW66" s="0"/>
      <c r="KXX66" s="0"/>
      <c r="KXY66" s="0"/>
      <c r="KXZ66" s="0"/>
      <c r="KYA66" s="0"/>
      <c r="KYB66" s="0"/>
      <c r="KYC66" s="0"/>
      <c r="KYD66" s="0"/>
      <c r="KYE66" s="0"/>
      <c r="KYF66" s="0"/>
      <c r="KYG66" s="0"/>
      <c r="KYH66" s="0"/>
      <c r="KYI66" s="0"/>
      <c r="KYJ66" s="0"/>
      <c r="KYK66" s="0"/>
      <c r="KYL66" s="0"/>
      <c r="KYM66" s="0"/>
      <c r="KYN66" s="0"/>
      <c r="KYO66" s="0"/>
      <c r="KYP66" s="0"/>
      <c r="KYQ66" s="0"/>
      <c r="KYR66" s="0"/>
      <c r="KYS66" s="0"/>
      <c r="KYT66" s="0"/>
      <c r="KYU66" s="0"/>
      <c r="KYV66" s="0"/>
      <c r="KYW66" s="0"/>
      <c r="KYX66" s="0"/>
      <c r="KYY66" s="0"/>
      <c r="KYZ66" s="0"/>
      <c r="KZA66" s="0"/>
      <c r="KZB66" s="0"/>
      <c r="KZC66" s="0"/>
      <c r="KZD66" s="0"/>
      <c r="KZE66" s="0"/>
      <c r="KZF66" s="0"/>
      <c r="KZG66" s="0"/>
      <c r="KZH66" s="0"/>
      <c r="KZI66" s="0"/>
      <c r="KZJ66" s="0"/>
      <c r="KZK66" s="0"/>
      <c r="KZL66" s="0"/>
      <c r="KZM66" s="0"/>
      <c r="KZN66" s="0"/>
      <c r="KZO66" s="0"/>
      <c r="KZP66" s="0"/>
      <c r="KZQ66" s="0"/>
      <c r="KZR66" s="0"/>
      <c r="KZS66" s="0"/>
      <c r="KZT66" s="0"/>
      <c r="KZU66" s="0"/>
      <c r="KZV66" s="0"/>
      <c r="KZW66" s="0"/>
      <c r="KZX66" s="0"/>
      <c r="KZY66" s="0"/>
      <c r="KZZ66" s="0"/>
      <c r="LAA66" s="0"/>
      <c r="LAB66" s="0"/>
      <c r="LAC66" s="0"/>
      <c r="LAD66" s="0"/>
      <c r="LAE66" s="0"/>
      <c r="LAF66" s="0"/>
      <c r="LAG66" s="0"/>
      <c r="LAH66" s="0"/>
      <c r="LAI66" s="0"/>
      <c r="LAJ66" s="0"/>
      <c r="LAK66" s="0"/>
      <c r="LAL66" s="0"/>
      <c r="LAM66" s="0"/>
      <c r="LAN66" s="0"/>
      <c r="LAO66" s="0"/>
      <c r="LAP66" s="0"/>
      <c r="LAQ66" s="0"/>
      <c r="LAR66" s="0"/>
      <c r="LAS66" s="0"/>
      <c r="LAT66" s="0"/>
      <c r="LAU66" s="0"/>
      <c r="LAV66" s="0"/>
      <c r="LAW66" s="0"/>
      <c r="LAX66" s="0"/>
      <c r="LAY66" s="0"/>
      <c r="LAZ66" s="0"/>
      <c r="LBA66" s="0"/>
      <c r="LBB66" s="0"/>
      <c r="LBC66" s="0"/>
      <c r="LBD66" s="0"/>
      <c r="LBE66" s="0"/>
      <c r="LBF66" s="0"/>
      <c r="LBG66" s="0"/>
      <c r="LBH66" s="0"/>
      <c r="LBI66" s="0"/>
      <c r="LBJ66" s="0"/>
      <c r="LBK66" s="0"/>
      <c r="LBL66" s="0"/>
      <c r="LBM66" s="0"/>
      <c r="LBN66" s="0"/>
      <c r="LBO66" s="0"/>
      <c r="LBP66" s="0"/>
      <c r="LBQ66" s="0"/>
      <c r="LBR66" s="0"/>
      <c r="LBS66" s="0"/>
      <c r="LBT66" s="0"/>
      <c r="LBU66" s="0"/>
      <c r="LBV66" s="0"/>
      <c r="LBW66" s="0"/>
      <c r="LBX66" s="0"/>
      <c r="LBY66" s="0"/>
      <c r="LBZ66" s="0"/>
      <c r="LCA66" s="0"/>
      <c r="LCB66" s="0"/>
      <c r="LCC66" s="0"/>
      <c r="LCD66" s="0"/>
      <c r="LCE66" s="0"/>
      <c r="LCF66" s="0"/>
      <c r="LCG66" s="0"/>
      <c r="LCH66" s="0"/>
      <c r="LCI66" s="0"/>
      <c r="LCJ66" s="0"/>
      <c r="LCK66" s="0"/>
      <c r="LCL66" s="0"/>
      <c r="LCM66" s="0"/>
      <c r="LCN66" s="0"/>
      <c r="LCO66" s="0"/>
      <c r="LCP66" s="0"/>
      <c r="LCQ66" s="0"/>
      <c r="LCR66" s="0"/>
      <c r="LCS66" s="0"/>
      <c r="LCT66" s="0"/>
      <c r="LCU66" s="0"/>
      <c r="LCV66" s="0"/>
      <c r="LCW66" s="0"/>
      <c r="LCX66" s="0"/>
      <c r="LCY66" s="0"/>
      <c r="LCZ66" s="0"/>
      <c r="LDA66" s="0"/>
      <c r="LDB66" s="0"/>
      <c r="LDC66" s="0"/>
      <c r="LDD66" s="0"/>
      <c r="LDE66" s="0"/>
      <c r="LDF66" s="0"/>
      <c r="LDG66" s="0"/>
      <c r="LDH66" s="0"/>
      <c r="LDI66" s="0"/>
      <c r="LDJ66" s="0"/>
      <c r="LDK66" s="0"/>
      <c r="LDL66" s="0"/>
      <c r="LDM66" s="0"/>
      <c r="LDN66" s="0"/>
      <c r="LDO66" s="0"/>
      <c r="LDP66" s="0"/>
      <c r="LDQ66" s="0"/>
      <c r="LDR66" s="0"/>
      <c r="LDS66" s="0"/>
      <c r="LDT66" s="0"/>
      <c r="LDU66" s="0"/>
      <c r="LDV66" s="0"/>
      <c r="LDW66" s="0"/>
      <c r="LDX66" s="0"/>
      <c r="LDY66" s="0"/>
      <c r="LDZ66" s="0"/>
      <c r="LEA66" s="0"/>
      <c r="LEB66" s="0"/>
      <c r="LEC66" s="0"/>
      <c r="LED66" s="0"/>
      <c r="LEE66" s="0"/>
      <c r="LEF66" s="0"/>
      <c r="LEG66" s="0"/>
      <c r="LEH66" s="0"/>
      <c r="LEI66" s="0"/>
      <c r="LEJ66" s="0"/>
      <c r="LEK66" s="0"/>
      <c r="LEL66" s="0"/>
      <c r="LEM66" s="0"/>
      <c r="LEN66" s="0"/>
      <c r="LEO66" s="0"/>
      <c r="LEP66" s="0"/>
      <c r="LEQ66" s="0"/>
      <c r="LER66" s="0"/>
      <c r="LES66" s="0"/>
      <c r="LET66" s="0"/>
      <c r="LEU66" s="0"/>
      <c r="LEV66" s="0"/>
      <c r="LEW66" s="0"/>
      <c r="LEX66" s="0"/>
      <c r="LEY66" s="0"/>
      <c r="LEZ66" s="0"/>
      <c r="LFA66" s="0"/>
      <c r="LFB66" s="0"/>
      <c r="LFC66" s="0"/>
      <c r="LFD66" s="0"/>
      <c r="LFE66" s="0"/>
      <c r="LFF66" s="0"/>
      <c r="LFG66" s="0"/>
      <c r="LFH66" s="0"/>
      <c r="LFI66" s="0"/>
      <c r="LFJ66" s="0"/>
      <c r="LFK66" s="0"/>
      <c r="LFL66" s="0"/>
      <c r="LFM66" s="0"/>
      <c r="LFN66" s="0"/>
      <c r="LFO66" s="0"/>
      <c r="LFP66" s="0"/>
      <c r="LFQ66" s="0"/>
      <c r="LFR66" s="0"/>
      <c r="LFS66" s="0"/>
      <c r="LFT66" s="0"/>
      <c r="LFU66" s="0"/>
      <c r="LFV66" s="0"/>
      <c r="LFW66" s="0"/>
      <c r="LFX66" s="0"/>
      <c r="LFY66" s="0"/>
      <c r="LFZ66" s="0"/>
      <c r="LGA66" s="0"/>
      <c r="LGB66" s="0"/>
      <c r="LGC66" s="0"/>
      <c r="LGD66" s="0"/>
      <c r="LGE66" s="0"/>
      <c r="LGF66" s="0"/>
      <c r="LGG66" s="0"/>
      <c r="LGH66" s="0"/>
      <c r="LGI66" s="0"/>
      <c r="LGJ66" s="0"/>
      <c r="LGK66" s="0"/>
      <c r="LGL66" s="0"/>
      <c r="LGM66" s="0"/>
      <c r="LGN66" s="0"/>
      <c r="LGO66" s="0"/>
      <c r="LGP66" s="0"/>
      <c r="LGQ66" s="0"/>
      <c r="LGR66" s="0"/>
      <c r="LGS66" s="0"/>
      <c r="LGT66" s="0"/>
      <c r="LGU66" s="0"/>
      <c r="LGV66" s="0"/>
      <c r="LGW66" s="0"/>
      <c r="LGX66" s="0"/>
      <c r="LGY66" s="0"/>
      <c r="LGZ66" s="0"/>
      <c r="LHA66" s="0"/>
      <c r="LHB66" s="0"/>
      <c r="LHC66" s="0"/>
      <c r="LHD66" s="0"/>
      <c r="LHE66" s="0"/>
      <c r="LHF66" s="0"/>
      <c r="LHG66" s="0"/>
      <c r="LHH66" s="0"/>
      <c r="LHI66" s="0"/>
      <c r="LHJ66" s="0"/>
      <c r="LHK66" s="0"/>
      <c r="LHL66" s="0"/>
      <c r="LHM66" s="0"/>
      <c r="LHN66" s="0"/>
      <c r="LHO66" s="0"/>
      <c r="LHP66" s="0"/>
      <c r="LHQ66" s="0"/>
      <c r="LHR66" s="0"/>
      <c r="LHS66" s="0"/>
      <c r="LHT66" s="0"/>
      <c r="LHU66" s="0"/>
      <c r="LHV66" s="0"/>
      <c r="LHW66" s="0"/>
      <c r="LHX66" s="0"/>
      <c r="LHY66" s="0"/>
      <c r="LHZ66" s="0"/>
      <c r="LIA66" s="0"/>
      <c r="LIB66" s="0"/>
      <c r="LIC66" s="0"/>
      <c r="LID66" s="0"/>
      <c r="LIE66" s="0"/>
      <c r="LIF66" s="0"/>
      <c r="LIG66" s="0"/>
      <c r="LIH66" s="0"/>
      <c r="LII66" s="0"/>
      <c r="LIJ66" s="0"/>
      <c r="LIK66" s="0"/>
      <c r="LIL66" s="0"/>
      <c r="LIM66" s="0"/>
      <c r="LIN66" s="0"/>
      <c r="LIO66" s="0"/>
      <c r="LIP66" s="0"/>
      <c r="LIQ66" s="0"/>
      <c r="LIR66" s="0"/>
      <c r="LIS66" s="0"/>
      <c r="LIT66" s="0"/>
      <c r="LIU66" s="0"/>
      <c r="LIV66" s="0"/>
      <c r="LIW66" s="0"/>
      <c r="LIX66" s="0"/>
      <c r="LIY66" s="0"/>
      <c r="LIZ66" s="0"/>
      <c r="LJA66" s="0"/>
      <c r="LJB66" s="0"/>
      <c r="LJC66" s="0"/>
      <c r="LJD66" s="0"/>
      <c r="LJE66" s="0"/>
      <c r="LJF66" s="0"/>
      <c r="LJG66" s="0"/>
      <c r="LJH66" s="0"/>
      <c r="LJI66" s="0"/>
      <c r="LJJ66" s="0"/>
      <c r="LJK66" s="0"/>
      <c r="LJL66" s="0"/>
      <c r="LJM66" s="0"/>
      <c r="LJN66" s="0"/>
      <c r="LJO66" s="0"/>
      <c r="LJP66" s="0"/>
      <c r="LJQ66" s="0"/>
      <c r="LJR66" s="0"/>
      <c r="LJS66" s="0"/>
      <c r="LJT66" s="0"/>
      <c r="LJU66" s="0"/>
      <c r="LJV66" s="0"/>
      <c r="LJW66" s="0"/>
      <c r="LJX66" s="0"/>
      <c r="LJY66" s="0"/>
      <c r="LJZ66" s="0"/>
      <c r="LKA66" s="0"/>
      <c r="LKB66" s="0"/>
      <c r="LKC66" s="0"/>
      <c r="LKD66" s="0"/>
      <c r="LKE66" s="0"/>
      <c r="LKF66" s="0"/>
      <c r="LKG66" s="0"/>
      <c r="LKH66" s="0"/>
      <c r="LKI66" s="0"/>
      <c r="LKJ66" s="0"/>
      <c r="LKK66" s="0"/>
      <c r="LKL66" s="0"/>
      <c r="LKM66" s="0"/>
      <c r="LKN66" s="0"/>
      <c r="LKO66" s="0"/>
      <c r="LKP66" s="0"/>
      <c r="LKQ66" s="0"/>
      <c r="LKR66" s="0"/>
      <c r="LKS66" s="0"/>
      <c r="LKT66" s="0"/>
      <c r="LKU66" s="0"/>
      <c r="LKV66" s="0"/>
      <c r="LKW66" s="0"/>
      <c r="LKX66" s="0"/>
      <c r="LKY66" s="0"/>
      <c r="LKZ66" s="0"/>
      <c r="LLA66" s="0"/>
      <c r="LLB66" s="0"/>
      <c r="LLC66" s="0"/>
      <c r="LLD66" s="0"/>
      <c r="LLE66" s="0"/>
      <c r="LLF66" s="0"/>
      <c r="LLG66" s="0"/>
      <c r="LLH66" s="0"/>
      <c r="LLI66" s="0"/>
      <c r="LLJ66" s="0"/>
      <c r="LLK66" s="0"/>
      <c r="LLL66" s="0"/>
      <c r="LLM66" s="0"/>
      <c r="LLN66" s="0"/>
      <c r="LLO66" s="0"/>
      <c r="LLP66" s="0"/>
      <c r="LLQ66" s="0"/>
      <c r="LLR66" s="0"/>
      <c r="LLS66" s="0"/>
      <c r="LLT66" s="0"/>
      <c r="LLU66" s="0"/>
      <c r="LLV66" s="0"/>
      <c r="LLW66" s="0"/>
      <c r="LLX66" s="0"/>
      <c r="LLY66" s="0"/>
      <c r="LLZ66" s="0"/>
      <c r="LMA66" s="0"/>
      <c r="LMB66" s="0"/>
      <c r="LMC66" s="0"/>
      <c r="LMD66" s="0"/>
      <c r="LME66" s="0"/>
      <c r="LMF66" s="0"/>
      <c r="LMG66" s="0"/>
      <c r="LMH66" s="0"/>
      <c r="LMI66" s="0"/>
      <c r="LMJ66" s="0"/>
      <c r="LMK66" s="0"/>
      <c r="LML66" s="0"/>
      <c r="LMM66" s="0"/>
      <c r="LMN66" s="0"/>
      <c r="LMO66" s="0"/>
      <c r="LMP66" s="0"/>
      <c r="LMQ66" s="0"/>
      <c r="LMR66" s="0"/>
      <c r="LMS66" s="0"/>
      <c r="LMT66" s="0"/>
      <c r="LMU66" s="0"/>
      <c r="LMV66" s="0"/>
      <c r="LMW66" s="0"/>
      <c r="LMX66" s="0"/>
      <c r="LMY66" s="0"/>
      <c r="LMZ66" s="0"/>
      <c r="LNA66" s="0"/>
      <c r="LNB66" s="0"/>
      <c r="LNC66" s="0"/>
      <c r="LND66" s="0"/>
      <c r="LNE66" s="0"/>
      <c r="LNF66" s="0"/>
      <c r="LNG66" s="0"/>
      <c r="LNH66" s="0"/>
      <c r="LNI66" s="0"/>
      <c r="LNJ66" s="0"/>
      <c r="LNK66" s="0"/>
      <c r="LNL66" s="0"/>
      <c r="LNM66" s="0"/>
      <c r="LNN66" s="0"/>
      <c r="LNO66" s="0"/>
      <c r="LNP66" s="0"/>
      <c r="LNQ66" s="0"/>
      <c r="LNR66" s="0"/>
      <c r="LNS66" s="0"/>
      <c r="LNT66" s="0"/>
      <c r="LNU66" s="0"/>
      <c r="LNV66" s="0"/>
      <c r="LNW66" s="0"/>
      <c r="LNX66" s="0"/>
      <c r="LNY66" s="0"/>
      <c r="LNZ66" s="0"/>
      <c r="LOA66" s="0"/>
      <c r="LOB66" s="0"/>
      <c r="LOC66" s="0"/>
      <c r="LOD66" s="0"/>
      <c r="LOE66" s="0"/>
      <c r="LOF66" s="0"/>
      <c r="LOG66" s="0"/>
      <c r="LOH66" s="0"/>
      <c r="LOI66" s="0"/>
      <c r="LOJ66" s="0"/>
      <c r="LOK66" s="0"/>
      <c r="LOL66" s="0"/>
      <c r="LOM66" s="0"/>
      <c r="LON66" s="0"/>
      <c r="LOO66" s="0"/>
      <c r="LOP66" s="0"/>
      <c r="LOQ66" s="0"/>
      <c r="LOR66" s="0"/>
      <c r="LOS66" s="0"/>
      <c r="LOT66" s="0"/>
      <c r="LOU66" s="0"/>
      <c r="LOV66" s="0"/>
      <c r="LOW66" s="0"/>
      <c r="LOX66" s="0"/>
      <c r="LOY66" s="0"/>
      <c r="LOZ66" s="0"/>
      <c r="LPA66" s="0"/>
      <c r="LPB66" s="0"/>
      <c r="LPC66" s="0"/>
      <c r="LPD66" s="0"/>
      <c r="LPE66" s="0"/>
      <c r="LPF66" s="0"/>
      <c r="LPG66" s="0"/>
      <c r="LPH66" s="0"/>
      <c r="LPI66" s="0"/>
      <c r="LPJ66" s="0"/>
      <c r="LPK66" s="0"/>
      <c r="LPL66" s="0"/>
      <c r="LPM66" s="0"/>
      <c r="LPN66" s="0"/>
      <c r="LPO66" s="0"/>
      <c r="LPP66" s="0"/>
      <c r="LPQ66" s="0"/>
      <c r="LPR66" s="0"/>
      <c r="LPS66" s="0"/>
      <c r="LPT66" s="0"/>
      <c r="LPU66" s="0"/>
      <c r="LPV66" s="0"/>
      <c r="LPW66" s="0"/>
      <c r="LPX66" s="0"/>
      <c r="LPY66" s="0"/>
      <c r="LPZ66" s="0"/>
      <c r="LQA66" s="0"/>
      <c r="LQB66" s="0"/>
      <c r="LQC66" s="0"/>
      <c r="LQD66" s="0"/>
      <c r="LQE66" s="0"/>
      <c r="LQF66" s="0"/>
      <c r="LQG66" s="0"/>
      <c r="LQH66" s="0"/>
      <c r="LQI66" s="0"/>
      <c r="LQJ66" s="0"/>
      <c r="LQK66" s="0"/>
      <c r="LQL66" s="0"/>
      <c r="LQM66" s="0"/>
      <c r="LQN66" s="0"/>
      <c r="LQO66" s="0"/>
      <c r="LQP66" s="0"/>
      <c r="LQQ66" s="0"/>
      <c r="LQR66" s="0"/>
      <c r="LQS66" s="0"/>
      <c r="LQT66" s="0"/>
      <c r="LQU66" s="0"/>
      <c r="LQV66" s="0"/>
      <c r="LQW66" s="0"/>
      <c r="LQX66" s="0"/>
      <c r="LQY66" s="0"/>
      <c r="LQZ66" s="0"/>
      <c r="LRA66" s="0"/>
      <c r="LRB66" s="0"/>
      <c r="LRC66" s="0"/>
      <c r="LRD66" s="0"/>
      <c r="LRE66" s="0"/>
      <c r="LRF66" s="0"/>
      <c r="LRG66" s="0"/>
      <c r="LRH66" s="0"/>
      <c r="LRI66" s="0"/>
      <c r="LRJ66" s="0"/>
      <c r="LRK66" s="0"/>
      <c r="LRL66" s="0"/>
      <c r="LRM66" s="0"/>
      <c r="LRN66" s="0"/>
      <c r="LRO66" s="0"/>
      <c r="LRP66" s="0"/>
      <c r="LRQ66" s="0"/>
      <c r="LRR66" s="0"/>
      <c r="LRS66" s="0"/>
      <c r="LRT66" s="0"/>
      <c r="LRU66" s="0"/>
      <c r="LRV66" s="0"/>
      <c r="LRW66" s="0"/>
      <c r="LRX66" s="0"/>
      <c r="LRY66" s="0"/>
      <c r="LRZ66" s="0"/>
      <c r="LSA66" s="0"/>
      <c r="LSB66" s="0"/>
      <c r="LSC66" s="0"/>
      <c r="LSD66" s="0"/>
      <c r="LSE66" s="0"/>
      <c r="LSF66" s="0"/>
      <c r="LSG66" s="0"/>
      <c r="LSH66" s="0"/>
      <c r="LSI66" s="0"/>
      <c r="LSJ66" s="0"/>
      <c r="LSK66" s="0"/>
      <c r="LSL66" s="0"/>
      <c r="LSM66" s="0"/>
      <c r="LSN66" s="0"/>
      <c r="LSO66" s="0"/>
      <c r="LSP66" s="0"/>
      <c r="LSQ66" s="0"/>
      <c r="LSR66" s="0"/>
      <c r="LSS66" s="0"/>
      <c r="LST66" s="0"/>
      <c r="LSU66" s="0"/>
      <c r="LSV66" s="0"/>
      <c r="LSW66" s="0"/>
      <c r="LSX66" s="0"/>
      <c r="LSY66" s="0"/>
      <c r="LSZ66" s="0"/>
      <c r="LTA66" s="0"/>
      <c r="LTB66" s="0"/>
      <c r="LTC66" s="0"/>
      <c r="LTD66" s="0"/>
      <c r="LTE66" s="0"/>
      <c r="LTF66" s="0"/>
      <c r="LTG66" s="0"/>
      <c r="LTH66" s="0"/>
      <c r="LTI66" s="0"/>
      <c r="LTJ66" s="0"/>
      <c r="LTK66" s="0"/>
      <c r="LTL66" s="0"/>
      <c r="LTM66" s="0"/>
      <c r="LTN66" s="0"/>
      <c r="LTO66" s="0"/>
      <c r="LTP66" s="0"/>
      <c r="LTQ66" s="0"/>
      <c r="LTR66" s="0"/>
      <c r="LTS66" s="0"/>
      <c r="LTT66" s="0"/>
      <c r="LTU66" s="0"/>
      <c r="LTV66" s="0"/>
      <c r="LTW66" s="0"/>
      <c r="LTX66" s="0"/>
      <c r="LTY66" s="0"/>
      <c r="LTZ66" s="0"/>
      <c r="LUA66" s="0"/>
      <c r="LUB66" s="0"/>
      <c r="LUC66" s="0"/>
      <c r="LUD66" s="0"/>
      <c r="LUE66" s="0"/>
      <c r="LUF66" s="0"/>
      <c r="LUG66" s="0"/>
      <c r="LUH66" s="0"/>
      <c r="LUI66" s="0"/>
      <c r="LUJ66" s="0"/>
      <c r="LUK66" s="0"/>
      <c r="LUL66" s="0"/>
      <c r="LUM66" s="0"/>
      <c r="LUN66" s="0"/>
      <c r="LUO66" s="0"/>
      <c r="LUP66" s="0"/>
      <c r="LUQ66" s="0"/>
      <c r="LUR66" s="0"/>
      <c r="LUS66" s="0"/>
      <c r="LUT66" s="0"/>
      <c r="LUU66" s="0"/>
      <c r="LUV66" s="0"/>
      <c r="LUW66" s="0"/>
      <c r="LUX66" s="0"/>
      <c r="LUY66" s="0"/>
      <c r="LUZ66" s="0"/>
      <c r="LVA66" s="0"/>
      <c r="LVB66" s="0"/>
      <c r="LVC66" s="0"/>
      <c r="LVD66" s="0"/>
      <c r="LVE66" s="0"/>
      <c r="LVF66" s="0"/>
      <c r="LVG66" s="0"/>
      <c r="LVH66" s="0"/>
      <c r="LVI66" s="0"/>
      <c r="LVJ66" s="0"/>
      <c r="LVK66" s="0"/>
      <c r="LVL66" s="0"/>
      <c r="LVM66" s="0"/>
      <c r="LVN66" s="0"/>
      <c r="LVO66" s="0"/>
      <c r="LVP66" s="0"/>
      <c r="LVQ66" s="0"/>
      <c r="LVR66" s="0"/>
      <c r="LVS66" s="0"/>
      <c r="LVT66" s="0"/>
      <c r="LVU66" s="0"/>
      <c r="LVV66" s="0"/>
      <c r="LVW66" s="0"/>
      <c r="LVX66" s="0"/>
      <c r="LVY66" s="0"/>
      <c r="LVZ66" s="0"/>
      <c r="LWA66" s="0"/>
      <c r="LWB66" s="0"/>
      <c r="LWC66" s="0"/>
      <c r="LWD66" s="0"/>
      <c r="LWE66" s="0"/>
      <c r="LWF66" s="0"/>
      <c r="LWG66" s="0"/>
      <c r="LWH66" s="0"/>
      <c r="LWI66" s="0"/>
      <c r="LWJ66" s="0"/>
      <c r="LWK66" s="0"/>
      <c r="LWL66" s="0"/>
      <c r="LWM66" s="0"/>
      <c r="LWN66" s="0"/>
      <c r="LWO66" s="0"/>
      <c r="LWP66" s="0"/>
      <c r="LWQ66" s="0"/>
      <c r="LWR66" s="0"/>
      <c r="LWS66" s="0"/>
      <c r="LWT66" s="0"/>
      <c r="LWU66" s="0"/>
      <c r="LWV66" s="0"/>
      <c r="LWW66" s="0"/>
      <c r="LWX66" s="0"/>
      <c r="LWY66" s="0"/>
      <c r="LWZ66" s="0"/>
      <c r="LXA66" s="0"/>
      <c r="LXB66" s="0"/>
      <c r="LXC66" s="0"/>
      <c r="LXD66" s="0"/>
      <c r="LXE66" s="0"/>
      <c r="LXF66" s="0"/>
      <c r="LXG66" s="0"/>
      <c r="LXH66" s="0"/>
      <c r="LXI66" s="0"/>
      <c r="LXJ66" s="0"/>
      <c r="LXK66" s="0"/>
      <c r="LXL66" s="0"/>
      <c r="LXM66" s="0"/>
      <c r="LXN66" s="0"/>
      <c r="LXO66" s="0"/>
      <c r="LXP66" s="0"/>
      <c r="LXQ66" s="0"/>
      <c r="LXR66" s="0"/>
      <c r="LXS66" s="0"/>
      <c r="LXT66" s="0"/>
      <c r="LXU66" s="0"/>
      <c r="LXV66" s="0"/>
      <c r="LXW66" s="0"/>
      <c r="LXX66" s="0"/>
      <c r="LXY66" s="0"/>
      <c r="LXZ66" s="0"/>
      <c r="LYA66" s="0"/>
      <c r="LYB66" s="0"/>
      <c r="LYC66" s="0"/>
      <c r="LYD66" s="0"/>
      <c r="LYE66" s="0"/>
      <c r="LYF66" s="0"/>
      <c r="LYG66" s="0"/>
      <c r="LYH66" s="0"/>
      <c r="LYI66" s="0"/>
      <c r="LYJ66" s="0"/>
      <c r="LYK66" s="0"/>
      <c r="LYL66" s="0"/>
      <c r="LYM66" s="0"/>
      <c r="LYN66" s="0"/>
      <c r="LYO66" s="0"/>
      <c r="LYP66" s="0"/>
      <c r="LYQ66" s="0"/>
      <c r="LYR66" s="0"/>
      <c r="LYS66" s="0"/>
      <c r="LYT66" s="0"/>
      <c r="LYU66" s="0"/>
      <c r="LYV66" s="0"/>
      <c r="LYW66" s="0"/>
      <c r="LYX66" s="0"/>
      <c r="LYY66" s="0"/>
      <c r="LYZ66" s="0"/>
      <c r="LZA66" s="0"/>
      <c r="LZB66" s="0"/>
      <c r="LZC66" s="0"/>
      <c r="LZD66" s="0"/>
      <c r="LZE66" s="0"/>
      <c r="LZF66" s="0"/>
      <c r="LZG66" s="0"/>
      <c r="LZH66" s="0"/>
      <c r="LZI66" s="0"/>
      <c r="LZJ66" s="0"/>
      <c r="LZK66" s="0"/>
      <c r="LZL66" s="0"/>
      <c r="LZM66" s="0"/>
      <c r="LZN66" s="0"/>
      <c r="LZO66" s="0"/>
      <c r="LZP66" s="0"/>
      <c r="LZQ66" s="0"/>
      <c r="LZR66" s="0"/>
      <c r="LZS66" s="0"/>
      <c r="LZT66" s="0"/>
      <c r="LZU66" s="0"/>
      <c r="LZV66" s="0"/>
      <c r="LZW66" s="0"/>
      <c r="LZX66" s="0"/>
      <c r="LZY66" s="0"/>
      <c r="LZZ66" s="0"/>
      <c r="MAA66" s="0"/>
      <c r="MAB66" s="0"/>
      <c r="MAC66" s="0"/>
      <c r="MAD66" s="0"/>
      <c r="MAE66" s="0"/>
      <c r="MAF66" s="0"/>
      <c r="MAG66" s="0"/>
      <c r="MAH66" s="0"/>
      <c r="MAI66" s="0"/>
      <c r="MAJ66" s="0"/>
      <c r="MAK66" s="0"/>
      <c r="MAL66" s="0"/>
      <c r="MAM66" s="0"/>
      <c r="MAN66" s="0"/>
      <c r="MAO66" s="0"/>
      <c r="MAP66" s="0"/>
      <c r="MAQ66" s="0"/>
      <c r="MAR66" s="0"/>
      <c r="MAS66" s="0"/>
      <c r="MAT66" s="0"/>
      <c r="MAU66" s="0"/>
      <c r="MAV66" s="0"/>
      <c r="MAW66" s="0"/>
      <c r="MAX66" s="0"/>
      <c r="MAY66" s="0"/>
      <c r="MAZ66" s="0"/>
      <c r="MBA66" s="0"/>
      <c r="MBB66" s="0"/>
      <c r="MBC66" s="0"/>
      <c r="MBD66" s="0"/>
      <c r="MBE66" s="0"/>
      <c r="MBF66" s="0"/>
      <c r="MBG66" s="0"/>
      <c r="MBH66" s="0"/>
      <c r="MBI66" s="0"/>
      <c r="MBJ66" s="0"/>
      <c r="MBK66" s="0"/>
      <c r="MBL66" s="0"/>
      <c r="MBM66" s="0"/>
      <c r="MBN66" s="0"/>
      <c r="MBO66" s="0"/>
      <c r="MBP66" s="0"/>
      <c r="MBQ66" s="0"/>
      <c r="MBR66" s="0"/>
      <c r="MBS66" s="0"/>
      <c r="MBT66" s="0"/>
      <c r="MBU66" s="0"/>
      <c r="MBV66" s="0"/>
      <c r="MBW66" s="0"/>
      <c r="MBX66" s="0"/>
      <c r="MBY66" s="0"/>
      <c r="MBZ66" s="0"/>
      <c r="MCA66" s="0"/>
      <c r="MCB66" s="0"/>
      <c r="MCC66" s="0"/>
      <c r="MCD66" s="0"/>
      <c r="MCE66" s="0"/>
      <c r="MCF66" s="0"/>
      <c r="MCG66" s="0"/>
      <c r="MCH66" s="0"/>
      <c r="MCI66" s="0"/>
      <c r="MCJ66" s="0"/>
      <c r="MCK66" s="0"/>
      <c r="MCL66" s="0"/>
      <c r="MCM66" s="0"/>
      <c r="MCN66" s="0"/>
      <c r="MCO66" s="0"/>
      <c r="MCP66" s="0"/>
      <c r="MCQ66" s="0"/>
      <c r="MCR66" s="0"/>
      <c r="MCS66" s="0"/>
      <c r="MCT66" s="0"/>
      <c r="MCU66" s="0"/>
      <c r="MCV66" s="0"/>
      <c r="MCW66" s="0"/>
      <c r="MCX66" s="0"/>
      <c r="MCY66" s="0"/>
      <c r="MCZ66" s="0"/>
      <c r="MDA66" s="0"/>
      <c r="MDB66" s="0"/>
      <c r="MDC66" s="0"/>
      <c r="MDD66" s="0"/>
      <c r="MDE66" s="0"/>
      <c r="MDF66" s="0"/>
      <c r="MDG66" s="0"/>
      <c r="MDH66" s="0"/>
      <c r="MDI66" s="0"/>
      <c r="MDJ66" s="0"/>
      <c r="MDK66" s="0"/>
      <c r="MDL66" s="0"/>
      <c r="MDM66" s="0"/>
      <c r="MDN66" s="0"/>
      <c r="MDO66" s="0"/>
      <c r="MDP66" s="0"/>
      <c r="MDQ66" s="0"/>
      <c r="MDR66" s="0"/>
      <c r="MDS66" s="0"/>
      <c r="MDT66" s="0"/>
      <c r="MDU66" s="0"/>
      <c r="MDV66" s="0"/>
      <c r="MDW66" s="0"/>
      <c r="MDX66" s="0"/>
      <c r="MDY66" s="0"/>
      <c r="MDZ66" s="0"/>
      <c r="MEA66" s="0"/>
      <c r="MEB66" s="0"/>
      <c r="MEC66" s="0"/>
      <c r="MED66" s="0"/>
      <c r="MEE66" s="0"/>
      <c r="MEF66" s="0"/>
      <c r="MEG66" s="0"/>
      <c r="MEH66" s="0"/>
      <c r="MEI66" s="0"/>
      <c r="MEJ66" s="0"/>
      <c r="MEK66" s="0"/>
      <c r="MEL66" s="0"/>
      <c r="MEM66" s="0"/>
      <c r="MEN66" s="0"/>
      <c r="MEO66" s="0"/>
      <c r="MEP66" s="0"/>
      <c r="MEQ66" s="0"/>
      <c r="MER66" s="0"/>
      <c r="MES66" s="0"/>
      <c r="MET66" s="0"/>
      <c r="MEU66" s="0"/>
      <c r="MEV66" s="0"/>
      <c r="MEW66" s="0"/>
      <c r="MEX66" s="0"/>
      <c r="MEY66" s="0"/>
      <c r="MEZ66" s="0"/>
      <c r="MFA66" s="0"/>
      <c r="MFB66" s="0"/>
      <c r="MFC66" s="0"/>
      <c r="MFD66" s="0"/>
      <c r="MFE66" s="0"/>
      <c r="MFF66" s="0"/>
      <c r="MFG66" s="0"/>
      <c r="MFH66" s="0"/>
      <c r="MFI66" s="0"/>
      <c r="MFJ66" s="0"/>
      <c r="MFK66" s="0"/>
      <c r="MFL66" s="0"/>
      <c r="MFM66" s="0"/>
      <c r="MFN66" s="0"/>
      <c r="MFO66" s="0"/>
      <c r="MFP66" s="0"/>
      <c r="MFQ66" s="0"/>
      <c r="MFR66" s="0"/>
      <c r="MFS66" s="0"/>
      <c r="MFT66" s="0"/>
      <c r="MFU66" s="0"/>
      <c r="MFV66" s="0"/>
      <c r="MFW66" s="0"/>
      <c r="MFX66" s="0"/>
      <c r="MFY66" s="0"/>
      <c r="MFZ66" s="0"/>
      <c r="MGA66" s="0"/>
      <c r="MGB66" s="0"/>
      <c r="MGC66" s="0"/>
      <c r="MGD66" s="0"/>
      <c r="MGE66" s="0"/>
      <c r="MGF66" s="0"/>
      <c r="MGG66" s="0"/>
      <c r="MGH66" s="0"/>
      <c r="MGI66" s="0"/>
      <c r="MGJ66" s="0"/>
      <c r="MGK66" s="0"/>
      <c r="MGL66" s="0"/>
      <c r="MGM66" s="0"/>
      <c r="MGN66" s="0"/>
      <c r="MGO66" s="0"/>
      <c r="MGP66" s="0"/>
      <c r="MGQ66" s="0"/>
      <c r="MGR66" s="0"/>
      <c r="MGS66" s="0"/>
      <c r="MGT66" s="0"/>
      <c r="MGU66" s="0"/>
      <c r="MGV66" s="0"/>
      <c r="MGW66" s="0"/>
      <c r="MGX66" s="0"/>
      <c r="MGY66" s="0"/>
      <c r="MGZ66" s="0"/>
      <c r="MHA66" s="0"/>
      <c r="MHB66" s="0"/>
      <c r="MHC66" s="0"/>
      <c r="MHD66" s="0"/>
      <c r="MHE66" s="0"/>
      <c r="MHF66" s="0"/>
      <c r="MHG66" s="0"/>
      <c r="MHH66" s="0"/>
      <c r="MHI66" s="0"/>
      <c r="MHJ66" s="0"/>
      <c r="MHK66" s="0"/>
      <c r="MHL66" s="0"/>
      <c r="MHM66" s="0"/>
      <c r="MHN66" s="0"/>
      <c r="MHO66" s="0"/>
      <c r="MHP66" s="0"/>
      <c r="MHQ66" s="0"/>
      <c r="MHR66" s="0"/>
      <c r="MHS66" s="0"/>
      <c r="MHT66" s="0"/>
      <c r="MHU66" s="0"/>
      <c r="MHV66" s="0"/>
      <c r="MHW66" s="0"/>
      <c r="MHX66" s="0"/>
      <c r="MHY66" s="0"/>
      <c r="MHZ66" s="0"/>
      <c r="MIA66" s="0"/>
      <c r="MIB66" s="0"/>
      <c r="MIC66" s="0"/>
      <c r="MID66" s="0"/>
      <c r="MIE66" s="0"/>
      <c r="MIF66" s="0"/>
      <c r="MIG66" s="0"/>
      <c r="MIH66" s="0"/>
      <c r="MII66" s="0"/>
      <c r="MIJ66" s="0"/>
      <c r="MIK66" s="0"/>
      <c r="MIL66" s="0"/>
      <c r="MIM66" s="0"/>
      <c r="MIN66" s="0"/>
      <c r="MIO66" s="0"/>
      <c r="MIP66" s="0"/>
      <c r="MIQ66" s="0"/>
      <c r="MIR66" s="0"/>
      <c r="MIS66" s="0"/>
      <c r="MIT66" s="0"/>
      <c r="MIU66" s="0"/>
      <c r="MIV66" s="0"/>
      <c r="MIW66" s="0"/>
      <c r="MIX66" s="0"/>
      <c r="MIY66" s="0"/>
      <c r="MIZ66" s="0"/>
      <c r="MJA66" s="0"/>
      <c r="MJB66" s="0"/>
      <c r="MJC66" s="0"/>
      <c r="MJD66" s="0"/>
      <c r="MJE66" s="0"/>
      <c r="MJF66" s="0"/>
      <c r="MJG66" s="0"/>
      <c r="MJH66" s="0"/>
      <c r="MJI66" s="0"/>
      <c r="MJJ66" s="0"/>
      <c r="MJK66" s="0"/>
      <c r="MJL66" s="0"/>
      <c r="MJM66" s="0"/>
      <c r="MJN66" s="0"/>
      <c r="MJO66" s="0"/>
      <c r="MJP66" s="0"/>
      <c r="MJQ66" s="0"/>
      <c r="MJR66" s="0"/>
      <c r="MJS66" s="0"/>
      <c r="MJT66" s="0"/>
      <c r="MJU66" s="0"/>
      <c r="MJV66" s="0"/>
      <c r="MJW66" s="0"/>
      <c r="MJX66" s="0"/>
      <c r="MJY66" s="0"/>
      <c r="MJZ66" s="0"/>
      <c r="MKA66" s="0"/>
      <c r="MKB66" s="0"/>
      <c r="MKC66" s="0"/>
      <c r="MKD66" s="0"/>
      <c r="MKE66" s="0"/>
      <c r="MKF66" s="0"/>
      <c r="MKG66" s="0"/>
      <c r="MKH66" s="0"/>
      <c r="MKI66" s="0"/>
      <c r="MKJ66" s="0"/>
      <c r="MKK66" s="0"/>
      <c r="MKL66" s="0"/>
      <c r="MKM66" s="0"/>
      <c r="MKN66" s="0"/>
      <c r="MKO66" s="0"/>
      <c r="MKP66" s="0"/>
      <c r="MKQ66" s="0"/>
      <c r="MKR66" s="0"/>
      <c r="MKS66" s="0"/>
      <c r="MKT66" s="0"/>
      <c r="MKU66" s="0"/>
      <c r="MKV66" s="0"/>
      <c r="MKW66" s="0"/>
      <c r="MKX66" s="0"/>
      <c r="MKY66" s="0"/>
      <c r="MKZ66" s="0"/>
      <c r="MLA66" s="0"/>
      <c r="MLB66" s="0"/>
      <c r="MLC66" s="0"/>
      <c r="MLD66" s="0"/>
      <c r="MLE66" s="0"/>
      <c r="MLF66" s="0"/>
      <c r="MLG66" s="0"/>
      <c r="MLH66" s="0"/>
      <c r="MLI66" s="0"/>
      <c r="MLJ66" s="0"/>
      <c r="MLK66" s="0"/>
      <c r="MLL66" s="0"/>
      <c r="MLM66" s="0"/>
      <c r="MLN66" s="0"/>
      <c r="MLO66" s="0"/>
      <c r="MLP66" s="0"/>
      <c r="MLQ66" s="0"/>
      <c r="MLR66" s="0"/>
      <c r="MLS66" s="0"/>
      <c r="MLT66" s="0"/>
      <c r="MLU66" s="0"/>
      <c r="MLV66" s="0"/>
      <c r="MLW66" s="0"/>
      <c r="MLX66" s="0"/>
      <c r="MLY66" s="0"/>
      <c r="MLZ66" s="0"/>
      <c r="MMA66" s="0"/>
      <c r="MMB66" s="0"/>
      <c r="MMC66" s="0"/>
      <c r="MMD66" s="0"/>
      <c r="MME66" s="0"/>
      <c r="MMF66" s="0"/>
      <c r="MMG66" s="0"/>
      <c r="MMH66" s="0"/>
      <c r="MMI66" s="0"/>
      <c r="MMJ66" s="0"/>
      <c r="MMK66" s="0"/>
      <c r="MML66" s="0"/>
      <c r="MMM66" s="0"/>
      <c r="MMN66" s="0"/>
      <c r="MMO66" s="0"/>
      <c r="MMP66" s="0"/>
      <c r="MMQ66" s="0"/>
      <c r="MMR66" s="0"/>
      <c r="MMS66" s="0"/>
      <c r="MMT66" s="0"/>
      <c r="MMU66" s="0"/>
      <c r="MMV66" s="0"/>
      <c r="MMW66" s="0"/>
      <c r="MMX66" s="0"/>
      <c r="MMY66" s="0"/>
      <c r="MMZ66" s="0"/>
      <c r="MNA66" s="0"/>
      <c r="MNB66" s="0"/>
      <c r="MNC66" s="0"/>
      <c r="MND66" s="0"/>
      <c r="MNE66" s="0"/>
      <c r="MNF66" s="0"/>
      <c r="MNG66" s="0"/>
      <c r="MNH66" s="0"/>
      <c r="MNI66" s="0"/>
      <c r="MNJ66" s="0"/>
      <c r="MNK66" s="0"/>
      <c r="MNL66" s="0"/>
      <c r="MNM66" s="0"/>
      <c r="MNN66" s="0"/>
      <c r="MNO66" s="0"/>
      <c r="MNP66" s="0"/>
      <c r="MNQ66" s="0"/>
      <c r="MNR66" s="0"/>
      <c r="MNS66" s="0"/>
      <c r="MNT66" s="0"/>
      <c r="MNU66" s="0"/>
      <c r="MNV66" s="0"/>
      <c r="MNW66" s="0"/>
      <c r="MNX66" s="0"/>
      <c r="MNY66" s="0"/>
      <c r="MNZ66" s="0"/>
      <c r="MOA66" s="0"/>
      <c r="MOB66" s="0"/>
      <c r="MOC66" s="0"/>
      <c r="MOD66" s="0"/>
      <c r="MOE66" s="0"/>
      <c r="MOF66" s="0"/>
      <c r="MOG66" s="0"/>
      <c r="MOH66" s="0"/>
      <c r="MOI66" s="0"/>
      <c r="MOJ66" s="0"/>
      <c r="MOK66" s="0"/>
      <c r="MOL66" s="0"/>
      <c r="MOM66" s="0"/>
      <c r="MON66" s="0"/>
      <c r="MOO66" s="0"/>
      <c r="MOP66" s="0"/>
      <c r="MOQ66" s="0"/>
      <c r="MOR66" s="0"/>
      <c r="MOS66" s="0"/>
      <c r="MOT66" s="0"/>
      <c r="MOU66" s="0"/>
      <c r="MOV66" s="0"/>
      <c r="MOW66" s="0"/>
      <c r="MOX66" s="0"/>
      <c r="MOY66" s="0"/>
      <c r="MOZ66" s="0"/>
      <c r="MPA66" s="0"/>
      <c r="MPB66" s="0"/>
      <c r="MPC66" s="0"/>
      <c r="MPD66" s="0"/>
      <c r="MPE66" s="0"/>
      <c r="MPF66" s="0"/>
      <c r="MPG66" s="0"/>
      <c r="MPH66" s="0"/>
      <c r="MPI66" s="0"/>
      <c r="MPJ66" s="0"/>
      <c r="MPK66" s="0"/>
      <c r="MPL66" s="0"/>
      <c r="MPM66" s="0"/>
      <c r="MPN66" s="0"/>
      <c r="MPO66" s="0"/>
      <c r="MPP66" s="0"/>
      <c r="MPQ66" s="0"/>
      <c r="MPR66" s="0"/>
      <c r="MPS66" s="0"/>
      <c r="MPT66" s="0"/>
      <c r="MPU66" s="0"/>
      <c r="MPV66" s="0"/>
      <c r="MPW66" s="0"/>
      <c r="MPX66" s="0"/>
      <c r="MPY66" s="0"/>
      <c r="MPZ66" s="0"/>
      <c r="MQA66" s="0"/>
      <c r="MQB66" s="0"/>
      <c r="MQC66" s="0"/>
      <c r="MQD66" s="0"/>
      <c r="MQE66" s="0"/>
      <c r="MQF66" s="0"/>
      <c r="MQG66" s="0"/>
      <c r="MQH66" s="0"/>
      <c r="MQI66" s="0"/>
      <c r="MQJ66" s="0"/>
      <c r="MQK66" s="0"/>
      <c r="MQL66" s="0"/>
      <c r="MQM66" s="0"/>
      <c r="MQN66" s="0"/>
      <c r="MQO66" s="0"/>
      <c r="MQP66" s="0"/>
      <c r="MQQ66" s="0"/>
      <c r="MQR66" s="0"/>
      <c r="MQS66" s="0"/>
      <c r="MQT66" s="0"/>
      <c r="MQU66" s="0"/>
      <c r="MQV66" s="0"/>
      <c r="MQW66" s="0"/>
      <c r="MQX66" s="0"/>
      <c r="MQY66" s="0"/>
      <c r="MQZ66" s="0"/>
      <c r="MRA66" s="0"/>
      <c r="MRB66" s="0"/>
      <c r="MRC66" s="0"/>
      <c r="MRD66" s="0"/>
      <c r="MRE66" s="0"/>
      <c r="MRF66" s="0"/>
      <c r="MRG66" s="0"/>
      <c r="MRH66" s="0"/>
      <c r="MRI66" s="0"/>
      <c r="MRJ66" s="0"/>
      <c r="MRK66" s="0"/>
      <c r="MRL66" s="0"/>
      <c r="MRM66" s="0"/>
      <c r="MRN66" s="0"/>
      <c r="MRO66" s="0"/>
      <c r="MRP66" s="0"/>
      <c r="MRQ66" s="0"/>
      <c r="MRR66" s="0"/>
      <c r="MRS66" s="0"/>
      <c r="MRT66" s="0"/>
      <c r="MRU66" s="0"/>
      <c r="MRV66" s="0"/>
      <c r="MRW66" s="0"/>
      <c r="MRX66" s="0"/>
      <c r="MRY66" s="0"/>
      <c r="MRZ66" s="0"/>
      <c r="MSA66" s="0"/>
      <c r="MSB66" s="0"/>
      <c r="MSC66" s="0"/>
      <c r="MSD66" s="0"/>
      <c r="MSE66" s="0"/>
      <c r="MSF66" s="0"/>
      <c r="MSG66" s="0"/>
      <c r="MSH66" s="0"/>
      <c r="MSI66" s="0"/>
      <c r="MSJ66" s="0"/>
      <c r="MSK66" s="0"/>
      <c r="MSL66" s="0"/>
      <c r="MSM66" s="0"/>
      <c r="MSN66" s="0"/>
      <c r="MSO66" s="0"/>
      <c r="MSP66" s="0"/>
      <c r="MSQ66" s="0"/>
      <c r="MSR66" s="0"/>
      <c r="MSS66" s="0"/>
      <c r="MST66" s="0"/>
      <c r="MSU66" s="0"/>
      <c r="MSV66" s="0"/>
      <c r="MSW66" s="0"/>
      <c r="MSX66" s="0"/>
      <c r="MSY66" s="0"/>
      <c r="MSZ66" s="0"/>
      <c r="MTA66" s="0"/>
      <c r="MTB66" s="0"/>
      <c r="MTC66" s="0"/>
      <c r="MTD66" s="0"/>
      <c r="MTE66" s="0"/>
      <c r="MTF66" s="0"/>
      <c r="MTG66" s="0"/>
      <c r="MTH66" s="0"/>
      <c r="MTI66" s="0"/>
      <c r="MTJ66" s="0"/>
      <c r="MTK66" s="0"/>
      <c r="MTL66" s="0"/>
      <c r="MTM66" s="0"/>
      <c r="MTN66" s="0"/>
      <c r="MTO66" s="0"/>
      <c r="MTP66" s="0"/>
      <c r="MTQ66" s="0"/>
      <c r="MTR66" s="0"/>
      <c r="MTS66" s="0"/>
      <c r="MTT66" s="0"/>
      <c r="MTU66" s="0"/>
      <c r="MTV66" s="0"/>
      <c r="MTW66" s="0"/>
      <c r="MTX66" s="0"/>
      <c r="MTY66" s="0"/>
      <c r="MTZ66" s="0"/>
      <c r="MUA66" s="0"/>
      <c r="MUB66" s="0"/>
      <c r="MUC66" s="0"/>
      <c r="MUD66" s="0"/>
      <c r="MUE66" s="0"/>
      <c r="MUF66" s="0"/>
      <c r="MUG66" s="0"/>
      <c r="MUH66" s="0"/>
      <c r="MUI66" s="0"/>
      <c r="MUJ66" s="0"/>
      <c r="MUK66" s="0"/>
      <c r="MUL66" s="0"/>
      <c r="MUM66" s="0"/>
      <c r="MUN66" s="0"/>
      <c r="MUO66" s="0"/>
      <c r="MUP66" s="0"/>
      <c r="MUQ66" s="0"/>
      <c r="MUR66" s="0"/>
      <c r="MUS66" s="0"/>
      <c r="MUT66" s="0"/>
      <c r="MUU66" s="0"/>
      <c r="MUV66" s="0"/>
      <c r="MUW66" s="0"/>
      <c r="MUX66" s="0"/>
      <c r="MUY66" s="0"/>
      <c r="MUZ66" s="0"/>
      <c r="MVA66" s="0"/>
      <c r="MVB66" s="0"/>
      <c r="MVC66" s="0"/>
      <c r="MVD66" s="0"/>
      <c r="MVE66" s="0"/>
      <c r="MVF66" s="0"/>
      <c r="MVG66" s="0"/>
      <c r="MVH66" s="0"/>
      <c r="MVI66" s="0"/>
      <c r="MVJ66" s="0"/>
      <c r="MVK66" s="0"/>
      <c r="MVL66" s="0"/>
      <c r="MVM66" s="0"/>
      <c r="MVN66" s="0"/>
      <c r="MVO66" s="0"/>
      <c r="MVP66" s="0"/>
      <c r="MVQ66" s="0"/>
      <c r="MVR66" s="0"/>
      <c r="MVS66" s="0"/>
      <c r="MVT66" s="0"/>
      <c r="MVU66" s="0"/>
      <c r="MVV66" s="0"/>
      <c r="MVW66" s="0"/>
      <c r="MVX66" s="0"/>
      <c r="MVY66" s="0"/>
      <c r="MVZ66" s="0"/>
      <c r="MWA66" s="0"/>
      <c r="MWB66" s="0"/>
      <c r="MWC66" s="0"/>
      <c r="MWD66" s="0"/>
      <c r="MWE66" s="0"/>
      <c r="MWF66" s="0"/>
      <c r="MWG66" s="0"/>
      <c r="MWH66" s="0"/>
      <c r="MWI66" s="0"/>
      <c r="MWJ66" s="0"/>
      <c r="MWK66" s="0"/>
      <c r="MWL66" s="0"/>
      <c r="MWM66" s="0"/>
      <c r="MWN66" s="0"/>
      <c r="MWO66" s="0"/>
      <c r="MWP66" s="0"/>
      <c r="MWQ66" s="0"/>
      <c r="MWR66" s="0"/>
      <c r="MWS66" s="0"/>
      <c r="MWT66" s="0"/>
      <c r="MWU66" s="0"/>
      <c r="MWV66" s="0"/>
      <c r="MWW66" s="0"/>
      <c r="MWX66" s="0"/>
      <c r="MWY66" s="0"/>
      <c r="MWZ66" s="0"/>
      <c r="MXA66" s="0"/>
      <c r="MXB66" s="0"/>
      <c r="MXC66" s="0"/>
      <c r="MXD66" s="0"/>
      <c r="MXE66" s="0"/>
      <c r="MXF66" s="0"/>
      <c r="MXG66" s="0"/>
      <c r="MXH66" s="0"/>
      <c r="MXI66" s="0"/>
      <c r="MXJ66" s="0"/>
      <c r="MXK66" s="0"/>
      <c r="MXL66" s="0"/>
      <c r="MXM66" s="0"/>
      <c r="MXN66" s="0"/>
      <c r="MXO66" s="0"/>
      <c r="MXP66" s="0"/>
      <c r="MXQ66" s="0"/>
      <c r="MXR66" s="0"/>
      <c r="MXS66" s="0"/>
      <c r="MXT66" s="0"/>
      <c r="MXU66" s="0"/>
      <c r="MXV66" s="0"/>
      <c r="MXW66" s="0"/>
      <c r="MXX66" s="0"/>
      <c r="MXY66" s="0"/>
      <c r="MXZ66" s="0"/>
      <c r="MYA66" s="0"/>
      <c r="MYB66" s="0"/>
      <c r="MYC66" s="0"/>
      <c r="MYD66" s="0"/>
      <c r="MYE66" s="0"/>
      <c r="MYF66" s="0"/>
      <c r="MYG66" s="0"/>
      <c r="MYH66" s="0"/>
      <c r="MYI66" s="0"/>
      <c r="MYJ66" s="0"/>
      <c r="MYK66" s="0"/>
      <c r="MYL66" s="0"/>
      <c r="MYM66" s="0"/>
      <c r="MYN66" s="0"/>
      <c r="MYO66" s="0"/>
      <c r="MYP66" s="0"/>
      <c r="MYQ66" s="0"/>
      <c r="MYR66" s="0"/>
      <c r="MYS66" s="0"/>
      <c r="MYT66" s="0"/>
      <c r="MYU66" s="0"/>
      <c r="MYV66" s="0"/>
      <c r="MYW66" s="0"/>
      <c r="MYX66" s="0"/>
      <c r="MYY66" s="0"/>
      <c r="MYZ66" s="0"/>
      <c r="MZA66" s="0"/>
      <c r="MZB66" s="0"/>
      <c r="MZC66" s="0"/>
      <c r="MZD66" s="0"/>
      <c r="MZE66" s="0"/>
      <c r="MZF66" s="0"/>
      <c r="MZG66" s="0"/>
      <c r="MZH66" s="0"/>
      <c r="MZI66" s="0"/>
      <c r="MZJ66" s="0"/>
      <c r="MZK66" s="0"/>
      <c r="MZL66" s="0"/>
      <c r="MZM66" s="0"/>
      <c r="MZN66" s="0"/>
      <c r="MZO66" s="0"/>
      <c r="MZP66" s="0"/>
      <c r="MZQ66" s="0"/>
      <c r="MZR66" s="0"/>
      <c r="MZS66" s="0"/>
      <c r="MZT66" s="0"/>
      <c r="MZU66" s="0"/>
      <c r="MZV66" s="0"/>
      <c r="MZW66" s="0"/>
      <c r="MZX66" s="0"/>
      <c r="MZY66" s="0"/>
      <c r="MZZ66" s="0"/>
      <c r="NAA66" s="0"/>
      <c r="NAB66" s="0"/>
      <c r="NAC66" s="0"/>
      <c r="NAD66" s="0"/>
      <c r="NAE66" s="0"/>
      <c r="NAF66" s="0"/>
      <c r="NAG66" s="0"/>
      <c r="NAH66" s="0"/>
      <c r="NAI66" s="0"/>
      <c r="NAJ66" s="0"/>
      <c r="NAK66" s="0"/>
      <c r="NAL66" s="0"/>
      <c r="NAM66" s="0"/>
      <c r="NAN66" s="0"/>
      <c r="NAO66" s="0"/>
      <c r="NAP66" s="0"/>
      <c r="NAQ66" s="0"/>
      <c r="NAR66" s="0"/>
      <c r="NAS66" s="0"/>
      <c r="NAT66" s="0"/>
      <c r="NAU66" s="0"/>
      <c r="NAV66" s="0"/>
      <c r="NAW66" s="0"/>
      <c r="NAX66" s="0"/>
      <c r="NAY66" s="0"/>
      <c r="NAZ66" s="0"/>
      <c r="NBA66" s="0"/>
      <c r="NBB66" s="0"/>
      <c r="NBC66" s="0"/>
      <c r="NBD66" s="0"/>
      <c r="NBE66" s="0"/>
      <c r="NBF66" s="0"/>
      <c r="NBG66" s="0"/>
      <c r="NBH66" s="0"/>
      <c r="NBI66" s="0"/>
      <c r="NBJ66" s="0"/>
      <c r="NBK66" s="0"/>
      <c r="NBL66" s="0"/>
      <c r="NBM66" s="0"/>
      <c r="NBN66" s="0"/>
      <c r="NBO66" s="0"/>
      <c r="NBP66" s="0"/>
      <c r="NBQ66" s="0"/>
      <c r="NBR66" s="0"/>
      <c r="NBS66" s="0"/>
      <c r="NBT66" s="0"/>
      <c r="NBU66" s="0"/>
      <c r="NBV66" s="0"/>
      <c r="NBW66" s="0"/>
      <c r="NBX66" s="0"/>
      <c r="NBY66" s="0"/>
      <c r="NBZ66" s="0"/>
      <c r="NCA66" s="0"/>
      <c r="NCB66" s="0"/>
      <c r="NCC66" s="0"/>
      <c r="NCD66" s="0"/>
      <c r="NCE66" s="0"/>
      <c r="NCF66" s="0"/>
      <c r="NCG66" s="0"/>
      <c r="NCH66" s="0"/>
      <c r="NCI66" s="0"/>
      <c r="NCJ66" s="0"/>
      <c r="NCK66" s="0"/>
      <c r="NCL66" s="0"/>
      <c r="NCM66" s="0"/>
      <c r="NCN66" s="0"/>
      <c r="NCO66" s="0"/>
      <c r="NCP66" s="0"/>
      <c r="NCQ66" s="0"/>
      <c r="NCR66" s="0"/>
      <c r="NCS66" s="0"/>
      <c r="NCT66" s="0"/>
      <c r="NCU66" s="0"/>
      <c r="NCV66" s="0"/>
      <c r="NCW66" s="0"/>
      <c r="NCX66" s="0"/>
      <c r="NCY66" s="0"/>
      <c r="NCZ66" s="0"/>
      <c r="NDA66" s="0"/>
      <c r="NDB66" s="0"/>
      <c r="NDC66" s="0"/>
      <c r="NDD66" s="0"/>
      <c r="NDE66" s="0"/>
      <c r="NDF66" s="0"/>
      <c r="NDG66" s="0"/>
      <c r="NDH66" s="0"/>
      <c r="NDI66" s="0"/>
      <c r="NDJ66" s="0"/>
      <c r="NDK66" s="0"/>
      <c r="NDL66" s="0"/>
      <c r="NDM66" s="0"/>
      <c r="NDN66" s="0"/>
      <c r="NDO66" s="0"/>
      <c r="NDP66" s="0"/>
      <c r="NDQ66" s="0"/>
      <c r="NDR66" s="0"/>
      <c r="NDS66" s="0"/>
      <c r="NDT66" s="0"/>
      <c r="NDU66" s="0"/>
      <c r="NDV66" s="0"/>
      <c r="NDW66" s="0"/>
      <c r="NDX66" s="0"/>
      <c r="NDY66" s="0"/>
      <c r="NDZ66" s="0"/>
      <c r="NEA66" s="0"/>
      <c r="NEB66" s="0"/>
      <c r="NEC66" s="0"/>
      <c r="NED66" s="0"/>
      <c r="NEE66" s="0"/>
      <c r="NEF66" s="0"/>
      <c r="NEG66" s="0"/>
      <c r="NEH66" s="0"/>
      <c r="NEI66" s="0"/>
      <c r="NEJ66" s="0"/>
      <c r="NEK66" s="0"/>
      <c r="NEL66" s="0"/>
      <c r="NEM66" s="0"/>
      <c r="NEN66" s="0"/>
      <c r="NEO66" s="0"/>
      <c r="NEP66" s="0"/>
      <c r="NEQ66" s="0"/>
      <c r="NER66" s="0"/>
      <c r="NES66" s="0"/>
      <c r="NET66" s="0"/>
      <c r="NEU66" s="0"/>
      <c r="NEV66" s="0"/>
      <c r="NEW66" s="0"/>
      <c r="NEX66" s="0"/>
      <c r="NEY66" s="0"/>
      <c r="NEZ66" s="0"/>
      <c r="NFA66" s="0"/>
      <c r="NFB66" s="0"/>
      <c r="NFC66" s="0"/>
      <c r="NFD66" s="0"/>
      <c r="NFE66" s="0"/>
      <c r="NFF66" s="0"/>
      <c r="NFG66" s="0"/>
      <c r="NFH66" s="0"/>
      <c r="NFI66" s="0"/>
      <c r="NFJ66" s="0"/>
      <c r="NFK66" s="0"/>
      <c r="NFL66" s="0"/>
      <c r="NFM66" s="0"/>
      <c r="NFN66" s="0"/>
      <c r="NFO66" s="0"/>
      <c r="NFP66" s="0"/>
      <c r="NFQ66" s="0"/>
      <c r="NFR66" s="0"/>
      <c r="NFS66" s="0"/>
      <c r="NFT66" s="0"/>
      <c r="NFU66" s="0"/>
      <c r="NFV66" s="0"/>
      <c r="NFW66" s="0"/>
      <c r="NFX66" s="0"/>
      <c r="NFY66" s="0"/>
      <c r="NFZ66" s="0"/>
      <c r="NGA66" s="0"/>
      <c r="NGB66" s="0"/>
      <c r="NGC66" s="0"/>
      <c r="NGD66" s="0"/>
      <c r="NGE66" s="0"/>
      <c r="NGF66" s="0"/>
      <c r="NGG66" s="0"/>
      <c r="NGH66" s="0"/>
      <c r="NGI66" s="0"/>
      <c r="NGJ66" s="0"/>
      <c r="NGK66" s="0"/>
      <c r="NGL66" s="0"/>
      <c r="NGM66" s="0"/>
      <c r="NGN66" s="0"/>
      <c r="NGO66" s="0"/>
      <c r="NGP66" s="0"/>
      <c r="NGQ66" s="0"/>
      <c r="NGR66" s="0"/>
      <c r="NGS66" s="0"/>
      <c r="NGT66" s="0"/>
      <c r="NGU66" s="0"/>
      <c r="NGV66" s="0"/>
      <c r="NGW66" s="0"/>
      <c r="NGX66" s="0"/>
      <c r="NGY66" s="0"/>
      <c r="NGZ66" s="0"/>
      <c r="NHA66" s="0"/>
      <c r="NHB66" s="0"/>
      <c r="NHC66" s="0"/>
      <c r="NHD66" s="0"/>
      <c r="NHE66" s="0"/>
      <c r="NHF66" s="0"/>
      <c r="NHG66" s="0"/>
      <c r="NHH66" s="0"/>
      <c r="NHI66" s="0"/>
      <c r="NHJ66" s="0"/>
      <c r="NHK66" s="0"/>
      <c r="NHL66" s="0"/>
      <c r="NHM66" s="0"/>
      <c r="NHN66" s="0"/>
      <c r="NHO66" s="0"/>
      <c r="NHP66" s="0"/>
      <c r="NHQ66" s="0"/>
      <c r="NHR66" s="0"/>
      <c r="NHS66" s="0"/>
      <c r="NHT66" s="0"/>
      <c r="NHU66" s="0"/>
      <c r="NHV66" s="0"/>
      <c r="NHW66" s="0"/>
      <c r="NHX66" s="0"/>
      <c r="NHY66" s="0"/>
      <c r="NHZ66" s="0"/>
      <c r="NIA66" s="0"/>
      <c r="NIB66" s="0"/>
      <c r="NIC66" s="0"/>
      <c r="NID66" s="0"/>
      <c r="NIE66" s="0"/>
      <c r="NIF66" s="0"/>
      <c r="NIG66" s="0"/>
      <c r="NIH66" s="0"/>
      <c r="NII66" s="0"/>
      <c r="NIJ66" s="0"/>
      <c r="NIK66" s="0"/>
      <c r="NIL66" s="0"/>
      <c r="NIM66" s="0"/>
      <c r="NIN66" s="0"/>
      <c r="NIO66" s="0"/>
      <c r="NIP66" s="0"/>
      <c r="NIQ66" s="0"/>
      <c r="NIR66" s="0"/>
      <c r="NIS66" s="0"/>
      <c r="NIT66" s="0"/>
      <c r="NIU66" s="0"/>
      <c r="NIV66" s="0"/>
      <c r="NIW66" s="0"/>
      <c r="NIX66" s="0"/>
      <c r="NIY66" s="0"/>
      <c r="NIZ66" s="0"/>
      <c r="NJA66" s="0"/>
      <c r="NJB66" s="0"/>
      <c r="NJC66" s="0"/>
      <c r="NJD66" s="0"/>
      <c r="NJE66" s="0"/>
      <c r="NJF66" s="0"/>
      <c r="NJG66" s="0"/>
      <c r="NJH66" s="0"/>
      <c r="NJI66" s="0"/>
      <c r="NJJ66" s="0"/>
      <c r="NJK66" s="0"/>
      <c r="NJL66" s="0"/>
      <c r="NJM66" s="0"/>
      <c r="NJN66" s="0"/>
      <c r="NJO66" s="0"/>
      <c r="NJP66" s="0"/>
      <c r="NJQ66" s="0"/>
      <c r="NJR66" s="0"/>
      <c r="NJS66" s="0"/>
      <c r="NJT66" s="0"/>
      <c r="NJU66" s="0"/>
      <c r="NJV66" s="0"/>
      <c r="NJW66" s="0"/>
      <c r="NJX66" s="0"/>
      <c r="NJY66" s="0"/>
      <c r="NJZ66" s="0"/>
      <c r="NKA66" s="0"/>
      <c r="NKB66" s="0"/>
      <c r="NKC66" s="0"/>
      <c r="NKD66" s="0"/>
      <c r="NKE66" s="0"/>
      <c r="NKF66" s="0"/>
      <c r="NKG66" s="0"/>
      <c r="NKH66" s="0"/>
      <c r="NKI66" s="0"/>
      <c r="NKJ66" s="0"/>
      <c r="NKK66" s="0"/>
      <c r="NKL66" s="0"/>
      <c r="NKM66" s="0"/>
      <c r="NKN66" s="0"/>
      <c r="NKO66" s="0"/>
      <c r="NKP66" s="0"/>
      <c r="NKQ66" s="0"/>
      <c r="NKR66" s="0"/>
      <c r="NKS66" s="0"/>
      <c r="NKT66" s="0"/>
      <c r="NKU66" s="0"/>
      <c r="NKV66" s="0"/>
      <c r="NKW66" s="0"/>
      <c r="NKX66" s="0"/>
      <c r="NKY66" s="0"/>
      <c r="NKZ66" s="0"/>
      <c r="NLA66" s="0"/>
      <c r="NLB66" s="0"/>
      <c r="NLC66" s="0"/>
      <c r="NLD66" s="0"/>
      <c r="NLE66" s="0"/>
      <c r="NLF66" s="0"/>
      <c r="NLG66" s="0"/>
      <c r="NLH66" s="0"/>
      <c r="NLI66" s="0"/>
      <c r="NLJ66" s="0"/>
      <c r="NLK66" s="0"/>
      <c r="NLL66" s="0"/>
      <c r="NLM66" s="0"/>
      <c r="NLN66" s="0"/>
      <c r="NLO66" s="0"/>
      <c r="NLP66" s="0"/>
      <c r="NLQ66" s="0"/>
      <c r="NLR66" s="0"/>
      <c r="NLS66" s="0"/>
      <c r="NLT66" s="0"/>
      <c r="NLU66" s="0"/>
      <c r="NLV66" s="0"/>
      <c r="NLW66" s="0"/>
      <c r="NLX66" s="0"/>
      <c r="NLY66" s="0"/>
      <c r="NLZ66" s="0"/>
      <c r="NMA66" s="0"/>
      <c r="NMB66" s="0"/>
      <c r="NMC66" s="0"/>
      <c r="NMD66" s="0"/>
      <c r="NME66" s="0"/>
      <c r="NMF66" s="0"/>
      <c r="NMG66" s="0"/>
      <c r="NMH66" s="0"/>
      <c r="NMI66" s="0"/>
      <c r="NMJ66" s="0"/>
      <c r="NMK66" s="0"/>
      <c r="NML66" s="0"/>
      <c r="NMM66" s="0"/>
      <c r="NMN66" s="0"/>
      <c r="NMO66" s="0"/>
      <c r="NMP66" s="0"/>
      <c r="NMQ66" s="0"/>
      <c r="NMR66" s="0"/>
      <c r="NMS66" s="0"/>
      <c r="NMT66" s="0"/>
      <c r="NMU66" s="0"/>
      <c r="NMV66" s="0"/>
      <c r="NMW66" s="0"/>
      <c r="NMX66" s="0"/>
      <c r="NMY66" s="0"/>
      <c r="NMZ66" s="0"/>
      <c r="NNA66" s="0"/>
      <c r="NNB66" s="0"/>
      <c r="NNC66" s="0"/>
      <c r="NND66" s="0"/>
      <c r="NNE66" s="0"/>
      <c r="NNF66" s="0"/>
      <c r="NNG66" s="0"/>
      <c r="NNH66" s="0"/>
      <c r="NNI66" s="0"/>
      <c r="NNJ66" s="0"/>
      <c r="NNK66" s="0"/>
      <c r="NNL66" s="0"/>
      <c r="NNM66" s="0"/>
      <c r="NNN66" s="0"/>
      <c r="NNO66" s="0"/>
      <c r="NNP66" s="0"/>
      <c r="NNQ66" s="0"/>
      <c r="NNR66" s="0"/>
      <c r="NNS66" s="0"/>
      <c r="NNT66" s="0"/>
      <c r="NNU66" s="0"/>
      <c r="NNV66" s="0"/>
      <c r="NNW66" s="0"/>
      <c r="NNX66" s="0"/>
      <c r="NNY66" s="0"/>
      <c r="NNZ66" s="0"/>
      <c r="NOA66" s="0"/>
      <c r="NOB66" s="0"/>
      <c r="NOC66" s="0"/>
      <c r="NOD66" s="0"/>
      <c r="NOE66" s="0"/>
      <c r="NOF66" s="0"/>
      <c r="NOG66" s="0"/>
      <c r="NOH66" s="0"/>
      <c r="NOI66" s="0"/>
      <c r="NOJ66" s="0"/>
      <c r="NOK66" s="0"/>
      <c r="NOL66" s="0"/>
      <c r="NOM66" s="0"/>
      <c r="NON66" s="0"/>
      <c r="NOO66" s="0"/>
      <c r="NOP66" s="0"/>
      <c r="NOQ66" s="0"/>
      <c r="NOR66" s="0"/>
      <c r="NOS66" s="0"/>
      <c r="NOT66" s="0"/>
      <c r="NOU66" s="0"/>
      <c r="NOV66" s="0"/>
      <c r="NOW66" s="0"/>
      <c r="NOX66" s="0"/>
      <c r="NOY66" s="0"/>
      <c r="NOZ66" s="0"/>
      <c r="NPA66" s="0"/>
      <c r="NPB66" s="0"/>
      <c r="NPC66" s="0"/>
      <c r="NPD66" s="0"/>
      <c r="NPE66" s="0"/>
      <c r="NPF66" s="0"/>
      <c r="NPG66" s="0"/>
      <c r="NPH66" s="0"/>
      <c r="NPI66" s="0"/>
      <c r="NPJ66" s="0"/>
      <c r="NPK66" s="0"/>
      <c r="NPL66" s="0"/>
      <c r="NPM66" s="0"/>
      <c r="NPN66" s="0"/>
      <c r="NPO66" s="0"/>
      <c r="NPP66" s="0"/>
      <c r="NPQ66" s="0"/>
      <c r="NPR66" s="0"/>
      <c r="NPS66" s="0"/>
      <c r="NPT66" s="0"/>
      <c r="NPU66" s="0"/>
      <c r="NPV66" s="0"/>
      <c r="NPW66" s="0"/>
      <c r="NPX66" s="0"/>
      <c r="NPY66" s="0"/>
      <c r="NPZ66" s="0"/>
      <c r="NQA66" s="0"/>
      <c r="NQB66" s="0"/>
      <c r="NQC66" s="0"/>
      <c r="NQD66" s="0"/>
      <c r="NQE66" s="0"/>
      <c r="NQF66" s="0"/>
      <c r="NQG66" s="0"/>
      <c r="NQH66" s="0"/>
      <c r="NQI66" s="0"/>
      <c r="NQJ66" s="0"/>
      <c r="NQK66" s="0"/>
      <c r="NQL66" s="0"/>
      <c r="NQM66" s="0"/>
      <c r="NQN66" s="0"/>
      <c r="NQO66" s="0"/>
      <c r="NQP66" s="0"/>
      <c r="NQQ66" s="0"/>
      <c r="NQR66" s="0"/>
      <c r="NQS66" s="0"/>
      <c r="NQT66" s="0"/>
      <c r="NQU66" s="0"/>
      <c r="NQV66" s="0"/>
      <c r="NQW66" s="0"/>
      <c r="NQX66" s="0"/>
      <c r="NQY66" s="0"/>
      <c r="NQZ66" s="0"/>
      <c r="NRA66" s="0"/>
      <c r="NRB66" s="0"/>
      <c r="NRC66" s="0"/>
      <c r="NRD66" s="0"/>
      <c r="NRE66" s="0"/>
      <c r="NRF66" s="0"/>
      <c r="NRG66" s="0"/>
      <c r="NRH66" s="0"/>
      <c r="NRI66" s="0"/>
      <c r="NRJ66" s="0"/>
      <c r="NRK66" s="0"/>
      <c r="NRL66" s="0"/>
      <c r="NRM66" s="0"/>
      <c r="NRN66" s="0"/>
      <c r="NRO66" s="0"/>
      <c r="NRP66" s="0"/>
      <c r="NRQ66" s="0"/>
      <c r="NRR66" s="0"/>
      <c r="NRS66" s="0"/>
      <c r="NRT66" s="0"/>
      <c r="NRU66" s="0"/>
      <c r="NRV66" s="0"/>
      <c r="NRW66" s="0"/>
      <c r="NRX66" s="0"/>
      <c r="NRY66" s="0"/>
      <c r="NRZ66" s="0"/>
      <c r="NSA66" s="0"/>
      <c r="NSB66" s="0"/>
      <c r="NSC66" s="0"/>
      <c r="NSD66" s="0"/>
      <c r="NSE66" s="0"/>
      <c r="NSF66" s="0"/>
      <c r="NSG66" s="0"/>
      <c r="NSH66" s="0"/>
      <c r="NSI66" s="0"/>
      <c r="NSJ66" s="0"/>
      <c r="NSK66" s="0"/>
      <c r="NSL66" s="0"/>
      <c r="NSM66" s="0"/>
      <c r="NSN66" s="0"/>
      <c r="NSO66" s="0"/>
      <c r="NSP66" s="0"/>
      <c r="NSQ66" s="0"/>
      <c r="NSR66" s="0"/>
      <c r="NSS66" s="0"/>
      <c r="NST66" s="0"/>
      <c r="NSU66" s="0"/>
      <c r="NSV66" s="0"/>
      <c r="NSW66" s="0"/>
      <c r="NSX66" s="0"/>
      <c r="NSY66" s="0"/>
      <c r="NSZ66" s="0"/>
      <c r="NTA66" s="0"/>
      <c r="NTB66" s="0"/>
      <c r="NTC66" s="0"/>
      <c r="NTD66" s="0"/>
      <c r="NTE66" s="0"/>
      <c r="NTF66" s="0"/>
      <c r="NTG66" s="0"/>
      <c r="NTH66" s="0"/>
      <c r="NTI66" s="0"/>
      <c r="NTJ66" s="0"/>
      <c r="NTK66" s="0"/>
      <c r="NTL66" s="0"/>
      <c r="NTM66" s="0"/>
      <c r="NTN66" s="0"/>
      <c r="NTO66" s="0"/>
      <c r="NTP66" s="0"/>
      <c r="NTQ66" s="0"/>
      <c r="NTR66" s="0"/>
      <c r="NTS66" s="0"/>
      <c r="NTT66" s="0"/>
      <c r="NTU66" s="0"/>
      <c r="NTV66" s="0"/>
      <c r="NTW66" s="0"/>
      <c r="NTX66" s="0"/>
      <c r="NTY66" s="0"/>
      <c r="NTZ66" s="0"/>
      <c r="NUA66" s="0"/>
      <c r="NUB66" s="0"/>
      <c r="NUC66" s="0"/>
      <c r="NUD66" s="0"/>
      <c r="NUE66" s="0"/>
      <c r="NUF66" s="0"/>
      <c r="NUG66" s="0"/>
      <c r="NUH66" s="0"/>
      <c r="NUI66" s="0"/>
      <c r="NUJ66" s="0"/>
      <c r="NUK66" s="0"/>
      <c r="NUL66" s="0"/>
      <c r="NUM66" s="0"/>
      <c r="NUN66" s="0"/>
      <c r="NUO66" s="0"/>
      <c r="NUP66" s="0"/>
      <c r="NUQ66" s="0"/>
      <c r="NUR66" s="0"/>
      <c r="NUS66" s="0"/>
      <c r="NUT66" s="0"/>
      <c r="NUU66" s="0"/>
      <c r="NUV66" s="0"/>
      <c r="NUW66" s="0"/>
      <c r="NUX66" s="0"/>
      <c r="NUY66" s="0"/>
      <c r="NUZ66" s="0"/>
      <c r="NVA66" s="0"/>
      <c r="NVB66" s="0"/>
      <c r="NVC66" s="0"/>
      <c r="NVD66" s="0"/>
      <c r="NVE66" s="0"/>
      <c r="NVF66" s="0"/>
      <c r="NVG66" s="0"/>
      <c r="NVH66" s="0"/>
      <c r="NVI66" s="0"/>
      <c r="NVJ66" s="0"/>
      <c r="NVK66" s="0"/>
      <c r="NVL66" s="0"/>
      <c r="NVM66" s="0"/>
      <c r="NVN66" s="0"/>
      <c r="NVO66" s="0"/>
      <c r="NVP66" s="0"/>
      <c r="NVQ66" s="0"/>
      <c r="NVR66" s="0"/>
      <c r="NVS66" s="0"/>
      <c r="NVT66" s="0"/>
      <c r="NVU66" s="0"/>
      <c r="NVV66" s="0"/>
      <c r="NVW66" s="0"/>
      <c r="NVX66" s="0"/>
      <c r="NVY66" s="0"/>
      <c r="NVZ66" s="0"/>
      <c r="NWA66" s="0"/>
      <c r="NWB66" s="0"/>
      <c r="NWC66" s="0"/>
      <c r="NWD66" s="0"/>
      <c r="NWE66" s="0"/>
      <c r="NWF66" s="0"/>
      <c r="NWG66" s="0"/>
      <c r="NWH66" s="0"/>
      <c r="NWI66" s="0"/>
      <c r="NWJ66" s="0"/>
      <c r="NWK66" s="0"/>
      <c r="NWL66" s="0"/>
      <c r="NWM66" s="0"/>
      <c r="NWN66" s="0"/>
      <c r="NWO66" s="0"/>
      <c r="NWP66" s="0"/>
      <c r="NWQ66" s="0"/>
      <c r="NWR66" s="0"/>
      <c r="NWS66" s="0"/>
      <c r="NWT66" s="0"/>
      <c r="NWU66" s="0"/>
      <c r="NWV66" s="0"/>
      <c r="NWW66" s="0"/>
      <c r="NWX66" s="0"/>
      <c r="NWY66" s="0"/>
      <c r="NWZ66" s="0"/>
      <c r="NXA66" s="0"/>
      <c r="NXB66" s="0"/>
      <c r="NXC66" s="0"/>
      <c r="NXD66" s="0"/>
      <c r="NXE66" s="0"/>
      <c r="NXF66" s="0"/>
      <c r="NXG66" s="0"/>
      <c r="NXH66" s="0"/>
      <c r="NXI66" s="0"/>
      <c r="NXJ66" s="0"/>
      <c r="NXK66" s="0"/>
      <c r="NXL66" s="0"/>
      <c r="NXM66" s="0"/>
      <c r="NXN66" s="0"/>
      <c r="NXO66" s="0"/>
      <c r="NXP66" s="0"/>
      <c r="NXQ66" s="0"/>
      <c r="NXR66" s="0"/>
      <c r="NXS66" s="0"/>
      <c r="NXT66" s="0"/>
      <c r="NXU66" s="0"/>
      <c r="NXV66" s="0"/>
      <c r="NXW66" s="0"/>
      <c r="NXX66" s="0"/>
      <c r="NXY66" s="0"/>
      <c r="NXZ66" s="0"/>
      <c r="NYA66" s="0"/>
      <c r="NYB66" s="0"/>
      <c r="NYC66" s="0"/>
      <c r="NYD66" s="0"/>
      <c r="NYE66" s="0"/>
      <c r="NYF66" s="0"/>
      <c r="NYG66" s="0"/>
      <c r="NYH66" s="0"/>
      <c r="NYI66" s="0"/>
      <c r="NYJ66" s="0"/>
      <c r="NYK66" s="0"/>
      <c r="NYL66" s="0"/>
      <c r="NYM66" s="0"/>
      <c r="NYN66" s="0"/>
      <c r="NYO66" s="0"/>
      <c r="NYP66" s="0"/>
      <c r="NYQ66" s="0"/>
      <c r="NYR66" s="0"/>
      <c r="NYS66" s="0"/>
      <c r="NYT66" s="0"/>
      <c r="NYU66" s="0"/>
      <c r="NYV66" s="0"/>
      <c r="NYW66" s="0"/>
      <c r="NYX66" s="0"/>
      <c r="NYY66" s="0"/>
      <c r="NYZ66" s="0"/>
      <c r="NZA66" s="0"/>
      <c r="NZB66" s="0"/>
      <c r="NZC66" s="0"/>
      <c r="NZD66" s="0"/>
      <c r="NZE66" s="0"/>
      <c r="NZF66" s="0"/>
      <c r="NZG66" s="0"/>
      <c r="NZH66" s="0"/>
      <c r="NZI66" s="0"/>
      <c r="NZJ66" s="0"/>
      <c r="NZK66" s="0"/>
      <c r="NZL66" s="0"/>
      <c r="NZM66" s="0"/>
      <c r="NZN66" s="0"/>
      <c r="NZO66" s="0"/>
      <c r="NZP66" s="0"/>
      <c r="NZQ66" s="0"/>
      <c r="NZR66" s="0"/>
      <c r="NZS66" s="0"/>
      <c r="NZT66" s="0"/>
      <c r="NZU66" s="0"/>
      <c r="NZV66" s="0"/>
      <c r="NZW66" s="0"/>
      <c r="NZX66" s="0"/>
      <c r="NZY66" s="0"/>
      <c r="NZZ66" s="0"/>
      <c r="OAA66" s="0"/>
      <c r="OAB66" s="0"/>
      <c r="OAC66" s="0"/>
      <c r="OAD66" s="0"/>
      <c r="OAE66" s="0"/>
      <c r="OAF66" s="0"/>
      <c r="OAG66" s="0"/>
      <c r="OAH66" s="0"/>
      <c r="OAI66" s="0"/>
      <c r="OAJ66" s="0"/>
      <c r="OAK66" s="0"/>
      <c r="OAL66" s="0"/>
      <c r="OAM66" s="0"/>
      <c r="OAN66" s="0"/>
      <c r="OAO66" s="0"/>
      <c r="OAP66" s="0"/>
      <c r="OAQ66" s="0"/>
      <c r="OAR66" s="0"/>
      <c r="OAS66" s="0"/>
      <c r="OAT66" s="0"/>
      <c r="OAU66" s="0"/>
      <c r="OAV66" s="0"/>
      <c r="OAW66" s="0"/>
      <c r="OAX66" s="0"/>
      <c r="OAY66" s="0"/>
      <c r="OAZ66" s="0"/>
      <c r="OBA66" s="0"/>
      <c r="OBB66" s="0"/>
      <c r="OBC66" s="0"/>
      <c r="OBD66" s="0"/>
      <c r="OBE66" s="0"/>
      <c r="OBF66" s="0"/>
      <c r="OBG66" s="0"/>
      <c r="OBH66" s="0"/>
      <c r="OBI66" s="0"/>
      <c r="OBJ66" s="0"/>
      <c r="OBK66" s="0"/>
      <c r="OBL66" s="0"/>
      <c r="OBM66" s="0"/>
      <c r="OBN66" s="0"/>
      <c r="OBO66" s="0"/>
      <c r="OBP66" s="0"/>
      <c r="OBQ66" s="0"/>
      <c r="OBR66" s="0"/>
      <c r="OBS66" s="0"/>
      <c r="OBT66" s="0"/>
      <c r="OBU66" s="0"/>
      <c r="OBV66" s="0"/>
      <c r="OBW66" s="0"/>
      <c r="OBX66" s="0"/>
      <c r="OBY66" s="0"/>
      <c r="OBZ66" s="0"/>
      <c r="OCA66" s="0"/>
      <c r="OCB66" s="0"/>
      <c r="OCC66" s="0"/>
      <c r="OCD66" s="0"/>
      <c r="OCE66" s="0"/>
      <c r="OCF66" s="0"/>
      <c r="OCG66" s="0"/>
      <c r="OCH66" s="0"/>
      <c r="OCI66" s="0"/>
      <c r="OCJ66" s="0"/>
      <c r="OCK66" s="0"/>
      <c r="OCL66" s="0"/>
      <c r="OCM66" s="0"/>
      <c r="OCN66" s="0"/>
      <c r="OCO66" s="0"/>
      <c r="OCP66" s="0"/>
      <c r="OCQ66" s="0"/>
      <c r="OCR66" s="0"/>
      <c r="OCS66" s="0"/>
      <c r="OCT66" s="0"/>
      <c r="OCU66" s="0"/>
      <c r="OCV66" s="0"/>
      <c r="OCW66" s="0"/>
      <c r="OCX66" s="0"/>
      <c r="OCY66" s="0"/>
      <c r="OCZ66" s="0"/>
      <c r="ODA66" s="0"/>
      <c r="ODB66" s="0"/>
      <c r="ODC66" s="0"/>
      <c r="ODD66" s="0"/>
      <c r="ODE66" s="0"/>
      <c r="ODF66" s="0"/>
      <c r="ODG66" s="0"/>
      <c r="ODH66" s="0"/>
      <c r="ODI66" s="0"/>
      <c r="ODJ66" s="0"/>
      <c r="ODK66" s="0"/>
      <c r="ODL66" s="0"/>
      <c r="ODM66" s="0"/>
      <c r="ODN66" s="0"/>
      <c r="ODO66" s="0"/>
      <c r="ODP66" s="0"/>
      <c r="ODQ66" s="0"/>
      <c r="ODR66" s="0"/>
      <c r="ODS66" s="0"/>
      <c r="ODT66" s="0"/>
      <c r="ODU66" s="0"/>
      <c r="ODV66" s="0"/>
      <c r="ODW66" s="0"/>
      <c r="ODX66" s="0"/>
      <c r="ODY66" s="0"/>
      <c r="ODZ66" s="0"/>
      <c r="OEA66" s="0"/>
      <c r="OEB66" s="0"/>
      <c r="OEC66" s="0"/>
      <c r="OED66" s="0"/>
      <c r="OEE66" s="0"/>
      <c r="OEF66" s="0"/>
      <c r="OEG66" s="0"/>
      <c r="OEH66" s="0"/>
      <c r="OEI66" s="0"/>
      <c r="OEJ66" s="0"/>
      <c r="OEK66" s="0"/>
      <c r="OEL66" s="0"/>
      <c r="OEM66" s="0"/>
      <c r="OEN66" s="0"/>
      <c r="OEO66" s="0"/>
      <c r="OEP66" s="0"/>
      <c r="OEQ66" s="0"/>
      <c r="OER66" s="0"/>
      <c r="OES66" s="0"/>
      <c r="OET66" s="0"/>
      <c r="OEU66" s="0"/>
      <c r="OEV66" s="0"/>
      <c r="OEW66" s="0"/>
      <c r="OEX66" s="0"/>
      <c r="OEY66" s="0"/>
      <c r="OEZ66" s="0"/>
      <c r="OFA66" s="0"/>
      <c r="OFB66" s="0"/>
      <c r="OFC66" s="0"/>
      <c r="OFD66" s="0"/>
      <c r="OFE66" s="0"/>
      <c r="OFF66" s="0"/>
      <c r="OFG66" s="0"/>
      <c r="OFH66" s="0"/>
      <c r="OFI66" s="0"/>
      <c r="OFJ66" s="0"/>
      <c r="OFK66" s="0"/>
      <c r="OFL66" s="0"/>
      <c r="OFM66" s="0"/>
      <c r="OFN66" s="0"/>
      <c r="OFO66" s="0"/>
      <c r="OFP66" s="0"/>
      <c r="OFQ66" s="0"/>
      <c r="OFR66" s="0"/>
      <c r="OFS66" s="0"/>
      <c r="OFT66" s="0"/>
      <c r="OFU66" s="0"/>
      <c r="OFV66" s="0"/>
      <c r="OFW66" s="0"/>
      <c r="OFX66" s="0"/>
      <c r="OFY66" s="0"/>
      <c r="OFZ66" s="0"/>
      <c r="OGA66" s="0"/>
      <c r="OGB66" s="0"/>
      <c r="OGC66" s="0"/>
      <c r="OGD66" s="0"/>
      <c r="OGE66" s="0"/>
      <c r="OGF66" s="0"/>
      <c r="OGG66" s="0"/>
      <c r="OGH66" s="0"/>
      <c r="OGI66" s="0"/>
      <c r="OGJ66" s="0"/>
      <c r="OGK66" s="0"/>
      <c r="OGL66" s="0"/>
      <c r="OGM66" s="0"/>
      <c r="OGN66" s="0"/>
      <c r="OGO66" s="0"/>
      <c r="OGP66" s="0"/>
      <c r="OGQ66" s="0"/>
      <c r="OGR66" s="0"/>
      <c r="OGS66" s="0"/>
      <c r="OGT66" s="0"/>
      <c r="OGU66" s="0"/>
      <c r="OGV66" s="0"/>
      <c r="OGW66" s="0"/>
      <c r="OGX66" s="0"/>
      <c r="OGY66" s="0"/>
      <c r="OGZ66" s="0"/>
      <c r="OHA66" s="0"/>
      <c r="OHB66" s="0"/>
      <c r="OHC66" s="0"/>
      <c r="OHD66" s="0"/>
      <c r="OHE66" s="0"/>
      <c r="OHF66" s="0"/>
      <c r="OHG66" s="0"/>
      <c r="OHH66" s="0"/>
      <c r="OHI66" s="0"/>
      <c r="OHJ66" s="0"/>
      <c r="OHK66" s="0"/>
      <c r="OHL66" s="0"/>
      <c r="OHM66" s="0"/>
      <c r="OHN66" s="0"/>
      <c r="OHO66" s="0"/>
      <c r="OHP66" s="0"/>
      <c r="OHQ66" s="0"/>
      <c r="OHR66" s="0"/>
      <c r="OHS66" s="0"/>
      <c r="OHT66" s="0"/>
      <c r="OHU66" s="0"/>
      <c r="OHV66" s="0"/>
      <c r="OHW66" s="0"/>
      <c r="OHX66" s="0"/>
      <c r="OHY66" s="0"/>
      <c r="OHZ66" s="0"/>
      <c r="OIA66" s="0"/>
      <c r="OIB66" s="0"/>
      <c r="OIC66" s="0"/>
      <c r="OID66" s="0"/>
      <c r="OIE66" s="0"/>
      <c r="OIF66" s="0"/>
      <c r="OIG66" s="0"/>
      <c r="OIH66" s="0"/>
      <c r="OII66" s="0"/>
      <c r="OIJ66" s="0"/>
      <c r="OIK66" s="0"/>
      <c r="OIL66" s="0"/>
      <c r="OIM66" s="0"/>
      <c r="OIN66" s="0"/>
      <c r="OIO66" s="0"/>
      <c r="OIP66" s="0"/>
      <c r="OIQ66" s="0"/>
      <c r="OIR66" s="0"/>
      <c r="OIS66" s="0"/>
      <c r="OIT66" s="0"/>
      <c r="OIU66" s="0"/>
      <c r="OIV66" s="0"/>
      <c r="OIW66" s="0"/>
      <c r="OIX66" s="0"/>
      <c r="OIY66" s="0"/>
      <c r="OIZ66" s="0"/>
      <c r="OJA66" s="0"/>
      <c r="OJB66" s="0"/>
      <c r="OJC66" s="0"/>
      <c r="OJD66" s="0"/>
      <c r="OJE66" s="0"/>
      <c r="OJF66" s="0"/>
      <c r="OJG66" s="0"/>
      <c r="OJH66" s="0"/>
      <c r="OJI66" s="0"/>
      <c r="OJJ66" s="0"/>
      <c r="OJK66" s="0"/>
      <c r="OJL66" s="0"/>
      <c r="OJM66" s="0"/>
      <c r="OJN66" s="0"/>
      <c r="OJO66" s="0"/>
      <c r="OJP66" s="0"/>
      <c r="OJQ66" s="0"/>
      <c r="OJR66" s="0"/>
      <c r="OJS66" s="0"/>
      <c r="OJT66" s="0"/>
      <c r="OJU66" s="0"/>
      <c r="OJV66" s="0"/>
      <c r="OJW66" s="0"/>
      <c r="OJX66" s="0"/>
      <c r="OJY66" s="0"/>
      <c r="OJZ66" s="0"/>
      <c r="OKA66" s="0"/>
      <c r="OKB66" s="0"/>
      <c r="OKC66" s="0"/>
      <c r="OKD66" s="0"/>
      <c r="OKE66" s="0"/>
      <c r="OKF66" s="0"/>
      <c r="OKG66" s="0"/>
      <c r="OKH66" s="0"/>
      <c r="OKI66" s="0"/>
      <c r="OKJ66" s="0"/>
      <c r="OKK66" s="0"/>
      <c r="OKL66" s="0"/>
      <c r="OKM66" s="0"/>
      <c r="OKN66" s="0"/>
      <c r="OKO66" s="0"/>
      <c r="OKP66" s="0"/>
      <c r="OKQ66" s="0"/>
      <c r="OKR66" s="0"/>
      <c r="OKS66" s="0"/>
      <c r="OKT66" s="0"/>
      <c r="OKU66" s="0"/>
      <c r="OKV66" s="0"/>
      <c r="OKW66" s="0"/>
      <c r="OKX66" s="0"/>
      <c r="OKY66" s="0"/>
      <c r="OKZ66" s="0"/>
      <c r="OLA66" s="0"/>
      <c r="OLB66" s="0"/>
      <c r="OLC66" s="0"/>
      <c r="OLD66" s="0"/>
      <c r="OLE66" s="0"/>
      <c r="OLF66" s="0"/>
      <c r="OLG66" s="0"/>
      <c r="OLH66" s="0"/>
      <c r="OLI66" s="0"/>
      <c r="OLJ66" s="0"/>
      <c r="OLK66" s="0"/>
      <c r="OLL66" s="0"/>
      <c r="OLM66" s="0"/>
      <c r="OLN66" s="0"/>
      <c r="OLO66" s="0"/>
      <c r="OLP66" s="0"/>
      <c r="OLQ66" s="0"/>
      <c r="OLR66" s="0"/>
      <c r="OLS66" s="0"/>
      <c r="OLT66" s="0"/>
      <c r="OLU66" s="0"/>
      <c r="OLV66" s="0"/>
      <c r="OLW66" s="0"/>
      <c r="OLX66" s="0"/>
      <c r="OLY66" s="0"/>
      <c r="OLZ66" s="0"/>
      <c r="OMA66" s="0"/>
      <c r="OMB66" s="0"/>
      <c r="OMC66" s="0"/>
      <c r="OMD66" s="0"/>
      <c r="OME66" s="0"/>
      <c r="OMF66" s="0"/>
      <c r="OMG66" s="0"/>
      <c r="OMH66" s="0"/>
      <c r="OMI66" s="0"/>
      <c r="OMJ66" s="0"/>
      <c r="OMK66" s="0"/>
      <c r="OML66" s="0"/>
      <c r="OMM66" s="0"/>
      <c r="OMN66" s="0"/>
      <c r="OMO66" s="0"/>
      <c r="OMP66" s="0"/>
      <c r="OMQ66" s="0"/>
      <c r="OMR66" s="0"/>
      <c r="OMS66" s="0"/>
      <c r="OMT66" s="0"/>
      <c r="OMU66" s="0"/>
      <c r="OMV66" s="0"/>
      <c r="OMW66" s="0"/>
      <c r="OMX66" s="0"/>
      <c r="OMY66" s="0"/>
      <c r="OMZ66" s="0"/>
      <c r="ONA66" s="0"/>
      <c r="ONB66" s="0"/>
      <c r="ONC66" s="0"/>
      <c r="OND66" s="0"/>
      <c r="ONE66" s="0"/>
      <c r="ONF66" s="0"/>
      <c r="ONG66" s="0"/>
      <c r="ONH66" s="0"/>
      <c r="ONI66" s="0"/>
      <c r="ONJ66" s="0"/>
      <c r="ONK66" s="0"/>
      <c r="ONL66" s="0"/>
      <c r="ONM66" s="0"/>
      <c r="ONN66" s="0"/>
      <c r="ONO66" s="0"/>
      <c r="ONP66" s="0"/>
      <c r="ONQ66" s="0"/>
      <c r="ONR66" s="0"/>
      <c r="ONS66" s="0"/>
      <c r="ONT66" s="0"/>
      <c r="ONU66" s="0"/>
      <c r="ONV66" s="0"/>
      <c r="ONW66" s="0"/>
      <c r="ONX66" s="0"/>
      <c r="ONY66" s="0"/>
      <c r="ONZ66" s="0"/>
      <c r="OOA66" s="0"/>
      <c r="OOB66" s="0"/>
      <c r="OOC66" s="0"/>
      <c r="OOD66" s="0"/>
      <c r="OOE66" s="0"/>
      <c r="OOF66" s="0"/>
      <c r="OOG66" s="0"/>
      <c r="OOH66" s="0"/>
      <c r="OOI66" s="0"/>
      <c r="OOJ66" s="0"/>
      <c r="OOK66" s="0"/>
      <c r="OOL66" s="0"/>
      <c r="OOM66" s="0"/>
      <c r="OON66" s="0"/>
      <c r="OOO66" s="0"/>
      <c r="OOP66" s="0"/>
      <c r="OOQ66" s="0"/>
      <c r="OOR66" s="0"/>
      <c r="OOS66" s="0"/>
      <c r="OOT66" s="0"/>
      <c r="OOU66" s="0"/>
      <c r="OOV66" s="0"/>
      <c r="OOW66" s="0"/>
      <c r="OOX66" s="0"/>
      <c r="OOY66" s="0"/>
      <c r="OOZ66" s="0"/>
      <c r="OPA66" s="0"/>
      <c r="OPB66" s="0"/>
      <c r="OPC66" s="0"/>
      <c r="OPD66" s="0"/>
      <c r="OPE66" s="0"/>
      <c r="OPF66" s="0"/>
      <c r="OPG66" s="0"/>
      <c r="OPH66" s="0"/>
      <c r="OPI66" s="0"/>
      <c r="OPJ66" s="0"/>
      <c r="OPK66" s="0"/>
      <c r="OPL66" s="0"/>
      <c r="OPM66" s="0"/>
      <c r="OPN66" s="0"/>
      <c r="OPO66" s="0"/>
      <c r="OPP66" s="0"/>
      <c r="OPQ66" s="0"/>
      <c r="OPR66" s="0"/>
      <c r="OPS66" s="0"/>
      <c r="OPT66" s="0"/>
      <c r="OPU66" s="0"/>
      <c r="OPV66" s="0"/>
      <c r="OPW66" s="0"/>
      <c r="OPX66" s="0"/>
      <c r="OPY66" s="0"/>
      <c r="OPZ66" s="0"/>
      <c r="OQA66" s="0"/>
      <c r="OQB66" s="0"/>
      <c r="OQC66" s="0"/>
      <c r="OQD66" s="0"/>
      <c r="OQE66" s="0"/>
      <c r="OQF66" s="0"/>
      <c r="OQG66" s="0"/>
      <c r="OQH66" s="0"/>
      <c r="OQI66" s="0"/>
      <c r="OQJ66" s="0"/>
      <c r="OQK66" s="0"/>
      <c r="OQL66" s="0"/>
      <c r="OQM66" s="0"/>
      <c r="OQN66" s="0"/>
      <c r="OQO66" s="0"/>
      <c r="OQP66" s="0"/>
      <c r="OQQ66" s="0"/>
      <c r="OQR66" s="0"/>
      <c r="OQS66" s="0"/>
      <c r="OQT66" s="0"/>
      <c r="OQU66" s="0"/>
      <c r="OQV66" s="0"/>
      <c r="OQW66" s="0"/>
      <c r="OQX66" s="0"/>
      <c r="OQY66" s="0"/>
      <c r="OQZ66" s="0"/>
      <c r="ORA66" s="0"/>
      <c r="ORB66" s="0"/>
      <c r="ORC66" s="0"/>
      <c r="ORD66" s="0"/>
      <c r="ORE66" s="0"/>
      <c r="ORF66" s="0"/>
      <c r="ORG66" s="0"/>
      <c r="ORH66" s="0"/>
      <c r="ORI66" s="0"/>
      <c r="ORJ66" s="0"/>
      <c r="ORK66" s="0"/>
      <c r="ORL66" s="0"/>
      <c r="ORM66" s="0"/>
      <c r="ORN66" s="0"/>
      <c r="ORO66" s="0"/>
      <c r="ORP66" s="0"/>
      <c r="ORQ66" s="0"/>
      <c r="ORR66" s="0"/>
      <c r="ORS66" s="0"/>
      <c r="ORT66" s="0"/>
      <c r="ORU66" s="0"/>
      <c r="ORV66" s="0"/>
      <c r="ORW66" s="0"/>
      <c r="ORX66" s="0"/>
      <c r="ORY66" s="0"/>
      <c r="ORZ66" s="0"/>
      <c r="OSA66" s="0"/>
      <c r="OSB66" s="0"/>
      <c r="OSC66" s="0"/>
      <c r="OSD66" s="0"/>
      <c r="OSE66" s="0"/>
      <c r="OSF66" s="0"/>
      <c r="OSG66" s="0"/>
      <c r="OSH66" s="0"/>
      <c r="OSI66" s="0"/>
      <c r="OSJ66" s="0"/>
      <c r="OSK66" s="0"/>
      <c r="OSL66" s="0"/>
      <c r="OSM66" s="0"/>
      <c r="OSN66" s="0"/>
      <c r="OSO66" s="0"/>
      <c r="OSP66" s="0"/>
      <c r="OSQ66" s="0"/>
      <c r="OSR66" s="0"/>
      <c r="OSS66" s="0"/>
      <c r="OST66" s="0"/>
      <c r="OSU66" s="0"/>
      <c r="OSV66" s="0"/>
      <c r="OSW66" s="0"/>
      <c r="OSX66" s="0"/>
      <c r="OSY66" s="0"/>
      <c r="OSZ66" s="0"/>
      <c r="OTA66" s="0"/>
      <c r="OTB66" s="0"/>
      <c r="OTC66" s="0"/>
      <c r="OTD66" s="0"/>
      <c r="OTE66" s="0"/>
      <c r="OTF66" s="0"/>
      <c r="OTG66" s="0"/>
      <c r="OTH66" s="0"/>
      <c r="OTI66" s="0"/>
      <c r="OTJ66" s="0"/>
      <c r="OTK66" s="0"/>
      <c r="OTL66" s="0"/>
      <c r="OTM66" s="0"/>
      <c r="OTN66" s="0"/>
      <c r="OTO66" s="0"/>
      <c r="OTP66" s="0"/>
      <c r="OTQ66" s="0"/>
      <c r="OTR66" s="0"/>
      <c r="OTS66" s="0"/>
      <c r="OTT66" s="0"/>
      <c r="OTU66" s="0"/>
      <c r="OTV66" s="0"/>
      <c r="OTW66" s="0"/>
      <c r="OTX66" s="0"/>
      <c r="OTY66" s="0"/>
      <c r="OTZ66" s="0"/>
      <c r="OUA66" s="0"/>
      <c r="OUB66" s="0"/>
      <c r="OUC66" s="0"/>
      <c r="OUD66" s="0"/>
      <c r="OUE66" s="0"/>
      <c r="OUF66" s="0"/>
      <c r="OUG66" s="0"/>
      <c r="OUH66" s="0"/>
      <c r="OUI66" s="0"/>
      <c r="OUJ66" s="0"/>
      <c r="OUK66" s="0"/>
      <c r="OUL66" s="0"/>
      <c r="OUM66" s="0"/>
      <c r="OUN66" s="0"/>
      <c r="OUO66" s="0"/>
      <c r="OUP66" s="0"/>
      <c r="OUQ66" s="0"/>
      <c r="OUR66" s="0"/>
      <c r="OUS66" s="0"/>
      <c r="OUT66" s="0"/>
      <c r="OUU66" s="0"/>
      <c r="OUV66" s="0"/>
      <c r="OUW66" s="0"/>
      <c r="OUX66" s="0"/>
      <c r="OUY66" s="0"/>
      <c r="OUZ66" s="0"/>
      <c r="OVA66" s="0"/>
      <c r="OVB66" s="0"/>
      <c r="OVC66" s="0"/>
      <c r="OVD66" s="0"/>
      <c r="OVE66" s="0"/>
      <c r="OVF66" s="0"/>
      <c r="OVG66" s="0"/>
      <c r="OVH66" s="0"/>
      <c r="OVI66" s="0"/>
      <c r="OVJ66" s="0"/>
      <c r="OVK66" s="0"/>
      <c r="OVL66" s="0"/>
      <c r="OVM66" s="0"/>
      <c r="OVN66" s="0"/>
      <c r="OVO66" s="0"/>
      <c r="OVP66" s="0"/>
      <c r="OVQ66" s="0"/>
      <c r="OVR66" s="0"/>
      <c r="OVS66" s="0"/>
      <c r="OVT66" s="0"/>
      <c r="OVU66" s="0"/>
      <c r="OVV66" s="0"/>
      <c r="OVW66" s="0"/>
      <c r="OVX66" s="0"/>
      <c r="OVY66" s="0"/>
      <c r="OVZ66" s="0"/>
      <c r="OWA66" s="0"/>
      <c r="OWB66" s="0"/>
      <c r="OWC66" s="0"/>
      <c r="OWD66" s="0"/>
      <c r="OWE66" s="0"/>
      <c r="OWF66" s="0"/>
      <c r="OWG66" s="0"/>
      <c r="OWH66" s="0"/>
      <c r="OWI66" s="0"/>
      <c r="OWJ66" s="0"/>
      <c r="OWK66" s="0"/>
      <c r="OWL66" s="0"/>
      <c r="OWM66" s="0"/>
      <c r="OWN66" s="0"/>
      <c r="OWO66" s="0"/>
      <c r="OWP66" s="0"/>
      <c r="OWQ66" s="0"/>
      <c r="OWR66" s="0"/>
      <c r="OWS66" s="0"/>
      <c r="OWT66" s="0"/>
      <c r="OWU66" s="0"/>
      <c r="OWV66" s="0"/>
      <c r="OWW66" s="0"/>
      <c r="OWX66" s="0"/>
      <c r="OWY66" s="0"/>
      <c r="OWZ66" s="0"/>
      <c r="OXA66" s="0"/>
      <c r="OXB66" s="0"/>
      <c r="OXC66" s="0"/>
      <c r="OXD66" s="0"/>
      <c r="OXE66" s="0"/>
      <c r="OXF66" s="0"/>
      <c r="OXG66" s="0"/>
      <c r="OXH66" s="0"/>
      <c r="OXI66" s="0"/>
      <c r="OXJ66" s="0"/>
      <c r="OXK66" s="0"/>
      <c r="OXL66" s="0"/>
      <c r="OXM66" s="0"/>
      <c r="OXN66" s="0"/>
      <c r="OXO66" s="0"/>
      <c r="OXP66" s="0"/>
      <c r="OXQ66" s="0"/>
      <c r="OXR66" s="0"/>
      <c r="OXS66" s="0"/>
      <c r="OXT66" s="0"/>
      <c r="OXU66" s="0"/>
      <c r="OXV66" s="0"/>
      <c r="OXW66" s="0"/>
      <c r="OXX66" s="0"/>
      <c r="OXY66" s="0"/>
      <c r="OXZ66" s="0"/>
      <c r="OYA66" s="0"/>
      <c r="OYB66" s="0"/>
      <c r="OYC66" s="0"/>
      <c r="OYD66" s="0"/>
      <c r="OYE66" s="0"/>
      <c r="OYF66" s="0"/>
      <c r="OYG66" s="0"/>
      <c r="OYH66" s="0"/>
      <c r="OYI66" s="0"/>
      <c r="OYJ66" s="0"/>
      <c r="OYK66" s="0"/>
      <c r="OYL66" s="0"/>
      <c r="OYM66" s="0"/>
      <c r="OYN66" s="0"/>
      <c r="OYO66" s="0"/>
      <c r="OYP66" s="0"/>
      <c r="OYQ66" s="0"/>
      <c r="OYR66" s="0"/>
      <c r="OYS66" s="0"/>
      <c r="OYT66" s="0"/>
      <c r="OYU66" s="0"/>
      <c r="OYV66" s="0"/>
      <c r="OYW66" s="0"/>
      <c r="OYX66" s="0"/>
      <c r="OYY66" s="0"/>
      <c r="OYZ66" s="0"/>
      <c r="OZA66" s="0"/>
      <c r="OZB66" s="0"/>
      <c r="OZC66" s="0"/>
      <c r="OZD66" s="0"/>
      <c r="OZE66" s="0"/>
      <c r="OZF66" s="0"/>
      <c r="OZG66" s="0"/>
      <c r="OZH66" s="0"/>
      <c r="OZI66" s="0"/>
      <c r="OZJ66" s="0"/>
      <c r="OZK66" s="0"/>
      <c r="OZL66" s="0"/>
      <c r="OZM66" s="0"/>
      <c r="OZN66" s="0"/>
      <c r="OZO66" s="0"/>
      <c r="OZP66" s="0"/>
      <c r="OZQ66" s="0"/>
      <c r="OZR66" s="0"/>
      <c r="OZS66" s="0"/>
      <c r="OZT66" s="0"/>
      <c r="OZU66" s="0"/>
      <c r="OZV66" s="0"/>
      <c r="OZW66" s="0"/>
      <c r="OZX66" s="0"/>
      <c r="OZY66" s="0"/>
      <c r="OZZ66" s="0"/>
      <c r="PAA66" s="0"/>
      <c r="PAB66" s="0"/>
      <c r="PAC66" s="0"/>
      <c r="PAD66" s="0"/>
      <c r="PAE66" s="0"/>
      <c r="PAF66" s="0"/>
      <c r="PAG66" s="0"/>
      <c r="PAH66" s="0"/>
      <c r="PAI66" s="0"/>
      <c r="PAJ66" s="0"/>
      <c r="PAK66" s="0"/>
      <c r="PAL66" s="0"/>
      <c r="PAM66" s="0"/>
      <c r="PAN66" s="0"/>
      <c r="PAO66" s="0"/>
      <c r="PAP66" s="0"/>
      <c r="PAQ66" s="0"/>
      <c r="PAR66" s="0"/>
      <c r="PAS66" s="0"/>
      <c r="PAT66" s="0"/>
      <c r="PAU66" s="0"/>
      <c r="PAV66" s="0"/>
      <c r="PAW66" s="0"/>
      <c r="PAX66" s="0"/>
      <c r="PAY66" s="0"/>
      <c r="PAZ66" s="0"/>
      <c r="PBA66" s="0"/>
      <c r="PBB66" s="0"/>
      <c r="PBC66" s="0"/>
      <c r="PBD66" s="0"/>
      <c r="PBE66" s="0"/>
      <c r="PBF66" s="0"/>
      <c r="PBG66" s="0"/>
      <c r="PBH66" s="0"/>
      <c r="PBI66" s="0"/>
      <c r="PBJ66" s="0"/>
      <c r="PBK66" s="0"/>
      <c r="PBL66" s="0"/>
      <c r="PBM66" s="0"/>
      <c r="PBN66" s="0"/>
      <c r="PBO66" s="0"/>
      <c r="PBP66" s="0"/>
      <c r="PBQ66" s="0"/>
      <c r="PBR66" s="0"/>
      <c r="PBS66" s="0"/>
      <c r="PBT66" s="0"/>
      <c r="PBU66" s="0"/>
      <c r="PBV66" s="0"/>
      <c r="PBW66" s="0"/>
      <c r="PBX66" s="0"/>
      <c r="PBY66" s="0"/>
      <c r="PBZ66" s="0"/>
      <c r="PCA66" s="0"/>
      <c r="PCB66" s="0"/>
      <c r="PCC66" s="0"/>
      <c r="PCD66" s="0"/>
      <c r="PCE66" s="0"/>
      <c r="PCF66" s="0"/>
      <c r="PCG66" s="0"/>
      <c r="PCH66" s="0"/>
      <c r="PCI66" s="0"/>
      <c r="PCJ66" s="0"/>
      <c r="PCK66" s="0"/>
      <c r="PCL66" s="0"/>
      <c r="PCM66" s="0"/>
      <c r="PCN66" s="0"/>
      <c r="PCO66" s="0"/>
      <c r="PCP66" s="0"/>
      <c r="PCQ66" s="0"/>
      <c r="PCR66" s="0"/>
      <c r="PCS66" s="0"/>
      <c r="PCT66" s="0"/>
      <c r="PCU66" s="0"/>
      <c r="PCV66" s="0"/>
      <c r="PCW66" s="0"/>
      <c r="PCX66" s="0"/>
      <c r="PCY66" s="0"/>
      <c r="PCZ66" s="0"/>
      <c r="PDA66" s="0"/>
      <c r="PDB66" s="0"/>
      <c r="PDC66" s="0"/>
      <c r="PDD66" s="0"/>
      <c r="PDE66" s="0"/>
      <c r="PDF66" s="0"/>
      <c r="PDG66" s="0"/>
      <c r="PDH66" s="0"/>
      <c r="PDI66" s="0"/>
      <c r="PDJ66" s="0"/>
      <c r="PDK66" s="0"/>
      <c r="PDL66" s="0"/>
      <c r="PDM66" s="0"/>
      <c r="PDN66" s="0"/>
      <c r="PDO66" s="0"/>
      <c r="PDP66" s="0"/>
      <c r="PDQ66" s="0"/>
      <c r="PDR66" s="0"/>
      <c r="PDS66" s="0"/>
      <c r="PDT66" s="0"/>
      <c r="PDU66" s="0"/>
      <c r="PDV66" s="0"/>
      <c r="PDW66" s="0"/>
      <c r="PDX66" s="0"/>
      <c r="PDY66" s="0"/>
      <c r="PDZ66" s="0"/>
      <c r="PEA66" s="0"/>
      <c r="PEB66" s="0"/>
      <c r="PEC66" s="0"/>
      <c r="PED66" s="0"/>
      <c r="PEE66" s="0"/>
      <c r="PEF66" s="0"/>
      <c r="PEG66" s="0"/>
      <c r="PEH66" s="0"/>
      <c r="PEI66" s="0"/>
      <c r="PEJ66" s="0"/>
      <c r="PEK66" s="0"/>
      <c r="PEL66" s="0"/>
      <c r="PEM66" s="0"/>
      <c r="PEN66" s="0"/>
      <c r="PEO66" s="0"/>
      <c r="PEP66" s="0"/>
      <c r="PEQ66" s="0"/>
      <c r="PER66" s="0"/>
      <c r="PES66" s="0"/>
      <c r="PET66" s="0"/>
      <c r="PEU66" s="0"/>
      <c r="PEV66" s="0"/>
      <c r="PEW66" s="0"/>
      <c r="PEX66" s="0"/>
      <c r="PEY66" s="0"/>
      <c r="PEZ66" s="0"/>
      <c r="PFA66" s="0"/>
      <c r="PFB66" s="0"/>
      <c r="PFC66" s="0"/>
      <c r="PFD66" s="0"/>
      <c r="PFE66" s="0"/>
      <c r="PFF66" s="0"/>
      <c r="PFG66" s="0"/>
      <c r="PFH66" s="0"/>
      <c r="PFI66" s="0"/>
      <c r="PFJ66" s="0"/>
      <c r="PFK66" s="0"/>
      <c r="PFL66" s="0"/>
      <c r="PFM66" s="0"/>
      <c r="PFN66" s="0"/>
      <c r="PFO66" s="0"/>
      <c r="PFP66" s="0"/>
      <c r="PFQ66" s="0"/>
      <c r="PFR66" s="0"/>
      <c r="PFS66" s="0"/>
      <c r="PFT66" s="0"/>
      <c r="PFU66" s="0"/>
      <c r="PFV66" s="0"/>
      <c r="PFW66" s="0"/>
      <c r="PFX66" s="0"/>
      <c r="PFY66" s="0"/>
      <c r="PFZ66" s="0"/>
      <c r="PGA66" s="0"/>
      <c r="PGB66" s="0"/>
      <c r="PGC66" s="0"/>
      <c r="PGD66" s="0"/>
      <c r="PGE66" s="0"/>
      <c r="PGF66" s="0"/>
      <c r="PGG66" s="0"/>
      <c r="PGH66" s="0"/>
      <c r="PGI66" s="0"/>
      <c r="PGJ66" s="0"/>
      <c r="PGK66" s="0"/>
      <c r="PGL66" s="0"/>
      <c r="PGM66" s="0"/>
      <c r="PGN66" s="0"/>
      <c r="PGO66" s="0"/>
      <c r="PGP66" s="0"/>
      <c r="PGQ66" s="0"/>
      <c r="PGR66" s="0"/>
      <c r="PGS66" s="0"/>
      <c r="PGT66" s="0"/>
      <c r="PGU66" s="0"/>
      <c r="PGV66" s="0"/>
      <c r="PGW66" s="0"/>
      <c r="PGX66" s="0"/>
      <c r="PGY66" s="0"/>
      <c r="PGZ66" s="0"/>
      <c r="PHA66" s="0"/>
      <c r="PHB66" s="0"/>
      <c r="PHC66" s="0"/>
      <c r="PHD66" s="0"/>
      <c r="PHE66" s="0"/>
      <c r="PHF66" s="0"/>
      <c r="PHG66" s="0"/>
      <c r="PHH66" s="0"/>
      <c r="PHI66" s="0"/>
      <c r="PHJ66" s="0"/>
      <c r="PHK66" s="0"/>
      <c r="PHL66" s="0"/>
      <c r="PHM66" s="0"/>
      <c r="PHN66" s="0"/>
      <c r="PHO66" s="0"/>
      <c r="PHP66" s="0"/>
      <c r="PHQ66" s="0"/>
      <c r="PHR66" s="0"/>
      <c r="PHS66" s="0"/>
      <c r="PHT66" s="0"/>
      <c r="PHU66" s="0"/>
      <c r="PHV66" s="0"/>
      <c r="PHW66" s="0"/>
      <c r="PHX66" s="0"/>
      <c r="PHY66" s="0"/>
      <c r="PHZ66" s="0"/>
      <c r="PIA66" s="0"/>
      <c r="PIB66" s="0"/>
      <c r="PIC66" s="0"/>
      <c r="PID66" s="0"/>
      <c r="PIE66" s="0"/>
      <c r="PIF66" s="0"/>
      <c r="PIG66" s="0"/>
      <c r="PIH66" s="0"/>
      <c r="PII66" s="0"/>
      <c r="PIJ66" s="0"/>
      <c r="PIK66" s="0"/>
      <c r="PIL66" s="0"/>
      <c r="PIM66" s="0"/>
      <c r="PIN66" s="0"/>
      <c r="PIO66" s="0"/>
      <c r="PIP66" s="0"/>
      <c r="PIQ66" s="0"/>
      <c r="PIR66" s="0"/>
      <c r="PIS66" s="0"/>
      <c r="PIT66" s="0"/>
      <c r="PIU66" s="0"/>
      <c r="PIV66" s="0"/>
      <c r="PIW66" s="0"/>
      <c r="PIX66" s="0"/>
      <c r="PIY66" s="0"/>
      <c r="PIZ66" s="0"/>
      <c r="PJA66" s="0"/>
      <c r="PJB66" s="0"/>
      <c r="PJC66" s="0"/>
      <c r="PJD66" s="0"/>
      <c r="PJE66" s="0"/>
      <c r="PJF66" s="0"/>
      <c r="PJG66" s="0"/>
      <c r="PJH66" s="0"/>
      <c r="PJI66" s="0"/>
      <c r="PJJ66" s="0"/>
      <c r="PJK66" s="0"/>
      <c r="PJL66" s="0"/>
      <c r="PJM66" s="0"/>
      <c r="PJN66" s="0"/>
      <c r="PJO66" s="0"/>
      <c r="PJP66" s="0"/>
      <c r="PJQ66" s="0"/>
      <c r="PJR66" s="0"/>
      <c r="PJS66" s="0"/>
      <c r="PJT66" s="0"/>
      <c r="PJU66" s="0"/>
      <c r="PJV66" s="0"/>
      <c r="PJW66" s="0"/>
      <c r="PJX66" s="0"/>
      <c r="PJY66" s="0"/>
      <c r="PJZ66" s="0"/>
      <c r="PKA66" s="0"/>
      <c r="PKB66" s="0"/>
      <c r="PKC66" s="0"/>
      <c r="PKD66" s="0"/>
      <c r="PKE66" s="0"/>
      <c r="PKF66" s="0"/>
      <c r="PKG66" s="0"/>
      <c r="PKH66" s="0"/>
      <c r="PKI66" s="0"/>
      <c r="PKJ66" s="0"/>
      <c r="PKK66" s="0"/>
      <c r="PKL66" s="0"/>
      <c r="PKM66" s="0"/>
      <c r="PKN66" s="0"/>
      <c r="PKO66" s="0"/>
      <c r="PKP66" s="0"/>
      <c r="PKQ66" s="0"/>
      <c r="PKR66" s="0"/>
      <c r="PKS66" s="0"/>
      <c r="PKT66" s="0"/>
      <c r="PKU66" s="0"/>
      <c r="PKV66" s="0"/>
      <c r="PKW66" s="0"/>
      <c r="PKX66" s="0"/>
      <c r="PKY66" s="0"/>
      <c r="PKZ66" s="0"/>
      <c r="PLA66" s="0"/>
      <c r="PLB66" s="0"/>
      <c r="PLC66" s="0"/>
      <c r="PLD66" s="0"/>
      <c r="PLE66" s="0"/>
      <c r="PLF66" s="0"/>
      <c r="PLG66" s="0"/>
      <c r="PLH66" s="0"/>
      <c r="PLI66" s="0"/>
      <c r="PLJ66" s="0"/>
      <c r="PLK66" s="0"/>
      <c r="PLL66" s="0"/>
      <c r="PLM66" s="0"/>
      <c r="PLN66" s="0"/>
      <c r="PLO66" s="0"/>
      <c r="PLP66" s="0"/>
      <c r="PLQ66" s="0"/>
      <c r="PLR66" s="0"/>
      <c r="PLS66" s="0"/>
      <c r="PLT66" s="0"/>
      <c r="PLU66" s="0"/>
      <c r="PLV66" s="0"/>
      <c r="PLW66" s="0"/>
      <c r="PLX66" s="0"/>
      <c r="PLY66" s="0"/>
      <c r="PLZ66" s="0"/>
      <c r="PMA66" s="0"/>
      <c r="PMB66" s="0"/>
      <c r="PMC66" s="0"/>
      <c r="PMD66" s="0"/>
      <c r="PME66" s="0"/>
      <c r="PMF66" s="0"/>
      <c r="PMG66" s="0"/>
      <c r="PMH66" s="0"/>
      <c r="PMI66" s="0"/>
      <c r="PMJ66" s="0"/>
      <c r="PMK66" s="0"/>
      <c r="PML66" s="0"/>
      <c r="PMM66" s="0"/>
      <c r="PMN66" s="0"/>
      <c r="PMO66" s="0"/>
      <c r="PMP66" s="0"/>
      <c r="PMQ66" s="0"/>
      <c r="PMR66" s="0"/>
      <c r="PMS66" s="0"/>
      <c r="PMT66" s="0"/>
      <c r="PMU66" s="0"/>
      <c r="PMV66" s="0"/>
      <c r="PMW66" s="0"/>
      <c r="PMX66" s="0"/>
      <c r="PMY66" s="0"/>
      <c r="PMZ66" s="0"/>
      <c r="PNA66" s="0"/>
      <c r="PNB66" s="0"/>
      <c r="PNC66" s="0"/>
      <c r="PND66" s="0"/>
      <c r="PNE66" s="0"/>
      <c r="PNF66" s="0"/>
      <c r="PNG66" s="0"/>
      <c r="PNH66" s="0"/>
      <c r="PNI66" s="0"/>
      <c r="PNJ66" s="0"/>
      <c r="PNK66" s="0"/>
      <c r="PNL66" s="0"/>
      <c r="PNM66" s="0"/>
      <c r="PNN66" s="0"/>
      <c r="PNO66" s="0"/>
      <c r="PNP66" s="0"/>
      <c r="PNQ66" s="0"/>
      <c r="PNR66" s="0"/>
      <c r="PNS66" s="0"/>
      <c r="PNT66" s="0"/>
      <c r="PNU66" s="0"/>
      <c r="PNV66" s="0"/>
      <c r="PNW66" s="0"/>
      <c r="PNX66" s="0"/>
      <c r="PNY66" s="0"/>
      <c r="PNZ66" s="0"/>
      <c r="POA66" s="0"/>
      <c r="POB66" s="0"/>
      <c r="POC66" s="0"/>
      <c r="POD66" s="0"/>
      <c r="POE66" s="0"/>
      <c r="POF66" s="0"/>
      <c r="POG66" s="0"/>
      <c r="POH66" s="0"/>
      <c r="POI66" s="0"/>
      <c r="POJ66" s="0"/>
      <c r="POK66" s="0"/>
      <c r="POL66" s="0"/>
      <c r="POM66" s="0"/>
      <c r="PON66" s="0"/>
      <c r="POO66" s="0"/>
      <c r="POP66" s="0"/>
      <c r="POQ66" s="0"/>
      <c r="POR66" s="0"/>
      <c r="POS66" s="0"/>
      <c r="POT66" s="0"/>
      <c r="POU66" s="0"/>
      <c r="POV66" s="0"/>
      <c r="POW66" s="0"/>
      <c r="POX66" s="0"/>
      <c r="POY66" s="0"/>
      <c r="POZ66" s="0"/>
      <c r="PPA66" s="0"/>
      <c r="PPB66" s="0"/>
      <c r="PPC66" s="0"/>
      <c r="PPD66" s="0"/>
      <c r="PPE66" s="0"/>
      <c r="PPF66" s="0"/>
      <c r="PPG66" s="0"/>
      <c r="PPH66" s="0"/>
      <c r="PPI66" s="0"/>
      <c r="PPJ66" s="0"/>
      <c r="PPK66" s="0"/>
      <c r="PPL66" s="0"/>
      <c r="PPM66" s="0"/>
      <c r="PPN66" s="0"/>
      <c r="PPO66" s="0"/>
      <c r="PPP66" s="0"/>
      <c r="PPQ66" s="0"/>
      <c r="PPR66" s="0"/>
      <c r="PPS66" s="0"/>
      <c r="PPT66" s="0"/>
      <c r="PPU66" s="0"/>
      <c r="PPV66" s="0"/>
      <c r="PPW66" s="0"/>
      <c r="PPX66" s="0"/>
      <c r="PPY66" s="0"/>
      <c r="PPZ66" s="0"/>
      <c r="PQA66" s="0"/>
      <c r="PQB66" s="0"/>
      <c r="PQC66" s="0"/>
      <c r="PQD66" s="0"/>
      <c r="PQE66" s="0"/>
      <c r="PQF66" s="0"/>
      <c r="PQG66" s="0"/>
      <c r="PQH66" s="0"/>
      <c r="PQI66" s="0"/>
      <c r="PQJ66" s="0"/>
      <c r="PQK66" s="0"/>
      <c r="PQL66" s="0"/>
      <c r="PQM66" s="0"/>
      <c r="PQN66" s="0"/>
      <c r="PQO66" s="0"/>
      <c r="PQP66" s="0"/>
      <c r="PQQ66" s="0"/>
      <c r="PQR66" s="0"/>
      <c r="PQS66" s="0"/>
      <c r="PQT66" s="0"/>
      <c r="PQU66" s="0"/>
      <c r="PQV66" s="0"/>
      <c r="PQW66" s="0"/>
      <c r="PQX66" s="0"/>
      <c r="PQY66" s="0"/>
      <c r="PQZ66" s="0"/>
      <c r="PRA66" s="0"/>
      <c r="PRB66" s="0"/>
      <c r="PRC66" s="0"/>
      <c r="PRD66" s="0"/>
      <c r="PRE66" s="0"/>
      <c r="PRF66" s="0"/>
      <c r="PRG66" s="0"/>
      <c r="PRH66" s="0"/>
      <c r="PRI66" s="0"/>
      <c r="PRJ66" s="0"/>
      <c r="PRK66" s="0"/>
      <c r="PRL66" s="0"/>
      <c r="PRM66" s="0"/>
      <c r="PRN66" s="0"/>
      <c r="PRO66" s="0"/>
      <c r="PRP66" s="0"/>
      <c r="PRQ66" s="0"/>
      <c r="PRR66" s="0"/>
      <c r="PRS66" s="0"/>
      <c r="PRT66" s="0"/>
      <c r="PRU66" s="0"/>
      <c r="PRV66" s="0"/>
      <c r="PRW66" s="0"/>
      <c r="PRX66" s="0"/>
      <c r="PRY66" s="0"/>
      <c r="PRZ66" s="0"/>
      <c r="PSA66" s="0"/>
      <c r="PSB66" s="0"/>
      <c r="PSC66" s="0"/>
      <c r="PSD66" s="0"/>
      <c r="PSE66" s="0"/>
      <c r="PSF66" s="0"/>
      <c r="PSG66" s="0"/>
      <c r="PSH66" s="0"/>
      <c r="PSI66" s="0"/>
      <c r="PSJ66" s="0"/>
      <c r="PSK66" s="0"/>
      <c r="PSL66" s="0"/>
      <c r="PSM66" s="0"/>
      <c r="PSN66" s="0"/>
      <c r="PSO66" s="0"/>
      <c r="PSP66" s="0"/>
      <c r="PSQ66" s="0"/>
      <c r="PSR66" s="0"/>
      <c r="PSS66" s="0"/>
      <c r="PST66" s="0"/>
      <c r="PSU66" s="0"/>
      <c r="PSV66" s="0"/>
      <c r="PSW66" s="0"/>
      <c r="PSX66" s="0"/>
      <c r="PSY66" s="0"/>
      <c r="PSZ66" s="0"/>
      <c r="PTA66" s="0"/>
      <c r="PTB66" s="0"/>
      <c r="PTC66" s="0"/>
      <c r="PTD66" s="0"/>
      <c r="PTE66" s="0"/>
      <c r="PTF66" s="0"/>
      <c r="PTG66" s="0"/>
      <c r="PTH66" s="0"/>
      <c r="PTI66" s="0"/>
      <c r="PTJ66" s="0"/>
      <c r="PTK66" s="0"/>
      <c r="PTL66" s="0"/>
      <c r="PTM66" s="0"/>
      <c r="PTN66" s="0"/>
      <c r="PTO66" s="0"/>
      <c r="PTP66" s="0"/>
      <c r="PTQ66" s="0"/>
      <c r="PTR66" s="0"/>
      <c r="PTS66" s="0"/>
      <c r="PTT66" s="0"/>
      <c r="PTU66" s="0"/>
      <c r="PTV66" s="0"/>
      <c r="PTW66" s="0"/>
      <c r="PTX66" s="0"/>
      <c r="PTY66" s="0"/>
      <c r="PTZ66" s="0"/>
      <c r="PUA66" s="0"/>
      <c r="PUB66" s="0"/>
      <c r="PUC66" s="0"/>
      <c r="PUD66" s="0"/>
      <c r="PUE66" s="0"/>
      <c r="PUF66" s="0"/>
      <c r="PUG66" s="0"/>
      <c r="PUH66" s="0"/>
      <c r="PUI66" s="0"/>
      <c r="PUJ66" s="0"/>
      <c r="PUK66" s="0"/>
      <c r="PUL66" s="0"/>
      <c r="PUM66" s="0"/>
      <c r="PUN66" s="0"/>
      <c r="PUO66" s="0"/>
      <c r="PUP66" s="0"/>
      <c r="PUQ66" s="0"/>
      <c r="PUR66" s="0"/>
      <c r="PUS66" s="0"/>
      <c r="PUT66" s="0"/>
      <c r="PUU66" s="0"/>
      <c r="PUV66" s="0"/>
      <c r="PUW66" s="0"/>
      <c r="PUX66" s="0"/>
      <c r="PUY66" s="0"/>
      <c r="PUZ66" s="0"/>
      <c r="PVA66" s="0"/>
      <c r="PVB66" s="0"/>
      <c r="PVC66" s="0"/>
      <c r="PVD66" s="0"/>
      <c r="PVE66" s="0"/>
      <c r="PVF66" s="0"/>
      <c r="PVG66" s="0"/>
      <c r="PVH66" s="0"/>
      <c r="PVI66" s="0"/>
      <c r="PVJ66" s="0"/>
      <c r="PVK66" s="0"/>
      <c r="PVL66" s="0"/>
      <c r="PVM66" s="0"/>
      <c r="PVN66" s="0"/>
      <c r="PVO66" s="0"/>
      <c r="PVP66" s="0"/>
      <c r="PVQ66" s="0"/>
      <c r="PVR66" s="0"/>
      <c r="PVS66" s="0"/>
      <c r="PVT66" s="0"/>
      <c r="PVU66" s="0"/>
      <c r="PVV66" s="0"/>
      <c r="PVW66" s="0"/>
      <c r="PVX66" s="0"/>
      <c r="PVY66" s="0"/>
      <c r="PVZ66" s="0"/>
      <c r="PWA66" s="0"/>
      <c r="PWB66" s="0"/>
      <c r="PWC66" s="0"/>
      <c r="PWD66" s="0"/>
      <c r="PWE66" s="0"/>
      <c r="PWF66" s="0"/>
      <c r="PWG66" s="0"/>
      <c r="PWH66" s="0"/>
      <c r="PWI66" s="0"/>
      <c r="PWJ66" s="0"/>
      <c r="PWK66" s="0"/>
      <c r="PWL66" s="0"/>
      <c r="PWM66" s="0"/>
      <c r="PWN66" s="0"/>
      <c r="PWO66" s="0"/>
      <c r="PWP66" s="0"/>
      <c r="PWQ66" s="0"/>
      <c r="PWR66" s="0"/>
      <c r="PWS66" s="0"/>
      <c r="PWT66" s="0"/>
      <c r="PWU66" s="0"/>
      <c r="PWV66" s="0"/>
      <c r="PWW66" s="0"/>
      <c r="PWX66" s="0"/>
      <c r="PWY66" s="0"/>
      <c r="PWZ66" s="0"/>
      <c r="PXA66" s="0"/>
      <c r="PXB66" s="0"/>
      <c r="PXC66" s="0"/>
      <c r="PXD66" s="0"/>
      <c r="PXE66" s="0"/>
      <c r="PXF66" s="0"/>
      <c r="PXG66" s="0"/>
      <c r="PXH66" s="0"/>
      <c r="PXI66" s="0"/>
      <c r="PXJ66" s="0"/>
      <c r="PXK66" s="0"/>
      <c r="PXL66" s="0"/>
      <c r="PXM66" s="0"/>
      <c r="PXN66" s="0"/>
      <c r="PXO66" s="0"/>
      <c r="PXP66" s="0"/>
      <c r="PXQ66" s="0"/>
      <c r="PXR66" s="0"/>
      <c r="PXS66" s="0"/>
      <c r="PXT66" s="0"/>
      <c r="PXU66" s="0"/>
      <c r="PXV66" s="0"/>
      <c r="PXW66" s="0"/>
      <c r="PXX66" s="0"/>
      <c r="PXY66" s="0"/>
      <c r="PXZ66" s="0"/>
      <c r="PYA66" s="0"/>
      <c r="PYB66" s="0"/>
      <c r="PYC66" s="0"/>
      <c r="PYD66" s="0"/>
      <c r="PYE66" s="0"/>
      <c r="PYF66" s="0"/>
      <c r="PYG66" s="0"/>
      <c r="PYH66" s="0"/>
      <c r="PYI66" s="0"/>
      <c r="PYJ66" s="0"/>
      <c r="PYK66" s="0"/>
      <c r="PYL66" s="0"/>
      <c r="PYM66" s="0"/>
      <c r="PYN66" s="0"/>
      <c r="PYO66" s="0"/>
      <c r="PYP66" s="0"/>
      <c r="PYQ66" s="0"/>
      <c r="PYR66" s="0"/>
      <c r="PYS66" s="0"/>
      <c r="PYT66" s="0"/>
      <c r="PYU66" s="0"/>
      <c r="PYV66" s="0"/>
      <c r="PYW66" s="0"/>
      <c r="PYX66" s="0"/>
      <c r="PYY66" s="0"/>
      <c r="PYZ66" s="0"/>
      <c r="PZA66" s="0"/>
      <c r="PZB66" s="0"/>
      <c r="PZC66" s="0"/>
      <c r="PZD66" s="0"/>
      <c r="PZE66" s="0"/>
      <c r="PZF66" s="0"/>
      <c r="PZG66" s="0"/>
      <c r="PZH66" s="0"/>
      <c r="PZI66" s="0"/>
      <c r="PZJ66" s="0"/>
      <c r="PZK66" s="0"/>
      <c r="PZL66" s="0"/>
      <c r="PZM66" s="0"/>
      <c r="PZN66" s="0"/>
      <c r="PZO66" s="0"/>
      <c r="PZP66" s="0"/>
      <c r="PZQ66" s="0"/>
      <c r="PZR66" s="0"/>
      <c r="PZS66" s="0"/>
      <c r="PZT66" s="0"/>
      <c r="PZU66" s="0"/>
      <c r="PZV66" s="0"/>
      <c r="PZW66" s="0"/>
      <c r="PZX66" s="0"/>
      <c r="PZY66" s="0"/>
      <c r="PZZ66" s="0"/>
      <c r="QAA66" s="0"/>
      <c r="QAB66" s="0"/>
      <c r="QAC66" s="0"/>
      <c r="QAD66" s="0"/>
      <c r="QAE66" s="0"/>
      <c r="QAF66" s="0"/>
      <c r="QAG66" s="0"/>
      <c r="QAH66" s="0"/>
      <c r="QAI66" s="0"/>
      <c r="QAJ66" s="0"/>
      <c r="QAK66" s="0"/>
      <c r="QAL66" s="0"/>
      <c r="QAM66" s="0"/>
      <c r="QAN66" s="0"/>
      <c r="QAO66" s="0"/>
      <c r="QAP66" s="0"/>
      <c r="QAQ66" s="0"/>
      <c r="QAR66" s="0"/>
      <c r="QAS66" s="0"/>
      <c r="QAT66" s="0"/>
      <c r="QAU66" s="0"/>
      <c r="QAV66" s="0"/>
      <c r="QAW66" s="0"/>
      <c r="QAX66" s="0"/>
      <c r="QAY66" s="0"/>
      <c r="QAZ66" s="0"/>
      <c r="QBA66" s="0"/>
      <c r="QBB66" s="0"/>
      <c r="QBC66" s="0"/>
      <c r="QBD66" s="0"/>
      <c r="QBE66" s="0"/>
      <c r="QBF66" s="0"/>
      <c r="QBG66" s="0"/>
      <c r="QBH66" s="0"/>
      <c r="QBI66" s="0"/>
      <c r="QBJ66" s="0"/>
      <c r="QBK66" s="0"/>
      <c r="QBL66" s="0"/>
      <c r="QBM66" s="0"/>
      <c r="QBN66" s="0"/>
      <c r="QBO66" s="0"/>
      <c r="QBP66" s="0"/>
      <c r="QBQ66" s="0"/>
      <c r="QBR66" s="0"/>
      <c r="QBS66" s="0"/>
      <c r="QBT66" s="0"/>
      <c r="QBU66" s="0"/>
      <c r="QBV66" s="0"/>
      <c r="QBW66" s="0"/>
      <c r="QBX66" s="0"/>
      <c r="QBY66" s="0"/>
      <c r="QBZ66" s="0"/>
      <c r="QCA66" s="0"/>
      <c r="QCB66" s="0"/>
      <c r="QCC66" s="0"/>
      <c r="QCD66" s="0"/>
      <c r="QCE66" s="0"/>
      <c r="QCF66" s="0"/>
      <c r="QCG66" s="0"/>
      <c r="QCH66" s="0"/>
      <c r="QCI66" s="0"/>
      <c r="QCJ66" s="0"/>
      <c r="QCK66" s="0"/>
      <c r="QCL66" s="0"/>
      <c r="QCM66" s="0"/>
      <c r="QCN66" s="0"/>
      <c r="QCO66" s="0"/>
      <c r="QCP66" s="0"/>
      <c r="QCQ66" s="0"/>
      <c r="QCR66" s="0"/>
      <c r="QCS66" s="0"/>
      <c r="QCT66" s="0"/>
      <c r="QCU66" s="0"/>
      <c r="QCV66" s="0"/>
      <c r="QCW66" s="0"/>
      <c r="QCX66" s="0"/>
      <c r="QCY66" s="0"/>
      <c r="QCZ66" s="0"/>
      <c r="QDA66" s="0"/>
      <c r="QDB66" s="0"/>
      <c r="QDC66" s="0"/>
      <c r="QDD66" s="0"/>
      <c r="QDE66" s="0"/>
      <c r="QDF66" s="0"/>
      <c r="QDG66" s="0"/>
      <c r="QDH66" s="0"/>
      <c r="QDI66" s="0"/>
      <c r="QDJ66" s="0"/>
      <c r="QDK66" s="0"/>
      <c r="QDL66" s="0"/>
      <c r="QDM66" s="0"/>
      <c r="QDN66" s="0"/>
      <c r="QDO66" s="0"/>
      <c r="QDP66" s="0"/>
      <c r="QDQ66" s="0"/>
      <c r="QDR66" s="0"/>
      <c r="QDS66" s="0"/>
      <c r="QDT66" s="0"/>
      <c r="QDU66" s="0"/>
      <c r="QDV66" s="0"/>
      <c r="QDW66" s="0"/>
      <c r="QDX66" s="0"/>
      <c r="QDY66" s="0"/>
      <c r="QDZ66" s="0"/>
      <c r="QEA66" s="0"/>
      <c r="QEB66" s="0"/>
      <c r="QEC66" s="0"/>
      <c r="QED66" s="0"/>
      <c r="QEE66" s="0"/>
      <c r="QEF66" s="0"/>
      <c r="QEG66" s="0"/>
      <c r="QEH66" s="0"/>
      <c r="QEI66" s="0"/>
      <c r="QEJ66" s="0"/>
      <c r="QEK66" s="0"/>
      <c r="QEL66" s="0"/>
      <c r="QEM66" s="0"/>
      <c r="QEN66" s="0"/>
      <c r="QEO66" s="0"/>
      <c r="QEP66" s="0"/>
      <c r="QEQ66" s="0"/>
      <c r="QER66" s="0"/>
      <c r="QES66" s="0"/>
      <c r="QET66" s="0"/>
      <c r="QEU66" s="0"/>
      <c r="QEV66" s="0"/>
      <c r="QEW66" s="0"/>
      <c r="QEX66" s="0"/>
      <c r="QEY66" s="0"/>
      <c r="QEZ66" s="0"/>
      <c r="QFA66" s="0"/>
      <c r="QFB66" s="0"/>
      <c r="QFC66" s="0"/>
      <c r="QFD66" s="0"/>
      <c r="QFE66" s="0"/>
      <c r="QFF66" s="0"/>
      <c r="QFG66" s="0"/>
      <c r="QFH66" s="0"/>
      <c r="QFI66" s="0"/>
      <c r="QFJ66" s="0"/>
      <c r="QFK66" s="0"/>
      <c r="QFL66" s="0"/>
      <c r="QFM66" s="0"/>
      <c r="QFN66" s="0"/>
      <c r="QFO66" s="0"/>
      <c r="QFP66" s="0"/>
      <c r="QFQ66" s="0"/>
      <c r="QFR66" s="0"/>
      <c r="QFS66" s="0"/>
      <c r="QFT66" s="0"/>
      <c r="QFU66" s="0"/>
      <c r="QFV66" s="0"/>
      <c r="QFW66" s="0"/>
      <c r="QFX66" s="0"/>
      <c r="QFY66" s="0"/>
      <c r="QFZ66" s="0"/>
      <c r="QGA66" s="0"/>
      <c r="QGB66" s="0"/>
      <c r="QGC66" s="0"/>
      <c r="QGD66" s="0"/>
      <c r="QGE66" s="0"/>
      <c r="QGF66" s="0"/>
      <c r="QGG66" s="0"/>
      <c r="QGH66" s="0"/>
      <c r="QGI66" s="0"/>
      <c r="QGJ66" s="0"/>
      <c r="QGK66" s="0"/>
      <c r="QGL66" s="0"/>
      <c r="QGM66" s="0"/>
      <c r="QGN66" s="0"/>
      <c r="QGO66" s="0"/>
      <c r="QGP66" s="0"/>
      <c r="QGQ66" s="0"/>
      <c r="QGR66" s="0"/>
      <c r="QGS66" s="0"/>
      <c r="QGT66" s="0"/>
      <c r="QGU66" s="0"/>
      <c r="QGV66" s="0"/>
      <c r="QGW66" s="0"/>
      <c r="QGX66" s="0"/>
      <c r="QGY66" s="0"/>
      <c r="QGZ66" s="0"/>
      <c r="QHA66" s="0"/>
      <c r="QHB66" s="0"/>
      <c r="QHC66" s="0"/>
      <c r="QHD66" s="0"/>
      <c r="QHE66" s="0"/>
      <c r="QHF66" s="0"/>
      <c r="QHG66" s="0"/>
      <c r="QHH66" s="0"/>
      <c r="QHI66" s="0"/>
      <c r="QHJ66" s="0"/>
      <c r="QHK66" s="0"/>
      <c r="QHL66" s="0"/>
      <c r="QHM66" s="0"/>
      <c r="QHN66" s="0"/>
      <c r="QHO66" s="0"/>
      <c r="QHP66" s="0"/>
      <c r="QHQ66" s="0"/>
      <c r="QHR66" s="0"/>
      <c r="QHS66" s="0"/>
      <c r="QHT66" s="0"/>
      <c r="QHU66" s="0"/>
      <c r="QHV66" s="0"/>
      <c r="QHW66" s="0"/>
      <c r="QHX66" s="0"/>
      <c r="QHY66" s="0"/>
      <c r="QHZ66" s="0"/>
      <c r="QIA66" s="0"/>
      <c r="QIB66" s="0"/>
      <c r="QIC66" s="0"/>
      <c r="QID66" s="0"/>
      <c r="QIE66" s="0"/>
      <c r="QIF66" s="0"/>
      <c r="QIG66" s="0"/>
      <c r="QIH66" s="0"/>
      <c r="QII66" s="0"/>
      <c r="QIJ66" s="0"/>
      <c r="QIK66" s="0"/>
      <c r="QIL66" s="0"/>
      <c r="QIM66" s="0"/>
      <c r="QIN66" s="0"/>
      <c r="QIO66" s="0"/>
      <c r="QIP66" s="0"/>
      <c r="QIQ66" s="0"/>
      <c r="QIR66" s="0"/>
      <c r="QIS66" s="0"/>
      <c r="QIT66" s="0"/>
      <c r="QIU66" s="0"/>
      <c r="QIV66" s="0"/>
      <c r="QIW66" s="0"/>
      <c r="QIX66" s="0"/>
      <c r="QIY66" s="0"/>
      <c r="QIZ66" s="0"/>
      <c r="QJA66" s="0"/>
      <c r="QJB66" s="0"/>
      <c r="QJC66" s="0"/>
      <c r="QJD66" s="0"/>
      <c r="QJE66" s="0"/>
      <c r="QJF66" s="0"/>
      <c r="QJG66" s="0"/>
      <c r="QJH66" s="0"/>
      <c r="QJI66" s="0"/>
      <c r="QJJ66" s="0"/>
      <c r="QJK66" s="0"/>
      <c r="QJL66" s="0"/>
      <c r="QJM66" s="0"/>
      <c r="QJN66" s="0"/>
      <c r="QJO66" s="0"/>
      <c r="QJP66" s="0"/>
      <c r="QJQ66" s="0"/>
      <c r="QJR66" s="0"/>
      <c r="QJS66" s="0"/>
      <c r="QJT66" s="0"/>
      <c r="QJU66" s="0"/>
      <c r="QJV66" s="0"/>
      <c r="QJW66" s="0"/>
      <c r="QJX66" s="0"/>
      <c r="QJY66" s="0"/>
      <c r="QJZ66" s="0"/>
      <c r="QKA66" s="0"/>
      <c r="QKB66" s="0"/>
      <c r="QKC66" s="0"/>
      <c r="QKD66" s="0"/>
      <c r="QKE66" s="0"/>
      <c r="QKF66" s="0"/>
      <c r="QKG66" s="0"/>
      <c r="QKH66" s="0"/>
      <c r="QKI66" s="0"/>
      <c r="QKJ66" s="0"/>
      <c r="QKK66" s="0"/>
      <c r="QKL66" s="0"/>
      <c r="QKM66" s="0"/>
      <c r="QKN66" s="0"/>
      <c r="QKO66" s="0"/>
      <c r="QKP66" s="0"/>
      <c r="QKQ66" s="0"/>
      <c r="QKR66" s="0"/>
      <c r="QKS66" s="0"/>
      <c r="QKT66" s="0"/>
      <c r="QKU66" s="0"/>
      <c r="QKV66" s="0"/>
      <c r="QKW66" s="0"/>
      <c r="QKX66" s="0"/>
      <c r="QKY66" s="0"/>
      <c r="QKZ66" s="0"/>
      <c r="QLA66" s="0"/>
      <c r="QLB66" s="0"/>
      <c r="QLC66" s="0"/>
      <c r="QLD66" s="0"/>
      <c r="QLE66" s="0"/>
      <c r="QLF66" s="0"/>
      <c r="QLG66" s="0"/>
      <c r="QLH66" s="0"/>
      <c r="QLI66" s="0"/>
      <c r="QLJ66" s="0"/>
      <c r="QLK66" s="0"/>
      <c r="QLL66" s="0"/>
      <c r="QLM66" s="0"/>
      <c r="QLN66" s="0"/>
      <c r="QLO66" s="0"/>
      <c r="QLP66" s="0"/>
      <c r="QLQ66" s="0"/>
      <c r="QLR66" s="0"/>
      <c r="QLS66" s="0"/>
      <c r="QLT66" s="0"/>
      <c r="QLU66" s="0"/>
      <c r="QLV66" s="0"/>
      <c r="QLW66" s="0"/>
      <c r="QLX66" s="0"/>
      <c r="QLY66" s="0"/>
      <c r="QLZ66" s="0"/>
      <c r="QMA66" s="0"/>
      <c r="QMB66" s="0"/>
      <c r="QMC66" s="0"/>
      <c r="QMD66" s="0"/>
      <c r="QME66" s="0"/>
      <c r="QMF66" s="0"/>
      <c r="QMG66" s="0"/>
      <c r="QMH66" s="0"/>
      <c r="QMI66" s="0"/>
      <c r="QMJ66" s="0"/>
      <c r="QMK66" s="0"/>
      <c r="QML66" s="0"/>
      <c r="QMM66" s="0"/>
      <c r="QMN66" s="0"/>
      <c r="QMO66" s="0"/>
      <c r="QMP66" s="0"/>
      <c r="QMQ66" s="0"/>
      <c r="QMR66" s="0"/>
      <c r="QMS66" s="0"/>
      <c r="QMT66" s="0"/>
      <c r="QMU66" s="0"/>
      <c r="QMV66" s="0"/>
      <c r="QMW66" s="0"/>
      <c r="QMX66" s="0"/>
      <c r="QMY66" s="0"/>
      <c r="QMZ66" s="0"/>
      <c r="QNA66" s="0"/>
      <c r="QNB66" s="0"/>
      <c r="QNC66" s="0"/>
      <c r="QND66" s="0"/>
      <c r="QNE66" s="0"/>
      <c r="QNF66" s="0"/>
      <c r="QNG66" s="0"/>
      <c r="QNH66" s="0"/>
      <c r="QNI66" s="0"/>
      <c r="QNJ66" s="0"/>
      <c r="QNK66" s="0"/>
      <c r="QNL66" s="0"/>
      <c r="QNM66" s="0"/>
      <c r="QNN66" s="0"/>
      <c r="QNO66" s="0"/>
      <c r="QNP66" s="0"/>
      <c r="QNQ66" s="0"/>
      <c r="QNR66" s="0"/>
      <c r="QNS66" s="0"/>
      <c r="QNT66" s="0"/>
      <c r="QNU66" s="0"/>
      <c r="QNV66" s="0"/>
      <c r="QNW66" s="0"/>
      <c r="QNX66" s="0"/>
      <c r="QNY66" s="0"/>
      <c r="QNZ66" s="0"/>
      <c r="QOA66" s="0"/>
      <c r="QOB66" s="0"/>
      <c r="QOC66" s="0"/>
      <c r="QOD66" s="0"/>
      <c r="QOE66" s="0"/>
      <c r="QOF66" s="0"/>
      <c r="QOG66" s="0"/>
      <c r="QOH66" s="0"/>
      <c r="QOI66" s="0"/>
      <c r="QOJ66" s="0"/>
      <c r="QOK66" s="0"/>
      <c r="QOL66" s="0"/>
      <c r="QOM66" s="0"/>
      <c r="QON66" s="0"/>
      <c r="QOO66" s="0"/>
      <c r="QOP66" s="0"/>
      <c r="QOQ66" s="0"/>
      <c r="QOR66" s="0"/>
      <c r="QOS66" s="0"/>
      <c r="QOT66" s="0"/>
      <c r="QOU66" s="0"/>
      <c r="QOV66" s="0"/>
      <c r="QOW66" s="0"/>
      <c r="QOX66" s="0"/>
      <c r="QOY66" s="0"/>
      <c r="QOZ66" s="0"/>
      <c r="QPA66" s="0"/>
      <c r="QPB66" s="0"/>
      <c r="QPC66" s="0"/>
      <c r="QPD66" s="0"/>
      <c r="QPE66" s="0"/>
      <c r="QPF66" s="0"/>
      <c r="QPG66" s="0"/>
      <c r="QPH66" s="0"/>
      <c r="QPI66" s="0"/>
      <c r="QPJ66" s="0"/>
      <c r="QPK66" s="0"/>
      <c r="QPL66" s="0"/>
      <c r="QPM66" s="0"/>
      <c r="QPN66" s="0"/>
      <c r="QPO66" s="0"/>
      <c r="QPP66" s="0"/>
      <c r="QPQ66" s="0"/>
      <c r="QPR66" s="0"/>
      <c r="QPS66" s="0"/>
      <c r="QPT66" s="0"/>
      <c r="QPU66" s="0"/>
      <c r="QPV66" s="0"/>
      <c r="QPW66" s="0"/>
      <c r="QPX66" s="0"/>
      <c r="QPY66" s="0"/>
      <c r="QPZ66" s="0"/>
      <c r="QQA66" s="0"/>
      <c r="QQB66" s="0"/>
      <c r="QQC66" s="0"/>
      <c r="QQD66" s="0"/>
      <c r="QQE66" s="0"/>
      <c r="QQF66" s="0"/>
      <c r="QQG66" s="0"/>
      <c r="QQH66" s="0"/>
      <c r="QQI66" s="0"/>
      <c r="QQJ66" s="0"/>
      <c r="QQK66" s="0"/>
      <c r="QQL66" s="0"/>
      <c r="QQM66" s="0"/>
      <c r="QQN66" s="0"/>
      <c r="QQO66" s="0"/>
      <c r="QQP66" s="0"/>
      <c r="QQQ66" s="0"/>
      <c r="QQR66" s="0"/>
      <c r="QQS66" s="0"/>
      <c r="QQT66" s="0"/>
      <c r="QQU66" s="0"/>
      <c r="QQV66" s="0"/>
      <c r="QQW66" s="0"/>
      <c r="QQX66" s="0"/>
      <c r="QQY66" s="0"/>
      <c r="QQZ66" s="0"/>
      <c r="QRA66" s="0"/>
      <c r="QRB66" s="0"/>
      <c r="QRC66" s="0"/>
      <c r="QRD66" s="0"/>
      <c r="QRE66" s="0"/>
      <c r="QRF66" s="0"/>
      <c r="QRG66" s="0"/>
      <c r="QRH66" s="0"/>
      <c r="QRI66" s="0"/>
      <c r="QRJ66" s="0"/>
      <c r="QRK66" s="0"/>
      <c r="QRL66" s="0"/>
      <c r="QRM66" s="0"/>
      <c r="QRN66" s="0"/>
      <c r="QRO66" s="0"/>
      <c r="QRP66" s="0"/>
      <c r="QRQ66" s="0"/>
      <c r="QRR66" s="0"/>
      <c r="QRS66" s="0"/>
      <c r="QRT66" s="0"/>
      <c r="QRU66" s="0"/>
      <c r="QRV66" s="0"/>
      <c r="QRW66" s="0"/>
      <c r="QRX66" s="0"/>
      <c r="QRY66" s="0"/>
      <c r="QRZ66" s="0"/>
      <c r="QSA66" s="0"/>
      <c r="QSB66" s="0"/>
      <c r="QSC66" s="0"/>
      <c r="QSD66" s="0"/>
      <c r="QSE66" s="0"/>
      <c r="QSF66" s="0"/>
      <c r="QSG66" s="0"/>
      <c r="QSH66" s="0"/>
      <c r="QSI66" s="0"/>
      <c r="QSJ66" s="0"/>
      <c r="QSK66" s="0"/>
      <c r="QSL66" s="0"/>
      <c r="QSM66" s="0"/>
      <c r="QSN66" s="0"/>
      <c r="QSO66" s="0"/>
      <c r="QSP66" s="0"/>
      <c r="QSQ66" s="0"/>
      <c r="QSR66" s="0"/>
      <c r="QSS66" s="0"/>
      <c r="QST66" s="0"/>
      <c r="QSU66" s="0"/>
      <c r="QSV66" s="0"/>
      <c r="QSW66" s="0"/>
      <c r="QSX66" s="0"/>
      <c r="QSY66" s="0"/>
      <c r="QSZ66" s="0"/>
      <c r="QTA66" s="0"/>
      <c r="QTB66" s="0"/>
      <c r="QTC66" s="0"/>
      <c r="QTD66" s="0"/>
      <c r="QTE66" s="0"/>
      <c r="QTF66" s="0"/>
      <c r="QTG66" s="0"/>
      <c r="QTH66" s="0"/>
      <c r="QTI66" s="0"/>
      <c r="QTJ66" s="0"/>
      <c r="QTK66" s="0"/>
      <c r="QTL66" s="0"/>
      <c r="QTM66" s="0"/>
      <c r="QTN66" s="0"/>
      <c r="QTO66" s="0"/>
      <c r="QTP66" s="0"/>
      <c r="QTQ66" s="0"/>
      <c r="QTR66" s="0"/>
      <c r="QTS66" s="0"/>
      <c r="QTT66" s="0"/>
      <c r="QTU66" s="0"/>
      <c r="QTV66" s="0"/>
      <c r="QTW66" s="0"/>
      <c r="QTX66" s="0"/>
      <c r="QTY66" s="0"/>
      <c r="QTZ66" s="0"/>
      <c r="QUA66" s="0"/>
      <c r="QUB66" s="0"/>
      <c r="QUC66" s="0"/>
      <c r="QUD66" s="0"/>
      <c r="QUE66" s="0"/>
      <c r="QUF66" s="0"/>
      <c r="QUG66" s="0"/>
      <c r="QUH66" s="0"/>
      <c r="QUI66" s="0"/>
      <c r="QUJ66" s="0"/>
      <c r="QUK66" s="0"/>
      <c r="QUL66" s="0"/>
      <c r="QUM66" s="0"/>
      <c r="QUN66" s="0"/>
      <c r="QUO66" s="0"/>
      <c r="QUP66" s="0"/>
      <c r="QUQ66" s="0"/>
      <c r="QUR66" s="0"/>
      <c r="QUS66" s="0"/>
      <c r="QUT66" s="0"/>
      <c r="QUU66" s="0"/>
      <c r="QUV66" s="0"/>
      <c r="QUW66" s="0"/>
      <c r="QUX66" s="0"/>
      <c r="QUY66" s="0"/>
      <c r="QUZ66" s="0"/>
      <c r="QVA66" s="0"/>
      <c r="QVB66" s="0"/>
      <c r="QVC66" s="0"/>
      <c r="QVD66" s="0"/>
      <c r="QVE66" s="0"/>
      <c r="QVF66" s="0"/>
      <c r="QVG66" s="0"/>
      <c r="QVH66" s="0"/>
      <c r="QVI66" s="0"/>
      <c r="QVJ66" s="0"/>
      <c r="QVK66" s="0"/>
      <c r="QVL66" s="0"/>
      <c r="QVM66" s="0"/>
      <c r="QVN66" s="0"/>
      <c r="QVO66" s="0"/>
      <c r="QVP66" s="0"/>
      <c r="QVQ66" s="0"/>
      <c r="QVR66" s="0"/>
      <c r="QVS66" s="0"/>
      <c r="QVT66" s="0"/>
      <c r="QVU66" s="0"/>
      <c r="QVV66" s="0"/>
      <c r="QVW66" s="0"/>
      <c r="QVX66" s="0"/>
      <c r="QVY66" s="0"/>
      <c r="QVZ66" s="0"/>
      <c r="QWA66" s="0"/>
      <c r="QWB66" s="0"/>
      <c r="QWC66" s="0"/>
      <c r="QWD66" s="0"/>
      <c r="QWE66" s="0"/>
      <c r="QWF66" s="0"/>
      <c r="QWG66" s="0"/>
      <c r="QWH66" s="0"/>
      <c r="QWI66" s="0"/>
      <c r="QWJ66" s="0"/>
      <c r="QWK66" s="0"/>
      <c r="QWL66" s="0"/>
      <c r="QWM66" s="0"/>
      <c r="QWN66" s="0"/>
      <c r="QWO66" s="0"/>
      <c r="QWP66" s="0"/>
      <c r="QWQ66" s="0"/>
      <c r="QWR66" s="0"/>
      <c r="QWS66" s="0"/>
      <c r="QWT66" s="0"/>
      <c r="QWU66" s="0"/>
      <c r="QWV66" s="0"/>
      <c r="QWW66" s="0"/>
      <c r="QWX66" s="0"/>
      <c r="QWY66" s="0"/>
      <c r="QWZ66" s="0"/>
      <c r="QXA66" s="0"/>
      <c r="QXB66" s="0"/>
      <c r="QXC66" s="0"/>
      <c r="QXD66" s="0"/>
      <c r="QXE66" s="0"/>
      <c r="QXF66" s="0"/>
      <c r="QXG66" s="0"/>
      <c r="QXH66" s="0"/>
      <c r="QXI66" s="0"/>
      <c r="QXJ66" s="0"/>
      <c r="QXK66" s="0"/>
      <c r="QXL66" s="0"/>
      <c r="QXM66" s="0"/>
      <c r="QXN66" s="0"/>
      <c r="QXO66" s="0"/>
      <c r="QXP66" s="0"/>
      <c r="QXQ66" s="0"/>
      <c r="QXR66" s="0"/>
      <c r="QXS66" s="0"/>
      <c r="QXT66" s="0"/>
      <c r="QXU66" s="0"/>
      <c r="QXV66" s="0"/>
      <c r="QXW66" s="0"/>
      <c r="QXX66" s="0"/>
      <c r="QXY66" s="0"/>
      <c r="QXZ66" s="0"/>
      <c r="QYA66" s="0"/>
      <c r="QYB66" s="0"/>
      <c r="QYC66" s="0"/>
      <c r="QYD66" s="0"/>
      <c r="QYE66" s="0"/>
      <c r="QYF66" s="0"/>
      <c r="QYG66" s="0"/>
      <c r="QYH66" s="0"/>
      <c r="QYI66" s="0"/>
      <c r="QYJ66" s="0"/>
      <c r="QYK66" s="0"/>
      <c r="QYL66" s="0"/>
      <c r="QYM66" s="0"/>
      <c r="QYN66" s="0"/>
      <c r="QYO66" s="0"/>
      <c r="QYP66" s="0"/>
      <c r="QYQ66" s="0"/>
      <c r="QYR66" s="0"/>
      <c r="QYS66" s="0"/>
      <c r="QYT66" s="0"/>
      <c r="QYU66" s="0"/>
      <c r="QYV66" s="0"/>
      <c r="QYW66" s="0"/>
      <c r="QYX66" s="0"/>
      <c r="QYY66" s="0"/>
      <c r="QYZ66" s="0"/>
      <c r="QZA66" s="0"/>
      <c r="QZB66" s="0"/>
      <c r="QZC66" s="0"/>
      <c r="QZD66" s="0"/>
      <c r="QZE66" s="0"/>
      <c r="QZF66" s="0"/>
      <c r="QZG66" s="0"/>
      <c r="QZH66" s="0"/>
      <c r="QZI66" s="0"/>
      <c r="QZJ66" s="0"/>
      <c r="QZK66" s="0"/>
      <c r="QZL66" s="0"/>
      <c r="QZM66" s="0"/>
      <c r="QZN66" s="0"/>
      <c r="QZO66" s="0"/>
      <c r="QZP66" s="0"/>
      <c r="QZQ66" s="0"/>
      <c r="QZR66" s="0"/>
      <c r="QZS66" s="0"/>
      <c r="QZT66" s="0"/>
      <c r="QZU66" s="0"/>
      <c r="QZV66" s="0"/>
      <c r="QZW66" s="0"/>
      <c r="QZX66" s="0"/>
      <c r="QZY66" s="0"/>
      <c r="QZZ66" s="0"/>
      <c r="RAA66" s="0"/>
      <c r="RAB66" s="0"/>
      <c r="RAC66" s="0"/>
      <c r="RAD66" s="0"/>
      <c r="RAE66" s="0"/>
      <c r="RAF66" s="0"/>
      <c r="RAG66" s="0"/>
      <c r="RAH66" s="0"/>
      <c r="RAI66" s="0"/>
      <c r="RAJ66" s="0"/>
      <c r="RAK66" s="0"/>
      <c r="RAL66" s="0"/>
      <c r="RAM66" s="0"/>
      <c r="RAN66" s="0"/>
      <c r="RAO66" s="0"/>
      <c r="RAP66" s="0"/>
      <c r="RAQ66" s="0"/>
      <c r="RAR66" s="0"/>
      <c r="RAS66" s="0"/>
      <c r="RAT66" s="0"/>
      <c r="RAU66" s="0"/>
      <c r="RAV66" s="0"/>
      <c r="RAW66" s="0"/>
      <c r="RAX66" s="0"/>
      <c r="RAY66" s="0"/>
      <c r="RAZ66" s="0"/>
      <c r="RBA66" s="0"/>
      <c r="RBB66" s="0"/>
      <c r="RBC66" s="0"/>
      <c r="RBD66" s="0"/>
      <c r="RBE66" s="0"/>
      <c r="RBF66" s="0"/>
      <c r="RBG66" s="0"/>
      <c r="RBH66" s="0"/>
      <c r="RBI66" s="0"/>
      <c r="RBJ66" s="0"/>
      <c r="RBK66" s="0"/>
      <c r="RBL66" s="0"/>
      <c r="RBM66" s="0"/>
      <c r="RBN66" s="0"/>
      <c r="RBO66" s="0"/>
      <c r="RBP66" s="0"/>
      <c r="RBQ66" s="0"/>
      <c r="RBR66" s="0"/>
      <c r="RBS66" s="0"/>
      <c r="RBT66" s="0"/>
      <c r="RBU66" s="0"/>
      <c r="RBV66" s="0"/>
      <c r="RBW66" s="0"/>
      <c r="RBX66" s="0"/>
      <c r="RBY66" s="0"/>
      <c r="RBZ66" s="0"/>
      <c r="RCA66" s="0"/>
      <c r="RCB66" s="0"/>
      <c r="RCC66" s="0"/>
      <c r="RCD66" s="0"/>
      <c r="RCE66" s="0"/>
      <c r="RCF66" s="0"/>
      <c r="RCG66" s="0"/>
      <c r="RCH66" s="0"/>
      <c r="RCI66" s="0"/>
      <c r="RCJ66" s="0"/>
      <c r="RCK66" s="0"/>
      <c r="RCL66" s="0"/>
      <c r="RCM66" s="0"/>
      <c r="RCN66" s="0"/>
      <c r="RCO66" s="0"/>
      <c r="RCP66" s="0"/>
      <c r="RCQ66" s="0"/>
      <c r="RCR66" s="0"/>
      <c r="RCS66" s="0"/>
      <c r="RCT66" s="0"/>
      <c r="RCU66" s="0"/>
      <c r="RCV66" s="0"/>
      <c r="RCW66" s="0"/>
      <c r="RCX66" s="0"/>
      <c r="RCY66" s="0"/>
      <c r="RCZ66" s="0"/>
      <c r="RDA66" s="0"/>
      <c r="RDB66" s="0"/>
      <c r="RDC66" s="0"/>
      <c r="RDD66" s="0"/>
      <c r="RDE66" s="0"/>
      <c r="RDF66" s="0"/>
      <c r="RDG66" s="0"/>
      <c r="RDH66" s="0"/>
      <c r="RDI66" s="0"/>
      <c r="RDJ66" s="0"/>
      <c r="RDK66" s="0"/>
      <c r="RDL66" s="0"/>
      <c r="RDM66" s="0"/>
      <c r="RDN66" s="0"/>
      <c r="RDO66" s="0"/>
      <c r="RDP66" s="0"/>
      <c r="RDQ66" s="0"/>
      <c r="RDR66" s="0"/>
      <c r="RDS66" s="0"/>
      <c r="RDT66" s="0"/>
      <c r="RDU66" s="0"/>
      <c r="RDV66" s="0"/>
      <c r="RDW66" s="0"/>
      <c r="RDX66" s="0"/>
      <c r="RDY66" s="0"/>
      <c r="RDZ66" s="0"/>
      <c r="REA66" s="0"/>
      <c r="REB66" s="0"/>
      <c r="REC66" s="0"/>
      <c r="RED66" s="0"/>
      <c r="REE66" s="0"/>
      <c r="REF66" s="0"/>
      <c r="REG66" s="0"/>
      <c r="REH66" s="0"/>
      <c r="REI66" s="0"/>
      <c r="REJ66" s="0"/>
      <c r="REK66" s="0"/>
      <c r="REL66" s="0"/>
      <c r="REM66" s="0"/>
      <c r="REN66" s="0"/>
      <c r="REO66" s="0"/>
      <c r="REP66" s="0"/>
      <c r="REQ66" s="0"/>
      <c r="RER66" s="0"/>
      <c r="RES66" s="0"/>
      <c r="RET66" s="0"/>
      <c r="REU66" s="0"/>
      <c r="REV66" s="0"/>
      <c r="REW66" s="0"/>
      <c r="REX66" s="0"/>
      <c r="REY66" s="0"/>
      <c r="REZ66" s="0"/>
      <c r="RFA66" s="0"/>
      <c r="RFB66" s="0"/>
      <c r="RFC66" s="0"/>
      <c r="RFD66" s="0"/>
      <c r="RFE66" s="0"/>
      <c r="RFF66" s="0"/>
      <c r="RFG66" s="0"/>
      <c r="RFH66" s="0"/>
      <c r="RFI66" s="0"/>
      <c r="RFJ66" s="0"/>
      <c r="RFK66" s="0"/>
      <c r="RFL66" s="0"/>
      <c r="RFM66" s="0"/>
      <c r="RFN66" s="0"/>
      <c r="RFO66" s="0"/>
      <c r="RFP66" s="0"/>
      <c r="RFQ66" s="0"/>
      <c r="RFR66" s="0"/>
      <c r="RFS66" s="0"/>
      <c r="RFT66" s="0"/>
      <c r="RFU66" s="0"/>
      <c r="RFV66" s="0"/>
      <c r="RFW66" s="0"/>
      <c r="RFX66" s="0"/>
      <c r="RFY66" s="0"/>
      <c r="RFZ66" s="0"/>
      <c r="RGA66" s="0"/>
      <c r="RGB66" s="0"/>
      <c r="RGC66" s="0"/>
      <c r="RGD66" s="0"/>
      <c r="RGE66" s="0"/>
      <c r="RGF66" s="0"/>
      <c r="RGG66" s="0"/>
      <c r="RGH66" s="0"/>
      <c r="RGI66" s="0"/>
      <c r="RGJ66" s="0"/>
      <c r="RGK66" s="0"/>
      <c r="RGL66" s="0"/>
      <c r="RGM66" s="0"/>
      <c r="RGN66" s="0"/>
      <c r="RGO66" s="0"/>
      <c r="RGP66" s="0"/>
      <c r="RGQ66" s="0"/>
      <c r="RGR66" s="0"/>
      <c r="RGS66" s="0"/>
      <c r="RGT66" s="0"/>
      <c r="RGU66" s="0"/>
      <c r="RGV66" s="0"/>
      <c r="RGW66" s="0"/>
      <c r="RGX66" s="0"/>
      <c r="RGY66" s="0"/>
      <c r="RGZ66" s="0"/>
      <c r="RHA66" s="0"/>
      <c r="RHB66" s="0"/>
      <c r="RHC66" s="0"/>
      <c r="RHD66" s="0"/>
      <c r="RHE66" s="0"/>
      <c r="RHF66" s="0"/>
      <c r="RHG66" s="0"/>
      <c r="RHH66" s="0"/>
      <c r="RHI66" s="0"/>
      <c r="RHJ66" s="0"/>
      <c r="RHK66" s="0"/>
      <c r="RHL66" s="0"/>
      <c r="RHM66" s="0"/>
      <c r="RHN66" s="0"/>
      <c r="RHO66" s="0"/>
      <c r="RHP66" s="0"/>
      <c r="RHQ66" s="0"/>
      <c r="RHR66" s="0"/>
      <c r="RHS66" s="0"/>
      <c r="RHT66" s="0"/>
      <c r="RHU66" s="0"/>
      <c r="RHV66" s="0"/>
      <c r="RHW66" s="0"/>
      <c r="RHX66" s="0"/>
      <c r="RHY66" s="0"/>
      <c r="RHZ66" s="0"/>
      <c r="RIA66" s="0"/>
      <c r="RIB66" s="0"/>
      <c r="RIC66" s="0"/>
      <c r="RID66" s="0"/>
      <c r="RIE66" s="0"/>
      <c r="RIF66" s="0"/>
      <c r="RIG66" s="0"/>
      <c r="RIH66" s="0"/>
      <c r="RII66" s="0"/>
      <c r="RIJ66" s="0"/>
      <c r="RIK66" s="0"/>
      <c r="RIL66" s="0"/>
      <c r="RIM66" s="0"/>
      <c r="RIN66" s="0"/>
      <c r="RIO66" s="0"/>
      <c r="RIP66" s="0"/>
      <c r="RIQ66" s="0"/>
      <c r="RIR66" s="0"/>
      <c r="RIS66" s="0"/>
      <c r="RIT66" s="0"/>
      <c r="RIU66" s="0"/>
      <c r="RIV66" s="0"/>
      <c r="RIW66" s="0"/>
      <c r="RIX66" s="0"/>
      <c r="RIY66" s="0"/>
      <c r="RIZ66" s="0"/>
      <c r="RJA66" s="0"/>
      <c r="RJB66" s="0"/>
      <c r="RJC66" s="0"/>
      <c r="RJD66" s="0"/>
      <c r="RJE66" s="0"/>
      <c r="RJF66" s="0"/>
      <c r="RJG66" s="0"/>
      <c r="RJH66" s="0"/>
      <c r="RJI66" s="0"/>
      <c r="RJJ66" s="0"/>
      <c r="RJK66" s="0"/>
      <c r="RJL66" s="0"/>
      <c r="RJM66" s="0"/>
      <c r="RJN66" s="0"/>
      <c r="RJO66" s="0"/>
      <c r="RJP66" s="0"/>
      <c r="RJQ66" s="0"/>
      <c r="RJR66" s="0"/>
      <c r="RJS66" s="0"/>
      <c r="RJT66" s="0"/>
      <c r="RJU66" s="0"/>
      <c r="RJV66" s="0"/>
      <c r="RJW66" s="0"/>
      <c r="RJX66" s="0"/>
      <c r="RJY66" s="0"/>
      <c r="RJZ66" s="0"/>
      <c r="RKA66" s="0"/>
      <c r="RKB66" s="0"/>
      <c r="RKC66" s="0"/>
      <c r="RKD66" s="0"/>
      <c r="RKE66" s="0"/>
      <c r="RKF66" s="0"/>
      <c r="RKG66" s="0"/>
      <c r="RKH66" s="0"/>
      <c r="RKI66" s="0"/>
      <c r="RKJ66" s="0"/>
      <c r="RKK66" s="0"/>
      <c r="RKL66" s="0"/>
      <c r="RKM66" s="0"/>
      <c r="RKN66" s="0"/>
      <c r="RKO66" s="0"/>
      <c r="RKP66" s="0"/>
      <c r="RKQ66" s="0"/>
      <c r="RKR66" s="0"/>
      <c r="RKS66" s="0"/>
      <c r="RKT66" s="0"/>
      <c r="RKU66" s="0"/>
      <c r="RKV66" s="0"/>
      <c r="RKW66" s="0"/>
      <c r="RKX66" s="0"/>
      <c r="RKY66" s="0"/>
      <c r="RKZ66" s="0"/>
      <c r="RLA66" s="0"/>
      <c r="RLB66" s="0"/>
      <c r="RLC66" s="0"/>
      <c r="RLD66" s="0"/>
      <c r="RLE66" s="0"/>
      <c r="RLF66" s="0"/>
      <c r="RLG66" s="0"/>
      <c r="RLH66" s="0"/>
      <c r="RLI66" s="0"/>
      <c r="RLJ66" s="0"/>
      <c r="RLK66" s="0"/>
      <c r="RLL66" s="0"/>
      <c r="RLM66" s="0"/>
      <c r="RLN66" s="0"/>
      <c r="RLO66" s="0"/>
      <c r="RLP66" s="0"/>
      <c r="RLQ66" s="0"/>
      <c r="RLR66" s="0"/>
      <c r="RLS66" s="0"/>
      <c r="RLT66" s="0"/>
      <c r="RLU66" s="0"/>
      <c r="RLV66" s="0"/>
      <c r="RLW66" s="0"/>
      <c r="RLX66" s="0"/>
      <c r="RLY66" s="0"/>
      <c r="RLZ66" s="0"/>
      <c r="RMA66" s="0"/>
      <c r="RMB66" s="0"/>
      <c r="RMC66" s="0"/>
      <c r="RMD66" s="0"/>
      <c r="RME66" s="0"/>
      <c r="RMF66" s="0"/>
      <c r="RMG66" s="0"/>
      <c r="RMH66" s="0"/>
      <c r="RMI66" s="0"/>
      <c r="RMJ66" s="0"/>
      <c r="RMK66" s="0"/>
      <c r="RML66" s="0"/>
      <c r="RMM66" s="0"/>
      <c r="RMN66" s="0"/>
      <c r="RMO66" s="0"/>
      <c r="RMP66" s="0"/>
      <c r="RMQ66" s="0"/>
      <c r="RMR66" s="0"/>
      <c r="RMS66" s="0"/>
      <c r="RMT66" s="0"/>
      <c r="RMU66" s="0"/>
      <c r="RMV66" s="0"/>
      <c r="RMW66" s="0"/>
      <c r="RMX66" s="0"/>
      <c r="RMY66" s="0"/>
      <c r="RMZ66" s="0"/>
      <c r="RNA66" s="0"/>
      <c r="RNB66" s="0"/>
      <c r="RNC66" s="0"/>
      <c r="RND66" s="0"/>
      <c r="RNE66" s="0"/>
      <c r="RNF66" s="0"/>
      <c r="RNG66" s="0"/>
      <c r="RNH66" s="0"/>
      <c r="RNI66" s="0"/>
      <c r="RNJ66" s="0"/>
      <c r="RNK66" s="0"/>
      <c r="RNL66" s="0"/>
      <c r="RNM66" s="0"/>
      <c r="RNN66" s="0"/>
      <c r="RNO66" s="0"/>
      <c r="RNP66" s="0"/>
      <c r="RNQ66" s="0"/>
      <c r="RNR66" s="0"/>
      <c r="RNS66" s="0"/>
      <c r="RNT66" s="0"/>
      <c r="RNU66" s="0"/>
      <c r="RNV66" s="0"/>
      <c r="RNW66" s="0"/>
      <c r="RNX66" s="0"/>
      <c r="RNY66" s="0"/>
      <c r="RNZ66" s="0"/>
      <c r="ROA66" s="0"/>
      <c r="ROB66" s="0"/>
      <c r="ROC66" s="0"/>
      <c r="ROD66" s="0"/>
      <c r="ROE66" s="0"/>
      <c r="ROF66" s="0"/>
      <c r="ROG66" s="0"/>
      <c r="ROH66" s="0"/>
      <c r="ROI66" s="0"/>
      <c r="ROJ66" s="0"/>
      <c r="ROK66" s="0"/>
      <c r="ROL66" s="0"/>
      <c r="ROM66" s="0"/>
      <c r="RON66" s="0"/>
      <c r="ROO66" s="0"/>
      <c r="ROP66" s="0"/>
      <c r="ROQ66" s="0"/>
      <c r="ROR66" s="0"/>
      <c r="ROS66" s="0"/>
      <c r="ROT66" s="0"/>
      <c r="ROU66" s="0"/>
      <c r="ROV66" s="0"/>
      <c r="ROW66" s="0"/>
      <c r="ROX66" s="0"/>
      <c r="ROY66" s="0"/>
      <c r="ROZ66" s="0"/>
      <c r="RPA66" s="0"/>
      <c r="RPB66" s="0"/>
      <c r="RPC66" s="0"/>
      <c r="RPD66" s="0"/>
      <c r="RPE66" s="0"/>
      <c r="RPF66" s="0"/>
      <c r="RPG66" s="0"/>
      <c r="RPH66" s="0"/>
      <c r="RPI66" s="0"/>
      <c r="RPJ66" s="0"/>
      <c r="RPK66" s="0"/>
      <c r="RPL66" s="0"/>
      <c r="RPM66" s="0"/>
      <c r="RPN66" s="0"/>
      <c r="RPO66" s="0"/>
      <c r="RPP66" s="0"/>
      <c r="RPQ66" s="0"/>
      <c r="RPR66" s="0"/>
      <c r="RPS66" s="0"/>
      <c r="RPT66" s="0"/>
      <c r="RPU66" s="0"/>
      <c r="RPV66" s="0"/>
      <c r="RPW66" s="0"/>
      <c r="RPX66" s="0"/>
      <c r="RPY66" s="0"/>
      <c r="RPZ66" s="0"/>
      <c r="RQA66" s="0"/>
      <c r="RQB66" s="0"/>
      <c r="RQC66" s="0"/>
      <c r="RQD66" s="0"/>
      <c r="RQE66" s="0"/>
      <c r="RQF66" s="0"/>
      <c r="RQG66" s="0"/>
      <c r="RQH66" s="0"/>
      <c r="RQI66" s="0"/>
      <c r="RQJ66" s="0"/>
      <c r="RQK66" s="0"/>
      <c r="RQL66" s="0"/>
      <c r="RQM66" s="0"/>
      <c r="RQN66" s="0"/>
      <c r="RQO66" s="0"/>
      <c r="RQP66" s="0"/>
      <c r="RQQ66" s="0"/>
      <c r="RQR66" s="0"/>
      <c r="RQS66" s="0"/>
      <c r="RQT66" s="0"/>
      <c r="RQU66" s="0"/>
      <c r="RQV66" s="0"/>
      <c r="RQW66" s="0"/>
      <c r="RQX66" s="0"/>
      <c r="RQY66" s="0"/>
      <c r="RQZ66" s="0"/>
      <c r="RRA66" s="0"/>
      <c r="RRB66" s="0"/>
      <c r="RRC66" s="0"/>
      <c r="RRD66" s="0"/>
      <c r="RRE66" s="0"/>
      <c r="RRF66" s="0"/>
      <c r="RRG66" s="0"/>
      <c r="RRH66" s="0"/>
      <c r="RRI66" s="0"/>
      <c r="RRJ66" s="0"/>
      <c r="RRK66" s="0"/>
      <c r="RRL66" s="0"/>
      <c r="RRM66" s="0"/>
      <c r="RRN66" s="0"/>
      <c r="RRO66" s="0"/>
      <c r="RRP66" s="0"/>
      <c r="RRQ66" s="0"/>
      <c r="RRR66" s="0"/>
      <c r="RRS66" s="0"/>
      <c r="RRT66" s="0"/>
      <c r="RRU66" s="0"/>
      <c r="RRV66" s="0"/>
      <c r="RRW66" s="0"/>
      <c r="RRX66" s="0"/>
      <c r="RRY66" s="0"/>
      <c r="RRZ66" s="0"/>
      <c r="RSA66" s="0"/>
      <c r="RSB66" s="0"/>
      <c r="RSC66" s="0"/>
      <c r="RSD66" s="0"/>
      <c r="RSE66" s="0"/>
      <c r="RSF66" s="0"/>
      <c r="RSG66" s="0"/>
      <c r="RSH66" s="0"/>
      <c r="RSI66" s="0"/>
      <c r="RSJ66" s="0"/>
      <c r="RSK66" s="0"/>
      <c r="RSL66" s="0"/>
      <c r="RSM66" s="0"/>
      <c r="RSN66" s="0"/>
      <c r="RSO66" s="0"/>
      <c r="RSP66" s="0"/>
      <c r="RSQ66" s="0"/>
      <c r="RSR66" s="0"/>
      <c r="RSS66" s="0"/>
      <c r="RST66" s="0"/>
      <c r="RSU66" s="0"/>
      <c r="RSV66" s="0"/>
      <c r="RSW66" s="0"/>
      <c r="RSX66" s="0"/>
      <c r="RSY66" s="0"/>
      <c r="RSZ66" s="0"/>
      <c r="RTA66" s="0"/>
      <c r="RTB66" s="0"/>
      <c r="RTC66" s="0"/>
      <c r="RTD66" s="0"/>
      <c r="RTE66" s="0"/>
      <c r="RTF66" s="0"/>
      <c r="RTG66" s="0"/>
      <c r="RTH66" s="0"/>
      <c r="RTI66" s="0"/>
      <c r="RTJ66" s="0"/>
      <c r="RTK66" s="0"/>
      <c r="RTL66" s="0"/>
      <c r="RTM66" s="0"/>
      <c r="RTN66" s="0"/>
      <c r="RTO66" s="0"/>
      <c r="RTP66" s="0"/>
      <c r="RTQ66" s="0"/>
      <c r="RTR66" s="0"/>
      <c r="RTS66" s="0"/>
      <c r="RTT66" s="0"/>
      <c r="RTU66" s="0"/>
      <c r="RTV66" s="0"/>
      <c r="RTW66" s="0"/>
      <c r="RTX66" s="0"/>
      <c r="RTY66" s="0"/>
      <c r="RTZ66" s="0"/>
      <c r="RUA66" s="0"/>
      <c r="RUB66" s="0"/>
      <c r="RUC66" s="0"/>
      <c r="RUD66" s="0"/>
      <c r="RUE66" s="0"/>
      <c r="RUF66" s="0"/>
      <c r="RUG66" s="0"/>
      <c r="RUH66" s="0"/>
      <c r="RUI66" s="0"/>
      <c r="RUJ66" s="0"/>
      <c r="RUK66" s="0"/>
      <c r="RUL66" s="0"/>
      <c r="RUM66" s="0"/>
      <c r="RUN66" s="0"/>
      <c r="RUO66" s="0"/>
      <c r="RUP66" s="0"/>
      <c r="RUQ66" s="0"/>
      <c r="RUR66" s="0"/>
      <c r="RUS66" s="0"/>
      <c r="RUT66" s="0"/>
      <c r="RUU66" s="0"/>
      <c r="RUV66" s="0"/>
      <c r="RUW66" s="0"/>
      <c r="RUX66" s="0"/>
      <c r="RUY66" s="0"/>
      <c r="RUZ66" s="0"/>
      <c r="RVA66" s="0"/>
      <c r="RVB66" s="0"/>
      <c r="RVC66" s="0"/>
      <c r="RVD66" s="0"/>
      <c r="RVE66" s="0"/>
      <c r="RVF66" s="0"/>
      <c r="RVG66" s="0"/>
      <c r="RVH66" s="0"/>
      <c r="RVI66" s="0"/>
      <c r="RVJ66" s="0"/>
      <c r="RVK66" s="0"/>
      <c r="RVL66" s="0"/>
      <c r="RVM66" s="0"/>
      <c r="RVN66" s="0"/>
      <c r="RVO66" s="0"/>
      <c r="RVP66" s="0"/>
      <c r="RVQ66" s="0"/>
      <c r="RVR66" s="0"/>
      <c r="RVS66" s="0"/>
      <c r="RVT66" s="0"/>
      <c r="RVU66" s="0"/>
      <c r="RVV66" s="0"/>
      <c r="RVW66" s="0"/>
      <c r="RVX66" s="0"/>
      <c r="RVY66" s="0"/>
      <c r="RVZ66" s="0"/>
      <c r="RWA66" s="0"/>
      <c r="RWB66" s="0"/>
      <c r="RWC66" s="0"/>
      <c r="RWD66" s="0"/>
      <c r="RWE66" s="0"/>
      <c r="RWF66" s="0"/>
      <c r="RWG66" s="0"/>
      <c r="RWH66" s="0"/>
      <c r="RWI66" s="0"/>
      <c r="RWJ66" s="0"/>
      <c r="RWK66" s="0"/>
      <c r="RWL66" s="0"/>
      <c r="RWM66" s="0"/>
      <c r="RWN66" s="0"/>
      <c r="RWO66" s="0"/>
      <c r="RWP66" s="0"/>
      <c r="RWQ66" s="0"/>
      <c r="RWR66" s="0"/>
      <c r="RWS66" s="0"/>
      <c r="RWT66" s="0"/>
      <c r="RWU66" s="0"/>
      <c r="RWV66" s="0"/>
      <c r="RWW66" s="0"/>
      <c r="RWX66" s="0"/>
      <c r="RWY66" s="0"/>
      <c r="RWZ66" s="0"/>
      <c r="RXA66" s="0"/>
      <c r="RXB66" s="0"/>
      <c r="RXC66" s="0"/>
      <c r="RXD66" s="0"/>
      <c r="RXE66" s="0"/>
      <c r="RXF66" s="0"/>
      <c r="RXG66" s="0"/>
      <c r="RXH66" s="0"/>
      <c r="RXI66" s="0"/>
      <c r="RXJ66" s="0"/>
      <c r="RXK66" s="0"/>
      <c r="RXL66" s="0"/>
      <c r="RXM66" s="0"/>
      <c r="RXN66" s="0"/>
      <c r="RXO66" s="0"/>
      <c r="RXP66" s="0"/>
      <c r="RXQ66" s="0"/>
      <c r="RXR66" s="0"/>
      <c r="RXS66" s="0"/>
      <c r="RXT66" s="0"/>
      <c r="RXU66" s="0"/>
      <c r="RXV66" s="0"/>
      <c r="RXW66" s="0"/>
      <c r="RXX66" s="0"/>
      <c r="RXY66" s="0"/>
      <c r="RXZ66" s="0"/>
      <c r="RYA66" s="0"/>
      <c r="RYB66" s="0"/>
      <c r="RYC66" s="0"/>
      <c r="RYD66" s="0"/>
      <c r="RYE66" s="0"/>
      <c r="RYF66" s="0"/>
      <c r="RYG66" s="0"/>
      <c r="RYH66" s="0"/>
      <c r="RYI66" s="0"/>
      <c r="RYJ66" s="0"/>
      <c r="RYK66" s="0"/>
      <c r="RYL66" s="0"/>
      <c r="RYM66" s="0"/>
      <c r="RYN66" s="0"/>
      <c r="RYO66" s="0"/>
      <c r="RYP66" s="0"/>
      <c r="RYQ66" s="0"/>
      <c r="RYR66" s="0"/>
      <c r="RYS66" s="0"/>
      <c r="RYT66" s="0"/>
      <c r="RYU66" s="0"/>
      <c r="RYV66" s="0"/>
      <c r="RYW66" s="0"/>
      <c r="RYX66" s="0"/>
      <c r="RYY66" s="0"/>
      <c r="RYZ66" s="0"/>
      <c r="RZA66" s="0"/>
      <c r="RZB66" s="0"/>
      <c r="RZC66" s="0"/>
      <c r="RZD66" s="0"/>
      <c r="RZE66" s="0"/>
      <c r="RZF66" s="0"/>
      <c r="RZG66" s="0"/>
      <c r="RZH66" s="0"/>
      <c r="RZI66" s="0"/>
      <c r="RZJ66" s="0"/>
      <c r="RZK66" s="0"/>
      <c r="RZL66" s="0"/>
      <c r="RZM66" s="0"/>
      <c r="RZN66" s="0"/>
      <c r="RZO66" s="0"/>
      <c r="RZP66" s="0"/>
      <c r="RZQ66" s="0"/>
      <c r="RZR66" s="0"/>
      <c r="RZS66" s="0"/>
      <c r="RZT66" s="0"/>
      <c r="RZU66" s="0"/>
      <c r="RZV66" s="0"/>
      <c r="RZW66" s="0"/>
      <c r="RZX66" s="0"/>
      <c r="RZY66" s="0"/>
      <c r="RZZ66" s="0"/>
      <c r="SAA66" s="0"/>
      <c r="SAB66" s="0"/>
      <c r="SAC66" s="0"/>
      <c r="SAD66" s="0"/>
      <c r="SAE66" s="0"/>
      <c r="SAF66" s="0"/>
      <c r="SAG66" s="0"/>
      <c r="SAH66" s="0"/>
      <c r="SAI66" s="0"/>
      <c r="SAJ66" s="0"/>
      <c r="SAK66" s="0"/>
      <c r="SAL66" s="0"/>
      <c r="SAM66" s="0"/>
      <c r="SAN66" s="0"/>
      <c r="SAO66" s="0"/>
      <c r="SAP66" s="0"/>
      <c r="SAQ66" s="0"/>
      <c r="SAR66" s="0"/>
      <c r="SAS66" s="0"/>
      <c r="SAT66" s="0"/>
      <c r="SAU66" s="0"/>
      <c r="SAV66" s="0"/>
      <c r="SAW66" s="0"/>
      <c r="SAX66" s="0"/>
      <c r="SAY66" s="0"/>
      <c r="SAZ66" s="0"/>
      <c r="SBA66" s="0"/>
      <c r="SBB66" s="0"/>
      <c r="SBC66" s="0"/>
      <c r="SBD66" s="0"/>
      <c r="SBE66" s="0"/>
      <c r="SBF66" s="0"/>
      <c r="SBG66" s="0"/>
      <c r="SBH66" s="0"/>
      <c r="SBI66" s="0"/>
      <c r="SBJ66" s="0"/>
      <c r="SBK66" s="0"/>
      <c r="SBL66" s="0"/>
      <c r="SBM66" s="0"/>
      <c r="SBN66" s="0"/>
      <c r="SBO66" s="0"/>
      <c r="SBP66" s="0"/>
      <c r="SBQ66" s="0"/>
      <c r="SBR66" s="0"/>
      <c r="SBS66" s="0"/>
      <c r="SBT66" s="0"/>
      <c r="SBU66" s="0"/>
      <c r="SBV66" s="0"/>
      <c r="SBW66" s="0"/>
      <c r="SBX66" s="0"/>
      <c r="SBY66" s="0"/>
      <c r="SBZ66" s="0"/>
      <c r="SCA66" s="0"/>
      <c r="SCB66" s="0"/>
      <c r="SCC66" s="0"/>
      <c r="SCD66" s="0"/>
      <c r="SCE66" s="0"/>
      <c r="SCF66" s="0"/>
      <c r="SCG66" s="0"/>
      <c r="SCH66" s="0"/>
      <c r="SCI66" s="0"/>
      <c r="SCJ66" s="0"/>
      <c r="SCK66" s="0"/>
      <c r="SCL66" s="0"/>
      <c r="SCM66" s="0"/>
      <c r="SCN66" s="0"/>
      <c r="SCO66" s="0"/>
      <c r="SCP66" s="0"/>
      <c r="SCQ66" s="0"/>
      <c r="SCR66" s="0"/>
      <c r="SCS66" s="0"/>
      <c r="SCT66" s="0"/>
      <c r="SCU66" s="0"/>
      <c r="SCV66" s="0"/>
      <c r="SCW66" s="0"/>
      <c r="SCX66" s="0"/>
      <c r="SCY66" s="0"/>
      <c r="SCZ66" s="0"/>
      <c r="SDA66" s="0"/>
      <c r="SDB66" s="0"/>
      <c r="SDC66" s="0"/>
      <c r="SDD66" s="0"/>
      <c r="SDE66" s="0"/>
      <c r="SDF66" s="0"/>
      <c r="SDG66" s="0"/>
      <c r="SDH66" s="0"/>
      <c r="SDI66" s="0"/>
      <c r="SDJ66" s="0"/>
      <c r="SDK66" s="0"/>
      <c r="SDL66" s="0"/>
      <c r="SDM66" s="0"/>
      <c r="SDN66" s="0"/>
      <c r="SDO66" s="0"/>
      <c r="SDP66" s="0"/>
      <c r="SDQ66" s="0"/>
      <c r="SDR66" s="0"/>
      <c r="SDS66" s="0"/>
      <c r="SDT66" s="0"/>
      <c r="SDU66" s="0"/>
      <c r="SDV66" s="0"/>
      <c r="SDW66" s="0"/>
      <c r="SDX66" s="0"/>
      <c r="SDY66" s="0"/>
      <c r="SDZ66" s="0"/>
      <c r="SEA66" s="0"/>
      <c r="SEB66" s="0"/>
      <c r="SEC66" s="0"/>
      <c r="SED66" s="0"/>
      <c r="SEE66" s="0"/>
      <c r="SEF66" s="0"/>
      <c r="SEG66" s="0"/>
      <c r="SEH66" s="0"/>
      <c r="SEI66" s="0"/>
      <c r="SEJ66" s="0"/>
      <c r="SEK66" s="0"/>
      <c r="SEL66" s="0"/>
      <c r="SEM66" s="0"/>
      <c r="SEN66" s="0"/>
      <c r="SEO66" s="0"/>
      <c r="SEP66" s="0"/>
      <c r="SEQ66" s="0"/>
      <c r="SER66" s="0"/>
      <c r="SES66" s="0"/>
      <c r="SET66" s="0"/>
      <c r="SEU66" s="0"/>
      <c r="SEV66" s="0"/>
      <c r="SEW66" s="0"/>
      <c r="SEX66" s="0"/>
      <c r="SEY66" s="0"/>
      <c r="SEZ66" s="0"/>
      <c r="SFA66" s="0"/>
      <c r="SFB66" s="0"/>
      <c r="SFC66" s="0"/>
      <c r="SFD66" s="0"/>
      <c r="SFE66" s="0"/>
      <c r="SFF66" s="0"/>
      <c r="SFG66" s="0"/>
      <c r="SFH66" s="0"/>
      <c r="SFI66" s="0"/>
      <c r="SFJ66" s="0"/>
      <c r="SFK66" s="0"/>
      <c r="SFL66" s="0"/>
      <c r="SFM66" s="0"/>
      <c r="SFN66" s="0"/>
      <c r="SFO66" s="0"/>
      <c r="SFP66" s="0"/>
      <c r="SFQ66" s="0"/>
      <c r="SFR66" s="0"/>
      <c r="SFS66" s="0"/>
      <c r="SFT66" s="0"/>
      <c r="SFU66" s="0"/>
      <c r="SFV66" s="0"/>
      <c r="SFW66" s="0"/>
      <c r="SFX66" s="0"/>
      <c r="SFY66" s="0"/>
      <c r="SFZ66" s="0"/>
      <c r="SGA66" s="0"/>
      <c r="SGB66" s="0"/>
      <c r="SGC66" s="0"/>
      <c r="SGD66" s="0"/>
      <c r="SGE66" s="0"/>
      <c r="SGF66" s="0"/>
      <c r="SGG66" s="0"/>
      <c r="SGH66" s="0"/>
      <c r="SGI66" s="0"/>
      <c r="SGJ66" s="0"/>
      <c r="SGK66" s="0"/>
      <c r="SGL66" s="0"/>
      <c r="SGM66" s="0"/>
      <c r="SGN66" s="0"/>
      <c r="SGO66" s="0"/>
      <c r="SGP66" s="0"/>
      <c r="SGQ66" s="0"/>
      <c r="SGR66" s="0"/>
      <c r="SGS66" s="0"/>
      <c r="SGT66" s="0"/>
      <c r="SGU66" s="0"/>
      <c r="SGV66" s="0"/>
      <c r="SGW66" s="0"/>
      <c r="SGX66" s="0"/>
      <c r="SGY66" s="0"/>
      <c r="SGZ66" s="0"/>
      <c r="SHA66" s="0"/>
      <c r="SHB66" s="0"/>
      <c r="SHC66" s="0"/>
      <c r="SHD66" s="0"/>
      <c r="SHE66" s="0"/>
      <c r="SHF66" s="0"/>
      <c r="SHG66" s="0"/>
      <c r="SHH66" s="0"/>
      <c r="SHI66" s="0"/>
      <c r="SHJ66" s="0"/>
      <c r="SHK66" s="0"/>
      <c r="SHL66" s="0"/>
      <c r="SHM66" s="0"/>
      <c r="SHN66" s="0"/>
      <c r="SHO66" s="0"/>
      <c r="SHP66" s="0"/>
      <c r="SHQ66" s="0"/>
      <c r="SHR66" s="0"/>
      <c r="SHS66" s="0"/>
      <c r="SHT66" s="0"/>
      <c r="SHU66" s="0"/>
      <c r="SHV66" s="0"/>
      <c r="SHW66" s="0"/>
      <c r="SHX66" s="0"/>
      <c r="SHY66" s="0"/>
      <c r="SHZ66" s="0"/>
      <c r="SIA66" s="0"/>
      <c r="SIB66" s="0"/>
      <c r="SIC66" s="0"/>
      <c r="SID66" s="0"/>
      <c r="SIE66" s="0"/>
      <c r="SIF66" s="0"/>
      <c r="SIG66" s="0"/>
      <c r="SIH66" s="0"/>
      <c r="SII66" s="0"/>
      <c r="SIJ66" s="0"/>
      <c r="SIK66" s="0"/>
      <c r="SIL66" s="0"/>
      <c r="SIM66" s="0"/>
      <c r="SIN66" s="0"/>
      <c r="SIO66" s="0"/>
      <c r="SIP66" s="0"/>
      <c r="SIQ66" s="0"/>
      <c r="SIR66" s="0"/>
      <c r="SIS66" s="0"/>
      <c r="SIT66" s="0"/>
      <c r="SIU66" s="0"/>
      <c r="SIV66" s="0"/>
      <c r="SIW66" s="0"/>
      <c r="SIX66" s="0"/>
      <c r="SIY66" s="0"/>
      <c r="SIZ66" s="0"/>
      <c r="SJA66" s="0"/>
      <c r="SJB66" s="0"/>
      <c r="SJC66" s="0"/>
      <c r="SJD66" s="0"/>
      <c r="SJE66" s="0"/>
      <c r="SJF66" s="0"/>
      <c r="SJG66" s="0"/>
      <c r="SJH66" s="0"/>
      <c r="SJI66" s="0"/>
      <c r="SJJ66" s="0"/>
      <c r="SJK66" s="0"/>
      <c r="SJL66" s="0"/>
      <c r="SJM66" s="0"/>
      <c r="SJN66" s="0"/>
      <c r="SJO66" s="0"/>
      <c r="SJP66" s="0"/>
      <c r="SJQ66" s="0"/>
      <c r="SJR66" s="0"/>
      <c r="SJS66" s="0"/>
      <c r="SJT66" s="0"/>
      <c r="SJU66" s="0"/>
      <c r="SJV66" s="0"/>
      <c r="SJW66" s="0"/>
      <c r="SJX66" s="0"/>
      <c r="SJY66" s="0"/>
      <c r="SJZ66" s="0"/>
      <c r="SKA66" s="0"/>
      <c r="SKB66" s="0"/>
      <c r="SKC66" s="0"/>
      <c r="SKD66" s="0"/>
      <c r="SKE66" s="0"/>
      <c r="SKF66" s="0"/>
      <c r="SKG66" s="0"/>
      <c r="SKH66" s="0"/>
      <c r="SKI66" s="0"/>
      <c r="SKJ66" s="0"/>
      <c r="SKK66" s="0"/>
      <c r="SKL66" s="0"/>
      <c r="SKM66" s="0"/>
      <c r="SKN66" s="0"/>
      <c r="SKO66" s="0"/>
      <c r="SKP66" s="0"/>
      <c r="SKQ66" s="0"/>
      <c r="SKR66" s="0"/>
      <c r="SKS66" s="0"/>
      <c r="SKT66" s="0"/>
      <c r="SKU66" s="0"/>
      <c r="SKV66" s="0"/>
      <c r="SKW66" s="0"/>
      <c r="SKX66" s="0"/>
      <c r="SKY66" s="0"/>
      <c r="SKZ66" s="0"/>
      <c r="SLA66" s="0"/>
      <c r="SLB66" s="0"/>
      <c r="SLC66" s="0"/>
      <c r="SLD66" s="0"/>
      <c r="SLE66" s="0"/>
      <c r="SLF66" s="0"/>
      <c r="SLG66" s="0"/>
      <c r="SLH66" s="0"/>
      <c r="SLI66" s="0"/>
      <c r="SLJ66" s="0"/>
      <c r="SLK66" s="0"/>
      <c r="SLL66" s="0"/>
      <c r="SLM66" s="0"/>
      <c r="SLN66" s="0"/>
      <c r="SLO66" s="0"/>
      <c r="SLP66" s="0"/>
      <c r="SLQ66" s="0"/>
      <c r="SLR66" s="0"/>
      <c r="SLS66" s="0"/>
      <c r="SLT66" s="0"/>
      <c r="SLU66" s="0"/>
      <c r="SLV66" s="0"/>
      <c r="SLW66" s="0"/>
      <c r="SLX66" s="0"/>
      <c r="SLY66" s="0"/>
      <c r="SLZ66" s="0"/>
      <c r="SMA66" s="0"/>
      <c r="SMB66" s="0"/>
      <c r="SMC66" s="0"/>
      <c r="SMD66" s="0"/>
      <c r="SME66" s="0"/>
      <c r="SMF66" s="0"/>
      <c r="SMG66" s="0"/>
      <c r="SMH66" s="0"/>
      <c r="SMI66" s="0"/>
      <c r="SMJ66" s="0"/>
      <c r="SMK66" s="0"/>
      <c r="SML66" s="0"/>
      <c r="SMM66" s="0"/>
      <c r="SMN66" s="0"/>
      <c r="SMO66" s="0"/>
      <c r="SMP66" s="0"/>
      <c r="SMQ66" s="0"/>
      <c r="SMR66" s="0"/>
      <c r="SMS66" s="0"/>
      <c r="SMT66" s="0"/>
      <c r="SMU66" s="0"/>
      <c r="SMV66" s="0"/>
      <c r="SMW66" s="0"/>
      <c r="SMX66" s="0"/>
      <c r="SMY66" s="0"/>
      <c r="SMZ66" s="0"/>
      <c r="SNA66" s="0"/>
      <c r="SNB66" s="0"/>
      <c r="SNC66" s="0"/>
      <c r="SND66" s="0"/>
      <c r="SNE66" s="0"/>
      <c r="SNF66" s="0"/>
      <c r="SNG66" s="0"/>
      <c r="SNH66" s="0"/>
      <c r="SNI66" s="0"/>
      <c r="SNJ66" s="0"/>
      <c r="SNK66" s="0"/>
      <c r="SNL66" s="0"/>
      <c r="SNM66" s="0"/>
      <c r="SNN66" s="0"/>
      <c r="SNO66" s="0"/>
      <c r="SNP66" s="0"/>
      <c r="SNQ66" s="0"/>
      <c r="SNR66" s="0"/>
      <c r="SNS66" s="0"/>
      <c r="SNT66" s="0"/>
      <c r="SNU66" s="0"/>
      <c r="SNV66" s="0"/>
      <c r="SNW66" s="0"/>
      <c r="SNX66" s="0"/>
      <c r="SNY66" s="0"/>
      <c r="SNZ66" s="0"/>
      <c r="SOA66" s="0"/>
      <c r="SOB66" s="0"/>
      <c r="SOC66" s="0"/>
      <c r="SOD66" s="0"/>
      <c r="SOE66" s="0"/>
      <c r="SOF66" s="0"/>
      <c r="SOG66" s="0"/>
      <c r="SOH66" s="0"/>
      <c r="SOI66" s="0"/>
      <c r="SOJ66" s="0"/>
      <c r="SOK66" s="0"/>
      <c r="SOL66" s="0"/>
      <c r="SOM66" s="0"/>
      <c r="SON66" s="0"/>
      <c r="SOO66" s="0"/>
      <c r="SOP66" s="0"/>
      <c r="SOQ66" s="0"/>
      <c r="SOR66" s="0"/>
      <c r="SOS66" s="0"/>
      <c r="SOT66" s="0"/>
      <c r="SOU66" s="0"/>
      <c r="SOV66" s="0"/>
      <c r="SOW66" s="0"/>
      <c r="SOX66" s="0"/>
      <c r="SOY66" s="0"/>
      <c r="SOZ66" s="0"/>
      <c r="SPA66" s="0"/>
      <c r="SPB66" s="0"/>
      <c r="SPC66" s="0"/>
      <c r="SPD66" s="0"/>
      <c r="SPE66" s="0"/>
      <c r="SPF66" s="0"/>
      <c r="SPG66" s="0"/>
      <c r="SPH66" s="0"/>
      <c r="SPI66" s="0"/>
      <c r="SPJ66" s="0"/>
      <c r="SPK66" s="0"/>
      <c r="SPL66" s="0"/>
      <c r="SPM66" s="0"/>
      <c r="SPN66" s="0"/>
      <c r="SPO66" s="0"/>
      <c r="SPP66" s="0"/>
      <c r="SPQ66" s="0"/>
      <c r="SPR66" s="0"/>
      <c r="SPS66" s="0"/>
      <c r="SPT66" s="0"/>
      <c r="SPU66" s="0"/>
      <c r="SPV66" s="0"/>
      <c r="SPW66" s="0"/>
      <c r="SPX66" s="0"/>
      <c r="SPY66" s="0"/>
      <c r="SPZ66" s="0"/>
      <c r="SQA66" s="0"/>
      <c r="SQB66" s="0"/>
      <c r="SQC66" s="0"/>
      <c r="SQD66" s="0"/>
      <c r="SQE66" s="0"/>
      <c r="SQF66" s="0"/>
      <c r="SQG66" s="0"/>
      <c r="SQH66" s="0"/>
      <c r="SQI66" s="0"/>
      <c r="SQJ66" s="0"/>
      <c r="SQK66" s="0"/>
      <c r="SQL66" s="0"/>
      <c r="SQM66" s="0"/>
      <c r="SQN66" s="0"/>
      <c r="SQO66" s="0"/>
      <c r="SQP66" s="0"/>
      <c r="SQQ66" s="0"/>
      <c r="SQR66" s="0"/>
      <c r="SQS66" s="0"/>
      <c r="SQT66" s="0"/>
      <c r="SQU66" s="0"/>
      <c r="SQV66" s="0"/>
      <c r="SQW66" s="0"/>
      <c r="SQX66" s="0"/>
      <c r="SQY66" s="0"/>
      <c r="SQZ66" s="0"/>
      <c r="SRA66" s="0"/>
      <c r="SRB66" s="0"/>
      <c r="SRC66" s="0"/>
      <c r="SRD66" s="0"/>
      <c r="SRE66" s="0"/>
      <c r="SRF66" s="0"/>
      <c r="SRG66" s="0"/>
      <c r="SRH66" s="0"/>
      <c r="SRI66" s="0"/>
      <c r="SRJ66" s="0"/>
      <c r="SRK66" s="0"/>
      <c r="SRL66" s="0"/>
      <c r="SRM66" s="0"/>
      <c r="SRN66" s="0"/>
      <c r="SRO66" s="0"/>
      <c r="SRP66" s="0"/>
      <c r="SRQ66" s="0"/>
      <c r="SRR66" s="0"/>
      <c r="SRS66" s="0"/>
      <c r="SRT66" s="0"/>
      <c r="SRU66" s="0"/>
      <c r="SRV66" s="0"/>
      <c r="SRW66" s="0"/>
      <c r="SRX66" s="0"/>
      <c r="SRY66" s="0"/>
      <c r="SRZ66" s="0"/>
      <c r="SSA66" s="0"/>
      <c r="SSB66" s="0"/>
      <c r="SSC66" s="0"/>
      <c r="SSD66" s="0"/>
      <c r="SSE66" s="0"/>
      <c r="SSF66" s="0"/>
      <c r="SSG66" s="0"/>
      <c r="SSH66" s="0"/>
      <c r="SSI66" s="0"/>
      <c r="SSJ66" s="0"/>
      <c r="SSK66" s="0"/>
      <c r="SSL66" s="0"/>
      <c r="SSM66" s="0"/>
      <c r="SSN66" s="0"/>
      <c r="SSO66" s="0"/>
      <c r="SSP66" s="0"/>
      <c r="SSQ66" s="0"/>
      <c r="SSR66" s="0"/>
      <c r="SSS66" s="0"/>
      <c r="SST66" s="0"/>
      <c r="SSU66" s="0"/>
      <c r="SSV66" s="0"/>
      <c r="SSW66" s="0"/>
      <c r="SSX66" s="0"/>
      <c r="SSY66" s="0"/>
      <c r="SSZ66" s="0"/>
      <c r="STA66" s="0"/>
      <c r="STB66" s="0"/>
      <c r="STC66" s="0"/>
      <c r="STD66" s="0"/>
      <c r="STE66" s="0"/>
      <c r="STF66" s="0"/>
      <c r="STG66" s="0"/>
      <c r="STH66" s="0"/>
      <c r="STI66" s="0"/>
      <c r="STJ66" s="0"/>
      <c r="STK66" s="0"/>
      <c r="STL66" s="0"/>
      <c r="STM66" s="0"/>
      <c r="STN66" s="0"/>
      <c r="STO66" s="0"/>
      <c r="STP66" s="0"/>
      <c r="STQ66" s="0"/>
      <c r="STR66" s="0"/>
      <c r="STS66" s="0"/>
      <c r="STT66" s="0"/>
      <c r="STU66" s="0"/>
      <c r="STV66" s="0"/>
      <c r="STW66" s="0"/>
      <c r="STX66" s="0"/>
      <c r="STY66" s="0"/>
      <c r="STZ66" s="0"/>
      <c r="SUA66" s="0"/>
      <c r="SUB66" s="0"/>
      <c r="SUC66" s="0"/>
      <c r="SUD66" s="0"/>
      <c r="SUE66" s="0"/>
      <c r="SUF66" s="0"/>
      <c r="SUG66" s="0"/>
      <c r="SUH66" s="0"/>
      <c r="SUI66" s="0"/>
      <c r="SUJ66" s="0"/>
      <c r="SUK66" s="0"/>
      <c r="SUL66" s="0"/>
      <c r="SUM66" s="0"/>
      <c r="SUN66" s="0"/>
      <c r="SUO66" s="0"/>
      <c r="SUP66" s="0"/>
      <c r="SUQ66" s="0"/>
      <c r="SUR66" s="0"/>
      <c r="SUS66" s="0"/>
      <c r="SUT66" s="0"/>
      <c r="SUU66" s="0"/>
      <c r="SUV66" s="0"/>
      <c r="SUW66" s="0"/>
      <c r="SUX66" s="0"/>
      <c r="SUY66" s="0"/>
      <c r="SUZ66" s="0"/>
      <c r="SVA66" s="0"/>
      <c r="SVB66" s="0"/>
      <c r="SVC66" s="0"/>
      <c r="SVD66" s="0"/>
      <c r="SVE66" s="0"/>
      <c r="SVF66" s="0"/>
      <c r="SVG66" s="0"/>
      <c r="SVH66" s="0"/>
      <c r="SVI66" s="0"/>
      <c r="SVJ66" s="0"/>
      <c r="SVK66" s="0"/>
      <c r="SVL66" s="0"/>
      <c r="SVM66" s="0"/>
      <c r="SVN66" s="0"/>
      <c r="SVO66" s="0"/>
      <c r="SVP66" s="0"/>
      <c r="SVQ66" s="0"/>
      <c r="SVR66" s="0"/>
      <c r="SVS66" s="0"/>
      <c r="SVT66" s="0"/>
      <c r="SVU66" s="0"/>
      <c r="SVV66" s="0"/>
      <c r="SVW66" s="0"/>
      <c r="SVX66" s="0"/>
      <c r="SVY66" s="0"/>
      <c r="SVZ66" s="0"/>
      <c r="SWA66" s="0"/>
      <c r="SWB66" s="0"/>
      <c r="SWC66" s="0"/>
      <c r="SWD66" s="0"/>
      <c r="SWE66" s="0"/>
      <c r="SWF66" s="0"/>
      <c r="SWG66" s="0"/>
      <c r="SWH66" s="0"/>
      <c r="SWI66" s="0"/>
      <c r="SWJ66" s="0"/>
      <c r="SWK66" s="0"/>
      <c r="SWL66" s="0"/>
      <c r="SWM66" s="0"/>
      <c r="SWN66" s="0"/>
      <c r="SWO66" s="0"/>
      <c r="SWP66" s="0"/>
      <c r="SWQ66" s="0"/>
      <c r="SWR66" s="0"/>
      <c r="SWS66" s="0"/>
      <c r="SWT66" s="0"/>
      <c r="SWU66" s="0"/>
      <c r="SWV66" s="0"/>
      <c r="SWW66" s="0"/>
      <c r="SWX66" s="0"/>
      <c r="SWY66" s="0"/>
      <c r="SWZ66" s="0"/>
      <c r="SXA66" s="0"/>
      <c r="SXB66" s="0"/>
      <c r="SXC66" s="0"/>
      <c r="SXD66" s="0"/>
      <c r="SXE66" s="0"/>
      <c r="SXF66" s="0"/>
      <c r="SXG66" s="0"/>
      <c r="SXH66" s="0"/>
      <c r="SXI66" s="0"/>
      <c r="SXJ66" s="0"/>
      <c r="SXK66" s="0"/>
      <c r="SXL66" s="0"/>
      <c r="SXM66" s="0"/>
      <c r="SXN66" s="0"/>
      <c r="SXO66" s="0"/>
      <c r="SXP66" s="0"/>
      <c r="SXQ66" s="0"/>
      <c r="SXR66" s="0"/>
      <c r="SXS66" s="0"/>
      <c r="SXT66" s="0"/>
      <c r="SXU66" s="0"/>
      <c r="SXV66" s="0"/>
      <c r="SXW66" s="0"/>
      <c r="SXX66" s="0"/>
      <c r="SXY66" s="0"/>
      <c r="SXZ66" s="0"/>
      <c r="SYA66" s="0"/>
      <c r="SYB66" s="0"/>
      <c r="SYC66" s="0"/>
      <c r="SYD66" s="0"/>
      <c r="SYE66" s="0"/>
      <c r="SYF66" s="0"/>
      <c r="SYG66" s="0"/>
      <c r="SYH66" s="0"/>
      <c r="SYI66" s="0"/>
      <c r="SYJ66" s="0"/>
      <c r="SYK66" s="0"/>
      <c r="SYL66" s="0"/>
      <c r="SYM66" s="0"/>
      <c r="SYN66" s="0"/>
      <c r="SYO66" s="0"/>
      <c r="SYP66" s="0"/>
      <c r="SYQ66" s="0"/>
      <c r="SYR66" s="0"/>
      <c r="SYS66" s="0"/>
      <c r="SYT66" s="0"/>
      <c r="SYU66" s="0"/>
      <c r="SYV66" s="0"/>
      <c r="SYW66" s="0"/>
      <c r="SYX66" s="0"/>
      <c r="SYY66" s="0"/>
      <c r="SYZ66" s="0"/>
      <c r="SZA66" s="0"/>
      <c r="SZB66" s="0"/>
      <c r="SZC66" s="0"/>
      <c r="SZD66" s="0"/>
      <c r="SZE66" s="0"/>
      <c r="SZF66" s="0"/>
      <c r="SZG66" s="0"/>
      <c r="SZH66" s="0"/>
      <c r="SZI66" s="0"/>
      <c r="SZJ66" s="0"/>
      <c r="SZK66" s="0"/>
      <c r="SZL66" s="0"/>
      <c r="SZM66" s="0"/>
      <c r="SZN66" s="0"/>
      <c r="SZO66" s="0"/>
      <c r="SZP66" s="0"/>
      <c r="SZQ66" s="0"/>
      <c r="SZR66" s="0"/>
      <c r="SZS66" s="0"/>
      <c r="SZT66" s="0"/>
      <c r="SZU66" s="0"/>
      <c r="SZV66" s="0"/>
      <c r="SZW66" s="0"/>
      <c r="SZX66" s="0"/>
      <c r="SZY66" s="0"/>
      <c r="SZZ66" s="0"/>
      <c r="TAA66" s="0"/>
      <c r="TAB66" s="0"/>
      <c r="TAC66" s="0"/>
      <c r="TAD66" s="0"/>
      <c r="TAE66" s="0"/>
      <c r="TAF66" s="0"/>
      <c r="TAG66" s="0"/>
      <c r="TAH66" s="0"/>
      <c r="TAI66" s="0"/>
      <c r="TAJ66" s="0"/>
      <c r="TAK66" s="0"/>
      <c r="TAL66" s="0"/>
      <c r="TAM66" s="0"/>
      <c r="TAN66" s="0"/>
      <c r="TAO66" s="0"/>
      <c r="TAP66" s="0"/>
      <c r="TAQ66" s="0"/>
      <c r="TAR66" s="0"/>
      <c r="TAS66" s="0"/>
      <c r="TAT66" s="0"/>
      <c r="TAU66" s="0"/>
      <c r="TAV66" s="0"/>
      <c r="TAW66" s="0"/>
      <c r="TAX66" s="0"/>
      <c r="TAY66" s="0"/>
      <c r="TAZ66" s="0"/>
      <c r="TBA66" s="0"/>
      <c r="TBB66" s="0"/>
      <c r="TBC66" s="0"/>
      <c r="TBD66" s="0"/>
      <c r="TBE66" s="0"/>
      <c r="TBF66" s="0"/>
      <c r="TBG66" s="0"/>
      <c r="TBH66" s="0"/>
      <c r="TBI66" s="0"/>
      <c r="TBJ66" s="0"/>
      <c r="TBK66" s="0"/>
      <c r="TBL66" s="0"/>
      <c r="TBM66" s="0"/>
      <c r="TBN66" s="0"/>
      <c r="TBO66" s="0"/>
      <c r="TBP66" s="0"/>
      <c r="TBQ66" s="0"/>
      <c r="TBR66" s="0"/>
      <c r="TBS66" s="0"/>
      <c r="TBT66" s="0"/>
      <c r="TBU66" s="0"/>
      <c r="TBV66" s="0"/>
      <c r="TBW66" s="0"/>
      <c r="TBX66" s="0"/>
      <c r="TBY66" s="0"/>
      <c r="TBZ66" s="0"/>
      <c r="TCA66" s="0"/>
      <c r="TCB66" s="0"/>
      <c r="TCC66" s="0"/>
      <c r="TCD66" s="0"/>
      <c r="TCE66" s="0"/>
      <c r="TCF66" s="0"/>
      <c r="TCG66" s="0"/>
      <c r="TCH66" s="0"/>
      <c r="TCI66" s="0"/>
      <c r="TCJ66" s="0"/>
      <c r="TCK66" s="0"/>
      <c r="TCL66" s="0"/>
      <c r="TCM66" s="0"/>
      <c r="TCN66" s="0"/>
      <c r="TCO66" s="0"/>
      <c r="TCP66" s="0"/>
      <c r="TCQ66" s="0"/>
      <c r="TCR66" s="0"/>
      <c r="TCS66" s="0"/>
      <c r="TCT66" s="0"/>
      <c r="TCU66" s="0"/>
      <c r="TCV66" s="0"/>
      <c r="TCW66" s="0"/>
      <c r="TCX66" s="0"/>
      <c r="TCY66" s="0"/>
      <c r="TCZ66" s="0"/>
      <c r="TDA66" s="0"/>
      <c r="TDB66" s="0"/>
      <c r="TDC66" s="0"/>
      <c r="TDD66" s="0"/>
      <c r="TDE66" s="0"/>
      <c r="TDF66" s="0"/>
      <c r="TDG66" s="0"/>
      <c r="TDH66" s="0"/>
      <c r="TDI66" s="0"/>
      <c r="TDJ66" s="0"/>
      <c r="TDK66" s="0"/>
      <c r="TDL66" s="0"/>
      <c r="TDM66" s="0"/>
      <c r="TDN66" s="0"/>
      <c r="TDO66" s="0"/>
      <c r="TDP66" s="0"/>
      <c r="TDQ66" s="0"/>
      <c r="TDR66" s="0"/>
      <c r="TDS66" s="0"/>
      <c r="TDT66" s="0"/>
      <c r="TDU66" s="0"/>
      <c r="TDV66" s="0"/>
      <c r="TDW66" s="0"/>
      <c r="TDX66" s="0"/>
      <c r="TDY66" s="0"/>
      <c r="TDZ66" s="0"/>
      <c r="TEA66" s="0"/>
      <c r="TEB66" s="0"/>
      <c r="TEC66" s="0"/>
      <c r="TED66" s="0"/>
      <c r="TEE66" s="0"/>
      <c r="TEF66" s="0"/>
      <c r="TEG66" s="0"/>
      <c r="TEH66" s="0"/>
      <c r="TEI66" s="0"/>
      <c r="TEJ66" s="0"/>
      <c r="TEK66" s="0"/>
      <c r="TEL66" s="0"/>
      <c r="TEM66" s="0"/>
      <c r="TEN66" s="0"/>
      <c r="TEO66" s="0"/>
      <c r="TEP66" s="0"/>
      <c r="TEQ66" s="0"/>
      <c r="TER66" s="0"/>
      <c r="TES66" s="0"/>
      <c r="TET66" s="0"/>
      <c r="TEU66" s="0"/>
      <c r="TEV66" s="0"/>
      <c r="TEW66" s="0"/>
      <c r="TEX66" s="0"/>
      <c r="TEY66" s="0"/>
      <c r="TEZ66" s="0"/>
      <c r="TFA66" s="0"/>
      <c r="TFB66" s="0"/>
      <c r="TFC66" s="0"/>
      <c r="TFD66" s="0"/>
      <c r="TFE66" s="0"/>
      <c r="TFF66" s="0"/>
      <c r="TFG66" s="0"/>
      <c r="TFH66" s="0"/>
      <c r="TFI66" s="0"/>
      <c r="TFJ66" s="0"/>
      <c r="TFK66" s="0"/>
      <c r="TFL66" s="0"/>
      <c r="TFM66" s="0"/>
      <c r="TFN66" s="0"/>
      <c r="TFO66" s="0"/>
      <c r="TFP66" s="0"/>
      <c r="TFQ66" s="0"/>
      <c r="TFR66" s="0"/>
      <c r="TFS66" s="0"/>
      <c r="TFT66" s="0"/>
      <c r="TFU66" s="0"/>
      <c r="TFV66" s="0"/>
      <c r="TFW66" s="0"/>
      <c r="TFX66" s="0"/>
      <c r="TFY66" s="0"/>
      <c r="TFZ66" s="0"/>
      <c r="TGA66" s="0"/>
      <c r="TGB66" s="0"/>
      <c r="TGC66" s="0"/>
      <c r="TGD66" s="0"/>
      <c r="TGE66" s="0"/>
      <c r="TGF66" s="0"/>
      <c r="TGG66" s="0"/>
      <c r="TGH66" s="0"/>
      <c r="TGI66" s="0"/>
      <c r="TGJ66" s="0"/>
      <c r="TGK66" s="0"/>
      <c r="TGL66" s="0"/>
      <c r="TGM66" s="0"/>
      <c r="TGN66" s="0"/>
      <c r="TGO66" s="0"/>
      <c r="TGP66" s="0"/>
      <c r="TGQ66" s="0"/>
      <c r="TGR66" s="0"/>
      <c r="TGS66" s="0"/>
      <c r="TGT66" s="0"/>
      <c r="TGU66" s="0"/>
      <c r="TGV66" s="0"/>
      <c r="TGW66" s="0"/>
      <c r="TGX66" s="0"/>
      <c r="TGY66" s="0"/>
      <c r="TGZ66" s="0"/>
      <c r="THA66" s="0"/>
      <c r="THB66" s="0"/>
      <c r="THC66" s="0"/>
      <c r="THD66" s="0"/>
      <c r="THE66" s="0"/>
      <c r="THF66" s="0"/>
      <c r="THG66" s="0"/>
      <c r="THH66" s="0"/>
      <c r="THI66" s="0"/>
      <c r="THJ66" s="0"/>
      <c r="THK66" s="0"/>
      <c r="THL66" s="0"/>
      <c r="THM66" s="0"/>
      <c r="THN66" s="0"/>
      <c r="THO66" s="0"/>
      <c r="THP66" s="0"/>
      <c r="THQ66" s="0"/>
      <c r="THR66" s="0"/>
      <c r="THS66" s="0"/>
      <c r="THT66" s="0"/>
      <c r="THU66" s="0"/>
      <c r="THV66" s="0"/>
      <c r="THW66" s="0"/>
      <c r="THX66" s="0"/>
      <c r="THY66" s="0"/>
      <c r="THZ66" s="0"/>
      <c r="TIA66" s="0"/>
      <c r="TIB66" s="0"/>
      <c r="TIC66" s="0"/>
      <c r="TID66" s="0"/>
      <c r="TIE66" s="0"/>
      <c r="TIF66" s="0"/>
      <c r="TIG66" s="0"/>
      <c r="TIH66" s="0"/>
      <c r="TII66" s="0"/>
      <c r="TIJ66" s="0"/>
      <c r="TIK66" s="0"/>
      <c r="TIL66" s="0"/>
      <c r="TIM66" s="0"/>
      <c r="TIN66" s="0"/>
      <c r="TIO66" s="0"/>
      <c r="TIP66" s="0"/>
      <c r="TIQ66" s="0"/>
      <c r="TIR66" s="0"/>
      <c r="TIS66" s="0"/>
      <c r="TIT66" s="0"/>
      <c r="TIU66" s="0"/>
      <c r="TIV66" s="0"/>
      <c r="TIW66" s="0"/>
      <c r="TIX66" s="0"/>
      <c r="TIY66" s="0"/>
      <c r="TIZ66" s="0"/>
      <c r="TJA66" s="0"/>
      <c r="TJB66" s="0"/>
      <c r="TJC66" s="0"/>
      <c r="TJD66" s="0"/>
      <c r="TJE66" s="0"/>
      <c r="TJF66" s="0"/>
      <c r="TJG66" s="0"/>
      <c r="TJH66" s="0"/>
      <c r="TJI66" s="0"/>
      <c r="TJJ66" s="0"/>
      <c r="TJK66" s="0"/>
      <c r="TJL66" s="0"/>
      <c r="TJM66" s="0"/>
      <c r="TJN66" s="0"/>
      <c r="TJO66" s="0"/>
      <c r="TJP66" s="0"/>
      <c r="TJQ66" s="0"/>
      <c r="TJR66" s="0"/>
      <c r="TJS66" s="0"/>
      <c r="TJT66" s="0"/>
      <c r="TJU66" s="0"/>
      <c r="TJV66" s="0"/>
      <c r="TJW66" s="0"/>
      <c r="TJX66" s="0"/>
      <c r="TJY66" s="0"/>
      <c r="TJZ66" s="0"/>
      <c r="TKA66" s="0"/>
      <c r="TKB66" s="0"/>
      <c r="TKC66" s="0"/>
      <c r="TKD66" s="0"/>
      <c r="TKE66" s="0"/>
      <c r="TKF66" s="0"/>
      <c r="TKG66" s="0"/>
      <c r="TKH66" s="0"/>
      <c r="TKI66" s="0"/>
      <c r="TKJ66" s="0"/>
      <c r="TKK66" s="0"/>
      <c r="TKL66" s="0"/>
      <c r="TKM66" s="0"/>
      <c r="TKN66" s="0"/>
      <c r="TKO66" s="0"/>
      <c r="TKP66" s="0"/>
      <c r="TKQ66" s="0"/>
      <c r="TKR66" s="0"/>
      <c r="TKS66" s="0"/>
      <c r="TKT66" s="0"/>
      <c r="TKU66" s="0"/>
      <c r="TKV66" s="0"/>
      <c r="TKW66" s="0"/>
      <c r="TKX66" s="0"/>
      <c r="TKY66" s="0"/>
      <c r="TKZ66" s="0"/>
      <c r="TLA66" s="0"/>
      <c r="TLB66" s="0"/>
      <c r="TLC66" s="0"/>
      <c r="TLD66" s="0"/>
      <c r="TLE66" s="0"/>
      <c r="TLF66" s="0"/>
      <c r="TLG66" s="0"/>
      <c r="TLH66" s="0"/>
      <c r="TLI66" s="0"/>
      <c r="TLJ66" s="0"/>
      <c r="TLK66" s="0"/>
      <c r="TLL66" s="0"/>
      <c r="TLM66" s="0"/>
      <c r="TLN66" s="0"/>
      <c r="TLO66" s="0"/>
      <c r="TLP66" s="0"/>
      <c r="TLQ66" s="0"/>
      <c r="TLR66" s="0"/>
      <c r="TLS66" s="0"/>
      <c r="TLT66" s="0"/>
      <c r="TLU66" s="0"/>
      <c r="TLV66" s="0"/>
      <c r="TLW66" s="0"/>
      <c r="TLX66" s="0"/>
      <c r="TLY66" s="0"/>
      <c r="TLZ66" s="0"/>
      <c r="TMA66" s="0"/>
      <c r="TMB66" s="0"/>
      <c r="TMC66" s="0"/>
      <c r="TMD66" s="0"/>
      <c r="TME66" s="0"/>
      <c r="TMF66" s="0"/>
      <c r="TMG66" s="0"/>
      <c r="TMH66" s="0"/>
      <c r="TMI66" s="0"/>
      <c r="TMJ66" s="0"/>
      <c r="TMK66" s="0"/>
      <c r="TML66" s="0"/>
      <c r="TMM66" s="0"/>
      <c r="TMN66" s="0"/>
      <c r="TMO66" s="0"/>
      <c r="TMP66" s="0"/>
      <c r="TMQ66" s="0"/>
      <c r="TMR66" s="0"/>
      <c r="TMS66" s="0"/>
      <c r="TMT66" s="0"/>
      <c r="TMU66" s="0"/>
      <c r="TMV66" s="0"/>
      <c r="TMW66" s="0"/>
      <c r="TMX66" s="0"/>
      <c r="TMY66" s="0"/>
      <c r="TMZ66" s="0"/>
      <c r="TNA66" s="0"/>
      <c r="TNB66" s="0"/>
      <c r="TNC66" s="0"/>
      <c r="TND66" s="0"/>
      <c r="TNE66" s="0"/>
      <c r="TNF66" s="0"/>
      <c r="TNG66" s="0"/>
      <c r="TNH66" s="0"/>
      <c r="TNI66" s="0"/>
      <c r="TNJ66" s="0"/>
      <c r="TNK66" s="0"/>
      <c r="TNL66" s="0"/>
      <c r="TNM66" s="0"/>
      <c r="TNN66" s="0"/>
      <c r="TNO66" s="0"/>
      <c r="TNP66" s="0"/>
      <c r="TNQ66" s="0"/>
      <c r="TNR66" s="0"/>
      <c r="TNS66" s="0"/>
      <c r="TNT66" s="0"/>
      <c r="TNU66" s="0"/>
      <c r="TNV66" s="0"/>
      <c r="TNW66" s="0"/>
      <c r="TNX66" s="0"/>
      <c r="TNY66" s="0"/>
      <c r="TNZ66" s="0"/>
      <c r="TOA66" s="0"/>
      <c r="TOB66" s="0"/>
      <c r="TOC66" s="0"/>
      <c r="TOD66" s="0"/>
      <c r="TOE66" s="0"/>
      <c r="TOF66" s="0"/>
      <c r="TOG66" s="0"/>
      <c r="TOH66" s="0"/>
      <c r="TOI66" s="0"/>
      <c r="TOJ66" s="0"/>
      <c r="TOK66" s="0"/>
      <c r="TOL66" s="0"/>
      <c r="TOM66" s="0"/>
      <c r="TON66" s="0"/>
      <c r="TOO66" s="0"/>
      <c r="TOP66" s="0"/>
      <c r="TOQ66" s="0"/>
      <c r="TOR66" s="0"/>
      <c r="TOS66" s="0"/>
      <c r="TOT66" s="0"/>
      <c r="TOU66" s="0"/>
      <c r="TOV66" s="0"/>
      <c r="TOW66" s="0"/>
      <c r="TOX66" s="0"/>
      <c r="TOY66" s="0"/>
      <c r="TOZ66" s="0"/>
      <c r="TPA66" s="0"/>
      <c r="TPB66" s="0"/>
      <c r="TPC66" s="0"/>
      <c r="TPD66" s="0"/>
      <c r="TPE66" s="0"/>
      <c r="TPF66" s="0"/>
      <c r="TPG66" s="0"/>
      <c r="TPH66" s="0"/>
      <c r="TPI66" s="0"/>
      <c r="TPJ66" s="0"/>
      <c r="TPK66" s="0"/>
      <c r="TPL66" s="0"/>
      <c r="TPM66" s="0"/>
      <c r="TPN66" s="0"/>
      <c r="TPO66" s="0"/>
      <c r="TPP66" s="0"/>
      <c r="TPQ66" s="0"/>
      <c r="TPR66" s="0"/>
      <c r="TPS66" s="0"/>
      <c r="TPT66" s="0"/>
      <c r="TPU66" s="0"/>
      <c r="TPV66" s="0"/>
      <c r="TPW66" s="0"/>
      <c r="TPX66" s="0"/>
      <c r="TPY66" s="0"/>
      <c r="TPZ66" s="0"/>
      <c r="TQA66" s="0"/>
      <c r="TQB66" s="0"/>
      <c r="TQC66" s="0"/>
      <c r="TQD66" s="0"/>
      <c r="TQE66" s="0"/>
      <c r="TQF66" s="0"/>
      <c r="TQG66" s="0"/>
      <c r="TQH66" s="0"/>
      <c r="TQI66" s="0"/>
      <c r="TQJ66" s="0"/>
      <c r="TQK66" s="0"/>
      <c r="TQL66" s="0"/>
      <c r="TQM66" s="0"/>
      <c r="TQN66" s="0"/>
      <c r="TQO66" s="0"/>
      <c r="TQP66" s="0"/>
      <c r="TQQ66" s="0"/>
      <c r="TQR66" s="0"/>
      <c r="TQS66" s="0"/>
      <c r="TQT66" s="0"/>
      <c r="TQU66" s="0"/>
      <c r="TQV66" s="0"/>
      <c r="TQW66" s="0"/>
      <c r="TQX66" s="0"/>
      <c r="TQY66" s="0"/>
      <c r="TQZ66" s="0"/>
      <c r="TRA66" s="0"/>
      <c r="TRB66" s="0"/>
      <c r="TRC66" s="0"/>
      <c r="TRD66" s="0"/>
      <c r="TRE66" s="0"/>
      <c r="TRF66" s="0"/>
      <c r="TRG66" s="0"/>
      <c r="TRH66" s="0"/>
      <c r="TRI66" s="0"/>
      <c r="TRJ66" s="0"/>
      <c r="TRK66" s="0"/>
      <c r="TRL66" s="0"/>
      <c r="TRM66" s="0"/>
      <c r="TRN66" s="0"/>
      <c r="TRO66" s="0"/>
      <c r="TRP66" s="0"/>
      <c r="TRQ66" s="0"/>
      <c r="TRR66" s="0"/>
      <c r="TRS66" s="0"/>
      <c r="TRT66" s="0"/>
      <c r="TRU66" s="0"/>
      <c r="TRV66" s="0"/>
      <c r="TRW66" s="0"/>
      <c r="TRX66" s="0"/>
      <c r="TRY66" s="0"/>
      <c r="TRZ66" s="0"/>
      <c r="TSA66" s="0"/>
      <c r="TSB66" s="0"/>
      <c r="TSC66" s="0"/>
      <c r="TSD66" s="0"/>
      <c r="TSE66" s="0"/>
      <c r="TSF66" s="0"/>
      <c r="TSG66" s="0"/>
      <c r="TSH66" s="0"/>
      <c r="TSI66" s="0"/>
      <c r="TSJ66" s="0"/>
      <c r="TSK66" s="0"/>
      <c r="TSL66" s="0"/>
      <c r="TSM66" s="0"/>
      <c r="TSN66" s="0"/>
      <c r="TSO66" s="0"/>
      <c r="TSP66" s="0"/>
      <c r="TSQ66" s="0"/>
      <c r="TSR66" s="0"/>
      <c r="TSS66" s="0"/>
      <c r="TST66" s="0"/>
      <c r="TSU66" s="0"/>
      <c r="TSV66" s="0"/>
      <c r="TSW66" s="0"/>
      <c r="TSX66" s="0"/>
      <c r="TSY66" s="0"/>
      <c r="TSZ66" s="0"/>
      <c r="TTA66" s="0"/>
      <c r="TTB66" s="0"/>
      <c r="TTC66" s="0"/>
      <c r="TTD66" s="0"/>
      <c r="TTE66" s="0"/>
      <c r="TTF66" s="0"/>
      <c r="TTG66" s="0"/>
      <c r="TTH66" s="0"/>
      <c r="TTI66" s="0"/>
      <c r="TTJ66" s="0"/>
      <c r="TTK66" s="0"/>
      <c r="TTL66" s="0"/>
      <c r="TTM66" s="0"/>
      <c r="TTN66" s="0"/>
      <c r="TTO66" s="0"/>
      <c r="TTP66" s="0"/>
      <c r="TTQ66" s="0"/>
      <c r="TTR66" s="0"/>
      <c r="TTS66" s="0"/>
      <c r="TTT66" s="0"/>
      <c r="TTU66" s="0"/>
      <c r="TTV66" s="0"/>
      <c r="TTW66" s="0"/>
      <c r="TTX66" s="0"/>
      <c r="TTY66" s="0"/>
      <c r="TTZ66" s="0"/>
      <c r="TUA66" s="0"/>
      <c r="TUB66" s="0"/>
      <c r="TUC66" s="0"/>
      <c r="TUD66" s="0"/>
      <c r="TUE66" s="0"/>
      <c r="TUF66" s="0"/>
      <c r="TUG66" s="0"/>
      <c r="TUH66" s="0"/>
      <c r="TUI66" s="0"/>
      <c r="TUJ66" s="0"/>
      <c r="TUK66" s="0"/>
      <c r="TUL66" s="0"/>
      <c r="TUM66" s="0"/>
      <c r="TUN66" s="0"/>
      <c r="TUO66" s="0"/>
      <c r="TUP66" s="0"/>
      <c r="TUQ66" s="0"/>
      <c r="TUR66" s="0"/>
      <c r="TUS66" s="0"/>
      <c r="TUT66" s="0"/>
      <c r="TUU66" s="0"/>
      <c r="TUV66" s="0"/>
      <c r="TUW66" s="0"/>
      <c r="TUX66" s="0"/>
      <c r="TUY66" s="0"/>
      <c r="TUZ66" s="0"/>
      <c r="TVA66" s="0"/>
      <c r="TVB66" s="0"/>
      <c r="TVC66" s="0"/>
      <c r="TVD66" s="0"/>
      <c r="TVE66" s="0"/>
      <c r="TVF66" s="0"/>
      <c r="TVG66" s="0"/>
      <c r="TVH66" s="0"/>
      <c r="TVI66" s="0"/>
      <c r="TVJ66" s="0"/>
      <c r="TVK66" s="0"/>
      <c r="TVL66" s="0"/>
      <c r="TVM66" s="0"/>
      <c r="TVN66" s="0"/>
      <c r="TVO66" s="0"/>
      <c r="TVP66" s="0"/>
      <c r="TVQ66" s="0"/>
      <c r="TVR66" s="0"/>
      <c r="TVS66" s="0"/>
      <c r="TVT66" s="0"/>
      <c r="TVU66" s="0"/>
      <c r="TVV66" s="0"/>
      <c r="TVW66" s="0"/>
      <c r="TVX66" s="0"/>
      <c r="TVY66" s="0"/>
      <c r="TVZ66" s="0"/>
      <c r="TWA66" s="0"/>
      <c r="TWB66" s="0"/>
      <c r="TWC66" s="0"/>
      <c r="TWD66" s="0"/>
      <c r="TWE66" s="0"/>
      <c r="TWF66" s="0"/>
      <c r="TWG66" s="0"/>
      <c r="TWH66" s="0"/>
      <c r="TWI66" s="0"/>
      <c r="TWJ66" s="0"/>
      <c r="TWK66" s="0"/>
      <c r="TWL66" s="0"/>
      <c r="TWM66" s="0"/>
      <c r="TWN66" s="0"/>
      <c r="TWO66" s="0"/>
      <c r="TWP66" s="0"/>
      <c r="TWQ66" s="0"/>
      <c r="TWR66" s="0"/>
      <c r="TWS66" s="0"/>
      <c r="TWT66" s="0"/>
      <c r="TWU66" s="0"/>
      <c r="TWV66" s="0"/>
      <c r="TWW66" s="0"/>
      <c r="TWX66" s="0"/>
      <c r="TWY66" s="0"/>
      <c r="TWZ66" s="0"/>
      <c r="TXA66" s="0"/>
      <c r="TXB66" s="0"/>
      <c r="TXC66" s="0"/>
      <c r="TXD66" s="0"/>
      <c r="TXE66" s="0"/>
      <c r="TXF66" s="0"/>
      <c r="TXG66" s="0"/>
      <c r="TXH66" s="0"/>
      <c r="TXI66" s="0"/>
      <c r="TXJ66" s="0"/>
      <c r="TXK66" s="0"/>
      <c r="TXL66" s="0"/>
      <c r="TXM66" s="0"/>
      <c r="TXN66" s="0"/>
      <c r="TXO66" s="0"/>
      <c r="TXP66" s="0"/>
      <c r="TXQ66" s="0"/>
      <c r="TXR66" s="0"/>
      <c r="TXS66" s="0"/>
      <c r="TXT66" s="0"/>
      <c r="TXU66" s="0"/>
      <c r="TXV66" s="0"/>
      <c r="TXW66" s="0"/>
      <c r="TXX66" s="0"/>
      <c r="TXY66" s="0"/>
      <c r="TXZ66" s="0"/>
      <c r="TYA66" s="0"/>
      <c r="TYB66" s="0"/>
      <c r="TYC66" s="0"/>
      <c r="TYD66" s="0"/>
      <c r="TYE66" s="0"/>
      <c r="TYF66" s="0"/>
      <c r="TYG66" s="0"/>
      <c r="TYH66" s="0"/>
      <c r="TYI66" s="0"/>
      <c r="TYJ66" s="0"/>
      <c r="TYK66" s="0"/>
      <c r="TYL66" s="0"/>
      <c r="TYM66" s="0"/>
      <c r="TYN66" s="0"/>
      <c r="TYO66" s="0"/>
      <c r="TYP66" s="0"/>
      <c r="TYQ66" s="0"/>
      <c r="TYR66" s="0"/>
      <c r="TYS66" s="0"/>
      <c r="TYT66" s="0"/>
      <c r="TYU66" s="0"/>
      <c r="TYV66" s="0"/>
      <c r="TYW66" s="0"/>
      <c r="TYX66" s="0"/>
      <c r="TYY66" s="0"/>
      <c r="TYZ66" s="0"/>
      <c r="TZA66" s="0"/>
      <c r="TZB66" s="0"/>
      <c r="TZC66" s="0"/>
      <c r="TZD66" s="0"/>
      <c r="TZE66" s="0"/>
      <c r="TZF66" s="0"/>
      <c r="TZG66" s="0"/>
      <c r="TZH66" s="0"/>
      <c r="TZI66" s="0"/>
      <c r="TZJ66" s="0"/>
      <c r="TZK66" s="0"/>
      <c r="TZL66" s="0"/>
      <c r="TZM66" s="0"/>
      <c r="TZN66" s="0"/>
      <c r="TZO66" s="0"/>
      <c r="TZP66" s="0"/>
      <c r="TZQ66" s="0"/>
      <c r="TZR66" s="0"/>
      <c r="TZS66" s="0"/>
      <c r="TZT66" s="0"/>
      <c r="TZU66" s="0"/>
      <c r="TZV66" s="0"/>
      <c r="TZW66" s="0"/>
      <c r="TZX66" s="0"/>
      <c r="TZY66" s="0"/>
      <c r="TZZ66" s="0"/>
      <c r="UAA66" s="0"/>
      <c r="UAB66" s="0"/>
      <c r="UAC66" s="0"/>
      <c r="UAD66" s="0"/>
      <c r="UAE66" s="0"/>
      <c r="UAF66" s="0"/>
      <c r="UAG66" s="0"/>
      <c r="UAH66" s="0"/>
      <c r="UAI66" s="0"/>
      <c r="UAJ66" s="0"/>
      <c r="UAK66" s="0"/>
      <c r="UAL66" s="0"/>
      <c r="UAM66" s="0"/>
      <c r="UAN66" s="0"/>
      <c r="UAO66" s="0"/>
      <c r="UAP66" s="0"/>
      <c r="UAQ66" s="0"/>
      <c r="UAR66" s="0"/>
      <c r="UAS66" s="0"/>
      <c r="UAT66" s="0"/>
      <c r="UAU66" s="0"/>
      <c r="UAV66" s="0"/>
      <c r="UAW66" s="0"/>
      <c r="UAX66" s="0"/>
      <c r="UAY66" s="0"/>
      <c r="UAZ66" s="0"/>
      <c r="UBA66" s="0"/>
      <c r="UBB66" s="0"/>
      <c r="UBC66" s="0"/>
      <c r="UBD66" s="0"/>
      <c r="UBE66" s="0"/>
      <c r="UBF66" s="0"/>
      <c r="UBG66" s="0"/>
      <c r="UBH66" s="0"/>
      <c r="UBI66" s="0"/>
      <c r="UBJ66" s="0"/>
      <c r="UBK66" s="0"/>
      <c r="UBL66" s="0"/>
      <c r="UBM66" s="0"/>
      <c r="UBN66" s="0"/>
      <c r="UBO66" s="0"/>
      <c r="UBP66" s="0"/>
      <c r="UBQ66" s="0"/>
      <c r="UBR66" s="0"/>
      <c r="UBS66" s="0"/>
      <c r="UBT66" s="0"/>
      <c r="UBU66" s="0"/>
      <c r="UBV66" s="0"/>
      <c r="UBW66" s="0"/>
      <c r="UBX66" s="0"/>
      <c r="UBY66" s="0"/>
      <c r="UBZ66" s="0"/>
      <c r="UCA66" s="0"/>
      <c r="UCB66" s="0"/>
      <c r="UCC66" s="0"/>
      <c r="UCD66" s="0"/>
      <c r="UCE66" s="0"/>
      <c r="UCF66" s="0"/>
      <c r="UCG66" s="0"/>
      <c r="UCH66" s="0"/>
      <c r="UCI66" s="0"/>
      <c r="UCJ66" s="0"/>
      <c r="UCK66" s="0"/>
      <c r="UCL66" s="0"/>
      <c r="UCM66" s="0"/>
      <c r="UCN66" s="0"/>
      <c r="UCO66" s="0"/>
      <c r="UCP66" s="0"/>
      <c r="UCQ66" s="0"/>
      <c r="UCR66" s="0"/>
      <c r="UCS66" s="0"/>
      <c r="UCT66" s="0"/>
      <c r="UCU66" s="0"/>
      <c r="UCV66" s="0"/>
      <c r="UCW66" s="0"/>
      <c r="UCX66" s="0"/>
      <c r="UCY66" s="0"/>
      <c r="UCZ66" s="0"/>
      <c r="UDA66" s="0"/>
      <c r="UDB66" s="0"/>
      <c r="UDC66" s="0"/>
      <c r="UDD66" s="0"/>
      <c r="UDE66" s="0"/>
      <c r="UDF66" s="0"/>
      <c r="UDG66" s="0"/>
      <c r="UDH66" s="0"/>
      <c r="UDI66" s="0"/>
      <c r="UDJ66" s="0"/>
      <c r="UDK66" s="0"/>
      <c r="UDL66" s="0"/>
      <c r="UDM66" s="0"/>
      <c r="UDN66" s="0"/>
      <c r="UDO66" s="0"/>
      <c r="UDP66" s="0"/>
      <c r="UDQ66" s="0"/>
      <c r="UDR66" s="0"/>
      <c r="UDS66" s="0"/>
      <c r="UDT66" s="0"/>
      <c r="UDU66" s="0"/>
      <c r="UDV66" s="0"/>
      <c r="UDW66" s="0"/>
      <c r="UDX66" s="0"/>
      <c r="UDY66" s="0"/>
      <c r="UDZ66" s="0"/>
      <c r="UEA66" s="0"/>
      <c r="UEB66" s="0"/>
      <c r="UEC66" s="0"/>
      <c r="UED66" s="0"/>
      <c r="UEE66" s="0"/>
      <c r="UEF66" s="0"/>
      <c r="UEG66" s="0"/>
      <c r="UEH66" s="0"/>
      <c r="UEI66" s="0"/>
      <c r="UEJ66" s="0"/>
      <c r="UEK66" s="0"/>
      <c r="UEL66" s="0"/>
      <c r="UEM66" s="0"/>
      <c r="UEN66" s="0"/>
      <c r="UEO66" s="0"/>
      <c r="UEP66" s="0"/>
      <c r="UEQ66" s="0"/>
      <c r="UER66" s="0"/>
      <c r="UES66" s="0"/>
      <c r="UET66" s="0"/>
      <c r="UEU66" s="0"/>
      <c r="UEV66" s="0"/>
      <c r="UEW66" s="0"/>
      <c r="UEX66" s="0"/>
      <c r="UEY66" s="0"/>
      <c r="UEZ66" s="0"/>
      <c r="UFA66" s="0"/>
      <c r="UFB66" s="0"/>
      <c r="UFC66" s="0"/>
      <c r="UFD66" s="0"/>
      <c r="UFE66" s="0"/>
      <c r="UFF66" s="0"/>
      <c r="UFG66" s="0"/>
      <c r="UFH66" s="0"/>
      <c r="UFI66" s="0"/>
      <c r="UFJ66" s="0"/>
      <c r="UFK66" s="0"/>
      <c r="UFL66" s="0"/>
      <c r="UFM66" s="0"/>
      <c r="UFN66" s="0"/>
      <c r="UFO66" s="0"/>
      <c r="UFP66" s="0"/>
      <c r="UFQ66" s="0"/>
      <c r="UFR66" s="0"/>
      <c r="UFS66" s="0"/>
      <c r="UFT66" s="0"/>
      <c r="UFU66" s="0"/>
      <c r="UFV66" s="0"/>
      <c r="UFW66" s="0"/>
      <c r="UFX66" s="0"/>
      <c r="UFY66" s="0"/>
      <c r="UFZ66" s="0"/>
      <c r="UGA66" s="0"/>
      <c r="UGB66" s="0"/>
      <c r="UGC66" s="0"/>
      <c r="UGD66" s="0"/>
      <c r="UGE66" s="0"/>
      <c r="UGF66" s="0"/>
      <c r="UGG66" s="0"/>
      <c r="UGH66" s="0"/>
      <c r="UGI66" s="0"/>
      <c r="UGJ66" s="0"/>
      <c r="UGK66" s="0"/>
      <c r="UGL66" s="0"/>
      <c r="UGM66" s="0"/>
      <c r="UGN66" s="0"/>
      <c r="UGO66" s="0"/>
      <c r="UGP66" s="0"/>
      <c r="UGQ66" s="0"/>
      <c r="UGR66" s="0"/>
      <c r="UGS66" s="0"/>
      <c r="UGT66" s="0"/>
      <c r="UGU66" s="0"/>
      <c r="UGV66" s="0"/>
      <c r="UGW66" s="0"/>
      <c r="UGX66" s="0"/>
      <c r="UGY66" s="0"/>
      <c r="UGZ66" s="0"/>
      <c r="UHA66" s="0"/>
      <c r="UHB66" s="0"/>
      <c r="UHC66" s="0"/>
      <c r="UHD66" s="0"/>
      <c r="UHE66" s="0"/>
      <c r="UHF66" s="0"/>
      <c r="UHG66" s="0"/>
      <c r="UHH66" s="0"/>
      <c r="UHI66" s="0"/>
      <c r="UHJ66" s="0"/>
      <c r="UHK66" s="0"/>
      <c r="UHL66" s="0"/>
      <c r="UHM66" s="0"/>
      <c r="UHN66" s="0"/>
      <c r="UHO66" s="0"/>
      <c r="UHP66" s="0"/>
      <c r="UHQ66" s="0"/>
      <c r="UHR66" s="0"/>
      <c r="UHS66" s="0"/>
      <c r="UHT66" s="0"/>
      <c r="UHU66" s="0"/>
      <c r="UHV66" s="0"/>
      <c r="UHW66" s="0"/>
      <c r="UHX66" s="0"/>
      <c r="UHY66" s="0"/>
      <c r="UHZ66" s="0"/>
      <c r="UIA66" s="0"/>
      <c r="UIB66" s="0"/>
      <c r="UIC66" s="0"/>
      <c r="UID66" s="0"/>
      <c r="UIE66" s="0"/>
      <c r="UIF66" s="0"/>
      <c r="UIG66" s="0"/>
      <c r="UIH66" s="0"/>
      <c r="UII66" s="0"/>
      <c r="UIJ66" s="0"/>
      <c r="UIK66" s="0"/>
      <c r="UIL66" s="0"/>
      <c r="UIM66" s="0"/>
      <c r="UIN66" s="0"/>
      <c r="UIO66" s="0"/>
      <c r="UIP66" s="0"/>
      <c r="UIQ66" s="0"/>
      <c r="UIR66" s="0"/>
      <c r="UIS66" s="0"/>
      <c r="UIT66" s="0"/>
      <c r="UIU66" s="0"/>
      <c r="UIV66" s="0"/>
      <c r="UIW66" s="0"/>
      <c r="UIX66" s="0"/>
      <c r="UIY66" s="0"/>
      <c r="UIZ66" s="0"/>
      <c r="UJA66" s="0"/>
      <c r="UJB66" s="0"/>
      <c r="UJC66" s="0"/>
      <c r="UJD66" s="0"/>
      <c r="UJE66" s="0"/>
      <c r="UJF66" s="0"/>
      <c r="UJG66" s="0"/>
      <c r="UJH66" s="0"/>
      <c r="UJI66" s="0"/>
      <c r="UJJ66" s="0"/>
      <c r="UJK66" s="0"/>
      <c r="UJL66" s="0"/>
      <c r="UJM66" s="0"/>
      <c r="UJN66" s="0"/>
      <c r="UJO66" s="0"/>
      <c r="UJP66" s="0"/>
      <c r="UJQ66" s="0"/>
      <c r="UJR66" s="0"/>
      <c r="UJS66" s="0"/>
      <c r="UJT66" s="0"/>
      <c r="UJU66" s="0"/>
      <c r="UJV66" s="0"/>
      <c r="UJW66" s="0"/>
      <c r="UJX66" s="0"/>
      <c r="UJY66" s="0"/>
      <c r="UJZ66" s="0"/>
      <c r="UKA66" s="0"/>
      <c r="UKB66" s="0"/>
      <c r="UKC66" s="0"/>
      <c r="UKD66" s="0"/>
      <c r="UKE66" s="0"/>
      <c r="UKF66" s="0"/>
      <c r="UKG66" s="0"/>
      <c r="UKH66" s="0"/>
      <c r="UKI66" s="0"/>
      <c r="UKJ66" s="0"/>
      <c r="UKK66" s="0"/>
      <c r="UKL66" s="0"/>
      <c r="UKM66" s="0"/>
      <c r="UKN66" s="0"/>
      <c r="UKO66" s="0"/>
      <c r="UKP66" s="0"/>
      <c r="UKQ66" s="0"/>
      <c r="UKR66" s="0"/>
      <c r="UKS66" s="0"/>
      <c r="UKT66" s="0"/>
      <c r="UKU66" s="0"/>
      <c r="UKV66" s="0"/>
      <c r="UKW66" s="0"/>
      <c r="UKX66" s="0"/>
      <c r="UKY66" s="0"/>
      <c r="UKZ66" s="0"/>
      <c r="ULA66" s="0"/>
      <c r="ULB66" s="0"/>
      <c r="ULC66" s="0"/>
      <c r="ULD66" s="0"/>
      <c r="ULE66" s="0"/>
      <c r="ULF66" s="0"/>
      <c r="ULG66" s="0"/>
      <c r="ULH66" s="0"/>
      <c r="ULI66" s="0"/>
      <c r="ULJ66" s="0"/>
      <c r="ULK66" s="0"/>
      <c r="ULL66" s="0"/>
      <c r="ULM66" s="0"/>
      <c r="ULN66" s="0"/>
      <c r="ULO66" s="0"/>
      <c r="ULP66" s="0"/>
      <c r="ULQ66" s="0"/>
      <c r="ULR66" s="0"/>
      <c r="ULS66" s="0"/>
      <c r="ULT66" s="0"/>
      <c r="ULU66" s="0"/>
      <c r="ULV66" s="0"/>
      <c r="ULW66" s="0"/>
      <c r="ULX66" s="0"/>
      <c r="ULY66" s="0"/>
      <c r="ULZ66" s="0"/>
      <c r="UMA66" s="0"/>
      <c r="UMB66" s="0"/>
      <c r="UMC66" s="0"/>
      <c r="UMD66" s="0"/>
      <c r="UME66" s="0"/>
      <c r="UMF66" s="0"/>
      <c r="UMG66" s="0"/>
      <c r="UMH66" s="0"/>
      <c r="UMI66" s="0"/>
      <c r="UMJ66" s="0"/>
      <c r="UMK66" s="0"/>
      <c r="UML66" s="0"/>
      <c r="UMM66" s="0"/>
      <c r="UMN66" s="0"/>
      <c r="UMO66" s="0"/>
      <c r="UMP66" s="0"/>
      <c r="UMQ66" s="0"/>
      <c r="UMR66" s="0"/>
      <c r="UMS66" s="0"/>
      <c r="UMT66" s="0"/>
      <c r="UMU66" s="0"/>
      <c r="UMV66" s="0"/>
      <c r="UMW66" s="0"/>
      <c r="UMX66" s="0"/>
      <c r="UMY66" s="0"/>
      <c r="UMZ66" s="0"/>
      <c r="UNA66" s="0"/>
      <c r="UNB66" s="0"/>
      <c r="UNC66" s="0"/>
      <c r="UND66" s="0"/>
      <c r="UNE66" s="0"/>
      <c r="UNF66" s="0"/>
      <c r="UNG66" s="0"/>
      <c r="UNH66" s="0"/>
      <c r="UNI66" s="0"/>
      <c r="UNJ66" s="0"/>
      <c r="UNK66" s="0"/>
      <c r="UNL66" s="0"/>
      <c r="UNM66" s="0"/>
      <c r="UNN66" s="0"/>
      <c r="UNO66" s="0"/>
      <c r="UNP66" s="0"/>
      <c r="UNQ66" s="0"/>
      <c r="UNR66" s="0"/>
      <c r="UNS66" s="0"/>
      <c r="UNT66" s="0"/>
      <c r="UNU66" s="0"/>
      <c r="UNV66" s="0"/>
      <c r="UNW66" s="0"/>
      <c r="UNX66" s="0"/>
      <c r="UNY66" s="0"/>
      <c r="UNZ66" s="0"/>
      <c r="UOA66" s="0"/>
      <c r="UOB66" s="0"/>
      <c r="UOC66" s="0"/>
      <c r="UOD66" s="0"/>
      <c r="UOE66" s="0"/>
      <c r="UOF66" s="0"/>
      <c r="UOG66" s="0"/>
      <c r="UOH66" s="0"/>
      <c r="UOI66" s="0"/>
      <c r="UOJ66" s="0"/>
      <c r="UOK66" s="0"/>
      <c r="UOL66" s="0"/>
      <c r="UOM66" s="0"/>
      <c r="UON66" s="0"/>
      <c r="UOO66" s="0"/>
      <c r="UOP66" s="0"/>
      <c r="UOQ66" s="0"/>
      <c r="UOR66" s="0"/>
      <c r="UOS66" s="0"/>
      <c r="UOT66" s="0"/>
      <c r="UOU66" s="0"/>
      <c r="UOV66" s="0"/>
      <c r="UOW66" s="0"/>
      <c r="UOX66" s="0"/>
      <c r="UOY66" s="0"/>
      <c r="UOZ66" s="0"/>
      <c r="UPA66" s="0"/>
      <c r="UPB66" s="0"/>
      <c r="UPC66" s="0"/>
      <c r="UPD66" s="0"/>
      <c r="UPE66" s="0"/>
      <c r="UPF66" s="0"/>
      <c r="UPG66" s="0"/>
      <c r="UPH66" s="0"/>
      <c r="UPI66" s="0"/>
      <c r="UPJ66" s="0"/>
      <c r="UPK66" s="0"/>
      <c r="UPL66" s="0"/>
      <c r="UPM66" s="0"/>
      <c r="UPN66" s="0"/>
      <c r="UPO66" s="0"/>
      <c r="UPP66" s="0"/>
      <c r="UPQ66" s="0"/>
      <c r="UPR66" s="0"/>
      <c r="UPS66" s="0"/>
      <c r="UPT66" s="0"/>
      <c r="UPU66" s="0"/>
      <c r="UPV66" s="0"/>
      <c r="UPW66" s="0"/>
      <c r="UPX66" s="0"/>
      <c r="UPY66" s="0"/>
      <c r="UPZ66" s="0"/>
      <c r="UQA66" s="0"/>
      <c r="UQB66" s="0"/>
      <c r="UQC66" s="0"/>
      <c r="UQD66" s="0"/>
      <c r="UQE66" s="0"/>
      <c r="UQF66" s="0"/>
      <c r="UQG66" s="0"/>
      <c r="UQH66" s="0"/>
      <c r="UQI66" s="0"/>
      <c r="UQJ66" s="0"/>
      <c r="UQK66" s="0"/>
      <c r="UQL66" s="0"/>
      <c r="UQM66" s="0"/>
      <c r="UQN66" s="0"/>
      <c r="UQO66" s="0"/>
      <c r="UQP66" s="0"/>
      <c r="UQQ66" s="0"/>
      <c r="UQR66" s="0"/>
      <c r="UQS66" s="0"/>
      <c r="UQT66" s="0"/>
      <c r="UQU66" s="0"/>
      <c r="UQV66" s="0"/>
      <c r="UQW66" s="0"/>
      <c r="UQX66" s="0"/>
      <c r="UQY66" s="0"/>
      <c r="UQZ66" s="0"/>
      <c r="URA66" s="0"/>
      <c r="URB66" s="0"/>
      <c r="URC66" s="0"/>
      <c r="URD66" s="0"/>
      <c r="URE66" s="0"/>
      <c r="URF66" s="0"/>
      <c r="URG66" s="0"/>
      <c r="URH66" s="0"/>
      <c r="URI66" s="0"/>
      <c r="URJ66" s="0"/>
      <c r="URK66" s="0"/>
      <c r="URL66" s="0"/>
      <c r="URM66" s="0"/>
      <c r="URN66" s="0"/>
      <c r="URO66" s="0"/>
      <c r="URP66" s="0"/>
      <c r="URQ66" s="0"/>
      <c r="URR66" s="0"/>
      <c r="URS66" s="0"/>
      <c r="URT66" s="0"/>
      <c r="URU66" s="0"/>
      <c r="URV66" s="0"/>
      <c r="URW66" s="0"/>
      <c r="URX66" s="0"/>
      <c r="URY66" s="0"/>
      <c r="URZ66" s="0"/>
      <c r="USA66" s="0"/>
      <c r="USB66" s="0"/>
      <c r="USC66" s="0"/>
      <c r="USD66" s="0"/>
      <c r="USE66" s="0"/>
      <c r="USF66" s="0"/>
      <c r="USG66" s="0"/>
      <c r="USH66" s="0"/>
      <c r="USI66" s="0"/>
      <c r="USJ66" s="0"/>
      <c r="USK66" s="0"/>
      <c r="USL66" s="0"/>
      <c r="USM66" s="0"/>
      <c r="USN66" s="0"/>
      <c r="USO66" s="0"/>
      <c r="USP66" s="0"/>
      <c r="USQ66" s="0"/>
      <c r="USR66" s="0"/>
      <c r="USS66" s="0"/>
      <c r="UST66" s="0"/>
      <c r="USU66" s="0"/>
      <c r="USV66" s="0"/>
      <c r="USW66" s="0"/>
      <c r="USX66" s="0"/>
      <c r="USY66" s="0"/>
      <c r="USZ66" s="0"/>
      <c r="UTA66" s="0"/>
      <c r="UTB66" s="0"/>
      <c r="UTC66" s="0"/>
      <c r="UTD66" s="0"/>
      <c r="UTE66" s="0"/>
      <c r="UTF66" s="0"/>
      <c r="UTG66" s="0"/>
      <c r="UTH66" s="0"/>
      <c r="UTI66" s="0"/>
      <c r="UTJ66" s="0"/>
      <c r="UTK66" s="0"/>
      <c r="UTL66" s="0"/>
      <c r="UTM66" s="0"/>
      <c r="UTN66" s="0"/>
      <c r="UTO66" s="0"/>
      <c r="UTP66" s="0"/>
      <c r="UTQ66" s="0"/>
      <c r="UTR66" s="0"/>
      <c r="UTS66" s="0"/>
      <c r="UTT66" s="0"/>
      <c r="UTU66" s="0"/>
      <c r="UTV66" s="0"/>
      <c r="UTW66" s="0"/>
      <c r="UTX66" s="0"/>
      <c r="UTY66" s="0"/>
      <c r="UTZ66" s="0"/>
      <c r="UUA66" s="0"/>
      <c r="UUB66" s="0"/>
      <c r="UUC66" s="0"/>
      <c r="UUD66" s="0"/>
      <c r="UUE66" s="0"/>
      <c r="UUF66" s="0"/>
      <c r="UUG66" s="0"/>
      <c r="UUH66" s="0"/>
      <c r="UUI66" s="0"/>
      <c r="UUJ66" s="0"/>
      <c r="UUK66" s="0"/>
      <c r="UUL66" s="0"/>
      <c r="UUM66" s="0"/>
      <c r="UUN66" s="0"/>
      <c r="UUO66" s="0"/>
      <c r="UUP66" s="0"/>
      <c r="UUQ66" s="0"/>
      <c r="UUR66" s="0"/>
      <c r="UUS66" s="0"/>
      <c r="UUT66" s="0"/>
      <c r="UUU66" s="0"/>
      <c r="UUV66" s="0"/>
      <c r="UUW66" s="0"/>
      <c r="UUX66" s="0"/>
      <c r="UUY66" s="0"/>
      <c r="UUZ66" s="0"/>
      <c r="UVA66" s="0"/>
      <c r="UVB66" s="0"/>
      <c r="UVC66" s="0"/>
      <c r="UVD66" s="0"/>
      <c r="UVE66" s="0"/>
      <c r="UVF66" s="0"/>
      <c r="UVG66" s="0"/>
      <c r="UVH66" s="0"/>
      <c r="UVI66" s="0"/>
      <c r="UVJ66" s="0"/>
      <c r="UVK66" s="0"/>
      <c r="UVL66" s="0"/>
      <c r="UVM66" s="0"/>
      <c r="UVN66" s="0"/>
      <c r="UVO66" s="0"/>
      <c r="UVP66" s="0"/>
      <c r="UVQ66" s="0"/>
      <c r="UVR66" s="0"/>
      <c r="UVS66" s="0"/>
      <c r="UVT66" s="0"/>
      <c r="UVU66" s="0"/>
      <c r="UVV66" s="0"/>
      <c r="UVW66" s="0"/>
      <c r="UVX66" s="0"/>
      <c r="UVY66" s="0"/>
      <c r="UVZ66" s="0"/>
      <c r="UWA66" s="0"/>
      <c r="UWB66" s="0"/>
      <c r="UWC66" s="0"/>
      <c r="UWD66" s="0"/>
      <c r="UWE66" s="0"/>
      <c r="UWF66" s="0"/>
      <c r="UWG66" s="0"/>
      <c r="UWH66" s="0"/>
      <c r="UWI66" s="0"/>
      <c r="UWJ66" s="0"/>
      <c r="UWK66" s="0"/>
      <c r="UWL66" s="0"/>
      <c r="UWM66" s="0"/>
      <c r="UWN66" s="0"/>
      <c r="UWO66" s="0"/>
      <c r="UWP66" s="0"/>
      <c r="UWQ66" s="0"/>
      <c r="UWR66" s="0"/>
      <c r="UWS66" s="0"/>
      <c r="UWT66" s="0"/>
      <c r="UWU66" s="0"/>
      <c r="UWV66" s="0"/>
      <c r="UWW66" s="0"/>
      <c r="UWX66" s="0"/>
      <c r="UWY66" s="0"/>
      <c r="UWZ66" s="0"/>
      <c r="UXA66" s="0"/>
      <c r="UXB66" s="0"/>
      <c r="UXC66" s="0"/>
      <c r="UXD66" s="0"/>
      <c r="UXE66" s="0"/>
      <c r="UXF66" s="0"/>
      <c r="UXG66" s="0"/>
      <c r="UXH66" s="0"/>
      <c r="UXI66" s="0"/>
      <c r="UXJ66" s="0"/>
      <c r="UXK66" s="0"/>
      <c r="UXL66" s="0"/>
      <c r="UXM66" s="0"/>
      <c r="UXN66" s="0"/>
      <c r="UXO66" s="0"/>
      <c r="UXP66" s="0"/>
      <c r="UXQ66" s="0"/>
      <c r="UXR66" s="0"/>
      <c r="UXS66" s="0"/>
      <c r="UXT66" s="0"/>
      <c r="UXU66" s="0"/>
      <c r="UXV66" s="0"/>
      <c r="UXW66" s="0"/>
      <c r="UXX66" s="0"/>
      <c r="UXY66" s="0"/>
      <c r="UXZ66" s="0"/>
      <c r="UYA66" s="0"/>
      <c r="UYB66" s="0"/>
      <c r="UYC66" s="0"/>
      <c r="UYD66" s="0"/>
      <c r="UYE66" s="0"/>
      <c r="UYF66" s="0"/>
      <c r="UYG66" s="0"/>
      <c r="UYH66" s="0"/>
      <c r="UYI66" s="0"/>
      <c r="UYJ66" s="0"/>
      <c r="UYK66" s="0"/>
      <c r="UYL66" s="0"/>
      <c r="UYM66" s="0"/>
      <c r="UYN66" s="0"/>
      <c r="UYO66" s="0"/>
      <c r="UYP66" s="0"/>
      <c r="UYQ66" s="0"/>
      <c r="UYR66" s="0"/>
      <c r="UYS66" s="0"/>
      <c r="UYT66" s="0"/>
      <c r="UYU66" s="0"/>
      <c r="UYV66" s="0"/>
      <c r="UYW66" s="0"/>
      <c r="UYX66" s="0"/>
      <c r="UYY66" s="0"/>
      <c r="UYZ66" s="0"/>
      <c r="UZA66" s="0"/>
      <c r="UZB66" s="0"/>
      <c r="UZC66" s="0"/>
      <c r="UZD66" s="0"/>
      <c r="UZE66" s="0"/>
      <c r="UZF66" s="0"/>
      <c r="UZG66" s="0"/>
      <c r="UZH66" s="0"/>
      <c r="UZI66" s="0"/>
      <c r="UZJ66" s="0"/>
      <c r="UZK66" s="0"/>
      <c r="UZL66" s="0"/>
      <c r="UZM66" s="0"/>
      <c r="UZN66" s="0"/>
      <c r="UZO66" s="0"/>
      <c r="UZP66" s="0"/>
      <c r="UZQ66" s="0"/>
      <c r="UZR66" s="0"/>
      <c r="UZS66" s="0"/>
      <c r="UZT66" s="0"/>
      <c r="UZU66" s="0"/>
      <c r="UZV66" s="0"/>
      <c r="UZW66" s="0"/>
      <c r="UZX66" s="0"/>
      <c r="UZY66" s="0"/>
      <c r="UZZ66" s="0"/>
      <c r="VAA66" s="0"/>
      <c r="VAB66" s="0"/>
      <c r="VAC66" s="0"/>
      <c r="VAD66" s="0"/>
      <c r="VAE66" s="0"/>
      <c r="VAF66" s="0"/>
      <c r="VAG66" s="0"/>
      <c r="VAH66" s="0"/>
      <c r="VAI66" s="0"/>
      <c r="VAJ66" s="0"/>
      <c r="VAK66" s="0"/>
      <c r="VAL66" s="0"/>
      <c r="VAM66" s="0"/>
      <c r="VAN66" s="0"/>
      <c r="VAO66" s="0"/>
      <c r="VAP66" s="0"/>
      <c r="VAQ66" s="0"/>
      <c r="VAR66" s="0"/>
      <c r="VAS66" s="0"/>
      <c r="VAT66" s="0"/>
      <c r="VAU66" s="0"/>
      <c r="VAV66" s="0"/>
      <c r="VAW66" s="0"/>
      <c r="VAX66" s="0"/>
      <c r="VAY66" s="0"/>
      <c r="VAZ66" s="0"/>
      <c r="VBA66" s="0"/>
      <c r="VBB66" s="0"/>
      <c r="VBC66" s="0"/>
      <c r="VBD66" s="0"/>
      <c r="VBE66" s="0"/>
      <c r="VBF66" s="0"/>
      <c r="VBG66" s="0"/>
      <c r="VBH66" s="0"/>
      <c r="VBI66" s="0"/>
      <c r="VBJ66" s="0"/>
      <c r="VBK66" s="0"/>
      <c r="VBL66" s="0"/>
      <c r="VBM66" s="0"/>
      <c r="VBN66" s="0"/>
      <c r="VBO66" s="0"/>
      <c r="VBP66" s="0"/>
      <c r="VBQ66" s="0"/>
      <c r="VBR66" s="0"/>
      <c r="VBS66" s="0"/>
      <c r="VBT66" s="0"/>
      <c r="VBU66" s="0"/>
      <c r="VBV66" s="0"/>
      <c r="VBW66" s="0"/>
      <c r="VBX66" s="0"/>
      <c r="VBY66" s="0"/>
      <c r="VBZ66" s="0"/>
      <c r="VCA66" s="0"/>
      <c r="VCB66" s="0"/>
      <c r="VCC66" s="0"/>
      <c r="VCD66" s="0"/>
      <c r="VCE66" s="0"/>
      <c r="VCF66" s="0"/>
      <c r="VCG66" s="0"/>
      <c r="VCH66" s="0"/>
      <c r="VCI66" s="0"/>
      <c r="VCJ66" s="0"/>
      <c r="VCK66" s="0"/>
      <c r="VCL66" s="0"/>
      <c r="VCM66" s="0"/>
      <c r="VCN66" s="0"/>
      <c r="VCO66" s="0"/>
      <c r="VCP66" s="0"/>
      <c r="VCQ66" s="0"/>
      <c r="VCR66" s="0"/>
      <c r="VCS66" s="0"/>
      <c r="VCT66" s="0"/>
      <c r="VCU66" s="0"/>
      <c r="VCV66" s="0"/>
      <c r="VCW66" s="0"/>
      <c r="VCX66" s="0"/>
      <c r="VCY66" s="0"/>
      <c r="VCZ66" s="0"/>
      <c r="VDA66" s="0"/>
      <c r="VDB66" s="0"/>
      <c r="VDC66" s="0"/>
      <c r="VDD66" s="0"/>
      <c r="VDE66" s="0"/>
      <c r="VDF66" s="0"/>
      <c r="VDG66" s="0"/>
      <c r="VDH66" s="0"/>
      <c r="VDI66" s="0"/>
      <c r="VDJ66" s="0"/>
      <c r="VDK66" s="0"/>
      <c r="VDL66" s="0"/>
      <c r="VDM66" s="0"/>
      <c r="VDN66" s="0"/>
      <c r="VDO66" s="0"/>
      <c r="VDP66" s="0"/>
      <c r="VDQ66" s="0"/>
      <c r="VDR66" s="0"/>
      <c r="VDS66" s="0"/>
      <c r="VDT66" s="0"/>
      <c r="VDU66" s="0"/>
      <c r="VDV66" s="0"/>
      <c r="VDW66" s="0"/>
      <c r="VDX66" s="0"/>
      <c r="VDY66" s="0"/>
      <c r="VDZ66" s="0"/>
      <c r="VEA66" s="0"/>
      <c r="VEB66" s="0"/>
      <c r="VEC66" s="0"/>
      <c r="VED66" s="0"/>
      <c r="VEE66" s="0"/>
      <c r="VEF66" s="0"/>
      <c r="VEG66" s="0"/>
      <c r="VEH66" s="0"/>
      <c r="VEI66" s="0"/>
      <c r="VEJ66" s="0"/>
      <c r="VEK66" s="0"/>
      <c r="VEL66" s="0"/>
      <c r="VEM66" s="0"/>
      <c r="VEN66" s="0"/>
      <c r="VEO66" s="0"/>
      <c r="VEP66" s="0"/>
      <c r="VEQ66" s="0"/>
      <c r="VER66" s="0"/>
      <c r="VES66" s="0"/>
      <c r="VET66" s="0"/>
      <c r="VEU66" s="0"/>
      <c r="VEV66" s="0"/>
      <c r="VEW66" s="0"/>
      <c r="VEX66" s="0"/>
      <c r="VEY66" s="0"/>
      <c r="VEZ66" s="0"/>
      <c r="VFA66" s="0"/>
      <c r="VFB66" s="0"/>
      <c r="VFC66" s="0"/>
      <c r="VFD66" s="0"/>
      <c r="VFE66" s="0"/>
      <c r="VFF66" s="0"/>
      <c r="VFG66" s="0"/>
      <c r="VFH66" s="0"/>
      <c r="VFI66" s="0"/>
      <c r="VFJ66" s="0"/>
      <c r="VFK66" s="0"/>
      <c r="VFL66" s="0"/>
      <c r="VFM66" s="0"/>
      <c r="VFN66" s="0"/>
      <c r="VFO66" s="0"/>
      <c r="VFP66" s="0"/>
      <c r="VFQ66" s="0"/>
      <c r="VFR66" s="0"/>
      <c r="VFS66" s="0"/>
      <c r="VFT66" s="0"/>
      <c r="VFU66" s="0"/>
      <c r="VFV66" s="0"/>
      <c r="VFW66" s="0"/>
      <c r="VFX66" s="0"/>
      <c r="VFY66" s="0"/>
      <c r="VFZ66" s="0"/>
      <c r="VGA66" s="0"/>
      <c r="VGB66" s="0"/>
      <c r="VGC66" s="0"/>
      <c r="VGD66" s="0"/>
      <c r="VGE66" s="0"/>
      <c r="VGF66" s="0"/>
      <c r="VGG66" s="0"/>
      <c r="VGH66" s="0"/>
      <c r="VGI66" s="0"/>
      <c r="VGJ66" s="0"/>
      <c r="VGK66" s="0"/>
      <c r="VGL66" s="0"/>
      <c r="VGM66" s="0"/>
      <c r="VGN66" s="0"/>
      <c r="VGO66" s="0"/>
      <c r="VGP66" s="0"/>
      <c r="VGQ66" s="0"/>
      <c r="VGR66" s="0"/>
      <c r="VGS66" s="0"/>
      <c r="VGT66" s="0"/>
      <c r="VGU66" s="0"/>
      <c r="VGV66" s="0"/>
      <c r="VGW66" s="0"/>
      <c r="VGX66" s="0"/>
      <c r="VGY66" s="0"/>
      <c r="VGZ66" s="0"/>
      <c r="VHA66" s="0"/>
      <c r="VHB66" s="0"/>
      <c r="VHC66" s="0"/>
      <c r="VHD66" s="0"/>
      <c r="VHE66" s="0"/>
      <c r="VHF66" s="0"/>
      <c r="VHG66" s="0"/>
      <c r="VHH66" s="0"/>
      <c r="VHI66" s="0"/>
      <c r="VHJ66" s="0"/>
      <c r="VHK66" s="0"/>
      <c r="VHL66" s="0"/>
      <c r="VHM66" s="0"/>
      <c r="VHN66" s="0"/>
      <c r="VHO66" s="0"/>
      <c r="VHP66" s="0"/>
      <c r="VHQ66" s="0"/>
      <c r="VHR66" s="0"/>
      <c r="VHS66" s="0"/>
      <c r="VHT66" s="0"/>
      <c r="VHU66" s="0"/>
      <c r="VHV66" s="0"/>
      <c r="VHW66" s="0"/>
      <c r="VHX66" s="0"/>
      <c r="VHY66" s="0"/>
      <c r="VHZ66" s="0"/>
      <c r="VIA66" s="0"/>
      <c r="VIB66" s="0"/>
      <c r="VIC66" s="0"/>
      <c r="VID66" s="0"/>
      <c r="VIE66" s="0"/>
      <c r="VIF66" s="0"/>
      <c r="VIG66" s="0"/>
      <c r="VIH66" s="0"/>
      <c r="VII66" s="0"/>
      <c r="VIJ66" s="0"/>
      <c r="VIK66" s="0"/>
      <c r="VIL66" s="0"/>
      <c r="VIM66" s="0"/>
      <c r="VIN66" s="0"/>
      <c r="VIO66" s="0"/>
      <c r="VIP66" s="0"/>
      <c r="VIQ66" s="0"/>
      <c r="VIR66" s="0"/>
      <c r="VIS66" s="0"/>
      <c r="VIT66" s="0"/>
      <c r="VIU66" s="0"/>
      <c r="VIV66" s="0"/>
      <c r="VIW66" s="0"/>
      <c r="VIX66" s="0"/>
      <c r="VIY66" s="0"/>
      <c r="VIZ66" s="0"/>
      <c r="VJA66" s="0"/>
      <c r="VJB66" s="0"/>
      <c r="VJC66" s="0"/>
      <c r="VJD66" s="0"/>
      <c r="VJE66" s="0"/>
      <c r="VJF66" s="0"/>
      <c r="VJG66" s="0"/>
      <c r="VJH66" s="0"/>
      <c r="VJI66" s="0"/>
      <c r="VJJ66" s="0"/>
      <c r="VJK66" s="0"/>
      <c r="VJL66" s="0"/>
      <c r="VJM66" s="0"/>
      <c r="VJN66" s="0"/>
      <c r="VJO66" s="0"/>
      <c r="VJP66" s="0"/>
      <c r="VJQ66" s="0"/>
      <c r="VJR66" s="0"/>
      <c r="VJS66" s="0"/>
      <c r="VJT66" s="0"/>
      <c r="VJU66" s="0"/>
      <c r="VJV66" s="0"/>
      <c r="VJW66" s="0"/>
      <c r="VJX66" s="0"/>
      <c r="VJY66" s="0"/>
      <c r="VJZ66" s="0"/>
      <c r="VKA66" s="0"/>
      <c r="VKB66" s="0"/>
      <c r="VKC66" s="0"/>
      <c r="VKD66" s="0"/>
      <c r="VKE66" s="0"/>
      <c r="VKF66" s="0"/>
      <c r="VKG66" s="0"/>
      <c r="VKH66" s="0"/>
      <c r="VKI66" s="0"/>
      <c r="VKJ66" s="0"/>
      <c r="VKK66" s="0"/>
      <c r="VKL66" s="0"/>
      <c r="VKM66" s="0"/>
      <c r="VKN66" s="0"/>
      <c r="VKO66" s="0"/>
      <c r="VKP66" s="0"/>
      <c r="VKQ66" s="0"/>
      <c r="VKR66" s="0"/>
      <c r="VKS66" s="0"/>
      <c r="VKT66" s="0"/>
      <c r="VKU66" s="0"/>
      <c r="VKV66" s="0"/>
      <c r="VKW66" s="0"/>
      <c r="VKX66" s="0"/>
      <c r="VKY66" s="0"/>
      <c r="VKZ66" s="0"/>
      <c r="VLA66" s="0"/>
      <c r="VLB66" s="0"/>
      <c r="VLC66" s="0"/>
      <c r="VLD66" s="0"/>
      <c r="VLE66" s="0"/>
      <c r="VLF66" s="0"/>
      <c r="VLG66" s="0"/>
      <c r="VLH66" s="0"/>
      <c r="VLI66" s="0"/>
      <c r="VLJ66" s="0"/>
      <c r="VLK66" s="0"/>
      <c r="VLL66" s="0"/>
      <c r="VLM66" s="0"/>
      <c r="VLN66" s="0"/>
      <c r="VLO66" s="0"/>
      <c r="VLP66" s="0"/>
      <c r="VLQ66" s="0"/>
      <c r="VLR66" s="0"/>
      <c r="VLS66" s="0"/>
      <c r="VLT66" s="0"/>
      <c r="VLU66" s="0"/>
      <c r="VLV66" s="0"/>
      <c r="VLW66" s="0"/>
      <c r="VLX66" s="0"/>
      <c r="VLY66" s="0"/>
      <c r="VLZ66" s="0"/>
      <c r="VMA66" s="0"/>
      <c r="VMB66" s="0"/>
      <c r="VMC66" s="0"/>
      <c r="VMD66" s="0"/>
      <c r="VME66" s="0"/>
      <c r="VMF66" s="0"/>
      <c r="VMG66" s="0"/>
      <c r="VMH66" s="0"/>
      <c r="VMI66" s="0"/>
      <c r="VMJ66" s="0"/>
      <c r="VMK66" s="0"/>
      <c r="VML66" s="0"/>
      <c r="VMM66" s="0"/>
      <c r="VMN66" s="0"/>
      <c r="VMO66" s="0"/>
      <c r="VMP66" s="0"/>
      <c r="VMQ66" s="0"/>
      <c r="VMR66" s="0"/>
      <c r="VMS66" s="0"/>
      <c r="VMT66" s="0"/>
      <c r="VMU66" s="0"/>
      <c r="VMV66" s="0"/>
      <c r="VMW66" s="0"/>
      <c r="VMX66" s="0"/>
      <c r="VMY66" s="0"/>
      <c r="VMZ66" s="0"/>
      <c r="VNA66" s="0"/>
      <c r="VNB66" s="0"/>
      <c r="VNC66" s="0"/>
      <c r="VND66" s="0"/>
      <c r="VNE66" s="0"/>
      <c r="VNF66" s="0"/>
      <c r="VNG66" s="0"/>
      <c r="VNH66" s="0"/>
      <c r="VNI66" s="0"/>
      <c r="VNJ66" s="0"/>
      <c r="VNK66" s="0"/>
      <c r="VNL66" s="0"/>
      <c r="VNM66" s="0"/>
      <c r="VNN66" s="0"/>
      <c r="VNO66" s="0"/>
      <c r="VNP66" s="0"/>
      <c r="VNQ66" s="0"/>
      <c r="VNR66" s="0"/>
      <c r="VNS66" s="0"/>
      <c r="VNT66" s="0"/>
      <c r="VNU66" s="0"/>
      <c r="VNV66" s="0"/>
      <c r="VNW66" s="0"/>
      <c r="VNX66" s="0"/>
      <c r="VNY66" s="0"/>
      <c r="VNZ66" s="0"/>
      <c r="VOA66" s="0"/>
      <c r="VOB66" s="0"/>
      <c r="VOC66" s="0"/>
      <c r="VOD66" s="0"/>
      <c r="VOE66" s="0"/>
      <c r="VOF66" s="0"/>
      <c r="VOG66" s="0"/>
      <c r="VOH66" s="0"/>
      <c r="VOI66" s="0"/>
      <c r="VOJ66" s="0"/>
      <c r="VOK66" s="0"/>
      <c r="VOL66" s="0"/>
      <c r="VOM66" s="0"/>
      <c r="VON66" s="0"/>
      <c r="VOO66" s="0"/>
      <c r="VOP66" s="0"/>
      <c r="VOQ66" s="0"/>
      <c r="VOR66" s="0"/>
      <c r="VOS66" s="0"/>
      <c r="VOT66" s="0"/>
      <c r="VOU66" s="0"/>
      <c r="VOV66" s="0"/>
      <c r="VOW66" s="0"/>
      <c r="VOX66" s="0"/>
      <c r="VOY66" s="0"/>
      <c r="VOZ66" s="0"/>
      <c r="VPA66" s="0"/>
      <c r="VPB66" s="0"/>
      <c r="VPC66" s="0"/>
      <c r="VPD66" s="0"/>
      <c r="VPE66" s="0"/>
      <c r="VPF66" s="0"/>
      <c r="VPG66" s="0"/>
      <c r="VPH66" s="0"/>
      <c r="VPI66" s="0"/>
      <c r="VPJ66" s="0"/>
      <c r="VPK66" s="0"/>
      <c r="VPL66" s="0"/>
      <c r="VPM66" s="0"/>
      <c r="VPN66" s="0"/>
      <c r="VPO66" s="0"/>
      <c r="VPP66" s="0"/>
      <c r="VPQ66" s="0"/>
      <c r="VPR66" s="0"/>
      <c r="VPS66" s="0"/>
      <c r="VPT66" s="0"/>
      <c r="VPU66" s="0"/>
      <c r="VPV66" s="0"/>
      <c r="VPW66" s="0"/>
      <c r="VPX66" s="0"/>
      <c r="VPY66" s="0"/>
      <c r="VPZ66" s="0"/>
      <c r="VQA66" s="0"/>
      <c r="VQB66" s="0"/>
      <c r="VQC66" s="0"/>
      <c r="VQD66" s="0"/>
      <c r="VQE66" s="0"/>
      <c r="VQF66" s="0"/>
      <c r="VQG66" s="0"/>
      <c r="VQH66" s="0"/>
      <c r="VQI66" s="0"/>
      <c r="VQJ66" s="0"/>
      <c r="VQK66" s="0"/>
      <c r="VQL66" s="0"/>
      <c r="VQM66" s="0"/>
      <c r="VQN66" s="0"/>
      <c r="VQO66" s="0"/>
      <c r="VQP66" s="0"/>
      <c r="VQQ66" s="0"/>
      <c r="VQR66" s="0"/>
      <c r="VQS66" s="0"/>
      <c r="VQT66" s="0"/>
      <c r="VQU66" s="0"/>
      <c r="VQV66" s="0"/>
      <c r="VQW66" s="0"/>
      <c r="VQX66" s="0"/>
      <c r="VQY66" s="0"/>
      <c r="VQZ66" s="0"/>
      <c r="VRA66" s="0"/>
      <c r="VRB66" s="0"/>
      <c r="VRC66" s="0"/>
      <c r="VRD66" s="0"/>
      <c r="VRE66" s="0"/>
      <c r="VRF66" s="0"/>
      <c r="VRG66" s="0"/>
      <c r="VRH66" s="0"/>
      <c r="VRI66" s="0"/>
      <c r="VRJ66" s="0"/>
      <c r="VRK66" s="0"/>
      <c r="VRL66" s="0"/>
      <c r="VRM66" s="0"/>
      <c r="VRN66" s="0"/>
      <c r="VRO66" s="0"/>
      <c r="VRP66" s="0"/>
      <c r="VRQ66" s="0"/>
      <c r="VRR66" s="0"/>
      <c r="VRS66" s="0"/>
      <c r="VRT66" s="0"/>
      <c r="VRU66" s="0"/>
      <c r="VRV66" s="0"/>
      <c r="VRW66" s="0"/>
      <c r="VRX66" s="0"/>
      <c r="VRY66" s="0"/>
      <c r="VRZ66" s="0"/>
      <c r="VSA66" s="0"/>
      <c r="VSB66" s="0"/>
      <c r="VSC66" s="0"/>
      <c r="VSD66" s="0"/>
      <c r="VSE66" s="0"/>
      <c r="VSF66" s="0"/>
      <c r="VSG66" s="0"/>
      <c r="VSH66" s="0"/>
      <c r="VSI66" s="0"/>
      <c r="VSJ66" s="0"/>
      <c r="VSK66" s="0"/>
      <c r="VSL66" s="0"/>
      <c r="VSM66" s="0"/>
      <c r="VSN66" s="0"/>
      <c r="VSO66" s="0"/>
      <c r="VSP66" s="0"/>
      <c r="VSQ66" s="0"/>
      <c r="VSR66" s="0"/>
      <c r="VSS66" s="0"/>
      <c r="VST66" s="0"/>
      <c r="VSU66" s="0"/>
      <c r="VSV66" s="0"/>
      <c r="VSW66" s="0"/>
      <c r="VSX66" s="0"/>
      <c r="VSY66" s="0"/>
      <c r="VSZ66" s="0"/>
      <c r="VTA66" s="0"/>
      <c r="VTB66" s="0"/>
      <c r="VTC66" s="0"/>
      <c r="VTD66" s="0"/>
      <c r="VTE66" s="0"/>
      <c r="VTF66" s="0"/>
      <c r="VTG66" s="0"/>
      <c r="VTH66" s="0"/>
      <c r="VTI66" s="0"/>
      <c r="VTJ66" s="0"/>
      <c r="VTK66" s="0"/>
      <c r="VTL66" s="0"/>
      <c r="VTM66" s="0"/>
      <c r="VTN66" s="0"/>
      <c r="VTO66" s="0"/>
      <c r="VTP66" s="0"/>
      <c r="VTQ66" s="0"/>
      <c r="VTR66" s="0"/>
      <c r="VTS66" s="0"/>
      <c r="VTT66" s="0"/>
      <c r="VTU66" s="0"/>
      <c r="VTV66" s="0"/>
      <c r="VTW66" s="0"/>
      <c r="VTX66" s="0"/>
      <c r="VTY66" s="0"/>
      <c r="VTZ66" s="0"/>
      <c r="VUA66" s="0"/>
      <c r="VUB66" s="0"/>
      <c r="VUC66" s="0"/>
      <c r="VUD66" s="0"/>
      <c r="VUE66" s="0"/>
      <c r="VUF66" s="0"/>
      <c r="VUG66" s="0"/>
      <c r="VUH66" s="0"/>
      <c r="VUI66" s="0"/>
      <c r="VUJ66" s="0"/>
      <c r="VUK66" s="0"/>
      <c r="VUL66" s="0"/>
      <c r="VUM66" s="0"/>
      <c r="VUN66" s="0"/>
      <c r="VUO66" s="0"/>
      <c r="VUP66" s="0"/>
      <c r="VUQ66" s="0"/>
      <c r="VUR66" s="0"/>
      <c r="VUS66" s="0"/>
      <c r="VUT66" s="0"/>
      <c r="VUU66" s="0"/>
      <c r="VUV66" s="0"/>
      <c r="VUW66" s="0"/>
      <c r="VUX66" s="0"/>
      <c r="VUY66" s="0"/>
      <c r="VUZ66" s="0"/>
      <c r="VVA66" s="0"/>
      <c r="VVB66" s="0"/>
      <c r="VVC66" s="0"/>
      <c r="VVD66" s="0"/>
      <c r="VVE66" s="0"/>
      <c r="VVF66" s="0"/>
      <c r="VVG66" s="0"/>
      <c r="VVH66" s="0"/>
      <c r="VVI66" s="0"/>
      <c r="VVJ66" s="0"/>
      <c r="VVK66" s="0"/>
      <c r="VVL66" s="0"/>
      <c r="VVM66" s="0"/>
      <c r="VVN66" s="0"/>
      <c r="VVO66" s="0"/>
      <c r="VVP66" s="0"/>
      <c r="VVQ66" s="0"/>
      <c r="VVR66" s="0"/>
      <c r="VVS66" s="0"/>
      <c r="VVT66" s="0"/>
      <c r="VVU66" s="0"/>
      <c r="VVV66" s="0"/>
      <c r="VVW66" s="0"/>
      <c r="VVX66" s="0"/>
      <c r="VVY66" s="0"/>
      <c r="VVZ66" s="0"/>
      <c r="VWA66" s="0"/>
      <c r="VWB66" s="0"/>
      <c r="VWC66" s="0"/>
      <c r="VWD66" s="0"/>
      <c r="VWE66" s="0"/>
      <c r="VWF66" s="0"/>
      <c r="VWG66" s="0"/>
      <c r="VWH66" s="0"/>
      <c r="VWI66" s="0"/>
      <c r="VWJ66" s="0"/>
      <c r="VWK66" s="0"/>
      <c r="VWL66" s="0"/>
      <c r="VWM66" s="0"/>
      <c r="VWN66" s="0"/>
      <c r="VWO66" s="0"/>
      <c r="VWP66" s="0"/>
      <c r="VWQ66" s="0"/>
      <c r="VWR66" s="0"/>
      <c r="VWS66" s="0"/>
      <c r="VWT66" s="0"/>
      <c r="VWU66" s="0"/>
      <c r="VWV66" s="0"/>
      <c r="VWW66" s="0"/>
      <c r="VWX66" s="0"/>
      <c r="VWY66" s="0"/>
      <c r="VWZ66" s="0"/>
      <c r="VXA66" s="0"/>
      <c r="VXB66" s="0"/>
      <c r="VXC66" s="0"/>
      <c r="VXD66" s="0"/>
      <c r="VXE66" s="0"/>
      <c r="VXF66" s="0"/>
      <c r="VXG66" s="0"/>
      <c r="VXH66" s="0"/>
      <c r="VXI66" s="0"/>
      <c r="VXJ66" s="0"/>
      <c r="VXK66" s="0"/>
      <c r="VXL66" s="0"/>
      <c r="VXM66" s="0"/>
      <c r="VXN66" s="0"/>
      <c r="VXO66" s="0"/>
      <c r="VXP66" s="0"/>
      <c r="VXQ66" s="0"/>
      <c r="VXR66" s="0"/>
      <c r="VXS66" s="0"/>
      <c r="VXT66" s="0"/>
      <c r="VXU66" s="0"/>
      <c r="VXV66" s="0"/>
      <c r="VXW66" s="0"/>
      <c r="VXX66" s="0"/>
      <c r="VXY66" s="0"/>
      <c r="VXZ66" s="0"/>
      <c r="VYA66" s="0"/>
      <c r="VYB66" s="0"/>
      <c r="VYC66" s="0"/>
      <c r="VYD66" s="0"/>
      <c r="VYE66" s="0"/>
      <c r="VYF66" s="0"/>
      <c r="VYG66" s="0"/>
      <c r="VYH66" s="0"/>
      <c r="VYI66" s="0"/>
      <c r="VYJ66" s="0"/>
      <c r="VYK66" s="0"/>
      <c r="VYL66" s="0"/>
      <c r="VYM66" s="0"/>
      <c r="VYN66" s="0"/>
      <c r="VYO66" s="0"/>
      <c r="VYP66" s="0"/>
      <c r="VYQ66" s="0"/>
      <c r="VYR66" s="0"/>
      <c r="VYS66" s="0"/>
      <c r="VYT66" s="0"/>
      <c r="VYU66" s="0"/>
      <c r="VYV66" s="0"/>
      <c r="VYW66" s="0"/>
      <c r="VYX66" s="0"/>
      <c r="VYY66" s="0"/>
      <c r="VYZ66" s="0"/>
      <c r="VZA66" s="0"/>
      <c r="VZB66" s="0"/>
      <c r="VZC66" s="0"/>
      <c r="VZD66" s="0"/>
      <c r="VZE66" s="0"/>
      <c r="VZF66" s="0"/>
      <c r="VZG66" s="0"/>
      <c r="VZH66" s="0"/>
      <c r="VZI66" s="0"/>
      <c r="VZJ66" s="0"/>
      <c r="VZK66" s="0"/>
      <c r="VZL66" s="0"/>
      <c r="VZM66" s="0"/>
      <c r="VZN66" s="0"/>
      <c r="VZO66" s="0"/>
      <c r="VZP66" s="0"/>
      <c r="VZQ66" s="0"/>
      <c r="VZR66" s="0"/>
      <c r="VZS66" s="0"/>
      <c r="VZT66" s="0"/>
      <c r="VZU66" s="0"/>
      <c r="VZV66" s="0"/>
      <c r="VZW66" s="0"/>
      <c r="VZX66" s="0"/>
      <c r="VZY66" s="0"/>
      <c r="VZZ66" s="0"/>
      <c r="WAA66" s="0"/>
      <c r="WAB66" s="0"/>
      <c r="WAC66" s="0"/>
      <c r="WAD66" s="0"/>
      <c r="WAE66" s="0"/>
      <c r="WAF66" s="0"/>
      <c r="WAG66" s="0"/>
      <c r="WAH66" s="0"/>
      <c r="WAI66" s="0"/>
      <c r="WAJ66" s="0"/>
      <c r="WAK66" s="0"/>
      <c r="WAL66" s="0"/>
      <c r="WAM66" s="0"/>
      <c r="WAN66" s="0"/>
      <c r="WAO66" s="0"/>
      <c r="WAP66" s="0"/>
      <c r="WAQ66" s="0"/>
      <c r="WAR66" s="0"/>
      <c r="WAS66" s="0"/>
      <c r="WAT66" s="0"/>
      <c r="WAU66" s="0"/>
      <c r="WAV66" s="0"/>
      <c r="WAW66" s="0"/>
      <c r="WAX66" s="0"/>
      <c r="WAY66" s="0"/>
      <c r="WAZ66" s="0"/>
      <c r="WBA66" s="0"/>
      <c r="WBB66" s="0"/>
      <c r="WBC66" s="0"/>
      <c r="WBD66" s="0"/>
      <c r="WBE66" s="0"/>
      <c r="WBF66" s="0"/>
      <c r="WBG66" s="0"/>
      <c r="WBH66" s="0"/>
      <c r="WBI66" s="0"/>
      <c r="WBJ66" s="0"/>
      <c r="WBK66" s="0"/>
      <c r="WBL66" s="0"/>
      <c r="WBM66" s="0"/>
      <c r="WBN66" s="0"/>
      <c r="WBO66" s="0"/>
      <c r="WBP66" s="0"/>
      <c r="WBQ66" s="0"/>
      <c r="WBR66" s="0"/>
      <c r="WBS66" s="0"/>
      <c r="WBT66" s="0"/>
      <c r="WBU66" s="0"/>
      <c r="WBV66" s="0"/>
      <c r="WBW66" s="0"/>
      <c r="WBX66" s="0"/>
      <c r="WBY66" s="0"/>
      <c r="WBZ66" s="0"/>
      <c r="WCA66" s="0"/>
      <c r="WCB66" s="0"/>
      <c r="WCC66" s="0"/>
      <c r="WCD66" s="0"/>
      <c r="WCE66" s="0"/>
      <c r="WCF66" s="0"/>
      <c r="WCG66" s="0"/>
      <c r="WCH66" s="0"/>
      <c r="WCI66" s="0"/>
      <c r="WCJ66" s="0"/>
      <c r="WCK66" s="0"/>
      <c r="WCL66" s="0"/>
      <c r="WCM66" s="0"/>
      <c r="WCN66" s="0"/>
      <c r="WCO66" s="0"/>
      <c r="WCP66" s="0"/>
      <c r="WCQ66" s="0"/>
      <c r="WCR66" s="0"/>
      <c r="WCS66" s="0"/>
      <c r="WCT66" s="0"/>
      <c r="WCU66" s="0"/>
      <c r="WCV66" s="0"/>
      <c r="WCW66" s="0"/>
      <c r="WCX66" s="0"/>
      <c r="WCY66" s="0"/>
      <c r="WCZ66" s="0"/>
      <c r="WDA66" s="0"/>
      <c r="WDB66" s="0"/>
      <c r="WDC66" s="0"/>
      <c r="WDD66" s="0"/>
      <c r="WDE66" s="0"/>
      <c r="WDF66" s="0"/>
      <c r="WDG66" s="0"/>
      <c r="WDH66" s="0"/>
      <c r="WDI66" s="0"/>
      <c r="WDJ66" s="0"/>
      <c r="WDK66" s="0"/>
      <c r="WDL66" s="0"/>
      <c r="WDM66" s="0"/>
      <c r="WDN66" s="0"/>
      <c r="WDO66" s="0"/>
      <c r="WDP66" s="0"/>
      <c r="WDQ66" s="0"/>
      <c r="WDR66" s="0"/>
      <c r="WDS66" s="0"/>
      <c r="WDT66" s="0"/>
      <c r="WDU66" s="0"/>
      <c r="WDV66" s="0"/>
      <c r="WDW66" s="0"/>
      <c r="WDX66" s="0"/>
      <c r="WDY66" s="0"/>
      <c r="WDZ66" s="0"/>
      <c r="WEA66" s="0"/>
      <c r="WEB66" s="0"/>
      <c r="WEC66" s="0"/>
      <c r="WED66" s="0"/>
      <c r="WEE66" s="0"/>
      <c r="WEF66" s="0"/>
      <c r="WEG66" s="0"/>
      <c r="WEH66" s="0"/>
      <c r="WEI66" s="0"/>
      <c r="WEJ66" s="0"/>
      <c r="WEK66" s="0"/>
      <c r="WEL66" s="0"/>
      <c r="WEM66" s="0"/>
      <c r="WEN66" s="0"/>
      <c r="WEO66" s="0"/>
      <c r="WEP66" s="0"/>
      <c r="WEQ66" s="0"/>
      <c r="WER66" s="0"/>
      <c r="WES66" s="0"/>
      <c r="WET66" s="0"/>
      <c r="WEU66" s="0"/>
      <c r="WEV66" s="0"/>
      <c r="WEW66" s="0"/>
      <c r="WEX66" s="0"/>
      <c r="WEY66" s="0"/>
      <c r="WEZ66" s="0"/>
      <c r="WFA66" s="0"/>
      <c r="WFB66" s="0"/>
      <c r="WFC66" s="0"/>
      <c r="WFD66" s="0"/>
      <c r="WFE66" s="0"/>
      <c r="WFF66" s="0"/>
      <c r="WFG66" s="0"/>
      <c r="WFH66" s="0"/>
      <c r="WFI66" s="0"/>
      <c r="WFJ66" s="0"/>
      <c r="WFK66" s="0"/>
      <c r="WFL66" s="0"/>
      <c r="WFM66" s="0"/>
      <c r="WFN66" s="0"/>
      <c r="WFO66" s="0"/>
      <c r="WFP66" s="0"/>
      <c r="WFQ66" s="0"/>
      <c r="WFR66" s="0"/>
      <c r="WFS66" s="0"/>
      <c r="WFT66" s="0"/>
      <c r="WFU66" s="0"/>
      <c r="WFV66" s="0"/>
      <c r="WFW66" s="0"/>
      <c r="WFX66" s="0"/>
      <c r="WFY66" s="0"/>
      <c r="WFZ66" s="0"/>
      <c r="WGA66" s="0"/>
      <c r="WGB66" s="0"/>
      <c r="WGC66" s="0"/>
      <c r="WGD66" s="0"/>
      <c r="WGE66" s="0"/>
      <c r="WGF66" s="0"/>
      <c r="WGG66" s="0"/>
      <c r="WGH66" s="0"/>
      <c r="WGI66" s="0"/>
      <c r="WGJ66" s="0"/>
      <c r="WGK66" s="0"/>
      <c r="WGL66" s="0"/>
      <c r="WGM66" s="0"/>
      <c r="WGN66" s="0"/>
      <c r="WGO66" s="0"/>
      <c r="WGP66" s="0"/>
      <c r="WGQ66" s="0"/>
      <c r="WGR66" s="0"/>
      <c r="WGS66" s="0"/>
      <c r="WGT66" s="0"/>
      <c r="WGU66" s="0"/>
      <c r="WGV66" s="0"/>
      <c r="WGW66" s="0"/>
      <c r="WGX66" s="0"/>
      <c r="WGY66" s="0"/>
      <c r="WGZ66" s="0"/>
      <c r="WHA66" s="0"/>
      <c r="WHB66" s="0"/>
      <c r="WHC66" s="0"/>
      <c r="WHD66" s="0"/>
      <c r="WHE66" s="0"/>
      <c r="WHF66" s="0"/>
      <c r="WHG66" s="0"/>
      <c r="WHH66" s="0"/>
      <c r="WHI66" s="0"/>
      <c r="WHJ66" s="0"/>
      <c r="WHK66" s="0"/>
      <c r="WHL66" s="0"/>
      <c r="WHM66" s="0"/>
      <c r="WHN66" s="0"/>
      <c r="WHO66" s="0"/>
      <c r="WHP66" s="0"/>
      <c r="WHQ66" s="0"/>
      <c r="WHR66" s="0"/>
      <c r="WHS66" s="0"/>
      <c r="WHT66" s="0"/>
      <c r="WHU66" s="0"/>
      <c r="WHV66" s="0"/>
      <c r="WHW66" s="0"/>
      <c r="WHX66" s="0"/>
      <c r="WHY66" s="0"/>
      <c r="WHZ66" s="0"/>
      <c r="WIA66" s="0"/>
      <c r="WIB66" s="0"/>
      <c r="WIC66" s="0"/>
      <c r="WID66" s="0"/>
      <c r="WIE66" s="0"/>
      <c r="WIF66" s="0"/>
      <c r="WIG66" s="0"/>
      <c r="WIH66" s="0"/>
      <c r="WII66" s="0"/>
      <c r="WIJ66" s="0"/>
      <c r="WIK66" s="0"/>
      <c r="WIL66" s="0"/>
      <c r="WIM66" s="0"/>
      <c r="WIN66" s="0"/>
      <c r="WIO66" s="0"/>
      <c r="WIP66" s="0"/>
      <c r="WIQ66" s="0"/>
      <c r="WIR66" s="0"/>
      <c r="WIS66" s="0"/>
      <c r="WIT66" s="0"/>
      <c r="WIU66" s="0"/>
      <c r="WIV66" s="0"/>
      <c r="WIW66" s="0"/>
      <c r="WIX66" s="0"/>
      <c r="WIY66" s="0"/>
      <c r="WIZ66" s="0"/>
      <c r="WJA66" s="0"/>
      <c r="WJB66" s="0"/>
      <c r="WJC66" s="0"/>
      <c r="WJD66" s="0"/>
      <c r="WJE66" s="0"/>
      <c r="WJF66" s="0"/>
      <c r="WJG66" s="0"/>
      <c r="WJH66" s="0"/>
      <c r="WJI66" s="0"/>
      <c r="WJJ66" s="0"/>
      <c r="WJK66" s="0"/>
      <c r="WJL66" s="0"/>
      <c r="WJM66" s="0"/>
      <c r="WJN66" s="0"/>
      <c r="WJO66" s="0"/>
      <c r="WJP66" s="0"/>
      <c r="WJQ66" s="0"/>
      <c r="WJR66" s="0"/>
      <c r="WJS66" s="0"/>
      <c r="WJT66" s="0"/>
      <c r="WJU66" s="0"/>
      <c r="WJV66" s="0"/>
      <c r="WJW66" s="0"/>
      <c r="WJX66" s="0"/>
      <c r="WJY66" s="0"/>
      <c r="WJZ66" s="0"/>
      <c r="WKA66" s="0"/>
      <c r="WKB66" s="0"/>
      <c r="WKC66" s="0"/>
      <c r="WKD66" s="0"/>
      <c r="WKE66" s="0"/>
      <c r="WKF66" s="0"/>
      <c r="WKG66" s="0"/>
      <c r="WKH66" s="0"/>
      <c r="WKI66" s="0"/>
      <c r="WKJ66" s="0"/>
      <c r="WKK66" s="0"/>
      <c r="WKL66" s="0"/>
      <c r="WKM66" s="0"/>
      <c r="WKN66" s="0"/>
      <c r="WKO66" s="0"/>
      <c r="WKP66" s="0"/>
      <c r="WKQ66" s="0"/>
      <c r="WKR66" s="0"/>
      <c r="WKS66" s="0"/>
      <c r="WKT66" s="0"/>
      <c r="WKU66" s="0"/>
      <c r="WKV66" s="0"/>
      <c r="WKW66" s="0"/>
      <c r="WKX66" s="0"/>
      <c r="WKY66" s="0"/>
      <c r="WKZ66" s="0"/>
      <c r="WLA66" s="0"/>
      <c r="WLB66" s="0"/>
      <c r="WLC66" s="0"/>
      <c r="WLD66" s="0"/>
      <c r="WLE66" s="0"/>
      <c r="WLF66" s="0"/>
      <c r="WLG66" s="0"/>
      <c r="WLH66" s="0"/>
      <c r="WLI66" s="0"/>
      <c r="WLJ66" s="0"/>
      <c r="WLK66" s="0"/>
      <c r="WLL66" s="0"/>
      <c r="WLM66" s="0"/>
      <c r="WLN66" s="0"/>
      <c r="WLO66" s="0"/>
      <c r="WLP66" s="0"/>
      <c r="WLQ66" s="0"/>
      <c r="WLR66" s="0"/>
      <c r="WLS66" s="0"/>
      <c r="WLT66" s="0"/>
      <c r="WLU66" s="0"/>
      <c r="WLV66" s="0"/>
      <c r="WLW66" s="0"/>
      <c r="WLX66" s="0"/>
      <c r="WLY66" s="0"/>
      <c r="WLZ66" s="0"/>
      <c r="WMA66" s="0"/>
      <c r="WMB66" s="0"/>
      <c r="WMC66" s="0"/>
      <c r="WMD66" s="0"/>
      <c r="WME66" s="0"/>
      <c r="WMF66" s="0"/>
      <c r="WMG66" s="0"/>
      <c r="WMH66" s="0"/>
      <c r="WMI66" s="0"/>
      <c r="WMJ66" s="0"/>
      <c r="WMK66" s="0"/>
      <c r="WML66" s="0"/>
      <c r="WMM66" s="0"/>
      <c r="WMN66" s="0"/>
      <c r="WMO66" s="0"/>
      <c r="WMP66" s="0"/>
      <c r="WMQ66" s="0"/>
      <c r="WMR66" s="0"/>
      <c r="WMS66" s="0"/>
      <c r="WMT66" s="0"/>
      <c r="WMU66" s="0"/>
      <c r="WMV66" s="0"/>
      <c r="WMW66" s="0"/>
      <c r="WMX66" s="0"/>
      <c r="WMY66" s="0"/>
      <c r="WMZ66" s="0"/>
      <c r="WNA66" s="0"/>
      <c r="WNB66" s="0"/>
      <c r="WNC66" s="0"/>
      <c r="WND66" s="0"/>
      <c r="WNE66" s="0"/>
      <c r="WNF66" s="0"/>
      <c r="WNG66" s="0"/>
      <c r="WNH66" s="0"/>
      <c r="WNI66" s="0"/>
      <c r="WNJ66" s="0"/>
      <c r="WNK66" s="0"/>
      <c r="WNL66" s="0"/>
      <c r="WNM66" s="0"/>
      <c r="WNN66" s="0"/>
      <c r="WNO66" s="0"/>
      <c r="WNP66" s="0"/>
      <c r="WNQ66" s="0"/>
      <c r="WNR66" s="0"/>
      <c r="WNS66" s="0"/>
      <c r="WNT66" s="0"/>
      <c r="WNU66" s="0"/>
      <c r="WNV66" s="0"/>
      <c r="WNW66" s="0"/>
      <c r="WNX66" s="0"/>
      <c r="WNY66" s="0"/>
      <c r="WNZ66" s="0"/>
      <c r="WOA66" s="0"/>
      <c r="WOB66" s="0"/>
      <c r="WOC66" s="0"/>
      <c r="WOD66" s="0"/>
      <c r="WOE66" s="0"/>
      <c r="WOF66" s="0"/>
      <c r="WOG66" s="0"/>
      <c r="WOH66" s="0"/>
      <c r="WOI66" s="0"/>
      <c r="WOJ66" s="0"/>
      <c r="WOK66" s="0"/>
      <c r="WOL66" s="0"/>
      <c r="WOM66" s="0"/>
      <c r="WON66" s="0"/>
      <c r="WOO66" s="0"/>
      <c r="WOP66" s="0"/>
      <c r="WOQ66" s="0"/>
      <c r="WOR66" s="0"/>
      <c r="WOS66" s="0"/>
      <c r="WOT66" s="0"/>
      <c r="WOU66" s="0"/>
      <c r="WOV66" s="0"/>
      <c r="WOW66" s="0"/>
      <c r="WOX66" s="0"/>
      <c r="WOY66" s="0"/>
      <c r="WOZ66" s="0"/>
      <c r="WPA66" s="0"/>
      <c r="WPB66" s="0"/>
      <c r="WPC66" s="0"/>
      <c r="WPD66" s="0"/>
      <c r="WPE66" s="0"/>
      <c r="WPF66" s="0"/>
      <c r="WPG66" s="0"/>
      <c r="WPH66" s="0"/>
      <c r="WPI66" s="0"/>
      <c r="WPJ66" s="0"/>
      <c r="WPK66" s="0"/>
      <c r="WPL66" s="0"/>
      <c r="WPM66" s="0"/>
      <c r="WPN66" s="0"/>
      <c r="WPO66" s="0"/>
      <c r="WPP66" s="0"/>
      <c r="WPQ66" s="0"/>
      <c r="WPR66" s="0"/>
      <c r="WPS66" s="0"/>
      <c r="WPT66" s="0"/>
      <c r="WPU66" s="0"/>
      <c r="WPV66" s="0"/>
      <c r="WPW66" s="0"/>
      <c r="WPX66" s="0"/>
      <c r="WPY66" s="0"/>
      <c r="WPZ66" s="0"/>
      <c r="WQA66" s="0"/>
      <c r="WQB66" s="0"/>
      <c r="WQC66" s="0"/>
      <c r="WQD66" s="0"/>
      <c r="WQE66" s="0"/>
      <c r="WQF66" s="0"/>
      <c r="WQG66" s="0"/>
      <c r="WQH66" s="0"/>
      <c r="WQI66" s="0"/>
      <c r="WQJ66" s="0"/>
      <c r="WQK66" s="0"/>
      <c r="WQL66" s="0"/>
      <c r="WQM66" s="0"/>
      <c r="WQN66" s="0"/>
      <c r="WQO66" s="0"/>
      <c r="WQP66" s="0"/>
      <c r="WQQ66" s="0"/>
      <c r="WQR66" s="0"/>
      <c r="WQS66" s="0"/>
      <c r="WQT66" s="0"/>
      <c r="WQU66" s="0"/>
      <c r="WQV66" s="0"/>
      <c r="WQW66" s="0"/>
      <c r="WQX66" s="0"/>
      <c r="WQY66" s="0"/>
      <c r="WQZ66" s="0"/>
      <c r="WRA66" s="0"/>
      <c r="WRB66" s="0"/>
      <c r="WRC66" s="0"/>
      <c r="WRD66" s="0"/>
      <c r="WRE66" s="0"/>
      <c r="WRF66" s="0"/>
      <c r="WRG66" s="0"/>
      <c r="WRH66" s="0"/>
      <c r="WRI66" s="0"/>
      <c r="WRJ66" s="0"/>
      <c r="WRK66" s="0"/>
      <c r="WRL66" s="0"/>
      <c r="WRM66" s="0"/>
      <c r="WRN66" s="0"/>
      <c r="WRO66" s="0"/>
      <c r="WRP66" s="0"/>
      <c r="WRQ66" s="0"/>
      <c r="WRR66" s="0"/>
      <c r="WRS66" s="0"/>
      <c r="WRT66" s="0"/>
      <c r="WRU66" s="0"/>
      <c r="WRV66" s="0"/>
      <c r="WRW66" s="0"/>
      <c r="WRX66" s="0"/>
      <c r="WRY66" s="0"/>
      <c r="WRZ66" s="0"/>
      <c r="WSA66" s="0"/>
      <c r="WSB66" s="0"/>
      <c r="WSC66" s="0"/>
      <c r="WSD66" s="0"/>
      <c r="WSE66" s="0"/>
      <c r="WSF66" s="0"/>
      <c r="WSG66" s="0"/>
      <c r="WSH66" s="0"/>
      <c r="WSI66" s="0"/>
      <c r="WSJ66" s="0"/>
      <c r="WSK66" s="0"/>
      <c r="WSL66" s="0"/>
      <c r="WSM66" s="0"/>
      <c r="WSN66" s="0"/>
      <c r="WSO66" s="0"/>
      <c r="WSP66" s="0"/>
      <c r="WSQ66" s="0"/>
      <c r="WSR66" s="0"/>
      <c r="WSS66" s="0"/>
      <c r="WST66" s="0"/>
      <c r="WSU66" s="0"/>
      <c r="WSV66" s="0"/>
      <c r="WSW66" s="0"/>
      <c r="WSX66" s="0"/>
      <c r="WSY66" s="0"/>
      <c r="WSZ66" s="0"/>
      <c r="WTA66" s="0"/>
      <c r="WTB66" s="0"/>
      <c r="WTC66" s="0"/>
      <c r="WTD66" s="0"/>
      <c r="WTE66" s="0"/>
      <c r="WTF66" s="0"/>
      <c r="WTG66" s="0"/>
      <c r="WTH66" s="0"/>
      <c r="WTI66" s="0"/>
      <c r="WTJ66" s="0"/>
      <c r="WTK66" s="0"/>
      <c r="WTL66" s="0"/>
      <c r="WTM66" s="0"/>
      <c r="WTN66" s="0"/>
      <c r="WTO66" s="0"/>
      <c r="WTP66" s="0"/>
      <c r="WTQ66" s="0"/>
      <c r="WTR66" s="0"/>
      <c r="WTS66" s="0"/>
      <c r="WTT66" s="0"/>
      <c r="WTU66" s="0"/>
      <c r="WTV66" s="0"/>
      <c r="WTW66" s="0"/>
      <c r="WTX66" s="0"/>
      <c r="WTY66" s="0"/>
      <c r="WTZ66" s="0"/>
      <c r="WUA66" s="0"/>
      <c r="WUB66" s="0"/>
      <c r="WUC66" s="0"/>
      <c r="WUD66" s="0"/>
      <c r="WUE66" s="0"/>
      <c r="WUF66" s="0"/>
      <c r="WUG66" s="0"/>
      <c r="WUH66" s="0"/>
      <c r="WUI66" s="0"/>
      <c r="WUJ66" s="0"/>
      <c r="WUK66" s="0"/>
      <c r="WUL66" s="0"/>
      <c r="WUM66" s="0"/>
      <c r="WUN66" s="0"/>
      <c r="WUO66" s="0"/>
      <c r="WUP66" s="0"/>
      <c r="WUQ66" s="0"/>
      <c r="WUR66" s="0"/>
      <c r="WUS66" s="0"/>
      <c r="WUT66" s="0"/>
      <c r="WUU66" s="0"/>
      <c r="WUV66" s="0"/>
      <c r="WUW66" s="0"/>
      <c r="WUX66" s="0"/>
      <c r="WUY66" s="0"/>
      <c r="WUZ66" s="0"/>
      <c r="WVA66" s="0"/>
      <c r="WVB66" s="0"/>
      <c r="WVC66" s="0"/>
      <c r="WVD66" s="0"/>
      <c r="WVE66" s="0"/>
      <c r="WVF66" s="0"/>
      <c r="WVG66" s="0"/>
      <c r="WVH66" s="0"/>
      <c r="WVI66" s="0"/>
      <c r="WVJ66" s="0"/>
      <c r="WVK66" s="0"/>
      <c r="WVL66" s="0"/>
      <c r="WVM66" s="0"/>
      <c r="WVN66" s="0"/>
      <c r="WVO66" s="0"/>
      <c r="WVP66" s="0"/>
      <c r="WVQ66" s="0"/>
      <c r="WVR66" s="0"/>
      <c r="WVS66" s="0"/>
      <c r="WVT66" s="0"/>
      <c r="WVU66" s="0"/>
      <c r="WVV66" s="0"/>
      <c r="WVW66" s="0"/>
      <c r="WVX66" s="0"/>
      <c r="WVY66" s="0"/>
      <c r="WVZ66" s="0"/>
      <c r="WWA66" s="0"/>
      <c r="WWB66" s="0"/>
      <c r="WWC66" s="0"/>
      <c r="WWD66" s="0"/>
      <c r="WWE66" s="0"/>
      <c r="WWF66" s="0"/>
      <c r="WWG66" s="0"/>
      <c r="WWH66" s="0"/>
      <c r="WWI66" s="0"/>
      <c r="WWJ66" s="0"/>
      <c r="WWK66" s="0"/>
      <c r="WWL66" s="0"/>
      <c r="WWM66" s="0"/>
      <c r="WWN66" s="0"/>
      <c r="WWO66" s="0"/>
      <c r="WWP66" s="0"/>
      <c r="WWQ66" s="0"/>
      <c r="WWR66" s="0"/>
      <c r="WWS66" s="0"/>
      <c r="WWT66" s="0"/>
      <c r="WWU66" s="0"/>
      <c r="WWV66" s="0"/>
      <c r="WWW66" s="0"/>
      <c r="WWX66" s="0"/>
      <c r="WWY66" s="0"/>
      <c r="WWZ66" s="0"/>
      <c r="WXA66" s="0"/>
      <c r="WXB66" s="0"/>
      <c r="WXC66" s="0"/>
      <c r="WXD66" s="0"/>
      <c r="WXE66" s="0"/>
      <c r="WXF66" s="0"/>
      <c r="WXG66" s="0"/>
      <c r="WXH66" s="0"/>
      <c r="WXI66" s="0"/>
      <c r="WXJ66" s="0"/>
      <c r="WXK66" s="0"/>
      <c r="WXL66" s="0"/>
      <c r="WXM66" s="0"/>
      <c r="WXN66" s="0"/>
      <c r="WXO66" s="0"/>
      <c r="WXP66" s="0"/>
      <c r="WXQ66" s="0"/>
      <c r="WXR66" s="0"/>
      <c r="WXS66" s="0"/>
      <c r="WXT66" s="0"/>
      <c r="WXU66" s="0"/>
      <c r="WXV66" s="0"/>
      <c r="WXW66" s="0"/>
      <c r="WXX66" s="0"/>
      <c r="WXY66" s="0"/>
      <c r="WXZ66" s="0"/>
      <c r="WYA66" s="0"/>
      <c r="WYB66" s="0"/>
      <c r="WYC66" s="0"/>
      <c r="WYD66" s="0"/>
      <c r="WYE66" s="0"/>
      <c r="WYF66" s="0"/>
      <c r="WYG66" s="0"/>
      <c r="WYH66" s="0"/>
      <c r="WYI66" s="0"/>
      <c r="WYJ66" s="0"/>
      <c r="WYK66" s="0"/>
      <c r="WYL66" s="0"/>
      <c r="WYM66" s="0"/>
      <c r="WYN66" s="0"/>
      <c r="WYO66" s="0"/>
      <c r="WYP66" s="0"/>
      <c r="WYQ66" s="0"/>
      <c r="WYR66" s="0"/>
      <c r="WYS66" s="0"/>
      <c r="WYT66" s="0"/>
      <c r="WYU66" s="0"/>
      <c r="WYV66" s="0"/>
      <c r="WYW66" s="0"/>
      <c r="WYX66" s="0"/>
      <c r="WYY66" s="0"/>
      <c r="WYZ66" s="0"/>
      <c r="WZA66" s="0"/>
      <c r="WZB66" s="0"/>
      <c r="WZC66" s="0"/>
      <c r="WZD66" s="0"/>
      <c r="WZE66" s="0"/>
      <c r="WZF66" s="0"/>
      <c r="WZG66" s="0"/>
      <c r="WZH66" s="0"/>
      <c r="WZI66" s="0"/>
      <c r="WZJ66" s="0"/>
      <c r="WZK66" s="0"/>
      <c r="WZL66" s="0"/>
      <c r="WZM66" s="0"/>
      <c r="WZN66" s="0"/>
      <c r="WZO66" s="0"/>
      <c r="WZP66" s="0"/>
      <c r="WZQ66" s="0"/>
      <c r="WZR66" s="0"/>
      <c r="WZS66" s="0"/>
      <c r="WZT66" s="0"/>
      <c r="WZU66" s="0"/>
      <c r="WZV66" s="0"/>
      <c r="WZW66" s="0"/>
      <c r="WZX66" s="0"/>
      <c r="WZY66" s="0"/>
      <c r="WZZ66" s="0"/>
      <c r="XAA66" s="0"/>
      <c r="XAB66" s="0"/>
      <c r="XAC66" s="0"/>
      <c r="XAD66" s="0"/>
      <c r="XAE66" s="0"/>
      <c r="XAF66" s="0"/>
      <c r="XAG66" s="0"/>
      <c r="XAH66" s="0"/>
      <c r="XAI66" s="0"/>
      <c r="XAJ66" s="0"/>
      <c r="XAK66" s="0"/>
      <c r="XAL66" s="0"/>
      <c r="XAM66" s="0"/>
      <c r="XAN66" s="0"/>
      <c r="XAO66" s="0"/>
      <c r="XAP66" s="0"/>
      <c r="XAQ66" s="0"/>
      <c r="XAR66" s="0"/>
      <c r="XAS66" s="0"/>
      <c r="XAT66" s="0"/>
      <c r="XAU66" s="0"/>
      <c r="XAV66" s="0"/>
      <c r="XAW66" s="0"/>
      <c r="XAX66" s="0"/>
      <c r="XAY66" s="0"/>
      <c r="XAZ66" s="0"/>
      <c r="XBA66" s="0"/>
      <c r="XBB66" s="0"/>
      <c r="XBC66" s="0"/>
      <c r="XBD66" s="0"/>
      <c r="XBE66" s="0"/>
      <c r="XBF66" s="0"/>
      <c r="XBG66" s="0"/>
      <c r="XBH66" s="0"/>
      <c r="XBI66" s="0"/>
      <c r="XBJ66" s="0"/>
      <c r="XBK66" s="0"/>
      <c r="XBL66" s="0"/>
      <c r="XBM66" s="0"/>
      <c r="XBN66" s="0"/>
      <c r="XBO66" s="0"/>
      <c r="XBP66" s="0"/>
      <c r="XBQ66" s="0"/>
      <c r="XBR66" s="0"/>
      <c r="XBS66" s="0"/>
      <c r="XBT66" s="0"/>
      <c r="XBU66" s="0"/>
      <c r="XBV66" s="0"/>
      <c r="XBW66" s="0"/>
      <c r="XBX66" s="0"/>
      <c r="XBY66" s="0"/>
      <c r="XBZ66" s="0"/>
      <c r="XCA66" s="0"/>
      <c r="XCB66" s="0"/>
      <c r="XCC66" s="0"/>
      <c r="XCD66" s="0"/>
      <c r="XCE66" s="0"/>
      <c r="XCF66" s="0"/>
      <c r="XCG66" s="0"/>
      <c r="XCH66" s="0"/>
      <c r="XCI66" s="0"/>
      <c r="XCJ66" s="0"/>
      <c r="XCK66" s="0"/>
      <c r="XCL66" s="0"/>
      <c r="XCM66" s="0"/>
      <c r="XCN66" s="0"/>
      <c r="XCO66" s="0"/>
      <c r="XCP66" s="0"/>
      <c r="XCQ66" s="0"/>
      <c r="XCR66" s="0"/>
      <c r="XCS66" s="0"/>
      <c r="XCT66" s="0"/>
      <c r="XCU66" s="0"/>
      <c r="XCV66" s="0"/>
      <c r="XCW66" s="0"/>
      <c r="XCX66" s="0"/>
      <c r="XCY66" s="0"/>
      <c r="XCZ66" s="0"/>
      <c r="XDA66" s="0"/>
      <c r="XDB66" s="0"/>
      <c r="XDC66" s="0"/>
      <c r="XDD66" s="0"/>
      <c r="XDE66" s="0"/>
      <c r="XDF66" s="0"/>
      <c r="XDG66" s="0"/>
      <c r="XDH66" s="0"/>
      <c r="XDI66" s="0"/>
      <c r="XDJ66" s="0"/>
      <c r="XDK66" s="0"/>
      <c r="XDL66" s="0"/>
      <c r="XDM66" s="0"/>
      <c r="XDN66" s="0"/>
      <c r="XDO66" s="0"/>
      <c r="XDP66" s="0"/>
      <c r="XDQ66" s="0"/>
      <c r="XDR66" s="0"/>
      <c r="XDS66" s="0"/>
      <c r="XDT66" s="0"/>
      <c r="XDU66" s="0"/>
      <c r="XDV66" s="0"/>
      <c r="XDW66" s="0"/>
      <c r="XDX66" s="0"/>
      <c r="XDY66" s="0"/>
      <c r="XDZ66" s="0"/>
      <c r="XEA66" s="0"/>
      <c r="XEB66" s="0"/>
      <c r="XEC66" s="0"/>
      <c r="XED66" s="0"/>
      <c r="XEE66" s="0"/>
      <c r="XEF66" s="0"/>
      <c r="XEG66" s="0"/>
      <c r="XEH66" s="0"/>
      <c r="XEI66" s="0"/>
      <c r="XEJ66" s="0"/>
      <c r="XEK66" s="0"/>
      <c r="XEL66" s="0"/>
      <c r="XEM66" s="0"/>
      <c r="XEN66" s="0"/>
      <c r="XEO66" s="0"/>
      <c r="XEP66" s="0"/>
      <c r="XEQ66" s="0"/>
      <c r="XER66" s="0"/>
      <c r="XES66" s="0"/>
      <c r="XET66" s="0"/>
      <c r="XEU66" s="0"/>
      <c r="XEV66" s="0"/>
      <c r="XEW66" s="0"/>
      <c r="XEX66" s="0"/>
      <c r="XEY66" s="0"/>
      <c r="XEZ66" s="0"/>
      <c r="XFA66" s="0"/>
      <c r="XFB66" s="0"/>
      <c r="XFC66" s="0"/>
      <c r="XFD66" s="0"/>
    </row>
    <row r="67" customFormat="false" ht="13.8" hidden="false" customHeight="false" outlineLevel="0" collapsed="false">
      <c r="A67" s="1" t="s">
        <v>436</v>
      </c>
      <c r="B67" s="1" t="s">
        <v>437</v>
      </c>
      <c r="C67" s="1" t="n">
        <v>490</v>
      </c>
      <c r="E67" s="1" t="n">
        <v>520</v>
      </c>
      <c r="F67" s="1" t="s">
        <v>89</v>
      </c>
      <c r="G67" s="1" t="s">
        <v>90</v>
      </c>
      <c r="H67" s="1" t="s">
        <v>256</v>
      </c>
      <c r="I67" s="1" t="s">
        <v>92</v>
      </c>
      <c r="J67" s="1" t="n">
        <v>2022</v>
      </c>
      <c r="M67" s="1" t="n">
        <v>5</v>
      </c>
      <c r="N67" s="1" t="n">
        <v>4800</v>
      </c>
      <c r="O67" s="2" t="n">
        <v>3950</v>
      </c>
      <c r="W67" s="1" t="n">
        <v>235</v>
      </c>
      <c r="Y67" s="1" t="n">
        <v>5</v>
      </c>
      <c r="Z67" s="1" t="n">
        <v>195</v>
      </c>
      <c r="AA67" s="4" t="n">
        <f aca="false">IF(AND(W67&gt;0,Z67&gt;0),(Z67/((W67+X67)*10)),"")</f>
        <v>0.0829787234042553</v>
      </c>
      <c r="AB67" s="1" t="n">
        <v>125</v>
      </c>
      <c r="AC67" s="1" t="n">
        <f aca="false">ROUND(AB67*1.6, 0)</f>
        <v>200</v>
      </c>
      <c r="AF67" s="1" t="n">
        <v>24</v>
      </c>
      <c r="AG67" s="1" t="n">
        <v>22</v>
      </c>
      <c r="AJ67" s="5" t="n">
        <v>60</v>
      </c>
      <c r="AK67" s="0" t="str">
        <f aca="false">CONCATENATE(VLOOKUP(AL67, 'Voxel Sizes'!$A$2:$B$18,2,FALSE()),"x",INT(AH67*15), "x", INT(AI67*15))</f>
        <v>214x0x0</v>
      </c>
      <c r="AL67" s="1" t="n">
        <f aca="false">ROUND(15*((AG67*10)/256),0)</f>
        <v>13</v>
      </c>
      <c r="AN67" s="1" t="str">
        <f aca="false">CONCATENATE(VLOOKUP(AL67,Constants!$A$2:$C$16,IF(AM67&lt;&gt;"", 3, 2), FALSE()),IF(AM67&lt;&gt;"",CONCATENATE(",",VLOOKUP(AM67,$B:$AN,38,FALSE())),""))</f>
        <v>4,5,4</v>
      </c>
      <c r="AO67" s="1" t="n">
        <v>12</v>
      </c>
      <c r="AR67" s="1" t="s">
        <v>438</v>
      </c>
      <c r="AS67" s="1" t="s">
        <v>439</v>
      </c>
      <c r="AT67" s="1" t="s">
        <v>413</v>
      </c>
      <c r="AX67" s="1" t="n">
        <v>30</v>
      </c>
      <c r="AY67" s="6" t="str">
        <f aca="false">IF(L67&lt;&gt;"",MAX(16,(L67-J67)+8),"")</f>
        <v/>
      </c>
      <c r="AZ67" s="1" t="n">
        <v>-15</v>
      </c>
      <c r="BA67" s="1" t="n">
        <v>-30</v>
      </c>
      <c r="BB67" s="1" t="n">
        <f aca="false">MIN(AB67/150, 1)*30</f>
        <v>25</v>
      </c>
      <c r="BC67" s="1" t="n">
        <f aca="false">MIN(N67/4000, 1)*20</f>
        <v>20</v>
      </c>
      <c r="BD67" s="1" t="n">
        <f aca="false">MIN(Z67/400,1)*20</f>
        <v>9.75</v>
      </c>
      <c r="BE67" s="4" t="n">
        <f aca="false">1-(MAX(J67-1900, 0)/750)</f>
        <v>0.837333333333333</v>
      </c>
      <c r="BF67" s="1" t="n">
        <f aca="false">((MAX($M67,1)*MIN($AJ67/300,1)))*IF(G67="Wagon",50,10)</f>
        <v>10</v>
      </c>
      <c r="BG67" s="1" t="n">
        <f aca="false">VLOOKUP($H67,Constants!$I:$K, 2, FALSE())</f>
        <v>0.9</v>
      </c>
      <c r="BH67" s="1" t="n">
        <f aca="false">VLOOKUP($H67,Constants!$I:$K, 3, FALSE())*IF(AND(G67="multiple_unit",AB67&lt;110),0.75,1)</f>
        <v>2.5</v>
      </c>
      <c r="BI67" s="1" t="n">
        <f aca="false">INT(POWER(((Constants!$G$2+$BB67+$BC67+$BD67+$BF67)*$BE67)*$BH67, 1.05))+$BA67</f>
        <v>157</v>
      </c>
      <c r="BJ67" s="1" t="n">
        <f aca="false">INT(POWER((((Constants!$G$1+$BB67+$BC67+$BD67+$BF67)*($BE67))*$BG67),IF($G67="wagon",1,1.2)))+$AZ67</f>
        <v>121</v>
      </c>
      <c r="BK67" s="19" t="n">
        <f aca="false">BI67*IF($G67="wagon",62.5,781.25)</f>
        <v>122656.25</v>
      </c>
      <c r="BL67" s="19" t="n">
        <f aca="false">BJ67*IF($G67="wagon",2.73,81.25)</f>
        <v>9831.25</v>
      </c>
      <c r="BS67" s="1" t="s">
        <v>396</v>
      </c>
      <c r="BT67" s="1" t="n">
        <v>10</v>
      </c>
      <c r="BU67" s="1" t="n">
        <v>222</v>
      </c>
      <c r="BX67" s="1" t="s">
        <v>95</v>
      </c>
      <c r="BY67" s="1" t="s">
        <v>415</v>
      </c>
      <c r="BZ67" s="18" t="s">
        <v>228</v>
      </c>
      <c r="CA67" s="1" t="str">
        <f aca="false">CONCATENATE(BY67,"_",BZ67)</f>
        <v>mod_EMU (Express)</v>
      </c>
      <c r="CB67" s="1" t="str">
        <f aca="false">_xlfn.CONCAT(H67, "_",I67)</f>
        <v>dual_power_ELRL</v>
      </c>
      <c r="CC67" s="20" t="str">
        <f aca="false">_xlfn.CONCAT("{BLACK}Length: {GOLD}", TEXT(ROUNDUP(IF(AQ67&lt;&gt;"",SUM(VALUE(_xlfn.TEXTSPLIT(AQ67, ","))), SUM(VALUE(_xlfn.TEXTSPLIT(AN67, ",")))*IF(M67, M67, 1))/16, 1), "#,##0.0"), " tiles{}")</f>
        <v>{BLACK}Length: {GOLD}4.1 tiles{}</v>
      </c>
      <c r="CD67" s="1" t="str">
        <f aca="false">VLOOKUP($CB67, Constants!$M:$N, 2, FALSE())</f>
        <v>{BLACK}Powered by: {GOLD}25kV AC / Diesel</v>
      </c>
      <c r="CE67" s="1" t="str">
        <f aca="false">IF(M67&gt;1,_xlfn.CONCAT("{BLACK}Cars: {GOLD}", M67),"")</f>
        <v>{BLACK}Cars: {GOLD}5</v>
      </c>
      <c r="CF67" s="1" t="s">
        <v>440</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{YELLOW}20% bonus for long distance travel{}</v>
      </c>
      <c r="CH67" s="1" t="str">
        <f aca="false">_xlfn.CONCAT(CD67,IF(CD67 &lt;&gt; "", " ", ""),CE67,IF(OR(CE67&lt;&gt;"", CD67&lt;&gt;""), "{}",""), CC67, CG67,"{SILVER}", CF67)</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67" s="1"/>
      <c r="CJ67" s="1"/>
    </row>
    <row r="68" customFormat="false" ht="13.8" hidden="false" customHeight="false" outlineLevel="0" collapsed="false">
      <c r="A68" s="1" t="s">
        <v>441</v>
      </c>
      <c r="B68" s="1" t="s">
        <v>442</v>
      </c>
      <c r="C68" s="1" t="n">
        <v>20</v>
      </c>
      <c r="E68" s="1" t="n">
        <v>1020</v>
      </c>
      <c r="F68" s="1" t="s">
        <v>89</v>
      </c>
      <c r="G68" s="1" t="s">
        <v>443</v>
      </c>
      <c r="H68" s="1" t="s">
        <v>443</v>
      </c>
      <c r="I68" s="1" t="s">
        <v>153</v>
      </c>
      <c r="J68" s="1" t="n">
        <v>1907</v>
      </c>
      <c r="K68" s="1" t="n">
        <v>1950</v>
      </c>
      <c r="L68" s="1" t="n">
        <v>1961</v>
      </c>
      <c r="W68" s="1" t="n">
        <v>6.4</v>
      </c>
      <c r="Y68" s="1" t="n">
        <v>3</v>
      </c>
      <c r="AA68" s="4" t="str">
        <f aca="false">IF(AND(W68&gt;0,Z68&gt;0),(Z68/((W68+X68)*10)),"")</f>
        <v/>
      </c>
      <c r="AB68" s="1" t="n">
        <v>50</v>
      </c>
      <c r="AC68" s="1" t="n">
        <f aca="false">ROUND(AB68*1.6, 0)</f>
        <v>80</v>
      </c>
      <c r="AF68" s="1" t="n">
        <v>6</v>
      </c>
      <c r="AG68" s="1" t="n">
        <v>8</v>
      </c>
      <c r="AH68" s="1" t="n">
        <v>2.5</v>
      </c>
      <c r="AI68" s="1" t="n">
        <v>3.35</v>
      </c>
      <c r="AJ68" s="5" t="n">
        <v>13</v>
      </c>
      <c r="AK68" s="0" t="str">
        <f aca="false">CONCATENATE(VLOOKUP(AL68, 'Voxel Sizes'!$A$2:$B$18,2,FALSE()),"x",INT(AH68*15), "x", INT(AI68*15))</f>
        <v>82x37x50</v>
      </c>
      <c r="AL68" s="1" t="n">
        <f aca="false">ROUND(15*((AG68*10)/256),0)</f>
        <v>5</v>
      </c>
      <c r="AN68" s="1" t="str">
        <f aca="false">CONCATENATE(VLOOKUP(AL68,Constants!$A$2:$C$16,IF(AM68&lt;&gt;"", 3, 2), FALSE()),IF(AM68&lt;&gt;"",CONCATENATE(",",VLOOKUP(AM68,$B:$AN,38,FALSE())),""))</f>
        <v>2,1,2</v>
      </c>
      <c r="AX68" s="1" t="n">
        <v>30</v>
      </c>
      <c r="AY68" s="6" t="n">
        <f aca="false">IF(L68&lt;&gt;"",MAX(16,(L68-J68)+8),"")</f>
        <v>62</v>
      </c>
      <c r="AZ68" s="1" t="n">
        <v>5</v>
      </c>
      <c r="BA68" s="1" t="n">
        <v>0</v>
      </c>
      <c r="BB68" s="1" t="n">
        <f aca="false">MIN(AB68/150, 1)*30</f>
        <v>10</v>
      </c>
      <c r="BC68" s="1" t="n">
        <f aca="false">MIN(N68/4000, 1)*20</f>
        <v>0</v>
      </c>
      <c r="BD68" s="1" t="n">
        <f aca="false">MIN(Z68/400,1)*20</f>
        <v>0</v>
      </c>
      <c r="BE68" s="4" t="n">
        <f aca="false">1-(MAX(J68-1900, 0)/750)</f>
        <v>0.990666666666667</v>
      </c>
      <c r="BF68" s="1" t="n">
        <f aca="false">((MAX($M68,1)*MIN($AJ68/300,1)))*IF(G68="Wagon",50,10)</f>
        <v>2.16666666666667</v>
      </c>
      <c r="BG68" s="1" t="n">
        <f aca="false">VLOOKUP($H68,Constants!$I:$K, 2, FALSE())</f>
        <v>1</v>
      </c>
      <c r="BH68" s="1" t="n">
        <f aca="false">VLOOKUP($H68,Constants!$I:$K, 3, FALSE())*IF(AND(G68="multiple_unit",AB68&lt;110),0.75,1)</f>
        <v>0.45</v>
      </c>
      <c r="BI68" s="1" t="n">
        <f aca="false">INT(POWER(((Constants!$G$2+$BB68+$BC68+$BD68+$BF68)*$BE68)*$BH68, 1.05))+$BA68</f>
        <v>8</v>
      </c>
      <c r="BJ68" s="1" t="n">
        <f aca="false">INT(POWER((((Constants!$G$1+$BB68+$BC68+$BD68+$BF68)*($BE68))*$BG68),IF($G68="wagon",1,1.2)))+$AZ68</f>
        <v>31</v>
      </c>
      <c r="BK68" s="19" t="n">
        <f aca="false">BI68*IF($G68="wagon",62.5,781.25)</f>
        <v>500</v>
      </c>
      <c r="BL68" s="19" t="n">
        <f aca="false">BJ68*IF($G68="wagon",2.73,81.25)</f>
        <v>84.63</v>
      </c>
      <c r="BT68" s="1" t="n">
        <v>1</v>
      </c>
      <c r="BU68" s="1" t="n">
        <v>185</v>
      </c>
      <c r="BV68" s="18" t="s">
        <v>444</v>
      </c>
      <c r="BW68" s="18"/>
      <c r="BX68" s="1" t="s">
        <v>445</v>
      </c>
      <c r="BY68" s="1" t="str">
        <f aca="false">VLOOKUP(J68,Eras!$A$2:$C$10, 2, TRUE())</f>
        <v>edw</v>
      </c>
      <c r="BZ68" s="18" t="s">
        <v>446</v>
      </c>
      <c r="CA68" s="1" t="str">
        <f aca="false">CONCATENATE(BY68,"_",BZ68)</f>
        <v>edw_Tanker</v>
      </c>
      <c r="CB68" s="1" t="str">
        <f aca="false">_xlfn.CONCAT(H68, "_",I68)</f>
        <v>wagon_RAIL</v>
      </c>
      <c r="CC68" s="20" t="str">
        <f aca="false">_xlfn.CONCAT("{BLACK}Length: {GOLD}", TEXT(ROUNDUP(IF(AQ68&lt;&gt;"",SUM(VALUE(_xlfn.TEXTSPLIT(AQ68, ","))), SUM(VALUE(_xlfn.TEXTSPLIT(AN68, ",")))*IF(M68, M68, 1))/16, 1), "#,##0.0"), " tiles{}")</f>
        <v>{BLACK}Length: {GOLD}0.4 tiles{}</v>
      </c>
      <c r="CD68" s="1" t="str">
        <f aca="false">VLOOKUP($CB68, Constants!$M:$N, 2, FALSE())</f>
        <v/>
      </c>
      <c r="CE68" s="1" t="str">
        <f aca="false">IF(M68&gt;1,_xlfn.CONCAT("{BLACK}Cars: {GOLD}", M68),"")</f>
        <v/>
      </c>
      <c r="CF68" s="1" t="s">
        <v>447</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{BLACK}Length: {GOLD}0.4 tiles{}{SILVER}The standard RCH Salt Wagon design of 1907 was long-lived in private ownership and saw some use beyond sodium chloride, which was largely used as part of the chemical industry.</v>
      </c>
      <c r="CI68" s="1"/>
      <c r="CJ68" s="1"/>
    </row>
    <row r="69" customFormat="false" ht="13.8" hidden="false" customHeight="false" outlineLevel="0" collapsed="false">
      <c r="A69" s="1" t="s">
        <v>448</v>
      </c>
      <c r="B69" s="1" t="s">
        <v>449</v>
      </c>
      <c r="C69" s="1" t="n">
        <v>25</v>
      </c>
      <c r="E69" s="1" t="n">
        <v>1025</v>
      </c>
      <c r="F69" s="1" t="s">
        <v>89</v>
      </c>
      <c r="G69" s="1" t="s">
        <v>443</v>
      </c>
      <c r="H69" s="1" t="s">
        <v>443</v>
      </c>
      <c r="I69" s="1" t="s">
        <v>153</v>
      </c>
      <c r="J69" s="1" t="n">
        <v>1955</v>
      </c>
      <c r="K69" s="1" t="n">
        <v>1980</v>
      </c>
      <c r="L69" s="1" t="n">
        <v>1987</v>
      </c>
      <c r="W69" s="1" t="n">
        <v>13.4</v>
      </c>
      <c r="Y69" s="1" t="n">
        <v>5</v>
      </c>
      <c r="AA69" s="4" t="str">
        <f aca="false">IF(AND(W69&gt;0,Z69&gt;0),(Z69/((W69+X69)*10)),"")</f>
        <v/>
      </c>
      <c r="AB69" s="1" t="n">
        <v>50</v>
      </c>
      <c r="AC69" s="1" t="n">
        <f aca="false">ROUND(AB69*1.6, 0)</f>
        <v>80</v>
      </c>
      <c r="AF69" s="1" t="n">
        <v>6</v>
      </c>
      <c r="AG69" s="1" t="n">
        <v>8</v>
      </c>
      <c r="AH69" s="1" t="n">
        <v>2.5</v>
      </c>
      <c r="AI69" s="1" t="n">
        <v>3.35</v>
      </c>
      <c r="AJ69" s="5" t="n">
        <v>20</v>
      </c>
      <c r="AK69" s="0" t="str">
        <f aca="false">CONCATENATE(VLOOKUP(AL69, 'Voxel Sizes'!$A$2:$B$18,2,FALSE()),"x",INT(AH69*15), "x", INT(AI69*15))</f>
        <v>82x37x50</v>
      </c>
      <c r="AL69" s="1" t="n">
        <f aca="false">ROUND(15*((AG69*10)/256),0)</f>
        <v>5</v>
      </c>
      <c r="AN69" s="1" t="str">
        <f aca="false">CONCATENATE(VLOOKUP(AL69,Constants!$A$2:$C$16,IF(AM69&lt;&gt;"", 3, 2), FALSE()),IF(AM69&lt;&gt;"",CONCATENATE(",",VLOOKUP(AM69,$B:$AN,38,FALSE())),""))</f>
        <v>2,1,2</v>
      </c>
      <c r="AX69" s="1" t="n">
        <v>30</v>
      </c>
      <c r="AY69" s="6" t="n">
        <f aca="false">IF(L69&lt;&gt;"",MAX(16,(L69-J69)+8),"")</f>
        <v>40</v>
      </c>
      <c r="AZ69" s="1" t="n">
        <v>5</v>
      </c>
      <c r="BB69" s="1" t="n">
        <f aca="false">MIN(AB69/150, 1)*30</f>
        <v>10</v>
      </c>
      <c r="BC69" s="1" t="n">
        <f aca="false">MIN(N69/4000, 1)*20</f>
        <v>0</v>
      </c>
      <c r="BD69" s="1" t="n">
        <f aca="false">MIN(Z69/400,1)*20</f>
        <v>0</v>
      </c>
      <c r="BE69" s="4" t="n">
        <f aca="false">1-(MAX(J69-1900, 0)/750)</f>
        <v>0.926666666666667</v>
      </c>
      <c r="BF69" s="1" t="n">
        <f aca="false">((MAX($M69,1)*MIN($AJ69/300,1)))*IF(G69="Wagon",50,10)</f>
        <v>3.33333333333333</v>
      </c>
      <c r="BG69" s="1" t="n">
        <f aca="false">VLOOKUP($H69,Constants!$I:$K, 2, FALSE())</f>
        <v>1</v>
      </c>
      <c r="BH69" s="1" t="n">
        <f aca="false">VLOOKUP($H69,Constants!$I:$K, 3, FALSE())*IF(AND(G69="multiple_unit",AB69&lt;110),0.75,1)</f>
        <v>0.45</v>
      </c>
      <c r="BI69" s="1" t="n">
        <f aca="false">INT(POWER(((Constants!$G$2+$BB69+$BC69+$BD69+$BF69)*$BE69)*$BH69, 1.05))+$BA69</f>
        <v>8</v>
      </c>
      <c r="BJ69" s="1" t="n">
        <f aca="false">INT(POWER((((Constants!$G$1+$BB69+$BC69+$BD69+$BF69)*($BE69))*$BG69),IF($G69="wagon",1,1.2)))+$AZ69</f>
        <v>31</v>
      </c>
      <c r="BK69" s="19" t="n">
        <f aca="false">BI69*IF($G69="wagon",62.5,781.25)</f>
        <v>500</v>
      </c>
      <c r="BL69" s="19" t="n">
        <f aca="false">BJ69*IF($G69="wagon",2.73,81.25)</f>
        <v>84.63</v>
      </c>
      <c r="BT69" s="1" t="n">
        <v>1</v>
      </c>
      <c r="BU69" s="1" t="n">
        <v>185</v>
      </c>
      <c r="BV69" s="1" t="s">
        <v>444</v>
      </c>
      <c r="BX69" s="1" t="s">
        <v>450</v>
      </c>
      <c r="BY69" s="1" t="str">
        <f aca="false">VLOOKUP(J69,Eras!$A$2:$C$10, 2, TRUE())</f>
        <v>dsl</v>
      </c>
      <c r="BZ69" s="18" t="s">
        <v>446</v>
      </c>
      <c r="CA69" s="1" t="str">
        <f aca="false">CONCATENATE(BY69,"_",BZ69)</f>
        <v>dsl_Tanker</v>
      </c>
      <c r="CB69" s="1" t="str">
        <f aca="false">_xlfn.CONCAT(H69, "_",I69)</f>
        <v>wagon_RAIL</v>
      </c>
      <c r="CC69" s="20" t="str">
        <f aca="false">_xlfn.CONCAT("{BLACK}Length: {GOLD}", TEXT(ROUNDUP(IF(AQ69&lt;&gt;"",SUM(VALUE(_xlfn.TEXTSPLIT(AQ69, ","))), SUM(VALUE(_xlfn.TEXTSPLIT(AN69, ",")))*IF(M69, M69, 1))/16, 1), "#,##0.0"), " tiles{}")</f>
        <v>{BLACK}Length: {GOLD}0.4 tiles{}</v>
      </c>
      <c r="CD69" s="1" t="str">
        <f aca="false">VLOOKUP($CB69, Constants!$M:$N, 2, FALSE())</f>
        <v/>
      </c>
      <c r="CE69" s="1" t="str">
        <f aca="false">IF(M69&gt;1,_xlfn.CONCAT("{BLACK}Cars: {GOLD}", M69),"")</f>
        <v/>
      </c>
      <c r="CF69" s="1" t="s">
        <v>451</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{BLACK}Length: {GOLD}0.4 tiles{}{SILVER}The Presflo covered hopper was designed specifically to carry cement powder, being unloaded via a pressurized air connection and liquefaction of the cargo.</v>
      </c>
      <c r="CI69" s="1" t="n">
        <v>1</v>
      </c>
      <c r="CJ69" s="1"/>
    </row>
    <row r="70" customFormat="false" ht="13.8" hidden="false" customHeight="false" outlineLevel="0" collapsed="false">
      <c r="A70" s="18" t="s">
        <v>452</v>
      </c>
      <c r="B70" s="18" t="s">
        <v>453</v>
      </c>
      <c r="C70" s="1" t="n">
        <v>26</v>
      </c>
      <c r="E70" s="1" t="n">
        <v>1026</v>
      </c>
      <c r="F70" s="1" t="s">
        <v>89</v>
      </c>
      <c r="G70" s="1" t="s">
        <v>443</v>
      </c>
      <c r="H70" s="1" t="s">
        <v>443</v>
      </c>
      <c r="I70" s="1" t="s">
        <v>153</v>
      </c>
      <c r="J70" s="1" t="n">
        <v>1968</v>
      </c>
      <c r="K70" s="1" t="n">
        <v>2012</v>
      </c>
      <c r="L70" s="1" t="n">
        <v>2022</v>
      </c>
      <c r="W70" s="1" t="n">
        <v>12.4</v>
      </c>
      <c r="Y70" s="1" t="n">
        <v>4</v>
      </c>
      <c r="AA70" s="4" t="str">
        <f aca="false">IF(AND(W70&gt;0,Z70&gt;0),(Z70/((W70+X70)*10)),"")</f>
        <v/>
      </c>
      <c r="AB70" s="1" t="n">
        <v>50</v>
      </c>
      <c r="AC70" s="1" t="n">
        <f aca="false">ROUND(AB70*1.6, 0)</f>
        <v>80</v>
      </c>
      <c r="AF70" s="1" t="n">
        <v>8</v>
      </c>
      <c r="AG70" s="1" t="n">
        <v>8</v>
      </c>
      <c r="AH70" s="1" t="n">
        <v>2.6</v>
      </c>
      <c r="AI70" s="1" t="n">
        <v>3.9</v>
      </c>
      <c r="AJ70" s="5" t="n">
        <v>33</v>
      </c>
      <c r="AK70" s="0" t="str">
        <f aca="false">CONCATENATE(VLOOKUP(AL70, 'Voxel Sizes'!$A$2:$B$18,2,FALSE()),"x",INT(AH70*15), "x", INT(AI70*15))</f>
        <v>82x39x58</v>
      </c>
      <c r="AL70" s="1" t="n">
        <f aca="false">ROUND(15*((AG70*10)/256),0)</f>
        <v>5</v>
      </c>
      <c r="AN70" s="1" t="str">
        <f aca="false">CONCATENATE(VLOOKUP(AL70,Constants!$A$2:$C$16,IF(AM70&lt;&gt;"", 3, 2), FALSE()),IF(AM70&lt;&gt;"",CONCATENATE(",",VLOOKUP(AM70,$B:$AN,38,FALSE())),""))</f>
        <v>2,1,2</v>
      </c>
      <c r="AX70" s="1" t="n">
        <v>30</v>
      </c>
      <c r="AY70" s="6" t="n">
        <f aca="false">IF(L70&lt;&gt;"",MAX(16,(L70-J70)+8),"")</f>
        <v>62</v>
      </c>
      <c r="AZ70" s="1" t="n">
        <v>5</v>
      </c>
      <c r="BB70" s="1" t="n">
        <f aca="false">MIN(AB70/150, 1)*30</f>
        <v>10</v>
      </c>
      <c r="BC70" s="1" t="n">
        <f aca="false">MIN(N70/4000, 1)*20</f>
        <v>0</v>
      </c>
      <c r="BD70" s="1" t="n">
        <f aca="false">MIN(Z70/400,1)*20</f>
        <v>0</v>
      </c>
      <c r="BE70" s="4" t="n">
        <f aca="false">1-(MAX(J70-1900, 0)/750)</f>
        <v>0.909333333333333</v>
      </c>
      <c r="BF70" s="1" t="n">
        <f aca="false">((MAX($M70,1)*MIN($AJ70/300,1)))*IF(G70="Wagon",50,10)</f>
        <v>5.5</v>
      </c>
      <c r="BG70" s="1" t="n">
        <f aca="false">VLOOKUP($H70,Constants!$I:$K, 2, FALSE())</f>
        <v>1</v>
      </c>
      <c r="BH70" s="1" t="n">
        <f aca="false">VLOOKUP($H70,Constants!$I:$K, 3, FALSE())*IF(AND(G70="multiple_unit",AB70&lt;110),0.75,1)</f>
        <v>0.45</v>
      </c>
      <c r="BI70" s="1" t="n">
        <f aca="false">INT(POWER(((Constants!$G$2+$BB70+$BC70+$BD70+$BF70)*$BE70)*$BH70, 1.05))+$BA70</f>
        <v>9</v>
      </c>
      <c r="BJ70" s="1" t="n">
        <f aca="false">INT(POWER((((Constants!$G$1+$BB70+$BC70+$BD70+$BF70)*($BE70))*$BG70),IF($G70="wagon",1,1.2)))+$AZ70</f>
        <v>32</v>
      </c>
      <c r="BK70" s="19" t="n">
        <f aca="false">BI70*IF($G70="wagon",62.5,781.25)</f>
        <v>562.5</v>
      </c>
      <c r="BL70" s="19" t="n">
        <f aca="false">BJ70*IF($G70="wagon",2.73,81.25)</f>
        <v>87.36</v>
      </c>
      <c r="BT70" s="1" t="n">
        <v>1</v>
      </c>
      <c r="BU70" s="1" t="n">
        <v>185</v>
      </c>
      <c r="BV70" s="1" t="s">
        <v>444</v>
      </c>
      <c r="BX70" s="1" t="s">
        <v>450</v>
      </c>
      <c r="BY70" s="1" t="str">
        <f aca="false">VLOOKUP(J70,Eras!$A$2:$C$10, 2, TRUE())</f>
        <v>dsl</v>
      </c>
      <c r="BZ70" s="18" t="s">
        <v>446</v>
      </c>
      <c r="CA70" s="1" t="str">
        <f aca="false">CONCATENATE(BY70,"_",BZ70)</f>
        <v>dsl_Tanker</v>
      </c>
      <c r="CB70" s="1" t="str">
        <f aca="false">_xlfn.CONCAT(H70, "_",I70)</f>
        <v>wagon_RAIL</v>
      </c>
      <c r="CC70" s="20" t="str">
        <f aca="false">_xlfn.CONCAT("{BLACK}Length: {GOLD}", TEXT(ROUNDUP(IF(AQ70&lt;&gt;"",SUM(VALUE(_xlfn.TEXTSPLIT(AQ70, ","))), SUM(VALUE(_xlfn.TEXTSPLIT(AN70, ",")))*IF(M70, M70, 1))/16, 1), "#,##0.0"), " tiles{}")</f>
        <v>{BLACK}Length: {GOLD}0.4 tiles{}</v>
      </c>
      <c r="CD70" s="1" t="str">
        <f aca="false">VLOOKUP($CB70, Constants!$M:$N, 2, FALSE())</f>
        <v/>
      </c>
      <c r="CE70" s="1" t="str">
        <f aca="false">IF(M70&gt;1,_xlfn.CONCAT("{BLACK}Cars: {GOLD}", M70),"")</f>
        <v/>
      </c>
      <c r="CF70" s="1" t="s">
        <v>454</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{BLACK}Length: {GOLD}0.4 tiles{}{SILVER}The PCA tanker, with it’s notable depressed-center ‘vee’ appearance, could carry large amounts of cement and was a common sight in mixed freight trains.</v>
      </c>
      <c r="CI70" s="1" t="n">
        <v>1</v>
      </c>
      <c r="CJ70" s="1"/>
    </row>
    <row r="71" customFormat="false" ht="13.8" hidden="false" customHeight="false" outlineLevel="0" collapsed="false">
      <c r="A71" s="18" t="s">
        <v>455</v>
      </c>
      <c r="B71" s="18" t="s">
        <v>456</v>
      </c>
      <c r="C71" s="1" t="n">
        <v>27</v>
      </c>
      <c r="E71" s="1" t="n">
        <v>1027</v>
      </c>
      <c r="F71" s="1" t="s">
        <v>89</v>
      </c>
      <c r="G71" s="1" t="s">
        <v>443</v>
      </c>
      <c r="H71" s="1" t="s">
        <v>443</v>
      </c>
      <c r="I71" s="1" t="s">
        <v>153</v>
      </c>
      <c r="J71" s="1" t="n">
        <v>2007</v>
      </c>
      <c r="W71" s="1" t="n">
        <v>19.9</v>
      </c>
      <c r="Y71" s="1" t="n">
        <v>5</v>
      </c>
      <c r="AA71" s="4" t="str">
        <f aca="false">IF(AND(W71&gt;0,Z71&gt;0),(Z71/((W71+X71)*10)),"")</f>
        <v/>
      </c>
      <c r="AB71" s="1" t="n">
        <v>75</v>
      </c>
      <c r="AC71" s="1" t="n">
        <f aca="false">ROUND(AB71*1.6, 0)</f>
        <v>120</v>
      </c>
      <c r="AF71" s="1" t="n">
        <v>16.2</v>
      </c>
      <c r="AG71" s="1" t="n">
        <v>17</v>
      </c>
      <c r="AH71" s="1" t="n">
        <v>2.7</v>
      </c>
      <c r="AI71" s="1" t="n">
        <v>3.8</v>
      </c>
      <c r="AJ71" s="5" t="n">
        <v>80</v>
      </c>
      <c r="AK71" s="0" t="str">
        <f aca="false">CONCATENATE(VLOOKUP(AL71, 'Voxel Sizes'!$A$2:$B$18,2,FALSE()),"x",INT(AH71*15), "x", INT(AI71*15))</f>
        <v>164x40x57</v>
      </c>
      <c r="AL71" s="1" t="n">
        <f aca="false">ROUND(15*((AG71*10)/256),0)</f>
        <v>10</v>
      </c>
      <c r="AN71" s="1" t="str">
        <f aca="false">CONCATENATE(VLOOKUP(AL71,Constants!$A$2:$C$16,IF(AM71&lt;&gt;"", 3, 2), FALSE()),IF(AM71&lt;&gt;"",CONCATENATE(",",VLOOKUP(AM71,$B:$AN,38,FALSE())),""))</f>
        <v>4,2,4</v>
      </c>
      <c r="AX71" s="1" t="n">
        <v>30</v>
      </c>
      <c r="AY71" s="6" t="str">
        <f aca="false">IF(L71&lt;&gt;"",MAX(16,(L71-J71)+8),"")</f>
        <v/>
      </c>
      <c r="BB71" s="1" t="n">
        <f aca="false">MIN(AB71/150, 1)*30</f>
        <v>15</v>
      </c>
      <c r="BC71" s="1" t="n">
        <f aca="false">MIN(N71/4000, 1)*20</f>
        <v>0</v>
      </c>
      <c r="BD71" s="1" t="n">
        <f aca="false">MIN(Z71/400,1)*20</f>
        <v>0</v>
      </c>
      <c r="BE71" s="4" t="n">
        <f aca="false">1-(MAX(J71-1900, 0)/750)</f>
        <v>0.857333333333333</v>
      </c>
      <c r="BF71" s="1" t="n">
        <f aca="false">((MAX($M71,1)*MIN($AJ71/300,1)))*IF(G71="Wagon",50,10)</f>
        <v>13.3333333333333</v>
      </c>
      <c r="BG71" s="1" t="n">
        <f aca="false">VLOOKUP($H71,Constants!$I:$K, 2, FALSE())</f>
        <v>1</v>
      </c>
      <c r="BH71" s="1" t="n">
        <f aca="false">VLOOKUP($H71,Constants!$I:$K, 3, FALSE())*IF(AND(G71="multiple_unit",AB71&lt;110),0.75,1)</f>
        <v>0.45</v>
      </c>
      <c r="BI71" s="1" t="n">
        <f aca="false">INT(POWER(((Constants!$G$2+$BB71+$BC71+$BD71+$BF71)*$BE71)*$BH71, 1.05))+$BA71</f>
        <v>14</v>
      </c>
      <c r="BJ71" s="1" t="n">
        <f aca="false">INT(POWER((((Constants!$G$1+$BB71+$BC71+$BD71+$BF71)*($BE71))*$BG71),IF($G71="wagon",1,1.2)))+$AZ71</f>
        <v>37</v>
      </c>
      <c r="BK71" s="19" t="n">
        <f aca="false">BI71*IF($G71="wagon",62.5,781.25)</f>
        <v>875</v>
      </c>
      <c r="BL71" s="19" t="n">
        <f aca="false">BJ71*IF($G71="wagon",2.73,81.25)</f>
        <v>101.01</v>
      </c>
      <c r="BT71" s="1" t="n">
        <v>1</v>
      </c>
      <c r="BU71" s="1" t="n">
        <v>185</v>
      </c>
      <c r="BV71" s="1" t="s">
        <v>457</v>
      </c>
      <c r="BX71" s="1" t="s">
        <v>450</v>
      </c>
      <c r="BY71" s="1" t="str">
        <f aca="false">VLOOKUP(J71,Eras!$A$2:$C$10, 2, TRUE())</f>
        <v>mod</v>
      </c>
      <c r="BZ71" s="18" t="s">
        <v>446</v>
      </c>
      <c r="CA71" s="1" t="str">
        <f aca="false">CONCATENATE(BY71,"_",BZ71)</f>
        <v>mod_Tanker</v>
      </c>
      <c r="CB71" s="1" t="str">
        <f aca="false">_xlfn.CONCAT(H71, "_",I71)</f>
        <v>wagon_RAIL</v>
      </c>
      <c r="CC71" s="20" t="str">
        <f aca="false">_xlfn.CONCAT("{BLACK}Length: {GOLD}", TEXT(ROUNDUP(IF(AQ71&lt;&gt;"",SUM(VALUE(_xlfn.TEXTSPLIT(AQ71, ","))), SUM(VALUE(_xlfn.TEXTSPLIT(AN71, ",")))*IF(M71, M71, 1))/16, 1), "#,##0.0"), " tiles{}")</f>
        <v>{BLACK}Length: {GOLD}0.7 tiles{}</v>
      </c>
      <c r="CD71" s="1" t="str">
        <f aca="false">VLOOKUP($CB71, Constants!$M:$N, 2, FALSE())</f>
        <v/>
      </c>
      <c r="CE71" s="1" t="str">
        <f aca="false">IF(M71&gt;1,_xlfn.CONCAT("{BLACK}Cars: {GOLD}", M71),"")</f>
        <v/>
      </c>
      <c r="CF71" s="1" t="s">
        <v>458</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{BLACK}Length: {GOLD}0.7 tiles{}{SILVER}By the 2000s the BR-era 2-axle cement tankers then in use were beginning to show their age. They were replaced by these large bogie tank wagons built in Germany, with a distinctive fish-belly shape.</v>
      </c>
      <c r="CI71" s="1"/>
      <c r="CJ71" s="1"/>
    </row>
    <row r="72" customFormat="false" ht="13.8" hidden="false" customHeight="false" outlineLevel="0" collapsed="false">
      <c r="A72" s="18" t="s">
        <v>459</v>
      </c>
      <c r="B72" s="18" t="s">
        <v>460</v>
      </c>
      <c r="C72" s="1" t="n">
        <v>96</v>
      </c>
      <c r="E72" s="1" t="n">
        <v>1090</v>
      </c>
      <c r="F72" s="1" t="s">
        <v>89</v>
      </c>
      <c r="G72" s="1" t="s">
        <v>443</v>
      </c>
      <c r="H72" s="1" t="s">
        <v>461</v>
      </c>
      <c r="I72" s="1" t="s">
        <v>153</v>
      </c>
      <c r="J72" s="1" t="n">
        <v>1924</v>
      </c>
      <c r="K72" s="1" t="n">
        <v>1955</v>
      </c>
      <c r="L72" s="1" t="n">
        <v>1961</v>
      </c>
      <c r="W72" s="1" t="n">
        <v>20</v>
      </c>
      <c r="Y72" s="1" t="n">
        <v>4</v>
      </c>
      <c r="AA72" s="4" t="str">
        <f aca="false">IF(AND(W72&gt;0,Z72&gt;0),(Z72/((W72+X72)*10)),"")</f>
        <v/>
      </c>
      <c r="AB72" s="1" t="n">
        <v>60</v>
      </c>
      <c r="AC72" s="1" t="n">
        <f aca="false">ROUND(AB72*1.6, 0)</f>
        <v>96</v>
      </c>
      <c r="AF72" s="1" t="n">
        <v>6.1</v>
      </c>
      <c r="AG72" s="1" t="n">
        <v>8</v>
      </c>
      <c r="AH72" s="1" t="n">
        <v>2.5</v>
      </c>
      <c r="AI72" s="1" t="n">
        <v>3.35</v>
      </c>
      <c r="AJ72" s="5" t="n">
        <v>0</v>
      </c>
      <c r="AK72" s="0" t="str">
        <f aca="false">CONCATENATE(VLOOKUP(AL72, 'Voxel Sizes'!$A$2:$B$18,2,FALSE()),"x",INT(AH72*15), "x", INT(AI72*15))</f>
        <v>82x37x50</v>
      </c>
      <c r="AL72" s="1" t="n">
        <f aca="false">ROUND(15*((AG72*10)/256),0)</f>
        <v>5</v>
      </c>
      <c r="AN72" s="1" t="str">
        <f aca="false">CONCATENATE(VLOOKUP(AL72,Constants!$A$2:$C$16,IF(AM72&lt;&gt;"", 3, 2), FALSE()),IF(AM72&lt;&gt;"",CONCATENATE(",",VLOOKUP(AM72,$B:$AN,38,FALSE())),""))</f>
        <v>2,1,2</v>
      </c>
      <c r="AX72" s="1" t="n">
        <v>50</v>
      </c>
      <c r="AY72" s="6" t="n">
        <f aca="false">IF(L72&lt;&gt;"",MAX(16,(L72-J72)+8),"")</f>
        <v>45</v>
      </c>
      <c r="AZ72" s="1" t="n">
        <v>12</v>
      </c>
      <c r="BA72" s="1" t="n">
        <v>6</v>
      </c>
      <c r="BB72" s="1" t="n">
        <f aca="false">MIN(AB72/150, 1)*30</f>
        <v>12</v>
      </c>
      <c r="BC72" s="1" t="n">
        <f aca="false">MIN(N72/4000, 1)*20</f>
        <v>0</v>
      </c>
      <c r="BD72" s="1" t="n">
        <f aca="false">MIN(Z72/400,1)*20</f>
        <v>0</v>
      </c>
      <c r="BE72" s="4" t="n">
        <f aca="false">1-(MAX(J72-1900, 0)/750)</f>
        <v>0.968</v>
      </c>
      <c r="BF72" s="1" t="n">
        <f aca="false">((MAX($M72,1)*MIN($AJ72/300,1)))*IF(G72="Wagon",50,10)</f>
        <v>0</v>
      </c>
      <c r="BG72" s="1" t="n">
        <f aca="false">VLOOKUP($H72,Constants!$I:$K, 2, FALSE())</f>
        <v>1</v>
      </c>
      <c r="BH72" s="1" t="n">
        <f aca="false">VLOOKUP($H72,Constants!$I:$K, 3, FALSE())*IF(AND(G72="multiple_unit",AB72&lt;110),0.75,1)</f>
        <v>0.4</v>
      </c>
      <c r="BI72" s="1" t="n">
        <f aca="false">INT(POWER(((Constants!$G$2+$BB72+$BC72+$BD72+$BF72)*$BE72)*$BH72, 1.05))+$BA72</f>
        <v>13</v>
      </c>
      <c r="BJ72" s="1" t="n">
        <f aca="false">INT(POWER((((Constants!$G$1+$BB72+$BC72+$BD72+$BF72)*($BE72))*$BG72),IF($G72="wagon",1,1.2)))+$AZ72</f>
        <v>38</v>
      </c>
      <c r="BK72" s="19" t="n">
        <f aca="false">BI72*IF($G72="wagon",62.5,781.25)</f>
        <v>812.5</v>
      </c>
      <c r="BL72" s="19" t="n">
        <f aca="false">BJ72*IF($G72="wagon",2.73,81.25)</f>
        <v>103.74</v>
      </c>
      <c r="BT72" s="1" t="n">
        <v>1</v>
      </c>
      <c r="BV72" s="18" t="s">
        <v>462</v>
      </c>
      <c r="BW72" s="18"/>
      <c r="BX72" s="18" t="s">
        <v>463</v>
      </c>
      <c r="BY72" s="1" t="str">
        <f aca="false">VLOOKUP(J72,Eras!$A$2:$C$10, 2, TRUE())</f>
        <v>big4</v>
      </c>
      <c r="BZ72" s="18" t="s">
        <v>464</v>
      </c>
      <c r="CA72" s="1" t="str">
        <f aca="false">CONCATENATE(BY72,"_",BZ72)</f>
        <v>big4_Extra</v>
      </c>
      <c r="CB72" s="1" t="str">
        <f aca="false">_xlfn.CONCAT(H72, "_",I72)</f>
        <v>brake_RAIL</v>
      </c>
      <c r="CC72" s="20" t="str">
        <f aca="false">_xlfn.CONCAT("{BLACK}Length: {GOLD}", TEXT(ROUNDUP(IF(AQ72&lt;&gt;"",SUM(VALUE(_xlfn.TEXTSPLIT(AQ72, ","))), SUM(VALUE(_xlfn.TEXTSPLIT(AN72, ",")))*IF(M72, M72, 1))/16, 1), "#,##0.0"), " tiles{}")</f>
        <v>{BLACK}Length: {GOLD}0.4 tiles{}</v>
      </c>
      <c r="CD72" s="1" t="str">
        <f aca="false">VLOOKUP($CB72, Constants!$M:$N, 2, FALSE())</f>
        <v/>
      </c>
      <c r="CE72" s="1" t="str">
        <f aca="false">IF(M72&gt;1,_xlfn.CONCAT("{BLACK}Cars: {GOLD}", M72),"")</f>
        <v/>
      </c>
      <c r="CF72" s="1" t="s">
        <v>465</v>
      </c>
      <c r="CG72" s="1" t="str">
        <f aca="false">IF(BX72="buffet","{YELLOW}25%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{BLACK}Length: {GOLD}0.4 tiles{}{SILVER}This Midland Railway design of Brake Van was also built by the LMS - over 800 were constructed and they were still extant into the early 1960s.</v>
      </c>
      <c r="CI72" s="1"/>
      <c r="CJ72" s="1"/>
    </row>
    <row r="73" customFormat="false" ht="13.8" hidden="false" customHeight="false" outlineLevel="0" collapsed="false">
      <c r="A73" s="18" t="s">
        <v>466</v>
      </c>
      <c r="B73" s="18" t="s">
        <v>467</v>
      </c>
      <c r="C73" s="1" t="n">
        <v>97</v>
      </c>
      <c r="E73" s="1" t="n">
        <v>1091</v>
      </c>
      <c r="F73" s="1" t="s">
        <v>89</v>
      </c>
      <c r="G73" s="1" t="s">
        <v>443</v>
      </c>
      <c r="H73" s="1" t="s">
        <v>461</v>
      </c>
      <c r="I73" s="1" t="s">
        <v>153</v>
      </c>
      <c r="J73" s="1" t="n">
        <v>1938</v>
      </c>
      <c r="K73" s="1" t="n">
        <v>1969</v>
      </c>
      <c r="L73" s="1" t="n">
        <v>1988</v>
      </c>
      <c r="W73" s="1" t="n">
        <v>20</v>
      </c>
      <c r="Y73" s="1" t="n">
        <v>4</v>
      </c>
      <c r="AA73" s="4" t="str">
        <f aca="false">IF(AND(W73&gt;0,Z73&gt;0),(Z73/((W73+X73)*10)),"")</f>
        <v/>
      </c>
      <c r="AB73" s="1" t="n">
        <v>60</v>
      </c>
      <c r="AC73" s="1" t="n">
        <f aca="false">ROUND(AB73*1.6, 0)</f>
        <v>96</v>
      </c>
      <c r="AF73" s="1" t="n">
        <v>10</v>
      </c>
      <c r="AG73" s="1" t="n">
        <v>10</v>
      </c>
      <c r="AH73" s="1" t="n">
        <v>2.5</v>
      </c>
      <c r="AI73" s="1" t="n">
        <v>3.35</v>
      </c>
      <c r="AJ73" s="5" t="n">
        <v>0</v>
      </c>
      <c r="AK73" s="0" t="str">
        <f aca="false">CONCATENATE(VLOOKUP(AL73, 'Voxel Sizes'!$A$2:$B$18,2,FALSE()),"x",INT(AH73*15), "x", INT(AI73*15))</f>
        <v>102x37x50</v>
      </c>
      <c r="AL73" s="1" t="n">
        <f aca="false">ROUND(15*((AG73*10)/256),0)</f>
        <v>6</v>
      </c>
      <c r="AN73" s="1" t="str">
        <f aca="false">CONCATENATE(VLOOKUP(AL73,Constants!$A$2:$C$16,IF(AM73&lt;&gt;"", 3, 2), FALSE()),IF(AM73&lt;&gt;"",CONCATENATE(",",VLOOKUP(AM73,$B:$AN,38,FALSE())),""))</f>
        <v>2,2,2</v>
      </c>
      <c r="AX73" s="1" t="n">
        <v>50</v>
      </c>
      <c r="AY73" s="6" t="n">
        <f aca="false">IF(L73&lt;&gt;"",MAX(16,(L73-J73)+8),"")</f>
        <v>58</v>
      </c>
      <c r="AZ73" s="1" t="n">
        <v>12</v>
      </c>
      <c r="BA73" s="1" t="n">
        <v>6</v>
      </c>
      <c r="BB73" s="1" t="n">
        <f aca="false">MIN(AB73/150, 1)*30</f>
        <v>12</v>
      </c>
      <c r="BC73" s="1" t="n">
        <f aca="false">MIN(N73/4000, 1)*20</f>
        <v>0</v>
      </c>
      <c r="BD73" s="1" t="n">
        <f aca="false">MIN(Z73/400,1)*20</f>
        <v>0</v>
      </c>
      <c r="BE73" s="4" t="n">
        <f aca="false">1-(MAX(J73-1900, 0)/750)</f>
        <v>0.949333333333333</v>
      </c>
      <c r="BF73" s="1" t="n">
        <f aca="false">((MAX($M73,1)*MIN($AJ73/300,1)))*IF(G73="Wagon",50,10)</f>
        <v>0</v>
      </c>
      <c r="BG73" s="1" t="n">
        <f aca="false">VLOOKUP($H73,Constants!$I:$K, 2, FALSE())</f>
        <v>1</v>
      </c>
      <c r="BH73" s="1" t="n">
        <f aca="false">VLOOKUP($H73,Constants!$I:$K, 3, FALSE())*IF(AND(G73="multiple_unit",AB73&lt;110),0.75,1)</f>
        <v>0.4</v>
      </c>
      <c r="BI73" s="1" t="n">
        <f aca="false">INT(POWER(((Constants!$G$2+$BB73+$BC73+$BD73+$BF73)*$BE73)*$BH73, 1.05))+$BA73</f>
        <v>13</v>
      </c>
      <c r="BJ73" s="1" t="n">
        <f aca="false">INT(POWER((((Constants!$G$1+$BB73+$BC73+$BD73+$BF73)*($BE73))*$BG73),IF($G73="wagon",1,1.2)))+$AZ73</f>
        <v>37</v>
      </c>
      <c r="BK73" s="19" t="n">
        <f aca="false">BI73*IF($G73="wagon",62.5,781.25)</f>
        <v>812.5</v>
      </c>
      <c r="BL73" s="19" t="n">
        <f aca="false">BJ73*IF($G73="wagon",2.73,81.25)</f>
        <v>101.01</v>
      </c>
      <c r="BT73" s="1" t="n">
        <v>1</v>
      </c>
      <c r="BV73" s="18" t="s">
        <v>462</v>
      </c>
      <c r="BW73" s="18"/>
      <c r="BX73" s="18" t="s">
        <v>463</v>
      </c>
      <c r="BY73" s="1" t="str">
        <f aca="false">VLOOKUP(J73,Eras!$A$2:$C$10, 2, TRUE())</f>
        <v>big4</v>
      </c>
      <c r="BZ73" s="18" t="s">
        <v>464</v>
      </c>
      <c r="CA73" s="1" t="str">
        <f aca="false">CONCATENATE(BY73,"_",BZ73)</f>
        <v>big4_Extra</v>
      </c>
      <c r="CB73" s="1" t="str">
        <f aca="false">_xlfn.CONCAT(H73, "_",I73)</f>
        <v>brake_RAIL</v>
      </c>
      <c r="CC73" s="20" t="str">
        <f aca="false">_xlfn.CONCAT("{BLACK}Length: {GOLD}", TEXT(ROUNDUP(IF(AQ73&lt;&gt;"",SUM(VALUE(_xlfn.TEXTSPLIT(AQ73, ","))), SUM(VALUE(_xlfn.TEXTSPLIT(AN73, ",")))*IF(M73, M73, 1))/16, 1), "#,##0.0"), " tiles{}")</f>
        <v>{BLACK}Length: {GOLD}0.4 tiles{}</v>
      </c>
      <c r="CD73" s="1" t="str">
        <f aca="false">VLOOKUP($CB73, Constants!$M:$N, 2, FALSE())</f>
        <v/>
      </c>
      <c r="CE73" s="1" t="str">
        <f aca="false">IF(M73&gt;1,_xlfn.CONCAT("{BLACK}Cars: {GOLD}", M73),"")</f>
        <v/>
      </c>
      <c r="CF73" s="1" t="s">
        <v>468</v>
      </c>
      <c r="CG73" s="1" t="str">
        <f aca="false">IF(BX73="buffet","{YELLOW}25%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{BLACK}Length: {GOLD}0.4 tiles{}{SILVER}The native design of LMS Brake Van had a sizable veranda at both ends. Once again, they lasted well into BR ownership as part of Engineers’ trains.</v>
      </c>
      <c r="CI73" s="1"/>
      <c r="CJ73" s="1"/>
    </row>
    <row r="74" customFormat="false" ht="13.8" hidden="false" customHeight="false" outlineLevel="0" collapsed="false">
      <c r="A74" s="18" t="s">
        <v>469</v>
      </c>
      <c r="B74" s="18" t="s">
        <v>470</v>
      </c>
      <c r="C74" s="1" t="n">
        <v>21</v>
      </c>
      <c r="E74" s="1" t="n">
        <v>1021</v>
      </c>
      <c r="F74" s="1" t="s">
        <v>89</v>
      </c>
      <c r="G74" s="1" t="s">
        <v>443</v>
      </c>
      <c r="H74" s="1" t="s">
        <v>443</v>
      </c>
      <c r="I74" s="1" t="s">
        <v>153</v>
      </c>
      <c r="J74" s="1" t="n">
        <v>1936</v>
      </c>
      <c r="K74" s="1" t="n">
        <v>1962</v>
      </c>
      <c r="L74" s="1" t="n">
        <v>1966</v>
      </c>
      <c r="W74" s="1" t="n">
        <v>10.1</v>
      </c>
      <c r="Y74" s="1" t="n">
        <v>4</v>
      </c>
      <c r="AA74" s="4" t="str">
        <f aca="false">IF(AND(W74&gt;0,Z74&gt;0),(Z74/((W74+X74)*10)),"")</f>
        <v/>
      </c>
      <c r="AB74" s="1" t="n">
        <v>45</v>
      </c>
      <c r="AC74" s="1" t="n">
        <f aca="false">ROUND(AB74*1.6, 0)</f>
        <v>72</v>
      </c>
      <c r="AF74" s="1" t="n">
        <v>10</v>
      </c>
      <c r="AG74" s="1" t="n">
        <v>10</v>
      </c>
      <c r="AH74" s="1" t="n">
        <v>2.5</v>
      </c>
      <c r="AI74" s="1" t="n">
        <v>3.35</v>
      </c>
      <c r="AJ74" s="5" t="n">
        <v>20</v>
      </c>
      <c r="AK74" s="0" t="str">
        <f aca="false">CONCATENATE(VLOOKUP(AL74, 'Voxel Sizes'!$A$2:$B$18,2,FALSE()),"x",INT(AH74*15), "x", INT(AI74*15))</f>
        <v>102x37x50</v>
      </c>
      <c r="AL74" s="1" t="n">
        <f aca="false">ROUND(15*((AG74*10)/256),0)</f>
        <v>6</v>
      </c>
      <c r="AN74" s="1" t="str">
        <f aca="false">CONCATENATE(VLOOKUP(AL74,Constants!$A$2:$C$16,IF(AM74&lt;&gt;"", 3, 2), FALSE()),IF(AM74&lt;&gt;"",CONCATENATE(",",VLOOKUP(AM74,$B:$AN,38,FALSE())),""))</f>
        <v>2,2,2</v>
      </c>
      <c r="AX74" s="1" t="n">
        <v>30</v>
      </c>
      <c r="AY74" s="6" t="n">
        <f aca="false">IF(L74&lt;&gt;"",MAX(16,(L74-J74)+8),"")</f>
        <v>38</v>
      </c>
      <c r="AZ74" s="1" t="n">
        <v>5</v>
      </c>
      <c r="BB74" s="1" t="n">
        <f aca="false">MIN(AB74/150, 1)*30</f>
        <v>9</v>
      </c>
      <c r="BC74" s="1" t="n">
        <f aca="false">MIN(N74/4000, 1)*20</f>
        <v>0</v>
      </c>
      <c r="BD74" s="1" t="n">
        <f aca="false">MIN(Z74/400,1)*20</f>
        <v>0</v>
      </c>
      <c r="BE74" s="4" t="n">
        <f aca="false">1-(MAX(J74-1900, 0)/750)</f>
        <v>0.952</v>
      </c>
      <c r="BF74" s="1" t="n">
        <f aca="false">((MAX($M74,1)*MIN($AJ74/300,1)))*IF(G74="Wagon",50,10)</f>
        <v>3.33333333333333</v>
      </c>
      <c r="BG74" s="1" t="n">
        <f aca="false">VLOOKUP($H74,Constants!$I:$K, 2, FALSE())</f>
        <v>1</v>
      </c>
      <c r="BH74" s="1" t="n">
        <f aca="false">VLOOKUP($H74,Constants!$I:$K, 3, FALSE())*IF(AND(G74="multiple_unit",AB74&lt;110),0.75,1)</f>
        <v>0.45</v>
      </c>
      <c r="BI74" s="1" t="n">
        <f aca="false">INT(POWER(((Constants!$G$2+$BB74+$BC74+$BD74+$BF74)*$BE74)*$BH74, 1.05))+$BA74</f>
        <v>8</v>
      </c>
      <c r="BJ74" s="1" t="n">
        <f aca="false">INT(POWER((((Constants!$G$1+$BB74+$BC74+$BD74+$BF74)*($BE74))*$BG74),IF($G74="wagon",1,1.2)))+$AZ74</f>
        <v>31</v>
      </c>
      <c r="BK74" s="19" t="n">
        <f aca="false">BI74*IF($G74="wagon",62.5,781.25)</f>
        <v>500</v>
      </c>
      <c r="BL74" s="19" t="n">
        <f aca="false">BJ74*IF($G74="wagon",2.73,81.25)</f>
        <v>84.63</v>
      </c>
      <c r="BT74" s="1" t="n">
        <v>1</v>
      </c>
      <c r="BU74" s="1" t="n">
        <v>185</v>
      </c>
      <c r="BV74" s="1" t="s">
        <v>457</v>
      </c>
      <c r="BX74" s="1" t="s">
        <v>471</v>
      </c>
      <c r="BY74" s="1" t="str">
        <f aca="false">VLOOKUP(J74,Eras!$A$2:$C$10, 2, TRUE())</f>
        <v>big4</v>
      </c>
      <c r="BZ74" s="18" t="s">
        <v>446</v>
      </c>
      <c r="CA74" s="1" t="str">
        <f aca="false">CONCATENATE(BY74,"_",BZ74)</f>
        <v>big4_Tanker</v>
      </c>
      <c r="CB74" s="1" t="str">
        <f aca="false">_xlfn.CONCAT(H74, "_",I74)</f>
        <v>wagon_RAIL</v>
      </c>
      <c r="CC74" s="20" t="str">
        <f aca="false">_xlfn.CONCAT("{BLACK}Length: {GOLD}", TEXT(ROUNDUP(IF(AQ74&lt;&gt;"",SUM(VALUE(_xlfn.TEXTSPLIT(AQ74, ","))), SUM(VALUE(_xlfn.TEXTSPLIT(AN74, ",")))*IF(M74, M74, 1))/16, 1), "#,##0.0"), " tiles{}")</f>
        <v>{BLACK}Length: {GOLD}0.4 tiles{}</v>
      </c>
      <c r="CD74" s="1" t="str">
        <f aca="false">VLOOKUP($CB74, Constants!$M:$N, 2, FALSE())</f>
        <v/>
      </c>
      <c r="CE74" s="1" t="str">
        <f aca="false">IF(M74&gt;1,_xlfn.CONCAT("{BLACK}Cars: {GOLD}", M74),"")</f>
        <v/>
      </c>
      <c r="CF74" s="1" t="s">
        <v>472</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
      </c>
      <c r="CH74" s="1" t="str">
        <f aca="false">_xlfn.CONCAT(CD74,IF(CD74 &lt;&gt; "", " ", ""),CE74,IF(OR(CE74&lt;&gt;"", CD74&lt;&gt;""), "{}",""), CC74, CG74,"{SILVER}", CF74)</f>
        <v>{BLACK}Length: {GOLD}0.4 tiles{}{SILVER}The LMS Grain Hooper was later standardised into the BR COVGRAIN standard design. Long-distance bulk grain service in covered hoppers was a significant efficiency gain over shipping bagged grain by the vanload.</v>
      </c>
      <c r="CI74" s="1"/>
      <c r="CJ74" s="1"/>
    </row>
    <row r="75" customFormat="false" ht="13.8" hidden="false" customHeight="false" outlineLevel="0" collapsed="false">
      <c r="A75" s="18" t="s">
        <v>473</v>
      </c>
      <c r="B75" s="18" t="s">
        <v>474</v>
      </c>
      <c r="C75" s="1" t="n">
        <v>98</v>
      </c>
      <c r="E75" s="1" t="n">
        <v>1092</v>
      </c>
      <c r="F75" s="1" t="s">
        <v>89</v>
      </c>
      <c r="G75" s="1" t="s">
        <v>443</v>
      </c>
      <c r="H75" s="1" t="s">
        <v>461</v>
      </c>
      <c r="I75" s="1" t="s">
        <v>153</v>
      </c>
      <c r="J75" s="1" t="n">
        <v>1936</v>
      </c>
      <c r="K75" s="1" t="n">
        <v>1990</v>
      </c>
      <c r="L75" s="1" t="n">
        <v>1998</v>
      </c>
      <c r="W75" s="1" t="n">
        <v>26</v>
      </c>
      <c r="Y75" s="1" t="n">
        <v>4</v>
      </c>
      <c r="AA75" s="4" t="str">
        <f aca="false">IF(AND(W75&gt;0,Z75&gt;0),(Z75/((W75+X75)*10)),"")</f>
        <v/>
      </c>
      <c r="AB75" s="1" t="n">
        <v>75</v>
      </c>
      <c r="AC75" s="1" t="n">
        <f aca="false">ROUND(AB75*1.6, 0)</f>
        <v>120</v>
      </c>
      <c r="AF75" s="1" t="n">
        <v>12.8</v>
      </c>
      <c r="AG75" s="1" t="n">
        <v>12.8</v>
      </c>
      <c r="AH75" s="1" t="n">
        <v>2.5</v>
      </c>
      <c r="AI75" s="1" t="n">
        <v>3.35</v>
      </c>
      <c r="AJ75" s="5" t="n">
        <v>0</v>
      </c>
      <c r="AK75" s="0" t="str">
        <f aca="false">CONCATENATE(VLOOKUP(AL75, 'Voxel Sizes'!$A$2:$B$18,2,FALSE()),"x",INT(AH75*15), "x", INT(AI75*15))</f>
        <v>136x37x50</v>
      </c>
      <c r="AL75" s="1" t="n">
        <f aca="false">ROUND(15*((AG75*10)/256),0)</f>
        <v>8</v>
      </c>
      <c r="AN75" s="1" t="str">
        <f aca="false">CONCATENATE(VLOOKUP(AL75,Constants!$A$2:$C$16,IF(AM75&lt;&gt;"", 3, 2), FALSE()),IF(AM75&lt;&gt;"",CONCATENATE(",",VLOOKUP(AM75,$B:$AN,38,FALSE())),""))</f>
        <v>2,4,2</v>
      </c>
      <c r="AX75" s="1" t="n">
        <v>50</v>
      </c>
      <c r="AY75" s="6" t="n">
        <f aca="false">IF(L75&lt;&gt;"",MAX(16,(L75-J75)+8),"")</f>
        <v>70</v>
      </c>
      <c r="BB75" s="1" t="n">
        <f aca="false">MIN(AB75/150, 1)*30</f>
        <v>15</v>
      </c>
      <c r="BC75" s="1" t="n">
        <f aca="false">MIN(N75/4000, 1)*20</f>
        <v>0</v>
      </c>
      <c r="BD75" s="1" t="n">
        <f aca="false">MIN(Z75/400,1)*20</f>
        <v>0</v>
      </c>
      <c r="BE75" s="4" t="n">
        <f aca="false">1-(MAX(J75-1900, 0)/750)</f>
        <v>0.952</v>
      </c>
      <c r="BF75" s="1" t="n">
        <f aca="false">((MAX($M75,1)*MIN($AJ75/300,1)))*IF(G75="Wagon",50,10)</f>
        <v>0</v>
      </c>
      <c r="BG75" s="1" t="n">
        <f aca="false">VLOOKUP($H75,Constants!$I:$K, 2, FALSE())</f>
        <v>1</v>
      </c>
      <c r="BH75" s="1" t="n">
        <f aca="false">VLOOKUP($H75,Constants!$I:$K, 3, FALSE())*IF(AND(G75="multiple_unit",AB75&lt;110),0.75,1)</f>
        <v>0.4</v>
      </c>
      <c r="BI75" s="1" t="n">
        <f aca="false">INT(POWER(((Constants!$G$2+$BB75+$BC75+$BD75+$BF75)*$BE75)*$BH75, 1.05))+$BA75</f>
        <v>8</v>
      </c>
      <c r="BJ75" s="1" t="n">
        <f aca="false">INT(POWER((((Constants!$G$1+$BB75+$BC75+$BD75+$BF75)*($BE75))*$BG75),IF($G75="wagon",1,1.2)))+$AZ75</f>
        <v>28</v>
      </c>
      <c r="BK75" s="19" t="n">
        <f aca="false">BI75*IF($G75="wagon",62.5,781.25)</f>
        <v>500</v>
      </c>
      <c r="BL75" s="19" t="n">
        <f aca="false">BJ75*IF($G75="wagon",2.73,81.25)</f>
        <v>76.44</v>
      </c>
      <c r="BT75" s="1" t="n">
        <v>1</v>
      </c>
      <c r="BV75" s="18" t="s">
        <v>462</v>
      </c>
      <c r="BW75" s="18"/>
      <c r="BX75" s="18" t="s">
        <v>463</v>
      </c>
      <c r="BY75" s="1" t="str">
        <f aca="false">VLOOKUP(J75,Eras!$A$2:$C$10, 2, TRUE())</f>
        <v>big4</v>
      </c>
      <c r="BZ75" s="18" t="s">
        <v>464</v>
      </c>
      <c r="CA75" s="1" t="str">
        <f aca="false">CONCATENATE(BY75,"_",BZ75)</f>
        <v>big4_Extra</v>
      </c>
      <c r="CB75" s="1" t="str">
        <f aca="false">_xlfn.CONCAT(H75, "_",I75)</f>
        <v>brake_RAIL</v>
      </c>
      <c r="CC75" s="20" t="str">
        <f aca="false">_xlfn.CONCAT("{BLACK}Length: {GOLD}", TEXT(ROUNDUP(IF(AQ75&lt;&gt;"",SUM(VALUE(_xlfn.TEXTSPLIT(AQ75, ","))), SUM(VALUE(_xlfn.TEXTSPLIT(AN75, ",")))*IF(M75, M75, 1))/16, 1), "#,##0.0"), " tiles{}")</f>
        <v>{BLACK}Length: {GOLD}0.5 tiles{}</v>
      </c>
      <c r="CD75" s="1" t="str">
        <f aca="false">VLOOKUP($CB75, Constants!$M:$N, 2, FALSE())</f>
        <v/>
      </c>
      <c r="CE75" s="1" t="str">
        <f aca="false">IF(M75&gt;1,_xlfn.CONCAT("{BLACK}Cars: {GOLD}", M75),"")</f>
        <v/>
      </c>
      <c r="CF75" s="1" t="s">
        <v>475</v>
      </c>
      <c r="CG75" s="1" t="str">
        <f aca="false">IF(BX75="buffet","{YELLOW}25% long distance bonus for consist{}",IF(BY75="BRAKE","{YELLOW}Speed bonus for slow wagons{}",IF(BU75&gt;190,CONCATENATE("{YELLOW}",INT((BU75-185)/1.85),"% bonus for long distance travel{}"),IF(AND(BU75&lt;180,BU75&lt;&gt;0),CONCATENATE("{YELLOW}",INT((185-BU75)/1.85),"% penalty for long distance travel{}"),""))))</f>
        <v/>
      </c>
      <c r="CH75" s="1" t="str">
        <f aca="false">_xlfn.CONCAT(CD75,IF(CD75 &lt;&gt; "", " ", ""),CE75,IF(OR(CE75&lt;&gt;"", CD75&lt;&gt;""), "{}",""), CC75, CG75,"{SILVER}", CF75)</f>
        <v>{BLACK}Length: {GOLD}0.5 tiles{}{SILVER}The first SR ‘Queen Mary’ Brake vans converted from LBSCR ‘Milk Van’ MLVs, and lasted in departmental and limited freight service into the 2000s! A shed on rails with a stove and a desk has 1000 uses.</v>
      </c>
      <c r="CI75" s="1"/>
      <c r="CJ75" s="1"/>
    </row>
    <row r="76" s="18" customFormat="true" ht="13.8" hidden="false" customHeight="false" outlineLevel="0" collapsed="false">
      <c r="A76" s="18" t="s">
        <v>476</v>
      </c>
      <c r="B76" s="18" t="s">
        <v>477</v>
      </c>
      <c r="C76" s="1" t="n">
        <v>99</v>
      </c>
      <c r="D76" s="1" t="n">
        <v>98</v>
      </c>
      <c r="E76" s="1" t="n">
        <v>1093</v>
      </c>
      <c r="F76" s="1" t="s">
        <v>89</v>
      </c>
      <c r="G76" s="1" t="s">
        <v>443</v>
      </c>
      <c r="H76" s="1" t="s">
        <v>461</v>
      </c>
      <c r="I76" s="1" t="s">
        <v>153</v>
      </c>
      <c r="J76" s="1" t="n">
        <v>1936</v>
      </c>
      <c r="K76" s="1" t="n">
        <v>1990</v>
      </c>
      <c r="L76" s="1" t="n">
        <v>1998</v>
      </c>
      <c r="M76" s="1"/>
      <c r="N76" s="1"/>
      <c r="O76" s="2"/>
      <c r="P76" s="3"/>
      <c r="Q76" s="3"/>
      <c r="R76" s="3"/>
      <c r="S76" s="3"/>
      <c r="T76" s="3"/>
      <c r="U76" s="3"/>
      <c r="V76" s="3"/>
      <c r="W76" s="1" t="n">
        <v>26</v>
      </c>
      <c r="X76" s="2"/>
      <c r="Y76" s="1" t="n">
        <v>4</v>
      </c>
      <c r="Z76" s="1"/>
      <c r="AA76" s="4" t="str">
        <f aca="false">IF(AND(W76&gt;0,Z76&gt;0),(Z76/((W76+X76)*10)),"")</f>
        <v/>
      </c>
      <c r="AB76" s="1" t="n">
        <v>75</v>
      </c>
      <c r="AC76" s="1" t="n">
        <f aca="false">ROUND(AB76*1.6, 0)</f>
        <v>120</v>
      </c>
      <c r="AD76" s="1"/>
      <c r="AE76" s="1"/>
      <c r="AF76" s="1" t="n">
        <v>12.8</v>
      </c>
      <c r="AG76" s="1" t="n">
        <v>12.8</v>
      </c>
      <c r="AH76" s="1" t="n">
        <v>2.5</v>
      </c>
      <c r="AI76" s="1" t="n">
        <v>3.35</v>
      </c>
      <c r="AJ76" s="5" t="n">
        <v>0</v>
      </c>
      <c r="AK76" s="0" t="str">
        <f aca="false">CONCATENATE(VLOOKUP(AL76, 'Voxel Sizes'!$A$2:$B$18,2,FALSE()),"x",INT(AH76*15), "x", INT(AI76*15))</f>
        <v>136x37x50</v>
      </c>
      <c r="AL76" s="1" t="n">
        <f aca="false">ROUND(15*((AG76*10)/256),0)</f>
        <v>8</v>
      </c>
      <c r="AM76" s="1"/>
      <c r="AN76" s="1" t="str">
        <f aca="false">CONCATENATE(VLOOKUP(AL76,Constants!$A$2:$C$16,IF(AM76&lt;&gt;"", 3, 2), FALSE()),IF(AM76&lt;&gt;"",CONCATENATE(",",VLOOKUP(AM76,$B:$AN,38,FALSE())),""))</f>
        <v>2,4,2</v>
      </c>
      <c r="AO76" s="1"/>
      <c r="AP76" s="7"/>
      <c r="AQ76" s="7"/>
      <c r="AR76" s="1"/>
      <c r="AS76" s="1"/>
      <c r="AT76" s="1"/>
      <c r="AU76" s="1"/>
      <c r="AV76" s="1"/>
      <c r="AW76" s="1"/>
      <c r="AX76" s="1" t="n">
        <v>50</v>
      </c>
      <c r="AY76" s="6" t="n">
        <f aca="false">IF(L76&lt;&gt;"",MAX(16,(L76-J76)+8),"")</f>
        <v>70</v>
      </c>
      <c r="AZ76" s="1"/>
      <c r="BA76" s="1"/>
      <c r="BB76" s="1" t="n">
        <f aca="false">MIN(AB76/150, 1)*30</f>
        <v>15</v>
      </c>
      <c r="BC76" s="1" t="n">
        <f aca="false">MIN(N76/4000, 1)*20</f>
        <v>0</v>
      </c>
      <c r="BD76" s="1" t="n">
        <f aca="false">MIN(Z76/400,1)*20</f>
        <v>0</v>
      </c>
      <c r="BE76" s="4" t="n">
        <f aca="false">1-(MAX(J76-1900, 0)/750)</f>
        <v>0.952</v>
      </c>
      <c r="BF76" s="1" t="n">
        <f aca="false">((MAX($M76,1)*MIN($AJ76/300,1)))*IF(G76="Wagon",50,10)</f>
        <v>0</v>
      </c>
      <c r="BG76" s="1" t="n">
        <f aca="false">VLOOKUP($H76,Constants!$I:$K, 2, FALSE())</f>
        <v>1</v>
      </c>
      <c r="BH76" s="1" t="n">
        <f aca="false">VLOOKUP($H76,Constants!$I:$K, 3, FALSE())*IF(AND(G76="multiple_unit",AB76&lt;110),0.75,1)</f>
        <v>0.4</v>
      </c>
      <c r="BI76" s="1" t="n">
        <f aca="false">INT(POWER(((Constants!$G$2+$BB76+$BC76+$BD76+$BF76)*$BE76)*$BH76, 1.05))+$BA76</f>
        <v>8</v>
      </c>
      <c r="BJ76" s="1" t="n">
        <f aca="false">INT(POWER((((Constants!$G$1+$BB76+$BC76+$BD76+$BF76)*($BE76))*$BG76),IF($G76="wagon",1,1.2)))+$AZ76</f>
        <v>28</v>
      </c>
      <c r="BK76" s="19" t="n">
        <f aca="false">BI76*IF($G76="wagon",62.5,781.25)</f>
        <v>500</v>
      </c>
      <c r="BL76" s="19" t="n">
        <f aca="false">BJ76*IF($G76="wagon",2.73,81.25)</f>
        <v>76.44</v>
      </c>
      <c r="BM76" s="1"/>
      <c r="BN76" s="1"/>
      <c r="BO76" s="1"/>
      <c r="BP76" s="1"/>
      <c r="BQ76" s="1"/>
      <c r="BR76" s="1"/>
      <c r="BS76" s="1"/>
      <c r="BT76" s="1" t="n">
        <v>1</v>
      </c>
      <c r="BU76" s="1"/>
      <c r="BX76" s="18" t="s">
        <v>463</v>
      </c>
      <c r="BY76" s="1" t="str">
        <f aca="false">VLOOKUP(J76,Eras!$A$2:$C$10, 2, TRUE())</f>
        <v>big4</v>
      </c>
      <c r="BZ76" s="18" t="s">
        <v>464</v>
      </c>
      <c r="CA76" s="1" t="str">
        <f aca="false">CONCATENATE(BY76,"_",BZ76)</f>
        <v>big4_Extra</v>
      </c>
      <c r="CB76" s="1" t="str">
        <f aca="false">_xlfn.CONCAT(H76, "_",I76)</f>
        <v>brake_RAIL</v>
      </c>
      <c r="CC76" s="20" t="str">
        <f aca="false">_xlfn.CONCAT("{BLACK}Length: {GOLD}", TEXT(ROUNDUP(IF(AQ76&lt;&gt;"",SUM(VALUE(_xlfn.TEXTSPLIT(AQ76, ","))), SUM(VALUE(_xlfn.TEXTSPLIT(AN76, ",")))*IF(M76, M76, 1))/16, 1), "#,##0.0"), " tiles{}")</f>
        <v>{BLACK}Length: {GOLD}0.5 tiles{}</v>
      </c>
      <c r="CD76" s="1" t="str">
        <f aca="false">VLOOKUP($CB76, Constants!$M:$N, 2, FALSE())</f>
        <v/>
      </c>
      <c r="CE76" s="1" t="str">
        <f aca="false">IF(M76&gt;1,_xlfn.CONCAT("{BLACK}Cars: {GOLD}", M76),"")</f>
        <v/>
      </c>
      <c r="CF76" s="1" t="s">
        <v>478</v>
      </c>
      <c r="CG76" s="1" t="str">
        <f aca="false">IF(BX76="buffet","{YELLOW}25% long distance bonus for consist{}",IF(BY76="BRAKE","{YELLOW}Speed bonus for slow wagons{}",IF(BU76&gt;190,CONCATENATE("{YELLOW}",INT((BU76-185)/1.85),"% bonus for long distance travel{}"),IF(AND(BU76&lt;180,BU76&lt;&gt;0),CONCATENATE("{YELLOW}",INT((185-BU76)/1.85),"% penalty for long distance travel{}"),""))))</f>
        <v/>
      </c>
      <c r="CH76" s="1" t="str">
        <f aca="false">_xlfn.CONCAT(CD76,IF(CD76 &lt;&gt; "", " ", ""),CE76,IF(OR(CE76&lt;&gt;"", CD76&lt;&gt;""), "{}",""), CC76, CG76,"{SILVER}", CF76)</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c r="OB76" s="1"/>
      <c r="OC76" s="1"/>
      <c r="OD76" s="1"/>
      <c r="OE76" s="1"/>
      <c r="OF76" s="1"/>
      <c r="OG76" s="1"/>
      <c r="OH76" s="1"/>
      <c r="OI76" s="1"/>
      <c r="OJ76" s="1"/>
      <c r="OK76" s="1"/>
      <c r="OL76" s="1"/>
      <c r="OM76" s="1"/>
      <c r="ON76" s="1"/>
      <c r="OO76" s="1"/>
      <c r="OP76" s="1"/>
      <c r="OQ76" s="1"/>
      <c r="OR76" s="1"/>
      <c r="OS76" s="1"/>
      <c r="OT76" s="1"/>
      <c r="OU76" s="1"/>
      <c r="OV76" s="1"/>
      <c r="OW76" s="1"/>
      <c r="OX76" s="1"/>
      <c r="OY76" s="1"/>
      <c r="OZ76" s="1"/>
      <c r="PA76" s="1"/>
      <c r="PB76" s="1"/>
      <c r="PC76" s="1"/>
      <c r="PD76" s="1"/>
      <c r="PE76" s="1"/>
      <c r="PF76" s="1"/>
      <c r="PG76" s="1"/>
      <c r="PH76" s="1"/>
      <c r="PI76" s="1"/>
      <c r="PJ76" s="1"/>
      <c r="PK76" s="1"/>
      <c r="PL76" s="1"/>
      <c r="PM76" s="1"/>
      <c r="PN76" s="1"/>
      <c r="PO76" s="1"/>
      <c r="PP76" s="1"/>
      <c r="PQ76" s="1"/>
      <c r="PR76" s="1"/>
      <c r="PS76" s="1"/>
      <c r="PT76" s="1"/>
      <c r="PU76" s="1"/>
      <c r="PV76" s="1"/>
      <c r="PW76" s="1"/>
      <c r="PX76" s="1"/>
      <c r="PY76" s="1"/>
      <c r="PZ76" s="1"/>
      <c r="QA76" s="1"/>
      <c r="QB76" s="1"/>
      <c r="QC76" s="1"/>
      <c r="QD76" s="1"/>
      <c r="QE76" s="1"/>
      <c r="QF76" s="1"/>
      <c r="QG76" s="1"/>
      <c r="QH76" s="1"/>
      <c r="QI76" s="1"/>
      <c r="QJ76" s="1"/>
      <c r="QK76" s="1"/>
      <c r="QL76" s="1"/>
      <c r="QM76" s="1"/>
      <c r="QN76" s="1"/>
      <c r="QO76" s="1"/>
      <c r="QP76" s="1"/>
      <c r="QQ76" s="1"/>
      <c r="QR76" s="1"/>
      <c r="QS76" s="1"/>
      <c r="QT76" s="1"/>
      <c r="QU76" s="1"/>
      <c r="QV76" s="1"/>
      <c r="QW76" s="1"/>
      <c r="QX76" s="1"/>
      <c r="QY76" s="1"/>
      <c r="QZ76" s="1"/>
      <c r="RA76" s="1"/>
      <c r="RB76" s="1"/>
      <c r="RC76" s="1"/>
      <c r="RD76" s="1"/>
      <c r="RE76" s="1"/>
      <c r="RF76" s="1"/>
      <c r="RG76" s="1"/>
      <c r="RH76" s="1"/>
      <c r="RI76" s="1"/>
      <c r="RJ76" s="1"/>
      <c r="RK76" s="1"/>
      <c r="RL76" s="1"/>
      <c r="RM76" s="1"/>
      <c r="RN76" s="1"/>
      <c r="RO76" s="1"/>
      <c r="RP76" s="1"/>
      <c r="RQ76" s="1"/>
      <c r="RR76" s="1"/>
      <c r="RS76" s="1"/>
      <c r="RT76" s="1"/>
      <c r="RU76" s="1"/>
      <c r="RV76" s="1"/>
      <c r="RW76" s="1"/>
      <c r="RX76" s="1"/>
      <c r="RY76" s="1"/>
      <c r="RZ76" s="1"/>
      <c r="SA76" s="1"/>
      <c r="SB76" s="1"/>
      <c r="SC76" s="1"/>
      <c r="SD76" s="1"/>
      <c r="SE76" s="1"/>
      <c r="SF76" s="1"/>
      <c r="SG76" s="1"/>
      <c r="SH76" s="1"/>
      <c r="SI76" s="1"/>
      <c r="SJ76" s="1"/>
      <c r="SK76" s="1"/>
      <c r="SL76" s="1"/>
      <c r="SM76" s="1"/>
      <c r="SN76" s="1"/>
      <c r="SO76" s="1"/>
      <c r="SP76" s="1"/>
      <c r="SQ76" s="1"/>
      <c r="SR76" s="1"/>
      <c r="SS76" s="1"/>
      <c r="ST76" s="1"/>
      <c r="SU76" s="1"/>
      <c r="SV76" s="1"/>
      <c r="SW76" s="1"/>
      <c r="SX76" s="1"/>
      <c r="SY76" s="1"/>
      <c r="SZ76" s="1"/>
      <c r="TA76" s="1"/>
      <c r="TB76" s="1"/>
      <c r="TC76" s="1"/>
      <c r="TD76" s="1"/>
      <c r="TE76" s="1"/>
      <c r="TF76" s="1"/>
      <c r="TG76" s="1"/>
      <c r="TH76" s="1"/>
      <c r="TI76" s="1"/>
      <c r="TJ76" s="1"/>
      <c r="TK76" s="1"/>
      <c r="TL76" s="1"/>
      <c r="TM76" s="1"/>
      <c r="TN76" s="1"/>
      <c r="TO76" s="1"/>
      <c r="TP76" s="1"/>
      <c r="TQ76" s="1"/>
      <c r="TR76" s="1"/>
      <c r="TS76" s="1"/>
      <c r="TT76" s="1"/>
      <c r="TU76" s="1"/>
      <c r="TV76" s="1"/>
      <c r="TW76" s="1"/>
      <c r="TX76" s="1"/>
      <c r="TY76" s="1"/>
      <c r="TZ76" s="1"/>
      <c r="UA76" s="1"/>
      <c r="UB76" s="1"/>
      <c r="UC76" s="1"/>
      <c r="UD76" s="1"/>
      <c r="UE76" s="1"/>
      <c r="UF76" s="1"/>
      <c r="UG76" s="1"/>
      <c r="UH76" s="1"/>
      <c r="UI76" s="1"/>
      <c r="UJ76" s="1"/>
      <c r="UK76" s="1"/>
      <c r="UL76" s="1"/>
      <c r="UM76" s="1"/>
      <c r="UN76" s="1"/>
      <c r="UO76" s="1"/>
      <c r="UP76" s="1"/>
      <c r="UQ76" s="1"/>
      <c r="UR76" s="1"/>
      <c r="US76" s="1"/>
      <c r="UT76" s="1"/>
      <c r="UU76" s="1"/>
      <c r="UV76" s="1"/>
      <c r="UW76" s="1"/>
      <c r="UX76" s="1"/>
      <c r="UY76" s="1"/>
      <c r="UZ76" s="1"/>
      <c r="VA76" s="1"/>
      <c r="VB76" s="1"/>
      <c r="VC76" s="1"/>
      <c r="VD76" s="1"/>
      <c r="VE76" s="1"/>
      <c r="VF76" s="1"/>
      <c r="VG76" s="1"/>
      <c r="VH76" s="1"/>
      <c r="VI76" s="1"/>
      <c r="VJ76" s="1"/>
      <c r="VK76" s="1"/>
      <c r="VL76" s="1"/>
      <c r="VM76" s="1"/>
      <c r="VN76" s="1"/>
      <c r="VO76" s="1"/>
      <c r="VP76" s="1"/>
      <c r="VQ76" s="1"/>
      <c r="VR76" s="1"/>
      <c r="VS76" s="1"/>
      <c r="VT76" s="1"/>
      <c r="VU76" s="1"/>
      <c r="VV76" s="1"/>
      <c r="VW76" s="1"/>
      <c r="VX76" s="1"/>
      <c r="VY76" s="1"/>
      <c r="VZ76" s="1"/>
      <c r="WA76" s="1"/>
      <c r="WB76" s="1"/>
      <c r="WC76" s="1"/>
      <c r="WD76" s="1"/>
      <c r="WE76" s="1"/>
      <c r="WF76" s="1"/>
      <c r="WG76" s="1"/>
      <c r="WH76" s="1"/>
      <c r="WI76" s="1"/>
      <c r="WJ76" s="1"/>
      <c r="WK76" s="1"/>
      <c r="WL76" s="1"/>
      <c r="WM76" s="1"/>
      <c r="WN76" s="1"/>
      <c r="WO76" s="1"/>
      <c r="WP76" s="1"/>
      <c r="WQ76" s="1"/>
      <c r="WR76" s="1"/>
      <c r="WS76" s="1"/>
      <c r="WT76" s="1"/>
      <c r="WU76" s="1"/>
      <c r="WV76" s="1"/>
      <c r="WW76" s="1"/>
      <c r="WX76" s="1"/>
      <c r="WY76" s="1"/>
      <c r="WZ76" s="1"/>
      <c r="XA76" s="1"/>
      <c r="XB76" s="1"/>
      <c r="XC76" s="1"/>
      <c r="XD76" s="1"/>
      <c r="XE76" s="1"/>
      <c r="XF76" s="1"/>
      <c r="XG76" s="1"/>
      <c r="XH76" s="1"/>
      <c r="XI76" s="1"/>
      <c r="XJ76" s="1"/>
      <c r="XK76" s="1"/>
      <c r="XL76" s="1"/>
      <c r="XM76" s="1"/>
      <c r="XN76" s="1"/>
      <c r="XO76" s="1"/>
      <c r="XP76" s="1"/>
      <c r="XQ76" s="1"/>
      <c r="XR76" s="1"/>
      <c r="XS76" s="1"/>
      <c r="XT76" s="1"/>
      <c r="XU76" s="1"/>
      <c r="XV76" s="1"/>
      <c r="XW76" s="1"/>
      <c r="XX76" s="1"/>
      <c r="XY76" s="1"/>
      <c r="XZ76" s="1"/>
      <c r="YA76" s="1"/>
      <c r="YB76" s="1"/>
      <c r="YC76" s="1"/>
      <c r="YD76" s="1"/>
      <c r="YE76" s="1"/>
      <c r="YF76" s="1"/>
      <c r="YG76" s="1"/>
      <c r="YH76" s="1"/>
      <c r="YI76" s="1"/>
      <c r="YJ76" s="1"/>
      <c r="YK76" s="1"/>
      <c r="YL76" s="1"/>
      <c r="YM76" s="1"/>
      <c r="YN76" s="1"/>
      <c r="YO76" s="1"/>
      <c r="YP76" s="1"/>
      <c r="YQ76" s="1"/>
      <c r="YR76" s="1"/>
      <c r="YS76" s="1"/>
      <c r="YT76" s="1"/>
      <c r="YU76" s="1"/>
      <c r="YV76" s="1"/>
      <c r="YW76" s="1"/>
      <c r="YX76" s="1"/>
      <c r="YY76" s="1"/>
      <c r="YZ76" s="1"/>
      <c r="ZA76" s="1"/>
      <c r="ZB76" s="1"/>
      <c r="ZC76" s="1"/>
      <c r="ZD76" s="1"/>
      <c r="ZE76" s="1"/>
      <c r="ZF76" s="1"/>
      <c r="ZG76" s="1"/>
      <c r="ZH76" s="1"/>
      <c r="ZI76" s="1"/>
      <c r="ZJ76" s="1"/>
      <c r="ZK76" s="1"/>
      <c r="ZL76" s="1"/>
      <c r="ZM76" s="1"/>
      <c r="ZN76" s="1"/>
      <c r="ZO76" s="1"/>
      <c r="ZP76" s="1"/>
      <c r="ZQ76" s="1"/>
      <c r="ZR76" s="1"/>
      <c r="ZS76" s="1"/>
      <c r="ZT76" s="1"/>
      <c r="ZU76" s="1"/>
      <c r="ZV76" s="1"/>
      <c r="ZW76" s="1"/>
      <c r="ZX76" s="1"/>
      <c r="ZY76" s="1"/>
      <c r="ZZ76" s="1"/>
      <c r="AAA76" s="1"/>
      <c r="AAB76" s="1"/>
      <c r="AAC76" s="1"/>
      <c r="AAD76" s="1"/>
      <c r="AAE76" s="1"/>
      <c r="AAF76" s="1"/>
      <c r="AAG76" s="1"/>
      <c r="AAH76" s="1"/>
      <c r="AAI76" s="1"/>
      <c r="AAJ76" s="1"/>
      <c r="AAK76" s="1"/>
      <c r="AAL76" s="1"/>
      <c r="AAM76" s="1"/>
      <c r="AAN76" s="1"/>
      <c r="AAO76" s="1"/>
      <c r="AAP76" s="1"/>
      <c r="AAQ76" s="1"/>
      <c r="AAR76" s="1"/>
      <c r="AAS76" s="1"/>
      <c r="AAT76" s="1"/>
      <c r="AAU76" s="1"/>
      <c r="AAV76" s="1"/>
      <c r="AAW76" s="1"/>
      <c r="AAX76" s="1"/>
      <c r="AAY76" s="1"/>
      <c r="AAZ76" s="1"/>
      <c r="ABA76" s="1"/>
      <c r="ABB76" s="1"/>
      <c r="ABC76" s="1"/>
      <c r="ABD76" s="1"/>
      <c r="ABE76" s="1"/>
      <c r="ABF76" s="1"/>
      <c r="ABG76" s="1"/>
      <c r="ABH76" s="1"/>
      <c r="ABI76" s="1"/>
      <c r="ABJ76" s="1"/>
      <c r="ABK76" s="1"/>
      <c r="ABL76" s="1"/>
      <c r="ABM76" s="1"/>
      <c r="ABN76" s="1"/>
      <c r="ABO76" s="1"/>
      <c r="ABP76" s="1"/>
      <c r="ABQ76" s="1"/>
      <c r="ABR76" s="1"/>
      <c r="ABS76" s="1"/>
      <c r="ABT76" s="1"/>
      <c r="ABU76" s="1"/>
      <c r="ABV76" s="1"/>
      <c r="ABW76" s="1"/>
      <c r="ABX76" s="1"/>
      <c r="ABY76" s="1"/>
      <c r="ABZ76" s="1"/>
      <c r="ACA76" s="1"/>
      <c r="ACB76" s="1"/>
      <c r="ACC76" s="1"/>
      <c r="ACD76" s="1"/>
      <c r="ACE76" s="1"/>
      <c r="ACF76" s="1"/>
      <c r="ACG76" s="1"/>
      <c r="ACH76" s="1"/>
      <c r="ACI76" s="1"/>
      <c r="ACJ76" s="1"/>
      <c r="ACK76" s="1"/>
      <c r="ACL76" s="1"/>
      <c r="ACM76" s="1"/>
      <c r="ACN76" s="1"/>
      <c r="ACO76" s="1"/>
      <c r="ACP76" s="1"/>
      <c r="ACQ76" s="1"/>
      <c r="ACR76" s="1"/>
      <c r="ACS76" s="1"/>
      <c r="ACT76" s="1"/>
      <c r="ACU76" s="1"/>
      <c r="ACV76" s="1"/>
      <c r="ACW76" s="1"/>
      <c r="ACX76" s="1"/>
      <c r="ACY76" s="1"/>
      <c r="ACZ76" s="1"/>
      <c r="ADA76" s="1"/>
      <c r="ADB76" s="1"/>
      <c r="ADC76" s="1"/>
      <c r="ADD76" s="1"/>
      <c r="ADE76" s="1"/>
      <c r="ADF76" s="1"/>
      <c r="ADG76" s="1"/>
      <c r="ADH76" s="1"/>
      <c r="ADI76" s="1"/>
      <c r="ADJ76" s="1"/>
      <c r="ADK76" s="1"/>
      <c r="ADL76" s="1"/>
      <c r="ADM76" s="1"/>
      <c r="ADN76" s="1"/>
      <c r="ADO76" s="1"/>
      <c r="ADP76" s="1"/>
      <c r="ADQ76" s="1"/>
      <c r="ADR76" s="1"/>
      <c r="ADS76" s="1"/>
      <c r="ADT76" s="1"/>
      <c r="ADU76" s="1"/>
      <c r="ADV76" s="1"/>
      <c r="ADW76" s="1"/>
      <c r="ADX76" s="1"/>
      <c r="ADY76" s="1"/>
      <c r="ADZ76" s="1"/>
      <c r="AEA76" s="1"/>
      <c r="AEB76" s="1"/>
      <c r="AEC76" s="1"/>
      <c r="AED76" s="1"/>
      <c r="AEE76" s="1"/>
      <c r="AEF76" s="1"/>
      <c r="AEG76" s="1"/>
      <c r="AEH76" s="1"/>
      <c r="AEI76" s="1"/>
      <c r="AEJ76" s="1"/>
      <c r="AEK76" s="1"/>
      <c r="AEL76" s="1"/>
      <c r="AEM76" s="1"/>
      <c r="AEN76" s="1"/>
      <c r="AEO76" s="1"/>
      <c r="AEP76" s="1"/>
      <c r="AEQ76" s="1"/>
      <c r="AER76" s="1"/>
      <c r="AES76" s="1"/>
      <c r="AET76" s="1"/>
      <c r="AEU76" s="1"/>
      <c r="AEV76" s="1"/>
      <c r="AEW76" s="1"/>
      <c r="AEX76" s="1"/>
      <c r="AEY76" s="1"/>
      <c r="AEZ76" s="1"/>
      <c r="AFA76" s="1"/>
      <c r="AFB76" s="1"/>
      <c r="AFC76" s="1"/>
      <c r="AFD76" s="1"/>
      <c r="AFE76" s="1"/>
      <c r="AFF76" s="1"/>
      <c r="AFG76" s="1"/>
      <c r="AFH76" s="1"/>
      <c r="AFI76" s="1"/>
      <c r="AFJ76" s="1"/>
      <c r="AFK76" s="1"/>
      <c r="AFL76" s="1"/>
      <c r="AFM76" s="1"/>
      <c r="AFN76" s="1"/>
      <c r="AFO76" s="1"/>
      <c r="AFP76" s="1"/>
      <c r="AFQ76" s="1"/>
      <c r="AFR76" s="1"/>
      <c r="AFS76" s="1"/>
      <c r="AFT76" s="1"/>
      <c r="AFU76" s="1"/>
      <c r="AFV76" s="1"/>
      <c r="AFW76" s="1"/>
      <c r="AFX76" s="1"/>
      <c r="AFY76" s="1"/>
      <c r="AFZ76" s="1"/>
      <c r="AGA76" s="1"/>
      <c r="AGB76" s="1"/>
      <c r="AGC76" s="1"/>
      <c r="AGD76" s="1"/>
      <c r="AGE76" s="1"/>
      <c r="AGF76" s="1"/>
      <c r="AGG76" s="1"/>
      <c r="AGH76" s="1"/>
      <c r="AGI76" s="1"/>
      <c r="AGJ76" s="1"/>
      <c r="AGK76" s="1"/>
      <c r="AGL76" s="1"/>
      <c r="AGM76" s="1"/>
      <c r="AGN76" s="1"/>
      <c r="AGO76" s="1"/>
      <c r="AGP76" s="1"/>
      <c r="AGQ76" s="1"/>
      <c r="AGR76" s="1"/>
      <c r="AGS76" s="1"/>
      <c r="AGT76" s="1"/>
      <c r="AGU76" s="1"/>
      <c r="AGV76" s="1"/>
      <c r="AGW76" s="1"/>
      <c r="AGX76" s="1"/>
      <c r="AGY76" s="1"/>
      <c r="AGZ76" s="1"/>
      <c r="AHA76" s="1"/>
      <c r="AHB76" s="1"/>
      <c r="AHC76" s="1"/>
      <c r="AHD76" s="1"/>
      <c r="AHE76" s="1"/>
      <c r="AHF76" s="1"/>
      <c r="AHG76" s="1"/>
      <c r="AHH76" s="1"/>
      <c r="AHI76" s="1"/>
      <c r="AHJ76" s="1"/>
      <c r="AHK76" s="1"/>
      <c r="AHL76" s="1"/>
      <c r="AHM76" s="1"/>
      <c r="AHN76" s="1"/>
      <c r="AHO76" s="1"/>
      <c r="AHP76" s="1"/>
      <c r="AHQ76" s="1"/>
      <c r="AHR76" s="1"/>
      <c r="AHS76" s="1"/>
      <c r="AHT76" s="1"/>
      <c r="AHU76" s="1"/>
      <c r="AHV76" s="1"/>
      <c r="AHW76" s="1"/>
      <c r="AHX76" s="1"/>
      <c r="AHY76" s="1"/>
      <c r="AHZ76" s="1"/>
      <c r="AIA76" s="1"/>
      <c r="AIB76" s="1"/>
      <c r="AIC76" s="1"/>
      <c r="AID76" s="1"/>
      <c r="AIE76" s="1"/>
      <c r="AIF76" s="1"/>
      <c r="AIG76" s="1"/>
      <c r="AIH76" s="1"/>
      <c r="AII76" s="1"/>
      <c r="AIJ76" s="1"/>
      <c r="AIK76" s="1"/>
      <c r="AIL76" s="1"/>
      <c r="AIM76" s="1"/>
      <c r="AIN76" s="1"/>
      <c r="AIO76" s="1"/>
      <c r="AIP76" s="1"/>
      <c r="AIQ76" s="1"/>
      <c r="AIR76" s="1"/>
      <c r="AIS76" s="1"/>
      <c r="AIT76" s="1"/>
      <c r="AIU76" s="1"/>
      <c r="AIV76" s="1"/>
      <c r="AIW76" s="1"/>
      <c r="AIX76" s="1"/>
      <c r="AIY76" s="1"/>
      <c r="AIZ76" s="1"/>
      <c r="AJA76" s="1"/>
      <c r="AJB76" s="1"/>
      <c r="AJC76" s="1"/>
      <c r="AJD76" s="1"/>
      <c r="AJE76" s="1"/>
      <c r="AJF76" s="1"/>
      <c r="AJG76" s="1"/>
      <c r="AJH76" s="1"/>
      <c r="AJI76" s="1"/>
      <c r="AJJ76" s="1"/>
      <c r="AJK76" s="1"/>
      <c r="AJL76" s="1"/>
      <c r="AJM76" s="1"/>
      <c r="AJN76" s="1"/>
      <c r="AJO76" s="1"/>
      <c r="AJP76" s="1"/>
      <c r="AJQ76" s="1"/>
      <c r="AJR76" s="1"/>
      <c r="AJS76" s="1"/>
      <c r="AJT76" s="1"/>
      <c r="AJU76" s="1"/>
      <c r="AJV76" s="1"/>
      <c r="AJW76" s="1"/>
      <c r="AJX76" s="1"/>
      <c r="AJY76" s="1"/>
      <c r="AJZ76" s="1"/>
      <c r="AKA76" s="1"/>
      <c r="AKB76" s="1"/>
      <c r="AKC76" s="1"/>
      <c r="AKD76" s="1"/>
      <c r="AKE76" s="1"/>
      <c r="AKF76" s="1"/>
      <c r="AKG76" s="1"/>
      <c r="AKH76" s="1"/>
      <c r="AKI76" s="1"/>
      <c r="AKJ76" s="1"/>
      <c r="AKK76" s="1"/>
      <c r="AKL76" s="1"/>
      <c r="AKM76" s="1"/>
      <c r="AKN76" s="1"/>
      <c r="AKO76" s="1"/>
      <c r="AKP76" s="1"/>
      <c r="AKQ76" s="1"/>
      <c r="AKR76" s="1"/>
      <c r="AKS76" s="1"/>
      <c r="AKT76" s="1"/>
      <c r="AKU76" s="1"/>
      <c r="AKV76" s="1"/>
      <c r="AKW76" s="1"/>
      <c r="AKX76" s="1"/>
      <c r="AKY76" s="1"/>
      <c r="AKZ76" s="1"/>
      <c r="ALA76" s="1"/>
      <c r="ALB76" s="1"/>
      <c r="ALC76" s="1"/>
      <c r="ALD76" s="1"/>
      <c r="ALE76" s="1"/>
      <c r="ALF76" s="1"/>
      <c r="ALG76" s="1"/>
      <c r="ALH76" s="1"/>
      <c r="ALI76" s="1"/>
      <c r="ALJ76" s="1"/>
      <c r="ALK76" s="1"/>
      <c r="ALL76" s="1"/>
      <c r="ALM76" s="1"/>
      <c r="ALN76" s="1"/>
      <c r="ALO76" s="1"/>
      <c r="ALP76" s="1"/>
      <c r="ALQ76" s="1"/>
      <c r="ALR76" s="1"/>
      <c r="ALS76" s="1"/>
      <c r="ALT76" s="1"/>
      <c r="ALU76" s="1"/>
      <c r="ALV76" s="1"/>
      <c r="ALW76" s="1"/>
      <c r="ALX76" s="1"/>
      <c r="ALY76" s="1"/>
      <c r="ALZ76" s="1"/>
      <c r="AMA76" s="1"/>
      <c r="AMB76" s="1"/>
      <c r="AMC76" s="1"/>
      <c r="AMD76" s="1"/>
      <c r="AME76" s="1"/>
      <c r="AMF76" s="1"/>
      <c r="AMG76" s="1"/>
      <c r="AMH76" s="1"/>
      <c r="AMI76" s="1"/>
      <c r="AMJ76" s="1"/>
    </row>
    <row r="77" customFormat="false" ht="13.8" hidden="false" customHeight="false" outlineLevel="0" collapsed="false">
      <c r="A77" s="18" t="s">
        <v>479</v>
      </c>
      <c r="B77" s="18" t="s">
        <v>480</v>
      </c>
      <c r="C77" s="1" t="n">
        <v>22</v>
      </c>
      <c r="E77" s="1" t="n">
        <v>1027</v>
      </c>
      <c r="F77" s="1" t="s">
        <v>89</v>
      </c>
      <c r="G77" s="1" t="s">
        <v>443</v>
      </c>
      <c r="H77" s="1" t="s">
        <v>443</v>
      </c>
      <c r="I77" s="1" t="s">
        <v>153</v>
      </c>
      <c r="J77" s="1" t="n">
        <v>1955</v>
      </c>
      <c r="K77" s="1" t="n">
        <v>1974</v>
      </c>
      <c r="L77" s="1" t="n">
        <v>1982</v>
      </c>
      <c r="W77" s="1" t="n">
        <v>9.7</v>
      </c>
      <c r="Y77" s="1" t="n">
        <v>4</v>
      </c>
      <c r="AA77" s="4" t="str">
        <f aca="false">IF(AND(W77&gt;0,Z77&gt;0),(Z77/((W77+X77)*10)),"")</f>
        <v/>
      </c>
      <c r="AB77" s="1" t="n">
        <v>60</v>
      </c>
      <c r="AC77" s="1" t="n">
        <f aca="false">ROUND(AB77*1.6, 0)</f>
        <v>96</v>
      </c>
      <c r="AF77" s="1" t="n">
        <v>7.6</v>
      </c>
      <c r="AG77" s="1" t="n">
        <v>8</v>
      </c>
      <c r="AH77" s="1" t="n">
        <v>2.5</v>
      </c>
      <c r="AI77" s="1" t="n">
        <v>3.35</v>
      </c>
      <c r="AJ77" s="5" t="n">
        <v>22</v>
      </c>
      <c r="AK77" s="0" t="str">
        <f aca="false">CONCATENATE(VLOOKUP(AL77, 'Voxel Sizes'!$A$2:$B$18,2,FALSE()),"x",INT(AH77*15), "x", INT(AI77*15))</f>
        <v>82x37x50</v>
      </c>
      <c r="AL77" s="1" t="n">
        <f aca="false">ROUND(15*((AG77*10)/256),0)</f>
        <v>5</v>
      </c>
      <c r="AN77" s="1" t="str">
        <f aca="false">CONCATENATE(VLOOKUP(AL77,Constants!$A$2:$C$16,IF(AM77&lt;&gt;"", 3, 2), FALSE()),IF(AM77&lt;&gt;"",CONCATENATE(",",VLOOKUP(AM77,$B:$AN,38,FALSE())),""))</f>
        <v>2,1,2</v>
      </c>
      <c r="AX77" s="1" t="n">
        <v>30</v>
      </c>
      <c r="AY77" s="6" t="n">
        <f aca="false">IF(L77&lt;&gt;"",MAX(16,(L77-J77)+8),"")</f>
        <v>35</v>
      </c>
      <c r="AZ77" s="1" t="n">
        <v>5</v>
      </c>
      <c r="BB77" s="1" t="n">
        <f aca="false">MIN(AB77/150, 1)*30</f>
        <v>12</v>
      </c>
      <c r="BC77" s="1" t="n">
        <f aca="false">MIN(N77/4000, 1)*20</f>
        <v>0</v>
      </c>
      <c r="BD77" s="1" t="n">
        <f aca="false">MIN(Z77/400,1)*20</f>
        <v>0</v>
      </c>
      <c r="BE77" s="4" t="n">
        <f aca="false">1-(MAX(J77-1900, 0)/750)</f>
        <v>0.926666666666667</v>
      </c>
      <c r="BF77" s="1" t="n">
        <f aca="false">((MAX($M77,1)*MIN($AJ77/300,1)))*IF(G77="Wagon",50,10)</f>
        <v>3.66666666666667</v>
      </c>
      <c r="BG77" s="1" t="n">
        <f aca="false">VLOOKUP($H77,Constants!$I:$K, 2, FALSE())</f>
        <v>1</v>
      </c>
      <c r="BH77" s="1" t="n">
        <f aca="false">VLOOKUP($H77,Constants!$I:$K, 3, FALSE())*IF(AND(G77="multiple_unit",AB77&lt;110),0.75,1)</f>
        <v>0.45</v>
      </c>
      <c r="BI77" s="1" t="n">
        <f aca="false">INT(POWER(((Constants!$G$2+$BB77+$BC77+$BD77+$BF77)*$BE77)*$BH77, 1.05))+$BA77</f>
        <v>9</v>
      </c>
      <c r="BJ77" s="1" t="n">
        <f aca="false">INT(POWER((((Constants!$G$1+$BB77+$BC77+$BD77+$BF77)*($BE77))*$BG77),IF($G77="wagon",1,1.2)))+$AZ77</f>
        <v>33</v>
      </c>
      <c r="BK77" s="19" t="n">
        <f aca="false">BI77*IF($G77="wagon",62.5,781.25)</f>
        <v>562.5</v>
      </c>
      <c r="BL77" s="19" t="n">
        <f aca="false">BJ77*IF($G77="wagon",2.73,81.25)</f>
        <v>90.09</v>
      </c>
      <c r="BT77" s="1" t="n">
        <v>1</v>
      </c>
      <c r="BU77" s="1" t="n">
        <v>185</v>
      </c>
      <c r="BV77" s="1" t="s">
        <v>457</v>
      </c>
      <c r="BX77" s="1" t="s">
        <v>471</v>
      </c>
      <c r="BY77" s="1" t="str">
        <f aca="false">VLOOKUP(J77,Eras!$A$2:$C$10, 2, TRUE())</f>
        <v>dsl</v>
      </c>
      <c r="BZ77" s="18" t="s">
        <v>446</v>
      </c>
      <c r="CA77" s="1" t="str">
        <f aca="false">CONCATENATE(BY77,"_",BZ77)</f>
        <v>dsl_Tanker</v>
      </c>
      <c r="CB77" s="1" t="str">
        <f aca="false">_xlfn.CONCAT(H77, "_",I77)</f>
        <v>wagon_RAIL</v>
      </c>
      <c r="CC77" s="20" t="str">
        <f aca="false">_xlfn.CONCAT("{BLACK}Length: {GOLD}", TEXT(ROUNDUP(IF(AQ77&lt;&gt;"",SUM(VALUE(_xlfn.TEXTSPLIT(AQ77, ","))), SUM(VALUE(_xlfn.TEXTSPLIT(AN77, ",")))*IF(M77, M77, 1))/16, 1), "#,##0.0"), " tiles{}")</f>
        <v>{BLACK}Length: {GOLD}0.4 tiles{}</v>
      </c>
      <c r="CD77" s="1" t="str">
        <f aca="false">VLOOKUP($CB77, Constants!$M:$N, 2, FALSE())</f>
        <v/>
      </c>
      <c r="CE77" s="1" t="str">
        <f aca="false">IF(M77&gt;1,_xlfn.CONCAT("{BLACK}Cars: {GOLD}", M77),"")</f>
        <v/>
      </c>
      <c r="CF77" s="1" t="s">
        <v>481</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{BLACK}Length: {GOLD}0.4 tiles{}{SILVER}This is a representative BR GRAINFIT wagon, a vacuum-braked bulk hopper derived from the 1930s LMS design.</v>
      </c>
      <c r="CI77" s="1"/>
      <c r="CJ77" s="1"/>
    </row>
    <row r="78" customFormat="false" ht="13.8" hidden="false" customHeight="false" outlineLevel="0" collapsed="false">
      <c r="A78" s="18" t="s">
        <v>482</v>
      </c>
      <c r="B78" s="18" t="s">
        <v>483</v>
      </c>
      <c r="C78" s="1" t="n">
        <v>23</v>
      </c>
      <c r="E78" s="1" t="n">
        <v>1029</v>
      </c>
      <c r="F78" s="1" t="s">
        <v>89</v>
      </c>
      <c r="G78" s="1" t="s">
        <v>443</v>
      </c>
      <c r="H78" s="1" t="s">
        <v>443</v>
      </c>
      <c r="I78" s="1" t="s">
        <v>153</v>
      </c>
      <c r="J78" s="1" t="n">
        <v>1966</v>
      </c>
      <c r="K78" s="1" t="n">
        <v>1996</v>
      </c>
      <c r="L78" s="1" t="n">
        <v>2002</v>
      </c>
      <c r="W78" s="1" t="n">
        <v>12.9</v>
      </c>
      <c r="Y78" s="1" t="n">
        <v>5</v>
      </c>
      <c r="AA78" s="4" t="str">
        <f aca="false">IF(AND(W78&gt;0,Z78&gt;0),(Z78/((W78+X78)*10)),"")</f>
        <v/>
      </c>
      <c r="AB78" s="1" t="n">
        <v>60</v>
      </c>
      <c r="AC78" s="1" t="n">
        <f aca="false">ROUND(AB78*1.6, 0)</f>
        <v>96</v>
      </c>
      <c r="AF78" s="1" t="n">
        <v>8.8</v>
      </c>
      <c r="AG78" s="1" t="n">
        <v>10</v>
      </c>
      <c r="AH78" s="1" t="n">
        <v>2.7</v>
      </c>
      <c r="AI78" s="1" t="n">
        <v>3.8</v>
      </c>
      <c r="AJ78" s="5" t="n">
        <v>36</v>
      </c>
      <c r="AK78" s="0" t="str">
        <f aca="false">CONCATENATE(VLOOKUP(AL78, 'Voxel Sizes'!$A$2:$B$18,2,FALSE()),"x",INT(AH78*15), "x", INT(AI78*15))</f>
        <v>102x40x57</v>
      </c>
      <c r="AL78" s="1" t="n">
        <f aca="false">ROUND(15*((AG78*10)/256),0)</f>
        <v>6</v>
      </c>
      <c r="AN78" s="1" t="str">
        <f aca="false">CONCATENATE(VLOOKUP(AL78,Constants!$A$2:$C$16,IF(AM78&lt;&gt;"", 3, 2), FALSE()),IF(AM78&lt;&gt;"",CONCATENATE(",",VLOOKUP(AM78,$B:$AN,38,FALSE())),""))</f>
        <v>2,2,2</v>
      </c>
      <c r="AX78" s="1" t="n">
        <v>30</v>
      </c>
      <c r="AY78" s="6" t="n">
        <f aca="false">IF(L78&lt;&gt;"",MAX(16,(L78-J78)+8),"")</f>
        <v>44</v>
      </c>
      <c r="BB78" s="1" t="n">
        <f aca="false">MIN(AB78/150, 1)*30</f>
        <v>12</v>
      </c>
      <c r="BC78" s="1" t="n">
        <f aca="false">MIN(N78/4000, 1)*20</f>
        <v>0</v>
      </c>
      <c r="BD78" s="1" t="n">
        <f aca="false">MIN(Z78/400,1)*20</f>
        <v>0</v>
      </c>
      <c r="BE78" s="4" t="n">
        <f aca="false">1-(MAX(J78-1900, 0)/750)</f>
        <v>0.912</v>
      </c>
      <c r="BF78" s="1" t="n">
        <f aca="false">((MAX($M78,1)*MIN($AJ78/300,1)))*IF(G78="Wagon",50,10)</f>
        <v>6</v>
      </c>
      <c r="BG78" s="1" t="n">
        <f aca="false">VLOOKUP($H78,Constants!$I:$K, 2, FALSE())</f>
        <v>1</v>
      </c>
      <c r="BH78" s="1" t="n">
        <f aca="false">VLOOKUP($H78,Constants!$I:$K, 3, FALSE())*IF(AND(G78="multiple_unit",AB78&lt;110),0.75,1)</f>
        <v>0.45</v>
      </c>
      <c r="BI78" s="1" t="n">
        <f aca="false">INT(POWER(((Constants!$G$2+$BB78+$BC78+$BD78+$BF78)*$BE78)*$BH78, 1.05))+$BA78</f>
        <v>10</v>
      </c>
      <c r="BJ78" s="1" t="n">
        <f aca="false">INT(POWER((((Constants!$G$1+$BB78+$BC78+$BD78+$BF78)*($BE78))*$BG78),IF($G78="wagon",1,1.2)))+$AZ78</f>
        <v>30</v>
      </c>
      <c r="BK78" s="19" t="n">
        <f aca="false">BI78*IF($G78="wagon",62.5,781.25)</f>
        <v>625</v>
      </c>
      <c r="BL78" s="19" t="n">
        <f aca="false">BJ78*IF($G78="wagon",2.73,81.25)</f>
        <v>81.9</v>
      </c>
      <c r="BT78" s="1" t="n">
        <v>1</v>
      </c>
      <c r="BU78" s="1" t="n">
        <v>185</v>
      </c>
      <c r="BV78" s="1" t="s">
        <v>457</v>
      </c>
      <c r="BX78" s="1" t="s">
        <v>471</v>
      </c>
      <c r="BY78" s="1" t="str">
        <f aca="false">VLOOKUP(J78,Eras!$A$2:$C$10, 2, TRUE())</f>
        <v>dsl</v>
      </c>
      <c r="BZ78" s="18" t="s">
        <v>446</v>
      </c>
      <c r="CA78" s="1" t="str">
        <f aca="false">CONCATENATE(BY78,"_",BZ78)</f>
        <v>dsl_Tanker</v>
      </c>
      <c r="CB78" s="1" t="str">
        <f aca="false">_xlfn.CONCAT(H78, "_",I78)</f>
        <v>wagon_RAIL</v>
      </c>
      <c r="CC78" s="20" t="str">
        <f aca="false">_xlfn.CONCAT("{BLACK}Length: {GOLD}", TEXT(ROUNDUP(IF(AQ78&lt;&gt;"",SUM(VALUE(_xlfn.TEXTSPLIT(AQ78, ","))), SUM(VALUE(_xlfn.TEXTSPLIT(AN78, ",")))*IF(M78, M78, 1))/16, 1), "#,##0.0"), " tiles{}")</f>
        <v>{BLACK}Length: {GOLD}0.4 tiles{}</v>
      </c>
      <c r="CD78" s="1" t="str">
        <f aca="false">VLOOKUP($CB78, Constants!$M:$N, 2, FALSE())</f>
        <v/>
      </c>
      <c r="CE78" s="1" t="str">
        <f aca="false">IF(M78&gt;1,_xlfn.CONCAT("{BLACK}Cars: {GOLD}", M78),"")</f>
        <v/>
      </c>
      <c r="CF78" s="1" t="s">
        <v>484</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
      </c>
      <c r="CH78" s="1" t="str">
        <f aca="false">_xlfn.CONCAT(CD78,IF(CD78 &lt;&gt; "", " ", ""),CE78,IF(OR(CE78&lt;&gt;"", CD78&lt;&gt;""), "{}",""), CC78, CG78,"{SILVER}", CF78)</f>
        <v>{BLACK}Length: {GOLD}0.4 tiles{}{SILVER}The BR ‘Whiskey Covhops’ were a common sight on long-distance freight trains from southern England, headed for the distilleries of Scotland.</v>
      </c>
      <c r="CI78" s="1"/>
      <c r="CJ78" s="1"/>
    </row>
    <row r="79" customFormat="false" ht="13.8" hidden="false" customHeight="false" outlineLevel="0" collapsed="false">
      <c r="A79" s="1" t="s">
        <v>485</v>
      </c>
      <c r="B79" s="1" t="s">
        <v>486</v>
      </c>
      <c r="C79" s="1" t="n">
        <v>32</v>
      </c>
      <c r="E79" s="1" t="n">
        <v>1031</v>
      </c>
      <c r="F79" s="1" t="s">
        <v>89</v>
      </c>
      <c r="G79" s="1" t="s">
        <v>443</v>
      </c>
      <c r="H79" s="1" t="s">
        <v>443</v>
      </c>
      <c r="I79" s="1" t="s">
        <v>153</v>
      </c>
      <c r="J79" s="1" t="n">
        <v>1973</v>
      </c>
      <c r="W79" s="1" t="n">
        <v>22.7</v>
      </c>
      <c r="Y79" s="1" t="n">
        <v>5</v>
      </c>
      <c r="AA79" s="4" t="str">
        <f aca="false">IF(AND(W79&gt;0,Z79&gt;0),(Z79/((W79+X79)*10)),"")</f>
        <v/>
      </c>
      <c r="AB79" s="1" t="n">
        <v>75</v>
      </c>
      <c r="AC79" s="1" t="n">
        <f aca="false">ROUND(AB79*1.6, 0)</f>
        <v>120</v>
      </c>
      <c r="AF79" s="1" t="n">
        <v>18.3</v>
      </c>
      <c r="AG79" s="1" t="n">
        <v>18.3</v>
      </c>
      <c r="AH79" s="1" t="n">
        <v>2.7</v>
      </c>
      <c r="AI79" s="1" t="n">
        <v>3.8</v>
      </c>
      <c r="AJ79" s="5" t="n">
        <v>56</v>
      </c>
      <c r="AK79" s="0" t="str">
        <f aca="false">CONCATENATE(VLOOKUP(AL79, 'Voxel Sizes'!$A$2:$B$18,2,FALSE()),"x",INT(AH79*15), "x", INT(AI79*15))</f>
        <v>186x40x57</v>
      </c>
      <c r="AL79" s="1" t="n">
        <f aca="false">ROUND(15*((AG79*10)/256),0)</f>
        <v>11</v>
      </c>
      <c r="AN79" s="1" t="str">
        <f aca="false">CONCATENATE(VLOOKUP(AL79,Constants!$A$2:$C$16,IF(AM79&lt;&gt;"", 3, 2), FALSE()),IF(AM79&lt;&gt;"",CONCATENATE(",",VLOOKUP(AM79,$B:$AN,38,FALSE())),""))</f>
        <v>4,3,4</v>
      </c>
      <c r="AX79" s="1" t="n">
        <v>30</v>
      </c>
      <c r="AY79" s="6" t="str">
        <f aca="false">IF(L79&lt;&gt;"",MAX(16,(L79-J79)+8),"")</f>
        <v/>
      </c>
      <c r="BB79" s="1" t="n">
        <f aca="false">MIN(AB79/150, 1)*30</f>
        <v>15</v>
      </c>
      <c r="BC79" s="1" t="n">
        <f aca="false">MIN(N79/4000, 1)*20</f>
        <v>0</v>
      </c>
      <c r="BD79" s="1" t="n">
        <f aca="false">MIN(Z79/400,1)*20</f>
        <v>0</v>
      </c>
      <c r="BE79" s="4" t="n">
        <f aca="false">1-(MAX(J79-1900, 0)/750)</f>
        <v>0.902666666666667</v>
      </c>
      <c r="BF79" s="1" t="n">
        <f aca="false">((MAX($M79,1)*MIN($AJ79/300,1)))*IF(G79="Wagon",50,10)</f>
        <v>9.33333333333333</v>
      </c>
      <c r="BG79" s="1" t="n">
        <f aca="false">VLOOKUP($H79,Constants!$I:$K, 2, FALSE())</f>
        <v>1</v>
      </c>
      <c r="BH79" s="1" t="n">
        <f aca="false">VLOOKUP($H79,Constants!$I:$K, 3, FALSE())*IF(AND(G79="multiple_unit",AB79&lt;110),0.75,1)</f>
        <v>0.45</v>
      </c>
      <c r="BI79" s="1" t="n">
        <f aca="false">INT(POWER(((Constants!$G$2+$BB79+$BC79+$BD79+$BF79)*$BE79)*$BH79, 1.05))+$BA79</f>
        <v>13</v>
      </c>
      <c r="BJ79" s="1" t="n">
        <f aca="false">INT(POWER((((Constants!$G$1+$BB79+$BC79+$BD79+$BF79)*($BE79))*$BG79),IF($G79="wagon",1,1.2)))+$AZ79</f>
        <v>35</v>
      </c>
      <c r="BK79" s="19" t="n">
        <f aca="false">BI79*IF($G79="wagon",62.5,781.25)</f>
        <v>812.5</v>
      </c>
      <c r="BL79" s="19" t="n">
        <f aca="false">BJ79*IF($G79="wagon",2.73,81.25)</f>
        <v>95.55</v>
      </c>
      <c r="BT79" s="1" t="n">
        <v>1</v>
      </c>
      <c r="BU79" s="1" t="n">
        <v>185</v>
      </c>
      <c r="BV79" s="1" t="s">
        <v>457</v>
      </c>
      <c r="BX79" s="1" t="s">
        <v>471</v>
      </c>
      <c r="BY79" s="1" t="str">
        <f aca="false">VLOOKUP(J79,Eras!$A$2:$C$10, 2, TRUE())</f>
        <v>lbr</v>
      </c>
      <c r="BZ79" s="18" t="s">
        <v>446</v>
      </c>
      <c r="CA79" s="1" t="str">
        <f aca="false">CONCATENATE(BY79,"_",BZ79)</f>
        <v>lbr_Tanker</v>
      </c>
      <c r="CB79" s="1" t="str">
        <f aca="false">_xlfn.CONCAT(H79, "_",I79)</f>
        <v>wagon_RAIL</v>
      </c>
      <c r="CC79" s="20" t="str">
        <f aca="false">_xlfn.CONCAT("{BLACK}Length: {GOLD}", TEXT(ROUNDUP(IF(AQ79&lt;&gt;"",SUM(VALUE(_xlfn.TEXTSPLIT(AQ79, ","))), SUM(VALUE(_xlfn.TEXTSPLIT(AN79, ",")))*IF(M79, M79, 1))/16, 1), "#,##0.0"), " tiles{}")</f>
        <v>{BLACK}Length: {GOLD}0.7 tiles{}</v>
      </c>
      <c r="CD79" s="1" t="str">
        <f aca="false">VLOOKUP($CB79, Constants!$M:$N, 2, FALSE())</f>
        <v/>
      </c>
      <c r="CE79" s="1" t="str">
        <f aca="false">IF(M79&gt;1,_xlfn.CONCAT("{BLACK}Cars: {GOLD}", M79),"")</f>
        <v/>
      </c>
      <c r="CF79" s="1" t="s">
        <v>487</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{BLACK}Length: {GOLD}0.7 tiles{}{SILVER}Large bogie covered hoppers first appeared in Britain in the mid 1970s. These were frequently privately owned and registered as international vehicles. This slab-sided ‘Polybulk’ example was built in France.</v>
      </c>
      <c r="CI79" s="1"/>
      <c r="CJ79" s="1"/>
    </row>
    <row r="80" customFormat="false" ht="13.8" hidden="false" customHeight="false" outlineLevel="0" collapsed="false">
      <c r="A80" s="18" t="s">
        <v>488</v>
      </c>
      <c r="B80" s="18" t="s">
        <v>489</v>
      </c>
      <c r="C80" s="1" t="n">
        <v>101</v>
      </c>
      <c r="E80" s="1" t="n">
        <v>1101</v>
      </c>
      <c r="F80" s="1" t="s">
        <v>89</v>
      </c>
      <c r="G80" s="1" t="s">
        <v>443</v>
      </c>
      <c r="H80" s="1" t="s">
        <v>490</v>
      </c>
      <c r="I80" s="1" t="s">
        <v>153</v>
      </c>
      <c r="J80" s="1" t="n">
        <v>1905</v>
      </c>
      <c r="K80" s="1" t="n">
        <v>1960</v>
      </c>
      <c r="L80" s="1" t="n">
        <v>1960</v>
      </c>
      <c r="W80" s="1" t="n">
        <v>39</v>
      </c>
      <c r="Y80" s="1" t="n">
        <v>4</v>
      </c>
      <c r="AA80" s="4" t="str">
        <f aca="false">IF(AND(W80&gt;0,Z80&gt;0),(Z80/((W80+X80)*10)),"")</f>
        <v/>
      </c>
      <c r="AB80" s="1" t="n">
        <v>90</v>
      </c>
      <c r="AC80" s="1" t="n">
        <f aca="false">ROUND(AB80*1.6, 0)</f>
        <v>144</v>
      </c>
      <c r="AF80" s="1" t="n">
        <v>19.8</v>
      </c>
      <c r="AG80" s="1" t="n">
        <v>20</v>
      </c>
      <c r="AH80" s="1" t="n">
        <v>2.82</v>
      </c>
      <c r="AI80" s="1" t="n">
        <v>3.79</v>
      </c>
      <c r="AJ80" s="5" t="n">
        <v>18</v>
      </c>
      <c r="AK80" s="0" t="str">
        <f aca="false">CONCATENATE(VLOOKUP(AL80, 'Voxel Sizes'!$A$2:$B$18,2,FALSE()),"x",INT(AH80*15), "x", INT(AI80*15))</f>
        <v>198x42x56</v>
      </c>
      <c r="AL80" s="1" t="n">
        <f aca="false">ROUND(15*((AG80*10)/256),0)</f>
        <v>12</v>
      </c>
      <c r="AN80" s="1" t="str">
        <f aca="false">CONCATENATE(VLOOKUP(AL80,Constants!$A$2:$C$16,IF(AM80&lt;&gt;"", 3, 2), FALSE()),IF(AM80&lt;&gt;"",CONCATENATE(",",VLOOKUP(AM80,$B:$AN,38,FALSE())),""))</f>
        <v>4,4,4</v>
      </c>
      <c r="AX80" s="1" t="n">
        <v>30</v>
      </c>
      <c r="AY80" s="6" t="n">
        <f aca="false">IF(L80&lt;&gt;"",MAX(16,(L80-J80)+8),"")</f>
        <v>63</v>
      </c>
      <c r="AZ80" s="1" t="n">
        <v>1000</v>
      </c>
      <c r="BA80" s="1" t="n">
        <v>110</v>
      </c>
      <c r="BB80" s="1" t="n">
        <f aca="false">MIN(AB80/150, 1)*30</f>
        <v>18</v>
      </c>
      <c r="BC80" s="1" t="n">
        <f aca="false">MIN(N80/4000, 1)*20</f>
        <v>0</v>
      </c>
      <c r="BD80" s="1" t="n">
        <f aca="false">MIN(Z80/400,1)*20</f>
        <v>0</v>
      </c>
      <c r="BE80" s="4" t="n">
        <f aca="false">1-(MAX(J80-1900, 0)/750)</f>
        <v>0.993333333333333</v>
      </c>
      <c r="BF80" s="1" t="n">
        <f aca="false">((MAX($M80,1)*MIN($AJ80/300,1)))*IF(G80="Wagon",50,10)</f>
        <v>3</v>
      </c>
      <c r="BG80" s="1" t="n">
        <f aca="false">VLOOKUP($H80,Constants!$I:$K, 2, FALSE())</f>
        <v>1.5</v>
      </c>
      <c r="BH80" s="1" t="n">
        <f aca="false">VLOOKUP($H80,Constants!$I:$K, 3, FALSE())*IF(AND(G80="multiple_unit",AB80&lt;110),0.75,1)</f>
        <v>0.7</v>
      </c>
      <c r="BI80" s="1" t="n">
        <f aca="false">INT(POWER(((Constants!$G$2+$BB80+$BC80+$BD80+$BF80)*$BE80)*$BH80, 1.05))+$BA80</f>
        <v>130</v>
      </c>
      <c r="BJ80" s="1" t="n">
        <f aca="false">INT(POWER((((Constants!$G$1+$BB80+$BC80+$BD80+$BF80)*($BE80))*$BG80),IF($G80="wagon",1,1.2)))+$AZ80</f>
        <v>1053</v>
      </c>
      <c r="BK80" s="19" t="n">
        <f aca="false">BI80*IF($G80="wagon",62.5,781.25)</f>
        <v>8125</v>
      </c>
      <c r="BL80" s="19" t="n">
        <f aca="false">BJ80*IF($G80="wagon",2.73,81.25)</f>
        <v>2874.69</v>
      </c>
      <c r="BT80" s="1" t="n">
        <v>2</v>
      </c>
      <c r="BU80" s="1" t="n">
        <v>278</v>
      </c>
      <c r="BV80" s="1" t="s">
        <v>227</v>
      </c>
      <c r="BX80" s="1" t="s">
        <v>95</v>
      </c>
      <c r="BY80" s="1" t="str">
        <f aca="false">VLOOKUP(J80,Eras!$A$2:$C$10, 2, TRUE())</f>
        <v>edw</v>
      </c>
      <c r="BZ80" s="18" t="s">
        <v>491</v>
      </c>
      <c r="CA80" s="1" t="str">
        <f aca="false">CONCATENATE(BY80,"_",BZ80)</f>
        <v>edw_Carriage</v>
      </c>
      <c r="CB80" s="1" t="str">
        <f aca="false">_xlfn.CONCAT(H80, "_",I80)</f>
        <v>luxury_carriage_RAIL</v>
      </c>
      <c r="CC80" s="20" t="str">
        <f aca="false">_xlfn.CONCAT("{BLACK}Length: {GOLD}", TEXT(ROUNDUP(IF(AQ80&lt;&gt;"",SUM(VALUE(_xlfn.TEXTSPLIT(AQ80, ","))), SUM(VALUE(_xlfn.TEXTSPLIT(AN80, ",")))*IF(M80, M80, 1))/16, 1), "#,##0.0"), " tiles{}")</f>
        <v>{BLACK}Length: {GOLD}0.8 tiles{}</v>
      </c>
      <c r="CD80" s="1" t="str">
        <f aca="false">VLOOKUP($CB80, Constants!$M:$N, 2, FALSE())</f>
        <v/>
      </c>
      <c r="CE80" s="1" t="str">
        <f aca="false">IF(M80&gt;1,_xlfn.CONCAT("{BLACK}Cars: {GOLD}", M80),"")</f>
        <v/>
      </c>
      <c r="CF80" s="1" t="s">
        <v>492</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{YELLOW}50% bonus for long distance travel{}</v>
      </c>
      <c r="CH80" s="1" t="str">
        <f aca="false">_xlfn.CONCAT(CD80,IF(CD80 &lt;&gt; "", " ", ""),CE80,IF(OR(CE80&lt;&gt;"", CD80&lt;&gt;""), "{}",""), CC80, CG80,"{SILVER}", CF80)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80" s="1"/>
      <c r="CJ80" s="1"/>
    </row>
    <row r="81" customFormat="false" ht="13.8" hidden="false" customHeight="false" outlineLevel="0" collapsed="false">
      <c r="A81" s="18" t="s">
        <v>493</v>
      </c>
      <c r="B81" s="18" t="s">
        <v>494</v>
      </c>
      <c r="C81" s="1" t="n">
        <v>108</v>
      </c>
      <c r="E81" s="1" t="n">
        <v>1102</v>
      </c>
      <c r="F81" s="1" t="s">
        <v>89</v>
      </c>
      <c r="G81" s="1" t="s">
        <v>443</v>
      </c>
      <c r="H81" s="1" t="s">
        <v>495</v>
      </c>
      <c r="I81" s="1" t="s">
        <v>153</v>
      </c>
      <c r="J81" s="1" t="n">
        <v>1957</v>
      </c>
      <c r="K81" s="1" t="n">
        <v>1981</v>
      </c>
      <c r="L81" s="1" t="n">
        <v>2002</v>
      </c>
      <c r="W81" s="1" t="n">
        <v>33</v>
      </c>
      <c r="Y81" s="1" t="n">
        <v>4</v>
      </c>
      <c r="AA81" s="4" t="str">
        <f aca="false">IF(AND(W81&gt;0,Z81&gt;0),(Z81/((W81+X81)*10)),"")</f>
        <v/>
      </c>
      <c r="AB81" s="1" t="n">
        <v>100</v>
      </c>
      <c r="AC81" s="1" t="n">
        <f aca="false">ROUND(AB81*1.6, 0)</f>
        <v>160</v>
      </c>
      <c r="AF81" s="1" t="n">
        <v>18.4</v>
      </c>
      <c r="AG81" s="1" t="n">
        <v>18</v>
      </c>
      <c r="AH81" s="1" t="n">
        <v>2.82</v>
      </c>
      <c r="AI81" s="1" t="n">
        <v>3.79</v>
      </c>
      <c r="AJ81" s="5" t="n">
        <v>65</v>
      </c>
      <c r="AK81" s="0" t="str">
        <f aca="false">CONCATENATE(VLOOKUP(AL81, 'Voxel Sizes'!$A$2:$B$18,2,FALSE()),"x",INT(AH81*15), "x", INT(AI81*15))</f>
        <v>186x42x56</v>
      </c>
      <c r="AL81" s="1" t="n">
        <f aca="false">ROUND(15*((AG81*10)/256),0)</f>
        <v>11</v>
      </c>
      <c r="AN81" s="1" t="str">
        <f aca="false">CONCATENATE(VLOOKUP(AL81,Constants!$A$2:$C$16,IF(AM81&lt;&gt;"", 3, 2), FALSE()),IF(AM81&lt;&gt;"",CONCATENATE(",",VLOOKUP(AM81,$B:$AN,38,FALSE())),""))</f>
        <v>4,3,4</v>
      </c>
      <c r="AX81" s="1" t="n">
        <v>30</v>
      </c>
      <c r="AY81" s="6" t="n">
        <f aca="false">IF(L81&lt;&gt;"",MAX(16,(L81-J81)+8),"")</f>
        <v>53</v>
      </c>
      <c r="AZ81" s="1" t="n">
        <v>55</v>
      </c>
      <c r="BA81" s="1" t="n">
        <v>25</v>
      </c>
      <c r="BB81" s="1" t="n">
        <f aca="false">MIN(AB81/150, 1)*30</f>
        <v>20</v>
      </c>
      <c r="BC81" s="1" t="n">
        <f aca="false">MIN(N81/4000, 1)*20</f>
        <v>0</v>
      </c>
      <c r="BD81" s="1" t="n">
        <f aca="false">MIN(Z81/400,1)*20</f>
        <v>0</v>
      </c>
      <c r="BE81" s="4" t="n">
        <f aca="false">1-(MAX(J81-1900, 0)/750)</f>
        <v>0.924</v>
      </c>
      <c r="BF81" s="1" t="n">
        <f aca="false">((MAX($M81,1)*MIN($AJ81/300,1)))*IF(G81="Wagon",50,10)</f>
        <v>10.8333333333333</v>
      </c>
      <c r="BG81" s="1" t="n">
        <f aca="false">VLOOKUP($H81,Constants!$I:$K, 2, FALSE())</f>
        <v>1.2</v>
      </c>
      <c r="BH81" s="1" t="n">
        <f aca="false">VLOOKUP($H81,Constants!$I:$K, 3, FALSE())*IF(AND(G81="multiple_unit",AB81&lt;110),0.75,1)</f>
        <v>0.6</v>
      </c>
      <c r="BI81" s="1" t="n">
        <f aca="false">INT(POWER(((Constants!$G$2+$BB81+$BC81+$BD81+$BF81)*$BE81)*$BH81, 1.05))+$BA81</f>
        <v>48</v>
      </c>
      <c r="BJ81" s="1" t="n">
        <f aca="false">INT(POWER((((Constants!$G$1+$BB81+$BC81+$BD81+$BF81)*($BE81))*$BG81),IF($G81="wagon",1,1.2)))+$AZ81</f>
        <v>105</v>
      </c>
      <c r="BK81" s="19" t="n">
        <f aca="false">BI81*IF($G81="wagon",62.5,781.25)</f>
        <v>3000</v>
      </c>
      <c r="BL81" s="19" t="n">
        <f aca="false">BJ81*IF($G81="wagon",2.73,81.25)</f>
        <v>286.65</v>
      </c>
      <c r="BT81" s="1" t="n">
        <v>1</v>
      </c>
      <c r="BU81" s="1" t="n">
        <v>185</v>
      </c>
      <c r="BV81" s="1" t="s">
        <v>327</v>
      </c>
      <c r="BX81" s="1" t="s">
        <v>148</v>
      </c>
      <c r="BY81" s="1" t="str">
        <f aca="false">VLOOKUP(J81,Eras!$A$2:$C$10, 2, TRUE())</f>
        <v>dsl</v>
      </c>
      <c r="BZ81" s="18" t="s">
        <v>496</v>
      </c>
      <c r="CA81" s="1" t="str">
        <f aca="false">CONCATENATE(BY81,"_",BZ81)</f>
        <v>dsl_Mail Carriage</v>
      </c>
      <c r="CB81" s="1" t="str">
        <f aca="false">_xlfn.CONCAT(H81, "_",I81)</f>
        <v>carriage_RAIL</v>
      </c>
      <c r="CC81" s="20" t="str">
        <f aca="false">_xlfn.CONCAT("{BLACK}Length: {GOLD}", TEXT(ROUNDUP(IF(AQ81&lt;&gt;"",SUM(VALUE(_xlfn.TEXTSPLIT(AQ81, ","))), SUM(VALUE(_xlfn.TEXTSPLIT(AN81, ",")))*IF(M81, M81, 1))/16, 1), "#,##0.0"), " tiles{}")</f>
        <v>{BLACK}Length: {GOLD}0.7 tiles{}</v>
      </c>
      <c r="CD81" s="1" t="str">
        <f aca="false">VLOOKUP($CB81, Constants!$M:$N, 2, FALSE())</f>
        <v/>
      </c>
      <c r="CE81" s="1" t="str">
        <f aca="false">IF(M81&gt;1,_xlfn.CONCAT("{BLACK}Cars: {GOLD}", M81),"")</f>
        <v/>
      </c>
      <c r="CF81" s="1" t="s">
        <v>497</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
      </c>
      <c r="CH81" s="1" t="str">
        <f aca="false">_xlfn.CONCAT(CD81,IF(CD81 &lt;&gt; "", " ", ""),CE81,IF(OR(CE81&lt;&gt;"", CD81&lt;&gt;""), "{}",""), CC81, CG81,"{SILVER}", CF81)</f>
        <v>{BLACK}Length: {GOLD}0.7 tiles{}{SILVER}The standard parcels and baggage car on British Rail for decades, the Mk1 Brake Gangwayed was extremely versatile. This represents a standard 57’ frame example, making it noticably shorter than the standard Mk1 coach.</v>
      </c>
      <c r="CI81" s="1"/>
      <c r="CJ81" s="1"/>
    </row>
    <row r="82" customFormat="false" ht="13.8" hidden="false" customHeight="false" outlineLevel="0" collapsed="false">
      <c r="A82" s="18" t="s">
        <v>498</v>
      </c>
      <c r="B82" s="18" t="s">
        <v>499</v>
      </c>
      <c r="C82" s="1" t="n">
        <v>109</v>
      </c>
      <c r="D82" s="1" t="n">
        <v>108</v>
      </c>
      <c r="E82" s="1" t="n">
        <v>1112</v>
      </c>
      <c r="F82" s="1" t="s">
        <v>89</v>
      </c>
      <c r="G82" s="1" t="s">
        <v>443</v>
      </c>
      <c r="H82" s="1" t="s">
        <v>495</v>
      </c>
      <c r="I82" s="1" t="s">
        <v>153</v>
      </c>
      <c r="J82" s="1" t="n">
        <v>1975</v>
      </c>
      <c r="K82" s="1" t="n">
        <v>1998</v>
      </c>
      <c r="L82" s="1" t="n">
        <v>2002</v>
      </c>
      <c r="W82" s="1" t="n">
        <v>33</v>
      </c>
      <c r="Y82" s="1" t="n">
        <v>4</v>
      </c>
      <c r="AA82" s="4" t="str">
        <f aca="false">IF(AND(W82&gt;0,Z82&gt;0),(Z82/((W82+X82)*10)),"")</f>
        <v/>
      </c>
      <c r="AB82" s="1" t="n">
        <v>110</v>
      </c>
      <c r="AC82" s="1" t="n">
        <f aca="false">ROUND(AB82*1.6, 0)</f>
        <v>176</v>
      </c>
      <c r="AF82" s="1" t="n">
        <v>18.4</v>
      </c>
      <c r="AG82" s="1" t="n">
        <v>18</v>
      </c>
      <c r="AH82" s="1" t="n">
        <v>2.82</v>
      </c>
      <c r="AI82" s="1" t="n">
        <v>3.79</v>
      </c>
      <c r="AJ82" s="5" t="n">
        <v>65</v>
      </c>
      <c r="AK82" s="0" t="str">
        <f aca="false">CONCATENATE(VLOOKUP(AL82, 'Voxel Sizes'!$A$2:$B$18,2,FALSE()),"x",INT(AH82*15), "x", INT(AI82*15))</f>
        <v>186x42x56</v>
      </c>
      <c r="AL82" s="1" t="n">
        <f aca="false">ROUND(15*((AG82*10)/256),0)</f>
        <v>11</v>
      </c>
      <c r="AN82" s="1" t="str">
        <f aca="false">CONCATENATE(VLOOKUP(AL82,Constants!$A$2:$C$16,IF(AM82&lt;&gt;"", 3, 2), FALSE()),IF(AM82&lt;&gt;"",CONCATENATE(",",VLOOKUP(AM82,$B:$AN,38,FALSE())),""))</f>
        <v>4,3,4</v>
      </c>
      <c r="AX82" s="1" t="n">
        <v>30</v>
      </c>
      <c r="AY82" s="6" t="n">
        <f aca="false">IF(L82&lt;&gt;"",MAX(16,(L82-J82)+8),"")</f>
        <v>35</v>
      </c>
      <c r="AZ82" s="1" t="n">
        <v>75</v>
      </c>
      <c r="BA82" s="1" t="n">
        <v>35</v>
      </c>
      <c r="BB82" s="1" t="n">
        <f aca="false">MIN(AB82/150, 1)*30</f>
        <v>22</v>
      </c>
      <c r="BC82" s="1" t="n">
        <f aca="false">MIN(N82/4000, 1)*20</f>
        <v>0</v>
      </c>
      <c r="BD82" s="1" t="n">
        <f aca="false">MIN(Z82/400,1)*20</f>
        <v>0</v>
      </c>
      <c r="BE82" s="4" t="n">
        <f aca="false">1-(MAX(J82-1900, 0)/750)</f>
        <v>0.9</v>
      </c>
      <c r="BF82" s="1" t="n">
        <f aca="false">((MAX($M82,1)*MIN($AJ82/300,1)))*IF(G82="Wagon",50,10)</f>
        <v>10.8333333333333</v>
      </c>
      <c r="BG82" s="1" t="n">
        <f aca="false">VLOOKUP($H82,Constants!$I:$K, 2, FALSE())</f>
        <v>1.2</v>
      </c>
      <c r="BH82" s="1" t="n">
        <f aca="false">VLOOKUP($H82,Constants!$I:$K, 3, FALSE())*IF(AND(G82="multiple_unit",AB82&lt;110),0.75,1)</f>
        <v>0.6</v>
      </c>
      <c r="BI82" s="1" t="n">
        <f aca="false">INT(POWER(((Constants!$G$2+$BB82+$BC82+$BD82+$BF82)*$BE82)*$BH82, 1.05))+$BA82</f>
        <v>58</v>
      </c>
      <c r="BJ82" s="1" t="n">
        <f aca="false">INT(POWER((((Constants!$G$1+$BB82+$BC82+$BD82+$BF82)*($BE82))*$BG82),IF($G82="wagon",1,1.2)))+$AZ82</f>
        <v>126</v>
      </c>
      <c r="BK82" s="19" t="n">
        <f aca="false">BI82*IF($G82="wagon",62.5,781.25)</f>
        <v>3625</v>
      </c>
      <c r="BL82" s="19" t="n">
        <f aca="false">BJ82*IF($G82="wagon",2.73,81.25)</f>
        <v>343.98</v>
      </c>
      <c r="BT82" s="1" t="n">
        <v>1</v>
      </c>
      <c r="BU82" s="1" t="n">
        <v>185</v>
      </c>
      <c r="BV82" s="1" t="s">
        <v>327</v>
      </c>
      <c r="BX82" s="1" t="s">
        <v>148</v>
      </c>
      <c r="BY82" s="1" t="str">
        <f aca="false">VLOOKUP(J82,Eras!$A$2:$C$10, 2, TRUE())</f>
        <v>lbr</v>
      </c>
      <c r="BZ82" s="18" t="s">
        <v>496</v>
      </c>
      <c r="CA82" s="1" t="str">
        <f aca="false">CONCATENATE(BY82,"_",BZ82)</f>
        <v>lbr_Mail Carriage</v>
      </c>
      <c r="CB82" s="1" t="str">
        <f aca="false">_xlfn.CONCAT(H82, "_",I82)</f>
        <v>carriage_RAIL</v>
      </c>
      <c r="CC82" s="20" t="str">
        <f aca="false">_xlfn.CONCAT("{BLACK}Length: {GOLD}", TEXT(ROUNDUP(IF(AQ82&lt;&gt;"",SUM(VALUE(_xlfn.TEXTSPLIT(AQ82, ","))), SUM(VALUE(_xlfn.TEXTSPLIT(AN82, ",")))*IF(M82, M82, 1))/16, 1), "#,##0.0"), " tiles{}")</f>
        <v>{BLACK}Length: {GOLD}0.7 tiles{}</v>
      </c>
      <c r="CD82" s="1" t="str">
        <f aca="false">VLOOKUP($CB82, Constants!$M:$N, 2, FALSE())</f>
        <v/>
      </c>
      <c r="CE82" s="1" t="str">
        <f aca="false">IF(M82&gt;1,_xlfn.CONCAT("{BLACK}Cars: {GOLD}", M82),"")</f>
        <v/>
      </c>
      <c r="CF82" s="1" t="s">
        <v>500</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
      </c>
      <c r="CH82" s="1" t="str">
        <f aca="false">_xlfn.CONCAT(CD82,IF(CD82 &lt;&gt; "", " ", ""),CE82,IF(OR(CE82&lt;&gt;"", CD82&lt;&gt;""), "{}",""), CC82, CG82,"{SILVER}", CF82)</f>
        <v>{BLACK}Length: {GOLD}0.7 tiles{}{SILVER}In the 1980s a number of BG vehicles were upgraded with B4 bogies and cleared for travel at 110mph, to provide additional capacity within fast passenger services, which were typically run with Mark 2 stock.</v>
      </c>
      <c r="CI82" s="1"/>
      <c r="CJ82" s="1"/>
    </row>
    <row r="83" customFormat="false" ht="13.8" hidden="false" customHeight="false" outlineLevel="0" collapsed="false">
      <c r="A83" s="18" t="s">
        <v>501</v>
      </c>
      <c r="B83" s="18" t="s">
        <v>502</v>
      </c>
      <c r="C83" s="1" t="n">
        <v>110</v>
      </c>
      <c r="D83" s="1" t="n">
        <v>108</v>
      </c>
      <c r="E83" s="1" t="n">
        <v>1113</v>
      </c>
      <c r="F83" s="1" t="s">
        <v>89</v>
      </c>
      <c r="G83" s="1" t="s">
        <v>443</v>
      </c>
      <c r="H83" s="1" t="s">
        <v>495</v>
      </c>
      <c r="I83" s="1" t="s">
        <v>153</v>
      </c>
      <c r="J83" s="1" t="n">
        <v>1989</v>
      </c>
      <c r="K83" s="1" t="n">
        <v>2002</v>
      </c>
      <c r="L83" s="1" t="n">
        <v>2002</v>
      </c>
      <c r="W83" s="1" t="n">
        <v>33</v>
      </c>
      <c r="Y83" s="1" t="n">
        <v>5</v>
      </c>
      <c r="AA83" s="4" t="str">
        <f aca="false">IF(AND(W83&gt;0,Z83&gt;0),(Z83/((W83+X83)*10)),"")</f>
        <v/>
      </c>
      <c r="AB83" s="1" t="n">
        <v>100</v>
      </c>
      <c r="AC83" s="1" t="n">
        <f aca="false">ROUND(AB83*1.6, 0)</f>
        <v>160</v>
      </c>
      <c r="AF83" s="1" t="n">
        <v>18.4</v>
      </c>
      <c r="AG83" s="1" t="n">
        <v>18</v>
      </c>
      <c r="AH83" s="1" t="n">
        <v>2.82</v>
      </c>
      <c r="AI83" s="1" t="n">
        <v>3.79</v>
      </c>
      <c r="AJ83" s="5" t="n">
        <v>72</v>
      </c>
      <c r="AK83" s="0" t="str">
        <f aca="false">CONCATENATE(VLOOKUP(AL83, 'Voxel Sizes'!$A$2:$B$18,2,FALSE()),"x",INT(AH83*15), "x", INT(AI83*15))</f>
        <v>186x42x56</v>
      </c>
      <c r="AL83" s="1" t="n">
        <f aca="false">ROUND(15*((AG83*10)/256),0)</f>
        <v>11</v>
      </c>
      <c r="AN83" s="1" t="str">
        <f aca="false">CONCATENATE(VLOOKUP(AL83,Constants!$A$2:$C$16,IF(AM83&lt;&gt;"", 3, 2), FALSE()),IF(AM83&lt;&gt;"",CONCATENATE(",",VLOOKUP(AM83,$B:$AN,38,FALSE())),""))</f>
        <v>4,3,4</v>
      </c>
      <c r="AX83" s="1" t="n">
        <v>30</v>
      </c>
      <c r="AY83" s="6" t="n">
        <f aca="false">IF(L83&lt;&gt;"",MAX(16,(L83-J83)+8),"")</f>
        <v>21</v>
      </c>
      <c r="AZ83" s="1" t="n">
        <v>65</v>
      </c>
      <c r="BA83" s="1" t="n">
        <v>45</v>
      </c>
      <c r="BB83" s="1" t="n">
        <f aca="false">MIN(AB83/150, 1)*30</f>
        <v>20</v>
      </c>
      <c r="BC83" s="1" t="n">
        <f aca="false">MIN(N83/4000, 1)*20</f>
        <v>0</v>
      </c>
      <c r="BD83" s="1" t="n">
        <f aca="false">MIN(Z83/400,1)*20</f>
        <v>0</v>
      </c>
      <c r="BE83" s="4" t="n">
        <f aca="false">1-(MAX(J83-1900, 0)/750)</f>
        <v>0.881333333333333</v>
      </c>
      <c r="BF83" s="1" t="n">
        <f aca="false">((MAX($M83,1)*MIN($AJ83/300,1)))*IF(G83="Wagon",50,10)</f>
        <v>12</v>
      </c>
      <c r="BG83" s="1" t="n">
        <f aca="false">VLOOKUP($H83,Constants!$I:$K, 2, FALSE())</f>
        <v>1.2</v>
      </c>
      <c r="BH83" s="1" t="n">
        <f aca="false">VLOOKUP($H83,Constants!$I:$K, 3, FALSE())*IF(AND(G83="multiple_unit",AB83&lt;110),0.75,1)</f>
        <v>0.6</v>
      </c>
      <c r="BI83" s="1" t="n">
        <f aca="false">INT(POWER(((Constants!$G$2+$BB83+$BC83+$BD83+$BF83)*$BE83)*$BH83, 1.05))+$BA83</f>
        <v>67</v>
      </c>
      <c r="BJ83" s="1" t="n">
        <f aca="false">INT(POWER((((Constants!$G$1+$BB83+$BC83+$BD83+$BF83)*($BE83))*$BG83),IF($G83="wagon",1,1.2)))+$AZ83</f>
        <v>114</v>
      </c>
      <c r="BK83" s="19" t="n">
        <f aca="false">BI83*IF($G83="wagon",62.5,781.25)</f>
        <v>4187.5</v>
      </c>
      <c r="BL83" s="19" t="n">
        <f aca="false">BJ83*IF($G83="wagon",2.73,81.25)</f>
        <v>311.22</v>
      </c>
      <c r="BT83" s="1" t="n">
        <v>1</v>
      </c>
      <c r="BU83" s="1" t="n">
        <v>185</v>
      </c>
      <c r="BV83" s="1" t="s">
        <v>327</v>
      </c>
      <c r="BX83" s="1" t="s">
        <v>148</v>
      </c>
      <c r="BY83" s="1" t="str">
        <f aca="false">VLOOKUP(J83,Eras!$A$2:$C$10, 2, TRUE())</f>
        <v>lbr</v>
      </c>
      <c r="BZ83" s="18" t="s">
        <v>496</v>
      </c>
      <c r="CA83" s="1" t="str">
        <f aca="false">CONCATENATE(BY83,"_",BZ83)</f>
        <v>lbr_Mail Carriage</v>
      </c>
      <c r="CB83" s="1" t="str">
        <f aca="false">_xlfn.CONCAT(H83, "_",I83)</f>
        <v>carriage_RAIL</v>
      </c>
      <c r="CC83" s="20" t="str">
        <f aca="false">_xlfn.CONCAT("{BLACK}Length: {GOLD}", TEXT(ROUNDUP(IF(AQ83&lt;&gt;"",SUM(VALUE(_xlfn.TEXTSPLIT(AQ83, ","))), SUM(VALUE(_xlfn.TEXTSPLIT(AN83, ",")))*IF(M83, M83, 1))/16, 1), "#,##0.0"), " tiles{}")</f>
        <v>{BLACK}Length: {GOLD}0.7 tiles{}</v>
      </c>
      <c r="CD83" s="1" t="str">
        <f aca="false">VLOOKUP($CB83, Constants!$M:$N, 2, FALSE())</f>
        <v/>
      </c>
      <c r="CE83" s="1" t="str">
        <f aca="false">IF(M83&gt;1,_xlfn.CONCAT("{BLACK}Cars: {GOLD}", M83),"")</f>
        <v/>
      </c>
      <c r="CF83" s="1" t="s">
        <v>503</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
      </c>
      <c r="CH83" s="1" t="str">
        <f aca="false">_xlfn.CONCAT(CD83,IF(CD83 &lt;&gt; "", " ", ""),CE83,IF(OR(CE83&lt;&gt;"", CD83&lt;&gt;""), "{}",""), CC83, CG83,"{SILVER}", CF83)</f>
        <v>{BLACK}Length: {GOLD}0.7 tiles{}{SILVER}By the 90s parcels traffic was in decline on the railway, and increasingly movement focused on fixed flows between mail terminals. As a result, a number of vehicles were rebuilt with roller shutter doors for faster loading.</v>
      </c>
      <c r="CI83" s="1"/>
      <c r="CJ83" s="1"/>
    </row>
    <row r="84" customFormat="false" ht="13.8" hidden="false" customHeight="false" outlineLevel="0" collapsed="false">
      <c r="A84" s="18" t="s">
        <v>504</v>
      </c>
      <c r="B84" s="18" t="s">
        <v>505</v>
      </c>
      <c r="C84" s="1" t="n">
        <v>102</v>
      </c>
      <c r="E84" s="1" t="n">
        <v>1103</v>
      </c>
      <c r="F84" s="1" t="s">
        <v>89</v>
      </c>
      <c r="G84" s="1" t="s">
        <v>443</v>
      </c>
      <c r="H84" s="1" t="s">
        <v>495</v>
      </c>
      <c r="I84" s="1" t="s">
        <v>153</v>
      </c>
      <c r="J84" s="1" t="n">
        <v>1994</v>
      </c>
      <c r="K84" s="1" t="n">
        <v>1981</v>
      </c>
      <c r="L84" s="1" t="n">
        <v>1987</v>
      </c>
      <c r="W84" s="1" t="n">
        <v>33</v>
      </c>
      <c r="Y84" s="1" t="n">
        <v>4</v>
      </c>
      <c r="AA84" s="4" t="str">
        <f aca="false">IF(AND(W84&gt;0,Z84&gt;0),(Z84/((W84+X84)*10)),"")</f>
        <v/>
      </c>
      <c r="AB84" s="1" t="n">
        <v>100</v>
      </c>
      <c r="AC84" s="1" t="n">
        <f aca="false">ROUND(AB84*1.6, 0)</f>
        <v>160</v>
      </c>
      <c r="AF84" s="1" t="n">
        <v>19.8</v>
      </c>
      <c r="AG84" s="1" t="n">
        <v>20</v>
      </c>
      <c r="AH84" s="1" t="n">
        <v>2.82</v>
      </c>
      <c r="AI84" s="1" t="n">
        <v>3.79</v>
      </c>
      <c r="AJ84" s="5" t="n">
        <v>22</v>
      </c>
      <c r="AK84" s="0" t="str">
        <f aca="false">CONCATENATE(VLOOKUP(AL84, 'Voxel Sizes'!$A$2:$B$18,2,FALSE()),"x",INT(AH84*15), "x", INT(AI84*15))</f>
        <v>198x42x56</v>
      </c>
      <c r="AL84" s="1" t="n">
        <f aca="false">ROUND(15*((AG84*10)/256),0)</f>
        <v>12</v>
      </c>
      <c r="AN84" s="1" t="str">
        <f aca="false">CONCATENATE(VLOOKUP(AL84,Constants!$A$2:$C$16,IF(AM84&lt;&gt;"", 3, 2), FALSE()),IF(AM84&lt;&gt;"",CONCATENATE(",",VLOOKUP(AM84,$B:$AN,38,FALSE())),""))</f>
        <v>4,4,4</v>
      </c>
      <c r="AW84" s="1" t="s">
        <v>506</v>
      </c>
      <c r="AX84" s="1" t="n">
        <v>30</v>
      </c>
      <c r="AY84" s="6" t="n">
        <f aca="false">IF(L84&lt;&gt;"",MAX(16,(L84-J84)+8),"")</f>
        <v>16</v>
      </c>
      <c r="AZ84" s="1" t="n">
        <v>1000</v>
      </c>
      <c r="BA84" s="1" t="n">
        <v>110</v>
      </c>
      <c r="BB84" s="1" t="n">
        <f aca="false">MIN(AB84/150, 1)*30</f>
        <v>20</v>
      </c>
      <c r="BC84" s="1" t="n">
        <f aca="false">MIN(N84/4000, 1)*20</f>
        <v>0</v>
      </c>
      <c r="BD84" s="1" t="n">
        <f aca="false">MIN(Z84/400,1)*20</f>
        <v>0</v>
      </c>
      <c r="BE84" s="4" t="n">
        <f aca="false">1-(MAX(J84-1900, 0)/750)</f>
        <v>0.874666666666667</v>
      </c>
      <c r="BF84" s="1" t="n">
        <f aca="false">((MAX($M84,1)*MIN($AJ84/300,1)))*IF(G84="Wagon",50,10)</f>
        <v>3.66666666666667</v>
      </c>
      <c r="BG84" s="1" t="n">
        <f aca="false">VLOOKUP($H84,Constants!$I:$K, 2, FALSE())</f>
        <v>1.2</v>
      </c>
      <c r="BH84" s="1" t="n">
        <f aca="false">VLOOKUP($H84,Constants!$I:$K, 3, FALSE())*IF(AND(G84="multiple_unit",AB84&lt;110),0.75,1)</f>
        <v>0.6</v>
      </c>
      <c r="BI84" s="1" t="n">
        <f aca="false">INT(POWER(((Constants!$G$2+$BB84+$BC84+$BD84+$BF84)*$BE84)*$BH84, 1.05))+$BA84</f>
        <v>127</v>
      </c>
      <c r="BJ84" s="1" t="n">
        <f aca="false">INT(POWER((((Constants!$G$1+$BB84+$BC84+$BD84+$BF84)*($BE84))*$BG84),IF($G84="wagon",1,1.2)))+$AZ84</f>
        <v>1040</v>
      </c>
      <c r="BK84" s="19" t="n">
        <f aca="false">BI84*IF($G84="wagon",62.5,781.25)</f>
        <v>7937.5</v>
      </c>
      <c r="BL84" s="19" t="n">
        <f aca="false">BJ84*IF($G84="wagon",2.73,81.25)</f>
        <v>2839.2</v>
      </c>
      <c r="BT84" s="1" t="n">
        <v>2</v>
      </c>
      <c r="BU84" s="1" t="n">
        <v>278</v>
      </c>
      <c r="BV84" s="1" t="s">
        <v>227</v>
      </c>
      <c r="BX84" s="1" t="s">
        <v>95</v>
      </c>
      <c r="BY84" s="1" t="str">
        <f aca="false">VLOOKUP(J84,Eras!$A$2:$C$10, 2, TRUE())</f>
        <v>lbr</v>
      </c>
      <c r="BZ84" s="18" t="s">
        <v>491</v>
      </c>
      <c r="CA84" s="1" t="str">
        <f aca="false">CONCATENATE(BY84,"_",BZ84)</f>
        <v>lbr_Carriage</v>
      </c>
      <c r="CB84" s="1" t="str">
        <f aca="false">_xlfn.CONCAT(H84, "_",I84)</f>
        <v>carriage_RAIL</v>
      </c>
      <c r="CC84" s="20" t="str">
        <f aca="false">_xlfn.CONCAT("{BLACK}Length: {GOLD}", TEXT(ROUNDUP(IF(AQ84&lt;&gt;"",SUM(VALUE(_xlfn.TEXTSPLIT(AQ84, ","))), SUM(VALUE(_xlfn.TEXTSPLIT(AN84, ",")))*IF(M84, M84, 1))/16, 1), "#,##0.0"), " tiles{}")</f>
        <v>{BLACK}Length: {GOLD}0.8 tiles{}</v>
      </c>
      <c r="CD84" s="1" t="str">
        <f aca="false">VLOOKUP($CB84, Constants!$M:$N, 2, FALSE())</f>
        <v/>
      </c>
      <c r="CE84" s="1" t="str">
        <f aca="false">IF(M84&gt;1,_xlfn.CONCAT("{BLACK}Cars: {GOLD}", M84),"")</f>
        <v/>
      </c>
      <c r="CF84" s="1" t="s">
        <v>507</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{YELLOW}50% bonus for long distance travel{}</v>
      </c>
      <c r="CH84" s="1" t="str">
        <f aca="false">_xlfn.CONCAT(CD84,IF(CD84 &lt;&gt; "", " ", ""),CE84,IF(OR(CE84&lt;&gt;"", CD84&lt;&gt;""), "{}",""), CC84, CG84,"{SILVER}", CF84)</f>
        <v>{BLACK}Length: {GOLD}0.8 tiles{}{YELLOW}50% bonus for long distance travel{}{SILVER}The Mk1 Sleeper was built in relatively large numbers. The type was not especially popular with passengers, but the service was still an improvement on sleeping in ordinary compartment stock of the time.</v>
      </c>
      <c r="CI84" s="1"/>
      <c r="CJ84" s="1"/>
    </row>
    <row r="85" customFormat="false" ht="13.8" hidden="false" customHeight="false" outlineLevel="0" collapsed="false">
      <c r="A85" s="1" t="s">
        <v>508</v>
      </c>
      <c r="B85" s="1" t="s">
        <v>509</v>
      </c>
      <c r="C85" s="1" t="n">
        <v>103</v>
      </c>
      <c r="E85" s="1" t="n">
        <v>1104</v>
      </c>
      <c r="F85" s="1" t="s">
        <v>89</v>
      </c>
      <c r="G85" s="1" t="s">
        <v>443</v>
      </c>
      <c r="H85" s="1" t="s">
        <v>495</v>
      </c>
      <c r="I85" s="1" t="s">
        <v>153</v>
      </c>
      <c r="J85" s="1" t="n">
        <v>1975</v>
      </c>
      <c r="W85" s="1" t="n">
        <v>34</v>
      </c>
      <c r="Y85" s="1" t="n">
        <v>3</v>
      </c>
      <c r="AA85" s="4" t="str">
        <f aca="false">IF(AND(W85&gt;0,Z85&gt;0),(Z85/((W85+X85)*10)),"")</f>
        <v/>
      </c>
      <c r="AB85" s="1" t="n">
        <v>125</v>
      </c>
      <c r="AC85" s="1" t="n">
        <f aca="false">ROUND(AB85*1.6, 0)</f>
        <v>200</v>
      </c>
      <c r="AF85" s="1" t="n">
        <v>23</v>
      </c>
      <c r="AG85" s="1" t="n">
        <v>23</v>
      </c>
      <c r="AH85" s="1" t="n">
        <v>2.82</v>
      </c>
      <c r="AI85" s="1" t="n">
        <v>3.79</v>
      </c>
      <c r="AJ85" s="5" t="n">
        <v>24</v>
      </c>
      <c r="AK85" s="0" t="str">
        <f aca="false">CONCATENATE(VLOOKUP(AL85, 'Voxel Sizes'!$A$2:$B$18,2,FALSE()),"x",INT(AH85*15), "x", INT(AI85*15))</f>
        <v>214x42x56</v>
      </c>
      <c r="AL85" s="1" t="n">
        <f aca="false">ROUND(15*((AG85*10)/256),0)</f>
        <v>13</v>
      </c>
      <c r="AN85" s="1" t="str">
        <f aca="false">CONCATENATE(VLOOKUP(AL85,Constants!$A$2:$C$16,IF(AM85&lt;&gt;"", 3, 2), FALSE()),IF(AM85&lt;&gt;"",CONCATENATE(",",VLOOKUP(AM85,$B:$AN,38,FALSE())),""))</f>
        <v>4,5,4</v>
      </c>
      <c r="AW85" s="1" t="s">
        <v>510</v>
      </c>
      <c r="AX85" s="1" t="n">
        <v>30</v>
      </c>
      <c r="AY85" s="6" t="str">
        <f aca="false">IF(L85&lt;&gt;"",MAX(16,(L85-J85)+8),"")</f>
        <v/>
      </c>
      <c r="AZ85" s="1" t="n">
        <v>1150</v>
      </c>
      <c r="BA85" s="1" t="n">
        <v>150</v>
      </c>
      <c r="BB85" s="1" t="n">
        <f aca="false">MIN(AB85/150, 1)*30</f>
        <v>25</v>
      </c>
      <c r="BC85" s="1" t="n">
        <f aca="false">MIN(N85/4000, 1)*20</f>
        <v>0</v>
      </c>
      <c r="BD85" s="1" t="n">
        <f aca="false">MIN(Z85/400,1)*20</f>
        <v>0</v>
      </c>
      <c r="BE85" s="4" t="n">
        <f aca="false">1-(MAX(J85-1900, 0)/750)</f>
        <v>0.9</v>
      </c>
      <c r="BF85" s="1" t="n">
        <f aca="false">((MAX($M85,1)*MIN($AJ85/300,1)))*IF(G85="Wagon",50,10)</f>
        <v>4</v>
      </c>
      <c r="BG85" s="1" t="n">
        <f aca="false">VLOOKUP($H85,Constants!$I:$K, 2, FALSE())</f>
        <v>1.2</v>
      </c>
      <c r="BH85" s="1" t="n">
        <f aca="false">VLOOKUP($H85,Constants!$I:$K, 3, FALSE())*IF(AND(G85="multiple_unit",AB85&lt;110),0.75,1)</f>
        <v>0.6</v>
      </c>
      <c r="BI85" s="1" t="n">
        <f aca="false">INT(POWER(((Constants!$G$2+$BB85+$BC85+$BD85+$BF85)*$BE85)*$BH85, 1.05))+$BA85</f>
        <v>171</v>
      </c>
      <c r="BJ85" s="1" t="n">
        <f aca="false">INT(POWER((((Constants!$G$1+$BB85+$BC85+$BD85+$BF85)*($BE85))*$BG85),IF($G85="wagon",1,1.2)))+$AZ85</f>
        <v>1197</v>
      </c>
      <c r="BK85" s="19" t="n">
        <f aca="false">BI85*IF($G85="wagon",62.5,781.25)</f>
        <v>10687.5</v>
      </c>
      <c r="BL85" s="19" t="n">
        <f aca="false">BJ85*IF($G85="wagon",2.73,81.25)</f>
        <v>3267.81</v>
      </c>
      <c r="BT85" s="1" t="n">
        <v>2</v>
      </c>
      <c r="BU85" s="1" t="n">
        <v>278</v>
      </c>
      <c r="BV85" s="1" t="s">
        <v>227</v>
      </c>
      <c r="BX85" s="1" t="s">
        <v>95</v>
      </c>
      <c r="BY85" s="1" t="str">
        <f aca="false">VLOOKUP(J85,Eras!$A$2:$C$10, 2, TRUE())</f>
        <v>lbr</v>
      </c>
      <c r="BZ85" s="18" t="s">
        <v>491</v>
      </c>
      <c r="CA85" s="1" t="str">
        <f aca="false">CONCATENATE(BY85,"_",BZ85)</f>
        <v>lbr_Carriage</v>
      </c>
      <c r="CB85" s="1" t="str">
        <f aca="false">_xlfn.CONCAT(H85, "_",I85)</f>
        <v>carriage_RAIL</v>
      </c>
      <c r="CC85" s="20" t="str">
        <f aca="false">_xlfn.CONCAT("{BLACK}Length: {GOLD}", TEXT(ROUNDUP(IF(AQ85&lt;&gt;"",SUM(VALUE(_xlfn.TEXTSPLIT(AQ85, ","))), SUM(VALUE(_xlfn.TEXTSPLIT(AN85, ",")))*IF(M85, M85, 1))/16, 1), "#,##0.0"), " tiles{}")</f>
        <v>{BLACK}Length: {GOLD}0.9 tiles{}</v>
      </c>
      <c r="CD85" s="1" t="str">
        <f aca="false">VLOOKUP($CB85, Constants!$M:$N, 2, FALSE())</f>
        <v/>
      </c>
      <c r="CE85" s="1" t="str">
        <f aca="false">IF(M85&gt;1,_xlfn.CONCAT("{BLACK}Cars: {GOLD}", M85),"")</f>
        <v/>
      </c>
      <c r="CF85" s="1" t="s">
        <v>511</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{YELLOW}50% bonus for long distance travel{}</v>
      </c>
      <c r="CH85" s="1" t="str">
        <f aca="false">_xlfn.CONCAT(CD85,IF(CD85 &lt;&gt; "", " ", ""),CE85,IF(OR(CE85&lt;&gt;"", CD85&lt;&gt;""), "{}",""), CC85, CG85,"{SILVER}", CF85)</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85" s="1"/>
      <c r="CJ85" s="1"/>
    </row>
    <row r="86" customFormat="false" ht="13.8" hidden="false" customHeight="false" outlineLevel="0" collapsed="false">
      <c r="A86" s="1" t="s">
        <v>512</v>
      </c>
      <c r="B86" s="1" t="s">
        <v>513</v>
      </c>
      <c r="C86" s="1" t="n">
        <v>120</v>
      </c>
      <c r="D86" s="1" t="n">
        <v>121</v>
      </c>
      <c r="E86" s="1" t="n">
        <v>1108</v>
      </c>
      <c r="F86" s="1" t="s">
        <v>89</v>
      </c>
      <c r="G86" s="1" t="s">
        <v>284</v>
      </c>
      <c r="H86" s="1" t="s">
        <v>490</v>
      </c>
      <c r="I86" s="1" t="s">
        <v>153</v>
      </c>
      <c r="J86" s="1" t="n">
        <v>1997</v>
      </c>
      <c r="M86" s="1" t="n">
        <v>7</v>
      </c>
      <c r="W86" s="1" t="n">
        <v>363.4</v>
      </c>
      <c r="Y86" s="1" t="n">
        <v>3</v>
      </c>
      <c r="AA86" s="4" t="str">
        <f aca="false">IF(AND(W86&gt;0,Z86&gt;0),(Z86/((W86+X86)*10)),"")</f>
        <v/>
      </c>
      <c r="AB86" s="1" t="n">
        <v>125</v>
      </c>
      <c r="AC86" s="1" t="n">
        <f aca="false">ROUND(AB86*1.6, 0)</f>
        <v>200</v>
      </c>
      <c r="AF86" s="1" t="n">
        <v>23</v>
      </c>
      <c r="AG86" s="1" t="n">
        <v>23</v>
      </c>
      <c r="AH86" s="1" t="n">
        <v>2.82</v>
      </c>
      <c r="AI86" s="1" t="n">
        <v>3.79</v>
      </c>
      <c r="AJ86" s="5" t="n">
        <v>25</v>
      </c>
      <c r="AK86" s="0" t="str">
        <f aca="false">CONCATENATE(VLOOKUP(AL86, 'Voxel Sizes'!$A$2:$B$18,2,FALSE()),"x",INT(AH86*15), "x", INT(AI86*15))</f>
        <v>214x42x56</v>
      </c>
      <c r="AL86" s="1" t="n">
        <f aca="false">ROUND(15*((AG86*10)/256),0)</f>
        <v>13</v>
      </c>
      <c r="AN86" s="1" t="str">
        <f aca="false">CONCATENATE(VLOOKUP(AL86,Constants!$A$2:$C$16,IF(AM86&lt;&gt;"", 3, 2), FALSE()),IF(AM86&lt;&gt;"",CONCATENATE(",",VLOOKUP(AM86,$B:$AN,38,FALSE())),""))</f>
        <v>4,5,4</v>
      </c>
      <c r="AR86" s="1" t="s">
        <v>514</v>
      </c>
      <c r="AT86" s="1" t="s">
        <v>515</v>
      </c>
      <c r="AU86" s="1" t="s">
        <v>516</v>
      </c>
      <c r="AX86" s="1" t="n">
        <v>30</v>
      </c>
      <c r="AY86" s="6" t="str">
        <f aca="false">IF(L86&lt;&gt;"",MAX(16,(L86-J86)+8),"")</f>
        <v/>
      </c>
      <c r="AZ86" s="1" t="n">
        <v>170</v>
      </c>
      <c r="BA86" s="1" t="n">
        <v>80</v>
      </c>
      <c r="BB86" s="1" t="n">
        <f aca="false">MIN(AB86/150, 1)*30</f>
        <v>25</v>
      </c>
      <c r="BC86" s="1" t="n">
        <f aca="false">MIN(N86/4000, 1)*20</f>
        <v>0</v>
      </c>
      <c r="BD86" s="1" t="n">
        <f aca="false">MIN(Z86/400,1)*20</f>
        <v>0</v>
      </c>
      <c r="BE86" s="4" t="n">
        <f aca="false">1-(MAX(J86-1900, 0)/750)</f>
        <v>0.870666666666667</v>
      </c>
      <c r="BF86" s="1" t="n">
        <f aca="false">((MAX($M86,1)*MIN($AJ86/300,1)))*IF(G86="Wagon",50,10)</f>
        <v>5.83333333333333</v>
      </c>
      <c r="BG86" s="1" t="n">
        <f aca="false">VLOOKUP($H86,Constants!$I:$K, 2, FALSE())</f>
        <v>1.5</v>
      </c>
      <c r="BH86" s="1" t="n">
        <f aca="false">VLOOKUP($H86,Constants!$I:$K, 3, FALSE())*IF(AND(G86="multiple_unit",AB86&lt;110),0.75,1)</f>
        <v>0.7</v>
      </c>
      <c r="BI86" s="1" t="n">
        <f aca="false">INT(POWER(((Constants!$G$2+$BB86+$BC86+$BD86+$BF86)*$BE86)*$BH86, 1.05))+$BA86</f>
        <v>105</v>
      </c>
      <c r="BJ86" s="1" t="n">
        <f aca="false">INT(POWER((((Constants!$G$1+$BB86+$BC86+$BD86+$BF86)*($BE86))*$BG86),IF($G86="wagon",1,1.2)))+$AZ86</f>
        <v>305</v>
      </c>
      <c r="BK86" s="19" t="n">
        <f aca="false">BI86*IF($G86="wagon",62.5,781.25)</f>
        <v>82031.25</v>
      </c>
      <c r="BL86" s="19" t="n">
        <f aca="false">BJ86*IF($G86="wagon",2.73,81.25)</f>
        <v>24781.25</v>
      </c>
      <c r="BT86" s="1" t="n">
        <v>2</v>
      </c>
      <c r="BU86" s="1" t="n">
        <v>185</v>
      </c>
      <c r="BV86" s="1" t="s">
        <v>227</v>
      </c>
      <c r="BW86" s="1" t="s">
        <v>517</v>
      </c>
      <c r="BX86" s="1" t="s">
        <v>95</v>
      </c>
      <c r="BY86" s="1" t="str">
        <f aca="false">VLOOKUP(J86,Eras!$A$2:$C$10, 2, TRUE())</f>
        <v>prv</v>
      </c>
      <c r="BZ86" s="18" t="s">
        <v>491</v>
      </c>
      <c r="CA86" s="1" t="str">
        <f aca="false">CONCATENATE(BY86,"_",BZ86)</f>
        <v>prv_Carriage</v>
      </c>
      <c r="CB86" s="1" t="str">
        <f aca="false">_xlfn.CONCAT(H86, "_",I86)</f>
        <v>luxury_carriage_RAIL</v>
      </c>
      <c r="CC86" s="20" t="str">
        <f aca="false">_xlfn.CONCAT("{BLACK}Length: {GOLD}", TEXT(ROUNDUP(IF(AQ86&lt;&gt;"",SUM(VALUE(_xlfn.TEXTSPLIT(AQ86, ","))), SUM(VALUE(_xlfn.TEXTSPLIT(AN86, ",")))*IF(M86, M86, 1))/16, 1), "#,##0.0"), " tiles{}")</f>
        <v>{BLACK}Length: {GOLD}5.7 tiles{}</v>
      </c>
      <c r="CD86" s="1" t="str">
        <f aca="false">VLOOKUP($CB86, Constants!$M:$N, 2, FALSE())</f>
        <v/>
      </c>
      <c r="CE86" s="1" t="str">
        <f aca="false">IF(M86&gt;1,_xlfn.CONCAT("{BLACK}Cars: {GOLD}", M86),"")</f>
        <v>{BLACK}Cars: {GOLD}7</v>
      </c>
      <c r="CF86" s="1" t="s">
        <v>518</v>
      </c>
      <c r="CG86" s="18" t="s">
        <v>519</v>
      </c>
      <c r="CH86" s="1" t="str">
        <f aca="false">_xlfn.CONCAT(CD86,IF(CD86 &lt;&gt; "", " ", ""),CE86,IF(OR(CE86&lt;&gt;"", CD86&lt;&gt;""), "{}",""), CC86, CG86,"{SILVER}", CF86)</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86" s="1"/>
      <c r="CJ86" s="1"/>
    </row>
    <row r="87" customFormat="false" ht="13.8" hidden="false" customHeight="false" outlineLevel="0" collapsed="false">
      <c r="A87" s="1" t="s">
        <v>520</v>
      </c>
      <c r="B87" s="1" t="s">
        <v>521</v>
      </c>
      <c r="C87" s="1" t="n">
        <v>121</v>
      </c>
      <c r="E87" s="1" t="n">
        <v>1109</v>
      </c>
      <c r="F87" s="1" t="s">
        <v>89</v>
      </c>
      <c r="G87" s="1" t="s">
        <v>284</v>
      </c>
      <c r="H87" s="1" t="s">
        <v>490</v>
      </c>
      <c r="I87" s="1" t="s">
        <v>153</v>
      </c>
      <c r="J87" s="1" t="n">
        <v>1997</v>
      </c>
      <c r="M87" s="1" t="n">
        <v>8</v>
      </c>
      <c r="W87" s="1" t="n">
        <v>419.8</v>
      </c>
      <c r="Y87" s="1" t="n">
        <v>3</v>
      </c>
      <c r="AA87" s="4" t="str">
        <f aca="false">IF(AND(W87&gt;0,Z87&gt;0),(Z87/((W87+X87)*10)),"")</f>
        <v/>
      </c>
      <c r="AB87" s="1" t="n">
        <v>125</v>
      </c>
      <c r="AC87" s="1" t="n">
        <f aca="false">ROUND(AB87*1.6, 0)</f>
        <v>200</v>
      </c>
      <c r="AF87" s="1" t="n">
        <v>23</v>
      </c>
      <c r="AG87" s="1" t="n">
        <v>23</v>
      </c>
      <c r="AH87" s="1" t="n">
        <v>2.82</v>
      </c>
      <c r="AI87" s="1" t="n">
        <v>3.79</v>
      </c>
      <c r="AJ87" s="5" t="n">
        <v>25</v>
      </c>
      <c r="AK87" s="0" t="str">
        <f aca="false">CONCATENATE(VLOOKUP(AL87, 'Voxel Sizes'!$A$2:$B$18,2,FALSE()),"x",INT(AH87*15), "x", INT(AI87*15))</f>
        <v>214x42x56</v>
      </c>
      <c r="AL87" s="1" t="n">
        <f aca="false">ROUND(15*((AG87*10)/256),0)</f>
        <v>13</v>
      </c>
      <c r="AN87" s="1" t="str">
        <f aca="false">CONCATENATE(VLOOKUP(AL87,Constants!$A$2:$C$16,IF(AM87&lt;&gt;"", 3, 2), FALSE()),IF(AM87&lt;&gt;"",CONCATENATE(",",VLOOKUP(AM87,$B:$AN,38,FALSE())),""))</f>
        <v>4,5,4</v>
      </c>
      <c r="AR87" s="18" t="s">
        <v>522</v>
      </c>
      <c r="AT87" s="1" t="s">
        <v>523</v>
      </c>
      <c r="AU87" s="1" t="s">
        <v>516</v>
      </c>
      <c r="AX87" s="1" t="n">
        <v>30</v>
      </c>
      <c r="AY87" s="6" t="str">
        <f aca="false">IF(L87&lt;&gt;"",MAX(16,(L87-J87)+8),"")</f>
        <v/>
      </c>
      <c r="AZ87" s="1" t="n">
        <v>180</v>
      </c>
      <c r="BA87" s="1" t="n">
        <v>90</v>
      </c>
      <c r="BB87" s="1" t="n">
        <f aca="false">MIN(AB87/150, 1)*30</f>
        <v>25</v>
      </c>
      <c r="BC87" s="1" t="n">
        <f aca="false">MIN(N87/4000, 1)*20</f>
        <v>0</v>
      </c>
      <c r="BD87" s="1" t="n">
        <f aca="false">MIN(Z87/400,1)*20</f>
        <v>0</v>
      </c>
      <c r="BE87" s="4" t="n">
        <f aca="false">1-(MAX(J87-1900, 0)/750)</f>
        <v>0.870666666666667</v>
      </c>
      <c r="BF87" s="1" t="n">
        <f aca="false">((MAX($M87,1)*MIN($AJ87/300,1)))*IF(G87="Wagon",50,10)</f>
        <v>6.66666666666667</v>
      </c>
      <c r="BG87" s="1" t="n">
        <f aca="false">VLOOKUP($H87,Constants!$I:$K, 2, FALSE())</f>
        <v>1.5</v>
      </c>
      <c r="BH87" s="1" t="n">
        <f aca="false">VLOOKUP($H87,Constants!$I:$K, 3, FALSE())*IF(AND(G87="multiple_unit",AB87&lt;110),0.75,1)</f>
        <v>0.7</v>
      </c>
      <c r="BI87" s="1" t="n">
        <f aca="false">INT(POWER(((Constants!$G$2+$BB87+$BC87+$BD87+$BF87)*$BE87)*$BH87, 1.05))+$BA87</f>
        <v>116</v>
      </c>
      <c r="BJ87" s="1" t="n">
        <f aca="false">INT(POWER((((Constants!$G$1+$BB87+$BC87+$BD87+$BF87)*($BE87))*$BG87),IF($G87="wagon",1,1.2)))+$AZ87</f>
        <v>318</v>
      </c>
      <c r="BK87" s="19" t="n">
        <f aca="false">BI87*IF($G87="wagon",62.5,781.25)</f>
        <v>90625</v>
      </c>
      <c r="BL87" s="19" t="n">
        <f aca="false">BJ87*IF($G87="wagon",2.73,81.25)</f>
        <v>25837.5</v>
      </c>
      <c r="BT87" s="1" t="n">
        <v>2</v>
      </c>
      <c r="BU87" s="1" t="n">
        <v>185</v>
      </c>
      <c r="BV87" s="1" t="s">
        <v>227</v>
      </c>
      <c r="BW87" s="1" t="s">
        <v>517</v>
      </c>
      <c r="BX87" s="1" t="s">
        <v>95</v>
      </c>
      <c r="BY87" s="1" t="str">
        <f aca="false">VLOOKUP(J87,Eras!$A$2:$C$10, 2, TRUE())</f>
        <v>prv</v>
      </c>
      <c r="BZ87" s="18" t="s">
        <v>491</v>
      </c>
      <c r="CA87" s="1" t="str">
        <f aca="false">CONCATENATE(BY87,"_",BZ87)</f>
        <v>prv_Carriage</v>
      </c>
      <c r="CB87" s="1" t="str">
        <f aca="false">_xlfn.CONCAT(H87, "_",I87)</f>
        <v>luxury_carriage_RAIL</v>
      </c>
      <c r="CC87" s="20" t="str">
        <f aca="false">_xlfn.CONCAT("{BLACK}Length: {GOLD}", TEXT(ROUNDUP(IF(AQ87&lt;&gt;"",SUM(VALUE(_xlfn.TEXTSPLIT(AQ87, ","))), SUM(VALUE(_xlfn.TEXTSPLIT(AN87, ",")))*IF(M87, M87, 1))/16, 1), "#,##0.0"), " tiles{}")</f>
        <v>{BLACK}Length: {GOLD}6.5 tiles{}</v>
      </c>
      <c r="CD87" s="1" t="str">
        <f aca="false">VLOOKUP($CB87, Constants!$M:$N, 2, FALSE())</f>
        <v/>
      </c>
      <c r="CE87" s="1" t="str">
        <f aca="false">IF(M87&gt;1,_xlfn.CONCAT("{BLACK}Cars: {GOLD}", M87),"")</f>
        <v>{BLACK}Cars: {GOLD}8</v>
      </c>
      <c r="CF87" s="1" t="s">
        <v>524</v>
      </c>
      <c r="CG87" s="18" t="s">
        <v>519</v>
      </c>
      <c r="CH87" s="1" t="str">
        <f aca="false">_xlfn.CONCAT(CD87,IF(CD87 &lt;&gt; "", " ", ""),CE87,IF(OR(CE87&lt;&gt;"", CD87&lt;&gt;""), "{}",""), CC87, CG87,"{SILVER}", CF87)</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87" s="1"/>
      <c r="CJ87" s="1"/>
    </row>
    <row r="88" customFormat="false" ht="13.8" hidden="false" customHeight="false" outlineLevel="0" collapsed="false">
      <c r="A88" s="1" t="s">
        <v>525</v>
      </c>
      <c r="B88" s="1" t="s">
        <v>526</v>
      </c>
      <c r="C88" s="1" t="n">
        <v>122</v>
      </c>
      <c r="D88" s="1" t="n">
        <v>121</v>
      </c>
      <c r="E88" s="1" t="n">
        <v>1110</v>
      </c>
      <c r="F88" s="1" t="s">
        <v>89</v>
      </c>
      <c r="G88" s="1" t="s">
        <v>443</v>
      </c>
      <c r="H88" s="1" t="s">
        <v>527</v>
      </c>
      <c r="I88" s="1" t="s">
        <v>153</v>
      </c>
      <c r="J88" s="1" t="n">
        <v>1997</v>
      </c>
      <c r="W88" s="1" t="n">
        <v>46.1</v>
      </c>
      <c r="Y88" s="1" t="n">
        <v>3</v>
      </c>
      <c r="AA88" s="4" t="str">
        <f aca="false">IF(AND(W88&gt;0,Z88&gt;0),(Z88/((W88+X88)*10)),"")</f>
        <v/>
      </c>
      <c r="AB88" s="1" t="n">
        <v>125</v>
      </c>
      <c r="AC88" s="1" t="n">
        <f aca="false">ROUND(AB88*1.6, 0)</f>
        <v>200</v>
      </c>
      <c r="AF88" s="1" t="n">
        <v>23</v>
      </c>
      <c r="AG88" s="1" t="n">
        <v>23</v>
      </c>
      <c r="AH88" s="1" t="n">
        <v>2.82</v>
      </c>
      <c r="AI88" s="1" t="n">
        <v>3.79</v>
      </c>
      <c r="AJ88" s="5" t="n">
        <v>0</v>
      </c>
      <c r="AK88" s="0" t="str">
        <f aca="false">CONCATENATE(VLOOKUP(AL88, 'Voxel Sizes'!$A$2:$B$18,2,FALSE()),"x",INT(AH88*15), "x", INT(AI88*15))</f>
        <v>214x42x56</v>
      </c>
      <c r="AL88" s="1" t="n">
        <f aca="false">ROUND(15*((AG88*10)/256),0)</f>
        <v>13</v>
      </c>
      <c r="AN88" s="1" t="str">
        <f aca="false">CONCATENATE(VLOOKUP(AL88,Constants!$A$2:$C$16,IF(AM88&lt;&gt;"", 3, 2), FALSE()),IF(AM88&lt;&gt;"",CONCATENATE(",",VLOOKUP(AM88,$B:$AN,38,FALSE())),""))</f>
        <v>4,5,4</v>
      </c>
      <c r="AX88" s="1" t="n">
        <v>30</v>
      </c>
      <c r="AY88" s="6" t="str">
        <f aca="false">IF(L88&lt;&gt;"",MAX(16,(L88-J88)+8),"")</f>
        <v/>
      </c>
      <c r="AZ88" s="1" t="n">
        <v>1250</v>
      </c>
      <c r="BA88" s="1" t="n">
        <v>150</v>
      </c>
      <c r="BB88" s="1" t="n">
        <f aca="false">MIN(AB88/150, 1)*30</f>
        <v>25</v>
      </c>
      <c r="BC88" s="1" t="n">
        <f aca="false">MIN(N88/4000, 1)*20</f>
        <v>0</v>
      </c>
      <c r="BD88" s="1" t="n">
        <f aca="false">MIN(Z88/400,1)*20</f>
        <v>0</v>
      </c>
      <c r="BE88" s="4" t="n">
        <f aca="false">1-(MAX(J88-1900, 0)/750)</f>
        <v>0.870666666666667</v>
      </c>
      <c r="BF88" s="1" t="n">
        <f aca="false">((MAX($M88,1)*MIN($AJ88/300,1)))*IF(G88="Wagon",50,10)</f>
        <v>0</v>
      </c>
      <c r="BG88" s="1" t="n">
        <f aca="false">VLOOKUP($H88,Constants!$I:$K, 2, FALSE())</f>
        <v>1</v>
      </c>
      <c r="BH88" s="1" t="n">
        <f aca="false">VLOOKUP($H88,Constants!$I:$K, 3, FALSE())*IF(AND(G88="multiple_unit",AB88&lt;110),0.75,1)</f>
        <v>2</v>
      </c>
      <c r="BI88" s="1" t="n">
        <f aca="false">INT(POWER(((Constants!$G$2+$BB88+$BC88+$BD88+$BF88)*$BE88)*$BH88, 1.05))+$BA88</f>
        <v>213</v>
      </c>
      <c r="BJ88" s="1" t="n">
        <f aca="false">INT(POWER((((Constants!$G$1+$BB88+$BC88+$BD88+$BF88)*($BE88))*$BG88),IF($G88="wagon",1,1.2)))+$AZ88</f>
        <v>1284</v>
      </c>
      <c r="BK88" s="19" t="n">
        <f aca="false">BI88*IF($G88="wagon",62.5,781.25)</f>
        <v>13312.5</v>
      </c>
      <c r="BL88" s="19" t="n">
        <f aca="false">BJ88*IF($G88="wagon",2.73,81.25)</f>
        <v>3505.32</v>
      </c>
      <c r="BT88" s="1" t="n">
        <v>2</v>
      </c>
      <c r="BU88" s="1" t="n">
        <v>185</v>
      </c>
      <c r="BV88" s="1" t="s">
        <v>227</v>
      </c>
      <c r="BW88" s="1" t="s">
        <v>527</v>
      </c>
      <c r="BX88" s="1" t="s">
        <v>95</v>
      </c>
      <c r="BY88" s="1" t="str">
        <f aca="false">VLOOKUP(J88,Eras!$A$2:$C$10, 2, TRUE())</f>
        <v>prv</v>
      </c>
      <c r="BZ88" s="18" t="s">
        <v>491</v>
      </c>
      <c r="CA88" s="1" t="str">
        <f aca="false">CONCATENATE(BY88,"_",BZ88)</f>
        <v>prv_Carriage</v>
      </c>
      <c r="CB88" s="1" t="str">
        <f aca="false">_xlfn.CONCAT(H88, "_",I88)</f>
        <v>generator_car_RAIL</v>
      </c>
      <c r="CC88" s="20" t="str">
        <f aca="false">_xlfn.CONCAT("{BLACK}Length: {GOLD}", TEXT(ROUNDUP(IF(AQ88&lt;&gt;"",SUM(VALUE(_xlfn.TEXTSPLIT(AQ88, ","))), SUM(VALUE(_xlfn.TEXTSPLIT(AN88, ",")))*IF(M88, M88, 1))/16, 1), "#,##0.0"), " tiles{}")</f>
        <v>{BLACK}Length: {GOLD}0.9 tiles{}</v>
      </c>
      <c r="CD88" s="1" t="str">
        <f aca="false">VLOOKUP($CB88, Constants!$M:$N, 2, FALSE())</f>
        <v>{BLACK}Powered by: {GOLD}Diesel</v>
      </c>
      <c r="CE88" s="1" t="str">
        <f aca="false">IF(M88&gt;1,_xlfn.CONCAT("{BLACK}Cars: {GOLD}", M88),"")</f>
        <v/>
      </c>
      <c r="CF88" s="1" t="s">
        <v>528</v>
      </c>
      <c r="CG88" s="1" t="str">
        <f aca="false">IF(BW88="buffet","{YELLOW}25% long distance bonus for consist{}",IF(BY88="BRAKE","{YELLOW}Speed bonus for slow wagons{}",IF(BU88&gt;190,CONCATENATE("{YELLOW}",INT((BU88-185)/1.85),"% bonus for long distance travel{}"),IF(AND(BU88&lt;180,BU88&lt;&gt;0),CONCATENATE("{YELLOW}",INT((185-BU88)/1.85),"% penalty for long distance travel{}"),""))))</f>
        <v/>
      </c>
      <c r="CH88" s="1" t="str">
        <f aca="false">_xlfn.CONCAT(CD88,IF(CD88 &lt;&gt; "", " ", ""),CE88,IF(OR(CE88&lt;&gt;"", CD88&lt;&gt;""), "{}",""), CC88, CG88,"{SILVER}", CF88)</f>
        <v>{BLACK}Powered by: {GOLD}Diesel {}{BLACK}Length: {GOLD}0.9 tiles{}{SILVER}The Nightstar rolling stock was so power-hungry that a number of Mk3 Sleepers were converted with 450 kVA generator sets for use when away from electrified areas.</v>
      </c>
      <c r="CI88" s="1"/>
      <c r="CJ88" s="1"/>
    </row>
    <row r="89" customFormat="false" ht="13.8" hidden="false" customHeight="false" outlineLevel="0" collapsed="false">
      <c r="A89" s="1" t="s">
        <v>529</v>
      </c>
      <c r="B89" s="1" t="s">
        <v>530</v>
      </c>
      <c r="C89" s="1" t="n">
        <v>123</v>
      </c>
      <c r="D89" s="1" t="n">
        <v>121</v>
      </c>
      <c r="E89" s="1" t="n">
        <v>1111</v>
      </c>
      <c r="F89" s="1" t="s">
        <v>89</v>
      </c>
      <c r="G89" s="1" t="s">
        <v>443</v>
      </c>
      <c r="H89" s="1" t="s">
        <v>527</v>
      </c>
      <c r="I89" s="1" t="s">
        <v>153</v>
      </c>
      <c r="J89" s="1" t="n">
        <v>1997</v>
      </c>
      <c r="W89" s="1" t="n">
        <v>46.1</v>
      </c>
      <c r="Y89" s="1" t="n">
        <v>3</v>
      </c>
      <c r="AA89" s="4" t="str">
        <f aca="false">IF(AND(W89&gt;0,Z89&gt;0),(Z89/((W89+X89)*10)),"")</f>
        <v/>
      </c>
      <c r="AB89" s="1" t="n">
        <v>125</v>
      </c>
      <c r="AC89" s="1" t="n">
        <f aca="false">ROUND(AB89*1.6, 0)</f>
        <v>200</v>
      </c>
      <c r="AF89" s="1" t="n">
        <v>23</v>
      </c>
      <c r="AG89" s="1" t="n">
        <v>23</v>
      </c>
      <c r="AH89" s="1" t="n">
        <v>2.82</v>
      </c>
      <c r="AI89" s="1" t="n">
        <v>3.79</v>
      </c>
      <c r="AJ89" s="5" t="n">
        <v>0</v>
      </c>
      <c r="AK89" s="0" t="str">
        <f aca="false">CONCATENATE(VLOOKUP(AL89, 'Voxel Sizes'!$A$2:$B$18,2,FALSE()),"x",INT(AH89*15), "x", INT(AI89*15))</f>
        <v>214x42x56</v>
      </c>
      <c r="AL89" s="1" t="n">
        <f aca="false">ROUND(15*((AG89*10)/256),0)</f>
        <v>13</v>
      </c>
      <c r="AN89" s="1" t="str">
        <f aca="false">CONCATENATE(VLOOKUP(AL89,Constants!$A$2:$C$16,IF(AM89&lt;&gt;"", 3, 2), FALSE()),IF(AM89&lt;&gt;"",CONCATENATE(",",VLOOKUP(AM89,$B:$AN,38,FALSE())),""))</f>
        <v>4,5,4</v>
      </c>
      <c r="AX89" s="1" t="n">
        <v>30</v>
      </c>
      <c r="AY89" s="6" t="str">
        <f aca="false">IF(L89&lt;&gt;"",MAX(16,(L89-J89)+8),"")</f>
        <v/>
      </c>
      <c r="AZ89" s="1" t="n">
        <v>1250</v>
      </c>
      <c r="BA89" s="1" t="n">
        <v>150</v>
      </c>
      <c r="BB89" s="1" t="n">
        <f aca="false">MIN(AB89/150, 1)*30</f>
        <v>25</v>
      </c>
      <c r="BC89" s="1" t="n">
        <f aca="false">MIN(N89/4000, 1)*20</f>
        <v>0</v>
      </c>
      <c r="BD89" s="1" t="n">
        <f aca="false">MIN(Z89/400,1)*20</f>
        <v>0</v>
      </c>
      <c r="BE89" s="4" t="n">
        <f aca="false">1-(MAX(J89-1900, 0)/750)</f>
        <v>0.870666666666667</v>
      </c>
      <c r="BF89" s="1" t="n">
        <f aca="false">((MAX($M89,1)*MIN($AJ89/300,1)))*IF(G89="Wagon",50,10)</f>
        <v>0</v>
      </c>
      <c r="BG89" s="1" t="n">
        <f aca="false">VLOOKUP($H89,Constants!$I:$K, 2, FALSE())</f>
        <v>1</v>
      </c>
      <c r="BH89" s="1" t="n">
        <f aca="false">VLOOKUP($H89,Constants!$I:$K, 3, FALSE())*IF(AND(G89="multiple_unit",AB89&lt;110),0.75,1)</f>
        <v>2</v>
      </c>
      <c r="BI89" s="1" t="n">
        <f aca="false">INT(POWER(((Constants!$G$2+$BB89+$BC89+$BD89+$BF89)*$BE89)*$BH89, 1.05))+$BA89</f>
        <v>213</v>
      </c>
      <c r="BJ89" s="1" t="n">
        <f aca="false">INT(POWER((((Constants!$G$1+$BB89+$BC89+$BD89+$BF89)*($BE89))*$BG89),IF($G89="wagon",1,1.2)))+$AZ89</f>
        <v>1284</v>
      </c>
      <c r="BK89" s="19" t="n">
        <f aca="false">BI89*IF($G89="wagon",62.5,781.25)</f>
        <v>13312.5</v>
      </c>
      <c r="BL89" s="19" t="n">
        <f aca="false">BJ89*IF($G89="wagon",2.73,81.25)</f>
        <v>3505.32</v>
      </c>
      <c r="BT89" s="1" t="n">
        <v>2</v>
      </c>
      <c r="BU89" s="1" t="n">
        <v>185</v>
      </c>
      <c r="BV89" s="1" t="s">
        <v>227</v>
      </c>
      <c r="BW89" s="1" t="s">
        <v>527</v>
      </c>
      <c r="BX89" s="1" t="s">
        <v>95</v>
      </c>
      <c r="BY89" s="1" t="str">
        <f aca="false">VLOOKUP(J89,Eras!$A$2:$C$10, 2, TRUE())</f>
        <v>prv</v>
      </c>
      <c r="BZ89" s="18" t="s">
        <v>491</v>
      </c>
      <c r="CA89" s="1" t="str">
        <f aca="false">CONCATENATE(BY89,"_",BZ89)</f>
        <v>prv_Carriage</v>
      </c>
      <c r="CB89" s="1" t="str">
        <f aca="false">_xlfn.CONCAT(H89, "_",I89)</f>
        <v>generator_car_RAIL</v>
      </c>
      <c r="CC89" s="20" t="str">
        <f aca="false">_xlfn.CONCAT("{BLACK}Length: {GOLD}", TEXT(ROUNDUP(IF(AQ89&lt;&gt;"",SUM(VALUE(_xlfn.TEXTSPLIT(AQ89, ","))), SUM(VALUE(_xlfn.TEXTSPLIT(AN89, ",")))*IF(M89, M89, 1))/16, 1), "#,##0.0"), " tiles{}")</f>
        <v>{BLACK}Length: {GOLD}0.9 tiles{}</v>
      </c>
      <c r="CD89" s="1" t="str">
        <f aca="false">VLOOKUP($CB89, Constants!$M:$N, 2, FALSE())</f>
        <v>{BLACK}Powered by: {GOLD}Diesel</v>
      </c>
      <c r="CE89" s="1" t="str">
        <f aca="false">IF(M89&gt;1,_xlfn.CONCAT("{BLACK}Cars: {GOLD}", M89),"")</f>
        <v/>
      </c>
      <c r="CF89" s="1" t="s">
        <v>528</v>
      </c>
      <c r="CG89" s="1" t="str">
        <f aca="false">IF(BW89="buffet","{YELLOW}25% long distance bonus for consist{}",IF(BY89="BRAKE","{YELLOW}Speed bonus for slow wagons{}",IF(BU89&gt;190,CONCATENATE("{YELLOW}",INT((BU89-185)/1.85),"% bonus for long distance travel{}"),IF(AND(BU89&lt;180,BU89&lt;&gt;0),CONCATENATE("{YELLOW}",INT((185-BU89)/1.85),"% penalty for long distance travel{}"),""))))</f>
        <v/>
      </c>
      <c r="CH89" s="1" t="str">
        <f aca="false">_xlfn.CONCAT(CD89,IF(CD89 &lt;&gt; "", " ", ""),CE89,IF(OR(CE89&lt;&gt;"", CD89&lt;&gt;""), "{}",""), CC89, CG89,"{SILVER}", CF89)</f>
        <v>{BLACK}Powered by: {GOLD}Diesel {}{BLACK}Length: {GOLD}0.9 tiles{}{SILVER}The Nightstar rolling stock was so power-hungry that a number of Mk3 Sleepers were converted with 450 kVA generator sets for use when away from electrified areas.</v>
      </c>
      <c r="CI89" s="1"/>
      <c r="CJ89" s="1"/>
    </row>
    <row r="90" customFormat="false" ht="13.8" hidden="false" customHeight="false" outlineLevel="0" collapsed="false">
      <c r="A90" s="1" t="s">
        <v>531</v>
      </c>
      <c r="B90" s="1" t="s">
        <v>532</v>
      </c>
      <c r="C90" s="1" t="n">
        <v>105</v>
      </c>
      <c r="E90" s="1" t="n">
        <v>1112</v>
      </c>
      <c r="F90" s="1" t="s">
        <v>89</v>
      </c>
      <c r="G90" s="1" t="s">
        <v>443</v>
      </c>
      <c r="H90" s="1" t="s">
        <v>495</v>
      </c>
      <c r="I90" s="1" t="s">
        <v>153</v>
      </c>
      <c r="J90" s="1" t="n">
        <v>2018</v>
      </c>
      <c r="W90" s="1" t="n">
        <v>43</v>
      </c>
      <c r="Y90" s="1" t="n">
        <v>3</v>
      </c>
      <c r="AA90" s="4" t="str">
        <f aca="false">IF(AND(W90&gt;0,Z90&gt;0),(Z90/((W90+X90)*10)),"")</f>
        <v/>
      </c>
      <c r="AB90" s="1" t="n">
        <v>125</v>
      </c>
      <c r="AC90" s="1" t="n">
        <f aca="false">ROUND(AB90*1.6, 0)</f>
        <v>200</v>
      </c>
      <c r="AF90" s="1" t="n">
        <v>22.2</v>
      </c>
      <c r="AG90" s="1" t="n">
        <v>22</v>
      </c>
      <c r="AH90" s="1" t="n">
        <v>2.75</v>
      </c>
      <c r="AI90" s="1" t="n">
        <v>3.79</v>
      </c>
      <c r="AJ90" s="5" t="n">
        <v>10</v>
      </c>
      <c r="AK90" s="0" t="str">
        <f aca="false">CONCATENATE(VLOOKUP(AL90, 'Voxel Sizes'!$A$2:$B$18,2,FALSE()),"x",INT(AH90*15), "x", INT(AI90*15))</f>
        <v>214x41x56</v>
      </c>
      <c r="AL90" s="1" t="n">
        <f aca="false">ROUND(15*((AG90*10)/256),0)</f>
        <v>13</v>
      </c>
      <c r="AN90" s="1" t="str">
        <f aca="false">CONCATENATE(VLOOKUP(AL90,Constants!$A$2:$C$16,IF(AM90&lt;&gt;"", 3, 2), FALSE()),IF(AM90&lt;&gt;"",CONCATENATE(",",VLOOKUP(AM90,$B:$AN,38,FALSE())),""))</f>
        <v>4,5,4</v>
      </c>
      <c r="AW90" s="1" t="s">
        <v>533</v>
      </c>
      <c r="AX90" s="1" t="n">
        <v>30</v>
      </c>
      <c r="AY90" s="6" t="str">
        <f aca="false">IF(L90&lt;&gt;"",MAX(16,(L90-J90)+8),"")</f>
        <v/>
      </c>
      <c r="AZ90" s="1" t="n">
        <v>1150</v>
      </c>
      <c r="BA90" s="1" t="n">
        <v>150</v>
      </c>
      <c r="BB90" s="1" t="n">
        <f aca="false">MIN(AB90/150, 1)*30</f>
        <v>25</v>
      </c>
      <c r="BC90" s="1" t="n">
        <f aca="false">MIN(N90/4000, 1)*20</f>
        <v>0</v>
      </c>
      <c r="BD90" s="1" t="n">
        <f aca="false">MIN(Z90/400,1)*20</f>
        <v>0</v>
      </c>
      <c r="BE90" s="4" t="n">
        <f aca="false">1-(MAX(J90-1900, 0)/750)</f>
        <v>0.842666666666667</v>
      </c>
      <c r="BF90" s="1" t="n">
        <f aca="false">((MAX($M90,1)*MIN($AJ90/300,1)))*IF(G90="Wagon",50,10)</f>
        <v>1.66666666666667</v>
      </c>
      <c r="BG90" s="1" t="n">
        <f aca="false">VLOOKUP($H90,Constants!$I:$K, 2, FALSE())</f>
        <v>1.2</v>
      </c>
      <c r="BH90" s="1" t="n">
        <f aca="false">VLOOKUP($H90,Constants!$I:$K, 3, FALSE())*IF(AND(G90="multiple_unit",AB90&lt;110),0.75,1)</f>
        <v>0.6</v>
      </c>
      <c r="BI90" s="1" t="n">
        <f aca="false">INT(POWER(((Constants!$G$2+$BB90+$BC90+$BD90+$BF90)*$BE90)*$BH90, 1.05))+$BA90</f>
        <v>168</v>
      </c>
      <c r="BJ90" s="1" t="n">
        <f aca="false">INT(POWER((((Constants!$G$1+$BB90+$BC90+$BD90+$BF90)*($BE90))*$BG90),IF($G90="wagon",1,1.2)))+$AZ90</f>
        <v>1192</v>
      </c>
      <c r="BK90" s="19" t="n">
        <f aca="false">BI90*IF($G90="wagon",62.5,781.25)</f>
        <v>10500</v>
      </c>
      <c r="BL90" s="19" t="n">
        <f aca="false">BJ90*IF($G90="wagon",2.73,81.25)</f>
        <v>3254.16</v>
      </c>
      <c r="BT90" s="1" t="n">
        <v>2</v>
      </c>
      <c r="BU90" s="1" t="n">
        <v>278</v>
      </c>
      <c r="BV90" s="1" t="s">
        <v>227</v>
      </c>
      <c r="BX90" s="1" t="s">
        <v>95</v>
      </c>
      <c r="BY90" s="1" t="str">
        <f aca="false">VLOOKUP(J90,Eras!$A$2:$C$10, 2, TRUE())</f>
        <v>mod</v>
      </c>
      <c r="BZ90" s="18" t="s">
        <v>491</v>
      </c>
      <c r="CA90" s="1" t="str">
        <f aca="false">CONCATENATE(BY90,"_",BZ90)</f>
        <v>mod_Carriage</v>
      </c>
      <c r="CB90" s="1" t="str">
        <f aca="false">_xlfn.CONCAT(H90, "_",I90)</f>
        <v>carriage_RAIL</v>
      </c>
      <c r="CC90" s="20" t="str">
        <f aca="false">_xlfn.CONCAT("{BLACK}Length: {GOLD}", TEXT(ROUNDUP(IF(AQ90&lt;&gt;"",SUM(VALUE(_xlfn.TEXTSPLIT(AQ90, ","))), SUM(VALUE(_xlfn.TEXTSPLIT(AN90, ",")))*IF(M90, M90, 1))/16, 1), "#,##0.0"), " tiles{}")</f>
        <v>{BLACK}Length: {GOLD}0.9 tiles{}</v>
      </c>
      <c r="CD90" s="1" t="str">
        <f aca="false">VLOOKUP($CB90, Constants!$M:$N, 2, FALSE())</f>
        <v/>
      </c>
      <c r="CE90" s="1" t="str">
        <f aca="false">IF(M90&gt;1,_xlfn.CONCAT("{BLACK}Cars: {GOLD}", M90),"")</f>
        <v/>
      </c>
      <c r="CF90" s="1" t="s">
        <v>534</v>
      </c>
      <c r="CG90" s="1" t="str">
        <f aca="false">IF(BW90="buffet","{YELLOW}25% long distance bonus for consist{}",IF(BY90="BRAKE","{YELLOW}Speed bonus for slow wagons{}",IF(BU90&gt;190,CONCATENATE("{YELLOW}",INT((BU90-185)/1.85),"% bonus for long distance travel{}"),IF(AND(BU90&lt;180,BU90&lt;&gt;0),CONCATENATE("{YELLOW}",INT((185-BU90)/1.85),"% penalty for long distance travel{}"),""))))</f>
        <v>{YELLOW}50% bonus for long distance travel{}</v>
      </c>
      <c r="CH90" s="1" t="str">
        <f aca="false">_xlfn.CONCAT(CD90,IF(CD90 &lt;&gt; "", " ", ""),CE90,IF(OR(CE90&lt;&gt;"", CD90&lt;&gt;""), "{}",""), CC90, CG90,"{SILVER}", CF90)</f>
        <v>{BLACK}Length: {GOLD}0.9 tiles{}{YELLOW}50% bonus for long distance travel{}{SILVER}The Mk5 sleeper trains were procured to replace Mk3 sleepers. With the end of double berths, these trains have an even lower capacity than what they replaced!</v>
      </c>
      <c r="CI90" s="1"/>
      <c r="CJ90" s="1"/>
    </row>
    <row r="91" customFormat="false" ht="13.8" hidden="false" customHeight="false" outlineLevel="0" collapsed="false">
      <c r="A91" s="1" t="s">
        <v>535</v>
      </c>
      <c r="B91" s="1" t="s">
        <v>536</v>
      </c>
      <c r="C91" s="1" t="n">
        <v>106</v>
      </c>
      <c r="D91" s="1" t="n">
        <v>105</v>
      </c>
      <c r="E91" s="1" t="n">
        <v>1113</v>
      </c>
      <c r="F91" s="1" t="s">
        <v>89</v>
      </c>
      <c r="G91" s="1" t="s">
        <v>443</v>
      </c>
      <c r="H91" s="1" t="s">
        <v>495</v>
      </c>
      <c r="I91" s="1" t="s">
        <v>153</v>
      </c>
      <c r="J91" s="1" t="n">
        <v>2018</v>
      </c>
      <c r="W91" s="1" t="n">
        <v>43</v>
      </c>
      <c r="Y91" s="1" t="n">
        <v>3</v>
      </c>
      <c r="AA91" s="4" t="str">
        <f aca="false">IF(AND(W91&gt;0,Z91&gt;0),(Z91/((W91+X91)*10)),"")</f>
        <v/>
      </c>
      <c r="AB91" s="1" t="n">
        <v>125</v>
      </c>
      <c r="AC91" s="1" t="n">
        <f aca="false">ROUND(AB91*1.6, 0)</f>
        <v>200</v>
      </c>
      <c r="AF91" s="1" t="n">
        <v>22.2</v>
      </c>
      <c r="AG91" s="1" t="n">
        <v>22</v>
      </c>
      <c r="AH91" s="1" t="n">
        <v>2.75</v>
      </c>
      <c r="AI91" s="1" t="n">
        <v>3.79</v>
      </c>
      <c r="AJ91" s="5" t="n">
        <v>30</v>
      </c>
      <c r="AK91" s="0" t="str">
        <f aca="false">CONCATENATE(VLOOKUP(AL91, 'Voxel Sizes'!$A$2:$B$18,2,FALSE()),"x",INT(AH91*15), "x", INT(AI91*15))</f>
        <v>214x41x56</v>
      </c>
      <c r="AL91" s="1" t="n">
        <f aca="false">ROUND(15*((AG91*10)/256),0)</f>
        <v>13</v>
      </c>
      <c r="AN91" s="1" t="str">
        <f aca="false">CONCATENATE(VLOOKUP(AL91,Constants!$A$2:$C$16,IF(AM91&lt;&gt;"", 3, 2), FALSE()),IF(AM91&lt;&gt;"",CONCATENATE(",",VLOOKUP(AM91,$B:$AN,38,FALSE())),""))</f>
        <v>4,5,4</v>
      </c>
      <c r="AW91" s="1" t="s">
        <v>537</v>
      </c>
      <c r="AX91" s="1" t="n">
        <v>30</v>
      </c>
      <c r="AY91" s="6" t="str">
        <f aca="false">IF(L91&lt;&gt;"",MAX(16,(L91-J91)+8),"")</f>
        <v/>
      </c>
      <c r="AZ91" s="1" t="n">
        <v>1150</v>
      </c>
      <c r="BA91" s="1" t="n">
        <v>150</v>
      </c>
      <c r="BB91" s="1" t="n">
        <f aca="false">MIN(AB91/150, 1)*30</f>
        <v>25</v>
      </c>
      <c r="BC91" s="1" t="n">
        <f aca="false">MIN(N91/4000, 1)*20</f>
        <v>0</v>
      </c>
      <c r="BD91" s="1" t="n">
        <f aca="false">MIN(Z91/400,1)*20</f>
        <v>0</v>
      </c>
      <c r="BE91" s="4" t="n">
        <f aca="false">1-(MAX(J91-1900, 0)/750)</f>
        <v>0.842666666666667</v>
      </c>
      <c r="BF91" s="1" t="n">
        <f aca="false">((MAX($M91,1)*MIN($AJ91/300,1)))*IF(G91="Wagon",50,10)</f>
        <v>5</v>
      </c>
      <c r="BG91" s="1" t="n">
        <f aca="false">VLOOKUP($H91,Constants!$I:$K, 2, FALSE())</f>
        <v>1.2</v>
      </c>
      <c r="BH91" s="1" t="n">
        <f aca="false">VLOOKUP($H91,Constants!$I:$K, 3, FALSE())*IF(AND(G91="multiple_unit",AB91&lt;110),0.75,1)</f>
        <v>0.6</v>
      </c>
      <c r="BI91" s="1" t="n">
        <f aca="false">INT(POWER(((Constants!$G$2+$BB91+$BC91+$BD91+$BF91)*$BE91)*$BH91, 1.05))+$BA91</f>
        <v>170</v>
      </c>
      <c r="BJ91" s="1" t="n">
        <f aca="false">INT(POWER((((Constants!$G$1+$BB91+$BC91+$BD91+$BF91)*($BE91))*$BG91),IF($G91="wagon",1,1.2)))+$AZ91</f>
        <v>1195</v>
      </c>
      <c r="BK91" s="19" t="n">
        <f aca="false">BI91*IF($G91="wagon",62.5,781.25)</f>
        <v>10625</v>
      </c>
      <c r="BL91" s="19" t="n">
        <f aca="false">BJ91*IF($G91="wagon",2.73,81.25)</f>
        <v>3262.35</v>
      </c>
      <c r="BT91" s="1" t="n">
        <v>2</v>
      </c>
      <c r="BU91" s="1" t="n">
        <v>222</v>
      </c>
      <c r="BV91" s="1" t="s">
        <v>227</v>
      </c>
      <c r="BX91" s="1" t="s">
        <v>95</v>
      </c>
      <c r="BY91" s="1" t="str">
        <f aca="false">VLOOKUP(J91,Eras!$A$2:$C$10, 2, TRUE())</f>
        <v>mod</v>
      </c>
      <c r="BZ91" s="18" t="s">
        <v>491</v>
      </c>
      <c r="CA91" s="1" t="str">
        <f aca="false">CONCATENATE(BY91,"_",BZ91)</f>
        <v>mod_Carriage</v>
      </c>
      <c r="CB91" s="1" t="str">
        <f aca="false">_xlfn.CONCAT(H91, "_",I91)</f>
        <v>carriage_RAIL</v>
      </c>
      <c r="CC91" s="20" t="str">
        <f aca="false">_xlfn.CONCAT("{BLACK}Length: {GOLD}", TEXT(ROUNDUP(IF(AQ91&lt;&gt;"",SUM(VALUE(_xlfn.TEXTSPLIT(AQ91, ","))), SUM(VALUE(_xlfn.TEXTSPLIT(AN91, ",")))*IF(M91, M91, 1))/16, 1), "#,##0.0"), " tiles{}")</f>
        <v>{BLACK}Length: {GOLD}0.9 tiles{}</v>
      </c>
      <c r="CD91" s="1" t="str">
        <f aca="false">VLOOKUP($CB91, Constants!$M:$N, 2, FALSE())</f>
        <v/>
      </c>
      <c r="CE91" s="1" t="str">
        <f aca="false">IF(M91&gt;1,_xlfn.CONCAT("{BLACK}Cars: {GOLD}", M91),"")</f>
        <v/>
      </c>
      <c r="CF91" s="1" t="s">
        <v>538</v>
      </c>
      <c r="CG91" s="1" t="str">
        <f aca="false">IF(BW91="buffet","{YELLOW}25% long distance bonus for consist{}",IF(BY91="BRAKE","{YELLOW}Speed bonus for slow wagons{}",IF(BU91&gt;190,CONCATENATE("{YELLOW}",INT((BU91-185)/1.85),"% bonus for long distance travel{}"),IF(AND(BU91&lt;180,BU91&lt;&gt;0),CONCATENATE("{YELLOW}",INT((185-BU91)/1.85),"% penalty for long distance travel{}"),""))))</f>
        <v>{YELLOW}20% bonus for long distance travel{}</v>
      </c>
      <c r="CH91" s="1" t="str">
        <f aca="false">_xlfn.CONCAT(CD91,IF(CD91 &lt;&gt; "", " ", ""),CE91,IF(OR(CE91&lt;&gt;"", CD91&lt;&gt;""), "{}",""), CC91, CG91,"{SILVER}", CF91)</f>
        <v>{BLACK}Length: {GOLD}0.9 tiles{}{YELLOW}20% bonus for long distance travel{}{SILVER}Mk5 sleeper services make up for their pathetic berth count with conventional seated stock, featuring a 2+1 airline style seating and not enough recline in the seats.</v>
      </c>
      <c r="CI91" s="1"/>
      <c r="CJ91" s="1"/>
    </row>
    <row r="92" customFormat="false" ht="13.8" hidden="false" customHeight="false" outlineLevel="0" collapsed="false">
      <c r="A92" s="1" t="s">
        <v>539</v>
      </c>
      <c r="B92" s="1" t="s">
        <v>540</v>
      </c>
      <c r="C92" s="1" t="n">
        <v>107</v>
      </c>
      <c r="D92" s="1" t="n">
        <v>105</v>
      </c>
      <c r="E92" s="1" t="n">
        <v>1114</v>
      </c>
      <c r="F92" s="1" t="s">
        <v>89</v>
      </c>
      <c r="G92" s="1" t="s">
        <v>443</v>
      </c>
      <c r="H92" s="1" t="s">
        <v>495</v>
      </c>
      <c r="I92" s="1" t="s">
        <v>153</v>
      </c>
      <c r="J92" s="1" t="n">
        <v>2018</v>
      </c>
      <c r="W92" s="1" t="n">
        <v>43</v>
      </c>
      <c r="Y92" s="1" t="n">
        <v>3</v>
      </c>
      <c r="AA92" s="4" t="str">
        <f aca="false">IF(AND(W92&gt;0,Z92&gt;0),(Z92/((W92+X92)*10)),"")</f>
        <v/>
      </c>
      <c r="AB92" s="1" t="n">
        <v>125</v>
      </c>
      <c r="AC92" s="1" t="n">
        <f aca="false">ROUND(AB92*1.6, 0)</f>
        <v>200</v>
      </c>
      <c r="AF92" s="1" t="n">
        <v>22.2</v>
      </c>
      <c r="AG92" s="1" t="n">
        <v>22</v>
      </c>
      <c r="AH92" s="1" t="n">
        <v>2.75</v>
      </c>
      <c r="AI92" s="1" t="n">
        <v>3.79</v>
      </c>
      <c r="AJ92" s="5" t="n">
        <v>0</v>
      </c>
      <c r="AK92" s="0" t="str">
        <f aca="false">CONCATENATE(VLOOKUP(AL92, 'Voxel Sizes'!$A$2:$B$18,2,FALSE()),"x",INT(AH92*15), "x", INT(AI92*15))</f>
        <v>214x41x56</v>
      </c>
      <c r="AL92" s="1" t="n">
        <f aca="false">ROUND(15*((AG92*10)/256),0)</f>
        <v>13</v>
      </c>
      <c r="AN92" s="1" t="str">
        <f aca="false">CONCATENATE(VLOOKUP(AL92,Constants!$A$2:$C$16,IF(AM92&lt;&gt;"", 3, 2), FALSE()),IF(AM92&lt;&gt;"",CONCATENATE(",",VLOOKUP(AM92,$B:$AN,38,FALSE())),""))</f>
        <v>4,5,4</v>
      </c>
      <c r="AW92" s="1" t="s">
        <v>541</v>
      </c>
      <c r="AX92" s="1" t="n">
        <v>30</v>
      </c>
      <c r="AY92" s="6" t="str">
        <f aca="false">IF(L92&lt;&gt;"",MAX(16,(L92-J92)+8),"")</f>
        <v/>
      </c>
      <c r="AZ92" s="1" t="n">
        <v>1150</v>
      </c>
      <c r="BA92" s="1" t="n">
        <v>150</v>
      </c>
      <c r="BB92" s="1" t="n">
        <f aca="false">MIN(AB92/150, 1)*30</f>
        <v>25</v>
      </c>
      <c r="BC92" s="1" t="n">
        <f aca="false">MIN(N92/4000, 1)*20</f>
        <v>0</v>
      </c>
      <c r="BD92" s="1" t="n">
        <f aca="false">MIN(Z92/400,1)*20</f>
        <v>0</v>
      </c>
      <c r="BE92" s="4" t="n">
        <f aca="false">1-(MAX(J92-1900, 0)/750)</f>
        <v>0.842666666666667</v>
      </c>
      <c r="BF92" s="1" t="n">
        <f aca="false">((MAX($M92,1)*MIN($AJ92/300,1)))*IF(G92="Wagon",50,10)</f>
        <v>0</v>
      </c>
      <c r="BG92" s="1" t="n">
        <f aca="false">VLOOKUP($H92,Constants!$I:$K, 2, FALSE())</f>
        <v>1.2</v>
      </c>
      <c r="BH92" s="1" t="n">
        <f aca="false">VLOOKUP($H92,Constants!$I:$K, 3, FALSE())*IF(AND(G92="multiple_unit",AB92&lt;110),0.75,1)</f>
        <v>0.6</v>
      </c>
      <c r="BI92" s="1" t="n">
        <f aca="false">INT(POWER(((Constants!$G$2+$BB92+$BC92+$BD92+$BF92)*$BE92)*$BH92, 1.05))+$BA92</f>
        <v>167</v>
      </c>
      <c r="BJ92" s="1" t="n">
        <f aca="false">INT(POWER((((Constants!$G$1+$BB92+$BC92+$BD92+$BF92)*($BE92))*$BG92),IF($G92="wagon",1,1.2)))+$AZ92</f>
        <v>1190</v>
      </c>
      <c r="BK92" s="19" t="n">
        <f aca="false">BI92*IF($G92="wagon",62.5,781.25)</f>
        <v>10437.5</v>
      </c>
      <c r="BL92" s="19" t="n">
        <f aca="false">BJ92*IF($G92="wagon",2.73,81.25)</f>
        <v>3248.7</v>
      </c>
      <c r="BT92" s="1" t="n">
        <v>2</v>
      </c>
      <c r="BU92" s="1" t="n">
        <v>278</v>
      </c>
      <c r="BV92" s="1" t="s">
        <v>227</v>
      </c>
      <c r="BW92" s="18" t="s">
        <v>235</v>
      </c>
      <c r="BX92" s="1" t="s">
        <v>95</v>
      </c>
      <c r="BY92" s="1" t="str">
        <f aca="false">VLOOKUP(J92,Eras!$A$2:$C$10, 2, TRUE())</f>
        <v>mod</v>
      </c>
      <c r="BZ92" s="18" t="s">
        <v>491</v>
      </c>
      <c r="CA92" s="1" t="str">
        <f aca="false">CONCATENATE(BY92,"_",BZ92)</f>
        <v>mod_Carriage</v>
      </c>
      <c r="CB92" s="1" t="str">
        <f aca="false">_xlfn.CONCAT(H92, "_",I92)</f>
        <v>carriage_RAIL</v>
      </c>
      <c r="CC92" s="20" t="str">
        <f aca="false">_xlfn.CONCAT("{BLACK}Length: {GOLD}", TEXT(ROUNDUP(IF(AQ92&lt;&gt;"",SUM(VALUE(_xlfn.TEXTSPLIT(AQ92, ","))), SUM(VALUE(_xlfn.TEXTSPLIT(AN92, ",")))*IF(M92, M92, 1))/16, 1), "#,##0.0"), " tiles{}")</f>
        <v>{BLACK}Length: {GOLD}0.9 tiles{}</v>
      </c>
      <c r="CD92" s="1" t="str">
        <f aca="false">VLOOKUP($CB92, Constants!$M:$N, 2, FALSE())</f>
        <v/>
      </c>
      <c r="CE92" s="1" t="str">
        <f aca="false">IF(M92&gt;1,_xlfn.CONCAT("{BLACK}Cars: {GOLD}", M92),"")</f>
        <v/>
      </c>
      <c r="CF92" s="1" t="s">
        <v>542</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{YELLOW}25% long distance bonus for consist{}</v>
      </c>
      <c r="CH92" s="1" t="str">
        <f aca="false">_xlfn.CONCAT(CD92,IF(CD92 &lt;&gt; "", " ", ""),CE92,IF(OR(CE92&lt;&gt;"", CD92&lt;&gt;""), "{}",""), CC92, CG92,"{SILVER}", CF92)</f>
        <v>{BLACK}Length: {GOLD}0.9 tiles{}{YELLOW}25% long distance bonus for consist{}{SILVER}The Mk5 ‘Club Car’ is the dining facility for sleeper services, but the 30 seats within are not bookable for travel.</v>
      </c>
      <c r="CI92" s="1"/>
      <c r="CJ92" s="1"/>
    </row>
    <row r="93" s="1" customFormat="true" ht="13.8" hidden="false" customHeight="false" outlineLevel="0" collapsed="false"/>
    <row r="94" s="1" customFormat="true" ht="13.8" hidden="false" customHeight="false" outlineLevel="0" collapsed="false"/>
    <row r="95" s="1" customFormat="true" ht="13.8" hidden="false" customHeight="false" outlineLevel="0" collapsed="false">
      <c r="O95" s="36"/>
      <c r="P95" s="36"/>
      <c r="Q95" s="36"/>
      <c r="R95" s="36"/>
      <c r="S95" s="36"/>
      <c r="T95" s="37"/>
      <c r="U95" s="36"/>
      <c r="V95" s="36"/>
      <c r="X95" s="36"/>
      <c r="AA95" s="4"/>
      <c r="AJ95" s="36"/>
      <c r="AP95" s="36"/>
      <c r="AQ95" s="36"/>
      <c r="BE95" s="4"/>
      <c r="BK95" s="19"/>
      <c r="BL95" s="19"/>
    </row>
    <row r="96" s="1" customFormat="true" ht="13.8" hidden="false" customHeight="false" outlineLevel="0" collapsed="false"/>
    <row r="97" s="1" customFormat="true" ht="13.8" hidden="false" customHeight="false" outlineLevel="0" collapsed="false"/>
    <row r="98" s="1" customFormat="true" ht="13.8" hidden="false" customHeight="false" outlineLevel="0" collapsed="false">
      <c r="O98" s="36"/>
      <c r="P98" s="36"/>
      <c r="Q98" s="36"/>
      <c r="R98" s="36"/>
      <c r="S98" s="36"/>
      <c r="T98" s="37"/>
      <c r="U98" s="36"/>
      <c r="V98" s="36"/>
      <c r="X98" s="36"/>
      <c r="AA98" s="4"/>
      <c r="AJ98" s="36"/>
      <c r="AP98" s="36"/>
      <c r="AQ98" s="36"/>
      <c r="BE98" s="4"/>
      <c r="BK98" s="19"/>
      <c r="BL98" s="19"/>
    </row>
    <row r="99" s="1" customFormat="true" ht="13.8" hidden="false" customHeight="false" outlineLevel="0" collapsed="false">
      <c r="O99" s="36"/>
      <c r="P99" s="36"/>
      <c r="Q99" s="36"/>
      <c r="R99" s="36"/>
      <c r="S99" s="36"/>
      <c r="T99" s="37"/>
      <c r="U99" s="36"/>
      <c r="V99" s="36"/>
      <c r="X99" s="36"/>
      <c r="AA99" s="4"/>
      <c r="AJ99" s="36"/>
      <c r="AP99" s="36"/>
      <c r="AQ99" s="36"/>
      <c r="BE99" s="4"/>
      <c r="BK99" s="19"/>
      <c r="BL99" s="19"/>
    </row>
    <row r="100" s="1" customFormat="true" ht="13.8" hidden="false" customHeight="false" outlineLevel="0" collapsed="false">
      <c r="O100" s="36"/>
      <c r="P100" s="36"/>
      <c r="Q100" s="36"/>
      <c r="R100" s="36"/>
      <c r="S100" s="36"/>
      <c r="T100" s="37"/>
      <c r="U100" s="36"/>
      <c r="V100" s="36"/>
      <c r="X100" s="36"/>
      <c r="AA100" s="4"/>
      <c r="AJ100" s="36"/>
      <c r="AP100" s="36"/>
      <c r="AQ100" s="36"/>
      <c r="BE100" s="4"/>
      <c r="BK100" s="19"/>
      <c r="BL100" s="19"/>
    </row>
    <row r="101" s="1" customFormat="true" ht="13.8" hidden="false" customHeight="false" outlineLevel="0" collapsed="false">
      <c r="O101" s="36"/>
      <c r="P101" s="36"/>
      <c r="Q101" s="36"/>
      <c r="R101" s="36"/>
      <c r="S101" s="36"/>
      <c r="T101" s="37"/>
      <c r="U101" s="36"/>
      <c r="V101" s="36"/>
      <c r="X101" s="36"/>
      <c r="AA101" s="4"/>
      <c r="AJ101" s="36"/>
      <c r="AP101" s="36"/>
      <c r="AQ101" s="36"/>
      <c r="BE101" s="4"/>
      <c r="BK101" s="19"/>
      <c r="BL101" s="19"/>
    </row>
    <row r="102" s="1" customFormat="true" ht="13.8" hidden="false" customHeight="false" outlineLevel="0" collapsed="false">
      <c r="O102" s="36"/>
      <c r="P102" s="36"/>
      <c r="Q102" s="36"/>
      <c r="R102" s="36"/>
      <c r="S102" s="36"/>
      <c r="T102" s="37"/>
      <c r="U102" s="36"/>
      <c r="V102" s="36"/>
      <c r="X102" s="36"/>
      <c r="AA102" s="4"/>
      <c r="AJ102" s="36"/>
      <c r="AP102" s="36"/>
      <c r="AQ102" s="36"/>
      <c r="BE102" s="4"/>
      <c r="BK102" s="19"/>
      <c r="BL102" s="19"/>
    </row>
    <row r="103" s="1" customFormat="true" ht="13.8" hidden="false" customHeight="false" outlineLevel="0" collapsed="false">
      <c r="O103" s="36"/>
      <c r="P103" s="36"/>
      <c r="Q103" s="36"/>
      <c r="R103" s="36"/>
      <c r="S103" s="36"/>
      <c r="T103" s="37"/>
      <c r="U103" s="36"/>
      <c r="V103" s="36"/>
      <c r="X103" s="36"/>
      <c r="AA103" s="4"/>
      <c r="AJ103" s="36"/>
      <c r="AP103" s="36"/>
      <c r="AQ103" s="36"/>
      <c r="BE103" s="4"/>
      <c r="BK103" s="19"/>
      <c r="BL103" s="19"/>
    </row>
    <row r="104" s="1" customFormat="true" ht="13.8" hidden="false" customHeight="false" outlineLevel="0" collapsed="false">
      <c r="O104" s="36"/>
      <c r="P104" s="36"/>
      <c r="Q104" s="36"/>
      <c r="R104" s="36"/>
      <c r="S104" s="36"/>
      <c r="T104" s="37"/>
      <c r="U104" s="36"/>
      <c r="V104" s="36"/>
      <c r="X104" s="36"/>
      <c r="AA104" s="4"/>
      <c r="AJ104" s="36"/>
      <c r="AP104" s="36"/>
      <c r="AQ104" s="36"/>
      <c r="BE104" s="4"/>
      <c r="BK104" s="19"/>
      <c r="BL104" s="19"/>
    </row>
    <row r="105" s="1" customFormat="true" ht="13.8" hidden="false" customHeight="false" outlineLevel="0" collapsed="false">
      <c r="O105" s="36"/>
      <c r="P105" s="36"/>
      <c r="Q105" s="36"/>
      <c r="R105" s="36"/>
      <c r="S105" s="36"/>
      <c r="T105" s="37"/>
      <c r="U105" s="36"/>
      <c r="V105" s="36"/>
      <c r="X105" s="36"/>
      <c r="AA105" s="4"/>
      <c r="AJ105" s="36"/>
      <c r="AP105" s="36"/>
      <c r="AQ105" s="36"/>
      <c r="BE105" s="4"/>
      <c r="BK105" s="19"/>
      <c r="BL105" s="19"/>
    </row>
    <row r="106" s="1" customFormat="true" ht="13.8" hidden="false" customHeight="false" outlineLevel="0" collapsed="false">
      <c r="O106" s="36"/>
      <c r="P106" s="36"/>
      <c r="Q106" s="36"/>
      <c r="R106" s="36"/>
      <c r="S106" s="36"/>
      <c r="T106" s="36"/>
      <c r="U106" s="36"/>
      <c r="V106" s="36"/>
      <c r="X106" s="36"/>
      <c r="AA106" s="4"/>
      <c r="AJ106" s="36"/>
      <c r="AP106" s="36"/>
      <c r="AQ106" s="36"/>
      <c r="BE106" s="4"/>
      <c r="BK106" s="19"/>
      <c r="BL106" s="19"/>
    </row>
    <row r="107" s="1" customFormat="true" ht="13.8" hidden="false" customHeight="false" outlineLevel="0" collapsed="false">
      <c r="O107" s="36"/>
      <c r="P107" s="36"/>
      <c r="Q107" s="36"/>
      <c r="R107" s="36"/>
      <c r="S107" s="36"/>
      <c r="T107" s="37"/>
      <c r="U107" s="36"/>
      <c r="V107" s="36"/>
      <c r="X107" s="36"/>
      <c r="AA107" s="4"/>
      <c r="AJ107" s="36"/>
      <c r="AP107" s="36"/>
      <c r="AQ107" s="36"/>
      <c r="BE107" s="4"/>
      <c r="BK107" s="19"/>
      <c r="BL107" s="19"/>
    </row>
    <row r="108" s="1" customFormat="true" ht="13.8" hidden="false" customHeight="false" outlineLevel="0" collapsed="false">
      <c r="O108" s="36"/>
      <c r="P108" s="36"/>
      <c r="Q108" s="36"/>
      <c r="R108" s="36"/>
      <c r="S108" s="36"/>
      <c r="T108" s="36"/>
      <c r="U108" s="36"/>
      <c r="V108" s="36"/>
      <c r="X108" s="36"/>
      <c r="AA108" s="4"/>
      <c r="AJ108" s="36"/>
      <c r="AP108" s="36"/>
      <c r="AQ108" s="36"/>
      <c r="BE108" s="4"/>
      <c r="BK108" s="19"/>
      <c r="BL108" s="19"/>
    </row>
    <row r="109" s="1" customFormat="true" ht="13.8" hidden="false" customHeight="false" outlineLevel="0" collapsed="false">
      <c r="O109" s="36"/>
      <c r="P109" s="36"/>
      <c r="Q109" s="36"/>
      <c r="R109" s="36"/>
      <c r="S109" s="36"/>
      <c r="T109" s="36"/>
      <c r="U109" s="36"/>
      <c r="V109" s="36"/>
      <c r="X109" s="36"/>
      <c r="AA109" s="4"/>
      <c r="AJ109" s="36"/>
      <c r="AP109" s="36"/>
      <c r="AQ109" s="36"/>
      <c r="BE109" s="4"/>
      <c r="BK109" s="19"/>
      <c r="BL109" s="19"/>
    </row>
    <row r="110" s="1" customFormat="true" ht="13.8" hidden="false" customHeight="false" outlineLevel="0" collapsed="false">
      <c r="O110" s="36"/>
      <c r="P110" s="36"/>
      <c r="Q110" s="36"/>
      <c r="R110" s="36"/>
      <c r="S110" s="36"/>
      <c r="T110" s="36"/>
      <c r="U110" s="36"/>
      <c r="V110" s="36"/>
      <c r="X110" s="36"/>
      <c r="AA110" s="4"/>
      <c r="AJ110" s="36"/>
      <c r="AP110" s="36"/>
      <c r="AQ110" s="36"/>
      <c r="BE110" s="4"/>
      <c r="BK110" s="19"/>
      <c r="BL110" s="19"/>
    </row>
    <row r="111" s="1" customFormat="true" ht="13.8" hidden="false" customHeight="false" outlineLevel="0" collapsed="false">
      <c r="O111" s="36"/>
      <c r="P111" s="36"/>
      <c r="Q111" s="36"/>
      <c r="R111" s="36"/>
      <c r="S111" s="36"/>
      <c r="T111" s="36"/>
      <c r="U111" s="36"/>
      <c r="V111" s="36"/>
      <c r="X111" s="36"/>
      <c r="AA111" s="4"/>
      <c r="AJ111" s="36"/>
      <c r="AP111" s="36"/>
      <c r="AQ111" s="36"/>
      <c r="BE111" s="4"/>
      <c r="BK111" s="19"/>
      <c r="BL111" s="19"/>
    </row>
    <row r="112" s="1" customFormat="true" ht="13.8" hidden="false" customHeight="false" outlineLevel="0" collapsed="false">
      <c r="O112" s="36"/>
      <c r="P112" s="36"/>
      <c r="Q112" s="36"/>
      <c r="R112" s="36"/>
      <c r="S112" s="36"/>
      <c r="T112" s="36"/>
      <c r="U112" s="36"/>
      <c r="V112" s="36"/>
      <c r="X112" s="36"/>
      <c r="AA112" s="4"/>
      <c r="AJ112" s="36"/>
      <c r="AP112" s="36"/>
      <c r="AQ112" s="36"/>
      <c r="BE112" s="4"/>
      <c r="BK112" s="19"/>
      <c r="BL112" s="19"/>
    </row>
    <row r="113" s="1" customFormat="true" ht="13.8" hidden="false" customHeight="false" outlineLevel="0" collapsed="false">
      <c r="O113" s="36"/>
      <c r="P113" s="36"/>
      <c r="Q113" s="36"/>
      <c r="R113" s="36"/>
      <c r="S113" s="36"/>
      <c r="T113" s="36"/>
      <c r="U113" s="36"/>
      <c r="V113" s="36"/>
      <c r="X113" s="36"/>
      <c r="AA113" s="4"/>
      <c r="AJ113" s="36"/>
      <c r="AP113" s="36"/>
      <c r="AQ113" s="36"/>
      <c r="BE113" s="4"/>
      <c r="BK113" s="19"/>
      <c r="BL113" s="19"/>
    </row>
    <row r="114" s="1" customFormat="true" ht="13.8" hidden="false" customHeight="false" outlineLevel="0" collapsed="false">
      <c r="O114" s="36"/>
      <c r="P114" s="36"/>
      <c r="Q114" s="36"/>
      <c r="R114" s="36"/>
      <c r="S114" s="36"/>
      <c r="T114" s="36"/>
      <c r="U114" s="36"/>
      <c r="V114" s="36"/>
      <c r="X114" s="36"/>
      <c r="AA114" s="4"/>
      <c r="AJ114" s="36"/>
      <c r="AP114" s="36"/>
      <c r="AQ114" s="36"/>
      <c r="BE114" s="4"/>
      <c r="BK114" s="19"/>
      <c r="BL114" s="19"/>
    </row>
    <row r="115" s="1" customFormat="true" ht="13.8" hidden="false" customHeight="false" outlineLevel="0" collapsed="false">
      <c r="O115" s="36"/>
      <c r="P115" s="36"/>
      <c r="Q115" s="36"/>
      <c r="R115" s="36"/>
      <c r="S115" s="36"/>
      <c r="T115" s="36"/>
      <c r="U115" s="36"/>
      <c r="V115" s="36"/>
      <c r="X115" s="36"/>
      <c r="AA115" s="4"/>
      <c r="AJ115" s="36"/>
      <c r="AP115" s="36"/>
      <c r="AQ115" s="36"/>
      <c r="BE115" s="4"/>
      <c r="BK115" s="19"/>
      <c r="BL115" s="19"/>
    </row>
    <row r="116" s="1" customFormat="true" ht="13.8" hidden="false" customHeight="false" outlineLevel="0" collapsed="false">
      <c r="O116" s="36"/>
      <c r="P116" s="36"/>
      <c r="Q116" s="36"/>
      <c r="R116" s="36"/>
      <c r="S116" s="36"/>
      <c r="T116" s="36"/>
      <c r="U116" s="36"/>
      <c r="V116" s="36"/>
      <c r="X116" s="36"/>
      <c r="AA116" s="4"/>
      <c r="AJ116" s="36"/>
      <c r="AP116" s="36"/>
      <c r="AQ116" s="36"/>
      <c r="BE116" s="4"/>
      <c r="BK116" s="19"/>
      <c r="BL116" s="19"/>
    </row>
    <row r="117" s="1" customFormat="true" ht="12.75" hidden="false" customHeight="true" outlineLevel="0" collapsed="false">
      <c r="O117" s="36"/>
      <c r="P117" s="36"/>
      <c r="Q117" s="36"/>
      <c r="R117" s="36"/>
      <c r="S117" s="36"/>
      <c r="T117" s="36"/>
      <c r="U117" s="36"/>
      <c r="V117" s="36"/>
      <c r="X117" s="36"/>
      <c r="AA117" s="4"/>
      <c r="AJ117" s="36"/>
      <c r="AP117" s="36"/>
      <c r="AQ117" s="36"/>
      <c r="BE117" s="4"/>
      <c r="BK117" s="19"/>
      <c r="BL117" s="19"/>
    </row>
    <row r="118" s="1" customFormat="true" ht="13.8" hidden="false" customHeight="false" outlineLevel="0" collapsed="false">
      <c r="O118" s="36"/>
      <c r="P118" s="36"/>
      <c r="Q118" s="36"/>
      <c r="R118" s="36"/>
      <c r="S118" s="36"/>
      <c r="T118" s="36"/>
      <c r="U118" s="36"/>
      <c r="V118" s="36"/>
      <c r="X118" s="36"/>
      <c r="AA118" s="4"/>
      <c r="AJ118" s="36"/>
      <c r="AP118" s="36"/>
      <c r="AQ118" s="36"/>
      <c r="BE118" s="4"/>
      <c r="BK118" s="19"/>
      <c r="BL118" s="19"/>
    </row>
    <row r="119" s="1" customFormat="true" ht="13.8" hidden="false" customHeight="false" outlineLevel="0" collapsed="false">
      <c r="O119" s="36"/>
      <c r="P119" s="36"/>
      <c r="Q119" s="36"/>
      <c r="R119" s="36"/>
      <c r="S119" s="36"/>
      <c r="T119" s="36"/>
      <c r="U119" s="36"/>
      <c r="V119" s="36"/>
      <c r="X119" s="36"/>
      <c r="AA119" s="4"/>
      <c r="AJ119" s="36"/>
      <c r="AP119" s="36"/>
      <c r="AQ119" s="36"/>
      <c r="BE119" s="4"/>
      <c r="BK119" s="19"/>
      <c r="BL119" s="19"/>
    </row>
    <row r="120" s="1" customFormat="true" ht="13.8" hidden="false" customHeight="false" outlineLevel="0" collapsed="false">
      <c r="O120" s="36"/>
      <c r="P120" s="36"/>
      <c r="Q120" s="36"/>
      <c r="R120" s="36"/>
      <c r="S120" s="36"/>
      <c r="T120" s="36"/>
      <c r="U120" s="36"/>
      <c r="V120" s="36"/>
      <c r="X120" s="36"/>
      <c r="AA120" s="4"/>
      <c r="AJ120" s="36"/>
      <c r="AP120" s="36"/>
      <c r="AQ120" s="36"/>
      <c r="BE120" s="4"/>
      <c r="BK120" s="19"/>
      <c r="BL120" s="19"/>
    </row>
    <row r="121" s="1" customFormat="true" ht="13.8" hidden="false" customHeight="false" outlineLevel="0" collapsed="false">
      <c r="O121" s="36"/>
      <c r="P121" s="36"/>
      <c r="Q121" s="36"/>
      <c r="R121" s="36"/>
      <c r="S121" s="36"/>
      <c r="T121" s="36"/>
      <c r="U121" s="36"/>
      <c r="V121" s="36"/>
      <c r="X121" s="36"/>
      <c r="AA121" s="4"/>
      <c r="AJ121" s="36"/>
      <c r="AP121" s="36"/>
      <c r="AQ121" s="36"/>
      <c r="BE121" s="4"/>
      <c r="BK121" s="19"/>
      <c r="BL121" s="19"/>
    </row>
    <row r="122" s="1" customFormat="true" ht="13.8" hidden="false" customHeight="false" outlineLevel="0" collapsed="false">
      <c r="O122" s="36"/>
      <c r="P122" s="36"/>
      <c r="Q122" s="36"/>
      <c r="R122" s="36"/>
      <c r="S122" s="36"/>
      <c r="T122" s="36"/>
      <c r="U122" s="36"/>
      <c r="V122" s="36"/>
      <c r="X122" s="36"/>
      <c r="AA122" s="4"/>
      <c r="AJ122" s="36"/>
      <c r="AP122" s="36"/>
      <c r="AQ122" s="36"/>
      <c r="BE122" s="4"/>
      <c r="BK122" s="19"/>
      <c r="BL122" s="19"/>
    </row>
    <row r="123" s="1" customFormat="true" ht="13.8" hidden="false" customHeight="false" outlineLevel="0" collapsed="false">
      <c r="O123" s="36"/>
      <c r="P123" s="36"/>
      <c r="Q123" s="36"/>
      <c r="R123" s="36"/>
      <c r="S123" s="36"/>
      <c r="T123" s="36"/>
      <c r="U123" s="36"/>
      <c r="V123" s="36"/>
      <c r="X123" s="36"/>
      <c r="AA123" s="4"/>
      <c r="AJ123" s="36"/>
      <c r="AP123" s="36"/>
      <c r="AQ123" s="36"/>
      <c r="BE123" s="4"/>
      <c r="BK123" s="19"/>
      <c r="BL123" s="19"/>
    </row>
    <row r="124" s="1" customFormat="true" ht="13.8" hidden="false" customHeight="false" outlineLevel="0" collapsed="false">
      <c r="O124" s="36"/>
      <c r="P124" s="36"/>
      <c r="Q124" s="36"/>
      <c r="R124" s="36"/>
      <c r="S124" s="36"/>
      <c r="T124" s="36"/>
      <c r="U124" s="36"/>
      <c r="V124" s="36"/>
      <c r="X124" s="36"/>
      <c r="AA124" s="4"/>
      <c r="AJ124" s="36"/>
      <c r="AP124" s="36"/>
      <c r="AQ124" s="36"/>
      <c r="BE124" s="4"/>
      <c r="BK124" s="19"/>
      <c r="BL124" s="19"/>
    </row>
    <row r="125" s="1" customFormat="true" ht="13.8" hidden="false" customHeight="false" outlineLevel="0" collapsed="false">
      <c r="O125" s="36"/>
      <c r="P125" s="36"/>
      <c r="Q125" s="36"/>
      <c r="R125" s="36"/>
      <c r="S125" s="36"/>
      <c r="T125" s="36"/>
      <c r="U125" s="36"/>
      <c r="V125" s="36"/>
      <c r="X125" s="36"/>
      <c r="AA125" s="4"/>
      <c r="AJ125" s="36"/>
      <c r="AP125" s="36"/>
      <c r="AQ125" s="36"/>
      <c r="BE125" s="4"/>
      <c r="BK125" s="19"/>
      <c r="BL125" s="19"/>
    </row>
    <row r="126" s="1" customFormat="true" ht="13.8" hidden="false" customHeight="false" outlineLevel="0" collapsed="false">
      <c r="O126" s="36"/>
      <c r="P126" s="36"/>
      <c r="Q126" s="36"/>
      <c r="R126" s="36"/>
      <c r="S126" s="36"/>
      <c r="T126" s="37"/>
      <c r="U126" s="36"/>
      <c r="V126" s="36"/>
      <c r="X126" s="36"/>
      <c r="AA126" s="4"/>
      <c r="AJ126" s="36"/>
      <c r="AP126" s="36"/>
      <c r="AQ126" s="36"/>
      <c r="BE126" s="4"/>
      <c r="BK126" s="19"/>
      <c r="BL126" s="19"/>
    </row>
    <row r="127" s="1" customFormat="true" ht="13.8" hidden="false" customHeight="false" outlineLevel="0" collapsed="false">
      <c r="O127" s="36"/>
      <c r="P127" s="36"/>
      <c r="Q127" s="36"/>
      <c r="R127" s="36"/>
      <c r="S127" s="36"/>
      <c r="T127" s="37"/>
      <c r="U127" s="36"/>
      <c r="V127" s="36"/>
      <c r="X127" s="36"/>
      <c r="AA127" s="4"/>
      <c r="AJ127" s="36"/>
      <c r="AP127" s="36"/>
      <c r="AQ127" s="36"/>
      <c r="BE127" s="4"/>
      <c r="BK127" s="19"/>
      <c r="BL127" s="19"/>
    </row>
    <row r="128" s="1" customFormat="true" ht="13.8" hidden="false" customHeight="false" outlineLevel="0" collapsed="false">
      <c r="O128" s="36"/>
      <c r="P128" s="36"/>
      <c r="Q128" s="36"/>
      <c r="R128" s="36"/>
      <c r="S128" s="36"/>
      <c r="T128" s="37"/>
      <c r="U128" s="36"/>
      <c r="V128" s="36"/>
      <c r="X128" s="36"/>
      <c r="AA128" s="4"/>
      <c r="AJ128" s="36"/>
      <c r="AP128" s="36"/>
      <c r="AQ128" s="36"/>
      <c r="BE128" s="4"/>
      <c r="BK128" s="19"/>
      <c r="BL128" s="19"/>
    </row>
    <row r="129" s="1" customFormat="true" ht="13.8" hidden="false" customHeight="false" outlineLevel="0" collapsed="false">
      <c r="O129" s="36"/>
      <c r="P129" s="36"/>
      <c r="Q129" s="36"/>
      <c r="R129" s="36"/>
      <c r="S129" s="36"/>
      <c r="T129" s="37"/>
      <c r="U129" s="36"/>
      <c r="V129" s="36"/>
      <c r="X129" s="36"/>
      <c r="AA129" s="4"/>
      <c r="AJ129" s="36"/>
      <c r="AP129" s="36"/>
      <c r="AQ129" s="36"/>
      <c r="BE129" s="4"/>
      <c r="BK129" s="19"/>
      <c r="BL129" s="19"/>
    </row>
    <row r="130" s="1" customFormat="true" ht="13.8" hidden="false" customHeight="false" outlineLevel="0" collapsed="false">
      <c r="O130" s="36"/>
      <c r="P130" s="36"/>
      <c r="Q130" s="36"/>
      <c r="R130" s="36"/>
      <c r="S130" s="36"/>
      <c r="T130" s="37"/>
      <c r="U130" s="36"/>
      <c r="V130" s="36"/>
      <c r="X130" s="36"/>
      <c r="AA130" s="4"/>
      <c r="AJ130" s="36"/>
      <c r="AP130" s="36"/>
      <c r="AQ130" s="36"/>
      <c r="BE130" s="4"/>
      <c r="BK130" s="19"/>
      <c r="BL130" s="19"/>
    </row>
    <row r="131" s="1" customFormat="true" ht="13.8" hidden="false" customHeight="false" outlineLevel="0" collapsed="false">
      <c r="O131" s="36"/>
      <c r="P131" s="36"/>
      <c r="Q131" s="36"/>
      <c r="R131" s="36"/>
      <c r="S131" s="36"/>
      <c r="T131" s="37"/>
      <c r="U131" s="36"/>
      <c r="V131" s="36"/>
      <c r="X131" s="36"/>
      <c r="AA131" s="4"/>
      <c r="AJ131" s="36"/>
      <c r="AP131" s="36"/>
      <c r="AQ131" s="36"/>
      <c r="BE131" s="4"/>
      <c r="BK131" s="19"/>
      <c r="BL131" s="19"/>
    </row>
    <row r="132" s="1" customFormat="true" ht="13.8" hidden="false" customHeight="false" outlineLevel="0" collapsed="false">
      <c r="O132" s="36"/>
      <c r="P132" s="36"/>
      <c r="Q132" s="36"/>
      <c r="R132" s="36"/>
      <c r="S132" s="36"/>
      <c r="T132" s="37"/>
      <c r="U132" s="36"/>
      <c r="V132" s="36"/>
      <c r="X132" s="36"/>
      <c r="AA132" s="4"/>
      <c r="AJ132" s="36"/>
      <c r="AP132" s="36"/>
      <c r="AQ132" s="36"/>
      <c r="BE132" s="4"/>
      <c r="BK132" s="19"/>
      <c r="BL132" s="19"/>
    </row>
    <row r="133" s="1" customFormat="true" ht="13.8" hidden="false" customHeight="false" outlineLevel="0" collapsed="false">
      <c r="O133" s="36"/>
      <c r="P133" s="36"/>
      <c r="Q133" s="36"/>
      <c r="R133" s="36"/>
      <c r="S133" s="36"/>
      <c r="T133" s="37"/>
      <c r="U133" s="36"/>
      <c r="V133" s="36"/>
      <c r="X133" s="36"/>
      <c r="AA133" s="4"/>
      <c r="AJ133" s="36"/>
      <c r="AP133" s="36"/>
      <c r="AQ133" s="36"/>
      <c r="BE133" s="4"/>
      <c r="BK133" s="19"/>
      <c r="BL133" s="19"/>
    </row>
    <row r="134" s="1" customFormat="true" ht="13.8" hidden="false" customHeight="false" outlineLevel="0" collapsed="false">
      <c r="O134" s="36"/>
      <c r="P134" s="36"/>
      <c r="Q134" s="36"/>
      <c r="R134" s="36"/>
      <c r="S134" s="36"/>
      <c r="T134" s="37"/>
      <c r="U134" s="36"/>
      <c r="V134" s="36"/>
      <c r="X134" s="36"/>
      <c r="AA134" s="4"/>
      <c r="AJ134" s="36"/>
      <c r="AP134" s="36"/>
      <c r="AQ134" s="36"/>
      <c r="BE134" s="4"/>
      <c r="BK134" s="19"/>
      <c r="BL134" s="19"/>
    </row>
    <row r="135" s="1" customFormat="true" ht="13.8" hidden="false" customHeight="false" outlineLevel="0" collapsed="false">
      <c r="O135" s="36"/>
      <c r="P135" s="36"/>
      <c r="Q135" s="36"/>
      <c r="R135" s="36"/>
      <c r="S135" s="36"/>
      <c r="T135" s="37"/>
      <c r="U135" s="36"/>
      <c r="V135" s="36"/>
      <c r="X135" s="36"/>
      <c r="AA135" s="4"/>
      <c r="AJ135" s="36"/>
      <c r="AP135" s="36"/>
      <c r="AQ135" s="36"/>
      <c r="BE135" s="4"/>
      <c r="BK135" s="19"/>
      <c r="BL135" s="19"/>
    </row>
    <row r="136" s="1" customFormat="true" ht="13.8" hidden="false" customHeight="false" outlineLevel="0" collapsed="false">
      <c r="O136" s="36"/>
      <c r="P136" s="36"/>
      <c r="Q136" s="36"/>
      <c r="R136" s="36"/>
      <c r="S136" s="36"/>
      <c r="T136" s="37"/>
      <c r="U136" s="36"/>
      <c r="V136" s="36"/>
      <c r="X136" s="36"/>
      <c r="AA136" s="4"/>
      <c r="AJ136" s="36"/>
      <c r="AP136" s="36"/>
      <c r="AQ136" s="36"/>
      <c r="BE136" s="4"/>
      <c r="BK136" s="19"/>
      <c r="BL136" s="19"/>
    </row>
    <row r="137" s="1" customFormat="true" ht="13.8" hidden="false" customHeight="false" outlineLevel="0" collapsed="false">
      <c r="O137" s="36"/>
      <c r="P137" s="36"/>
      <c r="Q137" s="36"/>
      <c r="R137" s="36"/>
      <c r="S137" s="36"/>
      <c r="T137" s="37"/>
      <c r="U137" s="36"/>
      <c r="V137" s="36"/>
      <c r="X137" s="36"/>
      <c r="AA137" s="4"/>
      <c r="AJ137" s="36"/>
      <c r="AP137" s="36"/>
      <c r="AQ137" s="36"/>
      <c r="BE137" s="4"/>
      <c r="BK137" s="19"/>
      <c r="BL137" s="19"/>
    </row>
    <row r="138" s="1" customFormat="true" ht="13.8" hidden="false" customHeight="false" outlineLevel="0" collapsed="false">
      <c r="O138" s="36"/>
      <c r="P138" s="36"/>
      <c r="Q138" s="36"/>
      <c r="R138" s="36"/>
      <c r="S138" s="36"/>
      <c r="T138" s="37"/>
      <c r="U138" s="36"/>
      <c r="V138" s="36"/>
      <c r="X138" s="36"/>
      <c r="AA138" s="4"/>
      <c r="AJ138" s="36"/>
      <c r="AP138" s="36"/>
      <c r="AQ138" s="36"/>
      <c r="BE138" s="4"/>
      <c r="BK138" s="19"/>
      <c r="BL138" s="19"/>
    </row>
    <row r="139" s="1" customFormat="true" ht="13.8" hidden="false" customHeight="false" outlineLevel="0" collapsed="false">
      <c r="O139" s="36"/>
      <c r="P139" s="36"/>
      <c r="Q139" s="36"/>
      <c r="R139" s="36"/>
      <c r="S139" s="36"/>
      <c r="T139" s="37"/>
      <c r="U139" s="36"/>
      <c r="V139" s="36"/>
      <c r="X139" s="36"/>
      <c r="AA139" s="4"/>
      <c r="AJ139" s="36"/>
      <c r="AP139" s="36"/>
      <c r="AQ139" s="36"/>
      <c r="BE139" s="4"/>
      <c r="BK139" s="19"/>
      <c r="BL139" s="19"/>
    </row>
    <row r="140" s="1" customFormat="true" ht="13.8" hidden="false" customHeight="false" outlineLevel="0" collapsed="false">
      <c r="O140" s="36"/>
      <c r="P140" s="36"/>
      <c r="Q140" s="36"/>
      <c r="R140" s="36"/>
      <c r="S140" s="36"/>
      <c r="T140" s="37"/>
      <c r="U140" s="36"/>
      <c r="V140" s="36"/>
      <c r="X140" s="36"/>
      <c r="AA140" s="4"/>
      <c r="AJ140" s="36"/>
      <c r="AP140" s="36"/>
      <c r="AQ140" s="36"/>
      <c r="BE140" s="4"/>
      <c r="BK140" s="19"/>
      <c r="BL140" s="19"/>
    </row>
    <row r="141" s="1" customFormat="true" ht="13.8" hidden="false" customHeight="false" outlineLevel="0" collapsed="false">
      <c r="O141" s="36"/>
      <c r="P141" s="36"/>
      <c r="Q141" s="36"/>
      <c r="R141" s="36"/>
      <c r="S141" s="36"/>
      <c r="T141" s="36"/>
      <c r="U141" s="36"/>
      <c r="V141" s="36"/>
      <c r="X141" s="36"/>
      <c r="AA141" s="4"/>
      <c r="AJ141" s="36"/>
      <c r="AP141" s="36"/>
      <c r="AQ141" s="36"/>
      <c r="BE141" s="4"/>
      <c r="BK141" s="19"/>
      <c r="BL141" s="19"/>
    </row>
    <row r="142" s="1" customFormat="true" ht="13.8" hidden="false" customHeight="false" outlineLevel="0" collapsed="false">
      <c r="O142" s="36"/>
      <c r="P142" s="36"/>
      <c r="Q142" s="36"/>
      <c r="R142" s="36"/>
      <c r="S142" s="36"/>
      <c r="T142" s="36"/>
      <c r="U142" s="36"/>
      <c r="V142" s="36"/>
      <c r="X142" s="36"/>
      <c r="AA142" s="4"/>
      <c r="AJ142" s="36"/>
      <c r="AP142" s="36"/>
      <c r="AQ142" s="36"/>
      <c r="BE142" s="4"/>
      <c r="BK142" s="19"/>
      <c r="BL142" s="19"/>
    </row>
    <row r="143" s="1" customFormat="true" ht="13.8" hidden="false" customHeight="false" outlineLevel="0" collapsed="false">
      <c r="O143" s="36"/>
      <c r="P143" s="36"/>
      <c r="Q143" s="36"/>
      <c r="R143" s="36"/>
      <c r="S143" s="36"/>
      <c r="T143" s="36"/>
      <c r="U143" s="36"/>
      <c r="V143" s="36"/>
      <c r="X143" s="36"/>
      <c r="AA143" s="4"/>
      <c r="AJ143" s="36"/>
      <c r="AP143" s="36"/>
      <c r="AQ143" s="36"/>
      <c r="BE143" s="4"/>
      <c r="BK143" s="19"/>
      <c r="BL143" s="19"/>
    </row>
    <row r="144" s="1" customFormat="true" ht="13.8" hidden="false" customHeight="false" outlineLevel="0" collapsed="false">
      <c r="O144" s="36"/>
      <c r="P144" s="36"/>
      <c r="Q144" s="36"/>
      <c r="R144" s="36"/>
      <c r="S144" s="36"/>
      <c r="T144" s="36"/>
      <c r="U144" s="36"/>
      <c r="V144" s="36"/>
      <c r="X144" s="36"/>
      <c r="AA144" s="4"/>
      <c r="AJ144" s="36"/>
      <c r="AP144" s="36"/>
      <c r="AQ144" s="36"/>
      <c r="BE144" s="4"/>
      <c r="BK144" s="19"/>
      <c r="BL144" s="19"/>
    </row>
    <row r="145" s="1" customFormat="true" ht="13.8" hidden="false" customHeight="false" outlineLevel="0" collapsed="false">
      <c r="O145" s="36"/>
      <c r="P145" s="36"/>
      <c r="Q145" s="36"/>
      <c r="R145" s="36"/>
      <c r="S145" s="36"/>
      <c r="T145" s="36"/>
      <c r="U145" s="36"/>
      <c r="V145" s="36"/>
      <c r="X145" s="36"/>
      <c r="AA145" s="4"/>
      <c r="AJ145" s="36"/>
      <c r="AP145" s="36"/>
      <c r="AQ145" s="36"/>
      <c r="BE145" s="4"/>
      <c r="BK145" s="19"/>
      <c r="BL145" s="19"/>
    </row>
    <row r="146" s="1" customFormat="true" ht="13.8" hidden="false" customHeight="false" outlineLevel="0" collapsed="false">
      <c r="O146" s="36"/>
      <c r="P146" s="36"/>
      <c r="Q146" s="36"/>
      <c r="R146" s="36"/>
      <c r="S146" s="36"/>
      <c r="T146" s="36"/>
      <c r="U146" s="36"/>
      <c r="V146" s="36"/>
      <c r="X146" s="36"/>
      <c r="AA146" s="4"/>
      <c r="AJ146" s="36"/>
      <c r="AP146" s="36"/>
      <c r="AQ146" s="36"/>
      <c r="BE146" s="4"/>
      <c r="BK146" s="19"/>
      <c r="BL146" s="19"/>
      <c r="CC146" s="10"/>
    </row>
    <row r="147" s="1" customFormat="true" ht="13.8" hidden="false" customHeight="false" outlineLevel="0" collapsed="false">
      <c r="O147" s="36"/>
      <c r="P147" s="36"/>
      <c r="Q147" s="36"/>
      <c r="R147" s="36"/>
      <c r="S147" s="36"/>
      <c r="T147" s="36"/>
      <c r="U147" s="36"/>
      <c r="V147" s="36"/>
      <c r="X147" s="36"/>
      <c r="AA147" s="4"/>
      <c r="AJ147" s="36"/>
      <c r="AP147" s="36"/>
      <c r="AQ147" s="36"/>
      <c r="BE147" s="4"/>
      <c r="BK147" s="19"/>
      <c r="BL147" s="19"/>
      <c r="CC147" s="10"/>
    </row>
    <row r="148" s="1" customFormat="true" ht="13.8" hidden="false" customHeight="false" outlineLevel="0" collapsed="false">
      <c r="O148" s="36"/>
      <c r="P148" s="36"/>
      <c r="Q148" s="36"/>
      <c r="R148" s="36"/>
      <c r="S148" s="36"/>
      <c r="T148" s="36"/>
      <c r="U148" s="36"/>
      <c r="V148" s="36"/>
      <c r="X148" s="36"/>
      <c r="AA148" s="4"/>
      <c r="AJ148" s="36"/>
      <c r="AP148" s="36"/>
      <c r="AQ148" s="36"/>
      <c r="BE148" s="4"/>
      <c r="BK148" s="19"/>
      <c r="BL148" s="19"/>
      <c r="CC148" s="10"/>
    </row>
    <row r="149" s="1" customFormat="true" ht="13.8" hidden="false" customHeight="false" outlineLevel="0" collapsed="false">
      <c r="O149" s="36"/>
      <c r="P149" s="36"/>
      <c r="Q149" s="36"/>
      <c r="R149" s="36"/>
      <c r="S149" s="36"/>
      <c r="T149" s="36"/>
      <c r="U149" s="36"/>
      <c r="V149" s="36"/>
      <c r="X149" s="36"/>
      <c r="AA149" s="4"/>
      <c r="AJ149" s="36"/>
      <c r="AP149" s="36"/>
      <c r="AQ149" s="36"/>
      <c r="BE149" s="4"/>
      <c r="BK149" s="19"/>
      <c r="BL149" s="19"/>
      <c r="CC149" s="10"/>
    </row>
    <row r="150" s="1" customFormat="true" ht="13.8" hidden="false" customHeight="false" outlineLevel="0" collapsed="false">
      <c r="O150" s="36"/>
      <c r="P150" s="36"/>
      <c r="Q150" s="36"/>
      <c r="R150" s="36"/>
      <c r="S150" s="36"/>
      <c r="T150" s="36"/>
      <c r="U150" s="36"/>
      <c r="V150" s="36"/>
      <c r="X150" s="36"/>
      <c r="AA150" s="4"/>
      <c r="AJ150" s="36"/>
      <c r="AP150" s="36"/>
      <c r="AQ150" s="36"/>
      <c r="BE150" s="4"/>
      <c r="BK150" s="19"/>
      <c r="BL150" s="19"/>
      <c r="CC150" s="10"/>
    </row>
    <row r="151" s="1" customFormat="true" ht="13.8" hidden="false" customHeight="false" outlineLevel="0" collapsed="false">
      <c r="O151" s="36"/>
      <c r="P151" s="36"/>
      <c r="Q151" s="36"/>
      <c r="R151" s="36"/>
      <c r="S151" s="36"/>
      <c r="T151" s="36"/>
      <c r="U151" s="36"/>
      <c r="V151" s="36"/>
      <c r="X151" s="36"/>
      <c r="AA151" s="4"/>
      <c r="AJ151" s="36"/>
      <c r="AP151" s="36"/>
      <c r="AQ151" s="36"/>
      <c r="BE151" s="4"/>
      <c r="BK151" s="19"/>
      <c r="BL151" s="19"/>
      <c r="CC151" s="10"/>
    </row>
    <row r="152" s="1" customFormat="true" ht="13.8" hidden="false" customHeight="false" outlineLevel="0" collapsed="false">
      <c r="O152" s="36"/>
      <c r="P152" s="36"/>
      <c r="Q152" s="36"/>
      <c r="R152" s="36"/>
      <c r="S152" s="36"/>
      <c r="T152" s="36"/>
      <c r="U152" s="36"/>
      <c r="V152" s="36"/>
      <c r="X152" s="36"/>
      <c r="AA152" s="4"/>
      <c r="AJ152" s="36"/>
      <c r="AP152" s="36"/>
      <c r="AQ152" s="36"/>
      <c r="BE152" s="4"/>
      <c r="BK152" s="19"/>
      <c r="BL152" s="19"/>
      <c r="CC152" s="10"/>
    </row>
    <row r="153" s="1" customFormat="true" ht="13.8" hidden="false" customHeight="false" outlineLevel="0" collapsed="false">
      <c r="O153" s="36"/>
      <c r="P153" s="36"/>
      <c r="Q153" s="36"/>
      <c r="R153" s="36"/>
      <c r="S153" s="36"/>
      <c r="T153" s="36"/>
      <c r="U153" s="36"/>
      <c r="V153" s="36"/>
      <c r="X153" s="36"/>
      <c r="AA153" s="4"/>
      <c r="AJ153" s="36"/>
      <c r="AP153" s="36"/>
      <c r="AQ153" s="36"/>
      <c r="BE153" s="4"/>
      <c r="BK153" s="19"/>
      <c r="BL153" s="19"/>
      <c r="CC153" s="10"/>
    </row>
    <row r="154" s="1" customFormat="true" ht="13.8" hidden="false" customHeight="false" outlineLevel="0" collapsed="false">
      <c r="O154" s="36"/>
      <c r="P154" s="36"/>
      <c r="Q154" s="36"/>
      <c r="R154" s="36"/>
      <c r="S154" s="36"/>
      <c r="T154" s="36"/>
      <c r="U154" s="36"/>
      <c r="V154" s="36"/>
      <c r="X154" s="36"/>
      <c r="AA154" s="4"/>
      <c r="AJ154" s="36"/>
      <c r="AP154" s="36"/>
      <c r="AQ154" s="36"/>
      <c r="BE154" s="4"/>
      <c r="BK154" s="19"/>
      <c r="BL154" s="19"/>
      <c r="CC154" s="10"/>
    </row>
    <row r="155" s="1" customFormat="true" ht="13.8" hidden="false" customHeight="false" outlineLevel="0" collapsed="false">
      <c r="O155" s="36"/>
      <c r="P155" s="36"/>
      <c r="Q155" s="36"/>
      <c r="R155" s="36"/>
      <c r="S155" s="36"/>
      <c r="T155" s="36"/>
      <c r="U155" s="36"/>
      <c r="V155" s="36"/>
      <c r="X155" s="36"/>
      <c r="AA155" s="4"/>
      <c r="AJ155" s="36"/>
      <c r="AP155" s="36"/>
      <c r="AQ155" s="36"/>
      <c r="BE155" s="4"/>
      <c r="BK155" s="19"/>
      <c r="BL155" s="19"/>
      <c r="CC155" s="10"/>
    </row>
    <row r="156" s="1" customFormat="true" ht="13.8" hidden="false" customHeight="false" outlineLevel="0" collapsed="false">
      <c r="O156" s="36"/>
      <c r="P156" s="36"/>
      <c r="Q156" s="36"/>
      <c r="R156" s="36"/>
      <c r="S156" s="36"/>
      <c r="T156" s="36"/>
      <c r="U156" s="36"/>
      <c r="V156" s="36"/>
      <c r="X156" s="36"/>
      <c r="AA156" s="4"/>
      <c r="AJ156" s="36"/>
      <c r="AP156" s="36"/>
      <c r="AQ156" s="36"/>
      <c r="BE156" s="4"/>
      <c r="BK156" s="19"/>
      <c r="BL156" s="19"/>
      <c r="CC156" s="10"/>
    </row>
  </sheetData>
  <autoFilter ref="A1:CH69"/>
  <conditionalFormatting sqref="C12:C14 C62">
    <cfRule type="duplicateValues" priority="2" aboveAverage="0" equalAverage="0" bottom="0" percent="0" rank="0" text="" dxfId="11"/>
  </conditionalFormatting>
  <conditionalFormatting sqref="C46:C47">
    <cfRule type="duplicateValues" priority="3" aboveAverage="0" equalAverage="0" bottom="0" percent="0" rank="0" text="" dxfId="12"/>
  </conditionalFormatting>
  <conditionalFormatting sqref="C61">
    <cfRule type="duplicateValues" priority="4" aboveAverage="0" equalAverage="0" bottom="0" percent="0" rank="0" text="" dxfId="11"/>
  </conditionalFormatting>
  <conditionalFormatting sqref="C67 C45 C42">
    <cfRule type="duplicateValues" priority="5" aboveAverage="0" equalAverage="0" bottom="0" percent="0" rank="0" text="" dxfId="13"/>
  </conditionalFormatting>
  <conditionalFormatting sqref="C51 C48">
    <cfRule type="duplicateValues" priority="6" aboveAverage="0" equalAverage="0" bottom="0" percent="0" rank="0" text="" dxfId="14"/>
  </conditionalFormatting>
  <conditionalFormatting sqref="C49">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
    <cfRule type="duplicateValues" priority="9" aboveAverage="0" equalAverage="0" bottom="0" percent="0" rank="0" text="" dxfId="16"/>
  </conditionalFormatting>
  <conditionalFormatting sqref="C57:C60 C65:C66">
    <cfRule type="duplicateValues" priority="10" aboveAverage="0" equalAverage="0" bottom="0" percent="0" rank="0" text="" dxfId="17"/>
  </conditionalFormatting>
  <dataValidations count="16">
    <dataValidation allowBlank="true" errorStyle="stop" operator="equal" showDropDown="false" showErrorMessage="true" showInputMessage="true" sqref="BZ1 BZ31:BZ32"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14 BZ22:BZ27 BZ50 BZ52:BZ56 BZ62:BZ64" type="list">
      <formula1>'Gameplay Planning'!$1:$1</formula1>
      <formula2>0</formula2>
    </dataValidation>
    <dataValidation allowBlank="true" errorStyle="stop" operator="equal" showDropDown="false" showErrorMessage="true" showInputMessage="true" sqref="BZ15:BZ20 BZ28:BZ30" type="list">
      <formula1>'Gameplay Planning'!$1:$1</formula1>
      <formula2>0</formula2>
    </dataValidation>
    <dataValidation allowBlank="true" errorStyle="stop" operator="equal" showDropDown="false" showErrorMessage="true" showInputMessage="true" sqref="BZ21" type="list">
      <formula1>'Gameplay Planning'!$1:$1</formula1>
      <formula2>0</formula2>
    </dataValidation>
    <dataValidation allowBlank="true" errorStyle="stop" operator="equal" showDropDown="false" showErrorMessage="true" showInputMessage="true" sqref="BZ33:BZ37 BZ40:BZ41" type="list">
      <formula1>'Gameplay Planning'!$1:$1</formula1>
      <formula2>0</formula2>
    </dataValidation>
    <dataValidation allowBlank="true" errorStyle="stop" operator="equal" showDropDown="false" showErrorMessage="true" showInputMessage="true" sqref="BZ38:BZ39" type="list">
      <formula1>'Gameplay Planning'!$1:$1</formula1>
      <formula2>0</formula2>
    </dataValidation>
    <dataValidation allowBlank="true" errorStyle="stop" operator="equal" showDropDown="false" showErrorMessage="true" showInputMessage="true" sqref="BZ42:BZ45 BZ67" type="list">
      <formula1>'Gameplay Planning'!$1:$1</formula1>
      <formula2>0</formula2>
    </dataValidation>
    <dataValidation allowBlank="true" errorStyle="stop" operator="equal" showDropDown="false" showErrorMessage="true" showInputMessage="true" sqref="BZ46:BZ47" type="list">
      <formula1>'Gameplay Planning'!$1:$1</formula1>
      <formula2>0</formula2>
    </dataValidation>
    <dataValidation allowBlank="true" errorStyle="stop" operator="equal" showDropDown="false" showErrorMessage="true" showInputMessage="true" sqref="BZ48:BZ49 BZ51" type="list">
      <formula1>'Gameplay Planning'!$1:$1</formula1>
      <formula2>0</formula2>
    </dataValidation>
    <dataValidation allowBlank="true" errorStyle="stop" operator="equal" showDropDown="false" showErrorMessage="true" showInputMessage="true" sqref="BZ61" type="list">
      <formula1>'Gameplay Planning'!$1:$1</formula1>
      <formula2>0</formula2>
    </dataValidation>
    <dataValidation allowBlank="true" errorStyle="stop" operator="equal" showDropDown="false" showErrorMessage="true" showInputMessage="true" sqref="BZ68:BZ70 BZ72:BZ77" type="list">
      <formula1>'Gameplay Planning'!$1:$1</formula1>
      <formula2>0</formula2>
    </dataValidation>
    <dataValidation allowBlank="true" errorStyle="stop" operator="equal" showDropDown="false" showErrorMessage="true" showInputMessage="true" sqref="BZ71 BZ78:BZ79" type="list">
      <formula1>'Gameplay Planning'!$1:$1</formula1>
      <formula2>0</formula2>
    </dataValidation>
    <dataValidation allowBlank="true" errorStyle="stop" operator="equal" showDropDown="false" showErrorMessage="true" showInputMessage="true" sqref="BZ80:BZ92" type="list">
      <formula1>'Gameplay Planning'!$1:$1</formula1>
      <formula2>0</formula2>
    </dataValidation>
    <dataValidation allowBlank="true" errorStyle="stop" operator="equal" showDropDown="false" showErrorMessage="true" showInputMessage="true" sqref="CB113 CB157:CB1071" type="list">
      <formula1>'Gameplay Planning'!$1:$1</formula1>
      <formula2>0</formula2>
    </dataValidation>
    <dataValidation allowBlank="true" errorStyle="stop" operator="between" showDropDown="false" showErrorMessage="true" showInputMessage="true" sqref="BZ57:BZ60 BZ65:BZ6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8" width="28.99"/>
    <col collapsed="false" customWidth="true" hidden="false" outlineLevel="0" max="4" min="3" style="38" width="17.3"/>
    <col collapsed="false" customWidth="true" hidden="false" outlineLevel="0" max="5" min="5" style="38" width="6.57"/>
    <col collapsed="false" customWidth="true" hidden="false" outlineLevel="0" max="8" min="8" style="38" width="11.99"/>
    <col collapsed="false" customWidth="true" hidden="false" outlineLevel="0" max="10" min="9" style="38" width="16.14"/>
    <col collapsed="false" customWidth="true" hidden="false" outlineLevel="0" max="11" min="11" style="38" width="13.3"/>
    <col collapsed="false" customWidth="true" hidden="false" outlineLevel="0" max="13" min="13" style="38" width="14.01"/>
    <col collapsed="false" customWidth="true" hidden="false" outlineLevel="0" max="15" min="15" style="38" width="13.7"/>
    <col collapsed="false" customWidth="true" hidden="false" outlineLevel="0" max="16" min="16" style="38" width="3.15"/>
    <col collapsed="false" customWidth="true" hidden="false" outlineLevel="0" max="18" min="18" style="38" width="12.57"/>
    <col collapsed="false" customWidth="true" hidden="false" outlineLevel="0" max="19" min="19" style="38" width="12.43"/>
    <col collapsed="false" customWidth="true" hidden="false" outlineLevel="0" max="20" min="20" style="38" width="10.85"/>
    <col collapsed="false" customWidth="true" hidden="false" outlineLevel="0" max="21" min="21" style="38" width="4.43"/>
    <col collapsed="false" customWidth="true" hidden="false" outlineLevel="0" max="22" min="22" style="38" width="7"/>
  </cols>
  <sheetData>
    <row r="1" customFormat="false" ht="13.8" hidden="false" customHeight="false" outlineLevel="0" collapsed="false">
      <c r="C1" s="39" t="s">
        <v>543</v>
      </c>
      <c r="D1" s="39" t="s">
        <v>544</v>
      </c>
      <c r="E1" s="39" t="s">
        <v>154</v>
      </c>
      <c r="F1" s="39" t="s">
        <v>320</v>
      </c>
      <c r="G1" s="39" t="s">
        <v>335</v>
      </c>
      <c r="H1" s="39" t="s">
        <v>408</v>
      </c>
      <c r="I1" s="39" t="s">
        <v>302</v>
      </c>
      <c r="J1" s="39" t="s">
        <v>545</v>
      </c>
      <c r="K1" s="39" t="s">
        <v>546</v>
      </c>
      <c r="L1" s="39" t="s">
        <v>165</v>
      </c>
      <c r="M1" s="39" t="s">
        <v>211</v>
      </c>
      <c r="N1" s="39" t="s">
        <v>97</v>
      </c>
      <c r="O1" s="39" t="s">
        <v>228</v>
      </c>
      <c r="P1" s="39" t="s">
        <v>547</v>
      </c>
      <c r="Q1" s="39" t="s">
        <v>491</v>
      </c>
      <c r="R1" s="39" t="s">
        <v>496</v>
      </c>
      <c r="S1" s="39" t="s">
        <v>548</v>
      </c>
      <c r="T1" s="39" t="s">
        <v>549</v>
      </c>
      <c r="U1" s="39" t="s">
        <v>550</v>
      </c>
      <c r="V1" s="39" t="s">
        <v>446</v>
      </c>
      <c r="W1" s="39" t="s">
        <v>464</v>
      </c>
    </row>
    <row r="2" customFormat="false" ht="13.8" hidden="false" customHeight="false" outlineLevel="0" collapsed="false">
      <c r="A2" s="39" t="s">
        <v>551</v>
      </c>
      <c r="B2" s="39" t="s">
        <v>552</v>
      </c>
    </row>
    <row r="3" customFormat="false" ht="13.8" hidden="false" customHeight="false" outlineLevel="0" collapsed="false">
      <c r="A3" s="38" t="s">
        <v>553</v>
      </c>
      <c r="B3" s="38" t="str">
        <f aca="false">VLOOKUP(A3, Eras!$B$2:$C$10, 2, FALSE())</f>
        <v>Early (1800-1850)</v>
      </c>
      <c r="C3" s="40" t="n">
        <f aca="false">COUNTIF(Table!$CA:$CA,CONCATENATE($A3,"_",C$1))</f>
        <v>0</v>
      </c>
      <c r="D3" s="40" t="n">
        <f aca="false">COUNTIF(Table!$CA:$CA,CONCATENATE($A3,"_",D$1))</f>
        <v>0</v>
      </c>
      <c r="E3" s="40" t="n">
        <f aca="false">COUNTIF(Table!$CA:$CA,CONCATENATE($A3,"_",E$1))</f>
        <v>0</v>
      </c>
      <c r="F3" s="40" t="n">
        <f aca="false">COUNTIF(Table!$CA:$CA,CONCATENATE($A3,"_",F$1))</f>
        <v>0</v>
      </c>
      <c r="G3" s="40" t="n">
        <f aca="false">COUNTIF(Table!$CA:$CA,CONCATENATE($A3,"_",G$1))</f>
        <v>0</v>
      </c>
      <c r="H3" s="40" t="n">
        <f aca="false">COUNTIF(Table!$CA:$CA,CONCATENATE($A3,"_",H$1))</f>
        <v>0</v>
      </c>
      <c r="I3" s="40" t="n">
        <f aca="false">COUNTIF(Table!$CA:$CA,CONCATENATE($A3,"_",I$1))</f>
        <v>0</v>
      </c>
      <c r="J3" s="40" t="n">
        <f aca="false">COUNTIF(Table!$CA:$CA,CONCATENATE($A3,"_",J$1))</f>
        <v>0</v>
      </c>
      <c r="K3" s="40" t="n">
        <f aca="false">COUNTIF(Table!$CA:$CA,CONCATENATE($A3,"_",K$1))</f>
        <v>0</v>
      </c>
      <c r="L3" s="40" t="n">
        <f aca="false">COUNTIF(Table!$CA:$CA,CONCATENATE($A3,"_",L$1))</f>
        <v>0</v>
      </c>
      <c r="M3" s="40" t="n">
        <f aca="false">COUNTIF(Table!$CA:$CA,CONCATENATE($A3,"_",M$1))</f>
        <v>0</v>
      </c>
      <c r="N3" s="40" t="n">
        <f aca="false">COUNTIF(Table!$CA:$CA,CONCATENATE($A3,"_",N$1))</f>
        <v>0</v>
      </c>
      <c r="O3" s="40" t="n">
        <f aca="false">COUNTIF(Table!$CA:$CA,CONCATENATE($A3,"_",O$1))</f>
        <v>0</v>
      </c>
      <c r="P3" s="40" t="n">
        <f aca="false">COUNTIF(Table!$CA:$CA,CONCATENATE($A3,"_",P$1))</f>
        <v>0</v>
      </c>
      <c r="Q3" s="40" t="n">
        <f aca="false">COUNTIF(Table!$CA:$CA,CONCATENATE($A3,"_",Q$1))</f>
        <v>0</v>
      </c>
      <c r="R3" s="40" t="n">
        <f aca="false">COUNTIF(Table!$CA:$CA,CONCATENATE($A3,"_",R$1))</f>
        <v>0</v>
      </c>
      <c r="S3" s="40" t="n">
        <f aca="false">COUNTIF(Table!$CA:$CA,CONCATENATE($A3,"_",S$1))</f>
        <v>0</v>
      </c>
      <c r="T3" s="40" t="n">
        <f aca="false">COUNTIF(Table!$CA:$CA,CONCATENATE($A3,"_",T$1))</f>
        <v>0</v>
      </c>
      <c r="U3" s="40" t="n">
        <f aca="false">COUNTIF(Table!$CA:$CA,CONCATENATE($A3,"_",U$1))</f>
        <v>0</v>
      </c>
      <c r="V3" s="40" t="n">
        <f aca="false">COUNTIF(Table!$CA:$CA,CONCATENATE($A3,"_",V$1))</f>
        <v>0</v>
      </c>
      <c r="W3" s="40" t="n">
        <f aca="false">COUNTIF(Table!$CA:$CA,CONCATENATE($A3,"_",W$1))</f>
        <v>0</v>
      </c>
    </row>
    <row r="4" customFormat="false" ht="13.8" hidden="false" customHeight="false" outlineLevel="0" collapsed="false">
      <c r="A4" s="38" t="s">
        <v>554</v>
      </c>
      <c r="B4" s="38" t="str">
        <f aca="false">VLOOKUP(A4, Eras!$B$2:$C$10, 2, FALSE())</f>
        <v>Victorian (1850-1900)</v>
      </c>
      <c r="C4" s="40" t="n">
        <f aca="false">COUNTIF(Table!$CA:$CA,CONCATENATE($A4,"_",C$1))</f>
        <v>0</v>
      </c>
      <c r="D4" s="40" t="n">
        <f aca="false">COUNTIF(Table!$CA:$CA,CONCATENATE($A4,"_",D$1))</f>
        <v>0</v>
      </c>
      <c r="E4" s="40" t="n">
        <f aca="false">COUNTIF(Table!$CA:$CA,CONCATENATE($A4,"_",E$1))</f>
        <v>0</v>
      </c>
      <c r="F4" s="40" t="n">
        <f aca="false">COUNTIF(Table!$CA:$CA,CONCATENATE($A4,"_",F$1))</f>
        <v>0</v>
      </c>
      <c r="G4" s="40" t="n">
        <f aca="false">COUNTIF(Table!$CA:$CA,CONCATENATE($A4,"_",G$1))</f>
        <v>0</v>
      </c>
      <c r="H4" s="40" t="n">
        <f aca="false">COUNTIF(Table!$CA:$CA,CONCATENATE($A4,"_",H$1))</f>
        <v>0</v>
      </c>
      <c r="I4" s="40" t="n">
        <f aca="false">COUNTIF(Table!$CA:$CA,CONCATENATE($A4,"_",I$1))</f>
        <v>0</v>
      </c>
      <c r="J4" s="40" t="n">
        <f aca="false">COUNTIF(Table!$CA:$CA,CONCATENATE($A4,"_",J$1))</f>
        <v>0</v>
      </c>
      <c r="K4" s="40" t="n">
        <f aca="false">COUNTIF(Table!$CA:$CA,CONCATENATE($A4,"_",K$1))</f>
        <v>0</v>
      </c>
      <c r="L4" s="40" t="n">
        <f aca="false">COUNTIF(Table!$CA:$CA,CONCATENATE($A4,"_",L$1))</f>
        <v>0</v>
      </c>
      <c r="M4" s="40" t="n">
        <f aca="false">COUNTIF(Table!$CA:$CA,CONCATENATE($A4,"_",M$1))</f>
        <v>0</v>
      </c>
      <c r="N4" s="40" t="n">
        <f aca="false">COUNTIF(Table!$CA:$CA,CONCATENATE($A4,"_",N$1))</f>
        <v>0</v>
      </c>
      <c r="O4" s="40" t="n">
        <f aca="false">COUNTIF(Table!$CA:$CA,CONCATENATE($A4,"_",O$1))</f>
        <v>0</v>
      </c>
      <c r="P4" s="40" t="n">
        <f aca="false">COUNTIF(Table!$CC:$CC,CONCATENATE($A4,"_",P$1))</f>
        <v>0</v>
      </c>
      <c r="Q4" s="40" t="n">
        <f aca="false">COUNTIF(Table!$CA:$CA,CONCATENATE($A4,"_",Q$1))</f>
        <v>0</v>
      </c>
      <c r="R4" s="40" t="n">
        <f aca="false">COUNTIF(Table!$CA:$CA,CONCATENATE($A4,"_",R$1))</f>
        <v>0</v>
      </c>
      <c r="S4" s="40" t="n">
        <f aca="false">COUNTIF(Table!$CA:$CA,CONCATENATE($A4,"_",S$1))</f>
        <v>0</v>
      </c>
      <c r="T4" s="40" t="n">
        <f aca="false">COUNTIF(Table!$CA:$CA,CONCATENATE($A4,"_",T$1))</f>
        <v>0</v>
      </c>
      <c r="U4" s="40" t="n">
        <f aca="false">COUNTIF(Table!$CA:$CA,CONCATENATE($A4,"_",U$1))</f>
        <v>0</v>
      </c>
      <c r="V4" s="40" t="n">
        <f aca="false">COUNTIF(Table!$CA:$CA,CONCATENATE($A4,"_",V$1))</f>
        <v>0</v>
      </c>
      <c r="W4" s="40" t="n">
        <f aca="false">COUNTIF(Table!$CA:$CA,CONCATENATE($A4,"_",W$1))</f>
        <v>0</v>
      </c>
    </row>
    <row r="5" customFormat="false" ht="13.8" hidden="false" customHeight="false" outlineLevel="0" collapsed="false">
      <c r="A5" s="38" t="s">
        <v>96</v>
      </c>
      <c r="B5" s="38" t="str">
        <f aca="false">VLOOKUP(A5, Eras!$B$2:$C$10, 2, FALSE())</f>
        <v>Edwardian (1900-1920)</v>
      </c>
      <c r="C5" s="40" t="n">
        <f aca="false">COUNTIF(Table!$CA:$CA,CONCATENATE($A5,"_",C$1))</f>
        <v>0</v>
      </c>
      <c r="D5" s="40" t="n">
        <f aca="false">COUNTIF(Table!$CA:$CA,CONCATENATE($A5,"_",D$1))</f>
        <v>0</v>
      </c>
      <c r="E5" s="40" t="n">
        <f aca="false">COUNTIF(Table!$CA:$CA,CONCATENATE($A5,"_",E$1))</f>
        <v>0</v>
      </c>
      <c r="F5" s="40" t="n">
        <f aca="false">COUNTIF(Table!$CA:$CA,CONCATENATE($A5,"_",F$1))</f>
        <v>0</v>
      </c>
      <c r="G5" s="40" t="n">
        <f aca="false">COUNTIF(Table!$CA:$CA,CONCATENATE($A5,"_",G$1))</f>
        <v>0</v>
      </c>
      <c r="H5" s="40" t="n">
        <f aca="false">COUNTIF(Table!$CA:$CA,CONCATENATE($A5,"_",H$1))</f>
        <v>0</v>
      </c>
      <c r="I5" s="40" t="n">
        <f aca="false">COUNTIF(Table!$CA:$CA,CONCATENATE($A5,"_",I$1))</f>
        <v>0</v>
      </c>
      <c r="J5" s="40" t="n">
        <f aca="false">COUNTIF(Table!$CA:$CA,CONCATENATE($A5,"_",J$1))</f>
        <v>0</v>
      </c>
      <c r="K5" s="40" t="n">
        <f aca="false">COUNTIF(Table!$CA:$CA,CONCATENATE($A5,"_",K$1))</f>
        <v>0</v>
      </c>
      <c r="L5" s="40" t="n">
        <f aca="false">COUNTIF(Table!$CA:$CA,CONCATENATE($A5,"_",L$1))</f>
        <v>0</v>
      </c>
      <c r="M5" s="40" t="n">
        <f aca="false">COUNTIF(Table!$CA:$CA,CONCATENATE($A5,"_",M$1))</f>
        <v>0</v>
      </c>
      <c r="N5" s="40" t="n">
        <f aca="false">COUNTIF(Table!$CA:$CA,CONCATENATE($A5,"_",N$1))</f>
        <v>8</v>
      </c>
      <c r="O5" s="40" t="n">
        <f aca="false">COUNTIF(Table!$CA:$CA,CONCATENATE($A5,"_",O$1))</f>
        <v>0</v>
      </c>
      <c r="P5" s="40" t="n">
        <f aca="false">COUNTIF(Table!$CC:$CC,CONCATENATE($A5,"_",P$1))</f>
        <v>0</v>
      </c>
      <c r="Q5" s="40" t="n">
        <f aca="false">COUNTIF(Table!$CA:$CA,CONCATENATE($A5,"_",Q$1))</f>
        <v>1</v>
      </c>
      <c r="R5" s="40" t="n">
        <f aca="false">COUNTIF(Table!$CA:$CA,CONCATENATE($A5,"_",R$1))</f>
        <v>0</v>
      </c>
      <c r="S5" s="40" t="n">
        <f aca="false">COUNTIF(Table!$CA:$CA,CONCATENATE($A5,"_",S$1))</f>
        <v>0</v>
      </c>
      <c r="T5" s="40" t="n">
        <f aca="false">COUNTIF(Table!$CA:$CA,CONCATENATE($A5,"_",T$1))</f>
        <v>0</v>
      </c>
      <c r="U5" s="40" t="n">
        <f aca="false">COUNTIF(Table!$CA:$CA,CONCATENATE($A5,"_",U$1))</f>
        <v>0</v>
      </c>
      <c r="V5" s="40" t="n">
        <f aca="false">COUNTIF(Table!$CA:$CA,CONCATENATE($A5,"_",V$1))</f>
        <v>1</v>
      </c>
      <c r="W5" s="40" t="n">
        <f aca="false">COUNTIF(Table!$CA:$CA,CONCATENATE($A5,"_",W$1))</f>
        <v>0</v>
      </c>
    </row>
    <row r="6" customFormat="false" ht="13.8" hidden="false" customHeight="false" outlineLevel="0" collapsed="false">
      <c r="A6" s="38" t="s">
        <v>143</v>
      </c>
      <c r="B6" s="38" t="str">
        <f aca="false">VLOOKUP(A6, Eras!$B$2:$C$10, 2, FALSE())</f>
        <v>Big Four (1923-1948)</v>
      </c>
      <c r="C6" s="40" t="n">
        <f aca="false">COUNTIF(Table!$CA:$CA,CONCATENATE($A6,"_",C$1))</f>
        <v>0</v>
      </c>
      <c r="D6" s="40" t="n">
        <f aca="false">COUNTIF(Table!$CA:$CA,CONCATENATE($A6,"_",D$1))</f>
        <v>0</v>
      </c>
      <c r="E6" s="40" t="n">
        <f aca="false">COUNTIF(Table!$CA:$CA,CONCATENATE($A6,"_",E$1))</f>
        <v>2</v>
      </c>
      <c r="F6" s="40" t="n">
        <f aca="false">COUNTIF(Table!$CA:$CA,CONCATENATE($A6,"_",F$1))</f>
        <v>0</v>
      </c>
      <c r="G6" s="40" t="n">
        <f aca="false">COUNTIF(Table!$CA:$CA,CONCATENATE($A6,"_",G$1))</f>
        <v>0</v>
      </c>
      <c r="H6" s="40" t="n">
        <f aca="false">COUNTIF(Table!$CA:$CA,CONCATENATE($A6,"_",H$1))</f>
        <v>0</v>
      </c>
      <c r="I6" s="40" t="n">
        <f aca="false">COUNTIF(Table!$CA:$CA,CONCATENATE($A6,"_",I$1))</f>
        <v>0</v>
      </c>
      <c r="J6" s="40" t="n">
        <f aca="false">COUNTIF(Table!$CA:$CA,CONCATENATE($A6,"_",J$1))</f>
        <v>0</v>
      </c>
      <c r="K6" s="40" t="n">
        <f aca="false">COUNTIF(Table!$CA:$CA,CONCATENATE($A6,"_",K$1))</f>
        <v>0</v>
      </c>
      <c r="L6" s="40" t="n">
        <f aca="false">COUNTIF(Table!$CA:$CA,CONCATENATE($A6,"_",L$1))</f>
        <v>0</v>
      </c>
      <c r="M6" s="40" t="n">
        <f aca="false">COUNTIF(Table!$CA:$CA,CONCATENATE($A6,"_",M$1))</f>
        <v>0</v>
      </c>
      <c r="N6" s="40" t="n">
        <f aca="false">COUNTIF(Table!$CA:$CA,CONCATENATE($A6,"_",N$1))</f>
        <v>2</v>
      </c>
      <c r="O6" s="40" t="n">
        <f aca="false">COUNTIF(Table!$CA:$CA,CONCATENATE($A6,"_",O$1))</f>
        <v>0</v>
      </c>
      <c r="P6" s="40" t="n">
        <f aca="false">COUNTIF(Table!$CC:$CC,CONCATENATE($A6,"_",P$1))</f>
        <v>0</v>
      </c>
      <c r="Q6" s="40" t="n">
        <f aca="false">COUNTIF(Table!$CA:$CA,CONCATENATE($A6,"_",Q$1))</f>
        <v>0</v>
      </c>
      <c r="R6" s="40" t="n">
        <f aca="false">COUNTIF(Table!$CA:$CA,CONCATENATE($A6,"_",R$1))</f>
        <v>0</v>
      </c>
      <c r="S6" s="40" t="n">
        <f aca="false">COUNTIF(Table!$CA:$CA,CONCATENATE($A6,"_",S$1))</f>
        <v>0</v>
      </c>
      <c r="T6" s="40" t="n">
        <f aca="false">COUNTIF(Table!$CA:$CA,CONCATENATE($A6,"_",T$1))</f>
        <v>0</v>
      </c>
      <c r="U6" s="40" t="n">
        <f aca="false">COUNTIF(Table!$CA:$CA,CONCATENATE($A6,"_",U$1))</f>
        <v>0</v>
      </c>
      <c r="V6" s="40" t="n">
        <f aca="false">COUNTIF(Table!$CA:$CA,CONCATENATE($A6,"_",V$1))</f>
        <v>1</v>
      </c>
      <c r="W6" s="40" t="n">
        <f aca="false">COUNTIF(Table!$CA:$CA,CONCATENATE($A6,"_",W$1))</f>
        <v>4</v>
      </c>
    </row>
    <row r="7" customFormat="false" ht="13.8" hidden="false" customHeight="false" outlineLevel="0" collapsed="false">
      <c r="A7" s="38" t="s">
        <v>555</v>
      </c>
      <c r="B7" s="38" t="str">
        <f aca="false">VLOOKUP(A7, Eras!$B$2:$C$10, 2, FALSE())</f>
        <v>Early BR (1948-1955)</v>
      </c>
      <c r="C7" s="40" t="n">
        <f aca="false">COUNTIF(Table!$CA:$CA,CONCATENATE($A7,"_",C$1))</f>
        <v>0</v>
      </c>
      <c r="D7" s="40" t="n">
        <f aca="false">COUNTIF(Table!$CA:$CA,CONCATENATE($A7,"_",D$1))</f>
        <v>0</v>
      </c>
      <c r="E7" s="40" t="n">
        <f aca="false">COUNTIF(Table!$CA:$CA,CONCATENATE($A7,"_",E$1))</f>
        <v>0</v>
      </c>
      <c r="F7" s="40" t="n">
        <f aca="false">COUNTIF(Table!$CA:$CA,CONCATENATE($A7,"_",F$1))</f>
        <v>0</v>
      </c>
      <c r="G7" s="40" t="n">
        <f aca="false">COUNTIF(Table!$CA:$CA,CONCATENATE($A7,"_",G$1))</f>
        <v>0</v>
      </c>
      <c r="H7" s="40" t="n">
        <f aca="false">COUNTIF(Table!$CA:$CA,CONCATENATE($A7,"_",H$1))</f>
        <v>0</v>
      </c>
      <c r="I7" s="40" t="n">
        <f aca="false">COUNTIF(Table!$CA:$CA,CONCATENATE($A7,"_",I$1))</f>
        <v>0</v>
      </c>
      <c r="J7" s="40" t="n">
        <f aca="false">COUNTIF(Table!$CA:$CA,CONCATENATE($A7,"_",J$1))</f>
        <v>0</v>
      </c>
      <c r="K7" s="40" t="n">
        <f aca="false">COUNTIF(Table!$CA:$CA,CONCATENATE($A7,"_",K$1))</f>
        <v>0</v>
      </c>
      <c r="L7" s="40" t="n">
        <f aca="false">COUNTIF(Table!$CA:$CA,CONCATENATE($A7,"_",L$1))</f>
        <v>0</v>
      </c>
      <c r="M7" s="40" t="n">
        <f aca="false">COUNTIF(Table!$CA:$CA,CONCATENATE($A7,"_",M$1))</f>
        <v>0</v>
      </c>
      <c r="N7" s="40" t="n">
        <f aca="false">COUNTIF(Table!$CA:$CA,CONCATENATE($A7,"_",N$1))</f>
        <v>0</v>
      </c>
      <c r="O7" s="40" t="n">
        <f aca="false">COUNTIF(Table!$CA:$CA,CONCATENATE($A7,"_",O$1))</f>
        <v>0</v>
      </c>
      <c r="P7" s="40" t="n">
        <f aca="false">COUNTIF(Table!$CC:$CC,CONCATENATE($A7,"_",P$1))</f>
        <v>0</v>
      </c>
      <c r="Q7" s="40" t="n">
        <f aca="false">COUNTIF(Table!$CA:$CA,CONCATENATE($A7,"_",Q$1))</f>
        <v>0</v>
      </c>
      <c r="R7" s="40" t="n">
        <f aca="false">COUNTIF(Table!$CA:$CA,CONCATENATE($A7,"_",R$1))</f>
        <v>0</v>
      </c>
      <c r="S7" s="40" t="n">
        <f aca="false">COUNTIF(Table!$CA:$CA,CONCATENATE($A7,"_",S$1))</f>
        <v>0</v>
      </c>
      <c r="T7" s="40" t="n">
        <f aca="false">COUNTIF(Table!$CA:$CA,CONCATENATE($A7,"_",T$1))</f>
        <v>0</v>
      </c>
      <c r="U7" s="40" t="n">
        <f aca="false">COUNTIF(Table!$CA:$CA,CONCATENATE($A7,"_",U$1))</f>
        <v>0</v>
      </c>
      <c r="V7" s="40" t="n">
        <f aca="false">COUNTIF(Table!$CA:$CA,CONCATENATE($A7,"_",V$1))</f>
        <v>0</v>
      </c>
      <c r="W7" s="40" t="n">
        <f aca="false">COUNTIF(Table!$CA:$CA,CONCATENATE($A7,"_",W$1))</f>
        <v>0</v>
      </c>
    </row>
    <row r="8" customFormat="false" ht="13.8" hidden="false" customHeight="false" outlineLevel="0" collapsed="false">
      <c r="A8" s="38" t="s">
        <v>210</v>
      </c>
      <c r="B8" s="38" t="str">
        <f aca="false">VLOOKUP(A8, Eras!$B$2:$C$10, 2, FALSE())</f>
        <v>Dieselisation (1955-1970)</v>
      </c>
      <c r="C8" s="40" t="n">
        <f aca="false">COUNTIF(Table!$CA:$CA,CONCATENATE($A8,"_",C$1))</f>
        <v>0</v>
      </c>
      <c r="D8" s="40" t="n">
        <f aca="false">COUNTIF(Table!$CA:$CA,CONCATENATE($A8,"_",D$1))</f>
        <v>0</v>
      </c>
      <c r="E8" s="40" t="n">
        <f aca="false">COUNTIF(Table!$CA:$CA,CONCATENATE($A8,"_",E$1))</f>
        <v>0</v>
      </c>
      <c r="F8" s="40" t="n">
        <f aca="false">COUNTIF(Table!$CA:$CA,CONCATENATE($A8,"_",F$1))</f>
        <v>0</v>
      </c>
      <c r="G8" s="40" t="n">
        <f aca="false">COUNTIF(Table!$CA:$CA,CONCATENATE($A8,"_",G$1))</f>
        <v>0</v>
      </c>
      <c r="H8" s="40" t="n">
        <f aca="false">COUNTIF(Table!$CA:$CA,CONCATENATE($A8,"_",H$1))</f>
        <v>0</v>
      </c>
      <c r="I8" s="40" t="n">
        <f aca="false">COUNTIF(Table!$CA:$CA,CONCATENATE($A8,"_",I$1))</f>
        <v>0</v>
      </c>
      <c r="J8" s="40" t="n">
        <f aca="false">COUNTIF(Table!$CA:$CA,CONCATENATE($A8,"_",J$1))</f>
        <v>0</v>
      </c>
      <c r="K8" s="40" t="n">
        <f aca="false">COUNTIF(Table!$CA:$CA,CONCATENATE($A8,"_",K$1))</f>
        <v>0</v>
      </c>
      <c r="L8" s="40" t="n">
        <f aca="false">COUNTIF(Table!$CA:$CA,CONCATENATE($A8,"_",L$1))</f>
        <v>4</v>
      </c>
      <c r="M8" s="40" t="n">
        <f aca="false">COUNTIF(Table!$CA:$CA,CONCATENATE($A8,"_",M$1))</f>
        <v>1</v>
      </c>
      <c r="N8" s="40" t="n">
        <f aca="false">COUNTIF(Table!$CA:$CA,CONCATENATE($A8,"_",N$1))</f>
        <v>5</v>
      </c>
      <c r="O8" s="40" t="n">
        <f aca="false">COUNTIF(Table!$CA:$CA,CONCATENATE($A8,"_",O$1))</f>
        <v>3</v>
      </c>
      <c r="P8" s="40" t="n">
        <f aca="false">COUNTIF(Table!$CC:$CC,CONCATENATE($A8,"_",P$1))</f>
        <v>0</v>
      </c>
      <c r="Q8" s="40" t="n">
        <f aca="false">COUNTIF(Table!$CA:$CA,CONCATENATE($A8,"_",Q$1))</f>
        <v>0</v>
      </c>
      <c r="R8" s="40" t="n">
        <f aca="false">COUNTIF(Table!$CA:$CA,CONCATENATE($A8,"_",R$1))</f>
        <v>1</v>
      </c>
      <c r="S8" s="40" t="n">
        <f aca="false">COUNTIF(Table!$CA:$CA,CONCATENATE($A8,"_",S$1))</f>
        <v>0</v>
      </c>
      <c r="T8" s="40" t="n">
        <f aca="false">COUNTIF(Table!$CA:$CA,CONCATENATE($A8,"_",T$1))</f>
        <v>0</v>
      </c>
      <c r="U8" s="40" t="n">
        <f aca="false">COUNTIF(Table!$CA:$CA,CONCATENATE($A8,"_",U$1))</f>
        <v>0</v>
      </c>
      <c r="V8" s="40" t="n">
        <f aca="false">COUNTIF(Table!$CA:$CA,CONCATENATE($A8,"_",V$1))</f>
        <v>4</v>
      </c>
      <c r="W8" s="40" t="n">
        <f aca="false">COUNTIF(Table!$CA:$CA,CONCATENATE($A8,"_",W$1))</f>
        <v>0</v>
      </c>
    </row>
    <row r="9" customFormat="false" ht="13.8" hidden="false" customHeight="false" outlineLevel="0" collapsed="false">
      <c r="A9" s="38" t="s">
        <v>164</v>
      </c>
      <c r="B9" s="38" t="str">
        <f aca="false">VLOOKUP(A9, Eras!$B$2:$C$10, 2, FALSE())</f>
        <v>Late BR (1970-1995)</v>
      </c>
      <c r="C9" s="40" t="n">
        <f aca="false">COUNTIF(Table!$CA:$CA,CONCATENATE($A9,"_",C$1))</f>
        <v>0</v>
      </c>
      <c r="D9" s="40" t="n">
        <f aca="false">COUNTIF(Table!$CA:$CA,CONCATENATE($A9,"_",D$1))</f>
        <v>0</v>
      </c>
      <c r="E9" s="40" t="n">
        <f aca="false">COUNTIF(Table!$CA:$CA,CONCATENATE($A9,"_",E$1))</f>
        <v>0</v>
      </c>
      <c r="F9" s="40" t="n">
        <f aca="false">COUNTIF(Table!$CA:$CA,CONCATENATE($A9,"_",F$1))</f>
        <v>3</v>
      </c>
      <c r="G9" s="40" t="n">
        <f aca="false">COUNTIF(Table!$CA:$CA,CONCATENATE($A9,"_",G$1))</f>
        <v>3</v>
      </c>
      <c r="H9" s="40" t="n">
        <f aca="false">COUNTIF(Table!$CA:$CA,CONCATENATE($A9,"_",H$1))</f>
        <v>0</v>
      </c>
      <c r="I9" s="40" t="n">
        <f aca="false">COUNTIF(Table!$CA:$CA,CONCATENATE($A9,"_",I$1))</f>
        <v>3</v>
      </c>
      <c r="J9" s="40" t="n">
        <f aca="false">COUNTIF(Table!$CA:$CA,CONCATENATE($A9,"_",J$1))</f>
        <v>0</v>
      </c>
      <c r="K9" s="40" t="n">
        <f aca="false">COUNTIF(Table!$CA:$CA,CONCATENATE($A9,"_",K$1))</f>
        <v>0</v>
      </c>
      <c r="L9" s="40" t="n">
        <f aca="false">COUNTIF(Table!$CA:$CA,CONCATENATE($A9,"_",L$1))</f>
        <v>5</v>
      </c>
      <c r="M9" s="40" t="n">
        <f aca="false">COUNTIF(Table!$CA:$CA,CONCATENATE($A9,"_",M$1))</f>
        <v>0</v>
      </c>
      <c r="N9" s="40" t="n">
        <f aca="false">COUNTIF(Table!$CA:$CA,CONCATENATE($A9,"_",N$1))</f>
        <v>2</v>
      </c>
      <c r="O9" s="40" t="n">
        <f aca="false">COUNTIF(Table!$CA:$CA,CONCATENATE($A9,"_",O$1))</f>
        <v>9</v>
      </c>
      <c r="P9" s="40" t="n">
        <f aca="false">COUNTIF(Table!$CC:$CC,CONCATENATE($A9,"_",P$1))</f>
        <v>0</v>
      </c>
      <c r="Q9" s="40" t="n">
        <f aca="false">COUNTIF(Table!$CA:$CA,CONCATENATE($A9,"_",Q$1))</f>
        <v>2</v>
      </c>
      <c r="R9" s="40" t="n">
        <f aca="false">COUNTIF(Table!$CA:$CA,CONCATENATE($A9,"_",R$1))</f>
        <v>2</v>
      </c>
      <c r="S9" s="40" t="n">
        <f aca="false">COUNTIF(Table!$CA:$CA,CONCATENATE($A9,"_",S$1))</f>
        <v>0</v>
      </c>
      <c r="T9" s="40" t="n">
        <f aca="false">COUNTIF(Table!$CA:$CA,CONCATENATE($A9,"_",T$1))</f>
        <v>0</v>
      </c>
      <c r="U9" s="40" t="n">
        <f aca="false">COUNTIF(Table!$CA:$CA,CONCATENATE($A9,"_",U$1))</f>
        <v>0</v>
      </c>
      <c r="V9" s="40" t="n">
        <f aca="false">COUNTIF(Table!$CA:$CA,CONCATENATE($A9,"_",V$1))</f>
        <v>1</v>
      </c>
      <c r="W9" s="40" t="n">
        <f aca="false">COUNTIF(Table!$CA:$CA,CONCATENATE($A9,"_",W$1))</f>
        <v>0</v>
      </c>
    </row>
    <row r="10" customFormat="false" ht="13.8" hidden="false" customHeight="false" outlineLevel="0" collapsed="false">
      <c r="A10" s="38" t="s">
        <v>371</v>
      </c>
      <c r="B10" s="38" t="str">
        <f aca="false">VLOOKUP(A10, Eras!$B$2:$C$10, 2, FALSE())</f>
        <v>Privatisation (1995-2005)</v>
      </c>
      <c r="C10" s="40" t="n">
        <f aca="false">COUNTIF(Table!$CA:$CA,CONCATENATE($A10,"_",C$1))</f>
        <v>0</v>
      </c>
      <c r="D10" s="40" t="n">
        <f aca="false">COUNTIF(Table!$CA:$CA,CONCATENATE($A10,"_",D$1))</f>
        <v>0</v>
      </c>
      <c r="E10" s="40" t="n">
        <f aca="false">COUNTIF(Table!$CA:$CA,CONCATENATE($A10,"_",E$1))</f>
        <v>0</v>
      </c>
      <c r="F10" s="40" t="n">
        <f aca="false">COUNTIF(Table!$CA:$CA,CONCATENATE($A10,"_",F$1))</f>
        <v>0</v>
      </c>
      <c r="G10" s="40" t="n">
        <f aca="false">COUNTIF(Table!$CA:$CA,CONCATENATE($A10,"_",G$1))</f>
        <v>5</v>
      </c>
      <c r="H10" s="40" t="n">
        <f aca="false">COUNTIF(Table!$CA:$CA,CONCATENATE($A10,"_",H$1))</f>
        <v>0</v>
      </c>
      <c r="I10" s="40" t="n">
        <f aca="false">COUNTIF(Table!$CA:$CA,CONCATENATE($A10,"_",I$1))</f>
        <v>0</v>
      </c>
      <c r="J10" s="40" t="n">
        <f aca="false">COUNTIF(Table!$CA:$CA,CONCATENATE($A10,"_",J$1))</f>
        <v>0</v>
      </c>
      <c r="K10" s="40" t="n">
        <f aca="false">COUNTIF(Table!$CA:$CA,CONCATENATE($A10,"_",K$1))</f>
        <v>0</v>
      </c>
      <c r="L10" s="40" t="n">
        <f aca="false">COUNTIF(Table!$CA:$CA,CONCATENATE($A10,"_",L$1))</f>
        <v>0</v>
      </c>
      <c r="M10" s="40" t="n">
        <f aca="false">COUNTIF(Table!$CA:$CA,CONCATENATE($A10,"_",M$1))</f>
        <v>4</v>
      </c>
      <c r="N10" s="40" t="n">
        <f aca="false">COUNTIF(Table!$CA:$CA,CONCATENATE($A10,"_",N$1))</f>
        <v>0</v>
      </c>
      <c r="O10" s="40" t="n">
        <f aca="false">COUNTIF(Table!$CA:$CA,CONCATENATE($A10,"_",O$1))</f>
        <v>0</v>
      </c>
      <c r="P10" s="40" t="n">
        <f aca="false">COUNTIF(Table!$CC:$CC,CONCATENATE($A10,"_",P$1))</f>
        <v>0</v>
      </c>
      <c r="Q10" s="40" t="n">
        <f aca="false">COUNTIF(Table!$CA:$CA,CONCATENATE($A10,"_",Q$1))</f>
        <v>4</v>
      </c>
      <c r="R10" s="40" t="n">
        <f aca="false">COUNTIF(Table!$CA:$CA,CONCATENATE($A10,"_",R$1))</f>
        <v>0</v>
      </c>
      <c r="S10" s="40" t="n">
        <f aca="false">COUNTIF(Table!$CA:$CA,CONCATENATE($A10,"_",S$1))</f>
        <v>0</v>
      </c>
      <c r="T10" s="40" t="n">
        <f aca="false">COUNTIF(Table!$CA:$CA,CONCATENATE($A10,"_",T$1))</f>
        <v>0</v>
      </c>
      <c r="U10" s="40" t="n">
        <f aca="false">COUNTIF(Table!$CA:$CA,CONCATENATE($A10,"_",U$1))</f>
        <v>0</v>
      </c>
      <c r="V10" s="40" t="n">
        <f aca="false">COUNTIF(Table!$CA:$CA,CONCATENATE($A10,"_",V$1))</f>
        <v>0</v>
      </c>
      <c r="W10" s="40" t="n">
        <f aca="false">COUNTIF(Table!$CA:$CA,CONCATENATE($A10,"_",W$1))</f>
        <v>0</v>
      </c>
    </row>
    <row r="11" customFormat="false" ht="13.8" hidden="false" customHeight="false" outlineLevel="0" collapsed="false">
      <c r="A11" s="38" t="s">
        <v>415</v>
      </c>
      <c r="B11" s="38" t="str">
        <f aca="false">VLOOKUP(A11, Eras!$B$2:$C$10, 2, FALSE())</f>
        <v>Modern (2005-)</v>
      </c>
      <c r="C11" s="40" t="n">
        <f aca="false">COUNTIF(Table!$CA:$CA,CONCATENATE($A11,"_",C$1))</f>
        <v>0</v>
      </c>
      <c r="D11" s="40" t="n">
        <f aca="false">COUNTIF(Table!$CA:$CA,CONCATENATE($A11,"_",D$1))</f>
        <v>0</v>
      </c>
      <c r="E11" s="40" t="n">
        <f aca="false">COUNTIF(Table!$CA:$CA,CONCATENATE($A11,"_",E$1))</f>
        <v>0</v>
      </c>
      <c r="F11" s="40" t="n">
        <f aca="false">COUNTIF(Table!$CA:$CA,CONCATENATE($A11,"_",F$1))</f>
        <v>0</v>
      </c>
      <c r="G11" s="40" t="n">
        <f aca="false">COUNTIF(Table!$CA:$CA,CONCATENATE($A11,"_",G$1))</f>
        <v>0</v>
      </c>
      <c r="H11" s="40" t="n">
        <f aca="false">COUNTIF(Table!$CA:$CA,CONCATENATE($A11,"_",H$1))</f>
        <v>1</v>
      </c>
      <c r="I11" s="40" t="n">
        <f aca="false">COUNTIF(Table!$CA:$CA,CONCATENATE($A11,"_",I$1))</f>
        <v>0</v>
      </c>
      <c r="J11" s="40" t="n">
        <f aca="false">COUNTIF(Table!$CA:$CA,CONCATENATE($A11,"_",J$1))</f>
        <v>0</v>
      </c>
      <c r="K11" s="40" t="n">
        <f aca="false">COUNTIF(Table!$CA:$CA,CONCATENATE($A11,"_",K$1))</f>
        <v>0</v>
      </c>
      <c r="L11" s="40" t="n">
        <f aca="false">COUNTIF(Table!$CA:$CA,CONCATENATE($A11,"_",L$1))</f>
        <v>0</v>
      </c>
      <c r="M11" s="40" t="n">
        <f aca="false">COUNTIF(Table!$CA:$CA,CONCATENATE($A11,"_",M$1))</f>
        <v>0</v>
      </c>
      <c r="N11" s="40" t="n">
        <f aca="false">COUNTIF(Table!$CA:$CA,CONCATENATE($A11,"_",N$1))</f>
        <v>2</v>
      </c>
      <c r="O11" s="40" t="n">
        <f aca="false">COUNTIF(Table!$CA:$CA,CONCATENATE($A11,"_",O$1))</f>
        <v>4</v>
      </c>
      <c r="P11" s="40" t="n">
        <f aca="false">COUNTIF(Table!$CC:$CC,CONCATENATE($A11,"_",P$1))</f>
        <v>0</v>
      </c>
      <c r="Q11" s="40" t="n">
        <f aca="false">COUNTIF(Table!$CA:$CA,CONCATENATE($A11,"_",Q$1))</f>
        <v>3</v>
      </c>
      <c r="R11" s="40" t="n">
        <f aca="false">COUNTIF(Table!$CA:$CA,CONCATENATE($A11,"_",R$1))</f>
        <v>0</v>
      </c>
      <c r="S11" s="40" t="n">
        <f aca="false">COUNTIF(Table!$CA:$CA,CONCATENATE($A11,"_",S$1))</f>
        <v>0</v>
      </c>
      <c r="T11" s="40" t="n">
        <f aca="false">COUNTIF(Table!$CA:$CA,CONCATENATE($A11,"_",T$1))</f>
        <v>0</v>
      </c>
      <c r="U11" s="40" t="n">
        <f aca="false">COUNTIF(Table!$CA:$CA,CONCATENATE($A11,"_",U$1))</f>
        <v>0</v>
      </c>
      <c r="V11" s="40" t="n">
        <f aca="false">COUNTIF(Table!$CA:$CA,CONCATENATE($A11,"_",V$1))</f>
        <v>1</v>
      </c>
      <c r="W11" s="40" t="n">
        <f aca="false">COUNTIF(Table!$CA:$CA,CONCATENATE($A11,"_",W$1))</f>
        <v>0</v>
      </c>
    </row>
    <row r="12" customFormat="false" ht="15" hidden="false" customHeight="true" outlineLevel="0" collapsed="false">
      <c r="H12" s="40"/>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18">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18">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18">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8" width="9.58"/>
    <col collapsed="false" customWidth="true" hidden="false" outlineLevel="0" max="2" min="2" style="38" width="5.43"/>
    <col collapsed="false" customWidth="true" hidden="false" outlineLevel="0" max="3" min="3" style="38" width="28.99"/>
  </cols>
  <sheetData>
    <row r="1" customFormat="false" ht="13.8" hidden="false" customHeight="false" outlineLevel="0" collapsed="false">
      <c r="A1" s="39" t="s">
        <v>556</v>
      </c>
      <c r="B1" s="39" t="s">
        <v>557</v>
      </c>
      <c r="C1" s="39" t="s">
        <v>558</v>
      </c>
    </row>
    <row r="2" customFormat="false" ht="13.8" hidden="false" customHeight="false" outlineLevel="0" collapsed="false">
      <c r="A2" s="38" t="n">
        <v>1700</v>
      </c>
      <c r="B2" s="38" t="s">
        <v>553</v>
      </c>
      <c r="C2" s="38" t="s">
        <v>559</v>
      </c>
    </row>
    <row r="3" customFormat="false" ht="13.8" hidden="false" customHeight="false" outlineLevel="0" collapsed="false">
      <c r="A3" s="38" t="n">
        <v>1850</v>
      </c>
      <c r="B3" s="38" t="s">
        <v>554</v>
      </c>
      <c r="C3" s="38" t="s">
        <v>560</v>
      </c>
    </row>
    <row r="4" customFormat="false" ht="13.8" hidden="false" customHeight="false" outlineLevel="0" collapsed="false">
      <c r="A4" s="38" t="n">
        <v>1900</v>
      </c>
      <c r="B4" s="38" t="s">
        <v>96</v>
      </c>
      <c r="C4" s="38" t="s">
        <v>561</v>
      </c>
    </row>
    <row r="5" customFormat="false" ht="13.8" hidden="false" customHeight="false" outlineLevel="0" collapsed="false">
      <c r="A5" s="38" t="n">
        <v>1923</v>
      </c>
      <c r="B5" s="38" t="s">
        <v>143</v>
      </c>
      <c r="C5" s="38" t="s">
        <v>562</v>
      </c>
    </row>
    <row r="6" customFormat="false" ht="13.8" hidden="false" customHeight="false" outlineLevel="0" collapsed="false">
      <c r="A6" s="38" t="n">
        <v>1948</v>
      </c>
      <c r="B6" s="38" t="s">
        <v>555</v>
      </c>
      <c r="C6" s="38" t="s">
        <v>563</v>
      </c>
    </row>
    <row r="7" customFormat="false" ht="13.8" hidden="false" customHeight="false" outlineLevel="0" collapsed="false">
      <c r="A7" s="38" t="n">
        <v>1955</v>
      </c>
      <c r="B7" s="38" t="s">
        <v>210</v>
      </c>
      <c r="C7" s="38" t="s">
        <v>564</v>
      </c>
    </row>
    <row r="8" customFormat="false" ht="13.8" hidden="false" customHeight="false" outlineLevel="0" collapsed="false">
      <c r="A8" s="38" t="n">
        <v>1970</v>
      </c>
      <c r="B8" s="38" t="s">
        <v>164</v>
      </c>
      <c r="C8" s="38" t="s">
        <v>565</v>
      </c>
    </row>
    <row r="9" customFormat="false" ht="13.8" hidden="false" customHeight="false" outlineLevel="0" collapsed="false">
      <c r="A9" s="38" t="n">
        <v>1995</v>
      </c>
      <c r="B9" s="38" t="s">
        <v>371</v>
      </c>
      <c r="C9" s="38" t="s">
        <v>566</v>
      </c>
    </row>
    <row r="10" customFormat="false" ht="13.8" hidden="false" customHeight="false" outlineLevel="0" collapsed="false">
      <c r="A10" s="38" t="n">
        <v>2005</v>
      </c>
      <c r="B10" s="38" t="s">
        <v>415</v>
      </c>
      <c r="C10" s="38" t="s">
        <v>567</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8" width="7"/>
    <col collapsed="false" customWidth="true" hidden="false" outlineLevel="0" max="2" min="2" style="38" width="13.3"/>
    <col collapsed="false" customWidth="true" hidden="false" outlineLevel="0" max="3" min="3" style="38" width="20.14"/>
    <col collapsed="false" customWidth="true" hidden="false" outlineLevel="0" max="6" min="6" style="38" width="27.43"/>
    <col collapsed="false" customWidth="true" hidden="false" outlineLevel="0" max="9" min="9" style="38" width="14.69"/>
    <col collapsed="false" customWidth="true" hidden="false" outlineLevel="0" max="10" min="10" style="38" width="18.13"/>
    <col collapsed="false" customWidth="true" hidden="false" outlineLevel="0" max="11" min="11" style="38" width="18.86"/>
    <col collapsed="false" customWidth="true" hidden="false" outlineLevel="0" max="13" min="13" style="38" width="19.72"/>
    <col collapsed="false" customWidth="true" hidden="false" outlineLevel="0" max="14" min="14" style="38" width="27.28"/>
    <col collapsed="false" customWidth="true" hidden="false" outlineLevel="0" max="15" min="15" style="38" width="6.7"/>
  </cols>
  <sheetData>
    <row r="1" customFormat="false" ht="13.8" hidden="false" customHeight="false" outlineLevel="0" collapsed="false">
      <c r="A1" s="39" t="s">
        <v>568</v>
      </c>
      <c r="B1" s="39" t="s">
        <v>569</v>
      </c>
      <c r="C1" s="39" t="s">
        <v>570</v>
      </c>
      <c r="F1" s="39" t="s">
        <v>571</v>
      </c>
      <c r="G1" s="38" t="n">
        <v>15</v>
      </c>
      <c r="I1" s="39" t="s">
        <v>572</v>
      </c>
      <c r="J1" s="39" t="s">
        <v>573</v>
      </c>
      <c r="K1" s="39" t="s">
        <v>574</v>
      </c>
      <c r="M1" s="39" t="s">
        <v>575</v>
      </c>
      <c r="N1" s="39" t="s">
        <v>576</v>
      </c>
      <c r="O1" s="39" t="s">
        <v>13</v>
      </c>
    </row>
    <row r="2" customFormat="false" ht="13.8" hidden="false" customHeight="false" outlineLevel="0" collapsed="false">
      <c r="A2" s="38" t="n">
        <v>0</v>
      </c>
      <c r="B2" s="38" t="s">
        <v>577</v>
      </c>
      <c r="F2" s="39" t="s">
        <v>578</v>
      </c>
      <c r="G2" s="38" t="n">
        <v>5</v>
      </c>
      <c r="I2" s="38" t="s">
        <v>152</v>
      </c>
      <c r="J2" s="38" t="n">
        <v>1</v>
      </c>
      <c r="K2" s="38" t="n">
        <v>2</v>
      </c>
      <c r="M2" s="38" t="s">
        <v>268</v>
      </c>
      <c r="N2" s="38" t="str">
        <f aca="false">IF(O2&lt;&gt;"", _xlfn.CONCAT("{BLACK}Powered by: {GOLD}",O2), "")</f>
        <v>{BLACK}Powered by: {GOLD}Diesel</v>
      </c>
      <c r="O2" s="38" t="s">
        <v>579</v>
      </c>
    </row>
    <row r="3" customFormat="false" ht="13.8" hidden="false" customHeight="false" outlineLevel="0" collapsed="false">
      <c r="A3" s="38" t="n">
        <v>3</v>
      </c>
      <c r="B3" s="38" t="s">
        <v>162</v>
      </c>
      <c r="C3" s="38" t="s">
        <v>162</v>
      </c>
      <c r="I3" s="38" t="s">
        <v>91</v>
      </c>
      <c r="J3" s="38" t="n">
        <v>0.85</v>
      </c>
      <c r="K3" s="38" t="n">
        <v>2.3</v>
      </c>
      <c r="M3" s="38" t="s">
        <v>580</v>
      </c>
      <c r="N3" s="38" t="str">
        <f aca="false">IF(O3&lt;&gt;"", _xlfn.CONCAT("{BLACK}Powered by: {GOLD}",O3), "")</f>
        <v>{BLACK}Powered by: {GOLD}Steam</v>
      </c>
      <c r="O3" s="38" t="s">
        <v>581</v>
      </c>
    </row>
    <row r="4" customFormat="false" ht="13.8" hidden="false" customHeight="false" outlineLevel="0" collapsed="false">
      <c r="A4" s="38" t="n">
        <v>4</v>
      </c>
      <c r="B4" s="38" t="s">
        <v>582</v>
      </c>
      <c r="C4" s="38" t="s">
        <v>582</v>
      </c>
      <c r="I4" s="38" t="s">
        <v>583</v>
      </c>
      <c r="J4" s="38" t="n">
        <v>1.15</v>
      </c>
      <c r="K4" s="38" t="n">
        <v>1.7</v>
      </c>
      <c r="M4" s="38" t="s">
        <v>584</v>
      </c>
      <c r="N4" s="38" t="str">
        <f aca="false">IF(O4&lt;&gt;"", _xlfn.CONCAT("{BLACK}Powered by: {GOLD}",O4), "")</f>
        <v>{BLACK}Powered by: {GOLD}25kV AC</v>
      </c>
      <c r="O4" s="38" t="s">
        <v>585</v>
      </c>
    </row>
    <row r="5" customFormat="false" ht="13.8" hidden="false" customHeight="false" outlineLevel="0" collapsed="false">
      <c r="A5" s="38" t="n">
        <v>5</v>
      </c>
      <c r="B5" s="38" t="s">
        <v>586</v>
      </c>
      <c r="C5" s="38" t="s">
        <v>586</v>
      </c>
      <c r="I5" s="38" t="s">
        <v>256</v>
      </c>
      <c r="J5" s="38" t="n">
        <v>0.9</v>
      </c>
      <c r="K5" s="38" t="n">
        <v>2.5</v>
      </c>
      <c r="M5" s="38" t="s">
        <v>587</v>
      </c>
      <c r="N5" s="38" t="str">
        <f aca="false">IF(O5&lt;&gt;"", _xlfn.CONCAT("{BLACK}Powered by: {GOLD}",O5), "")</f>
        <v>{BLACK}Powered by: {GOLD}750V DC</v>
      </c>
      <c r="O5" s="38" t="s">
        <v>588</v>
      </c>
    </row>
    <row r="6" customFormat="false" ht="13.8" hidden="false" customHeight="false" outlineLevel="0" collapsed="false">
      <c r="A6" s="38" t="n">
        <v>6</v>
      </c>
      <c r="B6" s="38" t="s">
        <v>589</v>
      </c>
      <c r="C6" s="38" t="s">
        <v>589</v>
      </c>
      <c r="I6" s="38" t="s">
        <v>331</v>
      </c>
      <c r="J6" s="38" t="n">
        <v>0.85</v>
      </c>
      <c r="K6" s="38" t="n">
        <v>2.4</v>
      </c>
      <c r="M6" s="38" t="s">
        <v>590</v>
      </c>
      <c r="N6" s="38" t="str">
        <f aca="false">IF(O6&lt;&gt;"", _xlfn.CONCAT("{BLACK}Powered by: {GOLD}",O6), "")</f>
        <v/>
      </c>
    </row>
    <row r="7" customFormat="false" ht="13.8" hidden="false" customHeight="false" outlineLevel="0" collapsed="false">
      <c r="A7" s="38" t="n">
        <v>7</v>
      </c>
      <c r="B7" s="38" t="s">
        <v>591</v>
      </c>
      <c r="C7" s="38" t="s">
        <v>591</v>
      </c>
      <c r="I7" s="38" t="s">
        <v>495</v>
      </c>
      <c r="J7" s="38" t="n">
        <v>1.2</v>
      </c>
      <c r="K7" s="38" t="n">
        <v>0.6</v>
      </c>
      <c r="M7" s="38" t="s">
        <v>592</v>
      </c>
      <c r="N7" s="38" t="str">
        <f aca="false">IF(O7&lt;&gt;"", _xlfn.CONCAT("{BLACK}Powered by: {GOLD}",O7), "")</f>
        <v/>
      </c>
    </row>
    <row r="8" customFormat="false" ht="13.8" hidden="false" customHeight="false" outlineLevel="0" collapsed="false">
      <c r="A8" s="38" t="n">
        <v>8</v>
      </c>
      <c r="B8" s="38" t="s">
        <v>593</v>
      </c>
      <c r="C8" s="38" t="s">
        <v>593</v>
      </c>
      <c r="I8" s="38" t="s">
        <v>490</v>
      </c>
      <c r="J8" s="38" t="n">
        <v>1.5</v>
      </c>
      <c r="K8" s="38" t="n">
        <v>0.7</v>
      </c>
      <c r="M8" s="38" t="s">
        <v>594</v>
      </c>
      <c r="N8" s="38" t="str">
        <f aca="false">IF(O8&lt;&gt;"", _xlfn.CONCAT("{BLACK}Powered by: {GOLD}",O8), "")</f>
        <v/>
      </c>
    </row>
    <row r="9" customFormat="false" ht="13.8" hidden="false" customHeight="false" outlineLevel="0" collapsed="false">
      <c r="A9" s="38" t="n">
        <v>9</v>
      </c>
      <c r="B9" s="38" t="s">
        <v>595</v>
      </c>
      <c r="C9" s="38" t="s">
        <v>595</v>
      </c>
      <c r="I9" s="38" t="s">
        <v>443</v>
      </c>
      <c r="J9" s="38" t="n">
        <v>1</v>
      </c>
      <c r="K9" s="38" t="n">
        <v>0.45</v>
      </c>
      <c r="M9" s="38" t="s">
        <v>596</v>
      </c>
      <c r="N9" s="38" t="str">
        <f aca="false">IF(O9&lt;&gt;"", _xlfn.CONCAT("{BLACK}Powered by: {GOLD}",O9), "")</f>
        <v/>
      </c>
    </row>
    <row r="10" customFormat="false" ht="13.8" hidden="false" customHeight="false" outlineLevel="0" collapsed="false">
      <c r="A10" s="38" t="n">
        <v>10</v>
      </c>
      <c r="B10" s="38" t="s">
        <v>597</v>
      </c>
      <c r="C10" s="38" t="s">
        <v>597</v>
      </c>
      <c r="I10" s="38" t="s">
        <v>461</v>
      </c>
      <c r="J10" s="38" t="n">
        <v>1</v>
      </c>
      <c r="K10" s="38" t="n">
        <v>0.4</v>
      </c>
      <c r="M10" s="38" t="s">
        <v>598</v>
      </c>
      <c r="N10" s="38" t="str">
        <f aca="false">IF(O10&lt;&gt;"", _xlfn.CONCAT("{BLACK}Powered by: {GOLD}",O10), "")</f>
        <v>{BLACK}Powered by: {GOLD}Steam</v>
      </c>
      <c r="O10" s="38" t="s">
        <v>581</v>
      </c>
    </row>
    <row r="11" customFormat="false" ht="13.8" hidden="false" customHeight="false" outlineLevel="0" collapsed="false">
      <c r="A11" s="38" t="n">
        <v>11</v>
      </c>
      <c r="B11" s="38" t="s">
        <v>599</v>
      </c>
      <c r="C11" s="38" t="s">
        <v>599</v>
      </c>
      <c r="I11" s="38" t="s">
        <v>600</v>
      </c>
      <c r="J11" s="38" t="n">
        <v>0.9</v>
      </c>
      <c r="K11" s="38" t="n">
        <v>1.6</v>
      </c>
      <c r="M11" s="38" t="s">
        <v>601</v>
      </c>
      <c r="N11" s="38" t="str">
        <f aca="false">IF(O11&lt;&gt;"", _xlfn.CONCAT("{BLACK}Powered by: {GOLD}",O11), "")</f>
        <v>{BLACK}Powered by: {GOLD}750V DC / Diesel</v>
      </c>
      <c r="O11" s="38" t="s">
        <v>602</v>
      </c>
    </row>
    <row r="12" customFormat="false" ht="13.8" hidden="false" customHeight="false" outlineLevel="0" collapsed="false">
      <c r="A12" s="38" t="n">
        <v>12</v>
      </c>
      <c r="B12" s="38" t="s">
        <v>603</v>
      </c>
      <c r="C12" s="38" t="s">
        <v>603</v>
      </c>
      <c r="I12" s="38" t="s">
        <v>38</v>
      </c>
      <c r="J12" s="38" t="n">
        <v>0</v>
      </c>
      <c r="K12" s="38" t="n">
        <v>0</v>
      </c>
      <c r="M12" s="38" t="s">
        <v>604</v>
      </c>
      <c r="N12" s="38" t="str">
        <f aca="false">IF(O12&lt;&gt;"", _xlfn.CONCAT("{BLACK}Powered by: {GOLD}",O12), "")</f>
        <v>{BLACK}Powered by: {GOLD}25kV AC / 750V DC</v>
      </c>
      <c r="O12" s="38" t="s">
        <v>605</v>
      </c>
    </row>
    <row r="13" customFormat="false" ht="13.8" hidden="false" customHeight="false" outlineLevel="0" collapsed="false">
      <c r="A13" s="38" t="n">
        <v>13</v>
      </c>
      <c r="B13" s="38" t="s">
        <v>606</v>
      </c>
      <c r="C13" s="38" t="s">
        <v>606</v>
      </c>
      <c r="I13" s="38" t="s">
        <v>607</v>
      </c>
      <c r="J13" s="38" t="n">
        <v>1.05</v>
      </c>
      <c r="K13" s="38" t="n">
        <v>1.9</v>
      </c>
      <c r="M13" s="38" t="s">
        <v>608</v>
      </c>
      <c r="N13" s="38" t="str">
        <f aca="false">IF(O13&lt;&gt;"", _xlfn.CONCAT("{BLACK}Powered by: {GOLD}",O13), "")</f>
        <v/>
      </c>
    </row>
    <row r="14" customFormat="false" ht="13.8" hidden="false" customHeight="false" outlineLevel="0" collapsed="false">
      <c r="A14" s="38" t="n">
        <v>14</v>
      </c>
      <c r="B14" s="38" t="s">
        <v>609</v>
      </c>
      <c r="C14" s="38" t="s">
        <v>609</v>
      </c>
      <c r="I14" s="38" t="s">
        <v>610</v>
      </c>
      <c r="J14" s="38" t="n">
        <v>0.98</v>
      </c>
      <c r="K14" s="38" t="n">
        <v>1.88</v>
      </c>
      <c r="M14" s="38" t="s">
        <v>611</v>
      </c>
      <c r="N14" s="38" t="str">
        <f aca="false">IF(O14&lt;&gt;"", _xlfn.CONCAT("{BLACK}Powered by: {GOLD}",O14), "")</f>
        <v/>
      </c>
    </row>
    <row r="15" customFormat="false" ht="13.8" hidden="false" customHeight="false" outlineLevel="0" collapsed="false">
      <c r="A15" s="38" t="n">
        <v>15</v>
      </c>
      <c r="B15" s="38" t="s">
        <v>612</v>
      </c>
      <c r="C15" s="38" t="s">
        <v>612</v>
      </c>
      <c r="I15" s="38" t="s">
        <v>613</v>
      </c>
      <c r="J15" s="38" t="n">
        <v>0.5</v>
      </c>
      <c r="K15" s="38" t="n">
        <v>0.5</v>
      </c>
      <c r="M15" s="38" t="s">
        <v>614</v>
      </c>
      <c r="N15" s="38" t="str">
        <f aca="false">IF(O15&lt;&gt;"", _xlfn.CONCAT("{BLACK}Powered by: {GOLD}",O15), "")</f>
        <v/>
      </c>
    </row>
    <row r="16" customFormat="false" ht="13.8" hidden="false" customHeight="false" outlineLevel="0" collapsed="false">
      <c r="A16" s="38" t="n">
        <v>16</v>
      </c>
      <c r="B16" s="38" t="s">
        <v>615</v>
      </c>
      <c r="C16" s="38" t="s">
        <v>615</v>
      </c>
      <c r="I16" s="38" t="s">
        <v>277</v>
      </c>
      <c r="J16" s="38" t="n">
        <v>0.85</v>
      </c>
      <c r="K16" s="38" t="n">
        <v>2.3</v>
      </c>
      <c r="M16" s="38" t="s">
        <v>616</v>
      </c>
      <c r="N16" s="38" t="str">
        <f aca="false">IF(O16&lt;&gt;"", _xlfn.CONCAT("{BLACK}Powered by: {GOLD}",O16), "")</f>
        <v>{BLACK}Powered by: {GOLD}Petrol</v>
      </c>
      <c r="O16" s="38" t="s">
        <v>617</v>
      </c>
    </row>
    <row r="17" customFormat="false" ht="13.8" hidden="false" customHeight="false" outlineLevel="0" collapsed="false">
      <c r="I17" s="38" t="s">
        <v>618</v>
      </c>
      <c r="J17" s="38" t="n">
        <v>1</v>
      </c>
      <c r="K17" s="38" t="n">
        <v>2</v>
      </c>
      <c r="M17" s="38" t="s">
        <v>619</v>
      </c>
      <c r="N17" s="38" t="str">
        <f aca="false">IF(O17&lt;&gt;"", _xlfn.CONCAT("{BLACK}Powered by: {GOLD}",O17), "")</f>
        <v>{BLACK}Powered by: {GOLD}25kV AC / Diesel</v>
      </c>
      <c r="O17" s="38" t="s">
        <v>620</v>
      </c>
    </row>
    <row r="18" customFormat="false" ht="13.8" hidden="false" customHeight="false" outlineLevel="0" collapsed="false">
      <c r="I18" s="38" t="s">
        <v>621</v>
      </c>
      <c r="J18" s="38" t="n">
        <v>0.8</v>
      </c>
      <c r="K18" s="38" t="n">
        <v>2.3</v>
      </c>
      <c r="M18" s="38" t="s">
        <v>622</v>
      </c>
      <c r="N18" s="38" t="str">
        <f aca="false">IF(O18&lt;&gt;"", _xlfn.CONCAT("{BLACK}Powered by: {GOLD}",O18), "")</f>
        <v>{BLACK}Powered by: {GOLD}LPG / Flywheel</v>
      </c>
      <c r="O18" s="38" t="s">
        <v>623</v>
      </c>
    </row>
    <row r="19" customFormat="false" ht="13.8" hidden="false" customHeight="false" outlineLevel="0" collapsed="false">
      <c r="I19" s="38" t="s">
        <v>527</v>
      </c>
      <c r="J19" s="38" t="n">
        <v>1</v>
      </c>
      <c r="K19" s="38" t="n">
        <v>2</v>
      </c>
      <c r="M19" s="38" t="s">
        <v>624</v>
      </c>
      <c r="N19" s="38" t="str">
        <f aca="false">IF(O19&lt;&gt;"", _xlfn.CONCAT("{BLACK}Powered by: {GOLD}",O19), "")</f>
        <v/>
      </c>
    </row>
    <row r="20" customFormat="false" ht="13.8" hidden="false" customHeight="false" outlineLevel="0" collapsed="false">
      <c r="M20" s="38" t="s">
        <v>625</v>
      </c>
      <c r="N20" s="38" t="str">
        <f aca="false">IF(O20&lt;&gt;"", _xlfn.CONCAT("{BLACK}Powered by: {GOLD}",O20), "")</f>
        <v>{BLACK}Powered by: {GOLD}Steam</v>
      </c>
      <c r="O20" s="38" t="s">
        <v>581</v>
      </c>
    </row>
    <row r="21" customFormat="false" ht="13.8" hidden="false" customHeight="false" outlineLevel="0" collapsed="false">
      <c r="M21" s="38" t="s">
        <v>626</v>
      </c>
      <c r="N21" s="38" t="str">
        <f aca="false">IF(O21&lt;&gt;"", _xlfn.CONCAT("{BLACK}Powered by: {GOLD}",O21), "")</f>
        <v/>
      </c>
    </row>
    <row r="22" customFormat="false" ht="13.8" hidden="false" customHeight="false" outlineLevel="0" collapsed="false">
      <c r="M22" s="38" t="s">
        <v>627</v>
      </c>
      <c r="N22" s="38" t="str">
        <f aca="false">IF(O22&lt;&gt;"", _xlfn.CONCAT("{BLACK}Powered by: {GOLD}",O22), "")</f>
        <v>{BLACK}Powered by: {GOLD}Grass and hay</v>
      </c>
      <c r="O22" s="38" t="s">
        <v>628</v>
      </c>
    </row>
    <row r="23" customFormat="false" ht="13.8" hidden="false" customHeight="false" outlineLevel="0" collapsed="false">
      <c r="M23" s="38" t="s">
        <v>629</v>
      </c>
      <c r="N23" s="38" t="str">
        <f aca="false">IF(O23&lt;&gt;"", _xlfn.CONCAT("{BLACK}Powered by: {GOLD}",O23), "")</f>
        <v>{BLACK}Powered by: {GOLD}630V DC</v>
      </c>
      <c r="O23" s="38" t="s">
        <v>630</v>
      </c>
    </row>
    <row r="24" customFormat="false" ht="13.8" hidden="false" customHeight="false" outlineLevel="0" collapsed="false">
      <c r="M24" s="38" t="s">
        <v>631</v>
      </c>
      <c r="N24" s="38" t="str">
        <f aca="false">IF(O24&lt;&gt;"", _xlfn.CONCAT("{BLACK}Powered by: {GOLD}",O24), "")</f>
        <v/>
      </c>
    </row>
    <row r="25" customFormat="false" ht="13.8" hidden="false" customHeight="false" outlineLevel="0" collapsed="false">
      <c r="M25" s="38" t="s">
        <v>632</v>
      </c>
      <c r="N25" s="38" t="str">
        <f aca="false">IF(O25&lt;&gt;"", _xlfn.CONCAT("{BLACK}Powered by: {GOLD}",O25), "")</f>
        <v/>
      </c>
    </row>
    <row r="26" customFormat="false" ht="13.8" hidden="false" customHeight="false" outlineLevel="0" collapsed="false">
      <c r="M26" s="38" t="s">
        <v>633</v>
      </c>
      <c r="N26" s="38" t="str">
        <f aca="false">IF(O26&lt;&gt;"", _xlfn.CONCAT("{BLACK}Powered by: {GOLD}",O26), "")</f>
        <v>{BLACK}Powered by: {GOLD}Grass and hay</v>
      </c>
      <c r="O26" s="38" t="s">
        <v>628</v>
      </c>
    </row>
    <row r="27" customFormat="false" ht="13.8" hidden="false" customHeight="false" outlineLevel="0" collapsed="false">
      <c r="M27" s="38" t="s">
        <v>634</v>
      </c>
      <c r="N27" s="38" t="str">
        <f aca="false">IF(O27&lt;&gt;"", _xlfn.CONCAT("{BLACK}Powered by: {GOLD}",O27), "")</f>
        <v/>
      </c>
    </row>
    <row r="28" customFormat="false" ht="13.8" hidden="false" customHeight="false" outlineLevel="0" collapsed="false">
      <c r="M28" s="38" t="s">
        <v>635</v>
      </c>
      <c r="N28" s="38" t="str">
        <f aca="false">IF(O28&lt;&gt;"", _xlfn.CONCAT("{BLACK}Powered by: {GOLD}",O28), "")</f>
        <v>{BLACK}Powered by: {GOLD}Diesel</v>
      </c>
      <c r="O28" s="38" t="s">
        <v>579</v>
      </c>
    </row>
    <row r="29" customFormat="false" ht="13.8" hidden="false" customHeight="false" outlineLevel="0" collapsed="false">
      <c r="M29" s="38" t="s">
        <v>636</v>
      </c>
      <c r="N29" s="38" t="str">
        <f aca="false">IF(O29&lt;&gt;"", _xlfn.CONCAT("{BLACK}Powered by: {GOLD}",O29), "")</f>
        <v/>
      </c>
      <c r="O29" s="38" t="str">
        <f aca="false">IF(P29&lt;&gt;"", _xlfn.CONCAT("{BLACK}Powered by: {GOLD}",P29), "")</f>
        <v/>
      </c>
    </row>
    <row r="30" customFormat="false" ht="13.8" hidden="false" customHeight="false" outlineLevel="0" collapsed="false">
      <c r="M30" s="38" t="s">
        <v>637</v>
      </c>
      <c r="N30" s="38" t="str">
        <f aca="false">IF(O30&lt;&gt;"", _xlfn.CONCAT("{BLACK}Powered by: {GOLD}",O30), "")</f>
        <v>{BLACK}Powered by: {GOLD}Gas Turbine</v>
      </c>
      <c r="O30" s="38" t="s">
        <v>638</v>
      </c>
    </row>
    <row r="31" customFormat="false" ht="13.8" hidden="false" customHeight="false" outlineLevel="0" collapsed="false">
      <c r="M31" s="38" t="s">
        <v>639</v>
      </c>
      <c r="N31" s="38" t="str">
        <f aca="false">IF(O31&lt;&gt;"", _xlfn.CONCAT("{BLACK}Powered by: {GOLD}",O31), "")</f>
        <v>{BLACK}Powered by: {GOLD}Petrol</v>
      </c>
      <c r="O31" s="38" t="s">
        <v>617</v>
      </c>
    </row>
    <row r="32" customFormat="false" ht="13.8" hidden="false" customHeight="false" outlineLevel="0" collapsed="false">
      <c r="M32" s="38" t="s">
        <v>640</v>
      </c>
      <c r="N32" s="38" t="str">
        <f aca="false">IF(O32&lt;&gt;"", _xlfn.CONCAT("{BLACK}Powered by: {GOLD}",O32), "")</f>
        <v/>
      </c>
    </row>
    <row r="33" customFormat="false" ht="13.8" hidden="false" customHeight="false" outlineLevel="0" collapsed="false">
      <c r="M33" s="38" t="s">
        <v>641</v>
      </c>
      <c r="N33" s="38" t="str">
        <f aca="false">IF(O33&lt;&gt;"", _xlfn.CONCAT("{BLACK}Powered by: {GOLD}",O33), "")</f>
        <v>{BLACK}Powered by: {GOLD}750V DC / Battery</v>
      </c>
      <c r="O33" s="38" t="s">
        <v>642</v>
      </c>
    </row>
    <row r="34" customFormat="false" ht="15" hidden="false" customHeight="true" outlineLevel="0" collapsed="false">
      <c r="M34" s="38" t="s">
        <v>643</v>
      </c>
      <c r="N34" s="38" t="str">
        <f aca="false">IF(O34&lt;&gt;"", _xlfn.CONCAT("{BLACK}Powered by: {GOLD}",O34), "")</f>
        <v>{BLACK}Powered by: {GOLD}25kV AC</v>
      </c>
      <c r="O34" s="38" t="s">
        <v>585</v>
      </c>
    </row>
    <row r="35" customFormat="false" ht="15" hidden="false" customHeight="true" outlineLevel="0" collapsed="false">
      <c r="M35" s="38" t="s">
        <v>644</v>
      </c>
      <c r="N35" s="38" t="str">
        <f aca="false">IF(O35&lt;&gt;"", _xlfn.CONCAT("{BLACK}Powered by: {GOLD}",O35), "")</f>
        <v>{BLACK}Powered by: {GOLD}Diesel</v>
      </c>
      <c r="O35" s="38" t="s">
        <v>579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8" width="10.71"/>
    <col collapsed="false" customWidth="true" hidden="false" outlineLevel="0" max="4" min="3" style="38" width="21.43"/>
  </cols>
  <sheetData>
    <row r="1" customFormat="false" ht="13.8" hidden="false" customHeight="false" outlineLevel="0" collapsed="false">
      <c r="A1" s="39" t="s">
        <v>645</v>
      </c>
      <c r="B1" s="39" t="s">
        <v>646</v>
      </c>
      <c r="C1" s="39" t="s">
        <v>647</v>
      </c>
      <c r="D1" s="39" t="s">
        <v>648</v>
      </c>
    </row>
    <row r="2" customFormat="false" ht="13.8" hidden="false" customHeight="false" outlineLevel="0" collapsed="false">
      <c r="A2" s="38" t="n">
        <v>0</v>
      </c>
      <c r="B2" s="38" t="n">
        <f aca="false">IF(D2,D2,C2)</f>
        <v>0</v>
      </c>
      <c r="C2" s="38" t="n">
        <f aca="false">INT(A2*(256/15))</f>
        <v>0</v>
      </c>
      <c r="D2" s="39"/>
    </row>
    <row r="3" customFormat="false" ht="13.8" hidden="false" customHeight="false" outlineLevel="0" collapsed="false">
      <c r="A3" s="38" t="n">
        <v>1</v>
      </c>
      <c r="B3" s="38" t="n">
        <f aca="false">IF(D3,D3,C3)</f>
        <v>17</v>
      </c>
      <c r="C3" s="38" t="n">
        <f aca="false">INT(A3*(256/15))</f>
        <v>17</v>
      </c>
    </row>
    <row r="4" customFormat="false" ht="13.8" hidden="false" customHeight="false" outlineLevel="0" collapsed="false">
      <c r="A4" s="38" t="n">
        <v>2</v>
      </c>
      <c r="B4" s="38" t="n">
        <f aca="false">IF(D4,D4,C4)</f>
        <v>34</v>
      </c>
      <c r="C4" s="38" t="n">
        <f aca="false">INT(A4*(256/15))</f>
        <v>34</v>
      </c>
    </row>
    <row r="5" customFormat="false" ht="13.8" hidden="false" customHeight="false" outlineLevel="0" collapsed="false">
      <c r="A5" s="38" t="n">
        <v>3</v>
      </c>
      <c r="B5" s="38" t="n">
        <f aca="false">IF(D5,D5,C5)</f>
        <v>51</v>
      </c>
      <c r="C5" s="38" t="n">
        <f aca="false">INT(A5*(256/15))</f>
        <v>51</v>
      </c>
    </row>
    <row r="6" customFormat="false" ht="13.8" hidden="false" customHeight="false" outlineLevel="0" collapsed="false">
      <c r="A6" s="38" t="n">
        <v>4</v>
      </c>
      <c r="B6" s="38" t="n">
        <f aca="false">IF(D6,D6,C6)</f>
        <v>66</v>
      </c>
      <c r="C6" s="38" t="n">
        <f aca="false">INT(A6*(256/15))</f>
        <v>68</v>
      </c>
      <c r="D6" s="38" t="n">
        <v>66</v>
      </c>
    </row>
    <row r="7" customFormat="false" ht="13.8" hidden="false" customHeight="false" outlineLevel="0" collapsed="false">
      <c r="A7" s="38" t="n">
        <v>5</v>
      </c>
      <c r="B7" s="38" t="n">
        <f aca="false">IF(D7,D7,C7)</f>
        <v>82</v>
      </c>
      <c r="C7" s="38" t="n">
        <f aca="false">INT(A7*(256/15))</f>
        <v>85</v>
      </c>
      <c r="D7" s="38" t="n">
        <v>82</v>
      </c>
    </row>
    <row r="8" customFormat="false" ht="13.8" hidden="false" customHeight="false" outlineLevel="0" collapsed="false">
      <c r="A8" s="38" t="n">
        <v>6</v>
      </c>
      <c r="B8" s="38" t="n">
        <f aca="false">IF(D8,D8,C8)</f>
        <v>102</v>
      </c>
      <c r="C8" s="38" t="n">
        <f aca="false">INT(A8*(256/15))</f>
        <v>102</v>
      </c>
      <c r="D8" s="38" t="n">
        <v>102</v>
      </c>
    </row>
    <row r="9" customFormat="false" ht="13.8" hidden="false" customHeight="false" outlineLevel="0" collapsed="false">
      <c r="A9" s="38" t="n">
        <v>7</v>
      </c>
      <c r="B9" s="38" t="n">
        <f aca="false">IF(D9,D9,C9)</f>
        <v>120</v>
      </c>
      <c r="C9" s="38" t="n">
        <f aca="false">INT(A9*(256/15))</f>
        <v>119</v>
      </c>
      <c r="D9" s="38" t="n">
        <v>120</v>
      </c>
    </row>
    <row r="10" customFormat="false" ht="13.8" hidden="false" customHeight="false" outlineLevel="0" collapsed="false">
      <c r="A10" s="38" t="n">
        <v>8</v>
      </c>
      <c r="B10" s="38" t="n">
        <f aca="false">IF(D10,D10,C10)</f>
        <v>136</v>
      </c>
      <c r="C10" s="38" t="n">
        <f aca="false">INT(A10*(256/15))</f>
        <v>136</v>
      </c>
      <c r="D10" s="38" t="n">
        <v>136</v>
      </c>
    </row>
    <row r="11" customFormat="false" ht="13.8" hidden="false" customHeight="false" outlineLevel="0" collapsed="false">
      <c r="A11" s="38" t="n">
        <v>9</v>
      </c>
      <c r="B11" s="38" t="n">
        <f aca="false">IF(D11,D11,C11)</f>
        <v>152</v>
      </c>
      <c r="C11" s="38" t="n">
        <f aca="false">INT(A11*(256/15))</f>
        <v>153</v>
      </c>
      <c r="D11" s="38" t="n">
        <v>152</v>
      </c>
    </row>
    <row r="12" customFormat="false" ht="13.8" hidden="false" customHeight="false" outlineLevel="0" collapsed="false">
      <c r="A12" s="38" t="n">
        <v>10</v>
      </c>
      <c r="B12" s="38" t="n">
        <f aca="false">IF(D12,D12,C12)</f>
        <v>164</v>
      </c>
      <c r="C12" s="38" t="n">
        <f aca="false">INT(A12*(256/15))</f>
        <v>170</v>
      </c>
      <c r="D12" s="38" t="n">
        <v>164</v>
      </c>
    </row>
    <row r="13" customFormat="false" ht="13.8" hidden="false" customHeight="false" outlineLevel="0" collapsed="false">
      <c r="A13" s="38" t="n">
        <v>11</v>
      </c>
      <c r="B13" s="38" t="n">
        <f aca="false">IF(D13,D13,C13)</f>
        <v>186</v>
      </c>
      <c r="C13" s="38" t="n">
        <f aca="false">INT(A13*(256/15))</f>
        <v>187</v>
      </c>
      <c r="D13" s="38" t="n">
        <v>186</v>
      </c>
    </row>
    <row r="14" customFormat="false" ht="13.8" hidden="false" customHeight="false" outlineLevel="0" collapsed="false">
      <c r="A14" s="38" t="n">
        <v>12</v>
      </c>
      <c r="B14" s="38" t="n">
        <f aca="false">IF(D14,D14,C14)</f>
        <v>198</v>
      </c>
      <c r="C14" s="38" t="n">
        <f aca="false">INT(A14*(256/15))</f>
        <v>204</v>
      </c>
      <c r="D14" s="38" t="n">
        <v>198</v>
      </c>
    </row>
    <row r="15" customFormat="false" ht="13.8" hidden="false" customHeight="false" outlineLevel="0" collapsed="false">
      <c r="A15" s="38" t="n">
        <v>13</v>
      </c>
      <c r="B15" s="38" t="n">
        <v>214</v>
      </c>
      <c r="C15" s="38" t="n">
        <f aca="false">INT(A15*(256/15))</f>
        <v>221</v>
      </c>
    </row>
    <row r="16" customFormat="false" ht="13.8" hidden="false" customHeight="false" outlineLevel="0" collapsed="false">
      <c r="A16" s="38" t="n">
        <v>14</v>
      </c>
      <c r="B16" s="38" t="n">
        <f aca="false">IF(D16,D16,C16)</f>
        <v>238</v>
      </c>
      <c r="C16" s="38" t="n">
        <f aca="false">INT(A16*(256/15))</f>
        <v>238</v>
      </c>
    </row>
    <row r="17" customFormat="false" ht="13.8" hidden="false" customHeight="false" outlineLevel="0" collapsed="false">
      <c r="A17" s="38" t="n">
        <v>15</v>
      </c>
      <c r="B17" s="38" t="n">
        <f aca="false">IF(D17,D17,C17)</f>
        <v>256</v>
      </c>
      <c r="C17" s="38" t="n">
        <f aca="false">INT(A17*(256/15))</f>
        <v>256</v>
      </c>
    </row>
    <row r="18" customFormat="false" ht="13.8" hidden="false" customHeight="false" outlineLevel="0" collapsed="false">
      <c r="A18" s="38" t="n">
        <v>16</v>
      </c>
      <c r="B18" s="38" t="n">
        <f aca="false">IF(D18,D18,C18)</f>
        <v>273</v>
      </c>
      <c r="C18" s="38"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L102" activeCellId="0" sqref="L102"/>
    </sheetView>
  </sheetViews>
  <sheetFormatPr defaultColWidth="8.60546875" defaultRowHeight="15" customHeight="true" zeroHeight="false" outlineLevelRow="0" outlineLevelCol="0"/>
  <cols>
    <col collapsed="false" customWidth="true" hidden="false" outlineLevel="0" max="1" min="1" style="38" width="11.43"/>
    <col collapsed="false" customWidth="true" hidden="false" outlineLevel="0" max="2" min="2" style="38" width="29.86"/>
    <col collapsed="false" customWidth="true" hidden="false" outlineLevel="0" max="7" min="3" style="38" width="25.85"/>
    <col collapsed="false" customWidth="true" hidden="false" outlineLevel="0" max="9" min="8" style="38" width="26.81"/>
    <col collapsed="false" customWidth="true" hidden="false" outlineLevel="0" max="10" min="10" style="38" width="16.33"/>
    <col collapsed="false" customWidth="true" hidden="false" outlineLevel="0" max="11" min="11" style="38" width="16.18"/>
    <col collapsed="false" customWidth="true" hidden="false" outlineLevel="0" max="12" min="12" style="38" width="19.79"/>
    <col collapsed="false" customWidth="true" hidden="false" outlineLevel="0" max="14" min="13" style="38" width="16.65"/>
    <col collapsed="false" customWidth="true" hidden="false" outlineLevel="0" max="15" min="15" style="38" width="16.33"/>
    <col collapsed="false" customWidth="true" hidden="false" outlineLevel="0" max="16" min="16" style="38" width="18.37"/>
    <col collapsed="false" customWidth="true" hidden="false" outlineLevel="0" max="17" min="17" style="38" width="18.21"/>
  </cols>
  <sheetData>
    <row r="1" customFormat="false" ht="13.8" hidden="false" customHeight="false" outlineLevel="0" collapsed="false">
      <c r="B1" s="38" t="n">
        <v>1</v>
      </c>
      <c r="C1" s="38" t="n">
        <v>2</v>
      </c>
      <c r="D1" s="38" t="n">
        <v>3</v>
      </c>
      <c r="E1" s="38" t="n">
        <v>4</v>
      </c>
      <c r="F1" s="38" t="n">
        <v>5</v>
      </c>
      <c r="G1" s="38" t="n">
        <v>6</v>
      </c>
      <c r="H1" s="38" t="n">
        <v>7</v>
      </c>
      <c r="I1" s="38" t="n">
        <v>8</v>
      </c>
      <c r="J1" s="38" t="n">
        <v>9</v>
      </c>
      <c r="K1" s="38" t="n">
        <v>10</v>
      </c>
      <c r="L1" s="38" t="n">
        <v>11</v>
      </c>
      <c r="M1" s="38" t="n">
        <v>12</v>
      </c>
      <c r="N1" s="38" t="n">
        <v>13</v>
      </c>
      <c r="O1" s="38" t="n">
        <v>14</v>
      </c>
      <c r="P1" s="38" t="n">
        <v>15</v>
      </c>
      <c r="Q1" s="38" t="n">
        <v>16</v>
      </c>
      <c r="R1" s="38" t="n">
        <v>17</v>
      </c>
      <c r="S1" s="38" t="n">
        <v>18</v>
      </c>
      <c r="T1" s="38" t="n">
        <v>19</v>
      </c>
      <c r="U1" s="38" t="n">
        <v>20</v>
      </c>
    </row>
    <row r="2" customFormat="false" ht="13.8" hidden="false" customHeight="false" outlineLevel="0" collapsed="false">
      <c r="B2" s="38" t="s">
        <v>649</v>
      </c>
    </row>
    <row r="3" customFormat="false" ht="13.8" hidden="false" customHeight="false" outlineLevel="0" collapsed="false">
      <c r="A3" s="38" t="s">
        <v>650</v>
      </c>
      <c r="B3" s="38" t="s">
        <v>280</v>
      </c>
      <c r="C3" s="38" t="s">
        <v>651</v>
      </c>
      <c r="D3" s="38" t="s">
        <v>651</v>
      </c>
      <c r="E3" s="38" t="s">
        <v>651</v>
      </c>
      <c r="F3" s="38" t="s">
        <v>651</v>
      </c>
      <c r="G3" s="38" t="s">
        <v>652</v>
      </c>
      <c r="H3" s="38" t="s">
        <v>653</v>
      </c>
      <c r="I3" s="38" t="s">
        <v>653</v>
      </c>
      <c r="J3" s="38" t="s">
        <v>311</v>
      </c>
      <c r="K3" s="38" t="s">
        <v>651</v>
      </c>
      <c r="L3" s="38" t="s">
        <v>651</v>
      </c>
      <c r="M3" s="38" t="s">
        <v>651</v>
      </c>
      <c r="N3" s="38" t="s">
        <v>651</v>
      </c>
      <c r="O3" s="38" t="s">
        <v>654</v>
      </c>
    </row>
    <row r="4" customFormat="false" ht="13.8" hidden="false" customHeight="false" outlineLevel="0" collapsed="false">
      <c r="A4" s="38" t="s">
        <v>655</v>
      </c>
      <c r="B4" s="38" t="n">
        <v>1</v>
      </c>
      <c r="C4" s="38" t="n">
        <v>1</v>
      </c>
      <c r="D4" s="38" t="n">
        <v>0</v>
      </c>
      <c r="E4" s="38" t="n">
        <v>0</v>
      </c>
      <c r="F4" s="38" t="n">
        <v>0</v>
      </c>
      <c r="G4" s="38" t="n">
        <v>1</v>
      </c>
      <c r="H4" s="38" t="n">
        <v>1</v>
      </c>
      <c r="I4" s="38" t="n">
        <v>0</v>
      </c>
      <c r="J4" s="38" t="n">
        <v>1</v>
      </c>
      <c r="K4" s="38" t="n">
        <v>0</v>
      </c>
      <c r="L4" s="38" t="n">
        <v>0</v>
      </c>
      <c r="M4" s="38" t="n">
        <v>0</v>
      </c>
      <c r="N4" s="38" t="n">
        <v>0</v>
      </c>
      <c r="O4" s="38" t="n">
        <v>1</v>
      </c>
    </row>
    <row r="6" customFormat="false" ht="14.25" hidden="false" customHeight="true" outlineLevel="0" collapsed="false">
      <c r="B6" s="38" t="s">
        <v>656</v>
      </c>
    </row>
    <row r="7" customFormat="false" ht="13.8" hidden="false" customHeight="false" outlineLevel="0" collapsed="false">
      <c r="A7" s="38" t="s">
        <v>650</v>
      </c>
      <c r="B7" s="38" t="s">
        <v>342</v>
      </c>
      <c r="C7" s="38" t="s">
        <v>657</v>
      </c>
      <c r="D7" s="38" t="s">
        <v>658</v>
      </c>
      <c r="E7" s="38" t="s">
        <v>658</v>
      </c>
      <c r="F7" s="38" t="s">
        <v>658</v>
      </c>
      <c r="G7" s="38" t="s">
        <v>658</v>
      </c>
      <c r="H7" s="38" t="s">
        <v>659</v>
      </c>
      <c r="I7" s="38" t="s">
        <v>658</v>
      </c>
      <c r="J7" s="38" t="s">
        <v>658</v>
      </c>
      <c r="K7" s="38" t="s">
        <v>660</v>
      </c>
      <c r="L7" s="38" t="s">
        <v>661</v>
      </c>
      <c r="M7" s="38" t="s">
        <v>662</v>
      </c>
      <c r="N7" s="38" t="s">
        <v>662</v>
      </c>
      <c r="O7" s="38" t="s">
        <v>663</v>
      </c>
      <c r="P7" s="38" t="s">
        <v>662</v>
      </c>
      <c r="Q7" s="38" t="s">
        <v>662</v>
      </c>
      <c r="R7" s="38" t="s">
        <v>662</v>
      </c>
      <c r="S7" s="38" t="s">
        <v>662</v>
      </c>
      <c r="T7" s="38" t="s">
        <v>664</v>
      </c>
      <c r="U7" s="38" t="s">
        <v>347</v>
      </c>
    </row>
    <row r="8" customFormat="false" ht="13.8" hidden="false" customHeight="false" outlineLevel="0" collapsed="false">
      <c r="A8" s="38" t="s">
        <v>655</v>
      </c>
      <c r="B8" s="38" t="n">
        <v>1</v>
      </c>
      <c r="C8" s="38" t="n">
        <v>1</v>
      </c>
      <c r="D8" s="38" t="n">
        <v>1</v>
      </c>
      <c r="E8" s="38" t="n">
        <v>0</v>
      </c>
      <c r="F8" s="38" t="n">
        <v>0</v>
      </c>
      <c r="G8" s="38" t="n">
        <v>0</v>
      </c>
      <c r="H8" s="38" t="n">
        <v>1</v>
      </c>
      <c r="I8" s="38" t="n">
        <v>0</v>
      </c>
      <c r="J8" s="38" t="n">
        <v>0</v>
      </c>
      <c r="K8" s="38" t="n">
        <v>1</v>
      </c>
      <c r="L8" s="38" t="n">
        <v>1</v>
      </c>
      <c r="M8" s="38" t="n">
        <v>1</v>
      </c>
      <c r="N8" s="38" t="n">
        <v>0</v>
      </c>
      <c r="O8" s="38" t="n">
        <v>1</v>
      </c>
      <c r="P8" s="38" t="n">
        <v>0</v>
      </c>
      <c r="Q8" s="38" t="n">
        <v>0</v>
      </c>
      <c r="R8" s="38" t="n">
        <v>0</v>
      </c>
      <c r="S8" s="38" t="n">
        <v>0</v>
      </c>
      <c r="T8" s="38" t="n">
        <v>1</v>
      </c>
      <c r="U8" s="38" t="n">
        <v>1</v>
      </c>
    </row>
    <row r="9" customFormat="false" ht="13.8" hidden="false" customHeight="false" outlineLevel="0" collapsed="false">
      <c r="A9" s="38" t="s">
        <v>568</v>
      </c>
      <c r="B9" s="38" t="n">
        <v>22.15</v>
      </c>
      <c r="C9" s="38" t="n">
        <v>21.84</v>
      </c>
      <c r="D9" s="38" t="n">
        <v>18.7</v>
      </c>
      <c r="E9" s="38" t="n">
        <v>18.7</v>
      </c>
      <c r="F9" s="38" t="n">
        <v>18.7</v>
      </c>
      <c r="G9" s="38" t="n">
        <v>18.7</v>
      </c>
      <c r="H9" s="38" t="n">
        <v>18.7</v>
      </c>
      <c r="I9" s="38" t="n">
        <v>18.7</v>
      </c>
      <c r="J9" s="38" t="n">
        <v>18.7</v>
      </c>
      <c r="K9" s="38" t="n">
        <v>21.84</v>
      </c>
      <c r="L9" s="38" t="n">
        <v>21.84</v>
      </c>
      <c r="M9" s="38" t="n">
        <v>18.7</v>
      </c>
      <c r="N9" s="38" t="n">
        <v>18.7</v>
      </c>
      <c r="O9" s="38" t="n">
        <v>18.7</v>
      </c>
      <c r="P9" s="38" t="n">
        <v>18.7</v>
      </c>
      <c r="Q9" s="38" t="n">
        <v>18.7</v>
      </c>
      <c r="R9" s="38" t="n">
        <v>18.7</v>
      </c>
      <c r="S9" s="38" t="n">
        <v>18.7</v>
      </c>
      <c r="T9" s="38" t="n">
        <v>21.84</v>
      </c>
      <c r="U9" s="38" t="n">
        <v>22.15</v>
      </c>
    </row>
    <row r="10" customFormat="false" ht="13.8" hidden="false" customHeight="false" outlineLevel="0" collapsed="false">
      <c r="A10" s="38" t="s">
        <v>665</v>
      </c>
      <c r="B10" s="38" t="n">
        <f aca="false">ROUND(15*((B9*10)/256),0)</f>
        <v>13</v>
      </c>
      <c r="C10" s="38" t="n">
        <f aca="false">ROUND(15*((C9*10)/256),0)</f>
        <v>13</v>
      </c>
      <c r="D10" s="38" t="n">
        <f aca="false">ROUND(15*((D9*10)/256),0)</f>
        <v>11</v>
      </c>
      <c r="E10" s="38" t="n">
        <f aca="false">ROUND(15*((E9*10)/256),0)</f>
        <v>11</v>
      </c>
      <c r="F10" s="38" t="n">
        <f aca="false">ROUND(15*((F9*10)/256),0)</f>
        <v>11</v>
      </c>
      <c r="G10" s="38" t="n">
        <f aca="false">ROUND(15*((G9*10)/256),0)</f>
        <v>11</v>
      </c>
      <c r="H10" s="38" t="n">
        <f aca="false">ROUND(15*((H9*10)/256),0)</f>
        <v>11</v>
      </c>
      <c r="I10" s="38" t="n">
        <f aca="false">ROUND(15*((I9*10)/256),0)</f>
        <v>11</v>
      </c>
      <c r="J10" s="38" t="n">
        <f aca="false">ROUND(15*((J9*10)/256),0)</f>
        <v>11</v>
      </c>
      <c r="K10" s="38" t="n">
        <f aca="false">ROUND(15*((K9*10)/256),0)</f>
        <v>13</v>
      </c>
      <c r="L10" s="38" t="n">
        <f aca="false">ROUND(15*((L9*10)/256),0)</f>
        <v>13</v>
      </c>
      <c r="M10" s="38" t="n">
        <f aca="false">ROUND(15*((M9*10)/256),0)</f>
        <v>11</v>
      </c>
      <c r="N10" s="38" t="n">
        <f aca="false">ROUND(15*((N9*10)/256),0)</f>
        <v>11</v>
      </c>
      <c r="O10" s="38" t="n">
        <f aca="false">ROUND(15*((O9*10)/256),0)</f>
        <v>11</v>
      </c>
      <c r="P10" s="38" t="n">
        <f aca="false">ROUND(15*((P9*10)/256),0)</f>
        <v>11</v>
      </c>
      <c r="Q10" s="38" t="n">
        <f aca="false">ROUND(15*((Q9*10)/256),0)</f>
        <v>11</v>
      </c>
      <c r="R10" s="38" t="n">
        <f aca="false">ROUND(15*((R9*10)/256),0)</f>
        <v>11</v>
      </c>
      <c r="S10" s="38" t="n">
        <f aca="false">ROUND(15*((S9*10)/256),0)</f>
        <v>11</v>
      </c>
      <c r="T10" s="38" t="n">
        <f aca="false">ROUND(15*((T9*10)/256),0)</f>
        <v>13</v>
      </c>
      <c r="U10" s="38" t="n">
        <f aca="false">ROUND(15*((U9*10)/256),0)</f>
        <v>13</v>
      </c>
    </row>
    <row r="11" customFormat="false" ht="13.8" hidden="false" customHeight="false" outlineLevel="0" collapsed="false">
      <c r="A11" s="38" t="s">
        <v>666</v>
      </c>
      <c r="B11" s="38" t="str">
        <f aca="false">VLOOKUP(B10,Constants!$A$1:$B$16,2,FALSE())</f>
        <v>4,5,4</v>
      </c>
      <c r="C11" s="38" t="str">
        <f aca="false">VLOOKUP(C10,Constants!$A$1:$B$16,2,FALSE())</f>
        <v>4,5,4</v>
      </c>
      <c r="D11" s="38" t="str">
        <f aca="false">VLOOKUP(D10,Constants!$A$1:$B$16,2,FALSE())</f>
        <v>4,3,4</v>
      </c>
      <c r="E11" s="38" t="str">
        <f aca="false">VLOOKUP(E10,Constants!$A$1:$B$16,2,FALSE())</f>
        <v>4,3,4</v>
      </c>
      <c r="F11" s="38" t="str">
        <f aca="false">VLOOKUP(F10,Constants!$A$1:$B$16,2,FALSE())</f>
        <v>4,3,4</v>
      </c>
      <c r="G11" s="38" t="str">
        <f aca="false">VLOOKUP(G10,Constants!$A$1:$B$16,2,FALSE())</f>
        <v>4,3,4</v>
      </c>
      <c r="H11" s="38" t="str">
        <f aca="false">VLOOKUP(H10,Constants!$A$1:$B$16,2,FALSE())</f>
        <v>4,3,4</v>
      </c>
      <c r="I11" s="38" t="str">
        <f aca="false">VLOOKUP(I10,Constants!$A$1:$B$16,2,FALSE())</f>
        <v>4,3,4</v>
      </c>
      <c r="J11" s="38" t="str">
        <f aca="false">VLOOKUP(J10,Constants!$A$1:$B$16,2,FALSE())</f>
        <v>4,3,4</v>
      </c>
      <c r="K11" s="38" t="str">
        <f aca="false">VLOOKUP(K10,Constants!$A$1:$B$16,2,FALSE())</f>
        <v>4,5,4</v>
      </c>
      <c r="L11" s="38" t="str">
        <f aca="false">VLOOKUP(L10,Constants!$A$1:$B$16,2,FALSE())</f>
        <v>4,5,4</v>
      </c>
      <c r="M11" s="38" t="str">
        <f aca="false">VLOOKUP(M10,Constants!$A$1:$B$16,2,FALSE())</f>
        <v>4,3,4</v>
      </c>
      <c r="N11" s="38" t="str">
        <f aca="false">VLOOKUP(N10,Constants!$A$1:$B$16,2,FALSE())</f>
        <v>4,3,4</v>
      </c>
      <c r="O11" s="38" t="str">
        <f aca="false">VLOOKUP(O10,Constants!$A$1:$B$16,2,FALSE())</f>
        <v>4,3,4</v>
      </c>
      <c r="P11" s="38" t="str">
        <f aca="false">VLOOKUP(P10,Constants!$A$1:$B$16,2,FALSE())</f>
        <v>4,3,4</v>
      </c>
      <c r="Q11" s="38" t="str">
        <f aca="false">VLOOKUP(Q10,Constants!$A$1:$B$16,2,FALSE())</f>
        <v>4,3,4</v>
      </c>
      <c r="R11" s="38" t="str">
        <f aca="false">VLOOKUP(R10,Constants!$A$1:$B$16,2,FALSE())</f>
        <v>4,3,4</v>
      </c>
      <c r="S11" s="38" t="str">
        <f aca="false">VLOOKUP(S10,Constants!$A$1:$B$16,2,FALSE())</f>
        <v>4,3,4</v>
      </c>
      <c r="T11" s="38" t="str">
        <f aca="false">VLOOKUP(T10,Constants!$A$1:$B$16,2,FALSE())</f>
        <v>4,5,4</v>
      </c>
      <c r="U11" s="38" t="str">
        <f aca="false">VLOOKUP(U10,Constants!$A$1:$B$16,2,FALSE())</f>
        <v>4,5,4</v>
      </c>
    </row>
    <row r="13" customFormat="false" ht="13.8" hidden="false" customHeight="false" outlineLevel="0" collapsed="false">
      <c r="B13" s="38"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3.8" hidden="false" customHeight="false" outlineLevel="0" collapsed="false">
      <c r="B14" s="38" t="str">
        <f aca="false">_xlfn.TEXTJOIN(",",TRUE(),  B8:Z8)</f>
        <v>1,1,1,0,0,0,1,0,0,1,1,1,0,1,0,0,0,0,1,1</v>
      </c>
    </row>
    <row r="15" customFormat="false" ht="13.8" hidden="false" customHeight="false" outlineLevel="0" collapsed="false">
      <c r="B15" s="38" t="str">
        <f aca="false">_xlfn.TEXTJOIN(",",TRUE(),  B9:Z9)</f>
        <v>22.15,21.84,18.7,18.7,18.7,18.7,18.7,18.7,18.7,21.84,21.84,18.7,18.7,18.7,18.7,18.7,18.7,18.7,21.84,22.15</v>
      </c>
    </row>
    <row r="16" customFormat="false" ht="13.8" hidden="false" customHeight="false" outlineLevel="0" collapsed="false">
      <c r="B16" s="38" t="str">
        <f aca="false">_xlfn.TEXTJOIN(",",TRUE(),  B10:Z10)</f>
        <v>13,13,11,11,11,11,11,11,11,13,13,11,11,11,11,11,11,11,13,13</v>
      </c>
    </row>
    <row r="17" customFormat="false" ht="13.8" hidden="false" customHeight="false" outlineLevel="0" collapsed="false">
      <c r="B17" s="38" t="str">
        <f aca="false">_xlfn.TEXTJOIN(",",TRUE(),  B11:Z11)</f>
        <v>4,5,4,4,5,4,4,3,4,4,3,4,4,3,4,4,3,4,4,3,4,4,3,4,4,3,4,4,5,4,4,5,4,4,3,4,4,3,4,4,3,4,4,3,4,4,3,4,4,3,4,4,3,4,4,5,4,4,5,4</v>
      </c>
    </row>
    <row r="19" customFormat="false" ht="13.8" hidden="false" customHeight="false" outlineLevel="0" collapsed="false">
      <c r="B19" s="38" t="s">
        <v>667</v>
      </c>
    </row>
    <row r="20" customFormat="false" ht="13.8" hidden="false" customHeight="false" outlineLevel="0" collapsed="false">
      <c r="A20" s="38" t="s">
        <v>650</v>
      </c>
      <c r="B20" s="38" t="s">
        <v>351</v>
      </c>
      <c r="C20" s="38" t="s">
        <v>657</v>
      </c>
      <c r="D20" s="38" t="s">
        <v>658</v>
      </c>
      <c r="E20" s="38" t="s">
        <v>658</v>
      </c>
      <c r="F20" s="38" t="s">
        <v>658</v>
      </c>
      <c r="G20" s="38" t="s">
        <v>659</v>
      </c>
      <c r="H20" s="38" t="s">
        <v>658</v>
      </c>
      <c r="I20" s="38" t="s">
        <v>660</v>
      </c>
      <c r="J20" s="38" t="s">
        <v>661</v>
      </c>
      <c r="K20" s="38" t="s">
        <v>662</v>
      </c>
      <c r="L20" s="38" t="s">
        <v>663</v>
      </c>
      <c r="M20" s="38" t="s">
        <v>662</v>
      </c>
      <c r="N20" s="38" t="s">
        <v>662</v>
      </c>
      <c r="O20" s="38" t="s">
        <v>662</v>
      </c>
      <c r="P20" s="38" t="s">
        <v>664</v>
      </c>
      <c r="Q20" s="38" t="s">
        <v>355</v>
      </c>
      <c r="R20" s="38"/>
      <c r="S20" s="38"/>
      <c r="T20" s="38"/>
      <c r="U20" s="38"/>
    </row>
    <row r="21" customFormat="false" ht="13.8" hidden="false" customHeight="false" outlineLevel="0" collapsed="false">
      <c r="A21" s="38" t="s">
        <v>655</v>
      </c>
      <c r="B21" s="38" t="n">
        <v>0</v>
      </c>
      <c r="C21" s="38" t="n">
        <v>0</v>
      </c>
      <c r="D21" s="38" t="n">
        <v>0</v>
      </c>
      <c r="E21" s="38" t="n">
        <v>0</v>
      </c>
      <c r="F21" s="38" t="n">
        <v>0</v>
      </c>
      <c r="G21" s="38" t="n">
        <v>0</v>
      </c>
      <c r="H21" s="38" t="n">
        <v>0</v>
      </c>
      <c r="I21" s="38" t="n">
        <v>0</v>
      </c>
      <c r="J21" s="38" t="n">
        <v>0</v>
      </c>
      <c r="K21" s="38" t="n">
        <v>0</v>
      </c>
      <c r="L21" s="38" t="n">
        <v>0</v>
      </c>
      <c r="M21" s="38" t="n">
        <v>0</v>
      </c>
      <c r="N21" s="38" t="n">
        <v>0</v>
      </c>
      <c r="O21" s="38" t="n">
        <v>0</v>
      </c>
      <c r="P21" s="38" t="n">
        <v>0</v>
      </c>
      <c r="Q21" s="38" t="n">
        <v>0</v>
      </c>
      <c r="R21" s="38"/>
      <c r="S21" s="38"/>
      <c r="T21" s="38"/>
      <c r="U21" s="38"/>
    </row>
    <row r="22" customFormat="false" ht="13.8" hidden="false" customHeight="false" outlineLevel="0" collapsed="false">
      <c r="A22" s="38" t="s">
        <v>568</v>
      </c>
      <c r="B22" s="38" t="n">
        <v>22.15</v>
      </c>
      <c r="C22" s="38" t="n">
        <v>21.84</v>
      </c>
      <c r="D22" s="38" t="n">
        <v>18.7</v>
      </c>
      <c r="E22" s="38" t="n">
        <v>18.7</v>
      </c>
      <c r="F22" s="38" t="n">
        <v>18.7</v>
      </c>
      <c r="G22" s="38" t="n">
        <v>18.7</v>
      </c>
      <c r="H22" s="38" t="n">
        <v>18.7</v>
      </c>
      <c r="I22" s="38" t="n">
        <v>21.84</v>
      </c>
      <c r="J22" s="38" t="n">
        <v>21.84</v>
      </c>
      <c r="K22" s="38" t="n">
        <v>18.7</v>
      </c>
      <c r="L22" s="38" t="n">
        <v>18.7</v>
      </c>
      <c r="M22" s="38" t="n">
        <v>18.7</v>
      </c>
      <c r="N22" s="38" t="n">
        <v>18.7</v>
      </c>
      <c r="O22" s="38" t="n">
        <v>18.7</v>
      </c>
      <c r="P22" s="38" t="n">
        <v>21.84</v>
      </c>
      <c r="Q22" s="38" t="n">
        <v>22.15</v>
      </c>
      <c r="R22" s="38"/>
      <c r="S22" s="38"/>
      <c r="T22" s="38"/>
      <c r="U22" s="38"/>
    </row>
    <row r="23" customFormat="false" ht="13.8" hidden="false" customHeight="false" outlineLevel="0" collapsed="false">
      <c r="A23" s="38" t="s">
        <v>665</v>
      </c>
      <c r="B23" s="38" t="n">
        <f aca="false">ROUND(15*((B22*10)/256),0)</f>
        <v>13</v>
      </c>
      <c r="C23" s="38" t="n">
        <f aca="false">ROUND(15*((C22*10)/256),0)</f>
        <v>13</v>
      </c>
      <c r="D23" s="38" t="n">
        <f aca="false">ROUND(15*((D22*10)/256),0)</f>
        <v>11</v>
      </c>
      <c r="E23" s="38" t="n">
        <f aca="false">ROUND(15*((E22*10)/256),0)</f>
        <v>11</v>
      </c>
      <c r="F23" s="38" t="n">
        <f aca="false">ROUND(15*((F22*10)/256),0)</f>
        <v>11</v>
      </c>
      <c r="G23" s="38" t="n">
        <f aca="false">ROUND(15*((G22*10)/256),0)</f>
        <v>11</v>
      </c>
      <c r="H23" s="38" t="n">
        <f aca="false">ROUND(15*((H22*10)/256),0)</f>
        <v>11</v>
      </c>
      <c r="I23" s="38" t="n">
        <f aca="false">ROUND(15*((I22*10)/256),0)</f>
        <v>13</v>
      </c>
      <c r="J23" s="38" t="n">
        <f aca="false">ROUND(15*((J22*10)/256),0)</f>
        <v>13</v>
      </c>
      <c r="K23" s="38" t="n">
        <f aca="false">ROUND(15*((K22*10)/256),0)</f>
        <v>11</v>
      </c>
      <c r="L23" s="38" t="n">
        <f aca="false">ROUND(15*((L22*10)/256),0)</f>
        <v>11</v>
      </c>
      <c r="M23" s="38" t="n">
        <f aca="false">ROUND(15*((M22*10)/256),0)</f>
        <v>11</v>
      </c>
      <c r="N23" s="38" t="n">
        <f aca="false">ROUND(15*((N22*10)/256),0)</f>
        <v>11</v>
      </c>
      <c r="O23" s="38" t="n">
        <f aca="false">ROUND(15*((O22*10)/256),0)</f>
        <v>11</v>
      </c>
      <c r="P23" s="38" t="n">
        <f aca="false">ROUND(15*((P22*10)/256),0)</f>
        <v>13</v>
      </c>
      <c r="Q23" s="38" t="n">
        <f aca="false">ROUND(15*((Q22*10)/256),0)</f>
        <v>13</v>
      </c>
      <c r="R23" s="38"/>
      <c r="S23" s="38"/>
      <c r="T23" s="38"/>
      <c r="U23" s="38"/>
    </row>
    <row r="24" customFormat="false" ht="13.8" hidden="false" customHeight="false" outlineLevel="0" collapsed="false">
      <c r="A24" s="38" t="s">
        <v>666</v>
      </c>
      <c r="B24" s="38" t="str">
        <f aca="false">VLOOKUP(B23,Constants!$A$1:$B$16,2,FALSE())</f>
        <v>4,5,4</v>
      </c>
      <c r="C24" s="38" t="str">
        <f aca="false">VLOOKUP(C23,Constants!$A$1:$B$16,2,FALSE())</f>
        <v>4,5,4</v>
      </c>
      <c r="D24" s="38" t="str">
        <f aca="false">VLOOKUP(D23,Constants!$A$1:$B$16,2,FALSE())</f>
        <v>4,3,4</v>
      </c>
      <c r="E24" s="38" t="str">
        <f aca="false">VLOOKUP(E23,Constants!$A$1:$B$16,2,FALSE())</f>
        <v>4,3,4</v>
      </c>
      <c r="F24" s="38" t="str">
        <f aca="false">VLOOKUP(F23,Constants!$A$1:$B$16,2,FALSE())</f>
        <v>4,3,4</v>
      </c>
      <c r="G24" s="38" t="str">
        <f aca="false">VLOOKUP(G23,Constants!$A$1:$B$16,2,FALSE())</f>
        <v>4,3,4</v>
      </c>
      <c r="H24" s="38" t="str">
        <f aca="false">VLOOKUP(H23,Constants!$A$1:$B$16,2,FALSE())</f>
        <v>4,3,4</v>
      </c>
      <c r="I24" s="38" t="str">
        <f aca="false">VLOOKUP(I23,Constants!$A$1:$B$16,2,FALSE())</f>
        <v>4,5,4</v>
      </c>
      <c r="J24" s="38" t="str">
        <f aca="false">VLOOKUP(J23,Constants!$A$1:$B$16,2,FALSE())</f>
        <v>4,5,4</v>
      </c>
      <c r="K24" s="38" t="str">
        <f aca="false">VLOOKUP(K23,Constants!$A$1:$B$16,2,FALSE())</f>
        <v>4,3,4</v>
      </c>
      <c r="L24" s="38" t="str">
        <f aca="false">VLOOKUP(L23,Constants!$A$1:$B$16,2,FALSE())</f>
        <v>4,3,4</v>
      </c>
      <c r="M24" s="38" t="str">
        <f aca="false">VLOOKUP(M23,Constants!$A$1:$B$16,2,FALSE())</f>
        <v>4,3,4</v>
      </c>
      <c r="N24" s="38" t="str">
        <f aca="false">VLOOKUP(N23,Constants!$A$1:$B$16,2,FALSE())</f>
        <v>4,3,4</v>
      </c>
      <c r="O24" s="38" t="str">
        <f aca="false">VLOOKUP(O23,Constants!$A$1:$B$16,2,FALSE())</f>
        <v>4,3,4</v>
      </c>
      <c r="P24" s="38" t="str">
        <f aca="false">VLOOKUP(P23,Constants!$A$1:$B$16,2,FALSE())</f>
        <v>4,5,4</v>
      </c>
      <c r="Q24" s="38" t="str">
        <f aca="false">VLOOKUP(Q23,Constants!$A$1:$B$16,2,FALSE())</f>
        <v>4,5,4</v>
      </c>
      <c r="R24" s="38"/>
      <c r="S24" s="38"/>
      <c r="T24" s="38"/>
      <c r="U24" s="38"/>
    </row>
    <row r="26" customFormat="false" ht="13.8" hidden="false" customHeight="false" outlineLevel="0" collapsed="false">
      <c r="B26" s="38"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3.8" hidden="false" customHeight="false" outlineLevel="0" collapsed="false">
      <c r="B27" s="38" t="str">
        <f aca="false">_xlfn.TEXTJOIN(",",TRUE(),  B21:Z21)</f>
        <v>0,0,0,0,0,0,0,0,0,0,0,0,0,0,0,0</v>
      </c>
    </row>
    <row r="28" customFormat="false" ht="13.8" hidden="false" customHeight="false" outlineLevel="0" collapsed="false">
      <c r="B28" s="38" t="str">
        <f aca="false">_xlfn.TEXTJOIN(",",TRUE(),  B22:Z22)</f>
        <v>22.15,21.84,18.7,18.7,18.7,18.7,18.7,21.84,21.84,18.7,18.7,18.7,18.7,18.7,21.84,22.15</v>
      </c>
    </row>
    <row r="29" customFormat="false" ht="13.8" hidden="false" customHeight="false" outlineLevel="0" collapsed="false">
      <c r="B29" s="38" t="str">
        <f aca="false">_xlfn.TEXTJOIN(",",TRUE(),  B23:Z23)</f>
        <v>13,13,11,11,11,11,11,13,13,11,11,11,11,11,13,13</v>
      </c>
    </row>
    <row r="30" customFormat="false" ht="15" hidden="false" customHeight="true" outlineLevel="0" collapsed="false">
      <c r="B30" s="38" t="str">
        <f aca="false">_xlfn.TEXTJOIN(",",TRUE(),  B24:Z24)</f>
        <v>4,5,4,4,5,4,4,3,4,4,3,4,4,3,4,4,3,4,4,3,4,4,5,4,4,5,4,4,3,4,4,3,4,4,3,4,4,3,4,4,3,4,4,5,4,4,5,4</v>
      </c>
    </row>
    <row r="31" customFormat="false" ht="13.8" hidden="false" customHeight="false" outlineLevel="0" collapsed="false"/>
    <row r="32" customFormat="false" ht="13.8" hidden="false" customHeight="false" outlineLevel="0" collapsed="false">
      <c r="B32" s="38" t="s">
        <v>668</v>
      </c>
    </row>
    <row r="33" customFormat="false" ht="13.8" hidden="false" customHeight="false" outlineLevel="0" collapsed="false">
      <c r="A33" s="38" t="s">
        <v>650</v>
      </c>
      <c r="B33" s="38" t="s">
        <v>114</v>
      </c>
      <c r="C33" s="38" t="s">
        <v>669</v>
      </c>
      <c r="D33" s="38" t="s">
        <v>146</v>
      </c>
      <c r="E33" s="38" t="s">
        <v>114</v>
      </c>
      <c r="F33" s="38" t="s">
        <v>669</v>
      </c>
    </row>
    <row r="34" customFormat="false" ht="13.8" hidden="false" customHeight="false" outlineLevel="0" collapsed="false">
      <c r="A34" s="38" t="s">
        <v>655</v>
      </c>
      <c r="B34" s="38" t="n">
        <v>1</v>
      </c>
      <c r="C34" s="38" t="n">
        <v>1</v>
      </c>
      <c r="D34" s="38" t="n">
        <v>1</v>
      </c>
      <c r="E34" s="38" t="n">
        <v>0</v>
      </c>
      <c r="F34" s="38" t="n">
        <v>0</v>
      </c>
    </row>
    <row r="35" customFormat="false" ht="13.8" hidden="false" customHeight="false" outlineLevel="0" collapsed="false">
      <c r="A35" s="38" t="s">
        <v>568</v>
      </c>
      <c r="B35" s="38" t="n">
        <v>17.5</v>
      </c>
      <c r="C35" s="38" t="n">
        <v>17.5</v>
      </c>
      <c r="D35" s="38" t="n">
        <v>12.8</v>
      </c>
      <c r="E35" s="38" t="n">
        <v>17.5</v>
      </c>
      <c r="F35" s="38" t="n">
        <v>17.5</v>
      </c>
    </row>
    <row r="36" customFormat="false" ht="13.8" hidden="false" customHeight="false" outlineLevel="0" collapsed="false">
      <c r="A36" s="38" t="s">
        <v>665</v>
      </c>
      <c r="B36" s="38" t="n">
        <f aca="false">ROUND(15*((B35*10)/256),0)</f>
        <v>10</v>
      </c>
      <c r="C36" s="38" t="n">
        <f aca="false">ROUND(15*((C35*10)/256),0)</f>
        <v>10</v>
      </c>
      <c r="D36" s="38" t="n">
        <f aca="false">ROUND(15*((D35*10)/256),0)</f>
        <v>8</v>
      </c>
      <c r="E36" s="38" t="n">
        <f aca="false">ROUND(15*((E35*10)/256),0)</f>
        <v>10</v>
      </c>
      <c r="F36" s="38" t="n">
        <f aca="false">ROUND(15*((F35*10)/256),0)</f>
        <v>10</v>
      </c>
    </row>
    <row r="37" customFormat="false" ht="13.8" hidden="false" customHeight="false" outlineLevel="0" collapsed="false">
      <c r="A37" s="38" t="s">
        <v>666</v>
      </c>
      <c r="B37" s="38" t="str">
        <f aca="false">VLOOKUP(B36,Constants!$A$1:$B$16,2,FALSE())</f>
        <v>4,2,4</v>
      </c>
      <c r="C37" s="38" t="str">
        <f aca="false">VLOOKUP(C36,Constants!$A$1:$B$16,2,FALSE())</f>
        <v>4,2,4</v>
      </c>
      <c r="D37" s="38" t="str">
        <f aca="false">VLOOKUP(D36,Constants!$A$1:$B$16,2,FALSE())</f>
        <v>2,4,2</v>
      </c>
      <c r="E37" s="38" t="str">
        <f aca="false">VLOOKUP(E36,Constants!$A$1:$B$16,2,FALSE())</f>
        <v>4,2,4</v>
      </c>
      <c r="F37" s="38" t="str">
        <f aca="false">VLOOKUP(F36,Constants!$A$1:$B$16,2,FALSE())</f>
        <v>4,2,4</v>
      </c>
    </row>
    <row r="38" customFormat="false" ht="13.8" hidden="false" customHeight="false" outlineLevel="0" collapsed="false">
      <c r="A38" s="38" t="s">
        <v>670</v>
      </c>
      <c r="B38" s="38" t="n">
        <v>0</v>
      </c>
      <c r="C38" s="38" t="n">
        <v>0</v>
      </c>
      <c r="D38" s="38" t="n">
        <v>0</v>
      </c>
      <c r="E38" s="38" t="n">
        <v>0</v>
      </c>
      <c r="F38" s="38" t="n">
        <v>0</v>
      </c>
    </row>
    <row r="39" customFormat="false" ht="15" hidden="false" customHeight="true" outlineLevel="0" collapsed="false">
      <c r="B39" s="38" t="str">
        <f aca="false">_xlfn.TEXTJOIN(",",TRUE(),  B33:P33)</f>
        <v>lbscr_emu_dt,lbscr_emu_dt_rev,lbscr_emu_mlv,lbscr_emu_dt,lbscr_emu_dt_rev</v>
      </c>
    </row>
    <row r="40" customFormat="false" ht="13.8" hidden="false" customHeight="false" outlineLevel="0" collapsed="false">
      <c r="B40" s="38" t="str">
        <f aca="false">_xlfn.TEXTJOIN(",",TRUE(),  B34:P34)</f>
        <v>1,1,1,0,0</v>
      </c>
    </row>
    <row r="41" customFormat="false" ht="13.8" hidden="false" customHeight="false" outlineLevel="0" collapsed="false">
      <c r="B41" s="38" t="str">
        <f aca="false">_xlfn.TEXTJOIN(",",TRUE(),  B37:P37)</f>
        <v>4,2,4,4,2,4,2,4,2,4,2,4,4,2,4</v>
      </c>
    </row>
    <row r="42" customFormat="false" ht="13.8" hidden="false" customHeight="false" outlineLevel="0" collapsed="false">
      <c r="B42" s="38" t="str">
        <f aca="false">_xlfn.TEXTJOIN(",",TRUE(),  B36:U36)</f>
        <v>10,10,8,10,10</v>
      </c>
    </row>
    <row r="43" customFormat="false" ht="13.8" hidden="false" customHeight="false" outlineLevel="0" collapsed="false">
      <c r="B43" s="38" t="n">
        <f aca="false">SUM(B38:Y38)</f>
        <v>0</v>
      </c>
    </row>
    <row r="45" customFormat="false" ht="13.8" hidden="false" customHeight="false" outlineLevel="0" collapsed="false">
      <c r="B45" s="38" t="s">
        <v>671</v>
      </c>
    </row>
    <row r="46" customFormat="false" ht="13.8" hidden="false" customHeight="false" outlineLevel="0" collapsed="false">
      <c r="A46" s="38" t="s">
        <v>650</v>
      </c>
      <c r="B46" s="38" t="s">
        <v>516</v>
      </c>
      <c r="C46" s="38" t="s">
        <v>672</v>
      </c>
      <c r="D46" s="38" t="s">
        <v>673</v>
      </c>
      <c r="E46" s="38" t="s">
        <v>674</v>
      </c>
      <c r="F46" s="38" t="s">
        <v>674</v>
      </c>
      <c r="G46" s="38" t="s">
        <v>674</v>
      </c>
      <c r="H46" s="38" t="s">
        <v>674</v>
      </c>
      <c r="I46" s="38" t="s">
        <v>675</v>
      </c>
    </row>
    <row r="47" customFormat="false" ht="13.8" hidden="false" customHeight="false" outlineLevel="0" collapsed="false">
      <c r="A47" s="38" t="s">
        <v>655</v>
      </c>
      <c r="B47" s="38" t="n">
        <v>1</v>
      </c>
      <c r="C47" s="38" t="n">
        <v>1</v>
      </c>
      <c r="D47" s="38" t="n">
        <v>1</v>
      </c>
      <c r="E47" s="38" t="n">
        <v>1</v>
      </c>
      <c r="F47" s="38" t="n">
        <v>0</v>
      </c>
      <c r="G47" s="38" t="n">
        <v>0</v>
      </c>
      <c r="H47" s="38" t="n">
        <v>0</v>
      </c>
      <c r="I47" s="38" t="n">
        <v>1</v>
      </c>
    </row>
    <row r="48" customFormat="false" ht="13.8" hidden="false" customHeight="false" outlineLevel="0" collapsed="false">
      <c r="A48" s="38" t="s">
        <v>568</v>
      </c>
      <c r="B48" s="38" t="n">
        <v>23</v>
      </c>
      <c r="C48" s="38" t="n">
        <v>23</v>
      </c>
      <c r="D48" s="38" t="n">
        <v>23</v>
      </c>
      <c r="E48" s="38" t="n">
        <v>23</v>
      </c>
      <c r="F48" s="38" t="n">
        <v>23</v>
      </c>
      <c r="G48" s="38" t="n">
        <v>23</v>
      </c>
      <c r="H48" s="38" t="n">
        <v>23</v>
      </c>
      <c r="I48" s="38" t="n">
        <v>23</v>
      </c>
    </row>
    <row r="49" customFormat="false" ht="13.8" hidden="false" customHeight="false" outlineLevel="0" collapsed="false">
      <c r="A49" s="38" t="s">
        <v>665</v>
      </c>
      <c r="B49" s="38" t="n">
        <f aca="false">ROUND(15*((B48*10)/256),0)</f>
        <v>13</v>
      </c>
      <c r="C49" s="38" t="n">
        <f aca="false">ROUND(15*((C48*10)/256),0)</f>
        <v>13</v>
      </c>
      <c r="D49" s="38" t="n">
        <f aca="false">ROUND(15*((D48*10)/256),0)</f>
        <v>13</v>
      </c>
      <c r="E49" s="38" t="n">
        <f aca="false">ROUND(15*((E48*10)/256),0)</f>
        <v>13</v>
      </c>
      <c r="F49" s="38" t="n">
        <f aca="false">ROUND(15*((F48*10)/256),0)</f>
        <v>13</v>
      </c>
      <c r="G49" s="38" t="n">
        <f aca="false">ROUND(15*((G48*10)/256),0)</f>
        <v>13</v>
      </c>
      <c r="H49" s="38" t="n">
        <f aca="false">ROUND(15*((H48*10)/256),0)</f>
        <v>13</v>
      </c>
      <c r="I49" s="38" t="n">
        <f aca="false">ROUND(15*((I48*10)/256),0)</f>
        <v>13</v>
      </c>
    </row>
    <row r="50" customFormat="false" ht="13.8" hidden="false" customHeight="false" outlineLevel="0" collapsed="false">
      <c r="A50" s="38" t="s">
        <v>666</v>
      </c>
      <c r="B50" s="38" t="str">
        <f aca="false">VLOOKUP(B49,Constants!$A$1:$B$16,2,FALSE())</f>
        <v>4,5,4</v>
      </c>
      <c r="C50" s="38" t="str">
        <f aca="false">VLOOKUP(C49,Constants!$A$1:$B$16,2,FALSE())</f>
        <v>4,5,4</v>
      </c>
      <c r="D50" s="38" t="str">
        <f aca="false">VLOOKUP(D49,Constants!$A$1:$B$16,2,FALSE())</f>
        <v>4,5,4</v>
      </c>
      <c r="E50" s="38" t="str">
        <f aca="false">VLOOKUP(E49,Constants!$A$1:$B$16,2,FALSE())</f>
        <v>4,5,4</v>
      </c>
      <c r="F50" s="38" t="str">
        <f aca="false">VLOOKUP(F49,Constants!$A$1:$B$16,2,FALSE())</f>
        <v>4,5,4</v>
      </c>
      <c r="G50" s="38" t="str">
        <f aca="false">VLOOKUP(G49,Constants!$A$1:$B$16,2,FALSE())</f>
        <v>4,5,4</v>
      </c>
      <c r="H50" s="38" t="str">
        <f aca="false">VLOOKUP(H49,Constants!$A$1:$B$16,2,FALSE())</f>
        <v>4,5,4</v>
      </c>
      <c r="I50" s="38" t="str">
        <f aca="false">VLOOKUP(I49,Constants!$A$1:$B$16,2,FALSE())</f>
        <v>4,5,4</v>
      </c>
    </row>
    <row r="51" customFormat="false" ht="15" hidden="false" customHeight="true" outlineLevel="0" collapsed="false">
      <c r="A51" s="38" t="s">
        <v>670</v>
      </c>
      <c r="B51" s="38" t="n">
        <v>50.2</v>
      </c>
      <c r="C51" s="38" t="n">
        <v>50.2</v>
      </c>
      <c r="D51" s="38" t="n">
        <v>52.9</v>
      </c>
      <c r="E51" s="38" t="n">
        <v>53.3</v>
      </c>
      <c r="F51" s="38" t="n">
        <v>53.3</v>
      </c>
      <c r="G51" s="38" t="n">
        <v>53.3</v>
      </c>
      <c r="H51" s="38" t="n">
        <v>53.3</v>
      </c>
      <c r="I51" s="38" t="n">
        <v>53.3</v>
      </c>
    </row>
    <row r="52" customFormat="false" ht="13.8" hidden="false" customHeight="false" outlineLevel="0" collapsed="false">
      <c r="B52" s="38"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3.8" hidden="false" customHeight="false" outlineLevel="0" collapsed="false">
      <c r="B53" s="38" t="str">
        <f aca="false">_xlfn.TEXTJOIN(",",TRUE(),  B47:P47)</f>
        <v>1,1,1,1,0,0,0,1</v>
      </c>
    </row>
    <row r="54" customFormat="false" ht="13.8" hidden="false" customHeight="false" outlineLevel="0" collapsed="false">
      <c r="B54" s="38" t="str">
        <f aca="false">_xlfn.TEXTJOIN(",",TRUE(),  B50:P50)</f>
        <v>4,5,4,4,5,4,4,5,4,4,5,4,4,5,4,4,5,4,4,5,4,4,5,4</v>
      </c>
    </row>
    <row r="55" customFormat="false" ht="13.8" hidden="false" customHeight="false" outlineLevel="0" collapsed="false">
      <c r="B55" s="38" t="str">
        <f aca="false">_xlfn.TEXTJOIN(",",TRUE(),  B49:U49)</f>
        <v>13,13,13,13,13,13,13,13</v>
      </c>
    </row>
    <row r="56" customFormat="false" ht="15" hidden="false" customHeight="true" outlineLevel="0" collapsed="false">
      <c r="B56" s="38" t="n">
        <f aca="false">SUM(B51:Y51)</f>
        <v>419.8</v>
      </c>
    </row>
    <row r="57" customFormat="false" ht="15" hidden="false" customHeight="true" outlineLevel="0" collapsed="false">
      <c r="B57" s="38" t="s">
        <v>676</v>
      </c>
    </row>
    <row r="58" customFormat="false" ht="15" hidden="false" customHeight="true" outlineLevel="0" collapsed="false">
      <c r="A58" s="38" t="s">
        <v>650</v>
      </c>
      <c r="B58" s="38" t="s">
        <v>516</v>
      </c>
      <c r="C58" s="38" t="s">
        <v>672</v>
      </c>
      <c r="D58" s="38" t="s">
        <v>672</v>
      </c>
      <c r="E58" s="38" t="s">
        <v>673</v>
      </c>
      <c r="F58" s="38" t="s">
        <v>674</v>
      </c>
      <c r="G58" s="38" t="s">
        <v>674</v>
      </c>
      <c r="H58" s="38" t="s">
        <v>675</v>
      </c>
    </row>
    <row r="59" customFormat="false" ht="15" hidden="false" customHeight="true" outlineLevel="0" collapsed="false">
      <c r="A59" s="38" t="s">
        <v>655</v>
      </c>
      <c r="B59" s="38" t="n">
        <v>0</v>
      </c>
      <c r="C59" s="38" t="n">
        <v>0</v>
      </c>
      <c r="D59" s="38" t="n">
        <v>0</v>
      </c>
      <c r="E59" s="38" t="n">
        <v>0</v>
      </c>
      <c r="F59" s="38" t="n">
        <v>0</v>
      </c>
      <c r="G59" s="38" t="n">
        <v>0</v>
      </c>
      <c r="H59" s="38" t="n">
        <v>0</v>
      </c>
    </row>
    <row r="60" customFormat="false" ht="15" hidden="false" customHeight="true" outlineLevel="0" collapsed="false">
      <c r="A60" s="38" t="s">
        <v>568</v>
      </c>
      <c r="B60" s="38" t="n">
        <v>23</v>
      </c>
      <c r="C60" s="38" t="n">
        <v>23</v>
      </c>
      <c r="D60" s="38" t="n">
        <v>23</v>
      </c>
      <c r="E60" s="38" t="n">
        <v>23</v>
      </c>
      <c r="F60" s="38" t="n">
        <v>23</v>
      </c>
      <c r="G60" s="38" t="n">
        <v>23</v>
      </c>
      <c r="H60" s="38" t="n">
        <v>23</v>
      </c>
    </row>
    <row r="61" customFormat="false" ht="15" hidden="false" customHeight="true" outlineLevel="0" collapsed="false">
      <c r="A61" s="38" t="s">
        <v>665</v>
      </c>
      <c r="B61" s="38" t="n">
        <f aca="false">ROUND(15*((B60*10)/256),0)</f>
        <v>13</v>
      </c>
      <c r="C61" s="38" t="n">
        <f aca="false">ROUND(15*((C60*10)/256),0)</f>
        <v>13</v>
      </c>
      <c r="D61" s="38" t="n">
        <f aca="false">ROUND(15*((D60*10)/256),0)</f>
        <v>13</v>
      </c>
      <c r="E61" s="38" t="n">
        <f aca="false">ROUND(15*((E60*10)/256),0)</f>
        <v>13</v>
      </c>
      <c r="F61" s="38" t="n">
        <f aca="false">ROUND(15*((F60*10)/256),0)</f>
        <v>13</v>
      </c>
      <c r="G61" s="38" t="n">
        <f aca="false">ROUND(15*((G60*10)/256),0)</f>
        <v>13</v>
      </c>
      <c r="H61" s="38" t="n">
        <f aca="false">ROUND(15*((H60*10)/256),0)</f>
        <v>13</v>
      </c>
    </row>
    <row r="62" customFormat="false" ht="15" hidden="false" customHeight="true" outlineLevel="0" collapsed="false">
      <c r="A62" s="38" t="s">
        <v>666</v>
      </c>
      <c r="B62" s="38" t="str">
        <f aca="false">VLOOKUP(B61,Constants!$A$1:$B$16,2,FALSE())</f>
        <v>4,5,4</v>
      </c>
      <c r="C62" s="38" t="str">
        <f aca="false">VLOOKUP(C61,Constants!$A$1:$B$16,2,FALSE())</f>
        <v>4,5,4</v>
      </c>
      <c r="D62" s="38" t="str">
        <f aca="false">VLOOKUP(D61,Constants!$A$1:$B$16,2,FALSE())</f>
        <v>4,5,4</v>
      </c>
      <c r="E62" s="38" t="str">
        <f aca="false">VLOOKUP(E61,Constants!$A$1:$B$16,2,FALSE())</f>
        <v>4,5,4</v>
      </c>
      <c r="F62" s="38" t="str">
        <f aca="false">VLOOKUP(F61,Constants!$A$1:$B$16,2,FALSE())</f>
        <v>4,5,4</v>
      </c>
      <c r="G62" s="38" t="str">
        <f aca="false">VLOOKUP(G61,Constants!$A$1:$B$16,2,FALSE())</f>
        <v>4,5,4</v>
      </c>
      <c r="H62" s="38" t="str">
        <f aca="false">VLOOKUP(H61,Constants!$A$1:$B$16,2,FALSE())</f>
        <v>4,5,4</v>
      </c>
    </row>
    <row r="63" customFormat="false" ht="15" hidden="false" customHeight="true" outlineLevel="0" collapsed="false">
      <c r="A63" s="38" t="s">
        <v>670</v>
      </c>
      <c r="B63" s="38" t="n">
        <v>50.2</v>
      </c>
      <c r="C63" s="38" t="n">
        <v>50.2</v>
      </c>
      <c r="D63" s="38" t="n">
        <v>50.2</v>
      </c>
      <c r="E63" s="38" t="n">
        <v>52.9</v>
      </c>
      <c r="F63" s="38" t="n">
        <v>53.3</v>
      </c>
      <c r="G63" s="38" t="n">
        <v>53.3</v>
      </c>
      <c r="H63" s="38" t="n">
        <v>53.3</v>
      </c>
    </row>
    <row r="64" customFormat="false" ht="15" hidden="false" customHeight="true" outlineLevel="0" collapsed="false">
      <c r="B64" s="38"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8" t="str">
        <f aca="false">_xlfn.TEXTJOIN(",",TRUE(),  B59:P59)</f>
        <v>0,0,0,0,0,0,0</v>
      </c>
    </row>
    <row r="66" customFormat="false" ht="15" hidden="false" customHeight="true" outlineLevel="0" collapsed="false">
      <c r="B66" s="38" t="str">
        <f aca="false">_xlfn.TEXTJOIN(",",TRUE(),  B62:P62)</f>
        <v>4,5,4,4,5,4,4,5,4,4,5,4,4,5,4,4,5,4,4,5,4</v>
      </c>
    </row>
    <row r="67" customFormat="false" ht="15" hidden="false" customHeight="true" outlineLevel="0" collapsed="false">
      <c r="B67" s="38" t="str">
        <f aca="false">_xlfn.TEXTJOIN(",",TRUE(),  B61:U61)</f>
        <v>13,13,13,13,13,13,13</v>
      </c>
    </row>
    <row r="68" customFormat="false" ht="15" hidden="false" customHeight="true" outlineLevel="0" collapsed="false">
      <c r="B68" s="38" t="n">
        <f aca="false">SUM(B63:Y63)</f>
        <v>363.4</v>
      </c>
    </row>
    <row r="73" customFormat="false" ht="15" hidden="false" customHeight="true" outlineLevel="0" collapsed="false">
      <c r="B73" s="38" t="s">
        <v>677</v>
      </c>
    </row>
    <row r="74" customFormat="false" ht="15" hidden="false" customHeight="true" outlineLevel="0" collapsed="false">
      <c r="A74" s="38" t="s">
        <v>650</v>
      </c>
      <c r="B74" s="38" t="s">
        <v>420</v>
      </c>
      <c r="C74" s="38" t="s">
        <v>678</v>
      </c>
      <c r="D74" s="38" t="s">
        <v>679</v>
      </c>
      <c r="E74" s="38" t="s">
        <v>680</v>
      </c>
      <c r="F74" s="38" t="s">
        <v>680</v>
      </c>
      <c r="G74" s="38" t="s">
        <v>679</v>
      </c>
      <c r="H74" s="38" t="s">
        <v>680</v>
      </c>
      <c r="I74" s="38" t="s">
        <v>681</v>
      </c>
      <c r="J74" s="38" t="s">
        <v>681</v>
      </c>
      <c r="K74" s="38" t="s">
        <v>682</v>
      </c>
      <c r="L74" s="38" t="s">
        <v>683</v>
      </c>
      <c r="M74" s="38" t="s">
        <v>682</v>
      </c>
      <c r="N74" s="38" t="s">
        <v>682</v>
      </c>
      <c r="O74" s="38" t="s">
        <v>683</v>
      </c>
      <c r="P74" s="38" t="s">
        <v>684</v>
      </c>
      <c r="Q74" s="38" t="s">
        <v>685</v>
      </c>
      <c r="R74" s="38"/>
      <c r="S74" s="38"/>
      <c r="T74" s="38"/>
      <c r="U74" s="38"/>
    </row>
    <row r="75" customFormat="false" ht="15" hidden="false" customHeight="true" outlineLevel="0" collapsed="false">
      <c r="A75" s="38" t="s">
        <v>655</v>
      </c>
      <c r="B75" s="38" t="n">
        <v>1</v>
      </c>
      <c r="C75" s="38" t="n">
        <v>1</v>
      </c>
      <c r="D75" s="38" t="n">
        <v>1</v>
      </c>
      <c r="E75" s="38" t="n">
        <v>1</v>
      </c>
      <c r="F75" s="38" t="n">
        <v>0</v>
      </c>
      <c r="G75" s="38" t="n">
        <v>0</v>
      </c>
      <c r="H75" s="38" t="n">
        <v>0</v>
      </c>
      <c r="I75" s="38" t="n">
        <v>1</v>
      </c>
      <c r="J75" s="38" t="n">
        <v>0</v>
      </c>
      <c r="K75" s="38" t="n">
        <v>1</v>
      </c>
      <c r="L75" s="38" t="n">
        <v>1</v>
      </c>
      <c r="M75" s="38" t="n">
        <v>0</v>
      </c>
      <c r="N75" s="38" t="n">
        <v>0</v>
      </c>
      <c r="O75" s="38" t="n">
        <v>0</v>
      </c>
      <c r="P75" s="38" t="n">
        <v>1</v>
      </c>
      <c r="Q75" s="38" t="n">
        <v>1</v>
      </c>
      <c r="R75" s="38"/>
      <c r="S75" s="38"/>
      <c r="T75" s="38"/>
      <c r="U75" s="38"/>
    </row>
    <row r="76" customFormat="false" ht="15" hidden="false" customHeight="true" outlineLevel="0" collapsed="false">
      <c r="A76" s="38" t="s">
        <v>568</v>
      </c>
      <c r="B76" s="38" t="n">
        <v>25.7</v>
      </c>
      <c r="C76" s="38" t="n">
        <v>24.2</v>
      </c>
      <c r="D76" s="38" t="n">
        <v>24.2</v>
      </c>
      <c r="E76" s="38" t="n">
        <v>24.2</v>
      </c>
      <c r="F76" s="38" t="n">
        <v>24.2</v>
      </c>
      <c r="G76" s="38" t="n">
        <v>24.2</v>
      </c>
      <c r="H76" s="38" t="n">
        <v>24.2</v>
      </c>
      <c r="I76" s="38" t="n">
        <v>24.2</v>
      </c>
      <c r="J76" s="38" t="n">
        <v>24.2</v>
      </c>
      <c r="K76" s="38" t="n">
        <v>24.2</v>
      </c>
      <c r="L76" s="38" t="n">
        <v>24.2</v>
      </c>
      <c r="M76" s="38" t="n">
        <v>24.2</v>
      </c>
      <c r="N76" s="38" t="n">
        <v>24.2</v>
      </c>
      <c r="O76" s="38" t="n">
        <v>24.2</v>
      </c>
      <c r="P76" s="38" t="n">
        <v>24.2</v>
      </c>
      <c r="Q76" s="38" t="n">
        <v>25.7</v>
      </c>
      <c r="R76" s="38"/>
      <c r="S76" s="38"/>
      <c r="T76" s="38"/>
      <c r="U76" s="38"/>
    </row>
    <row r="77" customFormat="false" ht="15" hidden="false" customHeight="true" outlineLevel="0" collapsed="false">
      <c r="A77" s="38" t="s">
        <v>665</v>
      </c>
      <c r="B77" s="38" t="n">
        <f aca="false">ROUND(15*((B76*10)/256),0)</f>
        <v>15</v>
      </c>
      <c r="C77" s="38" t="n">
        <f aca="false">ROUND(15*((C76*10)/256),0)</f>
        <v>14</v>
      </c>
      <c r="D77" s="38" t="n">
        <f aca="false">ROUND(15*((D76*10)/256),0)</f>
        <v>14</v>
      </c>
      <c r="E77" s="38" t="n">
        <f aca="false">ROUND(15*((E76*10)/256),0)</f>
        <v>14</v>
      </c>
      <c r="F77" s="38" t="n">
        <f aca="false">ROUND(15*((F76*10)/256),0)</f>
        <v>14</v>
      </c>
      <c r="G77" s="38" t="n">
        <f aca="false">ROUND(15*((G76*10)/256),0)</f>
        <v>14</v>
      </c>
      <c r="H77" s="38" t="n">
        <f aca="false">ROUND(15*((H76*10)/256),0)</f>
        <v>14</v>
      </c>
      <c r="I77" s="38" t="n">
        <f aca="false">ROUND(15*((I76*10)/256),0)</f>
        <v>14</v>
      </c>
      <c r="J77" s="38" t="n">
        <f aca="false">ROUND(15*((J76*10)/256),0)</f>
        <v>14</v>
      </c>
      <c r="K77" s="38" t="n">
        <f aca="false">ROUND(15*((K76*10)/256),0)</f>
        <v>14</v>
      </c>
      <c r="L77" s="38" t="n">
        <f aca="false">ROUND(15*((L76*10)/256),0)</f>
        <v>14</v>
      </c>
      <c r="M77" s="38" t="n">
        <f aca="false">ROUND(15*((M76*10)/256),0)</f>
        <v>14</v>
      </c>
      <c r="N77" s="38" t="n">
        <f aca="false">ROUND(15*((N76*10)/256),0)</f>
        <v>14</v>
      </c>
      <c r="O77" s="38" t="n">
        <f aca="false">ROUND(15*((O76*10)/256),0)</f>
        <v>14</v>
      </c>
      <c r="P77" s="38" t="n">
        <f aca="false">ROUND(15*((P76*10)/256),0)</f>
        <v>14</v>
      </c>
      <c r="Q77" s="38" t="n">
        <f aca="false">ROUND(15*((Q76*10)/256),0)</f>
        <v>15</v>
      </c>
      <c r="R77" s="38"/>
      <c r="S77" s="38"/>
      <c r="T77" s="38"/>
      <c r="U77" s="38"/>
    </row>
    <row r="78" customFormat="false" ht="15" hidden="false" customHeight="true" outlineLevel="0" collapsed="false">
      <c r="A78" s="38" t="s">
        <v>666</v>
      </c>
      <c r="B78" s="38" t="str">
        <f aca="false">VLOOKUP(B77,Constants!$A$1:$B$16,2,FALSE())</f>
        <v>4,7,4</v>
      </c>
      <c r="C78" s="38" t="str">
        <f aca="false">VLOOKUP(C77,Constants!$A$1:$B$16,2,FALSE())</f>
        <v>4,6,4</v>
      </c>
      <c r="D78" s="38" t="str">
        <f aca="false">VLOOKUP(D77,Constants!$A$1:$B$16,2,FALSE())</f>
        <v>4,6,4</v>
      </c>
      <c r="E78" s="38" t="str">
        <f aca="false">VLOOKUP(E77,Constants!$A$1:$B$16,2,FALSE())</f>
        <v>4,6,4</v>
      </c>
      <c r="F78" s="38" t="str">
        <f aca="false">VLOOKUP(F77,Constants!$A$1:$B$16,2,FALSE())</f>
        <v>4,6,4</v>
      </c>
      <c r="G78" s="38" t="str">
        <f aca="false">VLOOKUP(G77,Constants!$A$1:$B$16,2,FALSE())</f>
        <v>4,6,4</v>
      </c>
      <c r="H78" s="38" t="str">
        <f aca="false">VLOOKUP(H77,Constants!$A$1:$B$16,2,FALSE())</f>
        <v>4,6,4</v>
      </c>
      <c r="I78" s="38" t="str">
        <f aca="false">VLOOKUP(I77,Constants!$A$1:$B$16,2,FALSE())</f>
        <v>4,6,4</v>
      </c>
      <c r="J78" s="38" t="str">
        <f aca="false">VLOOKUP(J77,Constants!$A$1:$B$16,2,FALSE())</f>
        <v>4,6,4</v>
      </c>
      <c r="K78" s="38" t="str">
        <f aca="false">VLOOKUP(K77,Constants!$A$1:$B$16,2,FALSE())</f>
        <v>4,6,4</v>
      </c>
      <c r="L78" s="38" t="str">
        <f aca="false">VLOOKUP(L77,Constants!$A$1:$B$16,2,FALSE())</f>
        <v>4,6,4</v>
      </c>
      <c r="M78" s="38" t="str">
        <f aca="false">VLOOKUP(M77,Constants!$A$1:$B$16,2,FALSE())</f>
        <v>4,6,4</v>
      </c>
      <c r="N78" s="38" t="str">
        <f aca="false">VLOOKUP(N77,Constants!$A$1:$B$16,2,FALSE())</f>
        <v>4,6,4</v>
      </c>
      <c r="O78" s="38" t="str">
        <f aca="false">VLOOKUP(O77,Constants!$A$1:$B$16,2,FALSE())</f>
        <v>4,6,4</v>
      </c>
      <c r="P78" s="38" t="str">
        <f aca="false">VLOOKUP(P77,Constants!$A$1:$B$16,2,FALSE())</f>
        <v>4,6,4</v>
      </c>
      <c r="Q78" s="38" t="str">
        <f aca="false">VLOOKUP(Q77,Constants!$A$1:$B$16,2,FALSE())</f>
        <v>4,7,4</v>
      </c>
      <c r="R78" s="38"/>
      <c r="S78" s="38"/>
      <c r="T78" s="38"/>
      <c r="U78" s="38"/>
    </row>
    <row r="80" customFormat="false" ht="15" hidden="false" customHeight="true" outlineLevel="0" collapsed="false">
      <c r="B80" s="38"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8" t="str">
        <f aca="false">_xlfn.TEXTJOIN(",",TRUE(),  B75:Z75)</f>
        <v>1,1,1,1,0,0,0,1,0,1,1,0,0,0,1,1</v>
      </c>
    </row>
    <row r="82" customFormat="false" ht="15" hidden="false" customHeight="true" outlineLevel="0" collapsed="false">
      <c r="B82" s="38" t="str">
        <f aca="false">_xlfn.TEXTJOIN(",",TRUE(),  B76:Z76)</f>
        <v>25.7,24.2,24.2,24.2,24.2,24.2,24.2,24.2,24.2,24.2,24.2,24.2,24.2,24.2,24.2,25.7</v>
      </c>
    </row>
    <row r="83" customFormat="false" ht="15" hidden="false" customHeight="true" outlineLevel="0" collapsed="false">
      <c r="B83" s="38" t="str">
        <f aca="false">_xlfn.TEXTJOIN(",",TRUE(),  B77:Z77)</f>
        <v>15,14,14,14,14,14,14,14,14,14,14,14,14,14,14,15</v>
      </c>
    </row>
    <row r="84" customFormat="false" ht="15" hidden="false" customHeight="true" outlineLevel="0" collapsed="false">
      <c r="B84" s="38" t="str">
        <f aca="false">_xlfn.TEXTJOIN(",",TRUE(),  B78:Z78)</f>
        <v>4,7,4,4,6,4,4,6,4,4,6,4,4,6,4,4,6,4,4,6,4,4,6,4,4,6,4,4,6,4,4,6,4,4,6,4,4,6,4,4,6,4,4,6,4,4,7,4</v>
      </c>
    </row>
    <row r="86" customFormat="false" ht="15" hidden="false" customHeight="true" outlineLevel="0" collapsed="false">
      <c r="B86" s="38" t="s">
        <v>686</v>
      </c>
    </row>
    <row r="87" customFormat="false" ht="15" hidden="false" customHeight="true" outlineLevel="0" collapsed="false">
      <c r="A87" s="38" t="s">
        <v>650</v>
      </c>
      <c r="B87" s="38" t="s">
        <v>420</v>
      </c>
      <c r="C87" s="38" t="s">
        <v>678</v>
      </c>
      <c r="D87" s="38" t="s">
        <v>680</v>
      </c>
      <c r="E87" s="38" t="s">
        <v>679</v>
      </c>
      <c r="F87" s="38" t="s">
        <v>680</v>
      </c>
      <c r="G87" s="38" t="s">
        <v>681</v>
      </c>
      <c r="H87" s="38" t="s">
        <v>681</v>
      </c>
      <c r="I87" s="38" t="s">
        <v>682</v>
      </c>
      <c r="J87" s="38" t="s">
        <v>683</v>
      </c>
      <c r="K87" s="38" t="s">
        <v>682</v>
      </c>
      <c r="L87" s="38" t="s">
        <v>684</v>
      </c>
      <c r="M87" s="38" t="s">
        <v>685</v>
      </c>
      <c r="P87" s="40"/>
      <c r="Q87" s="40"/>
      <c r="R87" s="38"/>
      <c r="S87" s="38"/>
      <c r="T87" s="38"/>
      <c r="U87" s="38"/>
    </row>
    <row r="88" customFormat="false" ht="15" hidden="false" customHeight="true" outlineLevel="0" collapsed="false">
      <c r="A88" s="38" t="s">
        <v>655</v>
      </c>
      <c r="B88" s="38" t="n">
        <v>0</v>
      </c>
      <c r="C88" s="38" t="n">
        <v>0</v>
      </c>
      <c r="D88" s="38" t="n">
        <v>0</v>
      </c>
      <c r="E88" s="38" t="n">
        <v>0</v>
      </c>
      <c r="F88" s="38" t="n">
        <v>0</v>
      </c>
      <c r="G88" s="38" t="n">
        <v>0</v>
      </c>
      <c r="H88" s="38" t="n">
        <v>0</v>
      </c>
      <c r="I88" s="38" t="n">
        <v>0</v>
      </c>
      <c r="J88" s="38" t="n">
        <v>0</v>
      </c>
      <c r="K88" s="38" t="n">
        <v>0</v>
      </c>
      <c r="L88" s="38" t="n">
        <v>0</v>
      </c>
      <c r="M88" s="38" t="n">
        <v>0</v>
      </c>
      <c r="P88" s="40"/>
      <c r="Q88" s="40"/>
      <c r="R88" s="38"/>
      <c r="S88" s="38"/>
      <c r="T88" s="38"/>
      <c r="U88" s="38"/>
    </row>
    <row r="89" customFormat="false" ht="15" hidden="false" customHeight="true" outlineLevel="0" collapsed="false">
      <c r="A89" s="38" t="s">
        <v>568</v>
      </c>
      <c r="B89" s="38" t="n">
        <v>25.7</v>
      </c>
      <c r="C89" s="38" t="n">
        <v>24.2</v>
      </c>
      <c r="D89" s="38" t="n">
        <v>24.2</v>
      </c>
      <c r="E89" s="38" t="n">
        <v>24.2</v>
      </c>
      <c r="F89" s="38" t="n">
        <v>24.2</v>
      </c>
      <c r="G89" s="38" t="n">
        <v>24.2</v>
      </c>
      <c r="H89" s="38" t="n">
        <v>24.2</v>
      </c>
      <c r="I89" s="38" t="n">
        <v>24.2</v>
      </c>
      <c r="J89" s="38" t="n">
        <v>24.2</v>
      </c>
      <c r="K89" s="38" t="n">
        <v>24.2</v>
      </c>
      <c r="L89" s="38" t="n">
        <v>24.2</v>
      </c>
      <c r="M89" s="38" t="n">
        <v>25.7</v>
      </c>
      <c r="P89" s="40"/>
      <c r="Q89" s="40"/>
      <c r="R89" s="38"/>
      <c r="S89" s="38"/>
      <c r="T89" s="38"/>
      <c r="U89" s="38"/>
    </row>
    <row r="90" customFormat="false" ht="15" hidden="false" customHeight="true" outlineLevel="0" collapsed="false">
      <c r="A90" s="38" t="s">
        <v>665</v>
      </c>
      <c r="B90" s="38" t="n">
        <f aca="false">ROUND(15*((B89*10)/256),0)</f>
        <v>15</v>
      </c>
      <c r="C90" s="38" t="n">
        <f aca="false">ROUND(15*((C89*10)/256),0)</f>
        <v>14</v>
      </c>
      <c r="D90" s="38" t="n">
        <f aca="false">ROUND(15*((D89*10)/256),0)</f>
        <v>14</v>
      </c>
      <c r="E90" s="38" t="n">
        <f aca="false">ROUND(15*((E89*10)/256),0)</f>
        <v>14</v>
      </c>
      <c r="F90" s="38" t="n">
        <f aca="false">ROUND(15*((F89*10)/256),0)</f>
        <v>14</v>
      </c>
      <c r="G90" s="38" t="n">
        <f aca="false">ROUND(15*((G89*10)/256),0)</f>
        <v>14</v>
      </c>
      <c r="H90" s="38" t="n">
        <f aca="false">ROUND(15*((H89*10)/256),0)</f>
        <v>14</v>
      </c>
      <c r="I90" s="38" t="n">
        <f aca="false">ROUND(15*((I89*10)/256),0)</f>
        <v>14</v>
      </c>
      <c r="J90" s="38" t="n">
        <f aca="false">ROUND(15*((J89*10)/256),0)</f>
        <v>14</v>
      </c>
      <c r="K90" s="38" t="n">
        <f aca="false">ROUND(15*((K89*10)/256),0)</f>
        <v>14</v>
      </c>
      <c r="L90" s="38" t="n">
        <f aca="false">ROUND(15*((L89*10)/256),0)</f>
        <v>14</v>
      </c>
      <c r="M90" s="38" t="n">
        <f aca="false">ROUND(15*((M89*10)/256),0)</f>
        <v>15</v>
      </c>
      <c r="P90" s="40"/>
      <c r="Q90" s="40"/>
      <c r="R90" s="38"/>
      <c r="S90" s="38"/>
      <c r="T90" s="38"/>
      <c r="U90" s="38"/>
    </row>
    <row r="91" customFormat="false" ht="15" hidden="false" customHeight="true" outlineLevel="0" collapsed="false">
      <c r="A91" s="38" t="s">
        <v>666</v>
      </c>
      <c r="B91" s="38" t="str">
        <f aca="false">VLOOKUP(B90,Constants!$A$1:$B$16,2,FALSE())</f>
        <v>4,7,4</v>
      </c>
      <c r="C91" s="38" t="str">
        <f aca="false">VLOOKUP(C90,Constants!$A$1:$B$16,2,FALSE())</f>
        <v>4,6,4</v>
      </c>
      <c r="D91" s="38" t="str">
        <f aca="false">VLOOKUP(D90,Constants!$A$1:$B$16,2,FALSE())</f>
        <v>4,6,4</v>
      </c>
      <c r="E91" s="38" t="str">
        <f aca="false">VLOOKUP(E90,Constants!$A$1:$B$16,2,FALSE())</f>
        <v>4,6,4</v>
      </c>
      <c r="F91" s="38" t="str">
        <f aca="false">VLOOKUP(F90,Constants!$A$1:$B$16,2,FALSE())</f>
        <v>4,6,4</v>
      </c>
      <c r="G91" s="38" t="str">
        <f aca="false">VLOOKUP(G90,Constants!$A$1:$B$16,2,FALSE())</f>
        <v>4,6,4</v>
      </c>
      <c r="H91" s="38" t="str">
        <f aca="false">VLOOKUP(H90,Constants!$A$1:$B$16,2,FALSE())</f>
        <v>4,6,4</v>
      </c>
      <c r="I91" s="38" t="str">
        <f aca="false">VLOOKUP(I90,Constants!$A$1:$B$16,2,FALSE())</f>
        <v>4,6,4</v>
      </c>
      <c r="J91" s="38" t="str">
        <f aca="false">VLOOKUP(J90,Constants!$A$1:$B$16,2,FALSE())</f>
        <v>4,6,4</v>
      </c>
      <c r="K91" s="38" t="str">
        <f aca="false">VLOOKUP(K90,Constants!$A$1:$B$16,2,FALSE())</f>
        <v>4,6,4</v>
      </c>
      <c r="L91" s="38" t="str">
        <f aca="false">VLOOKUP(L90,Constants!$A$1:$B$16,2,FALSE())</f>
        <v>4,6,4</v>
      </c>
      <c r="M91" s="38" t="str">
        <f aca="false">VLOOKUP(M90,Constants!$A$1:$B$16,2,FALSE())</f>
        <v>4,7,4</v>
      </c>
      <c r="P91" s="40"/>
      <c r="Q91" s="40"/>
      <c r="R91" s="38"/>
      <c r="S91" s="38"/>
      <c r="T91" s="38"/>
      <c r="U91" s="38"/>
    </row>
    <row r="92" customFormat="false" ht="15" hidden="false" customHeight="true" outlineLevel="0" collapsed="false">
      <c r="P92" s="40"/>
      <c r="Q92" s="40"/>
    </row>
    <row r="93" customFormat="false" ht="15" hidden="false" customHeight="true" outlineLevel="0" collapsed="false">
      <c r="B93" s="38"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8" t="str">
        <f aca="false">_xlfn.TEXTJOIN(",",TRUE(),  B88:Z88)</f>
        <v>0,0,0,0,0,0,0,0,0,0,0,0</v>
      </c>
    </row>
    <row r="95" customFormat="false" ht="15" hidden="false" customHeight="true" outlineLevel="0" collapsed="false">
      <c r="B95" s="38" t="str">
        <f aca="false">_xlfn.TEXTJOIN(",",TRUE(),  B89:Z89)</f>
        <v>25.7,24.2,24.2,24.2,24.2,24.2,24.2,24.2,24.2,24.2,24.2,25.7</v>
      </c>
    </row>
    <row r="96" customFormat="false" ht="15" hidden="false" customHeight="true" outlineLevel="0" collapsed="false">
      <c r="B96" s="38" t="str">
        <f aca="false">_xlfn.TEXTJOIN(",",TRUE(),  B90:Z90)</f>
        <v>15,14,14,14,14,14,14,14,14,14,14,15</v>
      </c>
    </row>
    <row r="97" customFormat="false" ht="15" hidden="false" customHeight="true" outlineLevel="0" collapsed="false">
      <c r="B97" s="38" t="str">
        <f aca="false">_xlfn.TEXTJOIN(",",TRUE(),  B91:Z91)</f>
        <v>4,7,4,4,6,4,4,6,4,4,6,4,4,6,4,4,6,4,4,6,4,4,6,4,4,6,4,4,6,4,4,6,4,4,7,4</v>
      </c>
    </row>
    <row r="99" customFormat="false" ht="15" hidden="false" customHeight="true" outlineLevel="0" collapsed="false">
      <c r="B99" s="38" t="s">
        <v>687</v>
      </c>
    </row>
    <row r="100" customFormat="false" ht="15" hidden="false" customHeight="true" outlineLevel="0" collapsed="false">
      <c r="A100" s="38" t="s">
        <v>650</v>
      </c>
      <c r="B100" s="38" t="s">
        <v>434</v>
      </c>
      <c r="C100" s="38" t="s">
        <v>688</v>
      </c>
      <c r="D100" s="38" t="s">
        <v>689</v>
      </c>
      <c r="E100" s="38" t="s">
        <v>690</v>
      </c>
      <c r="F100" s="38" t="s">
        <v>689</v>
      </c>
      <c r="G100" s="38" t="s">
        <v>690</v>
      </c>
      <c r="H100" s="38" t="s">
        <v>689</v>
      </c>
      <c r="I100" s="38" t="s">
        <v>690</v>
      </c>
      <c r="J100" s="38" t="s">
        <v>689</v>
      </c>
      <c r="K100" s="38" t="s">
        <v>690</v>
      </c>
      <c r="L100" s="38" t="s">
        <v>691</v>
      </c>
      <c r="M100" s="38" t="s">
        <v>692</v>
      </c>
    </row>
    <row r="101" customFormat="false" ht="15" hidden="false" customHeight="true" outlineLevel="0" collapsed="false">
      <c r="A101" s="38" t="s">
        <v>655</v>
      </c>
      <c r="B101" s="38" t="n">
        <v>1</v>
      </c>
      <c r="C101" s="38" t="n">
        <v>1</v>
      </c>
      <c r="D101" s="38" t="n">
        <v>1</v>
      </c>
      <c r="E101" s="38" t="n">
        <v>1</v>
      </c>
      <c r="F101" s="38" t="n">
        <v>0</v>
      </c>
      <c r="G101" s="38" t="n">
        <v>0</v>
      </c>
      <c r="H101" s="38" t="n">
        <v>0</v>
      </c>
      <c r="I101" s="38" t="n">
        <v>0</v>
      </c>
      <c r="J101" s="38" t="n">
        <v>0</v>
      </c>
      <c r="K101" s="38" t="n">
        <v>0</v>
      </c>
      <c r="L101" s="38" t="n">
        <v>1</v>
      </c>
      <c r="M101" s="38" t="n">
        <v>1</v>
      </c>
    </row>
    <row r="102" customFormat="false" ht="15" hidden="false" customHeight="true" outlineLevel="0" collapsed="false">
      <c r="A102" s="38" t="s">
        <v>568</v>
      </c>
      <c r="B102" s="38" t="n">
        <v>20</v>
      </c>
      <c r="C102" s="38" t="n">
        <v>20</v>
      </c>
      <c r="D102" s="38" t="n">
        <v>20</v>
      </c>
      <c r="E102" s="38" t="n">
        <v>20</v>
      </c>
      <c r="F102" s="38" t="n">
        <v>20</v>
      </c>
      <c r="G102" s="38" t="n">
        <v>20</v>
      </c>
      <c r="H102" s="38" t="n">
        <v>20</v>
      </c>
      <c r="I102" s="38" t="n">
        <v>20</v>
      </c>
      <c r="J102" s="38" t="n">
        <v>20</v>
      </c>
      <c r="K102" s="38" t="n">
        <v>20</v>
      </c>
      <c r="L102" s="38" t="n">
        <v>20</v>
      </c>
      <c r="M102" s="38" t="n">
        <v>20</v>
      </c>
    </row>
    <row r="103" customFormat="false" ht="15" hidden="false" customHeight="true" outlineLevel="0" collapsed="false">
      <c r="A103" s="38" t="s">
        <v>665</v>
      </c>
      <c r="B103" s="38" t="n">
        <f aca="false">ROUND(15*((B102*10)/256),0)</f>
        <v>12</v>
      </c>
      <c r="C103" s="38" t="n">
        <f aca="false">ROUND(15*((C102*10)/256),0)</f>
        <v>12</v>
      </c>
      <c r="D103" s="38" t="n">
        <f aca="false">ROUND(15*((D102*10)/256),0)</f>
        <v>12</v>
      </c>
      <c r="E103" s="38" t="n">
        <f aca="false">ROUND(15*((E102*10)/256),0)</f>
        <v>12</v>
      </c>
      <c r="F103" s="38" t="n">
        <f aca="false">ROUND(15*((F102*10)/256),0)</f>
        <v>12</v>
      </c>
      <c r="G103" s="38" t="n">
        <f aca="false">ROUND(15*((G102*10)/256),0)</f>
        <v>12</v>
      </c>
      <c r="H103" s="38" t="n">
        <f aca="false">ROUND(15*((H102*10)/256),0)</f>
        <v>12</v>
      </c>
      <c r="I103" s="38" t="n">
        <f aca="false">ROUND(15*((I102*10)/256),0)</f>
        <v>12</v>
      </c>
      <c r="J103" s="38" t="n">
        <f aca="false">ROUND(15*((J102*10)/256),0)</f>
        <v>12</v>
      </c>
      <c r="K103" s="38" t="n">
        <f aca="false">ROUND(15*((K102*10)/256),0)</f>
        <v>12</v>
      </c>
      <c r="L103" s="38" t="n">
        <f aca="false">ROUND(15*((L102*10)/256),0)</f>
        <v>12</v>
      </c>
      <c r="M103" s="38" t="n">
        <f aca="false">ROUND(15*((M102*10)/256),0)</f>
        <v>12</v>
      </c>
    </row>
    <row r="104" customFormat="false" ht="15" hidden="false" customHeight="true" outlineLevel="0" collapsed="false">
      <c r="A104" s="38" t="s">
        <v>666</v>
      </c>
      <c r="B104" s="38" t="str">
        <f aca="false">VLOOKUP(B103,Constants!$A$1:$B$16,2,FALSE())</f>
        <v>4,4,4</v>
      </c>
      <c r="C104" s="38" t="str">
        <f aca="false">VLOOKUP(C103,Constants!$A$1:$B$16,2,FALSE())</f>
        <v>4,4,4</v>
      </c>
      <c r="D104" s="38" t="str">
        <f aca="false">VLOOKUP(D103,Constants!$A$1:$B$16,2,FALSE())</f>
        <v>4,4,4</v>
      </c>
      <c r="E104" s="38" t="str">
        <f aca="false">VLOOKUP(E103,Constants!$A$1:$B$16,2,FALSE())</f>
        <v>4,4,4</v>
      </c>
      <c r="F104" s="38" t="str">
        <f aca="false">VLOOKUP(F103,Constants!$A$1:$B$16,2,FALSE())</f>
        <v>4,4,4</v>
      </c>
      <c r="G104" s="38" t="str">
        <f aca="false">VLOOKUP(G103,Constants!$A$1:$B$16,2,FALSE())</f>
        <v>4,4,4</v>
      </c>
      <c r="H104" s="38" t="str">
        <f aca="false">VLOOKUP(H103,Constants!$A$1:$B$16,2,FALSE())</f>
        <v>4,4,4</v>
      </c>
      <c r="I104" s="38" t="str">
        <f aca="false">VLOOKUP(I103,Constants!$A$1:$B$16,2,FALSE())</f>
        <v>4,4,4</v>
      </c>
      <c r="J104" s="38" t="str">
        <f aca="false">VLOOKUP(J103,Constants!$A$1:$B$16,2,FALSE())</f>
        <v>4,4,4</v>
      </c>
      <c r="K104" s="38" t="str">
        <f aca="false">VLOOKUP(K103,Constants!$A$1:$B$16,2,FALSE())</f>
        <v>4,4,4</v>
      </c>
      <c r="L104" s="38" t="str">
        <f aca="false">VLOOKUP(L103,Constants!$A$1:$B$16,2,FALSE())</f>
        <v>4,4,4</v>
      </c>
      <c r="M104" s="38" t="str">
        <f aca="false">VLOOKUP(M103,Constants!$A$1:$B$16,2,FALSE())</f>
        <v>4,4,4</v>
      </c>
    </row>
    <row r="106" customFormat="false" ht="15" hidden="false" customHeight="true" outlineLevel="0" collapsed="false">
      <c r="B106" s="38"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8" t="str">
        <f aca="false">_xlfn.TEXTJOIN(",",TRUE(),  B101:Z101)</f>
        <v>1,1,1,1,0,0,0,0,0,0,1,1</v>
      </c>
    </row>
    <row r="108" customFormat="false" ht="15" hidden="false" customHeight="true" outlineLevel="0" collapsed="false">
      <c r="B108" s="38" t="str">
        <f aca="false">_xlfn.TEXTJOIN(",",TRUE(),  B102:Z102)</f>
        <v>20,20,20,20,20,20,20,20,20,20,20,20</v>
      </c>
    </row>
    <row r="109" customFormat="false" ht="15" hidden="false" customHeight="true" outlineLevel="0" collapsed="false">
      <c r="B109" s="38" t="str">
        <f aca="false">_xlfn.TEXTJOIN(",",TRUE(),  B103:Z103)</f>
        <v>12,12,12,12,12,12,12,12,12,12,12,12</v>
      </c>
    </row>
    <row r="110" customFormat="false" ht="15" hidden="false" customHeight="true" outlineLevel="0" collapsed="false">
      <c r="B110" s="38"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8" width="14.37"/>
  </cols>
  <sheetData>
    <row r="1" customFormat="false" ht="13.8" hidden="false" customHeight="false" outlineLevel="0" collapsed="false">
      <c r="A1" s="38" t="s">
        <v>693</v>
      </c>
      <c r="B1" s="38" t="s">
        <v>694</v>
      </c>
      <c r="C1" s="38" t="s">
        <v>695</v>
      </c>
      <c r="D1" s="38" t="s">
        <v>12</v>
      </c>
      <c r="E1" s="38" t="s">
        <v>696</v>
      </c>
    </row>
    <row r="2" customFormat="false" ht="13.8" hidden="false" customHeight="false" outlineLevel="0" collapsed="false">
      <c r="A2" s="38" t="s">
        <v>697</v>
      </c>
      <c r="B2" s="38" t="n">
        <f aca="false">(33.7+24+26.75+24.15+24.3+31.9)</f>
        <v>164.8</v>
      </c>
      <c r="C2" s="38" t="n">
        <f aca="false">52+72+28+43+47+25</f>
        <v>267</v>
      </c>
      <c r="D2" s="38" t="n">
        <v>6</v>
      </c>
      <c r="E2" s="38" t="n">
        <f aca="false">C2/D2</f>
        <v>44.5</v>
      </c>
    </row>
    <row r="3" customFormat="false" ht="13.8" hidden="false" customHeight="false" outlineLevel="0" collapsed="false">
      <c r="A3" s="38" t="s">
        <v>698</v>
      </c>
      <c r="B3" s="38" t="n">
        <f aca="false">B2+24</f>
        <v>188.8</v>
      </c>
      <c r="C3" s="38" t="n">
        <f aca="false">C2+72+72-42</f>
        <v>369</v>
      </c>
      <c r="D3" s="38" t="n">
        <v>7</v>
      </c>
      <c r="E3" s="38" t="n">
        <f aca="false">C3/D3</f>
        <v>52.7142857142857</v>
      </c>
    </row>
    <row r="4" customFormat="false" ht="13.8" hidden="false" customHeight="false" outlineLevel="0" collapsed="false">
      <c r="A4" s="38" t="s">
        <v>699</v>
      </c>
      <c r="B4" s="38" t="n">
        <f aca="false">(33.7+31.9)</f>
        <v>65.6</v>
      </c>
      <c r="C4" s="38" t="n">
        <f aca="false">52+25</f>
        <v>77</v>
      </c>
      <c r="D4" s="38" t="n">
        <v>2</v>
      </c>
      <c r="E4" s="38" t="n">
        <f aca="false">C4/D4</f>
        <v>38.5</v>
      </c>
    </row>
    <row r="5" customFormat="false" ht="13.8" hidden="false" customHeight="false" outlineLevel="0" collapsed="false">
      <c r="A5" s="38" t="s">
        <v>700</v>
      </c>
      <c r="B5" s="38" t="n">
        <f aca="false">(31.9 * 2) + (24.3 * 8)</f>
        <v>258.2</v>
      </c>
      <c r="C5" s="38" t="n">
        <f aca="false">60+72+72+72+72+18+47+47+36</f>
        <v>496</v>
      </c>
      <c r="D5" s="38" t="n">
        <v>10</v>
      </c>
      <c r="E5" s="38" t="n">
        <f aca="false">C5/D5</f>
        <v>49.6</v>
      </c>
    </row>
    <row r="6" customFormat="false" ht="13.8" hidden="false" customHeight="false" outlineLevel="0" collapsed="false">
      <c r="A6" s="38" t="s">
        <v>701</v>
      </c>
      <c r="B6" s="38" t="n">
        <f aca="false">(31.9 * 2) + (24.3 * 6)</f>
        <v>209.6</v>
      </c>
      <c r="C6" s="38" t="n">
        <f aca="false">60+72+72+18+47+36</f>
        <v>305</v>
      </c>
      <c r="D6" s="38" t="n">
        <v>6</v>
      </c>
      <c r="E6" s="38" t="n">
        <f aca="false">C6/D6</f>
        <v>50.8333333333333</v>
      </c>
    </row>
    <row r="7" customFormat="false" ht="13.8" hidden="false" customHeight="false" outlineLevel="0" collapsed="false">
      <c r="A7" s="38" t="s">
        <v>702</v>
      </c>
      <c r="B7" s="38" t="str">
        <f aca="false">_xlfn.TEXTJOIN(",",1,A13:A22)</f>
        <v>apt_half_6,apt_half_6_rev,apt_powercar,apt_half_2,apt_half_2_rev,apt_q_dvt,apt_s_dm,apt_s_10,apt_s_6</v>
      </c>
    </row>
    <row r="8" customFormat="false" ht="13.8" hidden="false" customHeight="false" outlineLevel="0" collapsed="false">
      <c r="B8" s="38"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8" t="s">
        <v>703</v>
      </c>
      <c r="B10" s="38"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8" t="s">
        <v>704</v>
      </c>
      <c r="B12" s="38" t="s">
        <v>705</v>
      </c>
    </row>
    <row r="13" customFormat="false" ht="13.8" hidden="false" customHeight="false" outlineLevel="0" collapsed="false">
      <c r="A13" s="38" t="s">
        <v>276</v>
      </c>
      <c r="B13" s="18" t="s">
        <v>214</v>
      </c>
    </row>
    <row r="14" customFormat="false" ht="13.8" hidden="false" customHeight="false" outlineLevel="0" collapsed="false">
      <c r="A14" s="38" t="s">
        <v>283</v>
      </c>
      <c r="B14" s="18" t="s">
        <v>219</v>
      </c>
    </row>
    <row r="15" customFormat="false" ht="13.8" hidden="false" customHeight="false" outlineLevel="0" collapsed="false">
      <c r="A15" s="38" t="s">
        <v>298</v>
      </c>
      <c r="B15" s="18" t="s">
        <v>224</v>
      </c>
    </row>
    <row r="16" customFormat="false" ht="13.8" hidden="false" customHeight="false" outlineLevel="0" collapsed="false">
      <c r="A16" s="38" t="s">
        <v>290</v>
      </c>
      <c r="B16" s="18" t="s">
        <v>231</v>
      </c>
    </row>
    <row r="17" customFormat="false" ht="13.8" hidden="false" customHeight="false" outlineLevel="0" collapsed="false">
      <c r="A17" s="38" t="s">
        <v>294</v>
      </c>
      <c r="B17" s="18" t="s">
        <v>238</v>
      </c>
    </row>
    <row r="18" customFormat="false" ht="13.8" hidden="false" customHeight="false" outlineLevel="0" collapsed="false">
      <c r="A18" s="38" t="s">
        <v>305</v>
      </c>
    </row>
    <row r="19" customFormat="false" ht="13.8" hidden="false" customHeight="false" outlineLevel="0" collapsed="false">
      <c r="A19" s="38" t="s">
        <v>301</v>
      </c>
    </row>
    <row r="20" customFormat="false" ht="13.8" hidden="false" customHeight="false" outlineLevel="0" collapsed="false">
      <c r="A20" s="38" t="s">
        <v>308</v>
      </c>
    </row>
    <row r="21" customFormat="false" ht="13.8" hidden="false" customHeight="false" outlineLevel="0" collapsed="false">
      <c r="A21" s="38" t="s">
        <v>315</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8" width="47.71"/>
  </cols>
  <sheetData>
    <row r="1" customFormat="false" ht="13.8" hidden="false" customHeight="false" outlineLevel="0" collapsed="false">
      <c r="A1" s="41" t="s">
        <v>706</v>
      </c>
      <c r="B1" s="41" t="s">
        <v>707</v>
      </c>
      <c r="C1" s="41" t="s">
        <v>708</v>
      </c>
      <c r="D1" s="41" t="n">
        <v>0</v>
      </c>
      <c r="E1" s="38" t="s">
        <v>709</v>
      </c>
    </row>
    <row r="2" customFormat="false" ht="13.8" hidden="false" customHeight="false" outlineLevel="0" collapsed="false">
      <c r="A2" s="41" t="s">
        <v>710</v>
      </c>
      <c r="B2" s="41" t="s">
        <v>711</v>
      </c>
      <c r="C2" s="41" t="s">
        <v>708</v>
      </c>
      <c r="D2" s="41" t="n">
        <v>1</v>
      </c>
      <c r="E2" s="38" t="s">
        <v>709</v>
      </c>
    </row>
    <row r="3" customFormat="false" ht="13.8" hidden="false" customHeight="false" outlineLevel="0" collapsed="false">
      <c r="A3" s="41" t="s">
        <v>712</v>
      </c>
      <c r="B3" s="41" t="s">
        <v>713</v>
      </c>
      <c r="C3" s="41" t="s">
        <v>708</v>
      </c>
      <c r="D3" s="41" t="n">
        <v>2</v>
      </c>
      <c r="E3" s="38" t="s">
        <v>709</v>
      </c>
    </row>
    <row r="4" customFormat="false" ht="13.8" hidden="false" customHeight="false" outlineLevel="0" collapsed="false">
      <c r="A4" s="41" t="s">
        <v>714</v>
      </c>
      <c r="B4" s="41" t="s">
        <v>715</v>
      </c>
      <c r="C4" s="41" t="s">
        <v>708</v>
      </c>
      <c r="D4" s="41" t="n">
        <v>3</v>
      </c>
      <c r="E4" s="38" t="s">
        <v>709</v>
      </c>
    </row>
    <row r="5" customFormat="false" ht="13.8" hidden="false" customHeight="false" outlineLevel="0" collapsed="false">
      <c r="A5" s="41" t="s">
        <v>716</v>
      </c>
      <c r="B5" s="41" t="s">
        <v>717</v>
      </c>
      <c r="C5" s="41" t="s">
        <v>708</v>
      </c>
      <c r="D5" s="41" t="n">
        <v>4</v>
      </c>
      <c r="E5" s="38" t="s">
        <v>709</v>
      </c>
    </row>
    <row r="6" customFormat="false" ht="13.8" hidden="false" customHeight="false" outlineLevel="0" collapsed="false">
      <c r="A6" s="41" t="s">
        <v>718</v>
      </c>
      <c r="B6" s="41" t="s">
        <v>719</v>
      </c>
      <c r="C6" s="41" t="s">
        <v>708</v>
      </c>
      <c r="D6" s="41" t="n">
        <v>5</v>
      </c>
      <c r="E6" s="38" t="s">
        <v>709</v>
      </c>
    </row>
    <row r="7" customFormat="false" ht="13.8" hidden="false" customHeight="false" outlineLevel="0" collapsed="false">
      <c r="A7" s="41" t="s">
        <v>720</v>
      </c>
      <c r="B7" s="41" t="s">
        <v>721</v>
      </c>
      <c r="C7" s="41" t="s">
        <v>708</v>
      </c>
      <c r="D7" s="41" t="n">
        <v>6</v>
      </c>
      <c r="E7" s="38" t="s">
        <v>709</v>
      </c>
    </row>
    <row r="8" customFormat="false" ht="13.8" hidden="false" customHeight="false" outlineLevel="0" collapsed="false">
      <c r="A8" s="41" t="s">
        <v>722</v>
      </c>
      <c r="B8" s="41" t="s">
        <v>723</v>
      </c>
      <c r="C8" s="41" t="s">
        <v>708</v>
      </c>
      <c r="D8" s="41" t="n">
        <v>7</v>
      </c>
      <c r="E8" s="38" t="s">
        <v>709</v>
      </c>
    </row>
    <row r="9" customFormat="false" ht="13.8" hidden="false" customHeight="false" outlineLevel="0" collapsed="false">
      <c r="A9" s="41" t="s">
        <v>724</v>
      </c>
      <c r="B9" s="41" t="s">
        <v>725</v>
      </c>
      <c r="C9" s="41" t="s">
        <v>708</v>
      </c>
      <c r="D9" s="41" t="n">
        <v>8</v>
      </c>
      <c r="E9" s="38" t="s">
        <v>709</v>
      </c>
    </row>
    <row r="10" customFormat="false" ht="13.8" hidden="false" customHeight="false" outlineLevel="0" collapsed="false">
      <c r="A10" s="41" t="s">
        <v>726</v>
      </c>
      <c r="B10" s="41" t="s">
        <v>727</v>
      </c>
      <c r="C10" s="41" t="s">
        <v>708</v>
      </c>
      <c r="D10" s="41" t="n">
        <v>9</v>
      </c>
      <c r="E10" s="38" t="s">
        <v>709</v>
      </c>
    </row>
    <row r="11" customFormat="false" ht="13.8" hidden="false" customHeight="false" outlineLevel="0" collapsed="false">
      <c r="A11" s="41" t="s">
        <v>728</v>
      </c>
      <c r="B11" s="41" t="s">
        <v>729</v>
      </c>
      <c r="C11" s="41" t="s">
        <v>708</v>
      </c>
      <c r="D11" s="41" t="n">
        <v>10</v>
      </c>
      <c r="E11" s="38" t="s">
        <v>709</v>
      </c>
    </row>
    <row r="12" customFormat="false" ht="13.8" hidden="false" customHeight="false" outlineLevel="0" collapsed="false">
      <c r="A12" s="41" t="s">
        <v>730</v>
      </c>
      <c r="B12" s="41" t="s">
        <v>731</v>
      </c>
      <c r="C12" s="41" t="s">
        <v>708</v>
      </c>
      <c r="D12" s="41" t="n">
        <v>11</v>
      </c>
      <c r="E12" s="38" t="s">
        <v>709</v>
      </c>
    </row>
    <row r="13" customFormat="false" ht="13.8" hidden="false" customHeight="false" outlineLevel="0" collapsed="false">
      <c r="A13" s="41" t="s">
        <v>732</v>
      </c>
      <c r="B13" s="41" t="s">
        <v>733</v>
      </c>
      <c r="C13" s="41" t="s">
        <v>708</v>
      </c>
      <c r="D13" s="41" t="n">
        <v>12</v>
      </c>
      <c r="E13" s="38" t="s">
        <v>709</v>
      </c>
    </row>
    <row r="14" customFormat="false" ht="13.8" hidden="false" customHeight="false" outlineLevel="0" collapsed="false">
      <c r="A14" s="41" t="s">
        <v>734</v>
      </c>
      <c r="B14" s="41" t="s">
        <v>735</v>
      </c>
      <c r="C14" s="41" t="s">
        <v>708</v>
      </c>
      <c r="D14" s="41" t="n">
        <v>13</v>
      </c>
      <c r="E14" s="38" t="s">
        <v>709</v>
      </c>
    </row>
    <row r="15" customFormat="false" ht="13.8" hidden="false" customHeight="false" outlineLevel="0" collapsed="false">
      <c r="A15" s="41" t="s">
        <v>736</v>
      </c>
      <c r="B15" s="41" t="s">
        <v>737</v>
      </c>
      <c r="C15" s="41" t="s">
        <v>708</v>
      </c>
      <c r="D15" s="41" t="n">
        <v>14</v>
      </c>
      <c r="E15" s="38" t="s">
        <v>709</v>
      </c>
    </row>
    <row r="16" customFormat="false" ht="13.8" hidden="false" customHeight="false" outlineLevel="0" collapsed="false">
      <c r="A16" s="41" t="s">
        <v>738</v>
      </c>
      <c r="B16" s="41" t="s">
        <v>739</v>
      </c>
      <c r="C16" s="41" t="s">
        <v>708</v>
      </c>
      <c r="D16" s="41" t="n">
        <v>15</v>
      </c>
      <c r="E16" s="38" t="s">
        <v>709</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83"/>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0" width="37.15"/>
    <col collapsed="false" customWidth="true" hidden="false" outlineLevel="0" max="2" min="2" style="0" width="36.63"/>
    <col collapsed="false" customWidth="true" hidden="false" outlineLevel="0" max="4" min="3" style="0" width="8.61"/>
    <col collapsed="false" customWidth="true" hidden="false" outlineLevel="0" max="6" min="6" style="0" width="260.86"/>
    <col collapsed="false" customWidth="true" hidden="false" outlineLevel="0" max="7" min="7" style="0" width="147.75"/>
  </cols>
  <sheetData>
    <row r="1" customFormat="false" ht="13.8" hidden="false" customHeight="false" outlineLevel="0" collapsed="false">
      <c r="A1" s="42" t="s">
        <v>0</v>
      </c>
      <c r="B1" s="43" t="s">
        <v>1</v>
      </c>
      <c r="C1" s="43" t="s">
        <v>7</v>
      </c>
      <c r="D1" s="43" t="s">
        <v>9</v>
      </c>
      <c r="E1" s="43" t="s">
        <v>12</v>
      </c>
      <c r="F1" s="43" t="s">
        <v>83</v>
      </c>
      <c r="G1" s="44" t="s">
        <v>740</v>
      </c>
    </row>
    <row r="2" customFormat="false" ht="13.8" hidden="false" customHeight="false" outlineLevel="0" collapsed="false">
      <c r="A2" s="45" t="s">
        <v>459</v>
      </c>
      <c r="B2" s="46" t="s">
        <v>460</v>
      </c>
      <c r="C2" s="46" t="s">
        <v>461</v>
      </c>
      <c r="D2" s="46" t="n">
        <v>1924</v>
      </c>
      <c r="E2" s="46" t="s">
        <v>740</v>
      </c>
      <c r="F2" s="46" t="s">
        <v>465</v>
      </c>
      <c r="G2" s="47"/>
    </row>
    <row r="3" customFormat="false" ht="13.8" hidden="false" customHeight="false" outlineLevel="0" collapsed="false">
      <c r="A3" s="45" t="s">
        <v>473</v>
      </c>
      <c r="B3" s="46" t="s">
        <v>474</v>
      </c>
      <c r="C3" s="46" t="s">
        <v>461</v>
      </c>
      <c r="D3" s="46" t="n">
        <v>1936</v>
      </c>
      <c r="E3" s="46" t="s">
        <v>740</v>
      </c>
      <c r="F3" s="46" t="s">
        <v>475</v>
      </c>
      <c r="G3" s="47"/>
    </row>
    <row r="4" customFormat="false" ht="13.8" hidden="false" customHeight="false" outlineLevel="0" collapsed="false">
      <c r="A4" s="45" t="s">
        <v>476</v>
      </c>
      <c r="B4" s="46" t="s">
        <v>477</v>
      </c>
      <c r="C4" s="46" t="s">
        <v>461</v>
      </c>
      <c r="D4" s="46" t="n">
        <v>1936</v>
      </c>
      <c r="E4" s="46" t="s">
        <v>740</v>
      </c>
      <c r="F4" s="46" t="s">
        <v>478</v>
      </c>
      <c r="G4" s="47"/>
    </row>
    <row r="5" customFormat="false" ht="13.8" hidden="false" customHeight="false" outlineLevel="0" collapsed="false">
      <c r="A5" s="45" t="s">
        <v>466</v>
      </c>
      <c r="B5" s="46" t="s">
        <v>467</v>
      </c>
      <c r="C5" s="46" t="s">
        <v>461</v>
      </c>
      <c r="D5" s="46" t="n">
        <v>1938</v>
      </c>
      <c r="E5" s="46" t="s">
        <v>740</v>
      </c>
      <c r="F5" s="46" t="s">
        <v>468</v>
      </c>
      <c r="G5" s="47"/>
    </row>
    <row r="6" customFormat="false" ht="13.8" hidden="false" customHeight="false" outlineLevel="0" collapsed="false">
      <c r="A6" s="45" t="s">
        <v>493</v>
      </c>
      <c r="B6" s="46" t="s">
        <v>494</v>
      </c>
      <c r="C6" s="46" t="s">
        <v>495</v>
      </c>
      <c r="D6" s="46" t="n">
        <v>1957</v>
      </c>
      <c r="E6" s="46" t="s">
        <v>740</v>
      </c>
      <c r="F6" s="46" t="s">
        <v>497</v>
      </c>
      <c r="G6" s="47"/>
    </row>
    <row r="7" customFormat="false" ht="13.8" hidden="false" customHeight="false" outlineLevel="0" collapsed="false">
      <c r="A7" s="45" t="s">
        <v>498</v>
      </c>
      <c r="B7" s="46" t="s">
        <v>499</v>
      </c>
      <c r="C7" s="46" t="s">
        <v>495</v>
      </c>
      <c r="D7" s="46" t="n">
        <v>1975</v>
      </c>
      <c r="E7" s="46" t="s">
        <v>740</v>
      </c>
      <c r="F7" s="46" t="s">
        <v>500</v>
      </c>
      <c r="G7" s="47"/>
    </row>
    <row r="8" customFormat="false" ht="13.8" hidden="false" customHeight="false" outlineLevel="0" collapsed="false">
      <c r="A8" s="45" t="s">
        <v>508</v>
      </c>
      <c r="B8" s="46" t="s">
        <v>509</v>
      </c>
      <c r="C8" s="46" t="s">
        <v>495</v>
      </c>
      <c r="D8" s="46" t="n">
        <v>1975</v>
      </c>
      <c r="E8" s="46" t="s">
        <v>740</v>
      </c>
      <c r="F8" s="46" t="s">
        <v>511</v>
      </c>
      <c r="G8" s="47"/>
    </row>
    <row r="9" customFormat="false" ht="13.8" hidden="false" customHeight="false" outlineLevel="0" collapsed="false">
      <c r="A9" s="45" t="s">
        <v>501</v>
      </c>
      <c r="B9" s="46" t="s">
        <v>502</v>
      </c>
      <c r="C9" s="46" t="s">
        <v>495</v>
      </c>
      <c r="D9" s="46" t="n">
        <v>1989</v>
      </c>
      <c r="E9" s="46" t="s">
        <v>740</v>
      </c>
      <c r="F9" s="46" t="s">
        <v>503</v>
      </c>
      <c r="G9" s="47"/>
    </row>
    <row r="10" customFormat="false" ht="13.8" hidden="false" customHeight="false" outlineLevel="0" collapsed="false">
      <c r="A10" s="45" t="s">
        <v>504</v>
      </c>
      <c r="B10" s="46" t="s">
        <v>505</v>
      </c>
      <c r="C10" s="46" t="s">
        <v>495</v>
      </c>
      <c r="D10" s="46" t="n">
        <v>1994</v>
      </c>
      <c r="E10" s="46" t="s">
        <v>740</v>
      </c>
      <c r="F10" s="46" t="s">
        <v>507</v>
      </c>
      <c r="G10" s="47"/>
    </row>
    <row r="11" customFormat="false" ht="13.8" hidden="false" customHeight="false" outlineLevel="0" collapsed="false">
      <c r="A11" s="45" t="s">
        <v>531</v>
      </c>
      <c r="B11" s="46" t="s">
        <v>532</v>
      </c>
      <c r="C11" s="46" t="s">
        <v>495</v>
      </c>
      <c r="D11" s="46" t="n">
        <v>2018</v>
      </c>
      <c r="E11" s="46" t="s">
        <v>740</v>
      </c>
      <c r="F11" s="46" t="s">
        <v>534</v>
      </c>
      <c r="G11" s="47"/>
    </row>
    <row r="12" customFormat="false" ht="13.8" hidden="false" customHeight="false" outlineLevel="0" collapsed="false">
      <c r="A12" s="45" t="s">
        <v>539</v>
      </c>
      <c r="B12" s="46" t="s">
        <v>540</v>
      </c>
      <c r="C12" s="46" t="s">
        <v>495</v>
      </c>
      <c r="D12" s="46" t="n">
        <v>2018</v>
      </c>
      <c r="E12" s="46" t="s">
        <v>740</v>
      </c>
      <c r="F12" s="46" t="s">
        <v>542</v>
      </c>
      <c r="G12" s="47"/>
    </row>
    <row r="13" customFormat="false" ht="13.8" hidden="false" customHeight="false" outlineLevel="0" collapsed="false">
      <c r="A13" s="45" t="s">
        <v>535</v>
      </c>
      <c r="B13" s="46" t="s">
        <v>536</v>
      </c>
      <c r="C13" s="46" t="s">
        <v>495</v>
      </c>
      <c r="D13" s="46" t="n">
        <v>2018</v>
      </c>
      <c r="E13" s="46" t="s">
        <v>740</v>
      </c>
      <c r="F13" s="46" t="s">
        <v>538</v>
      </c>
      <c r="G13" s="47"/>
    </row>
    <row r="14" customFormat="false" ht="13.8" hidden="false" customHeight="false" outlineLevel="0" collapsed="false">
      <c r="A14" s="45" t="s">
        <v>150</v>
      </c>
      <c r="B14" s="46" t="s">
        <v>151</v>
      </c>
      <c r="C14" s="46" t="s">
        <v>152</v>
      </c>
      <c r="D14" s="46" t="n">
        <v>1936</v>
      </c>
      <c r="E14" s="46" t="s">
        <v>740</v>
      </c>
      <c r="F14" s="46" t="s">
        <v>155</v>
      </c>
      <c r="G14" s="47"/>
    </row>
    <row r="15" customFormat="false" ht="13.8" hidden="false" customHeight="false" outlineLevel="0" collapsed="false">
      <c r="A15" s="45" t="s">
        <v>156</v>
      </c>
      <c r="B15" s="46" t="s">
        <v>157</v>
      </c>
      <c r="C15" s="46" t="s">
        <v>152</v>
      </c>
      <c r="D15" s="46" t="n">
        <v>1938</v>
      </c>
      <c r="E15" s="46" t="s">
        <v>740</v>
      </c>
      <c r="F15" s="46" t="s">
        <v>158</v>
      </c>
      <c r="G15" s="47"/>
    </row>
    <row r="16" customFormat="false" ht="13.8" hidden="false" customHeight="false" outlineLevel="0" collapsed="false">
      <c r="A16" s="45" t="s">
        <v>167</v>
      </c>
      <c r="B16" s="46" t="s">
        <v>168</v>
      </c>
      <c r="C16" s="46" t="s">
        <v>152</v>
      </c>
      <c r="D16" s="46" t="n">
        <v>1956</v>
      </c>
      <c r="E16" s="46" t="n">
        <v>4</v>
      </c>
      <c r="F16" s="46" t="s">
        <v>174</v>
      </c>
      <c r="G16" s="47"/>
    </row>
    <row r="17" customFormat="false" ht="13.8" hidden="false" customHeight="false" outlineLevel="0" collapsed="false">
      <c r="A17" s="45" t="s">
        <v>175</v>
      </c>
      <c r="B17" s="46" t="s">
        <v>176</v>
      </c>
      <c r="C17" s="46" t="s">
        <v>152</v>
      </c>
      <c r="D17" s="46" t="n">
        <v>1956</v>
      </c>
      <c r="E17" s="46" t="n">
        <v>6</v>
      </c>
      <c r="F17" s="46" t="s">
        <v>174</v>
      </c>
      <c r="G17" s="47"/>
    </row>
    <row r="18" customFormat="false" ht="13.8" hidden="false" customHeight="false" outlineLevel="0" collapsed="false">
      <c r="A18" s="45" t="s">
        <v>186</v>
      </c>
      <c r="B18" s="46" t="s">
        <v>187</v>
      </c>
      <c r="C18" s="46" t="s">
        <v>152</v>
      </c>
      <c r="D18" s="46" t="n">
        <v>1957</v>
      </c>
      <c r="E18" s="46" t="n">
        <v>2</v>
      </c>
      <c r="F18" s="46" t="s">
        <v>185</v>
      </c>
      <c r="G18" s="47"/>
    </row>
    <row r="19" customFormat="false" ht="13.8" hidden="false" customHeight="false" outlineLevel="0" collapsed="false">
      <c r="A19" s="45" t="s">
        <v>180</v>
      </c>
      <c r="B19" s="46" t="s">
        <v>181</v>
      </c>
      <c r="C19" s="46" t="s">
        <v>152</v>
      </c>
      <c r="D19" s="46" t="n">
        <v>1957</v>
      </c>
      <c r="E19" s="46" t="n">
        <v>3</v>
      </c>
      <c r="F19" s="46" t="s">
        <v>185</v>
      </c>
      <c r="G19" s="47"/>
    </row>
    <row r="20" customFormat="false" ht="13.8" hidden="false" customHeight="false" outlineLevel="0" collapsed="false">
      <c r="A20" s="45" t="s">
        <v>203</v>
      </c>
      <c r="B20" s="46" t="s">
        <v>204</v>
      </c>
      <c r="C20" s="46" t="s">
        <v>152</v>
      </c>
      <c r="D20" s="46" t="n">
        <v>1960</v>
      </c>
      <c r="E20" s="46" t="n">
        <v>8</v>
      </c>
      <c r="F20" s="46" t="s">
        <v>212</v>
      </c>
      <c r="G20" s="47"/>
    </row>
    <row r="21" customFormat="false" ht="13.8" hidden="false" customHeight="false" outlineLevel="0" collapsed="false">
      <c r="A21" s="45" t="s">
        <v>198</v>
      </c>
      <c r="B21" s="46" t="s">
        <v>196</v>
      </c>
      <c r="C21" s="46" t="s">
        <v>152</v>
      </c>
      <c r="D21" s="46" t="n">
        <v>1982</v>
      </c>
      <c r="E21" s="46" t="n">
        <v>3</v>
      </c>
      <c r="F21" s="46" t="s">
        <v>202</v>
      </c>
      <c r="G21" s="47"/>
    </row>
    <row r="22" customFormat="false" ht="13.8" hidden="false" customHeight="false" outlineLevel="0" collapsed="false">
      <c r="A22" s="45" t="s">
        <v>191</v>
      </c>
      <c r="B22" s="46" t="s">
        <v>192</v>
      </c>
      <c r="C22" s="46" t="s">
        <v>152</v>
      </c>
      <c r="D22" s="46" t="n">
        <v>1982</v>
      </c>
      <c r="E22" s="46" t="n">
        <v>4</v>
      </c>
      <c r="F22" s="46" t="s">
        <v>197</v>
      </c>
      <c r="G22" s="47"/>
    </row>
    <row r="23" customFormat="false" ht="13.8" hidden="false" customHeight="false" outlineLevel="0" collapsed="false">
      <c r="A23" s="45" t="s">
        <v>338</v>
      </c>
      <c r="B23" s="46" t="s">
        <v>339</v>
      </c>
      <c r="C23" s="46" t="s">
        <v>152</v>
      </c>
      <c r="D23" s="46" t="n">
        <v>1985</v>
      </c>
      <c r="E23" s="46" t="s">
        <v>740</v>
      </c>
      <c r="F23" s="46" t="s">
        <v>340</v>
      </c>
      <c r="G23" s="47"/>
    </row>
    <row r="24" customFormat="false" ht="13.8" hidden="false" customHeight="false" outlineLevel="0" collapsed="false">
      <c r="A24" s="45" t="s">
        <v>159</v>
      </c>
      <c r="B24" s="46" t="s">
        <v>160</v>
      </c>
      <c r="C24" s="46" t="s">
        <v>152</v>
      </c>
      <c r="D24" s="46" t="n">
        <v>1985</v>
      </c>
      <c r="E24" s="46" t="n">
        <v>3</v>
      </c>
      <c r="F24" s="46" t="s">
        <v>166</v>
      </c>
      <c r="G24" s="47"/>
    </row>
    <row r="25" customFormat="false" ht="13.8" hidden="false" customHeight="false" outlineLevel="0" collapsed="false">
      <c r="A25" s="45" t="s">
        <v>318</v>
      </c>
      <c r="B25" s="46" t="s">
        <v>319</v>
      </c>
      <c r="C25" s="46" t="s">
        <v>152</v>
      </c>
      <c r="D25" s="46" t="n">
        <v>1986</v>
      </c>
      <c r="E25" s="46" t="s">
        <v>740</v>
      </c>
      <c r="F25" s="46" t="s">
        <v>321</v>
      </c>
      <c r="G25" s="47"/>
    </row>
    <row r="26" customFormat="false" ht="13.8" hidden="false" customHeight="false" outlineLevel="0" collapsed="false">
      <c r="A26" s="45" t="s">
        <v>264</v>
      </c>
      <c r="B26" s="46" t="s">
        <v>265</v>
      </c>
      <c r="C26" s="46" t="s">
        <v>152</v>
      </c>
      <c r="D26" s="46" t="n">
        <v>1991</v>
      </c>
      <c r="E26" s="46" t="n">
        <v>1</v>
      </c>
      <c r="F26" s="46" t="s">
        <v>269</v>
      </c>
      <c r="G26" s="47"/>
    </row>
    <row r="27" customFormat="false" ht="13.8" hidden="false" customHeight="false" outlineLevel="0" collapsed="false">
      <c r="A27" s="45" t="s">
        <v>362</v>
      </c>
      <c r="B27" s="46" t="s">
        <v>363</v>
      </c>
      <c r="C27" s="46" t="s">
        <v>152</v>
      </c>
      <c r="D27" s="46" t="n">
        <v>1994</v>
      </c>
      <c r="E27" s="46" t="s">
        <v>740</v>
      </c>
      <c r="F27" s="46" t="s">
        <v>364</v>
      </c>
      <c r="G27" s="47"/>
    </row>
    <row r="28" customFormat="false" ht="13.8" hidden="false" customHeight="false" outlineLevel="0" collapsed="false">
      <c r="A28" s="45" t="s">
        <v>373</v>
      </c>
      <c r="B28" s="46" t="s">
        <v>374</v>
      </c>
      <c r="C28" s="46" t="s">
        <v>152</v>
      </c>
      <c r="D28" s="46" t="n">
        <v>1999</v>
      </c>
      <c r="E28" s="46" t="n">
        <v>2</v>
      </c>
      <c r="F28" s="46" t="s">
        <v>372</v>
      </c>
      <c r="G28" s="47"/>
    </row>
    <row r="29" customFormat="false" ht="13.8" hidden="false" customHeight="false" outlineLevel="0" collapsed="false">
      <c r="A29" s="45" t="s">
        <v>377</v>
      </c>
      <c r="B29" s="46" t="s">
        <v>378</v>
      </c>
      <c r="C29" s="46" t="s">
        <v>152</v>
      </c>
      <c r="D29" s="46" t="n">
        <v>1999</v>
      </c>
      <c r="E29" s="46" t="n">
        <v>3</v>
      </c>
      <c r="F29" s="46" t="s">
        <v>372</v>
      </c>
      <c r="G29" s="47"/>
    </row>
    <row r="30" customFormat="false" ht="13.8" hidden="false" customHeight="false" outlineLevel="0" collapsed="false">
      <c r="A30" s="45" t="s">
        <v>381</v>
      </c>
      <c r="B30" s="46" t="s">
        <v>382</v>
      </c>
      <c r="C30" s="46" t="s">
        <v>152</v>
      </c>
      <c r="D30" s="46" t="n">
        <v>1999</v>
      </c>
      <c r="E30" s="46" t="n">
        <v>4</v>
      </c>
      <c r="F30" s="46" t="s">
        <v>372</v>
      </c>
      <c r="G30" s="47"/>
    </row>
    <row r="31" customFormat="false" ht="13.8" hidden="false" customHeight="false" outlineLevel="0" collapsed="false">
      <c r="A31" s="45" t="s">
        <v>384</v>
      </c>
      <c r="B31" s="46" t="s">
        <v>385</v>
      </c>
      <c r="C31" s="46" t="s">
        <v>152</v>
      </c>
      <c r="D31" s="46" t="n">
        <v>1999</v>
      </c>
      <c r="E31" s="46" t="n">
        <v>5</v>
      </c>
      <c r="F31" s="46" t="s">
        <v>372</v>
      </c>
      <c r="G31" s="47"/>
    </row>
    <row r="32" customFormat="false" ht="13.8" hidden="false" customHeight="false" outlineLevel="0" collapsed="false">
      <c r="A32" s="48" t="s">
        <v>365</v>
      </c>
      <c r="B32" s="49" t="s">
        <v>366</v>
      </c>
      <c r="C32" s="49" t="s">
        <v>152</v>
      </c>
      <c r="D32" s="49" t="n">
        <v>1999</v>
      </c>
      <c r="E32" s="49" t="n">
        <v>1</v>
      </c>
      <c r="F32" s="49" t="s">
        <v>372</v>
      </c>
      <c r="G32" s="50"/>
    </row>
    <row r="33" customFormat="false" ht="13.8" hidden="false" customHeight="false" outlineLevel="0" collapsed="false">
      <c r="A33" s="45" t="s">
        <v>329</v>
      </c>
      <c r="B33" s="46" t="s">
        <v>330</v>
      </c>
      <c r="C33" s="46" t="s">
        <v>331</v>
      </c>
      <c r="D33" s="46" t="n">
        <v>1986</v>
      </c>
      <c r="E33" s="46" t="s">
        <v>740</v>
      </c>
      <c r="F33" s="46" t="s">
        <v>332</v>
      </c>
      <c r="G33" s="47"/>
    </row>
    <row r="34" customFormat="false" ht="13.8" hidden="false" customHeight="false" outlineLevel="0" collapsed="false">
      <c r="A34" s="45" t="s">
        <v>341</v>
      </c>
      <c r="B34" s="46" t="s">
        <v>342</v>
      </c>
      <c r="C34" s="46" t="s">
        <v>331</v>
      </c>
      <c r="D34" s="46" t="n">
        <v>1992</v>
      </c>
      <c r="E34" s="46" t="n">
        <v>20</v>
      </c>
      <c r="F34" s="46" t="s">
        <v>349</v>
      </c>
      <c r="G34" s="47"/>
    </row>
    <row r="35" customFormat="false" ht="13.8" hidden="false" customHeight="false" outlineLevel="0" collapsed="false">
      <c r="A35" s="45" t="s">
        <v>350</v>
      </c>
      <c r="B35" s="46" t="s">
        <v>351</v>
      </c>
      <c r="C35" s="46" t="s">
        <v>331</v>
      </c>
      <c r="D35" s="46" t="n">
        <v>1992</v>
      </c>
      <c r="E35" s="46" t="n">
        <v>16</v>
      </c>
      <c r="F35" s="46" t="s">
        <v>357</v>
      </c>
      <c r="G35" s="47"/>
    </row>
    <row r="36" customFormat="false" ht="13.8" hidden="false" customHeight="false" outlineLevel="0" collapsed="false">
      <c r="A36" s="45" t="s">
        <v>254</v>
      </c>
      <c r="B36" s="46" t="s">
        <v>255</v>
      </c>
      <c r="C36" s="46" t="s">
        <v>256</v>
      </c>
      <c r="D36" s="46" t="n">
        <v>1959</v>
      </c>
      <c r="E36" s="46" t="n">
        <v>1</v>
      </c>
      <c r="F36" s="46" t="s">
        <v>259</v>
      </c>
      <c r="G36" s="47"/>
    </row>
    <row r="37" customFormat="false" ht="13.8" hidden="false" customHeight="false" outlineLevel="0" collapsed="false">
      <c r="A37" s="45" t="s">
        <v>406</v>
      </c>
      <c r="B37" s="46" t="s">
        <v>407</v>
      </c>
      <c r="C37" s="46" t="s">
        <v>256</v>
      </c>
      <c r="D37" s="46" t="n">
        <v>2014</v>
      </c>
      <c r="E37" s="46" t="s">
        <v>740</v>
      </c>
      <c r="F37" s="46" t="s">
        <v>409</v>
      </c>
      <c r="G37" s="47"/>
    </row>
    <row r="38" customFormat="false" ht="13.8" hidden="false" customHeight="false" outlineLevel="0" collapsed="false">
      <c r="A38" s="45" t="s">
        <v>436</v>
      </c>
      <c r="B38" s="46" t="s">
        <v>437</v>
      </c>
      <c r="C38" s="46" t="s">
        <v>256</v>
      </c>
      <c r="D38" s="46" t="n">
        <v>2022</v>
      </c>
      <c r="E38" s="46" t="n">
        <v>5</v>
      </c>
      <c r="F38" s="46" t="s">
        <v>440</v>
      </c>
      <c r="G38" s="47"/>
    </row>
    <row r="39" customFormat="false" ht="13.8" hidden="false" customHeight="false" outlineLevel="0" collapsed="false">
      <c r="A39" s="45" t="s">
        <v>87</v>
      </c>
      <c r="B39" s="46" t="s">
        <v>88</v>
      </c>
      <c r="C39" s="46" t="s">
        <v>91</v>
      </c>
      <c r="D39" s="46" t="n">
        <v>1907</v>
      </c>
      <c r="E39" s="46" t="n">
        <v>1</v>
      </c>
      <c r="F39" s="46" t="s">
        <v>98</v>
      </c>
      <c r="G39" s="47"/>
    </row>
    <row r="40" customFormat="false" ht="13.8" hidden="false" customHeight="false" outlineLevel="0" collapsed="false">
      <c r="A40" s="45" t="s">
        <v>99</v>
      </c>
      <c r="B40" s="46" t="s">
        <v>100</v>
      </c>
      <c r="C40" s="46" t="s">
        <v>91</v>
      </c>
      <c r="D40" s="46" t="n">
        <v>1907</v>
      </c>
      <c r="E40" s="46" t="n">
        <v>2</v>
      </c>
      <c r="F40" s="46" t="s">
        <v>98</v>
      </c>
      <c r="G40" s="47"/>
    </row>
    <row r="41" customFormat="false" ht="13.8" hidden="false" customHeight="false" outlineLevel="0" collapsed="false">
      <c r="A41" s="45" t="s">
        <v>105</v>
      </c>
      <c r="B41" s="46" t="s">
        <v>106</v>
      </c>
      <c r="C41" s="46" t="s">
        <v>91</v>
      </c>
      <c r="D41" s="46" t="n">
        <v>1907</v>
      </c>
      <c r="E41" s="46" t="n">
        <v>3</v>
      </c>
      <c r="F41" s="46" t="s">
        <v>98</v>
      </c>
      <c r="G41" s="47"/>
    </row>
    <row r="42" customFormat="false" ht="13.8" hidden="false" customHeight="false" outlineLevel="0" collapsed="false">
      <c r="A42" s="45" t="s">
        <v>110</v>
      </c>
      <c r="B42" s="46" t="s">
        <v>111</v>
      </c>
      <c r="C42" s="46" t="s">
        <v>91</v>
      </c>
      <c r="D42" s="46" t="n">
        <v>1911</v>
      </c>
      <c r="E42" s="46" t="n">
        <v>2</v>
      </c>
      <c r="F42" s="46" t="s">
        <v>116</v>
      </c>
      <c r="G42" s="47"/>
    </row>
    <row r="43" customFormat="false" ht="13.8" hidden="false" customHeight="false" outlineLevel="0" collapsed="false">
      <c r="A43" s="45" t="s">
        <v>117</v>
      </c>
      <c r="B43" s="46" t="s">
        <v>118</v>
      </c>
      <c r="C43" s="46" t="s">
        <v>91</v>
      </c>
      <c r="D43" s="46" t="n">
        <v>1911</v>
      </c>
      <c r="E43" s="46" t="n">
        <v>3</v>
      </c>
      <c r="F43" s="46" t="s">
        <v>116</v>
      </c>
      <c r="G43" s="47"/>
    </row>
    <row r="44" customFormat="false" ht="13.8" hidden="false" customHeight="false" outlineLevel="0" collapsed="false">
      <c r="A44" s="45" t="s">
        <v>122</v>
      </c>
      <c r="B44" s="46" t="s">
        <v>123</v>
      </c>
      <c r="C44" s="46" t="s">
        <v>91</v>
      </c>
      <c r="D44" s="46" t="n">
        <v>1911</v>
      </c>
      <c r="E44" s="46" t="n">
        <v>4</v>
      </c>
      <c r="F44" s="46" t="s">
        <v>116</v>
      </c>
      <c r="G44" s="47"/>
    </row>
    <row r="45" customFormat="false" ht="13.8" hidden="false" customHeight="false" outlineLevel="0" collapsed="false">
      <c r="A45" s="45" t="s">
        <v>127</v>
      </c>
      <c r="B45" s="46" t="s">
        <v>128</v>
      </c>
      <c r="C45" s="46" t="s">
        <v>91</v>
      </c>
      <c r="D45" s="46" t="n">
        <v>1911</v>
      </c>
      <c r="E45" s="46" t="n">
        <v>5</v>
      </c>
      <c r="F45" s="46" t="s">
        <v>116</v>
      </c>
      <c r="G45" s="47"/>
    </row>
    <row r="46" customFormat="false" ht="13.8" hidden="false" customHeight="false" outlineLevel="0" collapsed="false">
      <c r="A46" s="45" t="s">
        <v>132</v>
      </c>
      <c r="B46" s="46" t="s">
        <v>133</v>
      </c>
      <c r="C46" s="46" t="s">
        <v>91</v>
      </c>
      <c r="D46" s="46" t="n">
        <v>1911</v>
      </c>
      <c r="E46" s="46" t="n">
        <v>6</v>
      </c>
      <c r="F46" s="46" t="s">
        <v>116</v>
      </c>
      <c r="G46" s="47"/>
    </row>
    <row r="47" customFormat="false" ht="13.8" hidden="false" customHeight="false" outlineLevel="0" collapsed="false">
      <c r="A47" s="45" t="s">
        <v>137</v>
      </c>
      <c r="B47" s="46" t="s">
        <v>138</v>
      </c>
      <c r="C47" s="46" t="s">
        <v>91</v>
      </c>
      <c r="D47" s="46" t="n">
        <v>1925</v>
      </c>
      <c r="E47" s="46" t="n">
        <v>5</v>
      </c>
      <c r="F47" s="46" t="s">
        <v>144</v>
      </c>
      <c r="G47" s="47"/>
    </row>
    <row r="48" customFormat="false" ht="13.8" hidden="false" customHeight="false" outlineLevel="0" collapsed="false">
      <c r="A48" s="45" t="s">
        <v>145</v>
      </c>
      <c r="B48" s="46" t="s">
        <v>146</v>
      </c>
      <c r="C48" s="46" t="s">
        <v>91</v>
      </c>
      <c r="D48" s="46" t="n">
        <v>1925</v>
      </c>
      <c r="E48" s="46" t="s">
        <v>740</v>
      </c>
      <c r="F48" s="46" t="s">
        <v>149</v>
      </c>
      <c r="G48" s="47"/>
    </row>
    <row r="49" customFormat="false" ht="13.8" hidden="false" customHeight="false" outlineLevel="0" collapsed="false">
      <c r="A49" s="45" t="s">
        <v>247</v>
      </c>
      <c r="B49" s="46" t="s">
        <v>248</v>
      </c>
      <c r="C49" s="46" t="s">
        <v>91</v>
      </c>
      <c r="D49" s="46" t="n">
        <v>1956</v>
      </c>
      <c r="E49" s="46" t="n">
        <v>4</v>
      </c>
      <c r="F49" s="46" t="s">
        <v>253</v>
      </c>
      <c r="G49" s="47"/>
    </row>
    <row r="50" customFormat="false" ht="13.8" hidden="false" customHeight="false" outlineLevel="0" collapsed="false">
      <c r="A50" s="45" t="s">
        <v>213</v>
      </c>
      <c r="B50" s="46" t="s">
        <v>214</v>
      </c>
      <c r="C50" s="46" t="s">
        <v>91</v>
      </c>
      <c r="D50" s="46" t="n">
        <v>1959</v>
      </c>
      <c r="E50" s="46" t="n">
        <v>4</v>
      </c>
      <c r="F50" s="46" t="s">
        <v>217</v>
      </c>
      <c r="G50" s="47"/>
    </row>
    <row r="51" customFormat="false" ht="13.8" hidden="false" customHeight="false" outlineLevel="0" collapsed="false">
      <c r="A51" s="45" t="s">
        <v>218</v>
      </c>
      <c r="B51" s="46" t="s">
        <v>219</v>
      </c>
      <c r="C51" s="46" t="s">
        <v>91</v>
      </c>
      <c r="D51" s="46" t="n">
        <v>1959</v>
      </c>
      <c r="E51" s="46" t="n">
        <v>3</v>
      </c>
      <c r="F51" s="46" t="s">
        <v>222</v>
      </c>
      <c r="G51" s="47"/>
    </row>
    <row r="52" customFormat="false" ht="13.8" hidden="false" customHeight="false" outlineLevel="0" collapsed="false">
      <c r="A52" s="45" t="s">
        <v>260</v>
      </c>
      <c r="B52" s="46" t="s">
        <v>261</v>
      </c>
      <c r="C52" s="46" t="s">
        <v>91</v>
      </c>
      <c r="D52" s="46" t="n">
        <v>1959</v>
      </c>
      <c r="E52" s="46" t="n">
        <v>1</v>
      </c>
      <c r="F52" s="46" t="s">
        <v>263</v>
      </c>
      <c r="G52" s="47"/>
    </row>
    <row r="53" customFormat="false" ht="13.8" hidden="false" customHeight="false" outlineLevel="0" collapsed="false">
      <c r="A53" s="45" t="s">
        <v>223</v>
      </c>
      <c r="B53" s="46" t="s">
        <v>224</v>
      </c>
      <c r="C53" s="46" t="s">
        <v>91</v>
      </c>
      <c r="D53" s="46" t="n">
        <v>1962</v>
      </c>
      <c r="E53" s="46" t="n">
        <v>2</v>
      </c>
      <c r="F53" s="46" t="s">
        <v>229</v>
      </c>
      <c r="G53" s="47"/>
    </row>
    <row r="54" customFormat="false" ht="13.8" hidden="false" customHeight="false" outlineLevel="0" collapsed="false">
      <c r="A54" s="45" t="s">
        <v>230</v>
      </c>
      <c r="B54" s="46" t="s">
        <v>231</v>
      </c>
      <c r="C54" s="46" t="s">
        <v>91</v>
      </c>
      <c r="D54" s="46" t="n">
        <v>1962</v>
      </c>
      <c r="E54" s="46" t="n">
        <v>4</v>
      </c>
      <c r="F54" s="46" t="s">
        <v>236</v>
      </c>
      <c r="G54" s="47"/>
    </row>
    <row r="55" customFormat="false" ht="13.8" hidden="false" customHeight="false" outlineLevel="0" collapsed="false">
      <c r="A55" s="45" t="s">
        <v>237</v>
      </c>
      <c r="B55" s="46" t="s">
        <v>238</v>
      </c>
      <c r="C55" s="46" t="s">
        <v>91</v>
      </c>
      <c r="D55" s="46" t="n">
        <v>1962</v>
      </c>
      <c r="E55" s="46" t="n">
        <v>4</v>
      </c>
      <c r="F55" s="46" t="s">
        <v>241</v>
      </c>
      <c r="G55" s="47"/>
    </row>
    <row r="56" customFormat="false" ht="13.8" hidden="false" customHeight="false" outlineLevel="0" collapsed="false">
      <c r="A56" s="45" t="s">
        <v>297</v>
      </c>
      <c r="B56" s="46" t="s">
        <v>298</v>
      </c>
      <c r="C56" s="46" t="s">
        <v>91</v>
      </c>
      <c r="D56" s="46" t="n">
        <v>1979</v>
      </c>
      <c r="E56" s="46" t="s">
        <v>740</v>
      </c>
      <c r="F56" s="46" t="s">
        <v>299</v>
      </c>
      <c r="G56" s="47"/>
    </row>
    <row r="57" customFormat="false" ht="13.8" hidden="false" customHeight="false" outlineLevel="0" collapsed="false">
      <c r="A57" s="45" t="s">
        <v>333</v>
      </c>
      <c r="B57" s="46" t="s">
        <v>334</v>
      </c>
      <c r="C57" s="46" t="s">
        <v>91</v>
      </c>
      <c r="D57" s="46" t="n">
        <v>1985</v>
      </c>
      <c r="E57" s="46" t="s">
        <v>740</v>
      </c>
      <c r="F57" s="46" t="s">
        <v>337</v>
      </c>
      <c r="G57" s="47"/>
    </row>
    <row r="58" customFormat="false" ht="13.8" hidden="false" customHeight="false" outlineLevel="0" collapsed="false">
      <c r="A58" s="45" t="s">
        <v>300</v>
      </c>
      <c r="B58" s="46" t="s">
        <v>301</v>
      </c>
      <c r="C58" s="46" t="s">
        <v>91</v>
      </c>
      <c r="D58" s="46" t="n">
        <v>1986</v>
      </c>
      <c r="E58" s="46" t="s">
        <v>740</v>
      </c>
      <c r="F58" s="46" t="s">
        <v>303</v>
      </c>
      <c r="G58" s="47"/>
    </row>
    <row r="59" customFormat="false" ht="13.8" hidden="false" customHeight="false" outlineLevel="0" collapsed="false">
      <c r="A59" s="45" t="s">
        <v>410</v>
      </c>
      <c r="B59" s="46" t="s">
        <v>411</v>
      </c>
      <c r="C59" s="46" t="s">
        <v>91</v>
      </c>
      <c r="D59" s="46" t="n">
        <v>2012</v>
      </c>
      <c r="E59" s="46" t="n">
        <v>5</v>
      </c>
      <c r="F59" s="46" t="s">
        <v>416</v>
      </c>
      <c r="G59" s="47"/>
    </row>
    <row r="60" customFormat="false" ht="13.8" hidden="false" customHeight="false" outlineLevel="0" collapsed="false">
      <c r="A60" s="51" t="s">
        <v>417</v>
      </c>
      <c r="B60" s="46" t="s">
        <v>422</v>
      </c>
      <c r="C60" s="46" t="s">
        <v>91</v>
      </c>
      <c r="D60" s="46" t="n">
        <v>2014</v>
      </c>
      <c r="E60" s="46" t="n">
        <v>12</v>
      </c>
      <c r="F60" s="46" t="s">
        <v>424</v>
      </c>
      <c r="G60" s="47"/>
    </row>
    <row r="61" customFormat="false" ht="13.8" hidden="false" customHeight="false" outlineLevel="0" collapsed="false">
      <c r="A61" s="52"/>
      <c r="B61" s="46" t="s">
        <v>418</v>
      </c>
      <c r="C61" s="46" t="s">
        <v>91</v>
      </c>
      <c r="D61" s="46" t="n">
        <v>2014</v>
      </c>
      <c r="E61" s="46" t="n">
        <v>16</v>
      </c>
      <c r="F61" s="46" t="s">
        <v>421</v>
      </c>
      <c r="G61" s="47"/>
    </row>
    <row r="62" customFormat="false" ht="13.8" hidden="false" customHeight="false" outlineLevel="0" collapsed="false">
      <c r="A62" s="45" t="s">
        <v>525</v>
      </c>
      <c r="B62" s="46" t="s">
        <v>526</v>
      </c>
      <c r="C62" s="46" t="s">
        <v>527</v>
      </c>
      <c r="D62" s="46" t="n">
        <v>1997</v>
      </c>
      <c r="E62" s="46" t="s">
        <v>740</v>
      </c>
      <c r="F62" s="46" t="s">
        <v>528</v>
      </c>
      <c r="G62" s="47"/>
    </row>
    <row r="63" customFormat="false" ht="13.8" hidden="false" customHeight="false" outlineLevel="0" collapsed="false">
      <c r="A63" s="45" t="s">
        <v>529</v>
      </c>
      <c r="B63" s="46" t="s">
        <v>530</v>
      </c>
      <c r="C63" s="46" t="s">
        <v>527</v>
      </c>
      <c r="D63" s="46" t="n">
        <v>1997</v>
      </c>
      <c r="E63" s="46" t="s">
        <v>740</v>
      </c>
      <c r="F63" s="46" t="s">
        <v>528</v>
      </c>
      <c r="G63" s="47"/>
    </row>
    <row r="64" customFormat="false" ht="13.8" hidden="false" customHeight="false" outlineLevel="0" collapsed="false">
      <c r="A64" s="45" t="s">
        <v>488</v>
      </c>
      <c r="B64" s="46" t="s">
        <v>489</v>
      </c>
      <c r="C64" s="46" t="s">
        <v>490</v>
      </c>
      <c r="D64" s="46" t="n">
        <v>1905</v>
      </c>
      <c r="E64" s="46" t="s">
        <v>740</v>
      </c>
      <c r="F64" s="46" t="s">
        <v>492</v>
      </c>
      <c r="G64" s="47"/>
    </row>
    <row r="65" customFormat="false" ht="13.8" hidden="false" customHeight="false" outlineLevel="0" collapsed="false">
      <c r="A65" s="45" t="s">
        <v>512</v>
      </c>
      <c r="B65" s="46" t="s">
        <v>513</v>
      </c>
      <c r="C65" s="46" t="s">
        <v>490</v>
      </c>
      <c r="D65" s="46" t="n">
        <v>1997</v>
      </c>
      <c r="E65" s="46" t="n">
        <v>7</v>
      </c>
      <c r="F65" s="46" t="s">
        <v>518</v>
      </c>
      <c r="G65" s="47"/>
    </row>
    <row r="66" customFormat="false" ht="13.8" hidden="false" customHeight="false" outlineLevel="0" collapsed="false">
      <c r="A66" s="45" t="s">
        <v>520</v>
      </c>
      <c r="B66" s="46" t="s">
        <v>521</v>
      </c>
      <c r="C66" s="46" t="s">
        <v>490</v>
      </c>
      <c r="D66" s="46" t="n">
        <v>1997</v>
      </c>
      <c r="E66" s="46" t="n">
        <v>8</v>
      </c>
      <c r="F66" s="46" t="s">
        <v>524</v>
      </c>
      <c r="G66" s="47"/>
    </row>
    <row r="67" customFormat="false" ht="13.8" hidden="false" customHeight="false" outlineLevel="0" collapsed="false">
      <c r="A67" s="45" t="s">
        <v>289</v>
      </c>
      <c r="B67" s="46" t="s">
        <v>290</v>
      </c>
      <c r="C67" s="46" t="s">
        <v>277</v>
      </c>
      <c r="D67" s="46" t="n">
        <v>1979</v>
      </c>
      <c r="E67" s="46" t="n">
        <v>2</v>
      </c>
      <c r="F67" s="46" t="s">
        <v>292</v>
      </c>
      <c r="G67" s="47"/>
    </row>
    <row r="68" customFormat="false" ht="13.8" hidden="false" customHeight="false" outlineLevel="0" collapsed="false">
      <c r="A68" s="45" t="s">
        <v>293</v>
      </c>
      <c r="B68" s="46" t="s">
        <v>294</v>
      </c>
      <c r="C68" s="46" t="s">
        <v>277</v>
      </c>
      <c r="D68" s="46" t="n">
        <v>1979</v>
      </c>
      <c r="E68" s="46" t="n">
        <v>2</v>
      </c>
      <c r="F68" s="46" t="s">
        <v>296</v>
      </c>
      <c r="G68" s="47"/>
    </row>
    <row r="69" customFormat="false" ht="13.8" hidden="false" customHeight="false" outlineLevel="0" collapsed="false">
      <c r="A69" s="45" t="s">
        <v>275</v>
      </c>
      <c r="B69" s="46" t="s">
        <v>276</v>
      </c>
      <c r="C69" s="46" t="s">
        <v>277</v>
      </c>
      <c r="D69" s="46" t="n">
        <v>1979</v>
      </c>
      <c r="E69" s="46" t="n">
        <v>6</v>
      </c>
      <c r="F69" s="46" t="s">
        <v>281</v>
      </c>
      <c r="G69" s="47"/>
    </row>
    <row r="70" customFormat="false" ht="13.8" hidden="false" customHeight="false" outlineLevel="0" collapsed="false">
      <c r="A70" s="45" t="s">
        <v>282</v>
      </c>
      <c r="B70" s="46" t="s">
        <v>283</v>
      </c>
      <c r="C70" s="46" t="s">
        <v>277</v>
      </c>
      <c r="D70" s="46" t="n">
        <v>1979</v>
      </c>
      <c r="E70" s="46" t="n">
        <v>6</v>
      </c>
      <c r="F70" s="46" t="s">
        <v>288</v>
      </c>
      <c r="G70" s="47"/>
    </row>
    <row r="71" customFormat="false" ht="13.8" hidden="false" customHeight="false" outlineLevel="0" collapsed="false">
      <c r="A71" s="45" t="s">
        <v>322</v>
      </c>
      <c r="B71" s="46" t="s">
        <v>323</v>
      </c>
      <c r="C71" s="46" t="s">
        <v>277</v>
      </c>
      <c r="D71" s="46" t="n">
        <v>1986</v>
      </c>
      <c r="E71" s="46" t="s">
        <v>740</v>
      </c>
      <c r="F71" s="46" t="s">
        <v>324</v>
      </c>
      <c r="G71" s="47"/>
    </row>
    <row r="72" customFormat="false" ht="13.8" hidden="false" customHeight="false" outlineLevel="0" collapsed="false">
      <c r="A72" s="45" t="s">
        <v>307</v>
      </c>
      <c r="B72" s="46" t="s">
        <v>308</v>
      </c>
      <c r="C72" s="46" t="s">
        <v>277</v>
      </c>
      <c r="D72" s="46" t="n">
        <v>1986</v>
      </c>
      <c r="E72" s="46" t="n">
        <v>10</v>
      </c>
      <c r="F72" s="46" t="s">
        <v>313</v>
      </c>
      <c r="G72" s="47"/>
    </row>
    <row r="73" customFormat="false" ht="13.8" hidden="false" customHeight="false" outlineLevel="0" collapsed="false">
      <c r="A73" s="45" t="s">
        <v>314</v>
      </c>
      <c r="B73" s="46" t="s">
        <v>315</v>
      </c>
      <c r="C73" s="46" t="s">
        <v>277</v>
      </c>
      <c r="D73" s="46" t="n">
        <v>1986</v>
      </c>
      <c r="E73" s="46" t="n">
        <v>6</v>
      </c>
      <c r="F73" s="46" t="s">
        <v>313</v>
      </c>
      <c r="G73" s="47"/>
    </row>
    <row r="74" customFormat="false" ht="13.8" hidden="false" customHeight="false" outlineLevel="0" collapsed="false">
      <c r="A74" s="45" t="s">
        <v>304</v>
      </c>
      <c r="B74" s="46" t="s">
        <v>305</v>
      </c>
      <c r="C74" s="46" t="s">
        <v>277</v>
      </c>
      <c r="D74" s="46" t="n">
        <v>1986</v>
      </c>
      <c r="E74" s="46" t="s">
        <v>740</v>
      </c>
      <c r="F74" s="46" t="s">
        <v>306</v>
      </c>
      <c r="G74" s="47"/>
    </row>
    <row r="75" customFormat="false" ht="13.8" hidden="false" customHeight="false" outlineLevel="0" collapsed="false">
      <c r="A75" s="45" t="s">
        <v>325</v>
      </c>
      <c r="B75" s="46" t="s">
        <v>326</v>
      </c>
      <c r="C75" s="46" t="s">
        <v>277</v>
      </c>
      <c r="D75" s="46" t="n">
        <v>1986</v>
      </c>
      <c r="E75" s="46" t="s">
        <v>740</v>
      </c>
      <c r="F75" s="46" t="s">
        <v>328</v>
      </c>
      <c r="G75" s="47"/>
    </row>
    <row r="76" customFormat="false" ht="13.8" hidden="false" customHeight="false" outlineLevel="0" collapsed="false">
      <c r="A76" s="45" t="s">
        <v>441</v>
      </c>
      <c r="B76" s="46" t="s">
        <v>442</v>
      </c>
      <c r="C76" s="46" t="s">
        <v>443</v>
      </c>
      <c r="D76" s="46" t="n">
        <v>1907</v>
      </c>
      <c r="E76" s="46" t="s">
        <v>740</v>
      </c>
      <c r="F76" s="46" t="s">
        <v>447</v>
      </c>
      <c r="G76" s="47"/>
    </row>
    <row r="77" customFormat="false" ht="13.8" hidden="false" customHeight="false" outlineLevel="0" collapsed="false">
      <c r="A77" s="45" t="s">
        <v>469</v>
      </c>
      <c r="B77" s="46" t="s">
        <v>470</v>
      </c>
      <c r="C77" s="46" t="s">
        <v>443</v>
      </c>
      <c r="D77" s="46" t="n">
        <v>1936</v>
      </c>
      <c r="E77" s="46" t="s">
        <v>740</v>
      </c>
      <c r="F77" s="46" t="s">
        <v>472</v>
      </c>
      <c r="G77" s="47"/>
    </row>
    <row r="78" customFormat="false" ht="13.8" hidden="false" customHeight="false" outlineLevel="0" collapsed="false">
      <c r="A78" s="45" t="s">
        <v>448</v>
      </c>
      <c r="B78" s="46" t="s">
        <v>449</v>
      </c>
      <c r="C78" s="46" t="s">
        <v>443</v>
      </c>
      <c r="D78" s="46" t="n">
        <v>1955</v>
      </c>
      <c r="E78" s="46" t="s">
        <v>740</v>
      </c>
      <c r="F78" s="46" t="s">
        <v>451</v>
      </c>
      <c r="G78" s="47"/>
    </row>
    <row r="79" customFormat="false" ht="13.8" hidden="false" customHeight="false" outlineLevel="0" collapsed="false">
      <c r="A79" s="45" t="s">
        <v>479</v>
      </c>
      <c r="B79" s="46" t="s">
        <v>480</v>
      </c>
      <c r="C79" s="46" t="s">
        <v>443</v>
      </c>
      <c r="D79" s="46" t="n">
        <v>1955</v>
      </c>
      <c r="E79" s="46" t="s">
        <v>740</v>
      </c>
      <c r="F79" s="46" t="s">
        <v>481</v>
      </c>
      <c r="G79" s="47"/>
    </row>
    <row r="80" customFormat="false" ht="13.8" hidden="false" customHeight="false" outlineLevel="0" collapsed="false">
      <c r="A80" s="45" t="s">
        <v>482</v>
      </c>
      <c r="B80" s="46" t="s">
        <v>483</v>
      </c>
      <c r="C80" s="46" t="s">
        <v>443</v>
      </c>
      <c r="D80" s="46" t="n">
        <v>1966</v>
      </c>
      <c r="E80" s="46" t="s">
        <v>740</v>
      </c>
      <c r="F80" s="46" t="s">
        <v>484</v>
      </c>
      <c r="G80" s="47"/>
    </row>
    <row r="81" customFormat="false" ht="13.8" hidden="false" customHeight="false" outlineLevel="0" collapsed="false">
      <c r="A81" s="45" t="s">
        <v>452</v>
      </c>
      <c r="B81" s="46" t="s">
        <v>453</v>
      </c>
      <c r="C81" s="46" t="s">
        <v>443</v>
      </c>
      <c r="D81" s="46" t="n">
        <v>1968</v>
      </c>
      <c r="E81" s="46" t="s">
        <v>740</v>
      </c>
      <c r="F81" s="46" t="s">
        <v>454</v>
      </c>
      <c r="G81" s="47"/>
    </row>
    <row r="82" customFormat="false" ht="13.8" hidden="false" customHeight="false" outlineLevel="0" collapsed="false">
      <c r="A82" s="45" t="s">
        <v>485</v>
      </c>
      <c r="B82" s="46" t="s">
        <v>486</v>
      </c>
      <c r="C82" s="46" t="s">
        <v>443</v>
      </c>
      <c r="D82" s="46" t="n">
        <v>1973</v>
      </c>
      <c r="E82" s="46" t="s">
        <v>740</v>
      </c>
      <c r="F82" s="46" t="s">
        <v>487</v>
      </c>
      <c r="G82" s="47"/>
    </row>
    <row r="83" customFormat="false" ht="13.8" hidden="false" customHeight="false" outlineLevel="0" collapsed="false">
      <c r="A83" s="45" t="s">
        <v>455</v>
      </c>
      <c r="B83" s="46" t="s">
        <v>456</v>
      </c>
      <c r="C83" s="46" t="s">
        <v>443</v>
      </c>
      <c r="D83" s="46" t="n">
        <v>2007</v>
      </c>
      <c r="E83" s="46" t="s">
        <v>740</v>
      </c>
      <c r="F83" s="46" t="s">
        <v>458</v>
      </c>
      <c r="G83" s="47"/>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8000</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2026-03-30T01:08:46Z</dcterms:modified>
  <cp:revision>417</cp:revision>
  <dc:subject/>
  <dc:title/>
</cp:coreProperties>
</file>

<file path=docProps/custom.xml><?xml version="1.0" encoding="utf-8"?>
<Properties xmlns="http://schemas.openxmlformats.org/officeDocument/2006/custom-properties" xmlns:vt="http://schemas.openxmlformats.org/officeDocument/2006/docPropsVTypes"/>
</file>