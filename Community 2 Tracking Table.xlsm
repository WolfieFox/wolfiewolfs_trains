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1.xml.rels" ContentType="application/vnd.openxmlformats-package.relationships+xml"/>
  <Override PartName="/xl/worksheets/sheet6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Table" sheetId="1" state="visible" r:id="rId3"/>
    <sheet name="Gameplay Planning" sheetId="2" state="visible" r:id="rId4"/>
    <sheet name="Eras" sheetId="3" state="visible" r:id="rId5"/>
    <sheet name="Constants" sheetId="4" state="visible" r:id="rId6"/>
    <sheet name="Voxel Sizes" sheetId="5" state="visible" r:id="rId7"/>
    <sheet name="Long unit configs" sheetId="6" state="visible" r:id="rId8"/>
  </sheets>
  <definedNames>
    <definedName function="false" hidden="true" localSheetId="0" name="_xlnm._FilterDatabase" vbProcedure="false">Table!$A$1:$CE$13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<sst xmlns="http://schemas.openxmlformats.org/spreadsheetml/2006/main" count="360" uniqueCount="261">
  <si>
    <t xml:space="preserve">name</t>
  </si>
  <si>
    <t xml:space="preserve">id</t>
  </si>
  <si>
    <t xml:space="preserve">numeric_id</t>
  </si>
  <si>
    <t xml:space="preserve">sort_order</t>
  </si>
  <si>
    <t xml:space="preserve">sort_feature</t>
  </si>
  <si>
    <t xml:space="preserve">template</t>
  </si>
  <si>
    <t xml:space="preserve">type</t>
  </si>
  <si>
    <t xml:space="preserve">railtype</t>
  </si>
  <si>
    <t xml:space="preserve">year</t>
  </si>
  <si>
    <t xml:space="preserve">end_year</t>
  </si>
  <si>
    <t xml:space="preserve">service</t>
  </si>
  <si>
    <t xml:space="preserve">cars</t>
  </si>
  <si>
    <t xml:space="preserve">power</t>
  </si>
  <si>
    <t xml:space="preserve">secondary_power</t>
  </si>
  <si>
    <t xml:space="preserve">cyl_d</t>
  </si>
  <si>
    <t xml:space="preserve">cyl_len</t>
  </si>
  <si>
    <t xml:space="preserve">cyl_n</t>
  </si>
  <si>
    <t xml:space="preserve">steam_psi</t>
  </si>
  <si>
    <t xml:space="preserve">rpm</t>
  </si>
  <si>
    <t xml:space="preserve">wheel_d</t>
  </si>
  <si>
    <t xml:space="preserve">ihp</t>
  </si>
  <si>
    <t xml:space="preserve">weight</t>
  </si>
  <si>
    <t xml:space="preserve">tender_weight</t>
  </si>
  <si>
    <t xml:space="preserve">loading_speed</t>
  </si>
  <si>
    <t xml:space="preserve">tractive_effort</t>
  </si>
  <si>
    <t xml:space="preserve">te_coeff</t>
  </si>
  <si>
    <t xml:space="preserve">speed</t>
  </si>
  <si>
    <t xml:space="preserve">kmhish_speed</t>
  </si>
  <si>
    <t xml:space="preserve">secondary_speed</t>
  </si>
  <si>
    <t xml:space="preserve">speed_conf</t>
  </si>
  <si>
    <t xml:space="preserve">length</t>
  </si>
  <si>
    <t xml:space="preserve">scale_len</t>
  </si>
  <si>
    <t xml:space="preserve">width</t>
  </si>
  <si>
    <t xml:space="preserve">height</t>
  </si>
  <si>
    <t xml:space="preserve">capacity</t>
  </si>
  <si>
    <t xml:space="preserve">voxel_size</t>
  </si>
  <si>
    <t xml:space="preserve">ttd_len</t>
  </si>
  <si>
    <t xml:space="preserve">tender</t>
  </si>
  <si>
    <t xml:space="preserve">articulated_lengths</t>
  </si>
  <si>
    <t xml:space="preserve">effect_unit</t>
  </si>
  <si>
    <t xml:space="preserve">manual_lengths</t>
  </si>
  <si>
    <t xml:space="preserve">manual_ttd_len</t>
  </si>
  <si>
    <t xml:space="preserve">layout</t>
  </si>
  <si>
    <t xml:space="preserve">pantograph_unit</t>
  </si>
  <si>
    <t xml:space="preserve">new_sprites</t>
  </si>
  <si>
    <t xml:space="preserve">reuse_sprites</t>
  </si>
  <si>
    <t xml:space="preserve">animated</t>
  </si>
  <si>
    <t xml:space="preserve">replace_last_wagon</t>
  </si>
  <si>
    <t xml:space="preserve">vehicle_life</t>
  </si>
  <si>
    <t xml:space="preserve">lifespan</t>
  </si>
  <si>
    <t xml:space="preserve">run_cost_penalty</t>
  </si>
  <si>
    <t xml:space="preserve">purchase_penalty</t>
  </si>
  <si>
    <t xml:space="preserve">speed_cost_factor</t>
  </si>
  <si>
    <t xml:space="preserve">power_cost_factor</t>
  </si>
  <si>
    <t xml:space="preserve">te_cost_factor</t>
  </si>
  <si>
    <t xml:space="preserve">year_multiplier</t>
  </si>
  <si>
    <t xml:space="preserve">capacity_factor</t>
  </si>
  <si>
    <t xml:space="preserve">type_run_cost</t>
  </si>
  <si>
    <t xml:space="preserve">type_purchase_cost</t>
  </si>
  <si>
    <t xml:space="preserve">cost</t>
  </si>
  <si>
    <t xml:space="preserve">running_cost</t>
  </si>
  <si>
    <t xml:space="preserve">cost_gbp</t>
  </si>
  <si>
    <t xml:space="preserve">run_cost_gbp</t>
  </si>
  <si>
    <t xml:space="preserve">double_headed</t>
  </si>
  <si>
    <t xml:space="preserve">dvt</t>
  </si>
  <si>
    <t xml:space="preserve">tilting</t>
  </si>
  <si>
    <t xml:space="preserve">multiple_working</t>
  </si>
  <si>
    <t xml:space="preserve">requires_second_power_car</t>
  </si>
  <si>
    <t xml:space="preserve">enable_param</t>
  </si>
  <si>
    <t xml:space="preserve">intro_month</t>
  </si>
  <si>
    <t xml:space="preserve">cargo_age_period</t>
  </si>
  <si>
    <t xml:space="preserve">cargo_handling</t>
  </si>
  <si>
    <t xml:space="preserve">default_cargo</t>
  </si>
  <si>
    <t xml:space="preserve">era_id</t>
  </si>
  <si>
    <t xml:space="preserve">category</t>
  </si>
  <si>
    <t xml:space="preserve">era_cat</t>
  </si>
  <si>
    <t xml:space="preserve">power_class</t>
  </si>
  <si>
    <t xml:space="preserve">length_text</t>
  </si>
  <si>
    <t xml:space="preserve">power_text</t>
  </si>
  <si>
    <t xml:space="preserve">units_text</t>
  </si>
  <si>
    <t xml:space="preserve">bio</t>
  </si>
  <si>
    <t xml:space="preserve">brake_text</t>
  </si>
  <si>
    <t xml:space="preserve">additional_text</t>
  </si>
  <si>
    <t xml:space="preserve">has_aged_variant</t>
  </si>
  <si>
    <t xml:space="preserve">Pressed Steel Class 121 "Bubble Car"</t>
  </si>
  <si>
    <t xml:space="preserve">class_121_bubble_car</t>
  </si>
  <si>
    <t xml:space="preserve">FEAT_TRAINS</t>
  </si>
  <si>
    <t xml:space="preserve">multiple_unit</t>
  </si>
  <si>
    <t xml:space="preserve">diesel</t>
  </si>
  <si>
    <t xml:space="preserve">RAIL</t>
  </si>
  <si>
    <t xml:space="preserve">198x0x56</t>
  </si>
  <si>
    <t xml:space="preserve">4,4,4</t>
  </si>
  <si>
    <t xml:space="preserve">PASS</t>
  </si>
  <si>
    <t xml:space="preserve">dsl</t>
  </si>
  <si>
    <t xml:space="preserve">DMU</t>
  </si>
  <si>
    <t xml:space="preserve">dsl_DMU</t>
  </si>
  <si>
    <t xml:space="preserve">diesel_RAIL</t>
  </si>
  <si>
    <t xml:space="preserve">{BLACK}Powered by: {GOLD}Diesel</t>
  </si>
  <si>
    <t xml:space="preserve">The "Bubble Car" units saw a long life on branch lines and rural railways. Two six-cylinder AEC or Leyland engines of 150hp each drive the wheels through a mechanical transmission.</t>
  </si>
  <si>
    <t xml:space="preserve">{BLACK}Powered by: {GOLD}Diesel {}{BLACK}Length: {GOLD}0.8 tiles{}{SILVER}The "Bubble Car" units saw a long life on branch lines and rural railways. Two six-cylinder AEC or Leyland engines of 150hp each drive the wheels through a mechanical transmission.</t>
  </si>
  <si>
    <t xml:space="preserve">Leyland/Hunslet Class 153 “Super Sprinter”</t>
  </si>
  <si>
    <t xml:space="preserve">Class_153</t>
  </si>
  <si>
    <t xml:space="preserve">234x42x43</t>
  </si>
  <si>
    <t xml:space="preserve">4,5,4</t>
  </si>
  <si>
    <t xml:space="preserve">class_153</t>
  </si>
  <si>
    <t xml:space="preserve">1,1</t>
  </si>
  <si>
    <t xml:space="preserve">pacer,sprinter,express_sprinter,turbostar</t>
  </si>
  <si>
    <t xml:space="preserve">lbr</t>
  </si>
  <si>
    <t xml:space="preserve">lbr_DMU</t>
  </si>
  <si>
    <t xml:space="preserve">{BLACK}Cars: {GOLD}2</t>
  </si>
  <si>
    <t xml:space="preserve">The Class 153 was a conversion of earlier Class 155 units, 35 of which were split in two with small cabs added at the inner ends.</t>
  </si>
  <si>
    <t xml:space="preserve">{BLACK}Powered by: {GOLD}Diesel {}{BLACK}Length: {GOLD}0.8 tiles{}{SILVER}The Class 153 was a conversion of earlier Class 155 units, 35 of which were split in two with small cabs added at the inner ends.</t>
  </si>
  <si>
    <t xml:space="preserve">Passenger</t>
  </si>
  <si>
    <t xml:space="preserve">Mixed Traffic</t>
  </si>
  <si>
    <t xml:space="preserve">Cheap</t>
  </si>
  <si>
    <t xml:space="preserve">Express</t>
  </si>
  <si>
    <t xml:space="preserve">Freight</t>
  </si>
  <si>
    <t xml:space="preserve">MT (Electric)</t>
  </si>
  <si>
    <t xml:space="preserve">Express (Electric)</t>
  </si>
  <si>
    <t xml:space="preserve">Freight (Electric)</t>
  </si>
  <si>
    <t xml:space="preserve">DMU (Cheap)</t>
  </si>
  <si>
    <t xml:space="preserve">DMU (Express)</t>
  </si>
  <si>
    <t xml:space="preserve">EMU</t>
  </si>
  <si>
    <t xml:space="preserve">EMU (Express)</t>
  </si>
  <si>
    <t xml:space="preserve">LU</t>
  </si>
  <si>
    <t xml:space="preserve">Carriage</t>
  </si>
  <si>
    <t xml:space="preserve">Mail Carriage</t>
  </si>
  <si>
    <t xml:space="preserve">Open Wagon</t>
  </si>
  <si>
    <t xml:space="preserve">Flat Wagon</t>
  </si>
  <si>
    <t xml:space="preserve">Van</t>
  </si>
  <si>
    <t xml:space="preserve">Tanker</t>
  </si>
  <si>
    <t xml:space="preserve">Extra</t>
  </si>
  <si>
    <t xml:space="preserve">Era</t>
  </si>
  <si>
    <t xml:space="preserve">(name)</t>
  </si>
  <si>
    <t xml:space="preserve">early</t>
  </si>
  <si>
    <t xml:space="preserve">vct</t>
  </si>
  <si>
    <t xml:space="preserve">edw</t>
  </si>
  <si>
    <t xml:space="preserve">big4</t>
  </si>
  <si>
    <t xml:space="preserve">ebr</t>
  </si>
  <si>
    <t xml:space="preserve">prv</t>
  </si>
  <si>
    <t xml:space="preserve">mod</t>
  </si>
  <si>
    <t xml:space="preserve">Start Year</t>
  </si>
  <si>
    <t xml:space="preserve">ID</t>
  </si>
  <si>
    <t xml:space="preserve">Name</t>
  </si>
  <si>
    <t xml:space="preserve">Early (1800-1850)</t>
  </si>
  <si>
    <t xml:space="preserve">Victorian (1850-1900)</t>
  </si>
  <si>
    <t xml:space="preserve">Edwardian (1900-1920)</t>
  </si>
  <si>
    <t xml:space="preserve">Big Four (1923-1948)</t>
  </si>
  <si>
    <t xml:space="preserve">Early BR (1948-1955)</t>
  </si>
  <si>
    <t xml:space="preserve">Dieselisation (1955-1970)</t>
  </si>
  <si>
    <t xml:space="preserve">Late BR (1970-1995)</t>
  </si>
  <si>
    <t xml:space="preserve">Privatisation (1995-2005)</t>
  </si>
  <si>
    <t xml:space="preserve">Modern (2005-)</t>
  </si>
  <si>
    <t xml:space="preserve">Length</t>
  </si>
  <si>
    <t xml:space="preserve">Configuration</t>
  </si>
  <si>
    <t xml:space="preserve">Tender Configuration</t>
  </si>
  <si>
    <t xml:space="preserve">Running Cost Base</t>
  </si>
  <si>
    <t xml:space="preserve">Type</t>
  </si>
  <si>
    <t xml:space="preserve">Running cost factor</t>
  </si>
  <si>
    <t xml:space="preserve">Purchase cost factor</t>
  </si>
  <si>
    <t xml:space="preserve">power_type</t>
  </si>
  <si>
    <t xml:space="preserve">power_desc</t>
  </si>
  <si>
    <t xml:space="preserve">na</t>
  </si>
  <si>
    <t xml:space="preserve">Cost Base</t>
  </si>
  <si>
    <t xml:space="preserve">Diesel</t>
  </si>
  <si>
    <t xml:space="preserve">1,1,1</t>
  </si>
  <si>
    <t xml:space="preserve">electric</t>
  </si>
  <si>
    <t xml:space="preserve">steam_RAIL</t>
  </si>
  <si>
    <t xml:space="preserve">Steam</t>
  </si>
  <si>
    <t xml:space="preserve">1,2,1</t>
  </si>
  <si>
    <t xml:space="preserve">steam</t>
  </si>
  <si>
    <t xml:space="preserve">electric_ELRL</t>
  </si>
  <si>
    <t xml:space="preserve">25kV AC</t>
  </si>
  <si>
    <t xml:space="preserve">2,1,2</t>
  </si>
  <si>
    <t xml:space="preserve">dual_power</t>
  </si>
  <si>
    <t xml:space="preserve">electric_THIRD_RAIL</t>
  </si>
  <si>
    <t xml:space="preserve">750V DC</t>
  </si>
  <si>
    <t xml:space="preserve">2,2,2</t>
  </si>
  <si>
    <t xml:space="preserve">dual_electric</t>
  </si>
  <si>
    <t xml:space="preserve">tender_RAIL</t>
  </si>
  <si>
    <t xml:space="preserve">2,3,2</t>
  </si>
  <si>
    <t xml:space="preserve">carriage</t>
  </si>
  <si>
    <t xml:space="preserve">carriage_RAIL</t>
  </si>
  <si>
    <t xml:space="preserve">2,4,2</t>
  </si>
  <si>
    <t xml:space="preserve">luxury_carriage</t>
  </si>
  <si>
    <t xml:space="preserve">luxury_carriage_RAIL</t>
  </si>
  <si>
    <t xml:space="preserve">2,5,2</t>
  </si>
  <si>
    <t xml:space="preserve">wagon</t>
  </si>
  <si>
    <t xml:space="preserve">wagon_RAIL</t>
  </si>
  <si>
    <t xml:space="preserve">4,2,4</t>
  </si>
  <si>
    <t xml:space="preserve">brake</t>
  </si>
  <si>
    <t xml:space="preserve">steam_NARROW_GAUGE</t>
  </si>
  <si>
    <t xml:space="preserve">4,3,4</t>
  </si>
  <si>
    <t xml:space="preserve">tube</t>
  </si>
  <si>
    <t xml:space="preserve">dual_power_RAIL</t>
  </si>
  <si>
    <t xml:space="preserve">750V DC / Diesel</t>
  </si>
  <si>
    <t xml:space="preserve">dual_electric_DUAL_POWER</t>
  </si>
  <si>
    <t xml:space="preserve">25kV AC / 750V DC</t>
  </si>
  <si>
    <t xml:space="preserve">petrol</t>
  </si>
  <si>
    <t xml:space="preserve">brake_RAIL</t>
  </si>
  <si>
    <t xml:space="preserve">4,6,4</t>
  </si>
  <si>
    <t xml:space="preserve">lpgflywheel</t>
  </si>
  <si>
    <t xml:space="preserve">tube_RAIL</t>
  </si>
  <si>
    <t xml:space="preserve">4,7,4</t>
  </si>
  <si>
    <t xml:space="preserve">horses</t>
  </si>
  <si>
    <t xml:space="preserve">_</t>
  </si>
  <si>
    <t xml:space="preserve">4,8,4</t>
  </si>
  <si>
    <t xml:space="preserve">none</t>
  </si>
  <si>
    <t xml:space="preserve">petrol_RAIL</t>
  </si>
  <si>
    <t xml:space="preserve">Petrol</t>
  </si>
  <si>
    <t xml:space="preserve">gas_turbine</t>
  </si>
  <si>
    <t xml:space="preserve">dual_power_ELRL</t>
  </si>
  <si>
    <t xml:space="preserve">25kV AC / Diesel</t>
  </si>
  <si>
    <t xml:space="preserve">lpgflywheel_RAIL</t>
  </si>
  <si>
    <t xml:space="preserve">LPG / Flywheel</t>
  </si>
  <si>
    <t xml:space="preserve">wagon_PLATEWAY</t>
  </si>
  <si>
    <t xml:space="preserve">steam_PLATEWAY</t>
  </si>
  <si>
    <t xml:space="preserve">carriage_PLATEWAY</t>
  </si>
  <si>
    <t xml:space="preserve">horses_PLATEWAY</t>
  </si>
  <si>
    <t xml:space="preserve">Grass and hay</t>
  </si>
  <si>
    <t xml:space="preserve">tube_FOURTH_RAIL</t>
  </si>
  <si>
    <t xml:space="preserve">630V DC</t>
  </si>
  <si>
    <t xml:space="preserve">brake_PLATEWAY</t>
  </si>
  <si>
    <t xml:space="preserve">carriage_FOURTH_RAIL</t>
  </si>
  <si>
    <t xml:space="preserve">horses_NARROW_GAUGE</t>
  </si>
  <si>
    <t xml:space="preserve">wagon_NARROW_GAUGE</t>
  </si>
  <si>
    <t xml:space="preserve">diesel_NARROW_GAUGE</t>
  </si>
  <si>
    <t xml:space="preserve">none_RAIL</t>
  </si>
  <si>
    <t xml:space="preserve">gas_turbine_RAIL</t>
  </si>
  <si>
    <t xml:space="preserve">Gas Turbine</t>
  </si>
  <si>
    <t xml:space="preserve">petrol_NARROW_GAUGE</t>
  </si>
  <si>
    <t xml:space="preserve">TTD Length</t>
  </si>
  <si>
    <t xml:space="preserve">Voxel Size</t>
  </si>
  <si>
    <t xml:space="preserve">Voxel Size (calculated)</t>
  </si>
  <si>
    <t xml:space="preserve">Voxel size (observed)</t>
  </si>
  <si>
    <t xml:space="preserve">APT</t>
  </si>
  <si>
    <t xml:space="preserve">Names</t>
  </si>
  <si>
    <t xml:space="preserve">apt</t>
  </si>
  <si>
    <t xml:space="preserve">apt_mid</t>
  </si>
  <si>
    <t xml:space="preserve">apt_tbf</t>
  </si>
  <si>
    <t xml:space="preserve">apt_power</t>
  </si>
  <si>
    <t xml:space="preserve">apt_tbf_rev</t>
  </si>
  <si>
    <t xml:space="preserve">apt_rear</t>
  </si>
  <si>
    <t xml:space="preserve">Newsprites</t>
  </si>
  <si>
    <t xml:space="preserve">Eurostar</t>
  </si>
  <si>
    <t xml:space="preserve">eurostar</t>
  </si>
  <si>
    <t xml:space="preserve">eurostar_motor</t>
  </si>
  <si>
    <t xml:space="preserve">eurostar_mid</t>
  </si>
  <si>
    <t xml:space="preserve">eurostar_tbk</t>
  </si>
  <si>
    <t xml:space="preserve">eurostar_motor_rev</t>
  </si>
  <si>
    <t xml:space="preserve">eurostar_rear</t>
  </si>
  <si>
    <t xml:space="preserve">TTD length</t>
  </si>
  <si>
    <t xml:space="preserve">Articulation</t>
  </si>
  <si>
    <t xml:space="preserve">Eurostar (8 car)</t>
  </si>
  <si>
    <t xml:space="preserve">Eurostar (5 car)</t>
  </si>
  <si>
    <t xml:space="preserve">Class 755</t>
  </si>
  <si>
    <t xml:space="preserve">stadler_class_755</t>
  </si>
  <si>
    <t xml:space="preserve">stadler_class_755_mid</t>
  </si>
  <si>
    <t xml:space="preserve">stadler_class_755_motor</t>
  </si>
  <si>
    <t xml:space="preserve">stadler_class_755_mid_rev</t>
  </si>
  <si>
    <t xml:space="preserve">stadler_class_755_rear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</si>
</sst>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0.00"/>
    <numFmt numFmtId="166" formatCode="\£#,##0"/>
    <numFmt numFmtId="167" formatCode="General"/>
    <numFmt numFmtId="168" formatCode="0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DEEBF7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D6DCE5"/>
        <bgColor rgb="FFDBDBDB"/>
      </patternFill>
    </fill>
    <fill>
      <patternFill patternType="solid">
        <fgColor rgb="FFDBDBDB"/>
        <bgColor rgb="FFD9D9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F8CBAD"/>
        <bgColor rgb="FFFBE5D6"/>
      </patternFill>
    </fill>
    <fill>
      <patternFill patternType="solid">
        <fgColor rgb="FFEDEDED"/>
        <bgColor rgb="FFDEEBF7"/>
      </patternFill>
    </fill>
    <fill>
      <patternFill patternType="solid">
        <fgColor rgb="FFD9D9D9"/>
        <bgColor rgb="FFDBDBDB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1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0">
    <dxf>
      <fill>
        <patternFill patternType="solid">
          <fgColor rgb="00FFFFFF"/>
        </patternFill>
      </fill>
    </dxf>
    <dxf>
      <fill>
        <patternFill patternType="solid">
          <fgColor rgb="FF000000"/>
          <bgColor rgb="FFFFFFFF"/>
        </patternFill>
      </fill>
    </dxf>
    <dxf>
      <fill>
        <patternFill patternType="solid">
          <fgColor rgb="FFDEEBF7"/>
        </patternFill>
      </fill>
    </dxf>
    <dxf>
      <fill>
        <patternFill patternType="solid">
          <fgColor rgb="FFE2F0D9"/>
        </patternFill>
      </fill>
    </dxf>
    <dxf>
      <fill>
        <patternFill patternType="solid">
          <fgColor rgb="FFD6DCE5"/>
        </patternFill>
      </fill>
    </dxf>
    <dxf>
      <fill>
        <patternFill patternType="solid">
          <fgColor rgb="FFFFF2CC"/>
        </patternFill>
      </fill>
    </dxf>
    <dxf>
      <fill>
        <patternFill patternType="solid">
          <fgColor rgb="FFDBDBDB"/>
        </patternFill>
      </fill>
    </dxf>
    <dxf>
      <fill>
        <patternFill patternType="solid">
          <fgColor rgb="FFD9D9D9"/>
        </patternFill>
      </fill>
    </dxf>
    <dxf>
      <font>
        <color rgb="FF9C0006"/>
      </font>
      <fill>
        <patternFill>
          <bgColor rgb="00FFFFFF"/>
        </patternFill>
      </fill>
    </dxf>
    <dxf>
      <font>
        <color rgb="FF9C0006"/>
      </font>
      <fill>
        <patternFill>
          <bgColor rgb="00FFFFFF"/>
        </patternFill>
      </fill>
    </dxf>
  </dxfs>
  <colors>
    <indexedColors>
      <rgbColor rgb="FF000000"/>
      <rgbColor rgb="FFEDEDED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BDBDB"/>
      <rgbColor rgb="FFE2F0D9"/>
      <rgbColor rgb="FFFBE5D6"/>
      <rgbColor rgb="FF99CCFF"/>
      <rgbColor rgb="FFFF99CC"/>
      <rgbColor rgb="FFCC99FF"/>
      <rgbColor rgb="FFF8CBAD"/>
      <rgbColor rgb="FF3366FF"/>
      <rgbColor rgb="FF33CCCC"/>
      <rgbColor rgb="FF99CC00"/>
      <rgbColor rgb="FFFFCC00"/>
      <rgbColor rgb="FFFF9900"/>
      <rgbColor rgb="FFFF6600"/>
      <rgbColor rgb="FF666699"/>
      <rgbColor rgb="FFA5A5A5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G9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37.14"/>
    <col collapsed="false" customWidth="true" hidden="false" outlineLevel="0" max="2" min="2" style="0" width="28.29"/>
    <col collapsed="false" customWidth="true" hidden="false" outlineLevel="0" max="6" min="3" style="0" width="13.29"/>
    <col collapsed="false" customWidth="true" hidden="false" outlineLevel="0" max="7" min="7" style="0" width="14.71"/>
    <col collapsed="false" customWidth="true" hidden="false" outlineLevel="0" max="8" min="8" style="0" width="19.15"/>
    <col collapsed="false" customWidth="true" hidden="false" outlineLevel="0" max="13" min="13" style="0" width="10.86"/>
    <col collapsed="false" customWidth="true" hidden="false" outlineLevel="0" max="14" min="14" style="1" width="10.86"/>
    <col collapsed="false" customWidth="true" hidden="false" outlineLevel="0" max="15" min="15" style="2" width="5.14"/>
    <col collapsed="false" customWidth="true" hidden="false" outlineLevel="0" max="16" min="16" style="2" width="7.28"/>
    <col collapsed="false" customWidth="true" hidden="false" outlineLevel="0" max="17" min="17" style="2" width="5.57"/>
    <col collapsed="false" customWidth="true" hidden="false" outlineLevel="0" max="18" min="18" style="2" width="10"/>
    <col collapsed="false" customWidth="true" hidden="false" outlineLevel="0" max="19" min="19" style="2" width="7.72"/>
    <col collapsed="false" customWidth="true" hidden="false" outlineLevel="0" max="20" min="20" style="2" width="11"/>
    <col collapsed="false" customWidth="true" hidden="false" outlineLevel="0" max="21" min="21" style="2" width="7.72"/>
    <col collapsed="false" customWidth="true" hidden="false" outlineLevel="0" max="22" min="22" style="0" width="10"/>
    <col collapsed="false" customWidth="true" hidden="false" outlineLevel="0" max="23" min="23" style="1" width="16.57"/>
    <col collapsed="false" customWidth="true" hidden="false" outlineLevel="0" max="24" min="24" style="0" width="13.29"/>
    <col collapsed="false" customWidth="true" hidden="false" outlineLevel="0" max="25" min="25" style="0" width="18"/>
    <col collapsed="false" customWidth="true" hidden="false" outlineLevel="0" max="26" min="26" style="3" width="8.43"/>
    <col collapsed="false" customWidth="true" hidden="false" outlineLevel="0" max="29" min="27" style="0" width="12.43"/>
    <col collapsed="false" customWidth="true" hidden="false" outlineLevel="0" max="30" min="30" style="0" width="20.58"/>
    <col collapsed="false" customWidth="true" hidden="false" outlineLevel="0" max="31" min="31" style="0" width="10.57"/>
    <col collapsed="false" customWidth="true" hidden="false" outlineLevel="0" max="32" min="32" style="0" width="9.29"/>
    <col collapsed="false" customWidth="true" hidden="false" outlineLevel="0" max="33" min="33" style="0" width="10.57"/>
    <col collapsed="false" customWidth="true" hidden="false" outlineLevel="0" max="34" min="34" style="0" width="10.43"/>
    <col collapsed="false" customWidth="true" hidden="false" outlineLevel="0" max="35" min="35" style="4" width="9.14"/>
    <col collapsed="false" customWidth="true" hidden="false" outlineLevel="0" max="37" min="36" style="5" width="10.29"/>
    <col collapsed="false" customWidth="true" hidden="false" outlineLevel="0" max="38" min="38" style="0" width="26.86"/>
    <col collapsed="false" customWidth="true" hidden="false" outlineLevel="0" max="39" min="39" style="5" width="18.43"/>
    <col collapsed="false" customWidth="true" hidden="false" outlineLevel="0" max="40" min="40" style="0" width="18.43"/>
    <col collapsed="false" customWidth="true" hidden="false" outlineLevel="0" max="42" min="41" style="6" width="18.43"/>
    <col collapsed="false" customWidth="true" hidden="false" outlineLevel="0" max="43" min="43" style="0" width="31.15"/>
    <col collapsed="false" customWidth="true" hidden="false" outlineLevel="0" max="44" min="44" style="0" width="17"/>
    <col collapsed="false" customWidth="true" hidden="false" outlineLevel="0" max="45" min="45" style="0" width="11.86"/>
    <col collapsed="false" customWidth="true" hidden="false" outlineLevel="0" max="46" min="46" style="0" width="13.14"/>
    <col collapsed="false" customWidth="true" hidden="false" outlineLevel="0" max="48" min="47" style="0" width="9.43"/>
    <col collapsed="false" customWidth="true" hidden="false" outlineLevel="0" max="49" min="49" style="0" width="12.43"/>
    <col collapsed="false" customWidth="true" hidden="false" outlineLevel="0" max="50" min="50" style="5" width="9.43"/>
    <col collapsed="false" customWidth="true" hidden="false" outlineLevel="0" max="51" min="51" style="0" width="18.71"/>
    <col collapsed="false" customWidth="true" hidden="false" outlineLevel="0" max="52" min="52" style="0" width="19.15"/>
    <col collapsed="false" customWidth="true" hidden="true" outlineLevel="0" max="53" min="53" style="7" width="15"/>
    <col collapsed="false" customWidth="true" hidden="true" outlineLevel="0" max="54" min="54" style="7" width="10"/>
    <col collapsed="false" customWidth="true" hidden="true" outlineLevel="0" max="55" min="55" style="7" width="9.14"/>
    <col collapsed="false" customWidth="true" hidden="true" outlineLevel="0" max="56" min="56" style="7" width="9.71"/>
    <col collapsed="false" customWidth="true" hidden="true" outlineLevel="0" max="57" min="57" style="7" width="12.43"/>
    <col collapsed="false" customWidth="true" hidden="true" outlineLevel="0" max="59" min="58" style="7" width="16"/>
    <col collapsed="false" customWidth="true" hidden="false" outlineLevel="0" max="60" min="60" style="7" width="8.86"/>
    <col collapsed="false" customWidth="true" hidden="false" outlineLevel="0" max="61" min="61" style="7" width="11"/>
    <col collapsed="false" customWidth="true" hidden="false" outlineLevel="0" max="63" min="62" style="8" width="11"/>
    <col collapsed="false" customWidth="true" hidden="false" outlineLevel="0" max="67" min="67" style="0" width="28.67"/>
    <col collapsed="false" customWidth="true" hidden="false" outlineLevel="0" max="68" min="68" style="0" width="20.58"/>
    <col collapsed="false" customWidth="true" hidden="false" outlineLevel="0" max="69" min="69" style="0" width="22.17"/>
    <col collapsed="false" customWidth="true" hidden="false" outlineLevel="0" max="70" min="70" style="0" width="22.29"/>
    <col collapsed="false" customWidth="true" hidden="false" outlineLevel="0" max="71" min="71" style="0" width="31.15"/>
    <col collapsed="false" customWidth="true" hidden="false" outlineLevel="0" max="73" min="73" style="0" width="19.15"/>
    <col collapsed="false" customWidth="true" hidden="false" outlineLevel="0" max="74" min="74" style="0" width="16.86"/>
    <col collapsed="false" customWidth="true" hidden="false" outlineLevel="0" max="75" min="75" style="0" width="15.57"/>
    <col collapsed="false" customWidth="true" hidden="false" outlineLevel="0" max="76" min="76" style="9" width="9.14"/>
    <col collapsed="false" customWidth="true" hidden="false" outlineLevel="0" max="77" min="77" style="0" width="15.72"/>
    <col collapsed="false" customWidth="true" hidden="false" outlineLevel="0" max="78" min="78" style="9" width="21.71"/>
    <col collapsed="false" customWidth="true" hidden="false" outlineLevel="0" max="80" min="79" style="9" width="26.29"/>
    <col collapsed="false" customWidth="true" hidden="false" outlineLevel="0" max="81" min="81" style="9" width="29"/>
    <col collapsed="false" customWidth="true" hidden="false" outlineLevel="0" max="82" min="82" style="9" width="38.43"/>
    <col collapsed="false" customWidth="true" hidden="false" outlineLevel="0" max="83" min="83" style="0" width="255.72"/>
    <col collapsed="false" customWidth="true" hidden="false" outlineLevel="0" max="85" min="84" style="9" width="9.14"/>
  </cols>
  <sheetData>
    <row r="1" customFormat="false" ht="14.25" hidden="false" customHeight="false" outlineLevel="0" collapsed="false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1" t="s">
        <v>13</v>
      </c>
      <c r="O1" s="12" t="s">
        <v>14</v>
      </c>
      <c r="P1" s="12" t="s">
        <v>15</v>
      </c>
      <c r="Q1" s="12" t="s">
        <v>16</v>
      </c>
      <c r="R1" s="12" t="s">
        <v>17</v>
      </c>
      <c r="S1" s="12" t="s">
        <v>18</v>
      </c>
      <c r="T1" s="12" t="s">
        <v>19</v>
      </c>
      <c r="U1" s="12" t="s">
        <v>20</v>
      </c>
      <c r="V1" s="10" t="s">
        <v>21</v>
      </c>
      <c r="W1" s="11" t="s">
        <v>22</v>
      </c>
      <c r="X1" s="10" t="s">
        <v>23</v>
      </c>
      <c r="Y1" s="10" t="s">
        <v>24</v>
      </c>
      <c r="Z1" s="13" t="s">
        <v>25</v>
      </c>
      <c r="AA1" s="10" t="s">
        <v>26</v>
      </c>
      <c r="AB1" s="10" t="s">
        <v>27</v>
      </c>
      <c r="AC1" s="10" t="s">
        <v>28</v>
      </c>
      <c r="AD1" s="10" t="s">
        <v>29</v>
      </c>
      <c r="AE1" s="10" t="s">
        <v>30</v>
      </c>
      <c r="AF1" s="10" t="s">
        <v>31</v>
      </c>
      <c r="AG1" s="10" t="s">
        <v>32</v>
      </c>
      <c r="AH1" s="10" t="s">
        <v>33</v>
      </c>
      <c r="AI1" s="14" t="s">
        <v>34</v>
      </c>
      <c r="AJ1" s="10" t="s">
        <v>35</v>
      </c>
      <c r="AK1" s="10" t="s">
        <v>36</v>
      </c>
      <c r="AL1" s="10" t="s">
        <v>37</v>
      </c>
      <c r="AM1" s="10" t="s">
        <v>38</v>
      </c>
      <c r="AN1" s="10" t="s">
        <v>39</v>
      </c>
      <c r="AO1" s="15" t="s">
        <v>40</v>
      </c>
      <c r="AP1" s="15" t="s">
        <v>41</v>
      </c>
      <c r="AQ1" s="10" t="s">
        <v>42</v>
      </c>
      <c r="AR1" s="10" t="s">
        <v>43</v>
      </c>
      <c r="AS1" s="10" t="s">
        <v>44</v>
      </c>
      <c r="AT1" s="10" t="s">
        <v>45</v>
      </c>
      <c r="AU1" s="10" t="s">
        <v>46</v>
      </c>
      <c r="AV1" s="10" t="s">
        <v>47</v>
      </c>
      <c r="AW1" s="10" t="s">
        <v>48</v>
      </c>
      <c r="AX1" s="10" t="s">
        <v>49</v>
      </c>
      <c r="AY1" s="10" t="s">
        <v>50</v>
      </c>
      <c r="AZ1" s="10" t="s">
        <v>51</v>
      </c>
      <c r="BA1" s="10" t="s">
        <v>52</v>
      </c>
      <c r="BB1" s="10" t="s">
        <v>53</v>
      </c>
      <c r="BC1" s="10" t="s">
        <v>54</v>
      </c>
      <c r="BD1" s="10" t="s">
        <v>55</v>
      </c>
      <c r="BE1" s="10" t="s">
        <v>56</v>
      </c>
      <c r="BF1" s="10" t="s">
        <v>57</v>
      </c>
      <c r="BG1" s="10" t="s">
        <v>58</v>
      </c>
      <c r="BH1" s="10" t="s">
        <v>59</v>
      </c>
      <c r="BI1" s="10" t="s">
        <v>60</v>
      </c>
      <c r="BJ1" s="10" t="s">
        <v>61</v>
      </c>
      <c r="BK1" s="10" t="s">
        <v>62</v>
      </c>
      <c r="BL1" s="10" t="s">
        <v>63</v>
      </c>
      <c r="BM1" s="10" t="s">
        <v>64</v>
      </c>
      <c r="BN1" s="10" t="s">
        <v>65</v>
      </c>
      <c r="BO1" s="10" t="s">
        <v>66</v>
      </c>
      <c r="BP1" s="10" t="s">
        <v>67</v>
      </c>
      <c r="BQ1" s="10" t="s">
        <v>68</v>
      </c>
      <c r="BR1" s="10" t="s">
        <v>69</v>
      </c>
      <c r="BS1" s="10" t="s">
        <v>70</v>
      </c>
      <c r="BT1" s="10" t="s">
        <v>71</v>
      </c>
      <c r="BU1" s="10" t="s">
        <v>72</v>
      </c>
      <c r="BV1" s="10" t="s">
        <v>73</v>
      </c>
      <c r="BW1" s="10" t="s">
        <v>74</v>
      </c>
      <c r="BX1" s="10" t="s">
        <v>75</v>
      </c>
      <c r="BY1" s="10" t="s">
        <v>76</v>
      </c>
      <c r="BZ1" s="16" t="s">
        <v>77</v>
      </c>
      <c r="CA1" s="10" t="s">
        <v>78</v>
      </c>
      <c r="CB1" s="10" t="s">
        <v>79</v>
      </c>
      <c r="CC1" s="10" t="s">
        <v>80</v>
      </c>
      <c r="CD1" s="10" t="s">
        <v>81</v>
      </c>
      <c r="CE1" s="10" t="s">
        <v>82</v>
      </c>
      <c r="CF1" s="10" t="s">
        <v>83</v>
      </c>
      <c r="CG1" s="0"/>
    </row>
    <row r="2" customFormat="false" ht="13.8" hidden="false" customHeight="false" outlineLevel="0" collapsed="false">
      <c r="A2" s="0" t="s">
        <v>84</v>
      </c>
      <c r="B2" s="0" t="s">
        <v>85</v>
      </c>
      <c r="C2" s="0" t="n">
        <v>-1</v>
      </c>
      <c r="D2" s="0" t="n">
        <v>-1</v>
      </c>
      <c r="E2" s="0" t="s">
        <v>86</v>
      </c>
      <c r="F2" s="0" t="s">
        <v>87</v>
      </c>
      <c r="G2" s="0" t="s">
        <v>88</v>
      </c>
      <c r="H2" s="0" t="s">
        <v>89</v>
      </c>
      <c r="I2" s="0" t="n">
        <v>1960</v>
      </c>
      <c r="K2" s="0" t="n">
        <v>2017</v>
      </c>
      <c r="L2" s="0" t="n">
        <v>1</v>
      </c>
      <c r="M2" s="0" t="n">
        <v>300</v>
      </c>
      <c r="V2" s="0" t="n">
        <v>38</v>
      </c>
      <c r="X2" s="0" t="n">
        <v>5</v>
      </c>
      <c r="Y2" s="0" t="n">
        <v>65</v>
      </c>
      <c r="Z2" s="3" t="n">
        <v>0.171052631578947</v>
      </c>
      <c r="AA2" s="0" t="n">
        <v>70</v>
      </c>
      <c r="AB2" s="0" t="n">
        <v>112</v>
      </c>
      <c r="AD2" s="0" t="n">
        <v>1</v>
      </c>
      <c r="AE2" s="0" t="n">
        <v>19.66</v>
      </c>
      <c r="AF2" s="0" t="n">
        <v>19.66</v>
      </c>
      <c r="AH2" s="0" t="n">
        <v>3.77</v>
      </c>
      <c r="AI2" s="4" t="n">
        <v>66</v>
      </c>
      <c r="AJ2" s="0" t="s">
        <v>90</v>
      </c>
      <c r="AK2" s="0" t="n">
        <v>12</v>
      </c>
      <c r="AM2" s="0" t="s">
        <v>91</v>
      </c>
      <c r="AQ2" s="0" t="s">
        <v>85</v>
      </c>
      <c r="AS2" s="0" t="n">
        <v>1</v>
      </c>
      <c r="AW2" s="0" t="n">
        <v>50</v>
      </c>
      <c r="AX2" s="5" t="n">
        <v>65</v>
      </c>
      <c r="AY2" s="0" t="n">
        <v>-10</v>
      </c>
      <c r="AZ2" s="0" t="n">
        <v>-15</v>
      </c>
      <c r="BA2" s="0" t="n">
        <v>14</v>
      </c>
      <c r="BB2" s="0" t="n">
        <v>1.5</v>
      </c>
      <c r="BC2" s="0" t="n">
        <v>3.25</v>
      </c>
      <c r="BD2" s="3" t="n">
        <v>0.92</v>
      </c>
      <c r="BE2" s="0" t="n">
        <v>2.2</v>
      </c>
      <c r="BF2" s="0" t="n">
        <v>1</v>
      </c>
      <c r="BG2" s="0" t="n">
        <v>1.5</v>
      </c>
      <c r="BH2" s="0" t="n">
        <v>27</v>
      </c>
      <c r="BI2" s="0" t="n">
        <v>56</v>
      </c>
      <c r="BJ2" s="17" t="n">
        <v>21093.75</v>
      </c>
      <c r="BK2" s="17" t="n">
        <v>4550</v>
      </c>
      <c r="BR2" s="0" t="n">
        <v>4</v>
      </c>
      <c r="BS2" s="0" t="n">
        <v>185</v>
      </c>
      <c r="BU2" s="0" t="s">
        <v>92</v>
      </c>
      <c r="BV2" s="0" t="s">
        <v>93</v>
      </c>
      <c r="BW2" s="18" t="s">
        <v>94</v>
      </c>
      <c r="BX2" s="0" t="s">
        <v>95</v>
      </c>
      <c r="BY2" s="0" t="s">
        <v>96</v>
      </c>
      <c r="BZ2" s="19" t="e">
        <f aca="false">#NAME?</f>
        <v>#NAME?</v>
      </c>
      <c r="CA2" s="0" t="s">
        <v>97</v>
      </c>
      <c r="CB2" s="0"/>
      <c r="CC2" s="0" t="s">
        <v>98</v>
      </c>
      <c r="CD2" s="0"/>
      <c r="CE2" s="0" t="s">
        <v>99</v>
      </c>
      <c r="CF2" s="0"/>
      <c r="CG2" s="0"/>
    </row>
    <row r="3" customFormat="false" ht="13.8" hidden="false" customHeight="false" outlineLevel="0" collapsed="false">
      <c r="A3" s="0" t="s">
        <v>100</v>
      </c>
      <c r="B3" s="0" t="s">
        <v>101</v>
      </c>
      <c r="C3" s="0" t="n">
        <v>8</v>
      </c>
      <c r="D3" s="0" t="n">
        <v>10</v>
      </c>
      <c r="E3" s="0" t="s">
        <v>86</v>
      </c>
      <c r="F3" s="0" t="s">
        <v>87</v>
      </c>
      <c r="G3" s="0" t="s">
        <v>88</v>
      </c>
      <c r="H3" s="0" t="s">
        <v>89</v>
      </c>
      <c r="I3" s="0" t="n">
        <v>1991</v>
      </c>
      <c r="L3" s="0" t="n">
        <v>1</v>
      </c>
      <c r="M3" s="0" t="n">
        <v>213</v>
      </c>
      <c r="V3" s="0" t="n">
        <v>41.2</v>
      </c>
      <c r="X3" s="0" t="n">
        <v>5</v>
      </c>
      <c r="Y3" s="0" t="n">
        <v>55</v>
      </c>
      <c r="Z3" s="3" t="n">
        <v>0.153631284916201</v>
      </c>
      <c r="AA3" s="0" t="n">
        <v>75</v>
      </c>
      <c r="AB3" s="0" t="n">
        <v>120</v>
      </c>
      <c r="AE3" s="0" t="n">
        <v>23.2</v>
      </c>
      <c r="AF3" s="0" t="n">
        <v>23.2</v>
      </c>
      <c r="AG3" s="0" t="n">
        <v>2.7</v>
      </c>
      <c r="AH3" s="0" t="n">
        <v>3.7</v>
      </c>
      <c r="AI3" s="4" t="n">
        <v>72</v>
      </c>
      <c r="AJ3" s="0" t="s">
        <v>102</v>
      </c>
      <c r="AK3" s="0" t="n">
        <v>13</v>
      </c>
      <c r="AM3" s="0" t="s">
        <v>103</v>
      </c>
      <c r="AQ3" s="0" t="s">
        <v>104</v>
      </c>
      <c r="AS3" s="0" t="s">
        <v>105</v>
      </c>
      <c r="AW3" s="0" t="n">
        <v>33</v>
      </c>
      <c r="AY3" s="0" t="n">
        <v>-10</v>
      </c>
      <c r="AZ3" s="0" t="n">
        <v>-15</v>
      </c>
      <c r="BA3" s="0" t="n">
        <v>15</v>
      </c>
      <c r="BB3" s="0" t="n">
        <v>2.85</v>
      </c>
      <c r="BC3" s="0" t="n">
        <v>5.5</v>
      </c>
      <c r="BD3" s="3" t="n">
        <v>0.882666666666667</v>
      </c>
      <c r="BE3" s="0" t="n">
        <v>4.6</v>
      </c>
      <c r="BF3" s="0" t="n">
        <v>1</v>
      </c>
      <c r="BG3" s="0" t="n">
        <v>1.5</v>
      </c>
      <c r="BH3" s="0" t="n">
        <v>37</v>
      </c>
      <c r="BI3" s="0" t="n">
        <v>68</v>
      </c>
      <c r="BJ3" s="17" t="n">
        <v>28906.25</v>
      </c>
      <c r="BK3" s="17" t="n">
        <v>5525</v>
      </c>
      <c r="BO3" s="0" t="s">
        <v>106</v>
      </c>
      <c r="BR3" s="0" t="n">
        <v>4</v>
      </c>
      <c r="BS3" s="0" t="n">
        <v>185</v>
      </c>
      <c r="BU3" s="0" t="s">
        <v>92</v>
      </c>
      <c r="BV3" s="0" t="s">
        <v>107</v>
      </c>
      <c r="BW3" s="18" t="s">
        <v>94</v>
      </c>
      <c r="BX3" s="0" t="s">
        <v>108</v>
      </c>
      <c r="BY3" s="0" t="s">
        <v>96</v>
      </c>
      <c r="BZ3" s="19" t="e">
        <f aca="false">#NAME?</f>
        <v>#NAME?</v>
      </c>
      <c r="CA3" s="0" t="s">
        <v>97</v>
      </c>
      <c r="CB3" s="0" t="s">
        <v>109</v>
      </c>
      <c r="CC3" s="0" t="s">
        <v>110</v>
      </c>
      <c r="CD3" s="0"/>
      <c r="CE3" s="0" t="s">
        <v>111</v>
      </c>
      <c r="CF3" s="0"/>
      <c r="CG3" s="0"/>
    </row>
    <row r="4" s="20" customFormat="true" ht="13.5" hidden="false" customHeight="true" outlineLevel="0" collapsed="false">
      <c r="N4" s="21"/>
      <c r="O4" s="21"/>
      <c r="P4" s="21"/>
      <c r="Q4" s="21"/>
      <c r="R4" s="21"/>
      <c r="S4" s="21"/>
      <c r="T4" s="21"/>
      <c r="U4" s="21"/>
      <c r="W4" s="21"/>
      <c r="Z4" s="22"/>
      <c r="AI4" s="21"/>
      <c r="AO4" s="21"/>
      <c r="AP4" s="21"/>
      <c r="BD4" s="22"/>
      <c r="BJ4" s="23"/>
      <c r="BK4" s="23"/>
    </row>
    <row r="5" s="20" customFormat="true" ht="13.5" hidden="false" customHeight="true" outlineLevel="0" collapsed="false">
      <c r="N5" s="21"/>
      <c r="O5" s="21"/>
      <c r="P5" s="21"/>
      <c r="Q5" s="21"/>
      <c r="R5" s="21"/>
      <c r="S5" s="21"/>
      <c r="T5" s="21"/>
      <c r="U5" s="21"/>
      <c r="W5" s="21"/>
      <c r="Z5" s="22"/>
      <c r="AI5" s="21"/>
      <c r="AO5" s="21"/>
      <c r="AP5" s="21"/>
      <c r="BD5" s="22"/>
      <c r="BJ5" s="23"/>
      <c r="BK5" s="23"/>
    </row>
    <row r="6" s="20" customFormat="true" ht="13.8" hidden="false" customHeight="false" outlineLevel="0" collapsed="false">
      <c r="N6" s="21"/>
      <c r="O6" s="21"/>
      <c r="P6" s="21"/>
      <c r="Q6" s="21"/>
      <c r="R6" s="21"/>
      <c r="S6" s="21"/>
      <c r="T6" s="21"/>
      <c r="U6" s="21"/>
      <c r="W6" s="21"/>
      <c r="Z6" s="22"/>
      <c r="AI6" s="21"/>
      <c r="AO6" s="21"/>
      <c r="AP6" s="21"/>
      <c r="BD6" s="22"/>
      <c r="BJ6" s="23"/>
      <c r="BK6" s="23"/>
    </row>
    <row r="7" s="20" customFormat="true" ht="13.8" hidden="false" customHeight="false" outlineLevel="0" collapsed="false">
      <c r="N7" s="21"/>
      <c r="O7" s="21"/>
      <c r="P7" s="21"/>
      <c r="Q7" s="21"/>
      <c r="R7" s="21"/>
      <c r="S7" s="21"/>
      <c r="T7" s="21"/>
      <c r="U7" s="21"/>
      <c r="W7" s="21"/>
      <c r="Z7" s="22"/>
      <c r="AI7" s="21"/>
      <c r="AO7" s="21"/>
      <c r="AP7" s="21"/>
      <c r="BD7" s="22"/>
      <c r="BJ7" s="23"/>
      <c r="BK7" s="23"/>
    </row>
    <row r="8" s="20" customFormat="true" ht="13.8" hidden="false" customHeight="false" outlineLevel="0" collapsed="false">
      <c r="N8" s="21"/>
      <c r="O8" s="21"/>
      <c r="P8" s="21"/>
      <c r="Q8" s="21"/>
      <c r="R8" s="21"/>
      <c r="S8" s="21"/>
      <c r="T8" s="21"/>
      <c r="U8" s="21"/>
      <c r="W8" s="21"/>
      <c r="Z8" s="22"/>
      <c r="AI8" s="21"/>
      <c r="AO8" s="21"/>
      <c r="AP8" s="21"/>
      <c r="BD8" s="22"/>
      <c r="BJ8" s="23"/>
      <c r="BK8" s="23"/>
    </row>
    <row r="9" s="20" customFormat="true" ht="13.8" hidden="false" customHeight="false" outlineLevel="0" collapsed="false">
      <c r="N9" s="21"/>
      <c r="O9" s="21"/>
      <c r="P9" s="21"/>
      <c r="Q9" s="21"/>
      <c r="R9" s="21"/>
      <c r="S9" s="21"/>
      <c r="T9" s="21"/>
      <c r="U9" s="21"/>
      <c r="W9" s="21"/>
      <c r="Z9" s="22"/>
      <c r="AI9" s="21"/>
      <c r="AO9" s="21"/>
      <c r="AP9" s="21"/>
      <c r="BD9" s="22"/>
      <c r="BJ9" s="23"/>
      <c r="BK9" s="23"/>
    </row>
    <row r="10" s="20" customFormat="true" ht="13.8" hidden="false" customHeight="false" outlineLevel="0" collapsed="false">
      <c r="N10" s="21"/>
      <c r="O10" s="21"/>
      <c r="P10" s="21"/>
      <c r="Q10" s="21"/>
      <c r="R10" s="21"/>
      <c r="S10" s="21"/>
      <c r="T10" s="21"/>
      <c r="U10" s="21"/>
      <c r="W10" s="21"/>
      <c r="Z10" s="22"/>
      <c r="AI10" s="21"/>
      <c r="AO10" s="21"/>
      <c r="AP10" s="21"/>
      <c r="BD10" s="22"/>
      <c r="BJ10" s="23"/>
      <c r="BK10" s="23"/>
    </row>
    <row r="11" s="20" customFormat="true" ht="13.8" hidden="false" customHeight="false" outlineLevel="0" collapsed="false">
      <c r="N11" s="21"/>
      <c r="O11" s="21"/>
      <c r="P11" s="21"/>
      <c r="Q11" s="21"/>
      <c r="R11" s="21"/>
      <c r="S11" s="21"/>
      <c r="T11" s="21"/>
      <c r="U11" s="21"/>
      <c r="W11" s="21"/>
      <c r="Z11" s="22"/>
      <c r="AI11" s="21"/>
      <c r="AO11" s="21"/>
      <c r="AP11" s="21"/>
      <c r="BD11" s="22"/>
      <c r="BJ11" s="23"/>
      <c r="BK11" s="23"/>
    </row>
    <row r="12" s="20" customFormat="true" ht="13.8" hidden="false" customHeight="false" outlineLevel="0" collapsed="false">
      <c r="N12" s="21"/>
      <c r="O12" s="21"/>
      <c r="P12" s="21"/>
      <c r="Q12" s="21"/>
      <c r="R12" s="21"/>
      <c r="S12" s="21"/>
      <c r="T12" s="21"/>
      <c r="U12" s="21"/>
      <c r="W12" s="21"/>
      <c r="Z12" s="22"/>
      <c r="AI12" s="21"/>
      <c r="AO12" s="21"/>
      <c r="AP12" s="21"/>
      <c r="BD12" s="22"/>
      <c r="BJ12" s="23"/>
      <c r="BK12" s="23"/>
    </row>
    <row r="13" s="20" customFormat="true" ht="13.8" hidden="false" customHeight="false" outlineLevel="0" collapsed="false">
      <c r="N13" s="21"/>
      <c r="O13" s="21"/>
      <c r="P13" s="21"/>
      <c r="Q13" s="21"/>
      <c r="R13" s="21"/>
      <c r="S13" s="21"/>
      <c r="T13" s="21"/>
      <c r="U13" s="21"/>
      <c r="W13" s="21"/>
      <c r="Z13" s="22"/>
      <c r="AI13" s="21"/>
      <c r="AO13" s="21"/>
      <c r="AP13" s="21"/>
      <c r="BD13" s="22"/>
      <c r="BJ13" s="23"/>
      <c r="BK13" s="23"/>
    </row>
    <row r="14" s="20" customFormat="true" ht="13.8" hidden="false" customHeight="false" outlineLevel="0" collapsed="false">
      <c r="N14" s="21"/>
      <c r="O14" s="21"/>
      <c r="P14" s="21"/>
      <c r="Q14" s="21"/>
      <c r="R14" s="21"/>
      <c r="S14" s="21"/>
      <c r="T14" s="21"/>
      <c r="U14" s="21"/>
      <c r="W14" s="21"/>
      <c r="Z14" s="22"/>
      <c r="AI14" s="21"/>
      <c r="AO14" s="21"/>
      <c r="AP14" s="21"/>
      <c r="BD14" s="22"/>
      <c r="BJ14" s="23"/>
      <c r="BK14" s="23"/>
    </row>
    <row r="15" s="20" customFormat="true" ht="13.8" hidden="false" customHeight="false" outlineLevel="0" collapsed="false">
      <c r="N15" s="21"/>
      <c r="O15" s="21"/>
      <c r="P15" s="21"/>
      <c r="Q15" s="21"/>
      <c r="R15" s="21"/>
      <c r="S15" s="21"/>
      <c r="T15" s="21"/>
      <c r="U15" s="21"/>
      <c r="W15" s="21"/>
      <c r="Z15" s="22"/>
      <c r="AI15" s="21"/>
      <c r="AO15" s="21"/>
      <c r="AP15" s="21"/>
      <c r="BD15" s="22"/>
      <c r="BJ15" s="23"/>
      <c r="BK15" s="23"/>
    </row>
    <row r="16" s="20" customFormat="true" ht="13.8" hidden="false" customHeight="false" outlineLevel="0" collapsed="false">
      <c r="N16" s="21"/>
      <c r="O16" s="21"/>
      <c r="P16" s="21"/>
      <c r="Q16" s="21"/>
      <c r="R16" s="21"/>
      <c r="S16" s="21"/>
      <c r="T16" s="21"/>
      <c r="U16" s="21"/>
      <c r="W16" s="21"/>
      <c r="Z16" s="22"/>
      <c r="AI16" s="21"/>
      <c r="AO16" s="21"/>
      <c r="AP16" s="21"/>
      <c r="BD16" s="22"/>
      <c r="BJ16" s="23"/>
      <c r="BK16" s="23"/>
    </row>
    <row r="17" s="20" customFormat="true" ht="13.8" hidden="false" customHeight="false" outlineLevel="0" collapsed="false">
      <c r="N17" s="21"/>
      <c r="O17" s="21"/>
      <c r="P17" s="21"/>
      <c r="Q17" s="21"/>
      <c r="R17" s="21"/>
      <c r="S17" s="21"/>
      <c r="T17" s="21"/>
      <c r="U17" s="21"/>
      <c r="W17" s="21"/>
      <c r="Z17" s="22"/>
      <c r="AI17" s="21"/>
      <c r="AO17" s="21"/>
      <c r="AP17" s="21"/>
      <c r="BD17" s="22"/>
      <c r="BJ17" s="23"/>
      <c r="BK17" s="23"/>
    </row>
    <row r="18" s="20" customFormat="true" ht="13.8" hidden="false" customHeight="false" outlineLevel="0" collapsed="false">
      <c r="N18" s="21"/>
      <c r="O18" s="21"/>
      <c r="P18" s="21"/>
      <c r="Q18" s="21"/>
      <c r="R18" s="21"/>
      <c r="S18" s="21"/>
      <c r="T18" s="21"/>
      <c r="U18" s="21"/>
      <c r="W18" s="21"/>
      <c r="Z18" s="22"/>
      <c r="AI18" s="21"/>
      <c r="AO18" s="21"/>
      <c r="AP18" s="21"/>
      <c r="BD18" s="22"/>
      <c r="BJ18" s="23"/>
      <c r="BK18" s="23"/>
    </row>
    <row r="19" s="20" customFormat="true" ht="13.8" hidden="false" customHeight="false" outlineLevel="0" collapsed="false">
      <c r="N19" s="21"/>
      <c r="O19" s="21"/>
      <c r="P19" s="21"/>
      <c r="Q19" s="21"/>
      <c r="R19" s="21"/>
      <c r="S19" s="24"/>
      <c r="T19" s="21"/>
      <c r="U19" s="21"/>
      <c r="W19" s="21"/>
      <c r="Z19" s="22"/>
      <c r="AI19" s="21"/>
      <c r="AO19" s="21"/>
      <c r="AP19" s="21"/>
      <c r="BD19" s="22"/>
      <c r="BJ19" s="23"/>
      <c r="BK19" s="23"/>
    </row>
    <row r="20" s="20" customFormat="true" ht="13.8" hidden="false" customHeight="false" outlineLevel="0" collapsed="false">
      <c r="N20" s="21"/>
      <c r="O20" s="21"/>
      <c r="P20" s="21"/>
      <c r="Q20" s="21"/>
      <c r="R20" s="21"/>
      <c r="S20" s="24"/>
      <c r="T20" s="21"/>
      <c r="U20" s="21"/>
      <c r="W20" s="21"/>
      <c r="Z20" s="22"/>
      <c r="AI20" s="21"/>
      <c r="AO20" s="21"/>
      <c r="AP20" s="21"/>
      <c r="BD20" s="22"/>
      <c r="BJ20" s="23"/>
      <c r="BK20" s="23"/>
    </row>
    <row r="21" s="20" customFormat="true" ht="13.5" hidden="false" customHeight="true" outlineLevel="0" collapsed="false">
      <c r="N21" s="21"/>
      <c r="O21" s="21"/>
      <c r="P21" s="21"/>
      <c r="Q21" s="21"/>
      <c r="R21" s="21"/>
      <c r="S21" s="24"/>
      <c r="T21" s="21"/>
      <c r="U21" s="21"/>
      <c r="W21" s="21"/>
      <c r="Z21" s="22"/>
      <c r="AI21" s="21"/>
      <c r="AO21" s="21"/>
      <c r="AP21" s="21"/>
      <c r="BD21" s="22"/>
      <c r="BJ21" s="23"/>
      <c r="BK21" s="23"/>
    </row>
    <row r="22" s="20" customFormat="true" ht="13.5" hidden="false" customHeight="true" outlineLevel="0" collapsed="false">
      <c r="N22" s="21"/>
      <c r="O22" s="21"/>
      <c r="P22" s="21"/>
      <c r="Q22" s="21"/>
      <c r="R22" s="21"/>
      <c r="S22" s="24"/>
      <c r="T22" s="21"/>
      <c r="U22" s="21"/>
      <c r="W22" s="21"/>
      <c r="Z22" s="22"/>
      <c r="AI22" s="21"/>
      <c r="AO22" s="21"/>
      <c r="AP22" s="21"/>
      <c r="BD22" s="22"/>
      <c r="BJ22" s="23"/>
      <c r="BK22" s="23"/>
    </row>
    <row r="23" s="20" customFormat="true" ht="13.8" hidden="false" customHeight="false" outlineLevel="0" collapsed="false">
      <c r="N23" s="21"/>
      <c r="O23" s="21"/>
      <c r="P23" s="21"/>
      <c r="Q23" s="21"/>
      <c r="R23" s="21"/>
      <c r="S23" s="24"/>
      <c r="T23" s="21"/>
      <c r="U23" s="21"/>
      <c r="W23" s="21"/>
      <c r="Z23" s="22"/>
      <c r="AI23" s="21"/>
      <c r="AO23" s="21"/>
      <c r="AP23" s="21"/>
      <c r="BD23" s="22"/>
      <c r="BJ23" s="23"/>
      <c r="BK23" s="23"/>
    </row>
    <row r="24" s="20" customFormat="true" ht="13.8" hidden="false" customHeight="false" outlineLevel="0" collapsed="false">
      <c r="N24" s="21"/>
      <c r="O24" s="21"/>
      <c r="P24" s="21"/>
      <c r="Q24" s="21"/>
      <c r="R24" s="21"/>
      <c r="S24" s="24"/>
      <c r="T24" s="21"/>
      <c r="U24" s="21"/>
      <c r="W24" s="21"/>
      <c r="Z24" s="22"/>
      <c r="AI24" s="21"/>
      <c r="AO24" s="21"/>
      <c r="AP24" s="21"/>
      <c r="BD24" s="22"/>
      <c r="BJ24" s="23"/>
      <c r="BK24" s="23"/>
    </row>
    <row r="25" s="20" customFormat="true" ht="13.5" hidden="false" customHeight="true" outlineLevel="0" collapsed="false">
      <c r="N25" s="21"/>
      <c r="O25" s="21"/>
      <c r="P25" s="21"/>
      <c r="Q25" s="21"/>
      <c r="R25" s="21"/>
      <c r="S25" s="24"/>
      <c r="T25" s="21"/>
      <c r="U25" s="21"/>
      <c r="W25" s="21"/>
      <c r="Z25" s="22"/>
      <c r="AI25" s="21"/>
      <c r="AO25" s="21"/>
      <c r="AP25" s="21"/>
      <c r="BD25" s="22"/>
      <c r="BJ25" s="23"/>
      <c r="BK25" s="23"/>
    </row>
    <row r="26" s="20" customFormat="true" ht="13.8" hidden="false" customHeight="false" outlineLevel="0" collapsed="false">
      <c r="N26" s="21"/>
      <c r="O26" s="21"/>
      <c r="P26" s="21"/>
      <c r="Q26" s="21"/>
      <c r="R26" s="21"/>
      <c r="S26" s="24"/>
      <c r="T26" s="21"/>
      <c r="U26" s="21"/>
      <c r="W26" s="21"/>
      <c r="Z26" s="22"/>
      <c r="AI26" s="21"/>
      <c r="AO26" s="21"/>
      <c r="AP26" s="21"/>
      <c r="BD26" s="22"/>
      <c r="BJ26" s="23"/>
      <c r="BK26" s="23"/>
    </row>
    <row r="27" s="20" customFormat="true" ht="13.8" hidden="false" customHeight="false" outlineLevel="0" collapsed="false">
      <c r="N27" s="21"/>
      <c r="O27" s="21"/>
      <c r="P27" s="21"/>
      <c r="Q27" s="21"/>
      <c r="R27" s="21"/>
      <c r="S27" s="24"/>
      <c r="T27" s="21"/>
      <c r="U27" s="21"/>
      <c r="W27" s="21"/>
      <c r="Z27" s="22"/>
      <c r="AI27" s="21"/>
      <c r="AO27" s="21"/>
      <c r="AP27" s="21"/>
      <c r="BD27" s="22"/>
      <c r="BJ27" s="23"/>
      <c r="BK27" s="23"/>
    </row>
    <row r="28" s="20" customFormat="true" ht="13.8" hidden="false" customHeight="false" outlineLevel="0" collapsed="false">
      <c r="N28" s="21"/>
      <c r="O28" s="21"/>
      <c r="P28" s="21"/>
      <c r="Q28" s="21"/>
      <c r="R28" s="21"/>
      <c r="S28" s="24"/>
      <c r="T28" s="21"/>
      <c r="U28" s="21"/>
      <c r="W28" s="21"/>
      <c r="Z28" s="22"/>
      <c r="AI28" s="21"/>
      <c r="AO28" s="21"/>
      <c r="AP28" s="21"/>
      <c r="BD28" s="22"/>
      <c r="BJ28" s="23"/>
      <c r="BK28" s="23"/>
    </row>
    <row r="29" s="20" customFormat="true" ht="13.8" hidden="false" customHeight="false" outlineLevel="0" collapsed="false">
      <c r="N29" s="21"/>
      <c r="O29" s="21"/>
      <c r="P29" s="21"/>
      <c r="Q29" s="21"/>
      <c r="R29" s="21"/>
      <c r="S29" s="21"/>
      <c r="T29" s="21"/>
      <c r="U29" s="21"/>
      <c r="W29" s="21"/>
      <c r="Z29" s="22"/>
      <c r="AI29" s="21"/>
      <c r="AO29" s="21"/>
      <c r="AP29" s="21"/>
      <c r="BD29" s="22"/>
      <c r="BJ29" s="23"/>
      <c r="BK29" s="23"/>
    </row>
    <row r="30" s="20" customFormat="true" ht="13.8" hidden="false" customHeight="false" outlineLevel="0" collapsed="false">
      <c r="N30" s="21"/>
      <c r="O30" s="21"/>
      <c r="P30" s="21"/>
      <c r="Q30" s="21"/>
      <c r="R30" s="21"/>
      <c r="S30" s="24"/>
      <c r="T30" s="21"/>
      <c r="U30" s="21"/>
      <c r="W30" s="21"/>
      <c r="Z30" s="22"/>
      <c r="AI30" s="21"/>
      <c r="AO30" s="21"/>
      <c r="AP30" s="21"/>
      <c r="BD30" s="22"/>
      <c r="BJ30" s="23"/>
      <c r="BK30" s="23"/>
    </row>
    <row r="31" s="20" customFormat="true" ht="13.8" hidden="false" customHeight="false" outlineLevel="0" collapsed="false">
      <c r="N31" s="21"/>
      <c r="O31" s="21"/>
      <c r="P31" s="21"/>
      <c r="Q31" s="21"/>
      <c r="R31" s="21"/>
      <c r="S31" s="24"/>
      <c r="T31" s="21"/>
      <c r="U31" s="21"/>
      <c r="W31" s="21"/>
      <c r="Z31" s="22"/>
      <c r="AI31" s="21"/>
      <c r="AO31" s="21"/>
      <c r="AP31" s="21"/>
      <c r="BD31" s="22"/>
      <c r="BJ31" s="23"/>
      <c r="BK31" s="23"/>
    </row>
    <row r="32" s="20" customFormat="true" ht="13.8" hidden="false" customHeight="false" outlineLevel="0" collapsed="false">
      <c r="N32" s="21"/>
      <c r="O32" s="21"/>
      <c r="P32" s="21"/>
      <c r="Q32" s="21"/>
      <c r="R32" s="21"/>
      <c r="S32" s="24"/>
      <c r="T32" s="21"/>
      <c r="U32" s="21"/>
      <c r="W32" s="21"/>
      <c r="Z32" s="22"/>
      <c r="AI32" s="21"/>
      <c r="AO32" s="21"/>
      <c r="AP32" s="21"/>
      <c r="BD32" s="22"/>
      <c r="BJ32" s="23"/>
      <c r="BK32" s="23"/>
    </row>
    <row r="33" s="20" customFormat="true" ht="13.8" hidden="false" customHeight="false" outlineLevel="0" collapsed="false">
      <c r="N33" s="21"/>
      <c r="O33" s="21"/>
      <c r="P33" s="21"/>
      <c r="Q33" s="21"/>
      <c r="R33" s="21"/>
      <c r="S33" s="24"/>
      <c r="T33" s="21"/>
      <c r="U33" s="21"/>
      <c r="W33" s="21"/>
      <c r="Z33" s="22"/>
      <c r="AI33" s="21"/>
      <c r="AO33" s="21"/>
      <c r="AP33" s="21"/>
      <c r="BD33" s="22"/>
      <c r="BJ33" s="23"/>
      <c r="BK33" s="23"/>
    </row>
    <row r="34" s="20" customFormat="true" ht="13.8" hidden="false" customHeight="false" outlineLevel="0" collapsed="false">
      <c r="N34" s="21"/>
      <c r="O34" s="21"/>
      <c r="P34" s="21"/>
      <c r="Q34" s="21"/>
      <c r="R34" s="21"/>
      <c r="S34" s="24"/>
      <c r="T34" s="21"/>
      <c r="U34" s="21"/>
      <c r="W34" s="21"/>
      <c r="Z34" s="22"/>
      <c r="AI34" s="21"/>
      <c r="AO34" s="21"/>
      <c r="AP34" s="21"/>
      <c r="BD34" s="22"/>
      <c r="BJ34" s="23"/>
      <c r="BK34" s="23"/>
    </row>
    <row r="35" s="20" customFormat="true" ht="13.8" hidden="false" customHeight="false" outlineLevel="0" collapsed="false">
      <c r="N35" s="21"/>
      <c r="O35" s="21"/>
      <c r="P35" s="21"/>
      <c r="Q35" s="21"/>
      <c r="R35" s="21"/>
      <c r="S35" s="24"/>
      <c r="T35" s="21"/>
      <c r="U35" s="21"/>
      <c r="W35" s="21"/>
      <c r="Z35" s="22"/>
      <c r="AI35" s="21"/>
      <c r="AO35" s="21"/>
      <c r="AP35" s="21"/>
      <c r="BD35" s="22"/>
      <c r="BJ35" s="23"/>
      <c r="BK35" s="23"/>
    </row>
    <row r="36" s="20" customFormat="true" ht="13.8" hidden="false" customHeight="false" outlineLevel="0" collapsed="false">
      <c r="N36" s="21"/>
      <c r="O36" s="21"/>
      <c r="P36" s="21"/>
      <c r="Q36" s="21"/>
      <c r="R36" s="21"/>
      <c r="S36" s="24"/>
      <c r="T36" s="21"/>
      <c r="U36" s="21"/>
      <c r="W36" s="21"/>
      <c r="Z36" s="22"/>
      <c r="AI36" s="21"/>
      <c r="AO36" s="21"/>
      <c r="AP36" s="21"/>
      <c r="BD36" s="22"/>
      <c r="BJ36" s="23"/>
      <c r="BK36" s="23"/>
    </row>
    <row r="37" s="20" customFormat="true" ht="13.8" hidden="false" customHeight="false" outlineLevel="0" collapsed="false">
      <c r="N37" s="21"/>
      <c r="O37" s="21"/>
      <c r="P37" s="21"/>
      <c r="Q37" s="21"/>
      <c r="R37" s="21"/>
      <c r="S37" s="24"/>
      <c r="T37" s="21"/>
      <c r="U37" s="21"/>
      <c r="W37" s="21"/>
      <c r="Z37" s="22"/>
      <c r="AI37" s="21"/>
      <c r="AO37" s="21"/>
      <c r="AP37" s="21"/>
      <c r="BD37" s="22"/>
      <c r="BJ37" s="23"/>
      <c r="BK37" s="23"/>
    </row>
    <row r="38" s="20" customFormat="true" ht="13.8" hidden="false" customHeight="false" outlineLevel="0" collapsed="false">
      <c r="N38" s="21"/>
      <c r="O38" s="21"/>
      <c r="P38" s="21"/>
      <c r="Q38" s="21"/>
      <c r="R38" s="21"/>
      <c r="S38" s="21"/>
      <c r="T38" s="21"/>
      <c r="U38" s="21"/>
      <c r="W38" s="21"/>
      <c r="Z38" s="22"/>
      <c r="AI38" s="21"/>
      <c r="AO38" s="21"/>
      <c r="AP38" s="21"/>
      <c r="BD38" s="22"/>
      <c r="BJ38" s="23"/>
      <c r="BK38" s="23"/>
    </row>
    <row r="39" s="20" customFormat="true" ht="13.8" hidden="false" customHeight="false" outlineLevel="0" collapsed="false">
      <c r="N39" s="21"/>
      <c r="O39" s="21"/>
      <c r="P39" s="21"/>
      <c r="Q39" s="21"/>
      <c r="R39" s="21"/>
      <c r="S39" s="24"/>
      <c r="T39" s="21"/>
      <c r="U39" s="21"/>
      <c r="W39" s="21"/>
      <c r="Z39" s="22"/>
      <c r="AI39" s="21"/>
      <c r="AO39" s="21"/>
      <c r="AP39" s="21"/>
      <c r="BD39" s="22"/>
      <c r="BJ39" s="23"/>
      <c r="BK39" s="23"/>
    </row>
    <row r="40" s="20" customFormat="true" ht="13.8" hidden="false" customHeight="false" outlineLevel="0" collapsed="false">
      <c r="N40" s="21"/>
      <c r="O40" s="21"/>
      <c r="P40" s="21"/>
      <c r="Q40" s="21"/>
      <c r="R40" s="21"/>
      <c r="S40" s="21"/>
      <c r="T40" s="21"/>
      <c r="U40" s="21"/>
      <c r="W40" s="21"/>
      <c r="Z40" s="22"/>
      <c r="AI40" s="21"/>
      <c r="AO40" s="21"/>
      <c r="AP40" s="21"/>
      <c r="BD40" s="22"/>
      <c r="BJ40" s="23"/>
      <c r="BK40" s="23"/>
    </row>
    <row r="41" s="20" customFormat="true" ht="13.8" hidden="false" customHeight="false" outlineLevel="0" collapsed="false">
      <c r="N41" s="21"/>
      <c r="O41" s="21"/>
      <c r="P41" s="21"/>
      <c r="Q41" s="21"/>
      <c r="R41" s="21"/>
      <c r="S41" s="21"/>
      <c r="T41" s="21"/>
      <c r="U41" s="21"/>
      <c r="W41" s="21"/>
      <c r="Z41" s="22"/>
      <c r="AI41" s="21"/>
      <c r="AO41" s="21"/>
      <c r="AP41" s="21"/>
      <c r="BD41" s="22"/>
      <c r="BJ41" s="23"/>
      <c r="BK41" s="23"/>
    </row>
    <row r="42" s="20" customFormat="true" ht="13.8" hidden="false" customHeight="false" outlineLevel="0" collapsed="false">
      <c r="N42" s="21"/>
      <c r="O42" s="21"/>
      <c r="P42" s="21"/>
      <c r="Q42" s="21"/>
      <c r="R42" s="21"/>
      <c r="S42" s="21"/>
      <c r="T42" s="21"/>
      <c r="U42" s="21"/>
      <c r="W42" s="21"/>
      <c r="Z42" s="22"/>
      <c r="AI42" s="21"/>
      <c r="AO42" s="21"/>
      <c r="AP42" s="21"/>
      <c r="BD42" s="22"/>
      <c r="BJ42" s="23"/>
      <c r="BK42" s="23"/>
    </row>
    <row r="43" s="20" customFormat="true" ht="13.8" hidden="false" customHeight="false" outlineLevel="0" collapsed="false">
      <c r="N43" s="21"/>
      <c r="O43" s="21"/>
      <c r="P43" s="21"/>
      <c r="Q43" s="21"/>
      <c r="R43" s="21"/>
      <c r="S43" s="21"/>
      <c r="T43" s="21"/>
      <c r="U43" s="21"/>
      <c r="W43" s="21"/>
      <c r="Z43" s="22"/>
      <c r="AI43" s="21"/>
      <c r="AO43" s="21"/>
      <c r="AP43" s="21"/>
      <c r="BD43" s="22"/>
      <c r="BJ43" s="23"/>
      <c r="BK43" s="23"/>
    </row>
    <row r="44" s="20" customFormat="true" ht="13.8" hidden="false" customHeight="false" outlineLevel="0" collapsed="false">
      <c r="N44" s="21"/>
      <c r="O44" s="21"/>
      <c r="P44" s="21"/>
      <c r="Q44" s="21"/>
      <c r="R44" s="21"/>
      <c r="S44" s="21"/>
      <c r="T44" s="21"/>
      <c r="U44" s="21"/>
      <c r="W44" s="21"/>
      <c r="Z44" s="22"/>
      <c r="AI44" s="21"/>
      <c r="AO44" s="21"/>
      <c r="AP44" s="21"/>
      <c r="BD44" s="22"/>
      <c r="BJ44" s="23"/>
      <c r="BK44" s="23"/>
    </row>
    <row r="45" s="20" customFormat="true" ht="13.8" hidden="false" customHeight="false" outlineLevel="0" collapsed="false">
      <c r="N45" s="21"/>
      <c r="O45" s="21"/>
      <c r="P45" s="21"/>
      <c r="Q45" s="21"/>
      <c r="R45" s="21"/>
      <c r="S45" s="21"/>
      <c r="T45" s="21"/>
      <c r="U45" s="21"/>
      <c r="W45" s="21"/>
      <c r="Z45" s="22"/>
      <c r="AI45" s="21"/>
      <c r="AO45" s="21"/>
      <c r="AP45" s="21"/>
      <c r="BD45" s="22"/>
      <c r="BJ45" s="23"/>
      <c r="BK45" s="23"/>
    </row>
    <row r="46" s="20" customFormat="true" ht="13.8" hidden="false" customHeight="false" outlineLevel="0" collapsed="false">
      <c r="N46" s="21"/>
      <c r="O46" s="21"/>
      <c r="P46" s="21"/>
      <c r="Q46" s="21"/>
      <c r="R46" s="21"/>
      <c r="S46" s="21"/>
      <c r="T46" s="21"/>
      <c r="U46" s="21"/>
      <c r="W46" s="21"/>
      <c r="Z46" s="22"/>
      <c r="AI46" s="21"/>
      <c r="AO46" s="21"/>
      <c r="AP46" s="21"/>
      <c r="BD46" s="22"/>
      <c r="BJ46" s="23"/>
      <c r="BK46" s="23"/>
    </row>
    <row r="47" s="20" customFormat="true" ht="13.8" hidden="false" customHeight="false" outlineLevel="0" collapsed="false">
      <c r="N47" s="21"/>
      <c r="O47" s="21"/>
      <c r="P47" s="21"/>
      <c r="Q47" s="21"/>
      <c r="R47" s="21"/>
      <c r="S47" s="21"/>
      <c r="T47" s="21"/>
      <c r="U47" s="21"/>
      <c r="W47" s="21"/>
      <c r="Z47" s="22"/>
      <c r="AI47" s="21"/>
      <c r="AO47" s="21"/>
      <c r="AP47" s="21"/>
      <c r="BD47" s="22"/>
      <c r="BJ47" s="23"/>
      <c r="BK47" s="23"/>
    </row>
    <row r="48" s="20" customFormat="true" ht="13.8" hidden="false" customHeight="false" outlineLevel="0" collapsed="false">
      <c r="N48" s="21"/>
      <c r="O48" s="21"/>
      <c r="P48" s="21"/>
      <c r="Q48" s="21"/>
      <c r="R48" s="21"/>
      <c r="S48" s="21"/>
      <c r="T48" s="21"/>
      <c r="U48" s="21"/>
      <c r="W48" s="21"/>
      <c r="Z48" s="22"/>
      <c r="AI48" s="21"/>
      <c r="AO48" s="21"/>
      <c r="AP48" s="21"/>
      <c r="BD48" s="22"/>
      <c r="BJ48" s="23"/>
      <c r="BK48" s="23"/>
    </row>
    <row r="49" s="20" customFormat="true" ht="12.75" hidden="false" customHeight="true" outlineLevel="0" collapsed="false">
      <c r="N49" s="21"/>
      <c r="O49" s="21"/>
      <c r="P49" s="21"/>
      <c r="Q49" s="21"/>
      <c r="R49" s="21"/>
      <c r="S49" s="21"/>
      <c r="T49" s="21"/>
      <c r="U49" s="21"/>
      <c r="W49" s="21"/>
      <c r="Z49" s="22"/>
      <c r="AI49" s="21"/>
      <c r="AO49" s="21"/>
      <c r="AP49" s="21"/>
      <c r="BD49" s="22"/>
      <c r="BJ49" s="23"/>
      <c r="BK49" s="23"/>
    </row>
    <row r="50" s="20" customFormat="true" ht="13.8" hidden="false" customHeight="false" outlineLevel="0" collapsed="false">
      <c r="N50" s="21"/>
      <c r="O50" s="21"/>
      <c r="P50" s="21"/>
      <c r="Q50" s="21"/>
      <c r="R50" s="21"/>
      <c r="S50" s="21"/>
      <c r="T50" s="21"/>
      <c r="U50" s="21"/>
      <c r="W50" s="21"/>
      <c r="Z50" s="22"/>
      <c r="AI50" s="21"/>
      <c r="AO50" s="21"/>
      <c r="AP50" s="21"/>
      <c r="BD50" s="22"/>
      <c r="BJ50" s="23"/>
      <c r="BK50" s="23"/>
    </row>
    <row r="51" s="20" customFormat="true" ht="13.8" hidden="false" customHeight="false" outlineLevel="0" collapsed="false">
      <c r="N51" s="21"/>
      <c r="O51" s="21"/>
      <c r="P51" s="21"/>
      <c r="Q51" s="21"/>
      <c r="R51" s="21"/>
      <c r="S51" s="21"/>
      <c r="T51" s="21"/>
      <c r="U51" s="21"/>
      <c r="W51" s="21"/>
      <c r="Z51" s="22"/>
      <c r="AI51" s="21"/>
      <c r="AO51" s="21"/>
      <c r="AP51" s="21"/>
      <c r="BD51" s="22"/>
      <c r="BJ51" s="23"/>
      <c r="BK51" s="23"/>
    </row>
    <row r="52" s="20" customFormat="true" ht="13.8" hidden="false" customHeight="false" outlineLevel="0" collapsed="false">
      <c r="N52" s="21"/>
      <c r="O52" s="21"/>
      <c r="P52" s="21"/>
      <c r="Q52" s="21"/>
      <c r="R52" s="21"/>
      <c r="S52" s="21"/>
      <c r="T52" s="21"/>
      <c r="U52" s="21"/>
      <c r="W52" s="21"/>
      <c r="Z52" s="22"/>
      <c r="AI52" s="21"/>
      <c r="AO52" s="21"/>
      <c r="AP52" s="21"/>
      <c r="BD52" s="22"/>
      <c r="BJ52" s="23"/>
      <c r="BK52" s="23"/>
    </row>
    <row r="53" s="20" customFormat="true" ht="13.8" hidden="false" customHeight="false" outlineLevel="0" collapsed="false">
      <c r="N53" s="21"/>
      <c r="O53" s="21"/>
      <c r="P53" s="21"/>
      <c r="Q53" s="21"/>
      <c r="R53" s="21"/>
      <c r="S53" s="21"/>
      <c r="T53" s="21"/>
      <c r="U53" s="21"/>
      <c r="W53" s="21"/>
      <c r="Z53" s="22"/>
      <c r="AI53" s="21"/>
      <c r="AO53" s="21"/>
      <c r="AP53" s="21"/>
      <c r="BD53" s="22"/>
      <c r="BJ53" s="23"/>
      <c r="BK53" s="23"/>
    </row>
    <row r="54" s="20" customFormat="true" ht="13.8" hidden="false" customHeight="false" outlineLevel="0" collapsed="false">
      <c r="N54" s="21"/>
      <c r="O54" s="21"/>
      <c r="P54" s="21"/>
      <c r="Q54" s="21"/>
      <c r="R54" s="21"/>
      <c r="S54" s="21"/>
      <c r="T54" s="21"/>
      <c r="U54" s="21"/>
      <c r="W54" s="21"/>
      <c r="Z54" s="22"/>
      <c r="AI54" s="21"/>
      <c r="AO54" s="21"/>
      <c r="AP54" s="21"/>
      <c r="BD54" s="22"/>
      <c r="BJ54" s="23"/>
      <c r="BK54" s="23"/>
    </row>
    <row r="55" s="20" customFormat="true" ht="13.8" hidden="false" customHeight="false" outlineLevel="0" collapsed="false">
      <c r="N55" s="21"/>
      <c r="O55" s="21"/>
      <c r="P55" s="21"/>
      <c r="Q55" s="21"/>
      <c r="R55" s="21"/>
      <c r="S55" s="21"/>
      <c r="T55" s="21"/>
      <c r="U55" s="21"/>
      <c r="W55" s="21"/>
      <c r="Z55" s="22"/>
      <c r="AI55" s="21"/>
      <c r="AO55" s="21"/>
      <c r="AP55" s="21"/>
      <c r="BD55" s="22"/>
      <c r="BJ55" s="23"/>
      <c r="BK55" s="23"/>
    </row>
    <row r="56" s="20" customFormat="true" ht="13.8" hidden="false" customHeight="false" outlineLevel="0" collapsed="false">
      <c r="N56" s="21"/>
      <c r="O56" s="21"/>
      <c r="P56" s="21"/>
      <c r="Q56" s="21"/>
      <c r="R56" s="21"/>
      <c r="S56" s="21"/>
      <c r="T56" s="21"/>
      <c r="U56" s="21"/>
      <c r="W56" s="21"/>
      <c r="Z56" s="22"/>
      <c r="AI56" s="21"/>
      <c r="AO56" s="21"/>
      <c r="AP56" s="21"/>
      <c r="BD56" s="22"/>
      <c r="BJ56" s="23"/>
      <c r="BK56" s="23"/>
    </row>
    <row r="57" s="20" customFormat="true" ht="13.8" hidden="false" customHeight="false" outlineLevel="0" collapsed="false">
      <c r="N57" s="21"/>
      <c r="O57" s="21"/>
      <c r="P57" s="21"/>
      <c r="Q57" s="21"/>
      <c r="R57" s="21"/>
      <c r="S57" s="21"/>
      <c r="T57" s="21"/>
      <c r="U57" s="21"/>
      <c r="W57" s="21"/>
      <c r="Z57" s="22"/>
      <c r="AI57" s="21"/>
      <c r="AO57" s="21"/>
      <c r="AP57" s="21"/>
      <c r="BD57" s="22"/>
      <c r="BJ57" s="23"/>
      <c r="BK57" s="23"/>
    </row>
    <row r="58" s="20" customFormat="true" ht="13.8" hidden="false" customHeight="false" outlineLevel="0" collapsed="false">
      <c r="N58" s="21"/>
      <c r="O58" s="21"/>
      <c r="P58" s="21"/>
      <c r="Q58" s="21"/>
      <c r="R58" s="21"/>
      <c r="S58" s="24"/>
      <c r="T58" s="21"/>
      <c r="U58" s="21"/>
      <c r="W58" s="21"/>
      <c r="Z58" s="22"/>
      <c r="AI58" s="21"/>
      <c r="AO58" s="21"/>
      <c r="AP58" s="21"/>
      <c r="BD58" s="22"/>
      <c r="BJ58" s="23"/>
      <c r="BK58" s="23"/>
    </row>
    <row r="59" s="20" customFormat="true" ht="13.8" hidden="false" customHeight="false" outlineLevel="0" collapsed="false">
      <c r="N59" s="21"/>
      <c r="O59" s="21"/>
      <c r="P59" s="21"/>
      <c r="Q59" s="21"/>
      <c r="R59" s="21"/>
      <c r="S59" s="24"/>
      <c r="T59" s="21"/>
      <c r="U59" s="21"/>
      <c r="W59" s="21"/>
      <c r="Z59" s="22"/>
      <c r="AI59" s="21"/>
      <c r="AO59" s="21"/>
      <c r="AP59" s="21"/>
      <c r="BD59" s="22"/>
      <c r="BJ59" s="23"/>
      <c r="BK59" s="23"/>
    </row>
    <row r="60" s="20" customFormat="true" ht="13.8" hidden="false" customHeight="false" outlineLevel="0" collapsed="false">
      <c r="N60" s="21"/>
      <c r="O60" s="21"/>
      <c r="P60" s="21"/>
      <c r="Q60" s="21"/>
      <c r="R60" s="21"/>
      <c r="S60" s="24"/>
      <c r="T60" s="21"/>
      <c r="U60" s="21"/>
      <c r="W60" s="21"/>
      <c r="Z60" s="22"/>
      <c r="AI60" s="21"/>
      <c r="AO60" s="21"/>
      <c r="AP60" s="21"/>
      <c r="BD60" s="22"/>
      <c r="BJ60" s="23"/>
      <c r="BK60" s="23"/>
    </row>
    <row r="61" s="20" customFormat="true" ht="13.8" hidden="false" customHeight="false" outlineLevel="0" collapsed="false">
      <c r="N61" s="21"/>
      <c r="O61" s="21"/>
      <c r="P61" s="21"/>
      <c r="Q61" s="21"/>
      <c r="R61" s="21"/>
      <c r="S61" s="24"/>
      <c r="T61" s="21"/>
      <c r="U61" s="21"/>
      <c r="W61" s="21"/>
      <c r="Z61" s="22"/>
      <c r="AI61" s="21"/>
      <c r="AO61" s="21"/>
      <c r="AP61" s="21"/>
      <c r="BD61" s="22"/>
      <c r="BJ61" s="23"/>
      <c r="BK61" s="23"/>
    </row>
    <row r="62" s="20" customFormat="true" ht="13.8" hidden="false" customHeight="false" outlineLevel="0" collapsed="false">
      <c r="N62" s="21"/>
      <c r="O62" s="21"/>
      <c r="P62" s="21"/>
      <c r="Q62" s="21"/>
      <c r="R62" s="21"/>
      <c r="S62" s="24"/>
      <c r="T62" s="21"/>
      <c r="U62" s="21"/>
      <c r="W62" s="21"/>
      <c r="Z62" s="22"/>
      <c r="AI62" s="21"/>
      <c r="AO62" s="21"/>
      <c r="AP62" s="21"/>
      <c r="BD62" s="22"/>
      <c r="BJ62" s="23"/>
      <c r="BK62" s="23"/>
    </row>
    <row r="63" s="20" customFormat="true" ht="13.8" hidden="false" customHeight="false" outlineLevel="0" collapsed="false">
      <c r="N63" s="21"/>
      <c r="O63" s="21"/>
      <c r="P63" s="21"/>
      <c r="Q63" s="21"/>
      <c r="R63" s="21"/>
      <c r="S63" s="24"/>
      <c r="T63" s="21"/>
      <c r="U63" s="21"/>
      <c r="W63" s="21"/>
      <c r="Z63" s="22"/>
      <c r="AI63" s="21"/>
      <c r="AO63" s="21"/>
      <c r="AP63" s="21"/>
      <c r="BD63" s="22"/>
      <c r="BJ63" s="23"/>
      <c r="BK63" s="23"/>
    </row>
    <row r="64" s="20" customFormat="true" ht="13.8" hidden="false" customHeight="false" outlineLevel="0" collapsed="false">
      <c r="N64" s="21"/>
      <c r="O64" s="21"/>
      <c r="P64" s="21"/>
      <c r="Q64" s="21"/>
      <c r="R64" s="21"/>
      <c r="S64" s="24"/>
      <c r="T64" s="21"/>
      <c r="U64" s="21"/>
      <c r="W64" s="21"/>
      <c r="Z64" s="22"/>
      <c r="AI64" s="21"/>
      <c r="AO64" s="21"/>
      <c r="AP64" s="21"/>
      <c r="BD64" s="22"/>
      <c r="BJ64" s="23"/>
      <c r="BK64" s="23"/>
    </row>
    <row r="65" s="20" customFormat="true" ht="13.8" hidden="false" customHeight="false" outlineLevel="0" collapsed="false">
      <c r="N65" s="21"/>
      <c r="O65" s="21"/>
      <c r="P65" s="21"/>
      <c r="Q65" s="21"/>
      <c r="R65" s="21"/>
      <c r="S65" s="24"/>
      <c r="T65" s="21"/>
      <c r="U65" s="21"/>
      <c r="W65" s="21"/>
      <c r="Z65" s="22"/>
      <c r="AI65" s="21"/>
      <c r="AO65" s="21"/>
      <c r="AP65" s="21"/>
      <c r="BD65" s="22"/>
      <c r="BJ65" s="23"/>
      <c r="BK65" s="23"/>
    </row>
    <row r="66" s="20" customFormat="true" ht="13.8" hidden="false" customHeight="false" outlineLevel="0" collapsed="false">
      <c r="N66" s="21"/>
      <c r="O66" s="21"/>
      <c r="P66" s="21"/>
      <c r="Q66" s="21"/>
      <c r="R66" s="21"/>
      <c r="S66" s="24"/>
      <c r="T66" s="21"/>
      <c r="U66" s="21"/>
      <c r="W66" s="21"/>
      <c r="Z66" s="22"/>
      <c r="AI66" s="21"/>
      <c r="AO66" s="21"/>
      <c r="AP66" s="21"/>
      <c r="BD66" s="22"/>
      <c r="BJ66" s="23"/>
      <c r="BK66" s="23"/>
    </row>
    <row r="67" s="20" customFormat="true" ht="13.8" hidden="false" customHeight="false" outlineLevel="0" collapsed="false">
      <c r="N67" s="21"/>
      <c r="O67" s="21"/>
      <c r="P67" s="21"/>
      <c r="Q67" s="21"/>
      <c r="R67" s="21"/>
      <c r="S67" s="24"/>
      <c r="T67" s="21"/>
      <c r="U67" s="21"/>
      <c r="W67" s="21"/>
      <c r="Z67" s="22"/>
      <c r="AI67" s="21"/>
      <c r="AO67" s="21"/>
      <c r="AP67" s="21"/>
      <c r="BD67" s="22"/>
      <c r="BJ67" s="23"/>
      <c r="BK67" s="23"/>
    </row>
    <row r="68" s="20" customFormat="true" ht="13.8" hidden="false" customHeight="false" outlineLevel="0" collapsed="false">
      <c r="N68" s="21"/>
      <c r="O68" s="21"/>
      <c r="P68" s="21"/>
      <c r="Q68" s="21"/>
      <c r="R68" s="21"/>
      <c r="S68" s="24"/>
      <c r="T68" s="21"/>
      <c r="U68" s="21"/>
      <c r="W68" s="21"/>
      <c r="Z68" s="22"/>
      <c r="AI68" s="21"/>
      <c r="AO68" s="21"/>
      <c r="AP68" s="21"/>
      <c r="BD68" s="22"/>
      <c r="BJ68" s="23"/>
      <c r="BK68" s="23"/>
    </row>
    <row r="69" s="20" customFormat="true" ht="13.8" hidden="false" customHeight="false" outlineLevel="0" collapsed="false">
      <c r="N69" s="21"/>
      <c r="O69" s="21"/>
      <c r="P69" s="21"/>
      <c r="Q69" s="21"/>
      <c r="R69" s="21"/>
      <c r="S69" s="24"/>
      <c r="T69" s="21"/>
      <c r="U69" s="21"/>
      <c r="W69" s="21"/>
      <c r="Z69" s="22"/>
      <c r="AI69" s="21"/>
      <c r="AO69" s="21"/>
      <c r="AP69" s="21"/>
      <c r="BD69" s="22"/>
      <c r="BJ69" s="23"/>
      <c r="BK69" s="23"/>
    </row>
    <row r="70" s="20" customFormat="true" ht="13.8" hidden="false" customHeight="false" outlineLevel="0" collapsed="false">
      <c r="N70" s="21"/>
      <c r="O70" s="21"/>
      <c r="P70" s="21"/>
      <c r="Q70" s="21"/>
      <c r="R70" s="21"/>
      <c r="S70" s="24"/>
      <c r="T70" s="21"/>
      <c r="U70" s="21"/>
      <c r="W70" s="21"/>
      <c r="Z70" s="22"/>
      <c r="AI70" s="21"/>
      <c r="AO70" s="21"/>
      <c r="AP70" s="21"/>
      <c r="BD70" s="22"/>
      <c r="BJ70" s="23"/>
      <c r="BK70" s="23"/>
    </row>
    <row r="71" s="20" customFormat="true" ht="13.8" hidden="false" customHeight="false" outlineLevel="0" collapsed="false">
      <c r="N71" s="21"/>
      <c r="O71" s="21"/>
      <c r="P71" s="21"/>
      <c r="Q71" s="21"/>
      <c r="R71" s="21"/>
      <c r="S71" s="24"/>
      <c r="T71" s="21"/>
      <c r="U71" s="21"/>
      <c r="W71" s="21"/>
      <c r="Z71" s="22"/>
      <c r="AI71" s="21"/>
      <c r="AO71" s="21"/>
      <c r="AP71" s="21"/>
      <c r="BD71" s="22"/>
      <c r="BJ71" s="23"/>
      <c r="BK71" s="23"/>
    </row>
    <row r="72" s="20" customFormat="true" ht="13.8" hidden="false" customHeight="false" outlineLevel="0" collapsed="false">
      <c r="N72" s="21"/>
      <c r="O72" s="21"/>
      <c r="P72" s="21"/>
      <c r="Q72" s="21"/>
      <c r="R72" s="21"/>
      <c r="S72" s="24"/>
      <c r="T72" s="21"/>
      <c r="U72" s="21"/>
      <c r="W72" s="21"/>
      <c r="Z72" s="22"/>
      <c r="AI72" s="21"/>
      <c r="AO72" s="21"/>
      <c r="AP72" s="21"/>
      <c r="BD72" s="22"/>
      <c r="BJ72" s="23"/>
      <c r="BK72" s="23"/>
    </row>
    <row r="73" s="20" customFormat="true" ht="13.8" hidden="false" customHeight="false" outlineLevel="0" collapsed="false">
      <c r="N73" s="21"/>
      <c r="O73" s="21"/>
      <c r="P73" s="21"/>
      <c r="Q73" s="21"/>
      <c r="R73" s="21"/>
      <c r="S73" s="21"/>
      <c r="T73" s="21"/>
      <c r="U73" s="21"/>
      <c r="W73" s="21"/>
      <c r="Z73" s="22"/>
      <c r="AI73" s="21"/>
      <c r="AO73" s="21"/>
      <c r="AP73" s="21"/>
      <c r="BD73" s="22"/>
      <c r="BJ73" s="23"/>
      <c r="BK73" s="23"/>
    </row>
    <row r="74" s="20" customFormat="true" ht="13.8" hidden="false" customHeight="false" outlineLevel="0" collapsed="false">
      <c r="N74" s="21"/>
      <c r="O74" s="21"/>
      <c r="P74" s="21"/>
      <c r="Q74" s="21"/>
      <c r="R74" s="21"/>
      <c r="S74" s="21"/>
      <c r="T74" s="21"/>
      <c r="U74" s="21"/>
      <c r="W74" s="21"/>
      <c r="Z74" s="22"/>
      <c r="AI74" s="21"/>
      <c r="AO74" s="21"/>
      <c r="AP74" s="21"/>
      <c r="BD74" s="22"/>
      <c r="BJ74" s="23"/>
      <c r="BK74" s="23"/>
    </row>
    <row r="75" s="20" customFormat="true" ht="13.8" hidden="false" customHeight="false" outlineLevel="0" collapsed="false">
      <c r="N75" s="21"/>
      <c r="O75" s="21"/>
      <c r="P75" s="21"/>
      <c r="Q75" s="21"/>
      <c r="R75" s="21"/>
      <c r="S75" s="21"/>
      <c r="T75" s="21"/>
      <c r="U75" s="21"/>
      <c r="W75" s="21"/>
      <c r="Z75" s="22"/>
      <c r="AI75" s="21"/>
      <c r="AO75" s="21"/>
      <c r="AP75" s="21"/>
      <c r="BD75" s="22"/>
      <c r="BJ75" s="23"/>
      <c r="BK75" s="23"/>
    </row>
    <row r="76" s="20" customFormat="true" ht="13.8" hidden="false" customHeight="false" outlineLevel="0" collapsed="false">
      <c r="N76" s="21"/>
      <c r="O76" s="21"/>
      <c r="P76" s="21"/>
      <c r="Q76" s="21"/>
      <c r="R76" s="21"/>
      <c r="S76" s="21"/>
      <c r="T76" s="21"/>
      <c r="U76" s="21"/>
      <c r="W76" s="21"/>
      <c r="Z76" s="22"/>
      <c r="AI76" s="21"/>
      <c r="AO76" s="21"/>
      <c r="AP76" s="21"/>
      <c r="BD76" s="22"/>
      <c r="BJ76" s="23"/>
      <c r="BK76" s="23"/>
    </row>
    <row r="77" s="20" customFormat="true" ht="13.8" hidden="false" customHeight="false" outlineLevel="0" collapsed="false">
      <c r="N77" s="21"/>
      <c r="O77" s="21"/>
      <c r="P77" s="21"/>
      <c r="Q77" s="21"/>
      <c r="R77" s="21"/>
      <c r="S77" s="21"/>
      <c r="T77" s="21"/>
      <c r="U77" s="21"/>
      <c r="W77" s="21"/>
      <c r="Z77" s="22"/>
      <c r="AI77" s="21"/>
      <c r="AO77" s="21"/>
      <c r="AP77" s="21"/>
      <c r="BD77" s="22"/>
      <c r="BJ77" s="23"/>
      <c r="BK77" s="23"/>
    </row>
    <row r="78" s="20" customFormat="true" ht="13.8" hidden="false" customHeight="false" outlineLevel="0" collapsed="false">
      <c r="N78" s="21"/>
      <c r="O78" s="21"/>
      <c r="P78" s="21"/>
      <c r="Q78" s="21"/>
      <c r="R78" s="21"/>
      <c r="S78" s="21"/>
      <c r="T78" s="21"/>
      <c r="U78" s="21"/>
      <c r="W78" s="21"/>
      <c r="Z78" s="22"/>
      <c r="AI78" s="21"/>
      <c r="AO78" s="21"/>
      <c r="AP78" s="21"/>
      <c r="BD78" s="22"/>
      <c r="BJ78" s="23"/>
      <c r="BK78" s="23"/>
    </row>
    <row r="79" s="20" customFormat="true" ht="13.8" hidden="false" customHeight="false" outlineLevel="0" collapsed="false">
      <c r="N79" s="21"/>
      <c r="O79" s="21"/>
      <c r="P79" s="21"/>
      <c r="Q79" s="21"/>
      <c r="R79" s="21"/>
      <c r="S79" s="21"/>
      <c r="T79" s="21"/>
      <c r="U79" s="21"/>
      <c r="W79" s="21"/>
      <c r="Z79" s="22"/>
      <c r="AI79" s="21"/>
      <c r="AO79" s="21"/>
      <c r="AP79" s="21"/>
      <c r="BD79" s="22"/>
      <c r="BJ79" s="23"/>
      <c r="BK79" s="23"/>
    </row>
    <row r="80" s="20" customFormat="true" ht="13.8" hidden="false" customHeight="false" outlineLevel="0" collapsed="false">
      <c r="N80" s="21"/>
      <c r="O80" s="21"/>
      <c r="P80" s="21"/>
      <c r="Q80" s="21"/>
      <c r="R80" s="21"/>
      <c r="S80" s="21"/>
      <c r="T80" s="21"/>
      <c r="U80" s="21"/>
      <c r="W80" s="21"/>
      <c r="Z80" s="22"/>
      <c r="AI80" s="21"/>
      <c r="AO80" s="21"/>
      <c r="AP80" s="21"/>
      <c r="BD80" s="22"/>
      <c r="BJ80" s="23"/>
      <c r="BK80" s="23"/>
    </row>
    <row r="81" s="20" customFormat="true" ht="13.8" hidden="false" customHeight="false" outlineLevel="0" collapsed="false">
      <c r="N81" s="21"/>
      <c r="O81" s="21"/>
      <c r="P81" s="21"/>
      <c r="Q81" s="21"/>
      <c r="R81" s="21"/>
      <c r="S81" s="21"/>
      <c r="T81" s="21"/>
      <c r="U81" s="21"/>
      <c r="W81" s="21"/>
      <c r="Z81" s="22"/>
      <c r="AI81" s="21"/>
      <c r="AO81" s="21"/>
      <c r="AP81" s="21"/>
      <c r="BD81" s="22"/>
      <c r="BJ81" s="23"/>
      <c r="BK81" s="23"/>
    </row>
    <row r="82" s="20" customFormat="true" ht="13.8" hidden="false" customHeight="false" outlineLevel="0" collapsed="false">
      <c r="N82" s="21"/>
      <c r="O82" s="21"/>
      <c r="P82" s="21"/>
      <c r="Q82" s="21"/>
      <c r="R82" s="21"/>
      <c r="S82" s="21"/>
      <c r="T82" s="21"/>
      <c r="U82" s="21"/>
      <c r="W82" s="21"/>
      <c r="Z82" s="22"/>
      <c r="AI82" s="21"/>
      <c r="AO82" s="21"/>
      <c r="AP82" s="21"/>
      <c r="BD82" s="22"/>
      <c r="BJ82" s="23"/>
      <c r="BK82" s="23"/>
    </row>
    <row r="83" s="20" customFormat="true" ht="13.8" hidden="false" customHeight="false" outlineLevel="0" collapsed="false">
      <c r="N83" s="21"/>
      <c r="O83" s="21"/>
      <c r="P83" s="21"/>
      <c r="Q83" s="21"/>
      <c r="R83" s="21"/>
      <c r="S83" s="21"/>
      <c r="T83" s="21"/>
      <c r="U83" s="21"/>
      <c r="W83" s="21"/>
      <c r="Z83" s="22"/>
      <c r="AI83" s="21"/>
      <c r="AO83" s="21"/>
      <c r="AP83" s="21"/>
      <c r="BD83" s="22"/>
      <c r="BJ83" s="23"/>
      <c r="BK83" s="23"/>
    </row>
    <row r="84" s="20" customFormat="true" ht="13.8" hidden="false" customHeight="false" outlineLevel="0" collapsed="false">
      <c r="N84" s="21"/>
      <c r="O84" s="21"/>
      <c r="P84" s="21"/>
      <c r="Q84" s="21"/>
      <c r="R84" s="21"/>
      <c r="S84" s="21"/>
      <c r="T84" s="21"/>
      <c r="U84" s="21"/>
      <c r="W84" s="21"/>
      <c r="Z84" s="22"/>
      <c r="AI84" s="21"/>
      <c r="AO84" s="21"/>
      <c r="AP84" s="21"/>
      <c r="BD84" s="22"/>
      <c r="BJ84" s="23"/>
      <c r="BK84" s="23"/>
    </row>
    <row r="85" s="20" customFormat="true" ht="13.8" hidden="false" customHeight="false" outlineLevel="0" collapsed="false">
      <c r="N85" s="21"/>
      <c r="O85" s="21"/>
      <c r="P85" s="21"/>
      <c r="Q85" s="21"/>
      <c r="R85" s="21"/>
      <c r="S85" s="21"/>
      <c r="T85" s="21"/>
      <c r="U85" s="21"/>
      <c r="W85" s="21"/>
      <c r="Z85" s="22"/>
      <c r="AI85" s="21"/>
      <c r="AO85" s="21"/>
      <c r="AP85" s="21"/>
      <c r="BD85" s="22"/>
      <c r="BJ85" s="23"/>
      <c r="BK85" s="23"/>
    </row>
    <row r="86" s="20" customFormat="true" ht="13.8" hidden="false" customHeight="false" outlineLevel="0" collapsed="false">
      <c r="N86" s="21"/>
      <c r="O86" s="21"/>
      <c r="P86" s="21"/>
      <c r="Q86" s="21"/>
      <c r="R86" s="21"/>
      <c r="S86" s="21"/>
      <c r="T86" s="21"/>
      <c r="U86" s="21"/>
      <c r="W86" s="21"/>
      <c r="Z86" s="22"/>
      <c r="AI86" s="21"/>
      <c r="AO86" s="21"/>
      <c r="AP86" s="21"/>
      <c r="BD86" s="22"/>
      <c r="BJ86" s="23"/>
      <c r="BK86" s="23"/>
    </row>
    <row r="87" s="20" customFormat="true" ht="13.8" hidden="false" customHeight="false" outlineLevel="0" collapsed="false">
      <c r="N87" s="21"/>
      <c r="O87" s="21"/>
      <c r="P87" s="21"/>
      <c r="Q87" s="21"/>
      <c r="R87" s="21"/>
      <c r="S87" s="21"/>
      <c r="T87" s="21"/>
      <c r="U87" s="21"/>
      <c r="W87" s="21"/>
      <c r="Z87" s="22"/>
      <c r="AI87" s="21"/>
      <c r="AO87" s="21"/>
      <c r="AP87" s="21"/>
      <c r="BD87" s="22"/>
      <c r="BJ87" s="23"/>
      <c r="BK87" s="23"/>
    </row>
    <row r="88" s="20" customFormat="true" ht="13.8" hidden="false" customHeight="false" outlineLevel="0" collapsed="false">
      <c r="N88" s="21"/>
      <c r="O88" s="21"/>
      <c r="P88" s="21"/>
      <c r="Q88" s="21"/>
      <c r="R88" s="21"/>
      <c r="S88" s="21"/>
      <c r="T88" s="21"/>
      <c r="U88" s="21"/>
      <c r="W88" s="21"/>
      <c r="Z88" s="22"/>
      <c r="AI88" s="21"/>
      <c r="AO88" s="21"/>
      <c r="AP88" s="21"/>
      <c r="BD88" s="22"/>
      <c r="BJ88" s="23"/>
      <c r="BK88" s="23"/>
    </row>
    <row r="89" customFormat="false" ht="13.8" hidden="false" customHeight="false" outlineLevel="0" collapsed="false"/>
    <row r="90" customFormat="false" ht="13.8" hidden="false" customHeight="false" outlineLevel="0" collapsed="false"/>
  </sheetData>
  <autoFilter ref="A1:CE13"/>
  <dataValidations count="2">
    <dataValidation allowBlank="true" errorStyle="stop" operator="between" showDropDown="false" showErrorMessage="true" showInputMessage="true" sqref="BY12:BY19 BY45 BY89:BY1003" type="list">
      <formula1>'Gameplay Planning'!$1:$1</formula1>
      <formula2>0</formula2>
    </dataValidation>
    <dataValidation allowBlank="true" errorStyle="stop" operator="between" showDropDown="false" showErrorMessage="true" showInputMessage="true" sqref="BW1:BW3" type="list">
      <formula1>'Gameplay Planning'!$1:$1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W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9765625" defaultRowHeight="15" zeroHeight="false" outlineLevelRow="0" outlineLevelCol="0"/>
  <cols>
    <col collapsed="false" customWidth="true" hidden="false" outlineLevel="0" max="2" min="2" style="0" width="29"/>
    <col collapsed="false" customWidth="true" hidden="false" outlineLevel="0" max="4" min="3" style="0" width="17.29"/>
    <col collapsed="false" customWidth="true" hidden="false" outlineLevel="0" max="5" min="5" style="0" width="6.57"/>
    <col collapsed="false" customWidth="true" hidden="false" outlineLevel="0" max="8" min="8" style="0" width="12"/>
    <col collapsed="false" customWidth="true" hidden="false" outlineLevel="0" max="10" min="9" style="0" width="16.14"/>
    <col collapsed="false" customWidth="true" hidden="false" outlineLevel="0" max="11" min="11" style="0" width="13.29"/>
    <col collapsed="false" customWidth="true" hidden="false" outlineLevel="0" max="13" min="13" style="0" width="14"/>
    <col collapsed="false" customWidth="true" hidden="false" outlineLevel="0" max="15" min="15" style="0" width="13.71"/>
    <col collapsed="false" customWidth="true" hidden="false" outlineLevel="0" max="16" min="16" style="0" width="3.15"/>
    <col collapsed="false" customWidth="true" hidden="false" outlineLevel="0" max="18" min="18" style="0" width="12.57"/>
    <col collapsed="false" customWidth="true" hidden="false" outlineLevel="0" max="19" min="19" style="0" width="12.43"/>
    <col collapsed="false" customWidth="true" hidden="false" outlineLevel="0" max="20" min="20" style="0" width="10.86"/>
    <col collapsed="false" customWidth="true" hidden="false" outlineLevel="0" max="21" min="21" style="0" width="4.43"/>
    <col collapsed="false" customWidth="true" hidden="false" outlineLevel="0" max="22" min="22" style="0" width="7"/>
  </cols>
  <sheetData>
    <row r="1" customFormat="false" ht="15" hidden="false" customHeight="false" outlineLevel="0" collapsed="false">
      <c r="C1" s="10" t="s">
        <v>112</v>
      </c>
      <c r="D1" s="10" t="s">
        <v>113</v>
      </c>
      <c r="E1" s="10" t="s">
        <v>114</v>
      </c>
      <c r="F1" s="10" t="s">
        <v>115</v>
      </c>
      <c r="G1" s="10" t="s">
        <v>116</v>
      </c>
      <c r="H1" s="10" t="s">
        <v>117</v>
      </c>
      <c r="I1" s="10" t="s">
        <v>118</v>
      </c>
      <c r="J1" s="10" t="s">
        <v>119</v>
      </c>
      <c r="K1" s="10" t="s">
        <v>120</v>
      </c>
      <c r="L1" s="10" t="s">
        <v>94</v>
      </c>
      <c r="M1" s="10" t="s">
        <v>121</v>
      </c>
      <c r="N1" s="10" t="s">
        <v>122</v>
      </c>
      <c r="O1" s="10" t="s">
        <v>123</v>
      </c>
      <c r="P1" s="10" t="s">
        <v>124</v>
      </c>
      <c r="Q1" s="10" t="s">
        <v>125</v>
      </c>
      <c r="R1" s="10" t="s">
        <v>126</v>
      </c>
      <c r="S1" s="10" t="s">
        <v>127</v>
      </c>
      <c r="T1" s="10" t="s">
        <v>128</v>
      </c>
      <c r="U1" s="10" t="s">
        <v>129</v>
      </c>
      <c r="V1" s="10" t="s">
        <v>130</v>
      </c>
      <c r="W1" s="10" t="s">
        <v>131</v>
      </c>
    </row>
    <row r="2" customFormat="false" ht="15" hidden="false" customHeight="false" outlineLevel="0" collapsed="false">
      <c r="A2" s="10" t="s">
        <v>132</v>
      </c>
      <c r="B2" s="10" t="s">
        <v>133</v>
      </c>
    </row>
    <row r="3" customFormat="false" ht="15" hidden="false" customHeight="false" outlineLevel="0" collapsed="false">
      <c r="A3" s="0" t="s">
        <v>134</v>
      </c>
      <c r="B3" s="0" t="str">
        <f aca="false">VLOOKUP(A3, Eras!$B$2:$C$10, 2, FALSE())</f>
        <v>Early (1800-1850)</v>
      </c>
      <c r="C3" s="25" t="n">
        <f aca="false">COUNTIF(Table!$BZ:$BZ,CONCATENATE($A3,"_",C$1))</f>
        <v>0</v>
      </c>
      <c r="D3" s="25" t="n">
        <f aca="false">COUNTIF(Table!$BZ:$BZ,CONCATENATE($A3,"_",D$1))</f>
        <v>0</v>
      </c>
      <c r="E3" s="25" t="n">
        <f aca="false">COUNTIF(Table!$BZ:$BZ,CONCATENATE($A3,"_",E$1))</f>
        <v>0</v>
      </c>
      <c r="F3" s="25" t="n">
        <f aca="false">COUNTIF(Table!$BZ:$BZ,CONCATENATE($A3,"_",F$1))</f>
        <v>0</v>
      </c>
      <c r="G3" s="25" t="n">
        <f aca="false">COUNTIF(Table!$BZ:$BZ,CONCATENATE($A3,"_",G$1))</f>
        <v>0</v>
      </c>
      <c r="H3" s="0" t="n">
        <f aca="false">COUNTIF(Table!$BZ:$BZ,CONCATENATE($A3,"_",H$1))</f>
        <v>0</v>
      </c>
      <c r="I3" s="0" t="n">
        <f aca="false">COUNTIF(Table!$BZ:$BZ,CONCATENATE($A3,"_",I$1))</f>
        <v>0</v>
      </c>
      <c r="J3" s="0" t="n">
        <f aca="false">COUNTIF(Table!$BZ:$BZ,CONCATENATE($A3,"_",J$1))</f>
        <v>0</v>
      </c>
      <c r="K3" s="0" t="n">
        <f aca="false">COUNTIF(Table!$BZ:$BZ,CONCATENATE($A3,"_",K$1))</f>
        <v>0</v>
      </c>
      <c r="L3" s="0" t="n">
        <f aca="false">COUNTIF(Table!$BZ:$BZ,CONCATENATE($A3,"_",L$1))</f>
        <v>0</v>
      </c>
      <c r="M3" s="0" t="n">
        <f aca="false">COUNTIF(Table!$BZ:$BZ,CONCATENATE($A3,"_",M$1))</f>
        <v>0</v>
      </c>
      <c r="N3" s="0" t="n">
        <f aca="false">COUNTIF(Table!$BZ:$BZ,CONCATENATE($A3,"_",N$1))</f>
        <v>0</v>
      </c>
      <c r="O3" s="0" t="n">
        <f aca="false">COUNTIF(Table!$BZ:$BZ,CONCATENATE($A3,"_",O$1))</f>
        <v>0</v>
      </c>
      <c r="P3" s="25" t="n">
        <f aca="false">COUNTIF(Table!$BZ:$BZ,CONCATENATE($A3,"_",P$1))</f>
        <v>0</v>
      </c>
      <c r="Q3" s="25" t="n">
        <f aca="false">COUNTIF(Table!$BZ:$BZ,CONCATENATE($A3,"_",Q$1))</f>
        <v>0</v>
      </c>
      <c r="R3" s="25" t="n">
        <f aca="false">COUNTIF(Table!$BZ:$BZ,CONCATENATE($A3,"_",R$1))</f>
        <v>0</v>
      </c>
      <c r="S3" s="25" t="n">
        <f aca="false">COUNTIF(Table!$BZ:$BZ,CONCATENATE($A3,"_",S$1))</f>
        <v>0</v>
      </c>
      <c r="T3" s="25" t="n">
        <f aca="false">COUNTIF(Table!$BZ:$BZ,CONCATENATE($A3,"_",T$1))</f>
        <v>0</v>
      </c>
      <c r="U3" s="25" t="n">
        <f aca="false">COUNTIF(Table!$BZ:$BZ,CONCATENATE($A3,"_",U$1))</f>
        <v>0</v>
      </c>
      <c r="V3" s="25" t="n">
        <f aca="false">COUNTIF(Table!$BZ:$BZ,CONCATENATE($A3,"_",V$1))</f>
        <v>0</v>
      </c>
      <c r="W3" s="25" t="n">
        <f aca="false">COUNTIF(Table!$BZ:$BZ,CONCATENATE($A3,"_",W$1))</f>
        <v>0</v>
      </c>
    </row>
    <row r="4" customFormat="false" ht="15" hidden="false" customHeight="false" outlineLevel="0" collapsed="false">
      <c r="A4" s="0" t="s">
        <v>135</v>
      </c>
      <c r="B4" s="0" t="str">
        <f aca="false">VLOOKUP(A4, Eras!$B$2:$C$10, 2, FALSE())</f>
        <v>Victorian (1850-1900)</v>
      </c>
      <c r="C4" s="25" t="n">
        <f aca="false">COUNTIF(Table!$BZ:$BZ,CONCATENATE($A4,"_",C$1))</f>
        <v>0</v>
      </c>
      <c r="D4" s="25" t="n">
        <f aca="false">COUNTIF(Table!$BZ:$BZ,CONCATENATE($A4,"_",D$1))</f>
        <v>0</v>
      </c>
      <c r="E4" s="25" t="n">
        <f aca="false">COUNTIF(Table!$BZ:$BZ,CONCATENATE($A4,"_",E$1))</f>
        <v>0</v>
      </c>
      <c r="F4" s="25" t="n">
        <f aca="false">COUNTIF(Table!$BZ:$BZ,CONCATENATE($A4,"_",F$1))</f>
        <v>0</v>
      </c>
      <c r="G4" s="25" t="n">
        <f aca="false">COUNTIF(Table!$BZ:$BZ,CONCATENATE($A4,"_",G$1))</f>
        <v>0</v>
      </c>
      <c r="H4" s="0" t="n">
        <f aca="false">COUNTIF(Table!$BZ:$BZ,CONCATENATE($A4,"_",H$1))</f>
        <v>0</v>
      </c>
      <c r="I4" s="0" t="n">
        <f aca="false">COUNTIF(Table!$BZ:$BZ,CONCATENATE($A4,"_",I$1))</f>
        <v>0</v>
      </c>
      <c r="J4" s="0" t="n">
        <f aca="false">COUNTIF(Table!$BZ:$BZ,CONCATENATE($A4,"_",J$1))</f>
        <v>0</v>
      </c>
      <c r="K4" s="0" t="n">
        <f aca="false">COUNTIF(Table!$BZ:$BZ,CONCATENATE($A4,"_",K$1))</f>
        <v>0</v>
      </c>
      <c r="L4" s="0" t="n">
        <f aca="false">COUNTIF(Table!$BZ:$BZ,CONCATENATE($A4,"_",L$1))</f>
        <v>0</v>
      </c>
      <c r="M4" s="0" t="n">
        <f aca="false">COUNTIF(Table!$BZ:$BZ,CONCATENATE($A4,"_",M$1))</f>
        <v>0</v>
      </c>
      <c r="N4" s="0" t="n">
        <f aca="false">COUNTIF(Table!$BZ:$BZ,CONCATENATE($A4,"_",N$1))</f>
        <v>0</v>
      </c>
      <c r="O4" s="0" t="n">
        <f aca="false">COUNTIF(Table!$BZ:$BZ,CONCATENATE($A4,"_",O$1))</f>
        <v>0</v>
      </c>
      <c r="P4" s="25" t="n">
        <f aca="false">COUNTIF(Table!$BZ:$BZ,CONCATENATE($A4,"_",P$1))</f>
        <v>0</v>
      </c>
      <c r="Q4" s="25" t="n">
        <f aca="false">COUNTIF(Table!$BZ:$BZ,CONCATENATE($A4,"_",Q$1))</f>
        <v>0</v>
      </c>
      <c r="R4" s="25" t="n">
        <f aca="false">COUNTIF(Table!$BZ:$BZ,CONCATENATE($A4,"_",R$1))</f>
        <v>0</v>
      </c>
      <c r="S4" s="25" t="n">
        <f aca="false">COUNTIF(Table!$BZ:$BZ,CONCATENATE($A4,"_",S$1))</f>
        <v>0</v>
      </c>
      <c r="T4" s="25" t="n">
        <f aca="false">COUNTIF(Table!$BZ:$BZ,CONCATENATE($A4,"_",T$1))</f>
        <v>0</v>
      </c>
      <c r="U4" s="25" t="n">
        <f aca="false">COUNTIF(Table!$BZ:$BZ,CONCATENATE($A4,"_",U$1))</f>
        <v>0</v>
      </c>
      <c r="V4" s="25" t="n">
        <f aca="false">COUNTIF(Table!$BZ:$BZ,CONCATENATE($A4,"_",V$1))</f>
        <v>0</v>
      </c>
      <c r="W4" s="25" t="n">
        <f aca="false">COUNTIF(Table!$BZ:$BZ,CONCATENATE($A4,"_",W$1))</f>
        <v>0</v>
      </c>
    </row>
    <row r="5" customFormat="false" ht="15" hidden="false" customHeight="false" outlineLevel="0" collapsed="false">
      <c r="A5" s="0" t="s">
        <v>136</v>
      </c>
      <c r="B5" s="0" t="str">
        <f aca="false">VLOOKUP(A5, Eras!$B$2:$C$10, 2, FALSE())</f>
        <v>Edwardian (1900-1920)</v>
      </c>
      <c r="C5" s="25" t="n">
        <f aca="false">COUNTIF(Table!$BZ:$BZ,CONCATENATE($A5,"_",C$1))</f>
        <v>0</v>
      </c>
      <c r="D5" s="25" t="n">
        <f aca="false">COUNTIF(Table!$BZ:$BZ,CONCATENATE($A5,"_",D$1))</f>
        <v>0</v>
      </c>
      <c r="E5" s="25" t="n">
        <f aca="false">COUNTIF(Table!$BZ:$BZ,CONCATENATE($A5,"_",E$1))</f>
        <v>0</v>
      </c>
      <c r="F5" s="25" t="n">
        <f aca="false">COUNTIF(Table!$BZ:$BZ,CONCATENATE($A5,"_",F$1))</f>
        <v>0</v>
      </c>
      <c r="G5" s="25" t="n">
        <f aca="false">COUNTIF(Table!$BZ:$BZ,CONCATENATE($A5,"_",G$1))</f>
        <v>0</v>
      </c>
      <c r="H5" s="0" t="n">
        <f aca="false">COUNTIF(Table!$BZ:$BZ,CONCATENATE($A5,"_",H$1))</f>
        <v>0</v>
      </c>
      <c r="I5" s="0" t="n">
        <f aca="false">COUNTIF(Table!$BZ:$BZ,CONCATENATE($A5,"_",I$1))</f>
        <v>0</v>
      </c>
      <c r="J5" s="25" t="n">
        <f aca="false">COUNTIF(Table!$BZ:$BZ,CONCATENATE($A5,"_",J$1))</f>
        <v>0</v>
      </c>
      <c r="K5" s="25" t="n">
        <f aca="false">COUNTIF(Table!$BZ:$BZ,CONCATENATE($A5,"_",K$1))</f>
        <v>0</v>
      </c>
      <c r="L5" s="0" t="n">
        <f aca="false">COUNTIF(Table!$BZ:$BZ,CONCATENATE($A5,"_",L$1))</f>
        <v>0</v>
      </c>
      <c r="M5" s="0" t="n">
        <f aca="false">COUNTIF(Table!$BZ:$BZ,CONCATENATE($A5,"_",M$1))</f>
        <v>0</v>
      </c>
      <c r="N5" s="25" t="n">
        <f aca="false">COUNTIF(Table!$BZ:$BZ,CONCATENATE($A5,"_",N$1))</f>
        <v>0</v>
      </c>
      <c r="O5" s="0" t="n">
        <f aca="false">COUNTIF(Table!$BZ:$BZ,CONCATENATE($A5,"_",O$1))</f>
        <v>0</v>
      </c>
      <c r="P5" s="25" t="n">
        <f aca="false">COUNTIF(Table!$BZ:$BZ,CONCATENATE($A5,"_",P$1))</f>
        <v>0</v>
      </c>
      <c r="Q5" s="25" t="n">
        <f aca="false">COUNTIF(Table!$BZ:$BZ,CONCATENATE($A5,"_",Q$1))</f>
        <v>0</v>
      </c>
      <c r="R5" s="25" t="n">
        <f aca="false">COUNTIF(Table!$BZ:$BZ,CONCATENATE($A5,"_",R$1))</f>
        <v>0</v>
      </c>
      <c r="S5" s="25" t="n">
        <f aca="false">COUNTIF(Table!$BZ:$BZ,CONCATENATE($A5,"_",S$1))</f>
        <v>0</v>
      </c>
      <c r="T5" s="25" t="n">
        <f aca="false">COUNTIF(Table!$BZ:$BZ,CONCATENATE($A5,"_",T$1))</f>
        <v>0</v>
      </c>
      <c r="U5" s="25" t="n">
        <f aca="false">COUNTIF(Table!$BZ:$BZ,CONCATENATE($A5,"_",U$1))</f>
        <v>0</v>
      </c>
      <c r="V5" s="25" t="n">
        <f aca="false">COUNTIF(Table!$BZ:$BZ,CONCATENATE($A5,"_",V$1))</f>
        <v>0</v>
      </c>
      <c r="W5" s="25" t="n">
        <f aca="false">COUNTIF(Table!$BZ:$BZ,CONCATENATE($A5,"_",W$1))</f>
        <v>0</v>
      </c>
    </row>
    <row r="6" customFormat="false" ht="15" hidden="false" customHeight="false" outlineLevel="0" collapsed="false">
      <c r="A6" s="0" t="s">
        <v>137</v>
      </c>
      <c r="B6" s="0" t="str">
        <f aca="false">VLOOKUP(A6, Eras!$B$2:$C$10, 2, FALSE())</f>
        <v>Big Four (1923-1948)</v>
      </c>
      <c r="C6" s="25" t="n">
        <f aca="false">COUNTIF(Table!$BZ:$BZ,CONCATENATE($A6,"_",C$1))</f>
        <v>0</v>
      </c>
      <c r="D6" s="25" t="n">
        <f aca="false">COUNTIF(Table!$BZ:$BZ,CONCATENATE($A6,"_",D$1))</f>
        <v>0</v>
      </c>
      <c r="E6" s="25" t="n">
        <f aca="false">COUNTIF(Table!$BZ:$BZ,CONCATENATE($A6,"_",E$1))</f>
        <v>0</v>
      </c>
      <c r="F6" s="25" t="n">
        <f aca="false">COUNTIF(Table!$BZ:$BZ,CONCATENATE($A6,"_",F$1))</f>
        <v>0</v>
      </c>
      <c r="G6" s="25" t="n">
        <f aca="false">COUNTIF(Table!$BZ:$BZ,CONCATENATE($A6,"_",G$1))</f>
        <v>0</v>
      </c>
      <c r="H6" s="0" t="n">
        <f aca="false">COUNTIF(Table!$BZ:$BZ,CONCATENATE($A6,"_",H$1))</f>
        <v>0</v>
      </c>
      <c r="I6" s="0" t="n">
        <f aca="false">COUNTIF(Table!$BZ:$BZ,CONCATENATE($A6,"_",I$1))</f>
        <v>0</v>
      </c>
      <c r="J6" s="25" t="n">
        <f aca="false">COUNTIF(Table!$BZ:$BZ,CONCATENATE($A6,"_",J$1))</f>
        <v>0</v>
      </c>
      <c r="K6" s="25" t="n">
        <f aca="false">COUNTIF(Table!$BZ:$BZ,CONCATENATE($A6,"_",K$1))</f>
        <v>0</v>
      </c>
      <c r="L6" s="25" t="n">
        <f aca="false">COUNTIF(Table!$BZ:$BZ,CONCATENATE($A6,"_",L$1))</f>
        <v>0</v>
      </c>
      <c r="M6" s="25" t="n">
        <f aca="false">COUNTIF(Table!$BZ:$BZ,CONCATENATE($A6,"_",M$1))</f>
        <v>0</v>
      </c>
      <c r="N6" s="25" t="n">
        <f aca="false">COUNTIF(Table!$BZ:$BZ,CONCATENATE($A6,"_",N$1))</f>
        <v>0</v>
      </c>
      <c r="O6" s="25" t="n">
        <f aca="false">COUNTIF(Table!$BZ:$BZ,CONCATENATE($A6,"_",O$1))</f>
        <v>0</v>
      </c>
      <c r="P6" s="25" t="n">
        <f aca="false">COUNTIF(Table!$BZ:$BZ,CONCATENATE($A6,"_",P$1))</f>
        <v>0</v>
      </c>
      <c r="Q6" s="25" t="n">
        <f aca="false">COUNTIF(Table!$BZ:$BZ,CONCATENATE($A6,"_",Q$1))</f>
        <v>0</v>
      </c>
      <c r="R6" s="25" t="n">
        <f aca="false">COUNTIF(Table!$BZ:$BZ,CONCATENATE($A6,"_",R$1))</f>
        <v>0</v>
      </c>
      <c r="S6" s="25" t="n">
        <f aca="false">COUNTIF(Table!$BZ:$BZ,CONCATENATE($A6,"_",S$1))</f>
        <v>0</v>
      </c>
      <c r="T6" s="25" t="n">
        <f aca="false">COUNTIF(Table!$BZ:$BZ,CONCATENATE($A6,"_",T$1))</f>
        <v>0</v>
      </c>
      <c r="U6" s="25" t="n">
        <f aca="false">COUNTIF(Table!$BZ:$BZ,CONCATENATE($A6,"_",U$1))</f>
        <v>0</v>
      </c>
      <c r="V6" s="25" t="n">
        <f aca="false">COUNTIF(Table!$BZ:$BZ,CONCATENATE($A6,"_",V$1))</f>
        <v>0</v>
      </c>
      <c r="W6" s="25" t="n">
        <f aca="false">COUNTIF(Table!$BZ:$BZ,CONCATENATE($A6,"_",W$1))</f>
        <v>0</v>
      </c>
    </row>
    <row r="7" customFormat="false" ht="15" hidden="false" customHeight="false" outlineLevel="0" collapsed="false">
      <c r="A7" s="0" t="s">
        <v>138</v>
      </c>
      <c r="B7" s="0" t="str">
        <f aca="false">VLOOKUP(A7, Eras!$B$2:$C$10, 2, FALSE())</f>
        <v>Early BR (1948-1955)</v>
      </c>
      <c r="C7" s="25" t="n">
        <f aca="false">COUNTIF(Table!$BZ:$BZ,CONCATENATE($A7,"_",C$1))</f>
        <v>0</v>
      </c>
      <c r="D7" s="25" t="n">
        <f aca="false">COUNTIF(Table!$BZ:$BZ,CONCATENATE($A7,"_",D$1))</f>
        <v>0</v>
      </c>
      <c r="E7" s="25" t="n">
        <f aca="false">COUNTIF(Table!$BZ:$BZ,CONCATENATE($A7,"_",E$1))</f>
        <v>0</v>
      </c>
      <c r="F7" s="25" t="n">
        <f aca="false">COUNTIF(Table!$BZ:$BZ,CONCATENATE($A7,"_",F$1))</f>
        <v>0</v>
      </c>
      <c r="G7" s="25" t="n">
        <f aca="false">COUNTIF(Table!$BZ:$BZ,CONCATENATE($A7,"_",G$1))</f>
        <v>0</v>
      </c>
      <c r="H7" s="0" t="n">
        <f aca="false">COUNTIF(Table!$BZ:$BZ,CONCATENATE($A7,"_",H$1))</f>
        <v>0</v>
      </c>
      <c r="I7" s="0" t="n">
        <f aca="false">COUNTIF(Table!$BZ:$BZ,CONCATENATE($A7,"_",I$1))</f>
        <v>0</v>
      </c>
      <c r="J7" s="25" t="n">
        <f aca="false">COUNTIF(Table!$BZ:$BZ,CONCATENATE($A7,"_",J$1))</f>
        <v>0</v>
      </c>
      <c r="K7" s="25" t="n">
        <f aca="false">COUNTIF(Table!$BZ:$BZ,CONCATENATE($A7,"_",K$1))</f>
        <v>0</v>
      </c>
      <c r="L7" s="25" t="n">
        <f aca="false">COUNTIF(Table!$BZ:$BZ,CONCATENATE($A7,"_",L$1))</f>
        <v>0</v>
      </c>
      <c r="M7" s="25" t="n">
        <f aca="false">COUNTIF(Table!$BZ:$BZ,CONCATENATE($A7,"_",M$1))</f>
        <v>0</v>
      </c>
      <c r="N7" s="25" t="n">
        <f aca="false">COUNTIF(Table!$BZ:$BZ,CONCATENATE($A7,"_",N$1))</f>
        <v>0</v>
      </c>
      <c r="O7" s="25" t="n">
        <f aca="false">COUNTIF(Table!$BZ:$BZ,CONCATENATE($A7,"_",O$1))</f>
        <v>0</v>
      </c>
      <c r="P7" s="25" t="n">
        <f aca="false">COUNTIF(Table!$BZ:$BZ,CONCATENATE($A7,"_",P$1))</f>
        <v>0</v>
      </c>
      <c r="Q7" s="25" t="n">
        <f aca="false">COUNTIF(Table!$BZ:$BZ,CONCATENATE($A7,"_",Q$1))</f>
        <v>0</v>
      </c>
      <c r="R7" s="25" t="n">
        <f aca="false">COUNTIF(Table!$BZ:$BZ,CONCATENATE($A7,"_",R$1))</f>
        <v>0</v>
      </c>
      <c r="S7" s="25" t="n">
        <f aca="false">COUNTIF(Table!$BZ:$BZ,CONCATENATE($A7,"_",S$1))</f>
        <v>0</v>
      </c>
      <c r="T7" s="25" t="n">
        <f aca="false">COUNTIF(Table!$BZ:$BZ,CONCATENATE($A7,"_",T$1))</f>
        <v>0</v>
      </c>
      <c r="U7" s="25" t="n">
        <f aca="false">COUNTIF(Table!$BZ:$BZ,CONCATENATE($A7,"_",U$1))</f>
        <v>0</v>
      </c>
      <c r="V7" s="25" t="n">
        <f aca="false">COUNTIF(Table!$BZ:$BZ,CONCATENATE($A7,"_",V$1))</f>
        <v>0</v>
      </c>
      <c r="W7" s="25" t="n">
        <f aca="false">COUNTIF(Table!$BZ:$BZ,CONCATENATE($A7,"_",W$1))</f>
        <v>0</v>
      </c>
    </row>
    <row r="8" customFormat="false" ht="15" hidden="false" customHeight="false" outlineLevel="0" collapsed="false">
      <c r="A8" s="0" t="s">
        <v>93</v>
      </c>
      <c r="B8" s="0" t="str">
        <f aca="false">VLOOKUP(A8, Eras!$B$2:$C$10, 2, FALSE())</f>
        <v>Dieselisation (1955-1970)</v>
      </c>
      <c r="C8" s="25" t="n">
        <f aca="false">COUNTIF(Table!$BZ:$BZ,CONCATENATE($A8,"_",C$1))</f>
        <v>0</v>
      </c>
      <c r="D8" s="25" t="n">
        <f aca="false">COUNTIF(Table!$BZ:$BZ,CONCATENATE($A8,"_",D$1))</f>
        <v>0</v>
      </c>
      <c r="E8" s="25" t="n">
        <f aca="false">COUNTIF(Table!$BZ:$BZ,CONCATENATE($A8,"_",E$1))</f>
        <v>0</v>
      </c>
      <c r="F8" s="25" t="n">
        <f aca="false">COUNTIF(Table!$BZ:$BZ,CONCATENATE($A8,"_",F$1))</f>
        <v>0</v>
      </c>
      <c r="G8" s="25" t="n">
        <f aca="false">COUNTIF(Table!$BZ:$BZ,CONCATENATE($A8,"_",G$1))</f>
        <v>0</v>
      </c>
      <c r="H8" s="25" t="n">
        <f aca="false">COUNTIF(Table!$BZ:$BZ,CONCATENATE($A8,"_",H$1))</f>
        <v>0</v>
      </c>
      <c r="I8" s="25" t="n">
        <f aca="false">COUNTIF(Table!$BZ:$BZ,CONCATENATE($A8,"_",I$1))</f>
        <v>0</v>
      </c>
      <c r="J8" s="25" t="n">
        <f aca="false">COUNTIF(Table!$BZ:$BZ,CONCATENATE($A8,"_",J$1))</f>
        <v>0</v>
      </c>
      <c r="K8" s="25" t="n">
        <f aca="false">COUNTIF(Table!$BZ:$BZ,CONCATENATE($A8,"_",K$1))</f>
        <v>0</v>
      </c>
      <c r="L8" s="25" t="n">
        <f aca="false">COUNTIF(Table!$BZ:$BZ,CONCATENATE($A8,"_",L$1))</f>
        <v>0</v>
      </c>
      <c r="M8" s="25" t="n">
        <f aca="false">COUNTIF(Table!$BZ:$BZ,CONCATENATE($A8,"_",M$1))</f>
        <v>0</v>
      </c>
      <c r="N8" s="25" t="n">
        <f aca="false">COUNTIF(Table!$BZ:$BZ,CONCATENATE($A8,"_",N$1))</f>
        <v>0</v>
      </c>
      <c r="O8" s="25" t="n">
        <f aca="false">COUNTIF(Table!$BZ:$BZ,CONCATENATE($A8,"_",O$1))</f>
        <v>0</v>
      </c>
      <c r="P8" s="25" t="n">
        <f aca="false">COUNTIF(Table!$BZ:$BZ,CONCATENATE($A8,"_",P$1))</f>
        <v>0</v>
      </c>
      <c r="Q8" s="25" t="n">
        <f aca="false">COUNTIF(Table!$BZ:$BZ,CONCATENATE($A8,"_",Q$1))</f>
        <v>0</v>
      </c>
      <c r="R8" s="25" t="n">
        <f aca="false">COUNTIF(Table!$BZ:$BZ,CONCATENATE($A8,"_",R$1))</f>
        <v>0</v>
      </c>
      <c r="S8" s="25" t="n">
        <f aca="false">COUNTIF(Table!$BZ:$BZ,CONCATENATE($A8,"_",S$1))</f>
        <v>0</v>
      </c>
      <c r="T8" s="25" t="n">
        <f aca="false">COUNTIF(Table!$BZ:$BZ,CONCATENATE($A8,"_",T$1))</f>
        <v>0</v>
      </c>
      <c r="U8" s="25" t="n">
        <f aca="false">COUNTIF(Table!$BZ:$BZ,CONCATENATE($A8,"_",U$1))</f>
        <v>0</v>
      </c>
      <c r="V8" s="25" t="n">
        <f aca="false">COUNTIF(Table!$BZ:$BZ,CONCATENATE($A8,"_",V$1))</f>
        <v>0</v>
      </c>
      <c r="W8" s="25" t="n">
        <f aca="false">COUNTIF(Table!$BZ:$BZ,CONCATENATE($A8,"_",W$1))</f>
        <v>0</v>
      </c>
    </row>
    <row r="9" customFormat="false" ht="15" hidden="false" customHeight="false" outlineLevel="0" collapsed="false">
      <c r="A9" s="0" t="s">
        <v>107</v>
      </c>
      <c r="B9" s="0" t="str">
        <f aca="false">VLOOKUP(A9, Eras!$B$2:$C$10, 2, FALSE())</f>
        <v>Late BR (1970-1995)</v>
      </c>
      <c r="C9" s="25" t="n">
        <f aca="false">COUNTIF(Table!$BZ:$BZ,CONCATENATE($A9,"_",C$1))</f>
        <v>0</v>
      </c>
      <c r="D9" s="25" t="n">
        <f aca="false">COUNTIF(Table!$BZ:$BZ,CONCATENATE($A9,"_",D$1))</f>
        <v>0</v>
      </c>
      <c r="E9" s="25" t="n">
        <f aca="false">COUNTIF(Table!$BZ:$BZ,CONCATENATE($A9,"_",E$1))</f>
        <v>0</v>
      </c>
      <c r="F9" s="25" t="n">
        <f aca="false">COUNTIF(Table!$BZ:$BZ,CONCATENATE($A9,"_",F$1))</f>
        <v>0</v>
      </c>
      <c r="G9" s="25" t="n">
        <f aca="false">COUNTIF(Table!$BZ:$BZ,CONCATENATE($A9,"_",G$1))</f>
        <v>0</v>
      </c>
      <c r="H9" s="25" t="n">
        <f aca="false">COUNTIF(Table!$BZ:$BZ,CONCATENATE($A9,"_",H$1))</f>
        <v>0</v>
      </c>
      <c r="I9" s="25" t="n">
        <f aca="false">COUNTIF(Table!$BZ:$BZ,CONCATENATE($A9,"_",I$1))</f>
        <v>0</v>
      </c>
      <c r="J9" s="25" t="n">
        <f aca="false">COUNTIF(Table!$BZ:$BZ,CONCATENATE($A9,"_",J$1))</f>
        <v>0</v>
      </c>
      <c r="K9" s="25" t="n">
        <f aca="false">COUNTIF(Table!$BZ:$BZ,CONCATENATE($A9,"_",K$1))</f>
        <v>0</v>
      </c>
      <c r="L9" s="25" t="n">
        <f aca="false">COUNTIF(Table!$BZ:$BZ,CONCATENATE($A9,"_",L$1))</f>
        <v>0</v>
      </c>
      <c r="M9" s="25" t="n">
        <f aca="false">COUNTIF(Table!$BZ:$BZ,CONCATENATE($A9,"_",M$1))</f>
        <v>0</v>
      </c>
      <c r="N9" s="25" t="n">
        <f aca="false">COUNTIF(Table!$BZ:$BZ,CONCATENATE($A9,"_",N$1))</f>
        <v>0</v>
      </c>
      <c r="O9" s="25" t="n">
        <f aca="false">COUNTIF(Table!$BZ:$BZ,CONCATENATE($A9,"_",O$1))</f>
        <v>0</v>
      </c>
      <c r="P9" s="25" t="n">
        <f aca="false">COUNTIF(Table!$BZ:$BZ,CONCATENATE($A9,"_",P$1))</f>
        <v>0</v>
      </c>
      <c r="Q9" s="25" t="n">
        <f aca="false">COUNTIF(Table!$BZ:$BZ,CONCATENATE($A9,"_",Q$1))</f>
        <v>0</v>
      </c>
      <c r="R9" s="25" t="n">
        <f aca="false">COUNTIF(Table!$BZ:$BZ,CONCATENATE($A9,"_",R$1))</f>
        <v>0</v>
      </c>
      <c r="S9" s="25" t="n">
        <f aca="false">COUNTIF(Table!$BZ:$BZ,CONCATENATE($A9,"_",S$1))</f>
        <v>0</v>
      </c>
      <c r="T9" s="25" t="n">
        <f aca="false">COUNTIF(Table!$BZ:$BZ,CONCATENATE($A9,"_",T$1))</f>
        <v>0</v>
      </c>
      <c r="U9" s="25" t="n">
        <f aca="false">COUNTIF(Table!$BZ:$BZ,CONCATENATE($A9,"_",U$1))</f>
        <v>0</v>
      </c>
      <c r="V9" s="25" t="n">
        <f aca="false">COUNTIF(Table!$BZ:$BZ,CONCATENATE($A9,"_",V$1))</f>
        <v>0</v>
      </c>
      <c r="W9" s="25" t="n">
        <f aca="false">COUNTIF(Table!$BZ:$BZ,CONCATENATE($A9,"_",W$1))</f>
        <v>0</v>
      </c>
    </row>
    <row r="10" customFormat="false" ht="15" hidden="false" customHeight="false" outlineLevel="0" collapsed="false">
      <c r="A10" s="0" t="s">
        <v>139</v>
      </c>
      <c r="B10" s="0" t="str">
        <f aca="false">VLOOKUP(A10, Eras!$B$2:$C$10, 2, FALSE())</f>
        <v>Privatisation (1995-2005)</v>
      </c>
      <c r="C10" s="25" t="n">
        <f aca="false">COUNTIF(Table!$BZ:$BZ,CONCATENATE($A10,"_",C$1))</f>
        <v>0</v>
      </c>
      <c r="D10" s="25" t="n">
        <f aca="false">COUNTIF(Table!$BZ:$BZ,CONCATENATE($A10,"_",D$1))</f>
        <v>0</v>
      </c>
      <c r="E10" s="25" t="n">
        <f aca="false">COUNTIF(Table!$BZ:$BZ,CONCATENATE($A10,"_",E$1))</f>
        <v>0</v>
      </c>
      <c r="F10" s="25" t="n">
        <f aca="false">COUNTIF(Table!$BZ:$BZ,CONCATENATE($A10,"_",F$1))</f>
        <v>0</v>
      </c>
      <c r="G10" s="25" t="n">
        <f aca="false">COUNTIF(Table!$BZ:$BZ,CONCATENATE($A10,"_",G$1))</f>
        <v>0</v>
      </c>
      <c r="H10" s="25" t="n">
        <f aca="false">COUNTIF(Table!$BZ:$BZ,CONCATENATE($A10,"_",H$1))</f>
        <v>0</v>
      </c>
      <c r="I10" s="25" t="n">
        <f aca="false">COUNTIF(Table!$BZ:$BZ,CONCATENATE($A10,"_",I$1))</f>
        <v>0</v>
      </c>
      <c r="J10" s="25" t="n">
        <f aca="false">COUNTIF(Table!$BZ:$BZ,CONCATENATE($A10,"_",J$1))</f>
        <v>0</v>
      </c>
      <c r="K10" s="25" t="n">
        <f aca="false">COUNTIF(Table!$BZ:$BZ,CONCATENATE($A10,"_",K$1))</f>
        <v>0</v>
      </c>
      <c r="L10" s="25" t="n">
        <f aca="false">COUNTIF(Table!$BZ:$BZ,CONCATENATE($A10,"_",L$1))</f>
        <v>0</v>
      </c>
      <c r="M10" s="25" t="n">
        <f aca="false">COUNTIF(Table!$BZ:$BZ,CONCATENATE($A10,"_",M$1))</f>
        <v>0</v>
      </c>
      <c r="N10" s="25" t="n">
        <f aca="false">COUNTIF(Table!$BZ:$BZ,CONCATENATE($A10,"_",N$1))</f>
        <v>0</v>
      </c>
      <c r="O10" s="25" t="n">
        <f aca="false">COUNTIF(Table!$BZ:$BZ,CONCATENATE($A10,"_",O$1))</f>
        <v>0</v>
      </c>
      <c r="P10" s="25" t="n">
        <f aca="false">COUNTIF(Table!$BZ:$BZ,CONCATENATE($A10,"_",P$1))</f>
        <v>0</v>
      </c>
      <c r="Q10" s="25" t="n">
        <f aca="false">COUNTIF(Table!$BZ:$BZ,CONCATENATE($A10,"_",Q$1))</f>
        <v>0</v>
      </c>
      <c r="R10" s="25" t="n">
        <f aca="false">COUNTIF(Table!$BZ:$BZ,CONCATENATE($A10,"_",R$1))</f>
        <v>0</v>
      </c>
      <c r="S10" s="25" t="n">
        <f aca="false">COUNTIF(Table!$BZ:$BZ,CONCATENATE($A10,"_",S$1))</f>
        <v>0</v>
      </c>
      <c r="T10" s="25" t="n">
        <f aca="false">COUNTIF(Table!$BZ:$BZ,CONCATENATE($A10,"_",T$1))</f>
        <v>0</v>
      </c>
      <c r="U10" s="25" t="n">
        <f aca="false">COUNTIF(Table!$BZ:$BZ,CONCATENATE($A10,"_",U$1))</f>
        <v>0</v>
      </c>
      <c r="V10" s="25" t="n">
        <f aca="false">COUNTIF(Table!$BZ:$BZ,CONCATENATE($A10,"_",V$1))</f>
        <v>0</v>
      </c>
      <c r="W10" s="25" t="n">
        <f aca="false">COUNTIF(Table!$BZ:$BZ,CONCATENATE($A10,"_",W$1))</f>
        <v>0</v>
      </c>
    </row>
    <row r="11" customFormat="false" ht="15" hidden="false" customHeight="false" outlineLevel="0" collapsed="false">
      <c r="A11" s="0" t="s">
        <v>140</v>
      </c>
      <c r="B11" s="0" t="str">
        <f aca="false">VLOOKUP(A11, Eras!$B$2:$C$10, 2, FALSE())</f>
        <v>Modern (2005-)</v>
      </c>
      <c r="C11" s="25" t="n">
        <f aca="false">COUNTIF(Table!$BZ:$BZ,CONCATENATE($A11,"_",C$1))</f>
        <v>0</v>
      </c>
      <c r="D11" s="25" t="n">
        <f aca="false">COUNTIF(Table!$BZ:$BZ,CONCATENATE($A11,"_",D$1))</f>
        <v>0</v>
      </c>
      <c r="E11" s="25" t="n">
        <f aca="false">COUNTIF(Table!$BZ:$BZ,CONCATENATE($A11,"_",E$1))</f>
        <v>0</v>
      </c>
      <c r="F11" s="25" t="n">
        <f aca="false">COUNTIF(Table!$BZ:$BZ,CONCATENATE($A11,"_",F$1))</f>
        <v>0</v>
      </c>
      <c r="G11" s="25" t="n">
        <f aca="false">COUNTIF(Table!$BZ:$BZ,CONCATENATE($A11,"_",G$1))</f>
        <v>0</v>
      </c>
      <c r="H11" s="25" t="n">
        <f aca="false">COUNTIF(Table!$BZ:$BZ,CONCATENATE($A11,"_",H$1))</f>
        <v>0</v>
      </c>
      <c r="I11" s="25" t="n">
        <f aca="false">COUNTIF(Table!$BZ:$BZ,CONCATENATE($A11,"_",I$1))</f>
        <v>0</v>
      </c>
      <c r="J11" s="25" t="n">
        <f aca="false">COUNTIF(Table!$BZ:$BZ,CONCATENATE($A11,"_",J$1))</f>
        <v>0</v>
      </c>
      <c r="K11" s="25" t="n">
        <f aca="false">COUNTIF(Table!$BZ:$BZ,CONCATENATE($A11,"_",K$1))</f>
        <v>0</v>
      </c>
      <c r="L11" s="25" t="n">
        <f aca="false">COUNTIF(Table!$BZ:$BZ,CONCATENATE($A11,"_",L$1))</f>
        <v>0</v>
      </c>
      <c r="M11" s="25" t="n">
        <f aca="false">COUNTIF(Table!$BZ:$BZ,CONCATENATE($A11,"_",M$1))</f>
        <v>0</v>
      </c>
      <c r="N11" s="25" t="n">
        <f aca="false">COUNTIF(Table!$BZ:$BZ,CONCATENATE($A11,"_",N$1))</f>
        <v>0</v>
      </c>
      <c r="O11" s="25" t="n">
        <f aca="false">COUNTIF(Table!$BZ:$BZ,CONCATENATE($A11,"_",O$1))</f>
        <v>0</v>
      </c>
      <c r="P11" s="25" t="n">
        <f aca="false">COUNTIF(Table!$BZ:$BZ,CONCATENATE($A11,"_",P$1))</f>
        <v>0</v>
      </c>
      <c r="Q11" s="25" t="n">
        <f aca="false">COUNTIF(Table!$BZ:$BZ,CONCATENATE($A11,"_",Q$1))</f>
        <v>0</v>
      </c>
      <c r="R11" s="25" t="n">
        <f aca="false">COUNTIF(Table!$BZ:$BZ,CONCATENATE($A11,"_",R$1))</f>
        <v>0</v>
      </c>
      <c r="S11" s="25" t="n">
        <f aca="false">COUNTIF(Table!$BZ:$BZ,CONCATENATE($A11,"_",S$1))</f>
        <v>0</v>
      </c>
      <c r="T11" s="25" t="n">
        <f aca="false">COUNTIF(Table!$BZ:$BZ,CONCATENATE($A11,"_",T$1))</f>
        <v>0</v>
      </c>
      <c r="U11" s="25" t="n">
        <f aca="false">COUNTIF(Table!$BZ:$BZ,CONCATENATE($A11,"_",U$1))</f>
        <v>0</v>
      </c>
      <c r="V11" s="25" t="n">
        <f aca="false">COUNTIF(Table!$BZ:$BZ,CONCATENATE($A11,"_",V$1))</f>
        <v>0</v>
      </c>
      <c r="W11" s="25" t="n">
        <f aca="false">COUNTIF(Table!$BZ:$BZ,CONCATENATE($A11,"_",W$1))</f>
        <v>0</v>
      </c>
    </row>
  </sheetData>
  <conditionalFormatting sqref="C3:C11 E8:V11 E3:G7 J6:V7 J5:K5 P3:V5 N5 W3:W11">
    <cfRule type="colorScale" priority="2">
      <colorScale>
        <cfvo type="min" val="0"/>
        <cfvo type="num" val="1"/>
        <cfvo type="max" val="0"/>
        <color rgb="FFC55A11"/>
        <color rgb="FFFFEB84"/>
        <color rgb="FFA9D18E"/>
      </colorScale>
    </cfRule>
    <cfRule type="cellIs" priority="3" operator="lessThan" aboveAverage="0" equalAverage="0" bottom="0" percent="0" rank="0" text="" dxfId="8">
      <formula>1</formula>
    </cfRule>
  </conditionalFormatting>
  <conditionalFormatting sqref="D3:D11">
    <cfRule type="colorScale" priority="4">
      <colorScale>
        <cfvo type="min" val="0"/>
        <cfvo type="num" val="1"/>
        <cfvo type="max" val="0"/>
        <color rgb="FFC55A11"/>
        <color rgb="FFFFEB84"/>
        <color rgb="FFA9D18E"/>
      </colorScale>
    </cfRule>
    <cfRule type="cellIs" priority="5" operator="lessThan" aboveAverage="0" equalAverage="0" bottom="0" percent="0" rank="0" text="" dxfId="9">
      <formula>1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9.57"/>
    <col collapsed="false" customWidth="true" hidden="false" outlineLevel="0" max="2" min="2" style="0" width="5.43"/>
    <col collapsed="false" customWidth="true" hidden="false" outlineLevel="0" max="3" min="3" style="0" width="29"/>
  </cols>
  <sheetData>
    <row r="1" customFormat="false" ht="15" hidden="false" customHeight="false" outlineLevel="0" collapsed="false">
      <c r="A1" s="10" t="s">
        <v>141</v>
      </c>
      <c r="B1" s="10" t="s">
        <v>142</v>
      </c>
      <c r="C1" s="10" t="s">
        <v>143</v>
      </c>
    </row>
    <row r="2" customFormat="false" ht="15" hidden="false" customHeight="false" outlineLevel="0" collapsed="false">
      <c r="A2" s="0" t="n">
        <v>1700</v>
      </c>
      <c r="B2" s="0" t="s">
        <v>134</v>
      </c>
      <c r="C2" s="0" t="s">
        <v>144</v>
      </c>
    </row>
    <row r="3" customFormat="false" ht="15" hidden="false" customHeight="false" outlineLevel="0" collapsed="false">
      <c r="A3" s="0" t="n">
        <v>1850</v>
      </c>
      <c r="B3" s="0" t="s">
        <v>135</v>
      </c>
      <c r="C3" s="0" t="s">
        <v>145</v>
      </c>
    </row>
    <row r="4" customFormat="false" ht="15" hidden="false" customHeight="false" outlineLevel="0" collapsed="false">
      <c r="A4" s="0" t="n">
        <v>1900</v>
      </c>
      <c r="B4" s="0" t="s">
        <v>136</v>
      </c>
      <c r="C4" s="0" t="s">
        <v>146</v>
      </c>
    </row>
    <row r="5" customFormat="false" ht="15" hidden="false" customHeight="false" outlineLevel="0" collapsed="false">
      <c r="A5" s="0" t="n">
        <v>1923</v>
      </c>
      <c r="B5" s="0" t="s">
        <v>137</v>
      </c>
      <c r="C5" s="0" t="s">
        <v>147</v>
      </c>
    </row>
    <row r="6" customFormat="false" ht="15" hidden="false" customHeight="false" outlineLevel="0" collapsed="false">
      <c r="A6" s="0" t="n">
        <v>1948</v>
      </c>
      <c r="B6" s="0" t="s">
        <v>138</v>
      </c>
      <c r="C6" s="0" t="s">
        <v>148</v>
      </c>
    </row>
    <row r="7" customFormat="false" ht="15" hidden="false" customHeight="false" outlineLevel="0" collapsed="false">
      <c r="A7" s="0" t="n">
        <v>1955</v>
      </c>
      <c r="B7" s="0" t="s">
        <v>93</v>
      </c>
      <c r="C7" s="0" t="s">
        <v>149</v>
      </c>
    </row>
    <row r="8" customFormat="false" ht="15" hidden="false" customHeight="false" outlineLevel="0" collapsed="false">
      <c r="A8" s="0" t="n">
        <v>1970</v>
      </c>
      <c r="B8" s="0" t="s">
        <v>107</v>
      </c>
      <c r="C8" s="0" t="s">
        <v>150</v>
      </c>
    </row>
    <row r="9" customFormat="false" ht="15" hidden="false" customHeight="false" outlineLevel="0" collapsed="false">
      <c r="A9" s="0" t="n">
        <v>1995</v>
      </c>
      <c r="B9" s="0" t="s">
        <v>139</v>
      </c>
      <c r="C9" s="0" t="s">
        <v>151</v>
      </c>
    </row>
    <row r="10" customFormat="false" ht="15" hidden="false" customHeight="false" outlineLevel="0" collapsed="false">
      <c r="A10" s="0" t="n">
        <v>2005</v>
      </c>
      <c r="B10" s="0" t="s">
        <v>140</v>
      </c>
      <c r="C10" s="0" t="s">
        <v>152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7"/>
    <col collapsed="false" customWidth="true" hidden="false" outlineLevel="0" max="2" min="2" style="0" width="13.29"/>
    <col collapsed="false" customWidth="true" hidden="false" outlineLevel="0" max="3" min="3" style="0" width="20.14"/>
    <col collapsed="false" customWidth="true" hidden="false" outlineLevel="0" max="6" min="6" style="0" width="27.43"/>
    <col collapsed="false" customWidth="true" hidden="false" outlineLevel="0" max="9" min="9" style="0" width="14.71"/>
    <col collapsed="false" customWidth="true" hidden="false" outlineLevel="0" max="10" min="10" style="0" width="18.14"/>
    <col collapsed="false" customWidth="true" hidden="false" outlineLevel="0" max="11" min="11" style="0" width="18.86"/>
    <col collapsed="false" customWidth="true" hidden="false" outlineLevel="0" max="13" min="13" style="0" width="19.72"/>
    <col collapsed="false" customWidth="true" hidden="false" outlineLevel="0" max="14" min="14" style="0" width="27.28"/>
    <col collapsed="false" customWidth="true" hidden="false" outlineLevel="0" max="15" min="15" style="0" width="6.71"/>
  </cols>
  <sheetData>
    <row r="1" customFormat="false" ht="15" hidden="false" customHeight="false" outlineLevel="0" collapsed="false">
      <c r="A1" s="10" t="s">
        <v>153</v>
      </c>
      <c r="B1" s="10" t="s">
        <v>154</v>
      </c>
      <c r="C1" s="10" t="s">
        <v>155</v>
      </c>
      <c r="F1" s="10" t="s">
        <v>156</v>
      </c>
      <c r="G1" s="0" t="n">
        <v>15</v>
      </c>
      <c r="I1" s="10" t="s">
        <v>157</v>
      </c>
      <c r="J1" s="10" t="s">
        <v>158</v>
      </c>
      <c r="K1" s="10" t="s">
        <v>159</v>
      </c>
      <c r="M1" s="10" t="s">
        <v>160</v>
      </c>
      <c r="N1" s="10" t="s">
        <v>161</v>
      </c>
      <c r="O1" s="10" t="s">
        <v>12</v>
      </c>
    </row>
    <row r="2" customFormat="false" ht="15" hidden="false" customHeight="false" outlineLevel="0" collapsed="false">
      <c r="A2" s="0" t="n">
        <v>0</v>
      </c>
      <c r="B2" s="0" t="s">
        <v>162</v>
      </c>
      <c r="F2" s="10" t="s">
        <v>163</v>
      </c>
      <c r="G2" s="0" t="n">
        <v>5</v>
      </c>
      <c r="I2" s="0" t="s">
        <v>88</v>
      </c>
      <c r="J2" s="0" t="n">
        <v>1</v>
      </c>
      <c r="K2" s="0" t="n">
        <v>2</v>
      </c>
      <c r="M2" s="0" t="s">
        <v>96</v>
      </c>
      <c r="N2" s="0" t="str">
        <f aca="false">IF(O2&lt;&gt;"", _xlfn.CONCAT("{BLACK}Powered by: {GOLD}",O2), "")</f>
        <v>{BLACK}Powered by: {GOLD}Diesel</v>
      </c>
      <c r="O2" s="0" t="s">
        <v>164</v>
      </c>
    </row>
    <row r="3" customFormat="false" ht="15" hidden="false" customHeight="false" outlineLevel="0" collapsed="false">
      <c r="A3" s="0" t="n">
        <v>3</v>
      </c>
      <c r="B3" s="0" t="s">
        <v>165</v>
      </c>
      <c r="C3" s="0" t="s">
        <v>165</v>
      </c>
      <c r="I3" s="0" t="s">
        <v>166</v>
      </c>
      <c r="J3" s="0" t="n">
        <v>0.85</v>
      </c>
      <c r="K3" s="0" t="n">
        <v>2.3</v>
      </c>
      <c r="M3" s="0" t="s">
        <v>167</v>
      </c>
      <c r="N3" s="0" t="str">
        <f aca="false">IF(O3&lt;&gt;"", _xlfn.CONCAT("{BLACK}Powered by: {GOLD}",O3), "")</f>
        <v>{BLACK}Powered by: {GOLD}Steam</v>
      </c>
      <c r="O3" s="0" t="s">
        <v>168</v>
      </c>
    </row>
    <row r="4" customFormat="false" ht="15" hidden="false" customHeight="false" outlineLevel="0" collapsed="false">
      <c r="A4" s="0" t="n">
        <v>4</v>
      </c>
      <c r="B4" s="0" t="s">
        <v>169</v>
      </c>
      <c r="C4" s="0" t="s">
        <v>169</v>
      </c>
      <c r="I4" s="0" t="s">
        <v>170</v>
      </c>
      <c r="J4" s="0" t="n">
        <v>1.15</v>
      </c>
      <c r="K4" s="0" t="n">
        <v>1.7</v>
      </c>
      <c r="M4" s="0" t="s">
        <v>171</v>
      </c>
      <c r="N4" s="0" t="str">
        <f aca="false">IF(O4&lt;&gt;"", _xlfn.CONCAT("{BLACK}Powered by: {GOLD}",O4), "")</f>
        <v>{BLACK}Powered by: {GOLD}25kV AC</v>
      </c>
      <c r="O4" s="0" t="s">
        <v>172</v>
      </c>
    </row>
    <row r="5" customFormat="false" ht="15" hidden="false" customHeight="false" outlineLevel="0" collapsed="false">
      <c r="A5" s="0" t="n">
        <v>5</v>
      </c>
      <c r="B5" s="0" t="s">
        <v>173</v>
      </c>
      <c r="C5" s="0" t="s">
        <v>173</v>
      </c>
      <c r="I5" s="0" t="s">
        <v>174</v>
      </c>
      <c r="J5" s="0" t="n">
        <v>0.9</v>
      </c>
      <c r="K5" s="0" t="n">
        <v>2.5</v>
      </c>
      <c r="M5" s="0" t="s">
        <v>175</v>
      </c>
      <c r="N5" s="0" t="str">
        <f aca="false">IF(O5&lt;&gt;"", _xlfn.CONCAT("{BLACK}Powered by: {GOLD}",O5), "")</f>
        <v>{BLACK}Powered by: {GOLD}750V DC</v>
      </c>
      <c r="O5" s="0" t="s">
        <v>176</v>
      </c>
    </row>
    <row r="6" customFormat="false" ht="15" hidden="false" customHeight="false" outlineLevel="0" collapsed="false">
      <c r="A6" s="0" t="n">
        <v>6</v>
      </c>
      <c r="B6" s="0" t="s">
        <v>177</v>
      </c>
      <c r="C6" s="0" t="s">
        <v>177</v>
      </c>
      <c r="I6" s="0" t="s">
        <v>178</v>
      </c>
      <c r="J6" s="0" t="n">
        <v>0.85</v>
      </c>
      <c r="K6" s="0" t="n">
        <v>2.4</v>
      </c>
      <c r="M6" s="0" t="s">
        <v>179</v>
      </c>
      <c r="N6" s="0" t="str">
        <f aca="false">IF(O6&lt;&gt;"", _xlfn.CONCAT("{BLACK}Powered by: {GOLD}",O6), "")</f>
        <v/>
      </c>
    </row>
    <row r="7" customFormat="false" ht="15" hidden="false" customHeight="false" outlineLevel="0" collapsed="false">
      <c r="A7" s="0" t="n">
        <v>7</v>
      </c>
      <c r="B7" s="0" t="s">
        <v>180</v>
      </c>
      <c r="C7" s="0" t="s">
        <v>180</v>
      </c>
      <c r="I7" s="0" t="s">
        <v>181</v>
      </c>
      <c r="J7" s="0" t="n">
        <v>1.2</v>
      </c>
      <c r="K7" s="0" t="n">
        <v>0.6</v>
      </c>
      <c r="M7" s="0" t="s">
        <v>182</v>
      </c>
      <c r="N7" s="0" t="str">
        <f aca="false">IF(O7&lt;&gt;"", _xlfn.CONCAT("{BLACK}Powered by: {GOLD}",O7), "")</f>
        <v/>
      </c>
    </row>
    <row r="8" customFormat="false" ht="15" hidden="false" customHeight="false" outlineLevel="0" collapsed="false">
      <c r="A8" s="0" t="n">
        <v>8</v>
      </c>
      <c r="B8" s="0" t="s">
        <v>183</v>
      </c>
      <c r="C8" s="0" t="s">
        <v>183</v>
      </c>
      <c r="I8" s="0" t="s">
        <v>184</v>
      </c>
      <c r="J8" s="0" t="n">
        <v>1.5</v>
      </c>
      <c r="K8" s="0" t="n">
        <v>0.7</v>
      </c>
      <c r="M8" s="0" t="s">
        <v>185</v>
      </c>
      <c r="N8" s="0" t="str">
        <f aca="false">IF(O8&lt;&gt;"", _xlfn.CONCAT("{BLACK}Powered by: {GOLD}",O8), "")</f>
        <v/>
      </c>
    </row>
    <row r="9" customFormat="false" ht="15" hidden="false" customHeight="false" outlineLevel="0" collapsed="false">
      <c r="A9" s="0" t="n">
        <v>9</v>
      </c>
      <c r="B9" s="0" t="s">
        <v>186</v>
      </c>
      <c r="C9" s="0" t="s">
        <v>186</v>
      </c>
      <c r="I9" s="0" t="s">
        <v>187</v>
      </c>
      <c r="J9" s="0" t="n">
        <v>1</v>
      </c>
      <c r="K9" s="0" t="n">
        <v>0.45</v>
      </c>
      <c r="M9" s="0" t="s">
        <v>188</v>
      </c>
      <c r="N9" s="0" t="str">
        <f aca="false">IF(O9&lt;&gt;"", _xlfn.CONCAT("{BLACK}Powered by: {GOLD}",O9), "")</f>
        <v/>
      </c>
    </row>
    <row r="10" customFormat="false" ht="15" hidden="false" customHeight="false" outlineLevel="0" collapsed="false">
      <c r="A10" s="0" t="n">
        <v>10</v>
      </c>
      <c r="B10" s="0" t="s">
        <v>189</v>
      </c>
      <c r="C10" s="0" t="s">
        <v>189</v>
      </c>
      <c r="I10" s="0" t="s">
        <v>190</v>
      </c>
      <c r="J10" s="0" t="n">
        <v>1</v>
      </c>
      <c r="K10" s="0" t="n">
        <v>0.4</v>
      </c>
      <c r="M10" s="0" t="s">
        <v>191</v>
      </c>
      <c r="N10" s="0" t="str">
        <f aca="false">IF(O10&lt;&gt;"", _xlfn.CONCAT("{BLACK}Powered by: {GOLD}",O10), "")</f>
        <v>{BLACK}Powered by: {GOLD}Steam</v>
      </c>
      <c r="O10" s="0" t="s">
        <v>168</v>
      </c>
    </row>
    <row r="11" customFormat="false" ht="15" hidden="false" customHeight="false" outlineLevel="0" collapsed="false">
      <c r="A11" s="0" t="n">
        <v>11</v>
      </c>
      <c r="B11" s="0" t="s">
        <v>192</v>
      </c>
      <c r="C11" s="0" t="s">
        <v>192</v>
      </c>
      <c r="I11" s="0" t="s">
        <v>193</v>
      </c>
      <c r="J11" s="0" t="n">
        <v>0.9</v>
      </c>
      <c r="K11" s="0" t="n">
        <v>1.6</v>
      </c>
      <c r="M11" s="0" t="s">
        <v>194</v>
      </c>
      <c r="N11" s="0" t="str">
        <f aca="false">IF(O11&lt;&gt;"", _xlfn.CONCAT("{BLACK}Powered by: {GOLD}",O11), "")</f>
        <v>{BLACK}Powered by: {GOLD}750V DC / Diesel</v>
      </c>
      <c r="O11" s="0" t="s">
        <v>195</v>
      </c>
    </row>
    <row r="12" customFormat="false" ht="15" hidden="false" customHeight="false" outlineLevel="0" collapsed="false">
      <c r="A12" s="0" t="n">
        <v>12</v>
      </c>
      <c r="B12" s="0" t="s">
        <v>91</v>
      </c>
      <c r="C12" s="0" t="s">
        <v>91</v>
      </c>
      <c r="I12" s="0" t="s">
        <v>37</v>
      </c>
      <c r="J12" s="0" t="n">
        <v>0</v>
      </c>
      <c r="K12" s="0" t="n">
        <v>0</v>
      </c>
      <c r="M12" s="0" t="s">
        <v>196</v>
      </c>
      <c r="N12" s="0" t="str">
        <f aca="false">IF(O12&lt;&gt;"", _xlfn.CONCAT("{BLACK}Powered by: {GOLD}",O12), "")</f>
        <v>{BLACK}Powered by: {GOLD}25kV AC / 750V DC</v>
      </c>
      <c r="O12" s="0" t="s">
        <v>197</v>
      </c>
    </row>
    <row r="13" customFormat="false" ht="15" hidden="false" customHeight="false" outlineLevel="0" collapsed="false">
      <c r="A13" s="0" t="n">
        <v>13</v>
      </c>
      <c r="B13" s="0" t="s">
        <v>103</v>
      </c>
      <c r="C13" s="0" t="s">
        <v>103</v>
      </c>
      <c r="I13" s="0" t="s">
        <v>198</v>
      </c>
      <c r="J13" s="0" t="n">
        <v>1.05</v>
      </c>
      <c r="K13" s="0" t="n">
        <v>1.9</v>
      </c>
      <c r="M13" s="0" t="s">
        <v>199</v>
      </c>
      <c r="N13" s="0" t="str">
        <f aca="false">IF(O13&lt;&gt;"", _xlfn.CONCAT("{BLACK}Powered by: {GOLD}",O13), "")</f>
        <v/>
      </c>
    </row>
    <row r="14" customFormat="false" ht="15" hidden="false" customHeight="false" outlineLevel="0" collapsed="false">
      <c r="A14" s="0" t="n">
        <v>14</v>
      </c>
      <c r="B14" s="0" t="s">
        <v>200</v>
      </c>
      <c r="C14" s="0" t="s">
        <v>200</v>
      </c>
      <c r="I14" s="0" t="s">
        <v>201</v>
      </c>
      <c r="J14" s="0" t="n">
        <v>0.98</v>
      </c>
      <c r="K14" s="0" t="n">
        <v>1.88</v>
      </c>
      <c r="M14" s="0" t="s">
        <v>202</v>
      </c>
      <c r="N14" s="0" t="str">
        <f aca="false">IF(O14&lt;&gt;"", _xlfn.CONCAT("{BLACK}Powered by: {GOLD}",O14), "")</f>
        <v/>
      </c>
    </row>
    <row r="15" customFormat="false" ht="15" hidden="false" customHeight="false" outlineLevel="0" collapsed="false">
      <c r="A15" s="0" t="n">
        <v>15</v>
      </c>
      <c r="B15" s="0" t="s">
        <v>203</v>
      </c>
      <c r="C15" s="0" t="s">
        <v>203</v>
      </c>
      <c r="I15" s="0" t="s">
        <v>204</v>
      </c>
      <c r="J15" s="0" t="n">
        <v>0.5</v>
      </c>
      <c r="K15" s="0" t="n">
        <v>0.5</v>
      </c>
      <c r="M15" s="0" t="s">
        <v>205</v>
      </c>
      <c r="N15" s="0" t="str">
        <f aca="false">IF(O15&lt;&gt;"", _xlfn.CONCAT("{BLACK}Powered by: {GOLD}",O15), "")</f>
        <v/>
      </c>
    </row>
    <row r="16" customFormat="false" ht="15" hidden="false" customHeight="false" outlineLevel="0" collapsed="false">
      <c r="A16" s="0" t="n">
        <v>16</v>
      </c>
      <c r="B16" s="0" t="s">
        <v>206</v>
      </c>
      <c r="C16" s="0" t="s">
        <v>206</v>
      </c>
      <c r="I16" s="0" t="s">
        <v>207</v>
      </c>
      <c r="J16" s="0" t="n">
        <v>0.85</v>
      </c>
      <c r="K16" s="0" t="n">
        <v>2.3</v>
      </c>
      <c r="M16" s="0" t="s">
        <v>208</v>
      </c>
      <c r="N16" s="0" t="str">
        <f aca="false">IF(O16&lt;&gt;"", _xlfn.CONCAT("{BLACK}Powered by: {GOLD}",O16), "")</f>
        <v>{BLACK}Powered by: {GOLD}Petrol</v>
      </c>
      <c r="O16" s="0" t="s">
        <v>209</v>
      </c>
    </row>
    <row r="17" customFormat="false" ht="15" hidden="false" customHeight="false" outlineLevel="0" collapsed="false">
      <c r="I17" s="0" t="s">
        <v>210</v>
      </c>
      <c r="J17" s="0" t="n">
        <v>1</v>
      </c>
      <c r="K17" s="0" t="n">
        <v>2</v>
      </c>
      <c r="M17" s="0" t="s">
        <v>211</v>
      </c>
      <c r="N17" s="0" t="str">
        <f aca="false">IF(O17&lt;&gt;"", _xlfn.CONCAT("{BLACK}Powered by: {GOLD}",O17), "")</f>
        <v>{BLACK}Powered by: {GOLD}25kV AC / Diesel</v>
      </c>
      <c r="O17" s="0" t="s">
        <v>212</v>
      </c>
    </row>
    <row r="18" customFormat="false" ht="15" hidden="false" customHeight="false" outlineLevel="0" collapsed="false">
      <c r="M18" s="0" t="s">
        <v>213</v>
      </c>
      <c r="N18" s="0" t="str">
        <f aca="false">IF(O18&lt;&gt;"", _xlfn.CONCAT("{BLACK}Powered by: {GOLD}",O18), "")</f>
        <v>{BLACK}Powered by: {GOLD}LPG / Flywheel</v>
      </c>
      <c r="O18" s="0" t="s">
        <v>214</v>
      </c>
    </row>
    <row r="19" customFormat="false" ht="15" hidden="false" customHeight="false" outlineLevel="0" collapsed="false">
      <c r="M19" s="0" t="s">
        <v>215</v>
      </c>
      <c r="N19" s="0" t="str">
        <f aca="false">IF(O19&lt;&gt;"", _xlfn.CONCAT("{BLACK}Powered by: {GOLD}",O19), "")</f>
        <v/>
      </c>
    </row>
    <row r="20" customFormat="false" ht="15" hidden="false" customHeight="false" outlineLevel="0" collapsed="false">
      <c r="M20" s="0" t="s">
        <v>216</v>
      </c>
      <c r="N20" s="0" t="str">
        <f aca="false">IF(O20&lt;&gt;"", _xlfn.CONCAT("{BLACK}Powered by: {GOLD}",O20), "")</f>
        <v>{BLACK}Powered by: {GOLD}Steam</v>
      </c>
      <c r="O20" s="0" t="s">
        <v>168</v>
      </c>
    </row>
    <row r="21" customFormat="false" ht="15" hidden="false" customHeight="false" outlineLevel="0" collapsed="false">
      <c r="M21" s="0" t="s">
        <v>217</v>
      </c>
      <c r="N21" s="0" t="str">
        <f aca="false">IF(O21&lt;&gt;"", _xlfn.CONCAT("{BLACK}Powered by: {GOLD}",O21), "")</f>
        <v/>
      </c>
    </row>
    <row r="22" customFormat="false" ht="15" hidden="false" customHeight="false" outlineLevel="0" collapsed="false">
      <c r="M22" s="0" t="s">
        <v>218</v>
      </c>
      <c r="N22" s="0" t="str">
        <f aca="false">IF(O22&lt;&gt;"", _xlfn.CONCAT("{BLACK}Powered by: {GOLD}",O22), "")</f>
        <v>{BLACK}Powered by: {GOLD}Grass and hay</v>
      </c>
      <c r="O22" s="0" t="s">
        <v>219</v>
      </c>
    </row>
    <row r="23" customFormat="false" ht="15" hidden="false" customHeight="false" outlineLevel="0" collapsed="false">
      <c r="M23" s="0" t="s">
        <v>220</v>
      </c>
      <c r="N23" s="0" t="str">
        <f aca="false">IF(O23&lt;&gt;"", _xlfn.CONCAT("{BLACK}Powered by: {GOLD}",O23), "")</f>
        <v>{BLACK}Powered by: {GOLD}630V DC</v>
      </c>
      <c r="O23" s="0" t="s">
        <v>221</v>
      </c>
    </row>
    <row r="24" customFormat="false" ht="15" hidden="false" customHeight="false" outlineLevel="0" collapsed="false">
      <c r="M24" s="0" t="s">
        <v>222</v>
      </c>
      <c r="N24" s="0" t="str">
        <f aca="false">IF(O24&lt;&gt;"", _xlfn.CONCAT("{BLACK}Powered by: {GOLD}",O24), "")</f>
        <v/>
      </c>
    </row>
    <row r="25" customFormat="false" ht="15" hidden="false" customHeight="false" outlineLevel="0" collapsed="false">
      <c r="M25" s="0" t="s">
        <v>223</v>
      </c>
      <c r="N25" s="0" t="str">
        <f aca="false">IF(O25&lt;&gt;"", _xlfn.CONCAT("{BLACK}Powered by: {GOLD}",O25), "")</f>
        <v/>
      </c>
    </row>
    <row r="26" customFormat="false" ht="15" hidden="false" customHeight="false" outlineLevel="0" collapsed="false">
      <c r="M26" s="0" t="s">
        <v>224</v>
      </c>
      <c r="N26" s="0" t="str">
        <f aca="false">IF(O26&lt;&gt;"", _xlfn.CONCAT("{BLACK}Powered by: {GOLD}",O26), "")</f>
        <v>{BLACK}Powered by: {GOLD}Grass and hay</v>
      </c>
      <c r="O26" s="0" t="s">
        <v>219</v>
      </c>
    </row>
    <row r="27" customFormat="false" ht="15" hidden="false" customHeight="false" outlineLevel="0" collapsed="false">
      <c r="M27" s="0" t="s">
        <v>225</v>
      </c>
      <c r="N27" s="0" t="str">
        <f aca="false">IF(O27&lt;&gt;"", _xlfn.CONCAT("{BLACK}Powered by: {GOLD}",O27), "")</f>
        <v/>
      </c>
    </row>
    <row r="28" customFormat="false" ht="15" hidden="false" customHeight="false" outlineLevel="0" collapsed="false">
      <c r="M28" s="0" t="s">
        <v>226</v>
      </c>
      <c r="N28" s="0" t="str">
        <f aca="false">IF(O28&lt;&gt;"", _xlfn.CONCAT("{BLACK}Powered by: {GOLD}",O28), "")</f>
        <v>{BLACK}Powered by: {GOLD}Diesel</v>
      </c>
      <c r="O28" s="0" t="s">
        <v>164</v>
      </c>
    </row>
    <row r="29" customFormat="false" ht="15" hidden="false" customHeight="false" outlineLevel="0" collapsed="false">
      <c r="M29" s="0" t="s">
        <v>227</v>
      </c>
      <c r="N29" s="0" t="str">
        <f aca="false">IF(O29&lt;&gt;"", _xlfn.CONCAT("{BLACK}Powered by: {GOLD}",O29), "")</f>
        <v/>
      </c>
      <c r="O29" s="0" t="str">
        <f aca="false">IF(P29&lt;&gt;"", _xlfn.CONCAT("{BLACK}Powered by: {GOLD}",P29), "")</f>
        <v/>
      </c>
    </row>
    <row r="30" customFormat="false" ht="15" hidden="false" customHeight="false" outlineLevel="0" collapsed="false">
      <c r="M30" s="0" t="s">
        <v>228</v>
      </c>
      <c r="N30" s="0" t="str">
        <f aca="false">IF(O30&lt;&gt;"", _xlfn.CONCAT("{BLACK}Powered by: {GOLD}",O30), "")</f>
        <v>{BLACK}Powered by: {GOLD}Gas Turbine</v>
      </c>
      <c r="O30" s="0" t="s">
        <v>229</v>
      </c>
    </row>
    <row r="31" customFormat="false" ht="15" hidden="false" customHeight="false" outlineLevel="0" collapsed="false">
      <c r="M31" s="0" t="s">
        <v>230</v>
      </c>
      <c r="N31" s="0" t="str">
        <f aca="false">IF(O31&lt;&gt;"", _xlfn.CONCAT("{BLACK}Powered by: {GOLD}",O31), "")</f>
        <v>{BLACK}Powered by: {GOLD}Petrol</v>
      </c>
      <c r="O31" s="0" t="s">
        <v>209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9765625" defaultRowHeight="15" zeroHeight="false" outlineLevelRow="0" outlineLevelCol="0"/>
  <cols>
    <col collapsed="false" customWidth="true" hidden="false" outlineLevel="0" max="2" min="1" style="0" width="10.71"/>
    <col collapsed="false" customWidth="true" hidden="false" outlineLevel="0" max="4" min="3" style="0" width="21.43"/>
  </cols>
  <sheetData>
    <row r="1" customFormat="false" ht="15" hidden="false" customHeight="false" outlineLevel="0" collapsed="false">
      <c r="A1" s="10" t="s">
        <v>231</v>
      </c>
      <c r="B1" s="10" t="s">
        <v>232</v>
      </c>
      <c r="C1" s="10" t="s">
        <v>233</v>
      </c>
      <c r="D1" s="10" t="s">
        <v>234</v>
      </c>
    </row>
    <row r="2" customFormat="false" ht="15" hidden="false" customHeight="false" outlineLevel="0" collapsed="false">
      <c r="A2" s="0" t="n">
        <v>0</v>
      </c>
      <c r="B2" s="0" t="n">
        <f aca="false">IF(D2,D2,C2)</f>
        <v>0</v>
      </c>
      <c r="C2" s="0" t="n">
        <f aca="false">INT(A2*(256/15))</f>
        <v>0</v>
      </c>
      <c r="D2" s="10"/>
    </row>
    <row r="3" customFormat="false" ht="15" hidden="false" customHeight="false" outlineLevel="0" collapsed="false">
      <c r="A3" s="0" t="n">
        <v>1</v>
      </c>
      <c r="B3" s="0" t="n">
        <f aca="false">IF(D3,D3,C3)</f>
        <v>17</v>
      </c>
      <c r="C3" s="0" t="n">
        <f aca="false">INT(A3*(256/15))</f>
        <v>17</v>
      </c>
    </row>
    <row r="4" customFormat="false" ht="15" hidden="false" customHeight="false" outlineLevel="0" collapsed="false">
      <c r="A4" s="0" t="n">
        <v>2</v>
      </c>
      <c r="B4" s="0" t="n">
        <f aca="false">IF(D4,D4,C4)</f>
        <v>34</v>
      </c>
      <c r="C4" s="0" t="n">
        <f aca="false">INT(A4*(256/15))</f>
        <v>34</v>
      </c>
    </row>
    <row r="5" customFormat="false" ht="15" hidden="false" customHeight="false" outlineLevel="0" collapsed="false">
      <c r="A5" s="0" t="n">
        <v>3</v>
      </c>
      <c r="B5" s="0" t="n">
        <f aca="false">IF(D5,D5,C5)</f>
        <v>51</v>
      </c>
      <c r="C5" s="0" t="n">
        <f aca="false">INT(A5*(256/15))</f>
        <v>51</v>
      </c>
    </row>
    <row r="6" customFormat="false" ht="15" hidden="false" customHeight="false" outlineLevel="0" collapsed="false">
      <c r="A6" s="0" t="n">
        <v>4</v>
      </c>
      <c r="B6" s="0" t="n">
        <f aca="false">IF(D6,D6,C6)</f>
        <v>66</v>
      </c>
      <c r="C6" s="0" t="n">
        <f aca="false">INT(A6*(256/15))</f>
        <v>68</v>
      </c>
      <c r="D6" s="0" t="n">
        <v>66</v>
      </c>
    </row>
    <row r="7" customFormat="false" ht="15" hidden="false" customHeight="false" outlineLevel="0" collapsed="false">
      <c r="A7" s="0" t="n">
        <v>5</v>
      </c>
      <c r="B7" s="0" t="n">
        <f aca="false">IF(D7,D7,C7)</f>
        <v>82</v>
      </c>
      <c r="C7" s="0" t="n">
        <f aca="false">INT(A7*(256/15))</f>
        <v>85</v>
      </c>
      <c r="D7" s="0" t="n">
        <v>82</v>
      </c>
    </row>
    <row r="8" customFormat="false" ht="15" hidden="false" customHeight="false" outlineLevel="0" collapsed="false">
      <c r="A8" s="0" t="n">
        <v>6</v>
      </c>
      <c r="B8" s="0" t="n">
        <f aca="false">IF(D8,D8,C8)</f>
        <v>102</v>
      </c>
      <c r="C8" s="0" t="n">
        <f aca="false">INT(A8*(256/15))</f>
        <v>102</v>
      </c>
      <c r="D8" s="0" t="n">
        <v>102</v>
      </c>
    </row>
    <row r="9" customFormat="false" ht="15" hidden="false" customHeight="false" outlineLevel="0" collapsed="false">
      <c r="A9" s="0" t="n">
        <v>7</v>
      </c>
      <c r="B9" s="0" t="n">
        <f aca="false">IF(D9,D9,C9)</f>
        <v>120</v>
      </c>
      <c r="C9" s="0" t="n">
        <f aca="false">INT(A9*(256/15))</f>
        <v>119</v>
      </c>
      <c r="D9" s="0" t="n">
        <v>120</v>
      </c>
    </row>
    <row r="10" customFormat="false" ht="15" hidden="false" customHeight="false" outlineLevel="0" collapsed="false">
      <c r="A10" s="0" t="n">
        <v>8</v>
      </c>
      <c r="B10" s="0" t="n">
        <f aca="false">IF(D10,D10,C10)</f>
        <v>136</v>
      </c>
      <c r="C10" s="0" t="n">
        <f aca="false">INT(A10*(256/15))</f>
        <v>136</v>
      </c>
      <c r="D10" s="0" t="n">
        <v>136</v>
      </c>
    </row>
    <row r="11" customFormat="false" ht="15" hidden="false" customHeight="false" outlineLevel="0" collapsed="false">
      <c r="A11" s="0" t="n">
        <v>9</v>
      </c>
      <c r="B11" s="0" t="n">
        <f aca="false">IF(D11,D11,C11)</f>
        <v>152</v>
      </c>
      <c r="C11" s="0" t="n">
        <f aca="false">INT(A11*(256/15))</f>
        <v>153</v>
      </c>
      <c r="D11" s="0" t="n">
        <v>152</v>
      </c>
    </row>
    <row r="12" customFormat="false" ht="15" hidden="false" customHeight="false" outlineLevel="0" collapsed="false">
      <c r="A12" s="0" t="n">
        <v>10</v>
      </c>
      <c r="B12" s="0" t="n">
        <f aca="false">IF(D12,D12,C12)</f>
        <v>164</v>
      </c>
      <c r="C12" s="0" t="n">
        <f aca="false">INT(A12*(256/15))</f>
        <v>170</v>
      </c>
      <c r="D12" s="0" t="n">
        <v>164</v>
      </c>
    </row>
    <row r="13" customFormat="false" ht="15" hidden="false" customHeight="false" outlineLevel="0" collapsed="false">
      <c r="A13" s="0" t="n">
        <v>11</v>
      </c>
      <c r="B13" s="0" t="n">
        <f aca="false">IF(D13,D13,C13)</f>
        <v>186</v>
      </c>
      <c r="C13" s="0" t="n">
        <f aca="false">INT(A13*(256/15))</f>
        <v>187</v>
      </c>
      <c r="D13" s="0" t="n">
        <v>186</v>
      </c>
    </row>
    <row r="14" customFormat="false" ht="15" hidden="false" customHeight="false" outlineLevel="0" collapsed="false">
      <c r="A14" s="0" t="n">
        <v>12</v>
      </c>
      <c r="B14" s="0" t="n">
        <f aca="false">IF(D14,D14,C14)</f>
        <v>198</v>
      </c>
      <c r="C14" s="0" t="n">
        <f aca="false">INT(A14*(256/15))</f>
        <v>204</v>
      </c>
      <c r="D14" s="0" t="n">
        <v>198</v>
      </c>
    </row>
    <row r="15" customFormat="false" ht="15" hidden="false" customHeight="false" outlineLevel="0" collapsed="false">
      <c r="A15" s="0" t="n">
        <v>13</v>
      </c>
      <c r="B15" s="0" t="n">
        <v>214</v>
      </c>
      <c r="C15" s="0" t="n">
        <f aca="false">INT(A15*(256/15))</f>
        <v>221</v>
      </c>
    </row>
    <row r="16" customFormat="false" ht="15" hidden="false" customHeight="false" outlineLevel="0" collapsed="false">
      <c r="A16" s="0" t="n">
        <v>14</v>
      </c>
      <c r="B16" s="0" t="n">
        <f aca="false">IF(D16,D16,C16)</f>
        <v>238</v>
      </c>
      <c r="C16" s="0" t="n">
        <f aca="false">INT(A16*(256/15))</f>
        <v>238</v>
      </c>
    </row>
    <row r="17" customFormat="false" ht="15" hidden="false" customHeight="false" outlineLevel="0" collapsed="false">
      <c r="A17" s="0" t="n">
        <v>15</v>
      </c>
      <c r="B17" s="0" t="n">
        <f aca="false">IF(D17,D17,C17)</f>
        <v>256</v>
      </c>
      <c r="C17" s="0" t="n">
        <f aca="false">INT(A17*(256/15))</f>
        <v>256</v>
      </c>
    </row>
    <row r="18" customFormat="false" ht="15" hidden="false" customHeight="false" outlineLevel="0" collapsed="false">
      <c r="A18" s="0" t="n">
        <v>16</v>
      </c>
      <c r="B18" s="0" t="n">
        <f aca="false">IF(D18,D18,C18)</f>
        <v>273</v>
      </c>
      <c r="C18" s="0" t="n">
        <f aca="false">INT(A18*(256/15))</f>
        <v>273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11.43"/>
    <col collapsed="false" customWidth="true" hidden="false" outlineLevel="0" max="3" min="3" style="0" width="12"/>
    <col collapsed="false" customWidth="true" hidden="false" outlineLevel="0" max="9" min="8" style="0" width="10.57"/>
    <col collapsed="false" customWidth="true" hidden="false" outlineLevel="0" max="10" min="10" style="0" width="11.28"/>
  </cols>
  <sheetData>
    <row r="1" customFormat="false" ht="1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</row>
    <row r="2" customFormat="false" ht="15" hidden="false" customHeight="false" outlineLevel="0" collapsed="false">
      <c r="B2" s="0" t="s">
        <v>235</v>
      </c>
    </row>
    <row r="3" customFormat="false" ht="15" hidden="false" customHeight="false" outlineLevel="0" collapsed="false">
      <c r="A3" s="0" t="s">
        <v>236</v>
      </c>
      <c r="B3" s="0" t="s">
        <v>237</v>
      </c>
      <c r="C3" s="0" t="s">
        <v>238</v>
      </c>
      <c r="D3" s="0" t="s">
        <v>238</v>
      </c>
      <c r="E3" s="0" t="s">
        <v>238</v>
      </c>
      <c r="F3" s="0" t="s">
        <v>238</v>
      </c>
      <c r="G3" s="0" t="s">
        <v>239</v>
      </c>
      <c r="H3" s="0" t="s">
        <v>240</v>
      </c>
      <c r="I3" s="0" t="s">
        <v>240</v>
      </c>
      <c r="J3" s="0" t="s">
        <v>241</v>
      </c>
      <c r="K3" s="0" t="s">
        <v>238</v>
      </c>
      <c r="L3" s="0" t="s">
        <v>238</v>
      </c>
      <c r="M3" s="0" t="s">
        <v>238</v>
      </c>
      <c r="N3" s="0" t="s">
        <v>238</v>
      </c>
      <c r="O3" s="0" t="s">
        <v>242</v>
      </c>
    </row>
    <row r="4" customFormat="false" ht="15" hidden="false" customHeight="false" outlineLevel="0" collapsed="false">
      <c r="A4" s="0" t="s">
        <v>243</v>
      </c>
      <c r="B4" s="0" t="n">
        <v>1</v>
      </c>
      <c r="C4" s="0" t="n">
        <v>1</v>
      </c>
      <c r="D4" s="0" t="n">
        <v>0</v>
      </c>
      <c r="E4" s="0" t="n">
        <v>0</v>
      </c>
      <c r="F4" s="0" t="n">
        <v>0</v>
      </c>
      <c r="G4" s="0" t="n">
        <v>1</v>
      </c>
      <c r="H4" s="0" t="n">
        <v>1</v>
      </c>
      <c r="I4" s="0" t="n">
        <v>0</v>
      </c>
      <c r="J4" s="0" t="n">
        <v>1</v>
      </c>
      <c r="K4" s="0" t="n">
        <v>0</v>
      </c>
      <c r="L4" s="0" t="n">
        <v>0</v>
      </c>
      <c r="M4" s="0" t="n">
        <v>0</v>
      </c>
      <c r="N4" s="0" t="n">
        <v>0</v>
      </c>
      <c r="O4" s="0" t="n">
        <v>1</v>
      </c>
    </row>
    <row r="6" customFormat="false" ht="14.25" hidden="false" customHeight="true" outlineLevel="0" collapsed="false">
      <c r="B6" s="0" t="s">
        <v>244</v>
      </c>
    </row>
    <row r="7" customFormat="false" ht="15" hidden="false" customHeight="false" outlineLevel="0" collapsed="false">
      <c r="A7" s="0" t="s">
        <v>236</v>
      </c>
      <c r="B7" s="0" t="s">
        <v>245</v>
      </c>
      <c r="C7" s="0" t="s">
        <v>246</v>
      </c>
      <c r="D7" s="0" t="s">
        <v>247</v>
      </c>
      <c r="E7" s="0" t="s">
        <v>247</v>
      </c>
      <c r="F7" s="0" t="s">
        <v>247</v>
      </c>
      <c r="G7" s="0" t="s">
        <v>247</v>
      </c>
      <c r="H7" s="0" t="s">
        <v>248</v>
      </c>
      <c r="I7" s="0" t="s">
        <v>247</v>
      </c>
      <c r="J7" s="0" t="s">
        <v>247</v>
      </c>
      <c r="K7" s="0" t="s">
        <v>247</v>
      </c>
      <c r="L7" s="0" t="s">
        <v>247</v>
      </c>
      <c r="M7" s="0" t="s">
        <v>247</v>
      </c>
      <c r="N7" s="0" t="s">
        <v>247</v>
      </c>
      <c r="O7" s="0" t="s">
        <v>248</v>
      </c>
      <c r="P7" s="0" t="s">
        <v>247</v>
      </c>
      <c r="Q7" s="0" t="s">
        <v>247</v>
      </c>
      <c r="R7" s="0" t="s">
        <v>247</v>
      </c>
      <c r="S7" s="0" t="s">
        <v>247</v>
      </c>
      <c r="T7" s="0" t="s">
        <v>249</v>
      </c>
      <c r="U7" s="0" t="s">
        <v>250</v>
      </c>
    </row>
    <row r="8" customFormat="false" ht="15" hidden="false" customHeight="false" outlineLevel="0" collapsed="false">
      <c r="A8" s="0" t="s">
        <v>243</v>
      </c>
      <c r="B8" s="0" t="n">
        <v>1</v>
      </c>
      <c r="C8" s="0" t="n">
        <v>1</v>
      </c>
      <c r="D8" s="0" t="n">
        <v>1</v>
      </c>
      <c r="E8" s="0" t="n">
        <v>0</v>
      </c>
      <c r="F8" s="0" t="n">
        <v>0</v>
      </c>
      <c r="G8" s="0" t="n">
        <v>0</v>
      </c>
      <c r="H8" s="0" t="n">
        <v>1</v>
      </c>
      <c r="I8" s="0" t="n">
        <v>0</v>
      </c>
      <c r="J8" s="0" t="n">
        <v>0</v>
      </c>
      <c r="K8" s="0" t="n">
        <v>0</v>
      </c>
      <c r="L8" s="0" t="n">
        <v>0</v>
      </c>
      <c r="M8" s="0" t="n">
        <v>0</v>
      </c>
      <c r="N8" s="0" t="n">
        <v>0</v>
      </c>
      <c r="O8" s="0" t="n">
        <v>0</v>
      </c>
      <c r="P8" s="0" t="n">
        <v>0</v>
      </c>
      <c r="Q8" s="0" t="n">
        <v>0</v>
      </c>
      <c r="R8" s="0" t="n">
        <v>0</v>
      </c>
      <c r="S8" s="0" t="n">
        <v>0</v>
      </c>
      <c r="T8" s="0" t="n">
        <v>1</v>
      </c>
      <c r="U8" s="0" t="n">
        <v>1</v>
      </c>
    </row>
    <row r="9" customFormat="false" ht="15" hidden="false" customHeight="false" outlineLevel="0" collapsed="false">
      <c r="A9" s="0" t="s">
        <v>153</v>
      </c>
      <c r="B9" s="0" t="n">
        <v>22.15</v>
      </c>
      <c r="C9" s="0" t="n">
        <v>21.84</v>
      </c>
      <c r="D9" s="0" t="n">
        <v>18.7</v>
      </c>
      <c r="E9" s="0" t="n">
        <v>18.7</v>
      </c>
      <c r="F9" s="0" t="n">
        <v>18.7</v>
      </c>
      <c r="G9" s="0" t="n">
        <v>18.7</v>
      </c>
      <c r="H9" s="0" t="n">
        <v>18.7</v>
      </c>
      <c r="I9" s="0" t="n">
        <v>18.7</v>
      </c>
      <c r="J9" s="0" t="n">
        <v>18.7</v>
      </c>
      <c r="K9" s="0" t="n">
        <v>18.7</v>
      </c>
      <c r="L9" s="0" t="n">
        <v>18.7</v>
      </c>
      <c r="M9" s="0" t="n">
        <v>18.7</v>
      </c>
      <c r="N9" s="0" t="n">
        <v>18.7</v>
      </c>
      <c r="O9" s="0" t="n">
        <v>18.7</v>
      </c>
      <c r="P9" s="0" t="n">
        <v>18.7</v>
      </c>
      <c r="Q9" s="0" t="n">
        <v>18.7</v>
      </c>
      <c r="R9" s="0" t="n">
        <v>18.7</v>
      </c>
      <c r="S9" s="0" t="n">
        <v>18.7</v>
      </c>
      <c r="T9" s="0" t="n">
        <v>21.84</v>
      </c>
      <c r="U9" s="0" t="n">
        <v>22.15</v>
      </c>
    </row>
    <row r="10" customFormat="false" ht="15" hidden="false" customHeight="false" outlineLevel="0" collapsed="false">
      <c r="A10" s="0" t="s">
        <v>251</v>
      </c>
      <c r="B10" s="0" t="n">
        <f aca="false">ROUND(15*((B9*10)/256),0)</f>
        <v>13</v>
      </c>
      <c r="C10" s="0" t="n">
        <f aca="false">ROUND(15*((C9*10)/256),0)</f>
        <v>13</v>
      </c>
      <c r="D10" s="0" t="n">
        <f aca="false">ROUND(15*((D9*10)/256),0)</f>
        <v>11</v>
      </c>
      <c r="E10" s="0" t="n">
        <f aca="false">ROUND(15*((E9*10)/256),0)</f>
        <v>11</v>
      </c>
      <c r="F10" s="0" t="n">
        <f aca="false">ROUND(15*((F9*10)/256),0)</f>
        <v>11</v>
      </c>
      <c r="G10" s="0" t="n">
        <f aca="false">ROUND(15*((G9*10)/256),0)</f>
        <v>11</v>
      </c>
      <c r="H10" s="0" t="n">
        <f aca="false">ROUND(15*((H9*10)/256),0)</f>
        <v>11</v>
      </c>
      <c r="I10" s="0" t="n">
        <f aca="false">ROUND(15*((I9*10)/256),0)</f>
        <v>11</v>
      </c>
      <c r="J10" s="0" t="n">
        <f aca="false">ROUND(15*((J9*10)/256),0)</f>
        <v>11</v>
      </c>
      <c r="K10" s="0" t="n">
        <f aca="false">ROUND(15*((K9*10)/256),0)</f>
        <v>11</v>
      </c>
      <c r="L10" s="0" t="n">
        <f aca="false">ROUND(15*((L9*10)/256),0)</f>
        <v>11</v>
      </c>
      <c r="M10" s="0" t="n">
        <f aca="false">ROUND(15*((M9*10)/256),0)</f>
        <v>11</v>
      </c>
      <c r="N10" s="0" t="n">
        <f aca="false">ROUND(15*((N9*10)/256),0)</f>
        <v>11</v>
      </c>
      <c r="O10" s="0" t="n">
        <f aca="false">ROUND(15*((O9*10)/256),0)</f>
        <v>11</v>
      </c>
      <c r="P10" s="0" t="n">
        <f aca="false">ROUND(15*((P9*10)/256),0)</f>
        <v>11</v>
      </c>
      <c r="Q10" s="0" t="n">
        <f aca="false">ROUND(15*((Q9*10)/256),0)</f>
        <v>11</v>
      </c>
      <c r="R10" s="0" t="n">
        <f aca="false">ROUND(15*((R9*10)/256),0)</f>
        <v>11</v>
      </c>
      <c r="S10" s="0" t="n">
        <f aca="false">ROUND(15*((S9*10)/256),0)</f>
        <v>11</v>
      </c>
      <c r="T10" s="0" t="n">
        <f aca="false">ROUND(15*((T9*10)/256),0)</f>
        <v>13</v>
      </c>
      <c r="U10" s="0" t="n">
        <f aca="false">ROUND(15*((U9*10)/256),0)</f>
        <v>13</v>
      </c>
    </row>
    <row r="11" customFormat="false" ht="15" hidden="false" customHeight="false" outlineLevel="0" collapsed="false">
      <c r="A11" s="0" t="s">
        <v>252</v>
      </c>
      <c r="B11" s="0" t="str">
        <f aca="false">VLOOKUP(B10,Constants!$A$1:$B$16,2,FALSE())</f>
        <v>4,5,4</v>
      </c>
      <c r="C11" s="0" t="str">
        <f aca="false">VLOOKUP(C10,Constants!$A$1:$B$16,2,FALSE())</f>
        <v>4,5,4</v>
      </c>
      <c r="D11" s="0" t="str">
        <f aca="false">VLOOKUP(D10,Constants!$A$1:$B$16,2,FALSE())</f>
        <v>4,3,4</v>
      </c>
      <c r="E11" s="0" t="str">
        <f aca="false">VLOOKUP(E10,Constants!$A$1:$B$16,2,FALSE())</f>
        <v>4,3,4</v>
      </c>
      <c r="F11" s="0" t="str">
        <f aca="false">VLOOKUP(F10,Constants!$A$1:$B$16,2,FALSE())</f>
        <v>4,3,4</v>
      </c>
      <c r="G11" s="0" t="str">
        <f aca="false">VLOOKUP(G10,Constants!$A$1:$B$16,2,FALSE())</f>
        <v>4,3,4</v>
      </c>
      <c r="H11" s="0" t="str">
        <f aca="false">VLOOKUP(H10,Constants!$A$1:$B$16,2,FALSE())</f>
        <v>4,3,4</v>
      </c>
      <c r="I11" s="0" t="str">
        <f aca="false">VLOOKUP(I10,Constants!$A$1:$B$16,2,FALSE())</f>
        <v>4,3,4</v>
      </c>
      <c r="J11" s="0" t="str">
        <f aca="false">VLOOKUP(J10,Constants!$A$1:$B$16,2,FALSE())</f>
        <v>4,3,4</v>
      </c>
      <c r="K11" s="0" t="str">
        <f aca="false">VLOOKUP(K10,Constants!$A$1:$B$16,2,FALSE())</f>
        <v>4,3,4</v>
      </c>
      <c r="L11" s="0" t="str">
        <f aca="false">VLOOKUP(L10,Constants!$A$1:$B$16,2,FALSE())</f>
        <v>4,3,4</v>
      </c>
      <c r="M11" s="0" t="str">
        <f aca="false">VLOOKUP(M10,Constants!$A$1:$B$16,2,FALSE())</f>
        <v>4,3,4</v>
      </c>
      <c r="N11" s="0" t="str">
        <f aca="false">VLOOKUP(N10,Constants!$A$1:$B$16,2,FALSE())</f>
        <v>4,3,4</v>
      </c>
      <c r="O11" s="0" t="str">
        <f aca="false">VLOOKUP(O10,Constants!$A$1:$B$16,2,FALSE())</f>
        <v>4,3,4</v>
      </c>
      <c r="P11" s="0" t="str">
        <f aca="false">VLOOKUP(P10,Constants!$A$1:$B$16,2,FALSE())</f>
        <v>4,3,4</v>
      </c>
      <c r="Q11" s="0" t="str">
        <f aca="false">VLOOKUP(Q10,Constants!$A$1:$B$16,2,FALSE())</f>
        <v>4,3,4</v>
      </c>
      <c r="R11" s="0" t="str">
        <f aca="false">VLOOKUP(R10,Constants!$A$1:$B$16,2,FALSE())</f>
        <v>4,3,4</v>
      </c>
      <c r="S11" s="0" t="str">
        <f aca="false">VLOOKUP(S10,Constants!$A$1:$B$16,2,FALSE())</f>
        <v>4,3,4</v>
      </c>
      <c r="T11" s="0" t="str">
        <f aca="false">VLOOKUP(T10,Constants!$A$1:$B$16,2,FALSE())</f>
        <v>4,5,4</v>
      </c>
      <c r="U11" s="0" t="str">
        <f aca="false">VLOOKUP(U10,Constants!$A$1:$B$16,2,FALSE())</f>
        <v>4,5,4</v>
      </c>
    </row>
    <row r="13" customFormat="false" ht="15" hidden="false" customHeight="false" outlineLevel="0" collapsed="false">
      <c r="B13" s="0" t="str">
        <f aca="false">_xlfn.TEXTJOIN(",",TRUE(),  B7:U7)</f>
        <v>eurostar,eurostar_motor,eurostar_mid,eurostar_mid,eurostar_mid,eurostar_mid,eurostar_tbk,eurostar_mid,eurostar_mid,eurostar_mid,eurostar_mid,eurostar_mid,eurostar_mid,eurostar_tbk,eurostar_mid,eurostar_mid,eurostar_mid,eurostar_mid,eurostar_motor_rev,eurostar_rear</v>
      </c>
    </row>
    <row r="14" customFormat="false" ht="15" hidden="false" customHeight="false" outlineLevel="0" collapsed="false">
      <c r="B14" s="0" t="str">
        <f aca="false">_xlfn.TEXTJOIN(",",TRUE(),  B8:U8)</f>
        <v>1,1,1,0,0,0,1,0,0,0,0,0,0,0,0,0,0,0,1,1</v>
      </c>
    </row>
    <row r="15" customFormat="false" ht="15" hidden="false" customHeight="false" outlineLevel="0" collapsed="false">
      <c r="B15" s="0" t="str">
        <f aca="false">_xlfn.TEXTJOIN(",",TRUE(),  B11:U11)</f>
        <v>4,5,4,4,5,4,4,3,4,4,3,4,4,3,4,4,3,4,4,3,4,4,3,4,4,3,4,4,3,4,4,3,4,4,3,4,4,3,4,4,3,4,4,3,4,4,3,4,4,3,4,4,3,4,4,5,4,4,5,4</v>
      </c>
    </row>
    <row r="16" customFormat="false" ht="15" hidden="false" customHeight="false" outlineLevel="0" collapsed="false">
      <c r="B16" s="0" t="str">
        <f aca="false">_xlfn.TEXTJOIN(",",TRUE(),  B10:U10)</f>
        <v>13,13,11,11,11,11,11,11,11,11,11,11,11,11,11,11,11,11,13,13</v>
      </c>
    </row>
    <row r="18" customFormat="false" ht="15" hidden="false" customHeight="false" outlineLevel="0" collapsed="false">
      <c r="B18" s="0" t="s">
        <v>253</v>
      </c>
    </row>
    <row r="19" customFormat="false" ht="15" hidden="false" customHeight="false" outlineLevel="0" collapsed="false">
      <c r="A19" s="0" t="s">
        <v>236</v>
      </c>
      <c r="B19" s="0" t="s">
        <v>245</v>
      </c>
      <c r="C19" s="0" t="s">
        <v>246</v>
      </c>
      <c r="D19" s="0" t="s">
        <v>247</v>
      </c>
      <c r="E19" s="0" t="s">
        <v>248</v>
      </c>
      <c r="F19" s="0" t="s">
        <v>247</v>
      </c>
      <c r="G19" s="0" t="s">
        <v>248</v>
      </c>
      <c r="H19" s="0" t="s">
        <v>249</v>
      </c>
      <c r="I19" s="0" t="s">
        <v>250</v>
      </c>
    </row>
    <row r="20" customFormat="false" ht="15" hidden="false" customHeight="false" outlineLevel="0" collapsed="false">
      <c r="A20" s="0" t="s">
        <v>243</v>
      </c>
      <c r="B20" s="0" t="n">
        <v>0</v>
      </c>
      <c r="C20" s="0" t="n">
        <v>0</v>
      </c>
      <c r="D20" s="0" t="n">
        <v>0</v>
      </c>
      <c r="E20" s="0" t="n">
        <v>0</v>
      </c>
      <c r="F20" s="0" t="n">
        <v>0</v>
      </c>
      <c r="G20" s="0" t="n">
        <v>0</v>
      </c>
      <c r="H20" s="0" t="n">
        <v>0</v>
      </c>
      <c r="I20" s="0" t="n">
        <v>0</v>
      </c>
    </row>
    <row r="21" customFormat="false" ht="15" hidden="false" customHeight="false" outlineLevel="0" collapsed="false">
      <c r="A21" s="0" t="s">
        <v>153</v>
      </c>
      <c r="B21" s="0" t="n">
        <v>22.15</v>
      </c>
      <c r="C21" s="0" t="n">
        <v>21.84</v>
      </c>
      <c r="D21" s="0" t="n">
        <v>18.7</v>
      </c>
      <c r="E21" s="0" t="n">
        <v>18.7</v>
      </c>
      <c r="F21" s="0" t="n">
        <v>18.7</v>
      </c>
      <c r="G21" s="0" t="n">
        <v>18.7</v>
      </c>
      <c r="H21" s="0" t="n">
        <v>21.84</v>
      </c>
      <c r="I21" s="0" t="n">
        <v>22.15</v>
      </c>
    </row>
    <row r="22" customFormat="false" ht="15" hidden="false" customHeight="false" outlineLevel="0" collapsed="false">
      <c r="A22" s="0" t="s">
        <v>251</v>
      </c>
      <c r="B22" s="0" t="n">
        <f aca="false">ROUND(15*((B21*10)/256),0)</f>
        <v>13</v>
      </c>
      <c r="C22" s="0" t="n">
        <f aca="false">ROUND(15*((C21*10)/256),0)</f>
        <v>13</v>
      </c>
      <c r="D22" s="0" t="n">
        <f aca="false">ROUND(15*((D21*10)/256),0)</f>
        <v>11</v>
      </c>
      <c r="E22" s="0" t="n">
        <f aca="false">ROUND(15*((E21*10)/256),0)</f>
        <v>11</v>
      </c>
      <c r="F22" s="0" t="n">
        <f aca="false">ROUND(15*((F21*10)/256),0)</f>
        <v>11</v>
      </c>
      <c r="G22" s="0" t="n">
        <f aca="false">ROUND(15*((G21*10)/256),0)</f>
        <v>11</v>
      </c>
      <c r="H22" s="0" t="n">
        <f aca="false">ROUND(15*((H21*10)/256),0)</f>
        <v>13</v>
      </c>
      <c r="I22" s="0" t="n">
        <f aca="false">ROUND(15*((I21*10)/256),0)</f>
        <v>13</v>
      </c>
    </row>
    <row r="23" customFormat="false" ht="15" hidden="false" customHeight="false" outlineLevel="0" collapsed="false">
      <c r="A23" s="0" t="s">
        <v>252</v>
      </c>
      <c r="B23" s="0" t="str">
        <f aca="false">VLOOKUP(B22,Constants!$A$1:$B$16,2,FALSE())</f>
        <v>4,5,4</v>
      </c>
      <c r="C23" s="0" t="str">
        <f aca="false">VLOOKUP(C22,Constants!$A$1:$B$16,2,FALSE())</f>
        <v>4,5,4</v>
      </c>
      <c r="D23" s="0" t="str">
        <f aca="false">VLOOKUP(D22,Constants!$A$1:$B$16,2,FALSE())</f>
        <v>4,3,4</v>
      </c>
      <c r="E23" s="0" t="str">
        <f aca="false">VLOOKUP(E22,Constants!$A$1:$B$16,2,FALSE())</f>
        <v>4,3,4</v>
      </c>
      <c r="F23" s="0" t="str">
        <f aca="false">VLOOKUP(F22,Constants!$A$1:$B$16,2,FALSE())</f>
        <v>4,3,4</v>
      </c>
      <c r="G23" s="0" t="str">
        <f aca="false">VLOOKUP(G22,Constants!$A$1:$B$16,2,FALSE())</f>
        <v>4,3,4</v>
      </c>
      <c r="H23" s="0" t="str">
        <f aca="false">VLOOKUP(H22,Constants!$A$1:$B$16,2,FALSE())</f>
        <v>4,5,4</v>
      </c>
      <c r="I23" s="0" t="str">
        <f aca="false">VLOOKUP(I22,Constants!$A$1:$B$16,2,FALSE())</f>
        <v>4,5,4</v>
      </c>
    </row>
    <row r="25" customFormat="false" ht="15" hidden="false" customHeight="false" outlineLevel="0" collapsed="false">
      <c r="B25" s="0" t="str">
        <f aca="false">_xlfn.TEXTJOIN(",",TRUE(),  B19:P19)</f>
        <v>eurostar,eurostar_motor,eurostar_mid,eurostar_tbk,eurostar_mid,eurostar_tbk,eurostar_motor_rev,eurostar_rear</v>
      </c>
    </row>
    <row r="26" customFormat="false" ht="15" hidden="false" customHeight="false" outlineLevel="0" collapsed="false">
      <c r="B26" s="0" t="str">
        <f aca="false">_xlfn.TEXTJOIN(",",TRUE(),  B20:P20)</f>
        <v>0,0,0,0,0,0,0,0</v>
      </c>
    </row>
    <row r="27" customFormat="false" ht="15" hidden="false" customHeight="false" outlineLevel="0" collapsed="false">
      <c r="B27" s="0" t="str">
        <f aca="false">_xlfn.TEXTJOIN(",",TRUE(),  B23:P23)</f>
        <v>4,5,4,4,5,4,4,3,4,4,3,4,4,3,4,4,3,4,4,5,4,4,5,4</v>
      </c>
    </row>
    <row r="28" customFormat="false" ht="15" hidden="false" customHeight="false" outlineLevel="0" collapsed="false">
      <c r="B28" s="0" t="str">
        <f aca="false">_xlfn.TEXTJOIN(",",TRUE(),  B22:U22)</f>
        <v>13,13,11,11,11,11,13,13</v>
      </c>
    </row>
    <row r="30" customFormat="false" ht="15" hidden="false" customHeight="false" outlineLevel="0" collapsed="false">
      <c r="B30" s="0" t="s">
        <v>254</v>
      </c>
    </row>
    <row r="31" customFormat="false" ht="15" hidden="false" customHeight="false" outlineLevel="0" collapsed="false">
      <c r="A31" s="0" t="s">
        <v>236</v>
      </c>
      <c r="B31" s="0" t="s">
        <v>245</v>
      </c>
      <c r="C31" s="0" t="s">
        <v>246</v>
      </c>
      <c r="D31" s="0" t="s">
        <v>247</v>
      </c>
      <c r="E31" s="0" t="s">
        <v>249</v>
      </c>
      <c r="F31" s="0" t="s">
        <v>250</v>
      </c>
    </row>
    <row r="32" customFormat="false" ht="15" hidden="false" customHeight="false" outlineLevel="0" collapsed="false">
      <c r="A32" s="0" t="s">
        <v>243</v>
      </c>
      <c r="B32" s="0" t="n">
        <v>0</v>
      </c>
      <c r="C32" s="0" t="n">
        <v>0</v>
      </c>
      <c r="D32" s="0" t="n">
        <v>0</v>
      </c>
      <c r="E32" s="0" t="n">
        <v>0</v>
      </c>
      <c r="F32" s="0" t="n">
        <v>0</v>
      </c>
    </row>
    <row r="33" customFormat="false" ht="15" hidden="false" customHeight="false" outlineLevel="0" collapsed="false">
      <c r="A33" s="0" t="s">
        <v>153</v>
      </c>
      <c r="B33" s="0" t="n">
        <v>22.15</v>
      </c>
      <c r="C33" s="0" t="n">
        <v>21.84</v>
      </c>
      <c r="D33" s="0" t="n">
        <v>18.7</v>
      </c>
      <c r="E33" s="0" t="n">
        <v>21.84</v>
      </c>
      <c r="F33" s="0" t="n">
        <v>22.15</v>
      </c>
    </row>
    <row r="34" customFormat="false" ht="15" hidden="false" customHeight="false" outlineLevel="0" collapsed="false">
      <c r="A34" s="0" t="s">
        <v>251</v>
      </c>
      <c r="B34" s="0" t="n">
        <f aca="false">ROUND(15*((B33*10)/256),0)</f>
        <v>13</v>
      </c>
      <c r="C34" s="0" t="n">
        <f aca="false">ROUND(15*((C33*10)/256),0)</f>
        <v>13</v>
      </c>
      <c r="D34" s="0" t="n">
        <f aca="false">ROUND(15*((D33*10)/256),0)</f>
        <v>11</v>
      </c>
      <c r="E34" s="0" t="n">
        <f aca="false">ROUND(15*((E33*10)/256),0)</f>
        <v>13</v>
      </c>
      <c r="F34" s="0" t="n">
        <f aca="false">ROUND(15*((F33*10)/256),0)</f>
        <v>13</v>
      </c>
    </row>
    <row r="35" customFormat="false" ht="15" hidden="false" customHeight="false" outlineLevel="0" collapsed="false">
      <c r="A35" s="0" t="s">
        <v>252</v>
      </c>
      <c r="B35" s="0" t="str">
        <f aca="false">VLOOKUP(B34,Constants!$A$1:$B$16,2,FALSE())</f>
        <v>4,5,4</v>
      </c>
      <c r="C35" s="0" t="str">
        <f aca="false">VLOOKUP(C34,Constants!$A$1:$B$16,2,FALSE())</f>
        <v>4,5,4</v>
      </c>
      <c r="D35" s="0" t="str">
        <f aca="false">VLOOKUP(D34,Constants!$A$1:$B$16,2,FALSE())</f>
        <v>4,3,4</v>
      </c>
      <c r="E35" s="0" t="str">
        <f aca="false">VLOOKUP(E34,Constants!$A$1:$B$16,2,FALSE())</f>
        <v>4,5,4</v>
      </c>
      <c r="F35" s="0" t="str">
        <f aca="false">VLOOKUP(F34,Constants!$A$1:$B$16,2,FALSE())</f>
        <v>4,5,4</v>
      </c>
    </row>
    <row r="37" customFormat="false" ht="15" hidden="false" customHeight="false" outlineLevel="0" collapsed="false">
      <c r="B37" s="0" t="str">
        <f aca="false">_xlfn.TEXTJOIN(",",TRUE(),  B31:P31)</f>
        <v>eurostar,eurostar_motor,eurostar_mid,eurostar_motor_rev,eurostar_rear</v>
      </c>
    </row>
    <row r="38" customFormat="false" ht="15" hidden="false" customHeight="false" outlineLevel="0" collapsed="false">
      <c r="B38" s="0" t="str">
        <f aca="false">_xlfn.TEXTJOIN(",",TRUE(),  B32:P32)</f>
        <v>0,0,0,0,0</v>
      </c>
    </row>
    <row r="39" customFormat="false" ht="15" hidden="false" customHeight="false" outlineLevel="0" collapsed="false">
      <c r="B39" s="0" t="str">
        <f aca="false">_xlfn.TEXTJOIN(",",TRUE(),  B35:P35)</f>
        <v>4,5,4,4,5,4,4,3,4,4,5,4,4,5,4</v>
      </c>
    </row>
    <row r="40" customFormat="false" ht="15" hidden="false" customHeight="false" outlineLevel="0" collapsed="false">
      <c r="B40" s="0" t="str">
        <f aca="false">_xlfn.TEXTJOIN(",",TRUE(),  B34:U34)</f>
        <v>13,13,11,13,13</v>
      </c>
    </row>
    <row r="42" customFormat="false" ht="15" hidden="false" customHeight="false" outlineLevel="0" collapsed="false">
      <c r="B42" s="0" t="s">
        <v>255</v>
      </c>
    </row>
    <row r="43" customFormat="false" ht="15" hidden="false" customHeight="false" outlineLevel="0" collapsed="false">
      <c r="A43" s="0" t="s">
        <v>236</v>
      </c>
      <c r="B43" s="0" t="s">
        <v>256</v>
      </c>
      <c r="C43" s="0" t="s">
        <v>257</v>
      </c>
      <c r="D43" s="0" t="s">
        <v>258</v>
      </c>
      <c r="E43" s="0" t="s">
        <v>259</v>
      </c>
      <c r="F43" s="0" t="s">
        <v>260</v>
      </c>
    </row>
    <row r="44" customFormat="false" ht="15" hidden="false" customHeight="false" outlineLevel="0" collapsed="false">
      <c r="A44" s="0" t="s">
        <v>243</v>
      </c>
      <c r="B44" s="0" t="n">
        <v>1</v>
      </c>
      <c r="C44" s="0" t="n">
        <v>1</v>
      </c>
      <c r="D44" s="0" t="n">
        <v>1</v>
      </c>
      <c r="E44" s="0" t="n">
        <v>1</v>
      </c>
      <c r="F44" s="0" t="n">
        <v>1</v>
      </c>
    </row>
    <row r="45" customFormat="false" ht="15" hidden="false" customHeight="false" outlineLevel="0" collapsed="false">
      <c r="A45" s="0" t="s">
        <v>153</v>
      </c>
      <c r="B45" s="0" t="n">
        <v>20.2</v>
      </c>
      <c r="C45" s="0" t="n">
        <v>15.7</v>
      </c>
      <c r="D45" s="0" t="n">
        <v>10</v>
      </c>
      <c r="E45" s="0" t="n">
        <v>15.7</v>
      </c>
      <c r="F45" s="0" t="n">
        <v>20.2</v>
      </c>
    </row>
    <row r="46" customFormat="false" ht="15" hidden="false" customHeight="false" outlineLevel="0" collapsed="false">
      <c r="A46" s="0" t="s">
        <v>251</v>
      </c>
      <c r="B46" s="0" t="n">
        <f aca="false">ROUND(15*((B45*10)/256),0)</f>
        <v>12</v>
      </c>
      <c r="C46" s="0" t="n">
        <f aca="false">ROUND(15*((C45*10)/256),0)</f>
        <v>9</v>
      </c>
      <c r="D46" s="0" t="n">
        <f aca="false">ROUND(15*((D45*10)/256),0)</f>
        <v>6</v>
      </c>
      <c r="E46" s="0" t="n">
        <f aca="false">ROUND(15*((E45*10)/256),0)</f>
        <v>9</v>
      </c>
      <c r="F46" s="0" t="n">
        <f aca="false">ROUND(15*((F45*10)/256),0)</f>
        <v>12</v>
      </c>
    </row>
    <row r="47" customFormat="false" ht="15" hidden="false" customHeight="false" outlineLevel="0" collapsed="false">
      <c r="A47" s="0" t="s">
        <v>252</v>
      </c>
      <c r="B47" s="0" t="str">
        <f aca="false">VLOOKUP(B46,Constants!$A$1:$B$16,2,FALSE())</f>
        <v>4,4,4</v>
      </c>
      <c r="C47" s="0" t="str">
        <f aca="false">VLOOKUP(C46,Constants!$A$1:$B$16,2,FALSE())</f>
        <v>2,5,2</v>
      </c>
      <c r="D47" s="0" t="str">
        <f aca="false">VLOOKUP(D46,Constants!$A$1:$B$16,2,FALSE())</f>
        <v>2,2,2</v>
      </c>
      <c r="E47" s="0" t="str">
        <f aca="false">VLOOKUP(E46,Constants!$A$1:$B$16,2,FALSE())</f>
        <v>2,5,2</v>
      </c>
      <c r="F47" s="0" t="str">
        <f aca="false">VLOOKUP(F46,Constants!$A$1:$B$16,2,FALSE())</f>
        <v>4,4,4</v>
      </c>
    </row>
    <row r="49" customFormat="false" ht="15" hidden="false" customHeight="false" outlineLevel="0" collapsed="false">
      <c r="B49" s="0" t="str">
        <f aca="false">_xlfn.TEXTJOIN(",",TRUE(),  B43:P43)</f>
        <v>stadler_class_755,stadler_class_755_mid,stadler_class_755_motor,stadler_class_755_mid_rev,stadler_class_755_rear</v>
      </c>
    </row>
    <row r="50" customFormat="false" ht="15" hidden="false" customHeight="false" outlineLevel="0" collapsed="false">
      <c r="B50" s="0" t="str">
        <f aca="false">_xlfn.TEXTJOIN(",",TRUE(),  B44:P44)</f>
        <v>1,1,1,1,1</v>
      </c>
    </row>
    <row r="51" customFormat="false" ht="15" hidden="false" customHeight="false" outlineLevel="0" collapsed="false">
      <c r="B51" s="0" t="str">
        <f aca="false">_xlfn.TEXTJOIN(",",TRUE(),  B47:P47)</f>
        <v>4,4,4,2,5,2,2,2,2,2,5,2,4,4,4</v>
      </c>
    </row>
    <row r="52" customFormat="false" ht="15" hidden="false" customHeight="false" outlineLevel="0" collapsed="false">
      <c r="B52" s="0" t="str">
        <f aca="false">_xlfn.TEXTJOIN(",",TRUE(),  B46:U46)</f>
        <v>12,9,6,9,12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29</TotalTime>
  <Application>LibreOffice/7.4.7.2$Linux_X86_64 LibreOffice_project/40$Build-2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2018-09-29T15:27:54Z</dcterms:created>
  <dc:creator>Matt Kimber</dc:creator>
  <dc:description/>
  <dc:language>en-GB</dc:language>
  <cp:lastModifiedBy/>
  <dcterms:modified xsi:type="dcterms:W3CDTF">2025-12-07T15:30:13Z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