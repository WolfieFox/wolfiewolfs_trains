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1.xml" ContentType="application/vnd.openxmlformats-officedocument.drawing+xml"/>
  <Override PartName="/xl/vbaProject.bin" ContentType="application/vnd.ms-office.vbaProject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externalLinks/externalLink1.xml" ContentType="application/vnd.openxmlformats-officedocument.spreadsheetml.externalLink+xml"/>
  <Override PartName="/xl/theme/theme1.xml" ContentType="application/vnd.openxmlformats-officedocument.theme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 lowestEdited="4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Table" sheetId="1" state="visible" r:id="rId4"/>
    <sheet name="Gameplay Planning" sheetId="2" state="visible" r:id="rId5"/>
    <sheet name="Eras" sheetId="3" state="visible" r:id="rId6"/>
    <sheet name="Constants" sheetId="4" state="visible" r:id="rId7"/>
    <sheet name="Voxel Sizes" sheetId="5" state="visible" r:id="rId8"/>
    <sheet name="Long unit configs" sheetId="6" state="visible" r:id="rId9"/>
    <sheet name="Cargo table" sheetId="7" state="visible" r:id="rId10"/>
  </sheets>
  <externalReferences>
    <externalReference r:id="rId11"/>
  </externalReferences>
  <definedNames>
    <definedName function="false" hidden="true" localSheetId="0" name="_xlnm._FilterDatabase" vbProcedure="false">Table!$A$1:$CG$3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<sst xmlns="http://schemas.openxmlformats.org/spreadsheetml/2006/main" count="777" uniqueCount="531">
  <si>
    <t xml:space="preserve">name</t>
  </si>
  <si>
    <t xml:space="preserve">id</t>
  </si>
  <si>
    <t xml:space="preserve">numeric_id</t>
  </si>
  <si>
    <t xml:space="preserve">variant_group</t>
  </si>
  <si>
    <t xml:space="preserve">sort_order</t>
  </si>
  <si>
    <t xml:space="preserve">sort_feature</t>
  </si>
  <si>
    <t xml:space="preserve">template</t>
  </si>
  <si>
    <t xml:space="preserve">type</t>
  </si>
  <si>
    <t xml:space="preserve">railtype</t>
  </si>
  <si>
    <t xml:space="preserve">year</t>
  </si>
  <si>
    <t xml:space="preserve">end_year</t>
  </si>
  <si>
    <t xml:space="preserve">service</t>
  </si>
  <si>
    <t xml:space="preserve">cars</t>
  </si>
  <si>
    <t xml:space="preserve">power</t>
  </si>
  <si>
    <t xml:space="preserve">secondary_power</t>
  </si>
  <si>
    <t xml:space="preserve">cyl_d</t>
  </si>
  <si>
    <t xml:space="preserve">cyl_len</t>
  </si>
  <si>
    <t xml:space="preserve">cyl_n</t>
  </si>
  <si>
    <t xml:space="preserve">steam_psi</t>
  </si>
  <si>
    <t xml:space="preserve">rpm</t>
  </si>
  <si>
    <t xml:space="preserve">wheel_d</t>
  </si>
  <si>
    <t xml:space="preserve">ihp</t>
  </si>
  <si>
    <t xml:space="preserve">weight</t>
  </si>
  <si>
    <t xml:space="preserve">tender_weight</t>
  </si>
  <si>
    <t xml:space="preserve">loading_speed</t>
  </si>
  <si>
    <t xml:space="preserve">tractive_effort</t>
  </si>
  <si>
    <t xml:space="preserve">te_coeff</t>
  </si>
  <si>
    <t xml:space="preserve">speed</t>
  </si>
  <si>
    <t xml:space="preserve">kmhish_speed</t>
  </si>
  <si>
    <t xml:space="preserve">secondary_speed</t>
  </si>
  <si>
    <t xml:space="preserve">speed_conf</t>
  </si>
  <si>
    <t xml:space="preserve">length</t>
  </si>
  <si>
    <t xml:space="preserve">scale_len</t>
  </si>
  <si>
    <t xml:space="preserve">width</t>
  </si>
  <si>
    <t xml:space="preserve">height</t>
  </si>
  <si>
    <t xml:space="preserve">capacity</t>
  </si>
  <si>
    <t xml:space="preserve">voxel_size</t>
  </si>
  <si>
    <t xml:space="preserve">ttd_len</t>
  </si>
  <si>
    <t xml:space="preserve">tender</t>
  </si>
  <si>
    <t xml:space="preserve">articulated_lengths</t>
  </si>
  <si>
    <t xml:space="preserve">effect_unit</t>
  </si>
  <si>
    <t xml:space="preserve">manual_lengths</t>
  </si>
  <si>
    <t xml:space="preserve">manual_ttd_len</t>
  </si>
  <si>
    <t xml:space="preserve">layout</t>
  </si>
  <si>
    <t xml:space="preserve">pantograph_unit</t>
  </si>
  <si>
    <t xml:space="preserve">new_sprites</t>
  </si>
  <si>
    <t xml:space="preserve">reuse_sprites</t>
  </si>
  <si>
    <t xml:space="preserve">animated</t>
  </si>
  <si>
    <t xml:space="preserve">replace_last_wagon</t>
  </si>
  <si>
    <t xml:space="preserve">vehicle_life</t>
  </si>
  <si>
    <t xml:space="preserve">lifespan</t>
  </si>
  <si>
    <t xml:space="preserve">run_cost_penalty</t>
  </si>
  <si>
    <t xml:space="preserve">purchase_penalty</t>
  </si>
  <si>
    <t xml:space="preserve">speed_cost_factor</t>
  </si>
  <si>
    <t xml:space="preserve">power_cost_factor</t>
  </si>
  <si>
    <t xml:space="preserve">te_cost_factor</t>
  </si>
  <si>
    <t xml:space="preserve">year_multiplier</t>
  </si>
  <si>
    <t xml:space="preserve">capacity_factor</t>
  </si>
  <si>
    <t xml:space="preserve">type_run_cost</t>
  </si>
  <si>
    <t xml:space="preserve">type_purchase_cost</t>
  </si>
  <si>
    <t xml:space="preserve">cost</t>
  </si>
  <si>
    <t xml:space="preserve">running_cost</t>
  </si>
  <si>
    <t xml:space="preserve">cost_gbp</t>
  </si>
  <si>
    <t xml:space="preserve">run_cost_gbp</t>
  </si>
  <si>
    <t xml:space="preserve">double_headed</t>
  </si>
  <si>
    <t xml:space="preserve">dvt</t>
  </si>
  <si>
    <t xml:space="preserve">use_mu_engine_logic</t>
  </si>
  <si>
    <t xml:space="preserve">tilting</t>
  </si>
  <si>
    <t xml:space="preserve">multiple_working</t>
  </si>
  <si>
    <t xml:space="preserve">requires_second_power_car</t>
  </si>
  <si>
    <t xml:space="preserve">purchase_length</t>
  </si>
  <si>
    <t xml:space="preserve">enable_param</t>
  </si>
  <si>
    <t xml:space="preserve">intro_month</t>
  </si>
  <si>
    <t xml:space="preserve">cargo_age_period</t>
  </si>
  <si>
    <t xml:space="preserve">pax_special</t>
  </si>
  <si>
    <t xml:space="preserve">cargo_handling</t>
  </si>
  <si>
    <t xml:space="preserve">default_cargo</t>
  </si>
  <si>
    <t xml:space="preserve">era_id</t>
  </si>
  <si>
    <t xml:space="preserve">category</t>
  </si>
  <si>
    <t xml:space="preserve">era_cat</t>
  </si>
  <si>
    <t xml:space="preserve">power_class</t>
  </si>
  <si>
    <t xml:space="preserve">length_text</t>
  </si>
  <si>
    <t xml:space="preserve">power_text</t>
  </si>
  <si>
    <t xml:space="preserve">units_text</t>
  </si>
  <si>
    <t xml:space="preserve">bio</t>
  </si>
  <si>
    <t xml:space="preserve">gameplay_text</t>
  </si>
  <si>
    <t xml:space="preserve">brake_text</t>
  </si>
  <si>
    <t xml:space="preserve">additional_text</t>
  </si>
  <si>
    <t xml:space="preserve">has_aged_variant</t>
  </si>
  <si>
    <t xml:space="preserve">Clerestory brake carriage</t>
  </si>
  <si>
    <t xml:space="preserve">clerestory_carriage_mail</t>
  </si>
  <si>
    <t xml:space="preserve">FEAT_TRAINS</t>
  </si>
  <si>
    <t xml:space="preserve">wagon</t>
  </si>
  <si>
    <t xml:space="preserve">carriage</t>
  </si>
  <si>
    <t xml:space="preserve">RAIL</t>
  </si>
  <si>
    <t xml:space="preserve">Parcel</t>
  </si>
  <si>
    <t xml:space="preserve">MAIL</t>
  </si>
  <si>
    <t xml:space="preserve">Mail Carriage</t>
  </si>
  <si>
    <t xml:space="preserve">This brake carriage is designed for use with clerestory carriages. It can carry parcels and mail.</t>
  </si>
  <si>
    <t xml:space="preserve">Brake carriage</t>
  </si>
  <si>
    <t xml:space="preserve">mail_coach_lnwr</t>
  </si>
  <si>
    <t xml:space="preserve">Brake carriages continued to be a fixture of passenger trains during the steam era, carrying bulky luggage and parcels.</t>
  </si>
  <si>
    <t xml:space="preserve">Passenger</t>
  </si>
  <si>
    <t xml:space="preserve">Mixed Traffic</t>
  </si>
  <si>
    <t xml:space="preserve">Cheap</t>
  </si>
  <si>
    <t xml:space="preserve">Express</t>
  </si>
  <si>
    <t xml:space="preserve">Freight</t>
  </si>
  <si>
    <t xml:space="preserve">MT (Electric)</t>
  </si>
  <si>
    <t xml:space="preserve">Express (Electric)</t>
  </si>
  <si>
    <t xml:space="preserve">Freight (Electric)</t>
  </si>
  <si>
    <t xml:space="preserve">DMU (Cheap)</t>
  </si>
  <si>
    <t xml:space="preserve">DMU</t>
  </si>
  <si>
    <t xml:space="preserve">DMU (Express)</t>
  </si>
  <si>
    <t xml:space="preserve">EMU</t>
  </si>
  <si>
    <t xml:space="preserve">EMU (Express)</t>
  </si>
  <si>
    <t xml:space="preserve">LU</t>
  </si>
  <si>
    <t xml:space="preserve">Carriage</t>
  </si>
  <si>
    <t xml:space="preserve">Open Wagon</t>
  </si>
  <si>
    <t xml:space="preserve">Flat Wagon</t>
  </si>
  <si>
    <t xml:space="preserve">Van</t>
  </si>
  <si>
    <t xml:space="preserve">Tanker</t>
  </si>
  <si>
    <t xml:space="preserve">Extra</t>
  </si>
  <si>
    <t xml:space="preserve">Era</t>
  </si>
  <si>
    <t xml:space="preserve">(name)</t>
  </si>
  <si>
    <t xml:space="preserve">early</t>
  </si>
  <si>
    <t xml:space="preserve">vct</t>
  </si>
  <si>
    <t xml:space="preserve">edw</t>
  </si>
  <si>
    <t xml:space="preserve">big4</t>
  </si>
  <si>
    <t xml:space="preserve">ebr</t>
  </si>
  <si>
    <t xml:space="preserve">dsl</t>
  </si>
  <si>
    <t xml:space="preserve">lbr</t>
  </si>
  <si>
    <t xml:space="preserve">prv</t>
  </si>
  <si>
    <t xml:space="preserve">mod</t>
  </si>
  <si>
    <t xml:space="preserve">Start Year</t>
  </si>
  <si>
    <t xml:space="preserve">ID</t>
  </si>
  <si>
    <t xml:space="preserve">Name</t>
  </si>
  <si>
    <t xml:space="preserve">Early (1800-1850)</t>
  </si>
  <si>
    <t xml:space="preserve">Victorian (1850-1900)</t>
  </si>
  <si>
    <t xml:space="preserve">Edwardian (1900-1920)</t>
  </si>
  <si>
    <t xml:space="preserve">Big Four (1923-1948)</t>
  </si>
  <si>
    <t xml:space="preserve">Early BR (1948-1955)</t>
  </si>
  <si>
    <t xml:space="preserve">Dieselisation (1955-1970)</t>
  </si>
  <si>
    <t xml:space="preserve">Late BR (1970-1995)</t>
  </si>
  <si>
    <t xml:space="preserve">Privatisation (1995-2005)</t>
  </si>
  <si>
    <t xml:space="preserve">Modern (2005-)</t>
  </si>
  <si>
    <t xml:space="preserve">Length</t>
  </si>
  <si>
    <t xml:space="preserve">Configuration</t>
  </si>
  <si>
    <t xml:space="preserve">Tender Configuration</t>
  </si>
  <si>
    <t xml:space="preserve">Running Cost Base</t>
  </si>
  <si>
    <t xml:space="preserve">Type</t>
  </si>
  <si>
    <t xml:space="preserve">Running cost factor</t>
  </si>
  <si>
    <t xml:space="preserve">Purchase cost factor</t>
  </si>
  <si>
    <t xml:space="preserve">power_type</t>
  </si>
  <si>
    <t xml:space="preserve">power_desc</t>
  </si>
  <si>
    <t xml:space="preserve">na</t>
  </si>
  <si>
    <t xml:space="preserve">Cost Base</t>
  </si>
  <si>
    <t xml:space="preserve">diesel</t>
  </si>
  <si>
    <t xml:space="preserve">diesel_RAIL</t>
  </si>
  <si>
    <t xml:space="preserve">Diesel</t>
  </si>
  <si>
    <t xml:space="preserve">1,1,1</t>
  </si>
  <si>
    <t xml:space="preserve">electric</t>
  </si>
  <si>
    <t xml:space="preserve">steam_RAIL</t>
  </si>
  <si>
    <t xml:space="preserve">Steam</t>
  </si>
  <si>
    <t xml:space="preserve">1,2,1</t>
  </si>
  <si>
    <t xml:space="preserve">steam</t>
  </si>
  <si>
    <t xml:space="preserve">electric_ELRL</t>
  </si>
  <si>
    <t xml:space="preserve">25kV AC</t>
  </si>
  <si>
    <t xml:space="preserve">2,1,2</t>
  </si>
  <si>
    <t xml:space="preserve">dual_power</t>
  </si>
  <si>
    <t xml:space="preserve">electric_THIRD_RAIL</t>
  </si>
  <si>
    <t xml:space="preserve">750V DC</t>
  </si>
  <si>
    <t xml:space="preserve">2,2,2</t>
  </si>
  <si>
    <t xml:space="preserve">dual_electric</t>
  </si>
  <si>
    <t xml:space="preserve">tender_RAIL</t>
  </si>
  <si>
    <t xml:space="preserve">2,3,2</t>
  </si>
  <si>
    <t xml:space="preserve">carriage_RAIL</t>
  </si>
  <si>
    <t xml:space="preserve">2,4,2</t>
  </si>
  <si>
    <t xml:space="preserve">luxury_carriage</t>
  </si>
  <si>
    <t xml:space="preserve">luxury_carriage_RAIL</t>
  </si>
  <si>
    <t xml:space="preserve">2,5,2</t>
  </si>
  <si>
    <t xml:space="preserve">wagon_RAIL</t>
  </si>
  <si>
    <t xml:space="preserve">4,2,4</t>
  </si>
  <si>
    <t xml:space="preserve">brake</t>
  </si>
  <si>
    <t xml:space="preserve">steam_NGRL</t>
  </si>
  <si>
    <t xml:space="preserve">4,3,4</t>
  </si>
  <si>
    <t xml:space="preserve">tube</t>
  </si>
  <si>
    <t xml:space="preserve">dual_power_RAIL</t>
  </si>
  <si>
    <t xml:space="preserve">750V DC / Diesel</t>
  </si>
  <si>
    <t xml:space="preserve">4,4,4</t>
  </si>
  <si>
    <t xml:space="preserve">dual_electric_DUAL_POWER</t>
  </si>
  <si>
    <t xml:space="preserve">25kV AC / 750V DC</t>
  </si>
  <si>
    <t xml:space="preserve">4,5,4</t>
  </si>
  <si>
    <t xml:space="preserve">petrol</t>
  </si>
  <si>
    <t xml:space="preserve">brake_RAIL</t>
  </si>
  <si>
    <t xml:space="preserve">4,6,4</t>
  </si>
  <si>
    <t xml:space="preserve">lpgflywheel</t>
  </si>
  <si>
    <t xml:space="preserve">tube_RAIL</t>
  </si>
  <si>
    <t xml:space="preserve">4,7,4</t>
  </si>
  <si>
    <t xml:space="preserve">horses</t>
  </si>
  <si>
    <t xml:space="preserve">_</t>
  </si>
  <si>
    <t xml:space="preserve">4,8,4</t>
  </si>
  <si>
    <t xml:space="preserve">none</t>
  </si>
  <si>
    <t xml:space="preserve">petrol_RAIL</t>
  </si>
  <si>
    <t xml:space="preserve">Petrol</t>
  </si>
  <si>
    <t xml:space="preserve">gas_turbine</t>
  </si>
  <si>
    <t xml:space="preserve">dual_power_ELRL</t>
  </si>
  <si>
    <t xml:space="preserve">25kV AC / Diesel</t>
  </si>
  <si>
    <t xml:space="preserve">lpgflywheel_RAIL</t>
  </si>
  <si>
    <t xml:space="preserve">LPG / Flywheel</t>
  </si>
  <si>
    <t xml:space="preserve">wagon_PLATEWAY</t>
  </si>
  <si>
    <t xml:space="preserve">steam_PLATEWAY</t>
  </si>
  <si>
    <t xml:space="preserve">carriage_PLATEWAY</t>
  </si>
  <si>
    <t xml:space="preserve">horses_PLATEWAY</t>
  </si>
  <si>
    <t xml:space="preserve">Grass and hay</t>
  </si>
  <si>
    <t xml:space="preserve">tube_FOURTH_RAIL</t>
  </si>
  <si>
    <t xml:space="preserve">630V DC</t>
  </si>
  <si>
    <t xml:space="preserve">brake_PLATEWAY</t>
  </si>
  <si>
    <t xml:space="preserve">carriage_FOURTH_RAIL</t>
  </si>
  <si>
    <t xml:space="preserve">none_RAIL</t>
  </si>
  <si>
    <t xml:space="preserve">gas_turbine_RAIL</t>
  </si>
  <si>
    <t xml:space="preserve">Gas Turbine</t>
  </si>
  <si>
    <t xml:space="preserve">dual_power_BATTERY</t>
  </si>
  <si>
    <t xml:space="preserve">750V DC / Battery</t>
  </si>
  <si>
    <t xml:space="preserve">TTD Length</t>
  </si>
  <si>
    <t xml:space="preserve">Voxel Size</t>
  </si>
  <si>
    <t xml:space="preserve">Voxel Size (calculated)</t>
  </si>
  <si>
    <t xml:space="preserve">Voxel size (observed)</t>
  </si>
  <si>
    <t xml:space="preserve">APT</t>
  </si>
  <si>
    <t xml:space="preserve">Names</t>
  </si>
  <si>
    <t xml:space="preserve">apt</t>
  </si>
  <si>
    <t xml:space="preserve">apt_mid</t>
  </si>
  <si>
    <t xml:space="preserve">apt_tbf</t>
  </si>
  <si>
    <t xml:space="preserve">apt_power</t>
  </si>
  <si>
    <t xml:space="preserve">apt_tbf_rev</t>
  </si>
  <si>
    <t xml:space="preserve">apt_rear</t>
  </si>
  <si>
    <t xml:space="preserve">Newsprites</t>
  </si>
  <si>
    <t xml:space="preserve">Eurostar</t>
  </si>
  <si>
    <t xml:space="preserve">eurostar</t>
  </si>
  <si>
    <t xml:space="preserve">eurostar_motor</t>
  </si>
  <si>
    <t xml:space="preserve">eurostar_mid</t>
  </si>
  <si>
    <t xml:space="preserve">eurostar_tbk</t>
  </si>
  <si>
    <t xml:space="preserve">eurostar_motor_rev</t>
  </si>
  <si>
    <t xml:space="preserve">eurostar_rear</t>
  </si>
  <si>
    <t xml:space="preserve">TTD length</t>
  </si>
  <si>
    <t xml:space="preserve">Articulation</t>
  </si>
  <si>
    <t xml:space="preserve">Eurostar (8 car)</t>
  </si>
  <si>
    <t xml:space="preserve">Eurostar (5 car)</t>
  </si>
  <si>
    <t xml:space="preserve">Class 755</t>
  </si>
  <si>
    <t xml:space="preserve">stadler_class_755</t>
  </si>
  <si>
    <t xml:space="preserve">stadler_class_755_mid</t>
  </si>
  <si>
    <t xml:space="preserve">stadler_class_755_motor</t>
  </si>
  <si>
    <t xml:space="preserve">stadler_class_755_mid_rev</t>
  </si>
  <si>
    <t xml:space="preserve">stadler_class_755_rear</t>
  </si>
  <si>
    <t xml:space="preserve">OpenTTD Code</t>
  </si>
  <si>
    <t xml:space="preserve">Description</t>
  </si>
  <si>
    <t xml:space="preserve">Cargo Classes</t>
  </si>
  <si>
    <t xml:space="preserve">Piece Cargo</t>
  </si>
  <si>
    <t xml:space="preserve">Cargo Sprite</t>
  </si>
  <si>
    <t xml:space="preserve">Bolster sizes</t>
  </si>
  <si>
    <t xml:space="preserve">x</t>
  </si>
  <si>
    <t xml:space="preserve">y</t>
  </si>
  <si>
    <t xml:space="preserve">z</t>
  </si>
  <si>
    <t xml:space="preserve">bdmt</t>
  </si>
  <si>
    <t xml:space="preserve">crate</t>
  </si>
  <si>
    <t xml:space="preserve">timber</t>
  </si>
  <si>
    <t xml:space="preserve">fmsp</t>
  </si>
  <si>
    <t xml:space="preserve">vehicle</t>
  </si>
  <si>
    <t xml:space="preserve">ACID</t>
  </si>
  <si>
    <t xml:space="preserve">Acid</t>
  </si>
  <si>
    <t xml:space="preserve">0140 Liquids, hazardous</t>
  </si>
  <si>
    <t xml:space="preserve">BATT</t>
  </si>
  <si>
    <t xml:space="preserve">BDA</t>
  </si>
  <si>
    <t xml:space="preserve">AORE</t>
  </si>
  <si>
    <t xml:space="preserve">Aluminium Ore</t>
  </si>
  <si>
    <t xml:space="preserve">0010 Bulk</t>
  </si>
  <si>
    <t xml:space="preserve">BDMT</t>
  </si>
  <si>
    <t xml:space="preserve">Beaver</t>
  </si>
  <si>
    <t xml:space="preserve">Batteries</t>
  </si>
  <si>
    <t xml:space="preserve">0020 Piece goods</t>
  </si>
  <si>
    <t xml:space="preserve">BEER</t>
  </si>
  <si>
    <t xml:space="preserve">Bogie</t>
  </si>
  <si>
    <t xml:space="preserve">Bulding Materials</t>
  </si>
  <si>
    <t xml:space="preserve">0220 Piece goods, covered/sheltered</t>
  </si>
  <si>
    <t xml:space="preserve">BOOM</t>
  </si>
  <si>
    <t xml:space="preserve">Small Bolster</t>
  </si>
  <si>
    <t xml:space="preserve">BEAN</t>
  </si>
  <si>
    <t xml:space="preserve">Beans</t>
  </si>
  <si>
    <t xml:space="preserve">BRCK</t>
  </si>
  <si>
    <t xml:space="preserve">Double Bolster</t>
  </si>
  <si>
    <t xml:space="preserve">Beer</t>
  </si>
  <si>
    <t xml:space="preserve">0064 Express, piece goods, liquids</t>
  </si>
  <si>
    <t xml:space="preserve">BUBL</t>
  </si>
  <si>
    <t xml:space="preserve">Osprey Bolster</t>
  </si>
  <si>
    <t xml:space="preserve">Explosives</t>
  </si>
  <si>
    <t xml:space="preserve">0024 Express, piece goods</t>
  </si>
  <si>
    <t xml:space="preserve">CERA</t>
  </si>
  <si>
    <t xml:space="preserve">Salmon Bolster</t>
  </si>
  <si>
    <t xml:space="preserve">Bricks</t>
  </si>
  <si>
    <t xml:space="preserve">COPR</t>
  </si>
  <si>
    <t xml:space="preserve">metal</t>
  </si>
  <si>
    <t xml:space="preserve">BAA (steel)</t>
  </si>
  <si>
    <t xml:space="preserve">Bubbles</t>
  </si>
  <si>
    <t xml:space="preserve">CSTI</t>
  </si>
  <si>
    <t xml:space="preserve">CASS</t>
  </si>
  <si>
    <t xml:space="preserve">Cassava</t>
  </si>
  <si>
    <t xml:space="preserve">FZDR</t>
  </si>
  <si>
    <t xml:space="preserve">CBLK</t>
  </si>
  <si>
    <t xml:space="preserve">Carbon Black</t>
  </si>
  <si>
    <t xml:space="preserve">0230 Piece goods, Bulk, covered/sheltered</t>
  </si>
  <si>
    <t xml:space="preserve">IRON</t>
  </si>
  <si>
    <t xml:space="preserve">Ceramics</t>
  </si>
  <si>
    <t xml:space="preserve">JAVA</t>
  </si>
  <si>
    <t xml:space="preserve">CERE</t>
  </si>
  <si>
    <t xml:space="preserve">Cereal</t>
  </si>
  <si>
    <t xml:space="preserve">0210 Bulk, covered/sheltered</t>
  </si>
  <si>
    <t xml:space="preserve">METL</t>
  </si>
  <si>
    <t xml:space="preserve">CHLO</t>
  </si>
  <si>
    <t xml:space="preserve">Chlorine</t>
  </si>
  <si>
    <t xml:space="preserve">NUTS</t>
  </si>
  <si>
    <t xml:space="preserve">CLAY</t>
  </si>
  <si>
    <t xml:space="preserve">Clay</t>
  </si>
  <si>
    <t xml:space="preserve">0210 Bulk covered/sheltered</t>
  </si>
  <si>
    <t xml:space="preserve">PAPR</t>
  </si>
  <si>
    <t xml:space="preserve">CMNT</t>
  </si>
  <si>
    <t xml:space="preserve">Cement</t>
  </si>
  <si>
    <t xml:space="preserve">PIPE</t>
  </si>
  <si>
    <t xml:space="preserve">pipe</t>
  </si>
  <si>
    <t xml:space="preserve">COAL</t>
  </si>
  <si>
    <t xml:space="preserve">Coal</t>
  </si>
  <si>
    <t xml:space="preserve">POWR</t>
  </si>
  <si>
    <t xml:space="preserve">COKE</t>
  </si>
  <si>
    <t xml:space="preserve">Coke</t>
  </si>
  <si>
    <t xml:space="preserve">STAL</t>
  </si>
  <si>
    <t xml:space="preserve">COLA</t>
  </si>
  <si>
    <t xml:space="preserve">Cola</t>
  </si>
  <si>
    <t xml:space="preserve">0040 Liquid</t>
  </si>
  <si>
    <t xml:space="preserve">STCB</t>
  </si>
  <si>
    <t xml:space="preserve">Copper</t>
  </si>
  <si>
    <t xml:space="preserve">STEL</t>
  </si>
  <si>
    <t xml:space="preserve">CORE</t>
  </si>
  <si>
    <t xml:space="preserve">Copper Ore</t>
  </si>
  <si>
    <t xml:space="preserve">STST</t>
  </si>
  <si>
    <t xml:space="preserve">Cast Iron</t>
  </si>
  <si>
    <t xml:space="preserve">TOYS</t>
  </si>
  <si>
    <t xml:space="preserve">CTAR</t>
  </si>
  <si>
    <t xml:space="preserve">Coal Tar</t>
  </si>
  <si>
    <t xml:space="preserve">TYRE</t>
  </si>
  <si>
    <t xml:space="preserve">tyres</t>
  </si>
  <si>
    <t xml:space="preserve">CTCD</t>
  </si>
  <si>
    <t xml:space="preserve">Cotton Candy</t>
  </si>
  <si>
    <t xml:space="preserve">VBOD</t>
  </si>
  <si>
    <t xml:space="preserve">vehicle_body</t>
  </si>
  <si>
    <t xml:space="preserve">DIAM</t>
  </si>
  <si>
    <t xml:space="preserve">Diamonds</t>
  </si>
  <si>
    <t xml:space="preserve">0008 Armoured</t>
  </si>
  <si>
    <t xml:space="preserve">VENG</t>
  </si>
  <si>
    <t xml:space="preserve">DYES</t>
  </si>
  <si>
    <t xml:space="preserve">Dyes</t>
  </si>
  <si>
    <t xml:space="preserve">0060 Piece goods, liquids</t>
  </si>
  <si>
    <t xml:space="preserve">WOOD</t>
  </si>
  <si>
    <t xml:space="preserve">wood</t>
  </si>
  <si>
    <t xml:space="preserve">ENSP</t>
  </si>
  <si>
    <t xml:space="preserve">Engineering Supplies</t>
  </si>
  <si>
    <t xml:space="preserve">ZINC</t>
  </si>
  <si>
    <t xml:space="preserve">EOIL</t>
  </si>
  <si>
    <t xml:space="preserve">Edible Oil</t>
  </si>
  <si>
    <t xml:space="preserve">ensp</t>
  </si>
  <si>
    <t xml:space="preserve">FECR</t>
  </si>
  <si>
    <t xml:space="preserve">Ferrochrome</t>
  </si>
  <si>
    <t xml:space="preserve">FMSP</t>
  </si>
  <si>
    <t xml:space="preserve">FERT</t>
  </si>
  <si>
    <t xml:space="preserve">Fertiliser</t>
  </si>
  <si>
    <t xml:space="preserve">0030 Bulk, piece goods</t>
  </si>
  <si>
    <t xml:space="preserve">VPTS</t>
  </si>
  <si>
    <t xml:space="preserve">FICR</t>
  </si>
  <si>
    <t xml:space="preserve">Fibre Crops</t>
  </si>
  <si>
    <t xml:space="preserve">WDPR</t>
  </si>
  <si>
    <t xml:space="preserve">FISH</t>
  </si>
  <si>
    <t xml:space="preserve">Fish</t>
  </si>
  <si>
    <t xml:space="preserve">0084 Express, refrigerated</t>
  </si>
  <si>
    <t xml:space="preserve">PLAS</t>
  </si>
  <si>
    <t xml:space="preserve">Farm Supplies</t>
  </si>
  <si>
    <t xml:space="preserve">FOOD</t>
  </si>
  <si>
    <t xml:space="preserve">Food</t>
  </si>
  <si>
    <t xml:space="preserve">VEHI</t>
  </si>
  <si>
    <t xml:space="preserve">vehicles</t>
  </si>
  <si>
    <t xml:space="preserve">FRUT</t>
  </si>
  <si>
    <t xml:space="preserve">Fuit</t>
  </si>
  <si>
    <t xml:space="preserve">0090 Bulk, refrigerated</t>
  </si>
  <si>
    <t xml:space="preserve">FRVG</t>
  </si>
  <si>
    <t xml:space="preserve">Fruit and Vegetables</t>
  </si>
  <si>
    <t xml:space="preserve">00A4 Express, piece goods, refrigerated</t>
  </si>
  <si>
    <t xml:space="preserve">MNSP</t>
  </si>
  <si>
    <t xml:space="preserve">Fizzy Drinks</t>
  </si>
  <si>
    <t xml:space="preserve">STSH</t>
  </si>
  <si>
    <t xml:space="preserve">GOLD</t>
  </si>
  <si>
    <t xml:space="preserve">Gold</t>
  </si>
  <si>
    <t xml:space="preserve">STWR</t>
  </si>
  <si>
    <t xml:space="preserve">GOOD</t>
  </si>
  <si>
    <t xml:space="preserve">Goods</t>
  </si>
  <si>
    <t xml:space="preserve">0004 Express</t>
  </si>
  <si>
    <t xml:space="preserve">RBAR</t>
  </si>
  <si>
    <t xml:space="preserve">GRAI</t>
  </si>
  <si>
    <t xml:space="preserve">Grain</t>
  </si>
  <si>
    <t xml:space="preserve">SOAP</t>
  </si>
  <si>
    <t xml:space="preserve">GRVL</t>
  </si>
  <si>
    <t xml:space="preserve">Gravel</t>
  </si>
  <si>
    <t xml:space="preserve">COAT</t>
  </si>
  <si>
    <t xml:space="preserve">IORE</t>
  </si>
  <si>
    <t xml:space="preserve">Iron Ore</t>
  </si>
  <si>
    <t xml:space="preserve">Iron</t>
  </si>
  <si>
    <t xml:space="preserve">Coffee</t>
  </si>
  <si>
    <t xml:space="preserve">KAOL</t>
  </si>
  <si>
    <t xml:space="preserve">Kaolin (china clay)</t>
  </si>
  <si>
    <t xml:space="preserve">0250 Bulk, liquids, covered</t>
  </si>
  <si>
    <t xml:space="preserve">LIME</t>
  </si>
  <si>
    <t xml:space="preserve">Lime</t>
  </si>
  <si>
    <t xml:space="preserve">LVST</t>
  </si>
  <si>
    <t xml:space="preserve">Livestock</t>
  </si>
  <si>
    <t xml:space="preserve">Mail</t>
  </si>
  <si>
    <t xml:space="preserve">0002 Mail</t>
  </si>
  <si>
    <t xml:space="preserve">MAIZ</t>
  </si>
  <si>
    <t xml:space="preserve">Maize</t>
  </si>
  <si>
    <t xml:space="preserve">Metal</t>
  </si>
  <si>
    <t xml:space="preserve">MILK</t>
  </si>
  <si>
    <t xml:space="preserve">Milk</t>
  </si>
  <si>
    <t xml:space="preserve">00C4 Express, liquid, refrigerated</t>
  </si>
  <si>
    <t xml:space="preserve">MNO2</t>
  </si>
  <si>
    <t xml:space="preserve">Manganese Oxide</t>
  </si>
  <si>
    <t xml:space="preserve">Packaging</t>
  </si>
  <si>
    <t xml:space="preserve">0024 Piece goods, express</t>
  </si>
  <si>
    <t xml:space="preserve">NITR</t>
  </si>
  <si>
    <t xml:space="preserve">Nitrate</t>
  </si>
  <si>
    <t xml:space="preserve">Nuts</t>
  </si>
  <si>
    <t xml:space="preserve">OIL_</t>
  </si>
  <si>
    <t xml:space="preserve">Oil</t>
  </si>
  <si>
    <t xml:space="preserve">OLSD</t>
  </si>
  <si>
    <t xml:space="preserve">Oil Seed</t>
  </si>
  <si>
    <t xml:space="preserve">Paper</t>
  </si>
  <si>
    <t xml:space="preserve">PASS</t>
  </si>
  <si>
    <t xml:space="preserve">Passengers</t>
  </si>
  <si>
    <t xml:space="preserve">0001 Passengers</t>
  </si>
  <si>
    <t xml:space="preserve">PEAT</t>
  </si>
  <si>
    <t xml:space="preserve">Peat</t>
  </si>
  <si>
    <t xml:space="preserve">PETR</t>
  </si>
  <si>
    <t xml:space="preserve">PHOS</t>
  </si>
  <si>
    <t xml:space="preserve">Phosphate</t>
  </si>
  <si>
    <t xml:space="preserve">Pipe</t>
  </si>
  <si>
    <t xml:space="preserve">Plastics</t>
  </si>
  <si>
    <t xml:space="preserve">0060 Piece goods, liquid</t>
  </si>
  <si>
    <t xml:space="preserve">PLST</t>
  </si>
  <si>
    <t xml:space="preserve">Plastic</t>
  </si>
  <si>
    <t xml:space="preserve">PORE</t>
  </si>
  <si>
    <t xml:space="preserve">Pyrite Ore</t>
  </si>
  <si>
    <t xml:space="preserve">POTA</t>
  </si>
  <si>
    <t xml:space="preserve">Potash</t>
  </si>
  <si>
    <t xml:space="preserve">Electrical Equipment</t>
  </si>
  <si>
    <t xml:space="preserve">QLME</t>
  </si>
  <si>
    <t xml:space="preserve">Quicklime</t>
  </si>
  <si>
    <t xml:space="preserve">RCYC</t>
  </si>
  <si>
    <t xml:space="preserve">Recyclables</t>
  </si>
  <si>
    <t xml:space="preserve">0220 Piece goods, covered</t>
  </si>
  <si>
    <t xml:space="preserve">RFPR</t>
  </si>
  <si>
    <t xml:space="preserve">Chemicals</t>
  </si>
  <si>
    <t xml:space="preserve">RUBR</t>
  </si>
  <si>
    <t xml:space="preserve">Rubber</t>
  </si>
  <si>
    <t xml:space="preserve">SALT</t>
  </si>
  <si>
    <t xml:space="preserve">Salt</t>
  </si>
  <si>
    <t xml:space="preserve">SAND</t>
  </si>
  <si>
    <t xml:space="preserve">Sand</t>
  </si>
  <si>
    <t xml:space="preserve">SASH</t>
  </si>
  <si>
    <t xml:space="preserve">Soda Ash</t>
  </si>
  <si>
    <t xml:space="preserve">SCMT</t>
  </si>
  <si>
    <t xml:space="preserve">Scrap Metal</t>
  </si>
  <si>
    <t xml:space="preserve">1010 Bulk, non-pourable</t>
  </si>
  <si>
    <t xml:space="preserve">SGBT</t>
  </si>
  <si>
    <t xml:space="preserve">Sugar Beet</t>
  </si>
  <si>
    <t xml:space="preserve">SGCN</t>
  </si>
  <si>
    <t xml:space="preserve">Sugar Cane</t>
  </si>
  <si>
    <t xml:space="preserve">SLAG</t>
  </si>
  <si>
    <t xml:space="preserve">Slag</t>
  </si>
  <si>
    <t xml:space="preserve">Alloy Steel</t>
  </si>
  <si>
    <t xml:space="preserve">Carbon Steel</t>
  </si>
  <si>
    <t xml:space="preserve">Steel</t>
  </si>
  <si>
    <t xml:space="preserve">Stainless Steel</t>
  </si>
  <si>
    <t xml:space="preserve">SUGR</t>
  </si>
  <si>
    <t xml:space="preserve">Sugar</t>
  </si>
  <si>
    <t xml:space="preserve">SULP</t>
  </si>
  <si>
    <t xml:space="preserve">Sulphur</t>
  </si>
  <si>
    <t xml:space="preserve">SWET</t>
  </si>
  <si>
    <t xml:space="preserve">Sweets</t>
  </si>
  <si>
    <t xml:space="preserve">TOFF</t>
  </si>
  <si>
    <t xml:space="preserve">Toffee</t>
  </si>
  <si>
    <t xml:space="preserve">TOUR</t>
  </si>
  <si>
    <t xml:space="preserve">Tourists</t>
  </si>
  <si>
    <t xml:space="preserve">0005 Passengers, express</t>
  </si>
  <si>
    <t xml:space="preserve">Toys</t>
  </si>
  <si>
    <t xml:space="preserve">Tyres</t>
  </si>
  <si>
    <t xml:space="preserve">URAN</t>
  </si>
  <si>
    <t xml:space="preserve">Uranium</t>
  </si>
  <si>
    <t xml:space="preserve">0110 Bulk, Hazardous</t>
  </si>
  <si>
    <t xml:space="preserve">VALU</t>
  </si>
  <si>
    <t xml:space="preserve">Valuables</t>
  </si>
  <si>
    <t xml:space="preserve">Vehicle Bodies</t>
  </si>
  <si>
    <t xml:space="preserve">Vehicles</t>
  </si>
  <si>
    <t xml:space="preserve">0420 Piece goods, oversized</t>
  </si>
  <si>
    <t xml:space="preserve">Vehicle Engines</t>
  </si>
  <si>
    <t xml:space="preserve">Vehicle Parts</t>
  </si>
  <si>
    <t xml:space="preserve">WATR</t>
  </si>
  <si>
    <t xml:space="preserve">Water</t>
  </si>
  <si>
    <t xml:space="preserve">Timber</t>
  </si>
  <si>
    <t xml:space="preserve">WHEA</t>
  </si>
  <si>
    <t xml:space="preserve">Wheat</t>
  </si>
  <si>
    <t xml:space="preserve">Wood</t>
  </si>
  <si>
    <t xml:space="preserve">WOOL</t>
  </si>
  <si>
    <t xml:space="preserve">Wool</t>
  </si>
  <si>
    <t xml:space="preserve">YETI</t>
  </si>
  <si>
    <t xml:space="preserve">YETI dudes</t>
  </si>
  <si>
    <t xml:space="preserve">0404 Express, oversized</t>
  </si>
  <si>
    <t xml:space="preserve">YETY</t>
  </si>
  <si>
    <t xml:space="preserve">Tired YETI dudes</t>
  </si>
  <si>
    <t xml:space="preserve">Zinc</t>
  </si>
  <si>
    <t xml:space="preserve">Cleaning Agents</t>
  </si>
  <si>
    <t xml:space="preserve">NH3_</t>
  </si>
  <si>
    <t xml:space="preserve">Ammonia</t>
  </si>
  <si>
    <t xml:space="preserve">O2__</t>
  </si>
  <si>
    <t xml:space="preserve">Oxygen</t>
  </si>
  <si>
    <t xml:space="preserve">Paints and coatings</t>
  </si>
  <si>
    <t xml:space="preserve">Rebar</t>
  </si>
  <si>
    <t xml:space="preserve">Steel Sheet</t>
  </si>
  <si>
    <t xml:space="preserve">Steel Wire Rod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</si>
</sst>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"/>
    <numFmt numFmtId="166" formatCode="\£#,##0"/>
  </numFmts>
  <fonts count="6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theme="1"/>
      <name val="Calibri"/>
      <family val="2"/>
      <charset val="1"/>
    </font>
    <font>
      <sz val="11"/>
      <color rgb="FF006100"/>
      <name val="Calibri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rgb="FFC6EFCE"/>
        <bgColor rgb="FFE2F0D9"/>
      </patternFill>
    </fill>
    <fill>
      <patternFill patternType="solid">
        <fgColor theme="8" tint="0.7999"/>
        <bgColor rgb="FFE2F0D9"/>
      </patternFill>
    </fill>
    <fill>
      <patternFill patternType="solid">
        <fgColor theme="9" tint="0.7999"/>
        <bgColor rgb="FFDEEBF7"/>
      </patternFill>
    </fill>
    <fill>
      <patternFill patternType="solid">
        <fgColor theme="3" tint="0.7999"/>
        <bgColor rgb="FFDBDBDB"/>
      </patternFill>
    </fill>
    <fill>
      <patternFill patternType="solid">
        <fgColor theme="7" tint="0.7999"/>
        <bgColor rgb="FFE2F0D9"/>
      </patternFill>
    </fill>
    <fill>
      <patternFill patternType="solid">
        <fgColor theme="0" tint="-0.15"/>
        <bgColor rgb="FFDBDBDB"/>
      </patternFill>
    </fill>
    <fill>
      <patternFill patternType="solid">
        <fgColor theme="6" tint="0.5999"/>
        <bgColor rgb="FFD9D9D9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5" fillId="2" borderId="0" applyFont="true" applyBorder="false" applyAlignment="true" applyProtection="false">
      <alignment horizontal="general" vertical="bottom" textRotation="0" wrapText="false" indent="0" shrinkToFit="false"/>
    </xf>
  </cellStyleXfs>
  <cellXfs count="1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4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5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6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Excel Built-in Good" xfId="20"/>
  </cellStyles>
  <dxfs count="11"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DEEBF7"/>
          <bgColor rgb="FF000000"/>
        </patternFill>
      </fill>
    </dxf>
    <dxf>
      <fill>
        <patternFill patternType="solid">
          <fgColor rgb="FFE2F0D9"/>
          <bgColor rgb="FF000000"/>
        </patternFill>
      </fill>
    </dxf>
    <dxf>
      <fill>
        <patternFill patternType="solid">
          <fgColor rgb="FFD6DCE5"/>
          <bgColor rgb="FF000000"/>
        </patternFill>
      </fill>
    </dxf>
    <dxf>
      <fill>
        <patternFill patternType="solid">
          <fgColor rgb="FFFFF2CC"/>
          <bgColor rgb="FF000000"/>
        </patternFill>
      </fill>
    </dxf>
    <dxf>
      <fill>
        <patternFill patternType="solid">
          <fgColor rgb="FFDBDBDB"/>
          <bgColor rgb="FF000000"/>
        </patternFill>
      </fill>
    </dxf>
    <dxf>
      <fill>
        <patternFill patternType="solid">
          <fgColor rgb="FFD9D9D9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/>
      </fill>
    </dxf>
    <dxf>
      <font>
        <color rgb="FF9C0006"/>
      </font>
      <fill>
        <patternFill/>
      </fill>
    </dxf>
  </dxfs>
  <colors>
    <indexedColors>
      <rgbColor rgb="FF000000"/>
      <rgbColor rgb="FFDBDBDB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D6DC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2F0D9"/>
      <rgbColor rgb="FFC6EFCE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A5A5A5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externalLink" Target="externalLinks/externalLink1.xml"/><Relationship Id="rId12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Tracking%20Table.xlsm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Table"/>
      <sheetName val="Gameplay Planning"/>
      <sheetName val="Eras"/>
      <sheetName val="Constants"/>
      <sheetName val="Voxel Sizes"/>
      <sheetName val="Long unit configs"/>
      <sheetName val="Cargo table"/>
    </sheetNames>
    <sheetDataSet>
      <sheetData sheetId="0">
        <row r="2">
          <cell r="B2" t="str">
            <v>collett_tender</v>
          </cell>
          <cell r="C2">
            <v>-1</v>
          </cell>
        </row>
        <row r="3">
          <cell r="B3" t="str">
            <v>billy_tender</v>
          </cell>
          <cell r="C3">
            <v>-1</v>
          </cell>
        </row>
        <row r="4">
          <cell r="B4" t="str">
            <v>stockton_tender</v>
          </cell>
          <cell r="C4">
            <v>-1</v>
          </cell>
        </row>
        <row r="5">
          <cell r="B5" t="str">
            <v>rocket_tender</v>
          </cell>
          <cell r="C5">
            <v>-1</v>
          </cell>
        </row>
        <row r="6">
          <cell r="B6" t="str">
            <v>stephenson_tender</v>
          </cell>
          <cell r="C6">
            <v>-1</v>
          </cell>
        </row>
        <row r="7">
          <cell r="B7" t="str">
            <v>crampton_tender</v>
          </cell>
          <cell r="C7">
            <v>-1</v>
          </cell>
        </row>
        <row r="8">
          <cell r="B8" t="str">
            <v>bury_tender</v>
          </cell>
          <cell r="C8">
            <v>-1</v>
          </cell>
        </row>
        <row r="9">
          <cell r="B9" t="str">
            <v>ner_tender</v>
          </cell>
          <cell r="C9">
            <v>-1</v>
          </cell>
        </row>
        <row r="10">
          <cell r="B10" t="str">
            <v>ner_tender_low</v>
          </cell>
          <cell r="C10">
            <v>-1</v>
          </cell>
        </row>
        <row r="11">
          <cell r="B11" t="str">
            <v>holmes_tender</v>
          </cell>
          <cell r="C11">
            <v>-1</v>
          </cell>
        </row>
        <row r="12">
          <cell r="B12" t="str">
            <v>midland_tender</v>
          </cell>
          <cell r="C12">
            <v>-1</v>
          </cell>
        </row>
        <row r="13">
          <cell r="B13" t="str">
            <v>gwr_tender</v>
          </cell>
          <cell r="C13">
            <v>-1</v>
          </cell>
        </row>
        <row r="14">
          <cell r="B14" t="str">
            <v>lickey_tender</v>
          </cell>
          <cell r="C14">
            <v>-1</v>
          </cell>
        </row>
        <row r="15">
          <cell r="B15" t="str">
            <v>gresley_tender</v>
          </cell>
          <cell r="C15">
            <v>-1</v>
          </cell>
        </row>
        <row r="16">
          <cell r="B16" t="str">
            <v>lms_tender</v>
          </cell>
          <cell r="C16">
            <v>-1</v>
          </cell>
        </row>
        <row r="17">
          <cell r="B17" t="str">
            <v>sr_tender</v>
          </cell>
          <cell r="C17">
            <v>-1</v>
          </cell>
        </row>
        <row r="18">
          <cell r="B18" t="str">
            <v>stanier_tender</v>
          </cell>
          <cell r="C18">
            <v>-1</v>
          </cell>
        </row>
        <row r="19">
          <cell r="B19" t="str">
            <v>stanier_tender_black</v>
          </cell>
          <cell r="C19">
            <v>-1</v>
          </cell>
        </row>
        <row r="20">
          <cell r="B20" t="str">
            <v>four_axle_tender</v>
          </cell>
          <cell r="C20">
            <v>-1</v>
          </cell>
        </row>
        <row r="21">
          <cell r="B21" t="str">
            <v>coronation_tender</v>
          </cell>
          <cell r="C21">
            <v>-1</v>
          </cell>
        </row>
        <row r="22">
          <cell r="B22" t="str">
            <v>merchant_navy_tender</v>
          </cell>
          <cell r="C22">
            <v>-1</v>
          </cell>
        </row>
        <row r="23">
          <cell r="B23" t="str">
            <v>q1_tender</v>
          </cell>
          <cell r="C23">
            <v>-1</v>
          </cell>
        </row>
        <row r="24">
          <cell r="B24" t="str">
            <v>austerity_tender</v>
          </cell>
          <cell r="C24">
            <v>-1</v>
          </cell>
        </row>
        <row r="25">
          <cell r="B25" t="str">
            <v>ivatt_tender</v>
          </cell>
          <cell r="C25">
            <v>-1</v>
          </cell>
        </row>
        <row r="26">
          <cell r="B26" t="str">
            <v>ee_gt3_tender</v>
          </cell>
          <cell r="C26">
            <v>-1</v>
          </cell>
        </row>
        <row r="27">
          <cell r="B27" t="str">
            <v>early_carriage</v>
          </cell>
          <cell r="C27">
            <v>4</v>
          </cell>
        </row>
        <row r="28">
          <cell r="B28" t="str">
            <v>four_wheel_carriage</v>
          </cell>
          <cell r="C28">
            <v>6</v>
          </cell>
        </row>
        <row r="29">
          <cell r="B29" t="str">
            <v>six_wheel_carriage</v>
          </cell>
          <cell r="C29">
            <v>8</v>
          </cell>
        </row>
        <row r="30">
          <cell r="B30" t="str">
            <v>padded_cell</v>
          </cell>
          <cell r="C30">
            <v>9</v>
          </cell>
        </row>
        <row r="31">
          <cell r="B31" t="str">
            <v>clerestory_carriage</v>
          </cell>
          <cell r="C31">
            <v>10</v>
          </cell>
        </row>
        <row r="32">
          <cell r="B32" t="str">
            <v>passenger_coach_lnwr</v>
          </cell>
          <cell r="C32">
            <v>12</v>
          </cell>
        </row>
        <row r="33">
          <cell r="B33" t="str">
            <v>passenger_coach_pullman</v>
          </cell>
          <cell r="C33">
            <v>14</v>
          </cell>
        </row>
        <row r="34">
          <cell r="B34" t="str">
            <v>passenger_coach_streamlined</v>
          </cell>
          <cell r="C34">
            <v>15</v>
          </cell>
        </row>
        <row r="35">
          <cell r="B35" t="str">
            <v>passenger_coach_mk1</v>
          </cell>
          <cell r="C35">
            <v>753</v>
          </cell>
        </row>
        <row r="36">
          <cell r="B36" t="str">
            <v>passenger_coach_mk1_fo</v>
          </cell>
          <cell r="C36">
            <v>754</v>
          </cell>
        </row>
        <row r="37">
          <cell r="B37" t="str">
            <v>passenger_coach_mk1_sk</v>
          </cell>
          <cell r="C37">
            <v>755</v>
          </cell>
        </row>
        <row r="38">
          <cell r="B38" t="str">
            <v>passenger_coach_mk1_fk</v>
          </cell>
          <cell r="C38">
            <v>756</v>
          </cell>
        </row>
        <row r="39">
          <cell r="B39" t="str">
            <v>passenger_coach_mk1_rmb</v>
          </cell>
          <cell r="C39">
            <v>757</v>
          </cell>
        </row>
        <row r="40">
          <cell r="B40" t="str">
            <v>passenger_coach_mk1_rmb_alt</v>
          </cell>
          <cell r="C40">
            <v>758</v>
          </cell>
        </row>
        <row r="41">
          <cell r="B41" t="str">
            <v>passenger_coach_mk1_legacy</v>
          </cell>
          <cell r="C41">
            <v>16</v>
          </cell>
        </row>
        <row r="42">
          <cell r="B42" t="str">
            <v>passenger_coach_mk2</v>
          </cell>
          <cell r="C42">
            <v>759</v>
          </cell>
        </row>
        <row r="43">
          <cell r="B43" t="str">
            <v>passenger_coach_mk2_fo</v>
          </cell>
          <cell r="C43">
            <v>760</v>
          </cell>
        </row>
        <row r="44">
          <cell r="B44" t="str">
            <v>passenger_coach_mk2_fk</v>
          </cell>
          <cell r="C44">
            <v>761</v>
          </cell>
        </row>
        <row r="45">
          <cell r="B45" t="str">
            <v>passenger_coach_mk2_legacy</v>
          </cell>
          <cell r="C45">
            <v>17</v>
          </cell>
        </row>
        <row r="46">
          <cell r="B46" t="str">
            <v>passenger_coach_mk3</v>
          </cell>
          <cell r="C46">
            <v>18</v>
          </cell>
        </row>
        <row r="47">
          <cell r="B47" t="str">
            <v>passenger_coach_mk3_fo</v>
          </cell>
          <cell r="C47">
            <v>762</v>
          </cell>
        </row>
        <row r="48">
          <cell r="B48" t="str">
            <v>passenger_coach_mk3_rub</v>
          </cell>
          <cell r="C48">
            <v>763</v>
          </cell>
        </row>
        <row r="49">
          <cell r="B49" t="str">
            <v>passenger_coach_mk3_rfm</v>
          </cell>
          <cell r="C49">
            <v>764</v>
          </cell>
        </row>
        <row r="50">
          <cell r="B50" t="str">
            <v>passenger_coach_mk3_guv</v>
          </cell>
          <cell r="C50">
            <v>765</v>
          </cell>
        </row>
        <row r="51">
          <cell r="B51" t="str">
            <v>passenger_coach_mk4</v>
          </cell>
          <cell r="C51">
            <v>19</v>
          </cell>
        </row>
        <row r="52">
          <cell r="B52" t="str">
            <v>passenger_coach_mk4_fo</v>
          </cell>
          <cell r="C52">
            <v>766</v>
          </cell>
        </row>
        <row r="53">
          <cell r="B53" t="str">
            <v>passenger_coach_mk4_rfb</v>
          </cell>
          <cell r="C53">
            <v>767</v>
          </cell>
        </row>
        <row r="54">
          <cell r="B54" t="str">
            <v>passenger_coach_mk4_rsb</v>
          </cell>
          <cell r="C54">
            <v>768</v>
          </cell>
        </row>
        <row r="55">
          <cell r="B55" t="str">
            <v>passenger_coach_mk4_guv</v>
          </cell>
          <cell r="C55">
            <v>769</v>
          </cell>
        </row>
        <row r="56">
          <cell r="B56" t="str">
            <v>early_carriage_brake</v>
          </cell>
          <cell r="C56">
            <v>134</v>
          </cell>
        </row>
        <row r="57">
          <cell r="B57" t="str">
            <v>four_wheel_carriage_mail</v>
          </cell>
          <cell r="C57">
            <v>136</v>
          </cell>
        </row>
        <row r="58">
          <cell r="B58" t="str">
            <v>six_wheel_carriage_mail</v>
          </cell>
          <cell r="C58">
            <v>138</v>
          </cell>
        </row>
        <row r="59">
          <cell r="B59" t="str">
            <v>clerestory_carriage_mail</v>
          </cell>
          <cell r="C59">
            <v>140</v>
          </cell>
        </row>
        <row r="60">
          <cell r="B60" t="str">
            <v>mail_coach_lnwr</v>
          </cell>
          <cell r="C60">
            <v>141</v>
          </cell>
        </row>
        <row r="61">
          <cell r="B61" t="str">
            <v>mail_coach_mk1</v>
          </cell>
          <cell r="C61">
            <v>142</v>
          </cell>
        </row>
        <row r="62">
          <cell r="B62" t="str">
            <v>mail_coach_mk2</v>
          </cell>
          <cell r="C62">
            <v>143</v>
          </cell>
        </row>
        <row r="63">
          <cell r="B63" t="str">
            <v>tpo_carriage</v>
          </cell>
          <cell r="C63">
            <v>144</v>
          </cell>
        </row>
        <row r="64">
          <cell r="B64" t="str">
            <v>open_wagon</v>
          </cell>
          <cell r="C64">
            <v>20</v>
          </cell>
        </row>
        <row r="65">
          <cell r="B65" t="str">
            <v>open_wagon_3pl</v>
          </cell>
          <cell r="C65">
            <v>22</v>
          </cell>
        </row>
        <row r="66">
          <cell r="B66" t="str">
            <v>open_wagon_5pl</v>
          </cell>
          <cell r="C66">
            <v>23</v>
          </cell>
        </row>
        <row r="67">
          <cell r="B67" t="str">
            <v>steel_open_wagon</v>
          </cell>
          <cell r="C67">
            <v>24</v>
          </cell>
        </row>
        <row r="68">
          <cell r="B68" t="str">
            <v>lner_hopper</v>
          </cell>
          <cell r="C68">
            <v>25</v>
          </cell>
        </row>
        <row r="69">
          <cell r="B69" t="str">
            <v>ohv_open_wagon</v>
          </cell>
          <cell r="C69">
            <v>26</v>
          </cell>
        </row>
        <row r="70">
          <cell r="B70" t="str">
            <v>oaa_open_wagon</v>
          </cell>
          <cell r="C70">
            <v>28</v>
          </cell>
        </row>
        <row r="71">
          <cell r="B71" t="str">
            <v>mea_open_wagon</v>
          </cell>
          <cell r="C71">
            <v>30</v>
          </cell>
        </row>
        <row r="72">
          <cell r="B72" t="str">
            <v>mwa_open_wagon</v>
          </cell>
          <cell r="C72">
            <v>32</v>
          </cell>
        </row>
        <row r="73">
          <cell r="B73" t="str">
            <v>mgr_hopper</v>
          </cell>
          <cell r="C73">
            <v>40</v>
          </cell>
        </row>
        <row r="74">
          <cell r="B74" t="str">
            <v>hha_hopper</v>
          </cell>
          <cell r="C74">
            <v>41</v>
          </cell>
        </row>
        <row r="75">
          <cell r="B75" t="str">
            <v>conflat</v>
          </cell>
          <cell r="C75">
            <v>50</v>
          </cell>
        </row>
        <row r="76">
          <cell r="B76" t="str">
            <v>ffa_container_wagon</v>
          </cell>
          <cell r="C76">
            <v>52</v>
          </cell>
        </row>
        <row r="77">
          <cell r="B77" t="str">
            <v>fsa_container_wagon</v>
          </cell>
          <cell r="C77">
            <v>54</v>
          </cell>
        </row>
        <row r="78">
          <cell r="B78" t="str">
            <v>kta_container_wagon</v>
          </cell>
          <cell r="C78">
            <v>56</v>
          </cell>
        </row>
        <row r="79">
          <cell r="B79" t="str">
            <v>flat_wagon_early</v>
          </cell>
          <cell r="C79">
            <v>59</v>
          </cell>
        </row>
        <row r="80">
          <cell r="B80" t="str">
            <v>bolster_wagon</v>
          </cell>
          <cell r="C80">
            <v>60</v>
          </cell>
        </row>
        <row r="81">
          <cell r="B81" t="str">
            <v>beaver_wagon</v>
          </cell>
          <cell r="C81">
            <v>62</v>
          </cell>
        </row>
        <row r="82">
          <cell r="B82" t="str">
            <v>bogie_bolster</v>
          </cell>
          <cell r="C82">
            <v>64</v>
          </cell>
        </row>
        <row r="83">
          <cell r="B83" t="str">
            <v>double_bolster</v>
          </cell>
          <cell r="C83">
            <v>66</v>
          </cell>
        </row>
        <row r="84">
          <cell r="B84" t="str">
            <v>salmon_bolster</v>
          </cell>
          <cell r="C84">
            <v>68</v>
          </cell>
        </row>
        <row r="85">
          <cell r="B85" t="str">
            <v>br_lowmac</v>
          </cell>
          <cell r="C85">
            <v>69</v>
          </cell>
        </row>
        <row r="86">
          <cell r="B86" t="str">
            <v>bda_bolster</v>
          </cell>
          <cell r="C86">
            <v>70</v>
          </cell>
        </row>
        <row r="87">
          <cell r="B87" t="str">
            <v>osprey_bolster</v>
          </cell>
          <cell r="C87">
            <v>72</v>
          </cell>
        </row>
        <row r="88">
          <cell r="B88" t="str">
            <v>fea_bolster</v>
          </cell>
          <cell r="C88">
            <v>74</v>
          </cell>
        </row>
        <row r="89">
          <cell r="B89" t="str">
            <v>baa_steel_wagon</v>
          </cell>
          <cell r="C89">
            <v>80</v>
          </cell>
        </row>
        <row r="90">
          <cell r="B90" t="str">
            <v>bya_steel_wagon</v>
          </cell>
          <cell r="C90">
            <v>82</v>
          </cell>
        </row>
        <row r="91">
          <cell r="B91" t="str">
            <v>four_wheel_tanker</v>
          </cell>
          <cell r="C91">
            <v>93</v>
          </cell>
        </row>
        <row r="92">
          <cell r="B92" t="str">
            <v>cylinder_tank</v>
          </cell>
          <cell r="C92">
            <v>94</v>
          </cell>
        </row>
        <row r="93">
          <cell r="B93" t="str">
            <v>six_wheel_tanker</v>
          </cell>
          <cell r="C93">
            <v>96</v>
          </cell>
        </row>
        <row r="94">
          <cell r="B94" t="str">
            <v>tta_tanker</v>
          </cell>
          <cell r="C94">
            <v>97</v>
          </cell>
        </row>
        <row r="95">
          <cell r="B95" t="str">
            <v>tea_tanker</v>
          </cell>
          <cell r="C95">
            <v>99</v>
          </cell>
        </row>
        <row r="96">
          <cell r="B96" t="str">
            <v>livestock_van</v>
          </cell>
          <cell r="C96">
            <v>100</v>
          </cell>
        </row>
        <row r="97">
          <cell r="B97" t="str">
            <v>livestock_van_30ft</v>
          </cell>
          <cell r="C97">
            <v>101</v>
          </cell>
        </row>
        <row r="98">
          <cell r="B98" t="str">
            <v>livestock_van_scv</v>
          </cell>
          <cell r="C98">
            <v>102</v>
          </cell>
        </row>
        <row r="99">
          <cell r="B99" t="str">
            <v>livestock_van_35ft</v>
          </cell>
          <cell r="C99">
            <v>103</v>
          </cell>
        </row>
        <row r="100">
          <cell r="B100" t="str">
            <v>livestock_van_40ft</v>
          </cell>
          <cell r="C100">
            <v>104</v>
          </cell>
        </row>
        <row r="101">
          <cell r="B101" t="str">
            <v>covered_wagon</v>
          </cell>
          <cell r="C101">
            <v>110</v>
          </cell>
        </row>
        <row r="102">
          <cell r="B102" t="str">
            <v>wooden_van</v>
          </cell>
          <cell r="C102">
            <v>112</v>
          </cell>
        </row>
        <row r="103">
          <cell r="B103" t="str">
            <v>iron_van</v>
          </cell>
          <cell r="C103">
            <v>114</v>
          </cell>
        </row>
        <row r="104">
          <cell r="B104" t="str">
            <v>fitted_van</v>
          </cell>
          <cell r="C104">
            <v>116</v>
          </cell>
        </row>
        <row r="105">
          <cell r="B105" t="str">
            <v>vanwide_van</v>
          </cell>
          <cell r="C105">
            <v>118</v>
          </cell>
        </row>
        <row r="106">
          <cell r="B106" t="str">
            <v>vda_van</v>
          </cell>
          <cell r="C106">
            <v>121</v>
          </cell>
        </row>
        <row r="107">
          <cell r="B107" t="str">
            <v>vea_van</v>
          </cell>
          <cell r="C107">
            <v>123</v>
          </cell>
        </row>
        <row r="108">
          <cell r="B108" t="str">
            <v>vga_van</v>
          </cell>
          <cell r="C108">
            <v>125</v>
          </cell>
        </row>
        <row r="109">
          <cell r="B109" t="str">
            <v>siphon_van</v>
          </cell>
          <cell r="C109">
            <v>131</v>
          </cell>
        </row>
        <row r="110">
          <cell r="B110" t="str">
            <v>parcels_van</v>
          </cell>
          <cell r="C110">
            <v>133</v>
          </cell>
        </row>
        <row r="111">
          <cell r="B111" t="str">
            <v>brake_wagon_early</v>
          </cell>
          <cell r="C111">
            <v>600</v>
          </cell>
        </row>
        <row r="112">
          <cell r="B112" t="str">
            <v>brake_van_10t</v>
          </cell>
          <cell r="C112">
            <v>601</v>
          </cell>
        </row>
        <row r="113">
          <cell r="B113" t="str">
            <v>toad_20t_brake_van</v>
          </cell>
          <cell r="C113">
            <v>602</v>
          </cell>
        </row>
        <row r="114">
          <cell r="B114" t="str">
            <v>standard_20t_brake_van</v>
          </cell>
          <cell r="C114">
            <v>604</v>
          </cell>
        </row>
        <row r="115">
          <cell r="B115" t="str">
            <v>horse</v>
          </cell>
          <cell r="C115">
            <v>149</v>
          </cell>
        </row>
        <row r="116">
          <cell r="B116" t="str">
            <v>horses</v>
          </cell>
          <cell r="C116">
            <v>150</v>
          </cell>
        </row>
        <row r="117">
          <cell r="B117" t="str">
            <v>puffing_billy</v>
          </cell>
          <cell r="C117">
            <v>151</v>
          </cell>
        </row>
        <row r="118">
          <cell r="B118" t="str">
            <v>locomotion_no_1</v>
          </cell>
          <cell r="C118">
            <v>751</v>
          </cell>
        </row>
        <row r="119">
          <cell r="B119" t="str">
            <v>royal_george</v>
          </cell>
          <cell r="C119">
            <v>752</v>
          </cell>
        </row>
        <row r="120">
          <cell r="B120" t="str">
            <v>cycloped</v>
          </cell>
          <cell r="C120">
            <v>152</v>
          </cell>
        </row>
        <row r="121">
          <cell r="B121" t="str">
            <v>stephenson_rocket</v>
          </cell>
          <cell r="C121">
            <v>153</v>
          </cell>
        </row>
        <row r="122">
          <cell r="B122" t="str">
            <v>stephenson_planet</v>
          </cell>
          <cell r="C122">
            <v>154</v>
          </cell>
        </row>
        <row r="123">
          <cell r="B123" t="str">
            <v>stephenson_patentee</v>
          </cell>
          <cell r="C123">
            <v>155</v>
          </cell>
        </row>
        <row r="124">
          <cell r="B124" t="str">
            <v>lmr_lion</v>
          </cell>
          <cell r="C124">
            <v>156</v>
          </cell>
        </row>
        <row r="125">
          <cell r="B125" t="str">
            <v>bury_coppernob</v>
          </cell>
          <cell r="C125">
            <v>160</v>
          </cell>
        </row>
        <row r="126">
          <cell r="B126" t="str">
            <v>crampton_locomotive</v>
          </cell>
          <cell r="C126">
            <v>164</v>
          </cell>
        </row>
        <row r="127">
          <cell r="B127" t="str">
            <v>ner_1001_class</v>
          </cell>
          <cell r="C127">
            <v>166</v>
          </cell>
        </row>
        <row r="128">
          <cell r="B128" t="str">
            <v>lnwr_dx_goods</v>
          </cell>
          <cell r="C128">
            <v>167</v>
          </cell>
        </row>
        <row r="129">
          <cell r="B129" t="str">
            <v>lnwr_lady</v>
          </cell>
          <cell r="C129">
            <v>168</v>
          </cell>
        </row>
        <row r="130">
          <cell r="B130" t="str">
            <v>gwr_517_class</v>
          </cell>
          <cell r="C130">
            <v>170</v>
          </cell>
        </row>
        <row r="131">
          <cell r="B131" t="str">
            <v>midland_700_class</v>
          </cell>
          <cell r="C131">
            <v>171</v>
          </cell>
        </row>
        <row r="132">
          <cell r="B132" t="str">
            <v>stroudley_a1</v>
          </cell>
          <cell r="C132">
            <v>172</v>
          </cell>
        </row>
        <row r="133">
          <cell r="B133" t="str">
            <v>drummond_class_c</v>
          </cell>
          <cell r="C133">
            <v>173</v>
          </cell>
        </row>
        <row r="134">
          <cell r="B134" t="str">
            <v>ger_class_y14</v>
          </cell>
          <cell r="C134">
            <v>174</v>
          </cell>
        </row>
        <row r="135">
          <cell r="B135" t="str">
            <v>gwr_dean_goods</v>
          </cell>
          <cell r="C135">
            <v>176</v>
          </cell>
        </row>
        <row r="136">
          <cell r="B136" t="str">
            <v>nbr_class_c</v>
          </cell>
          <cell r="C136">
            <v>178</v>
          </cell>
        </row>
        <row r="137">
          <cell r="B137" t="str">
            <v>midland_115_class</v>
          </cell>
          <cell r="C137">
            <v>182</v>
          </cell>
        </row>
        <row r="138">
          <cell r="B138" t="str">
            <v>drummond_m7</v>
          </cell>
          <cell r="C138">
            <v>184</v>
          </cell>
        </row>
        <row r="139">
          <cell r="B139" t="str">
            <v>midland_2441_class</v>
          </cell>
          <cell r="C139">
            <v>188</v>
          </cell>
        </row>
        <row r="140">
          <cell r="B140" t="str">
            <v>ger_f48_class</v>
          </cell>
          <cell r="C140">
            <v>190</v>
          </cell>
        </row>
        <row r="141">
          <cell r="B141" t="str">
            <v>peckett_st</v>
          </cell>
          <cell r="C141">
            <v>194</v>
          </cell>
        </row>
        <row r="142">
          <cell r="B142" t="str">
            <v>midland_1000_class</v>
          </cell>
          <cell r="C142">
            <v>196</v>
          </cell>
        </row>
        <row r="143">
          <cell r="B143" t="str">
            <v>lner_es1</v>
          </cell>
          <cell r="C143">
            <v>198</v>
          </cell>
        </row>
        <row r="144">
          <cell r="B144" t="str">
            <v>secr_h_class</v>
          </cell>
          <cell r="C144">
            <v>202</v>
          </cell>
        </row>
        <row r="145">
          <cell r="B145" t="str">
            <v>gwr_4400_class</v>
          </cell>
          <cell r="C145">
            <v>204</v>
          </cell>
        </row>
        <row r="146">
          <cell r="B146" t="str">
            <v>gwr_star_class</v>
          </cell>
          <cell r="C146">
            <v>205</v>
          </cell>
        </row>
        <row r="147">
          <cell r="B147" t="str">
            <v>gcr_class_9n</v>
          </cell>
          <cell r="C147">
            <v>206</v>
          </cell>
        </row>
        <row r="148">
          <cell r="B148" t="str">
            <v>robinson_8k</v>
          </cell>
          <cell r="C148">
            <v>208</v>
          </cell>
        </row>
        <row r="149">
          <cell r="B149" t="str">
            <v>lickey_banker</v>
          </cell>
          <cell r="C149">
            <v>209</v>
          </cell>
        </row>
        <row r="150">
          <cell r="B150" t="str">
            <v>gresley_k2</v>
          </cell>
          <cell r="C150">
            <v>210</v>
          </cell>
        </row>
        <row r="151">
          <cell r="B151" t="str">
            <v>ger_d81_class</v>
          </cell>
          <cell r="C151">
            <v>211</v>
          </cell>
        </row>
        <row r="152">
          <cell r="B152" t="str">
            <v>lner_raven_ef1</v>
          </cell>
          <cell r="C152">
            <v>212</v>
          </cell>
        </row>
        <row r="153">
          <cell r="B153" t="str">
            <v>fowler_4f</v>
          </cell>
          <cell r="C153">
            <v>214</v>
          </cell>
        </row>
        <row r="154">
          <cell r="B154" t="str">
            <v>midland_1528_class</v>
          </cell>
          <cell r="C154">
            <v>215</v>
          </cell>
        </row>
        <row r="155">
          <cell r="B155" t="str">
            <v>gwr_castle_class</v>
          </cell>
          <cell r="C155">
            <v>216</v>
          </cell>
        </row>
        <row r="156">
          <cell r="B156" t="str">
            <v>lnwr_g2_class</v>
          </cell>
          <cell r="C156">
            <v>217</v>
          </cell>
        </row>
        <row r="157">
          <cell r="B157" t="str">
            <v>fowler_3f_jinty</v>
          </cell>
          <cell r="C157">
            <v>218</v>
          </cell>
        </row>
        <row r="158">
          <cell r="B158" t="str">
            <v>caledonian_72_class</v>
          </cell>
          <cell r="C158">
            <v>219</v>
          </cell>
        </row>
        <row r="159">
          <cell r="B159" t="str">
            <v>gwr_5600_class</v>
          </cell>
          <cell r="C159">
            <v>220</v>
          </cell>
        </row>
        <row r="160">
          <cell r="B160" t="str">
            <v>lnwr_380_class</v>
          </cell>
          <cell r="C160">
            <v>221</v>
          </cell>
        </row>
        <row r="161">
          <cell r="B161" t="str">
            <v>hughes_crab</v>
          </cell>
          <cell r="C161">
            <v>222</v>
          </cell>
        </row>
        <row r="162">
          <cell r="B162" t="str">
            <v>gresley_d49</v>
          </cell>
          <cell r="C162">
            <v>224</v>
          </cell>
        </row>
        <row r="163">
          <cell r="B163" t="str">
            <v>gwr_king_class</v>
          </cell>
          <cell r="C163">
            <v>226</v>
          </cell>
        </row>
        <row r="164">
          <cell r="B164" t="str">
            <v>fowler_264t</v>
          </cell>
          <cell r="C164">
            <v>228</v>
          </cell>
        </row>
        <row r="165">
          <cell r="B165" t="str">
            <v>gwr_hall_class</v>
          </cell>
          <cell r="C165">
            <v>230</v>
          </cell>
        </row>
        <row r="166">
          <cell r="B166" t="str">
            <v>gresley_a3</v>
          </cell>
          <cell r="C166">
            <v>232</v>
          </cell>
        </row>
        <row r="167">
          <cell r="B167" t="str">
            <v>lms_patriot</v>
          </cell>
          <cell r="C167">
            <v>233</v>
          </cell>
        </row>
        <row r="168">
          <cell r="B168" t="str">
            <v>gwr_5700_class</v>
          </cell>
          <cell r="C168">
            <v>234</v>
          </cell>
        </row>
        <row r="169">
          <cell r="B169" t="str">
            <v>sr_schools_class</v>
          </cell>
          <cell r="C169">
            <v>235</v>
          </cell>
        </row>
        <row r="170">
          <cell r="B170" t="str">
            <v>gwr_1400_class</v>
          </cell>
          <cell r="C170">
            <v>237</v>
          </cell>
        </row>
        <row r="171">
          <cell r="B171" t="str">
            <v>stanier_class_5</v>
          </cell>
          <cell r="C171">
            <v>238</v>
          </cell>
        </row>
        <row r="172">
          <cell r="B172" t="str">
            <v>stanier_jubilee</v>
          </cell>
          <cell r="C172">
            <v>240</v>
          </cell>
        </row>
        <row r="173">
          <cell r="B173" t="str">
            <v>stanier_8f</v>
          </cell>
          <cell r="C173">
            <v>242</v>
          </cell>
        </row>
        <row r="174">
          <cell r="B174" t="str">
            <v>gresley_a4</v>
          </cell>
          <cell r="C174">
            <v>244</v>
          </cell>
        </row>
        <row r="175">
          <cell r="B175" t="str">
            <v>gresley_v2</v>
          </cell>
          <cell r="C175">
            <v>246</v>
          </cell>
        </row>
        <row r="176">
          <cell r="B176" t="str">
            <v>gwr_grange_class</v>
          </cell>
          <cell r="C176">
            <v>248</v>
          </cell>
        </row>
        <row r="177">
          <cell r="B177" t="str">
            <v>stanier_coronation</v>
          </cell>
          <cell r="C177">
            <v>250</v>
          </cell>
        </row>
        <row r="178">
          <cell r="B178" t="str">
            <v>sr_merchant_navy</v>
          </cell>
          <cell r="C178">
            <v>252</v>
          </cell>
        </row>
        <row r="179">
          <cell r="B179" t="str">
            <v>sr_cc_electric</v>
          </cell>
          <cell r="C179">
            <v>256</v>
          </cell>
        </row>
        <row r="180">
          <cell r="B180" t="str">
            <v>bulleid_q1</v>
          </cell>
          <cell r="C180">
            <v>258</v>
          </cell>
        </row>
        <row r="181">
          <cell r="B181" t="str">
            <v>hunslet_austerity</v>
          </cell>
          <cell r="C181">
            <v>260</v>
          </cell>
        </row>
        <row r="182">
          <cell r="B182" t="str">
            <v>wd_austerity</v>
          </cell>
          <cell r="C182">
            <v>262</v>
          </cell>
        </row>
        <row r="183">
          <cell r="B183" t="str">
            <v>modified_hall_class</v>
          </cell>
          <cell r="C183">
            <v>264</v>
          </cell>
        </row>
        <row r="184">
          <cell r="B184" t="str">
            <v>gwr_county_class</v>
          </cell>
          <cell r="C184">
            <v>266</v>
          </cell>
        </row>
        <row r="185">
          <cell r="B185" t="str">
            <v>sr_west_country</v>
          </cell>
          <cell r="C185">
            <v>268</v>
          </cell>
        </row>
        <row r="186">
          <cell r="B186" t="str">
            <v>bulleid_leader</v>
          </cell>
          <cell r="C186">
            <v>270</v>
          </cell>
        </row>
        <row r="187">
          <cell r="B187" t="str">
            <v>ivatt_class_2</v>
          </cell>
          <cell r="C187">
            <v>272</v>
          </cell>
        </row>
        <row r="188">
          <cell r="B188" t="str">
            <v>ee_10000</v>
          </cell>
          <cell r="C188">
            <v>274</v>
          </cell>
        </row>
        <row r="189">
          <cell r="B189" t="str">
            <v>peppercorn_a1</v>
          </cell>
          <cell r="C189">
            <v>276</v>
          </cell>
        </row>
        <row r="190">
          <cell r="B190" t="str">
            <v>br_class_76</v>
          </cell>
          <cell r="C190">
            <v>278</v>
          </cell>
        </row>
        <row r="191">
          <cell r="B191" t="str">
            <v>br_clan_class</v>
          </cell>
          <cell r="C191">
            <v>280</v>
          </cell>
        </row>
        <row r="192">
          <cell r="B192" t="str">
            <v>br_britannia_class</v>
          </cell>
          <cell r="C192">
            <v>282</v>
          </cell>
        </row>
        <row r="193">
          <cell r="B193" t="str">
            <v>br_class_08</v>
          </cell>
          <cell r="C193">
            <v>284</v>
          </cell>
        </row>
        <row r="194">
          <cell r="B194" t="str">
            <v>br_class_77</v>
          </cell>
          <cell r="C194">
            <v>286</v>
          </cell>
        </row>
        <row r="195">
          <cell r="B195" t="str">
            <v>br_class_9f</v>
          </cell>
          <cell r="C195">
            <v>288</v>
          </cell>
        </row>
        <row r="196">
          <cell r="B196" t="str">
            <v>deltic</v>
          </cell>
          <cell r="C196">
            <v>290</v>
          </cell>
        </row>
        <row r="197">
          <cell r="B197" t="str">
            <v>brush_class_31</v>
          </cell>
          <cell r="C197">
            <v>294</v>
          </cell>
        </row>
        <row r="198">
          <cell r="B198" t="str">
            <v>ee_class_20</v>
          </cell>
          <cell r="C198">
            <v>296</v>
          </cell>
        </row>
        <row r="199">
          <cell r="B199" t="str">
            <v>ee_gt3</v>
          </cell>
          <cell r="C199">
            <v>298</v>
          </cell>
        </row>
        <row r="200">
          <cell r="B200" t="str">
            <v>br_class_42_warship</v>
          </cell>
          <cell r="C200">
            <v>300</v>
          </cell>
        </row>
        <row r="201">
          <cell r="B201" t="str">
            <v>ee_class_40</v>
          </cell>
          <cell r="C201">
            <v>302</v>
          </cell>
        </row>
        <row r="202">
          <cell r="B202" t="str">
            <v>br_class_28</v>
          </cell>
          <cell r="C202">
            <v>304</v>
          </cell>
        </row>
        <row r="203">
          <cell r="B203" t="str">
            <v>br_class_71</v>
          </cell>
          <cell r="C203">
            <v>306</v>
          </cell>
        </row>
        <row r="204">
          <cell r="B204" t="str">
            <v>brcw_class_26</v>
          </cell>
          <cell r="C204">
            <v>308</v>
          </cell>
        </row>
        <row r="205">
          <cell r="B205" t="str">
            <v>baby_deltic</v>
          </cell>
          <cell r="C205">
            <v>310</v>
          </cell>
        </row>
        <row r="206">
          <cell r="B206" t="str">
            <v>aei_class_81</v>
          </cell>
          <cell r="C206">
            <v>312</v>
          </cell>
        </row>
        <row r="207">
          <cell r="B207" t="str">
            <v>ee_class_37</v>
          </cell>
          <cell r="C207">
            <v>314</v>
          </cell>
        </row>
        <row r="208">
          <cell r="B208" t="str">
            <v>sulzer_class_45</v>
          </cell>
          <cell r="C208">
            <v>316</v>
          </cell>
        </row>
        <row r="209">
          <cell r="B209" t="str">
            <v>brcw_class_33</v>
          </cell>
          <cell r="C209">
            <v>318</v>
          </cell>
        </row>
        <row r="210">
          <cell r="B210" t="str">
            <v>br_class_35_hymek</v>
          </cell>
          <cell r="C210">
            <v>320</v>
          </cell>
        </row>
        <row r="211">
          <cell r="B211" t="str">
            <v>br_class_52_western</v>
          </cell>
          <cell r="C211">
            <v>322</v>
          </cell>
        </row>
        <row r="212">
          <cell r="B212" t="str">
            <v>sulzer_class_25</v>
          </cell>
          <cell r="C212">
            <v>324</v>
          </cell>
        </row>
        <row r="213">
          <cell r="B213" t="str">
            <v>brush_class_47</v>
          </cell>
          <cell r="C213">
            <v>326</v>
          </cell>
        </row>
        <row r="214">
          <cell r="B214" t="str">
            <v>clayton_class_17</v>
          </cell>
          <cell r="C214">
            <v>328</v>
          </cell>
        </row>
        <row r="215">
          <cell r="B215" t="str">
            <v>br_class_14</v>
          </cell>
          <cell r="C215">
            <v>330</v>
          </cell>
        </row>
        <row r="216">
          <cell r="B216" t="str">
            <v>br_class_73</v>
          </cell>
          <cell r="C216">
            <v>332</v>
          </cell>
        </row>
        <row r="217">
          <cell r="B217" t="str">
            <v>br_class_86</v>
          </cell>
          <cell r="C217">
            <v>334</v>
          </cell>
        </row>
        <row r="218">
          <cell r="B218" t="str">
            <v>ee_class_50_hoover</v>
          </cell>
          <cell r="C218">
            <v>336</v>
          </cell>
        </row>
        <row r="219">
          <cell r="B219" t="str">
            <v>brel_class_87</v>
          </cell>
          <cell r="C219">
            <v>338</v>
          </cell>
        </row>
        <row r="220">
          <cell r="B220" t="str">
            <v>br_class_43</v>
          </cell>
          <cell r="C220">
            <v>340</v>
          </cell>
        </row>
        <row r="221">
          <cell r="B221" t="str">
            <v>brel_class_56</v>
          </cell>
          <cell r="C221">
            <v>342</v>
          </cell>
        </row>
        <row r="222">
          <cell r="B222" t="str">
            <v>brel_class_58</v>
          </cell>
          <cell r="C222">
            <v>344</v>
          </cell>
        </row>
        <row r="223">
          <cell r="B223" t="str">
            <v>emd_class_59</v>
          </cell>
          <cell r="C223">
            <v>346</v>
          </cell>
        </row>
        <row r="224">
          <cell r="B224" t="str">
            <v>br_class_89</v>
          </cell>
          <cell r="C224">
            <v>347</v>
          </cell>
        </row>
        <row r="225">
          <cell r="B225" t="str">
            <v>brel_class_90</v>
          </cell>
          <cell r="C225">
            <v>348</v>
          </cell>
        </row>
        <row r="226">
          <cell r="B226" t="str">
            <v>brel_class_91</v>
          </cell>
          <cell r="C226">
            <v>350</v>
          </cell>
        </row>
        <row r="227">
          <cell r="B227" t="str">
            <v>brel_class_91_dvt</v>
          </cell>
          <cell r="C227">
            <v>352</v>
          </cell>
        </row>
        <row r="228">
          <cell r="B228" t="str">
            <v>brush_class_60</v>
          </cell>
          <cell r="C228">
            <v>354</v>
          </cell>
        </row>
        <row r="229">
          <cell r="B229" t="str">
            <v>mak_class_21</v>
          </cell>
          <cell r="C229">
            <v>355</v>
          </cell>
        </row>
        <row r="230">
          <cell r="B230" t="str">
            <v>abb_class_92</v>
          </cell>
          <cell r="C230">
            <v>356</v>
          </cell>
        </row>
        <row r="231">
          <cell r="B231" t="str">
            <v>emd_class_66</v>
          </cell>
          <cell r="C231">
            <v>358</v>
          </cell>
        </row>
        <row r="232">
          <cell r="B232" t="str">
            <v>brush_class_57</v>
          </cell>
          <cell r="C232">
            <v>360</v>
          </cell>
        </row>
        <row r="233">
          <cell r="B233" t="str">
            <v>br_class_67</v>
          </cell>
          <cell r="C233">
            <v>362</v>
          </cell>
        </row>
        <row r="234">
          <cell r="B234" t="str">
            <v>ge_class_70</v>
          </cell>
          <cell r="C234">
            <v>364</v>
          </cell>
        </row>
        <row r="235">
          <cell r="B235" t="str">
            <v>stadler_class_68</v>
          </cell>
          <cell r="C235">
            <v>366</v>
          </cell>
        </row>
        <row r="236">
          <cell r="B236" t="str">
            <v>stadler_class_88</v>
          </cell>
          <cell r="C236">
            <v>368</v>
          </cell>
        </row>
        <row r="237">
          <cell r="B237" t="str">
            <v>progress_class_69</v>
          </cell>
          <cell r="C237">
            <v>770</v>
          </cell>
        </row>
        <row r="238">
          <cell r="B238" t="str">
            <v>gwr_railcar</v>
          </cell>
          <cell r="C238">
            <v>236</v>
          </cell>
        </row>
        <row r="239">
          <cell r="B239" t="str">
            <v>class_101</v>
          </cell>
          <cell r="C239">
            <v>292</v>
          </cell>
        </row>
        <row r="240">
          <cell r="B240" t="str">
            <v>ner_autocar</v>
          </cell>
          <cell r="C240">
            <v>420</v>
          </cell>
        </row>
        <row r="241">
          <cell r="B241" t="str">
            <v>lnwr_emu</v>
          </cell>
          <cell r="C241">
            <v>422</v>
          </cell>
        </row>
        <row r="242">
          <cell r="B242" t="str">
            <v>sr_5bel</v>
          </cell>
          <cell r="C242">
            <v>424</v>
          </cell>
        </row>
        <row r="243">
          <cell r="B243" t="str">
            <v>sr_4cor</v>
          </cell>
          <cell r="C243">
            <v>426</v>
          </cell>
        </row>
        <row r="244">
          <cell r="B244" t="str">
            <v>sr_2hal</v>
          </cell>
          <cell r="C244">
            <v>428</v>
          </cell>
        </row>
        <row r="245">
          <cell r="B245" t="str">
            <v>br_class_506</v>
          </cell>
          <cell r="C245">
            <v>430</v>
          </cell>
        </row>
        <row r="246">
          <cell r="B246" t="str">
            <v>br_2hap</v>
          </cell>
          <cell r="C246">
            <v>434</v>
          </cell>
        </row>
        <row r="247">
          <cell r="B247" t="str">
            <v>blue_pullman</v>
          </cell>
          <cell r="C247">
            <v>438</v>
          </cell>
        </row>
        <row r="248">
          <cell r="B248" t="str">
            <v>blue_pullman_4_tile</v>
          </cell>
          <cell r="C248">
            <v>439</v>
          </cell>
        </row>
        <row r="249">
          <cell r="B249" t="str">
            <v>class_121_bubble_car</v>
          </cell>
          <cell r="C249">
            <v>440</v>
          </cell>
        </row>
        <row r="250">
          <cell r="B250" t="str">
            <v>brel_class_421</v>
          </cell>
          <cell r="C250">
            <v>442</v>
          </cell>
        </row>
        <row r="251">
          <cell r="B251" t="str">
            <v>br_am10</v>
          </cell>
          <cell r="C251">
            <v>444</v>
          </cell>
        </row>
        <row r="252">
          <cell r="B252" t="str">
            <v>brel_class_313</v>
          </cell>
          <cell r="C252">
            <v>446</v>
          </cell>
        </row>
        <row r="253">
          <cell r="B253" t="str">
            <v>apt</v>
          </cell>
          <cell r="C253">
            <v>448</v>
          </cell>
        </row>
        <row r="254">
          <cell r="B254" t="str">
            <v>apt_6_tile</v>
          </cell>
          <cell r="C254">
            <v>449</v>
          </cell>
        </row>
        <row r="255">
          <cell r="B255" t="str">
            <v>apt_4_tile</v>
          </cell>
          <cell r="C255">
            <v>450</v>
          </cell>
        </row>
        <row r="256">
          <cell r="B256" t="str">
            <v>brel_class_315</v>
          </cell>
          <cell r="C256">
            <v>452</v>
          </cell>
        </row>
        <row r="257">
          <cell r="B257" t="str">
            <v>brel_class_455</v>
          </cell>
          <cell r="C257">
            <v>454</v>
          </cell>
        </row>
        <row r="258">
          <cell r="B258" t="str">
            <v>sprinter</v>
          </cell>
          <cell r="C258">
            <v>456</v>
          </cell>
        </row>
        <row r="259">
          <cell r="B259" t="str">
            <v>pacer</v>
          </cell>
          <cell r="C259">
            <v>458</v>
          </cell>
        </row>
        <row r="260">
          <cell r="B260" t="str">
            <v>brel_class_319</v>
          </cell>
          <cell r="C260">
            <v>460</v>
          </cell>
        </row>
        <row r="261">
          <cell r="B261" t="str">
            <v>brel_class_321</v>
          </cell>
          <cell r="C261">
            <v>461</v>
          </cell>
        </row>
        <row r="262">
          <cell r="B262" t="str">
            <v>super_sprinter</v>
          </cell>
          <cell r="C262">
            <v>462</v>
          </cell>
        </row>
        <row r="263">
          <cell r="B263" t="str">
            <v>wessex_electric</v>
          </cell>
          <cell r="C263">
            <v>464</v>
          </cell>
        </row>
        <row r="264">
          <cell r="B264" t="str">
            <v>wessex_electric_4_tile</v>
          </cell>
          <cell r="C264">
            <v>465</v>
          </cell>
        </row>
        <row r="265">
          <cell r="B265" t="str">
            <v>express_sprinter</v>
          </cell>
          <cell r="C265">
            <v>466</v>
          </cell>
        </row>
        <row r="266">
          <cell r="B266" t="str">
            <v>brel_class_456</v>
          </cell>
          <cell r="C266">
            <v>468</v>
          </cell>
        </row>
        <row r="267">
          <cell r="B267" t="str">
            <v>network_turbo</v>
          </cell>
          <cell r="C267">
            <v>470</v>
          </cell>
        </row>
        <row r="268">
          <cell r="B268" t="str">
            <v>brel_networker</v>
          </cell>
          <cell r="C268">
            <v>472</v>
          </cell>
        </row>
        <row r="269">
          <cell r="B269" t="str">
            <v>eurostar</v>
          </cell>
          <cell r="C269">
            <v>474</v>
          </cell>
        </row>
        <row r="270">
          <cell r="B270" t="str">
            <v>eurostar_6_tile</v>
          </cell>
          <cell r="C270">
            <v>475</v>
          </cell>
        </row>
        <row r="271">
          <cell r="B271" t="str">
            <v>eurostar_4_tile</v>
          </cell>
          <cell r="C271">
            <v>476</v>
          </cell>
        </row>
        <row r="272">
          <cell r="B272" t="str">
            <v>abb_class_325</v>
          </cell>
          <cell r="C272">
            <v>480</v>
          </cell>
        </row>
        <row r="273">
          <cell r="B273" t="str">
            <v>turbostar</v>
          </cell>
          <cell r="C273">
            <v>482</v>
          </cell>
        </row>
        <row r="274">
          <cell r="B274" t="str">
            <v>class_175_coradia</v>
          </cell>
          <cell r="C274">
            <v>483</v>
          </cell>
        </row>
        <row r="275">
          <cell r="B275" t="str">
            <v>alstom_juniper</v>
          </cell>
          <cell r="C275">
            <v>484</v>
          </cell>
        </row>
        <row r="276">
          <cell r="B276" t="str">
            <v>alstom_juniper_4_tile</v>
          </cell>
          <cell r="C276">
            <v>485</v>
          </cell>
        </row>
        <row r="277">
          <cell r="B277" t="str">
            <v>class_180_adelante</v>
          </cell>
          <cell r="C277">
            <v>486</v>
          </cell>
        </row>
        <row r="278">
          <cell r="B278" t="str">
            <v>class_180_adelante_4_tile</v>
          </cell>
          <cell r="C278">
            <v>487</v>
          </cell>
        </row>
        <row r="279">
          <cell r="B279" t="str">
            <v>pendolino</v>
          </cell>
          <cell r="C279">
            <v>488</v>
          </cell>
        </row>
        <row r="280">
          <cell r="B280" t="str">
            <v>pendolino_6_tile</v>
          </cell>
          <cell r="C280">
            <v>489</v>
          </cell>
        </row>
        <row r="281">
          <cell r="B281" t="str">
            <v>pendolino_4_tile</v>
          </cell>
          <cell r="C281">
            <v>490</v>
          </cell>
        </row>
        <row r="282">
          <cell r="B282" t="str">
            <v>voyager</v>
          </cell>
          <cell r="C282">
            <v>492</v>
          </cell>
        </row>
        <row r="283">
          <cell r="B283" t="str">
            <v>super_voyager</v>
          </cell>
          <cell r="C283">
            <v>494</v>
          </cell>
        </row>
        <row r="284">
          <cell r="B284" t="str">
            <v>super_voyager_4_tile</v>
          </cell>
          <cell r="C284">
            <v>495</v>
          </cell>
        </row>
        <row r="285">
          <cell r="B285" t="str">
            <v>siemens_360_desiro</v>
          </cell>
          <cell r="C285">
            <v>496</v>
          </cell>
        </row>
        <row r="286">
          <cell r="B286" t="str">
            <v>electrostar</v>
          </cell>
          <cell r="C286">
            <v>498</v>
          </cell>
        </row>
        <row r="287">
          <cell r="B287" t="str">
            <v>siemens_450_desiro</v>
          </cell>
          <cell r="C287">
            <v>500</v>
          </cell>
        </row>
        <row r="288">
          <cell r="B288" t="str">
            <v>siemens_444_desiro</v>
          </cell>
          <cell r="C288">
            <v>502</v>
          </cell>
        </row>
        <row r="289">
          <cell r="B289" t="str">
            <v>siemens_444_desiro_4_tile</v>
          </cell>
          <cell r="C289">
            <v>503</v>
          </cell>
        </row>
        <row r="290">
          <cell r="B290" t="str">
            <v>parry_class_139</v>
          </cell>
          <cell r="C290">
            <v>505</v>
          </cell>
        </row>
        <row r="291">
          <cell r="B291" t="str">
            <v>hitachi_javelin</v>
          </cell>
          <cell r="C291">
            <v>506</v>
          </cell>
        </row>
        <row r="292">
          <cell r="B292" t="str">
            <v>hitachi_javelin_4_tile</v>
          </cell>
          <cell r="C292">
            <v>507</v>
          </cell>
        </row>
        <row r="293">
          <cell r="B293" t="str">
            <v>bombardier_capitalstar</v>
          </cell>
          <cell r="C293">
            <v>508</v>
          </cell>
        </row>
        <row r="294">
          <cell r="B294" t="str">
            <v>class_800_azuma</v>
          </cell>
          <cell r="C294">
            <v>509</v>
          </cell>
        </row>
        <row r="295">
          <cell r="B295" t="str">
            <v>caf_civity</v>
          </cell>
          <cell r="C295">
            <v>510</v>
          </cell>
        </row>
        <row r="296">
          <cell r="B296" t="str">
            <v>stadler_class_755</v>
          </cell>
          <cell r="C296">
            <v>511</v>
          </cell>
        </row>
        <row r="297">
          <cell r="B297" t="str">
            <v>class_385</v>
          </cell>
          <cell r="C297">
            <v>512</v>
          </cell>
        </row>
        <row r="298">
          <cell r="B298" t="str">
            <v>class_700_city</v>
          </cell>
          <cell r="C298">
            <v>513</v>
          </cell>
        </row>
        <row r="299">
          <cell r="B299" t="str">
            <v>class_345_aventra</v>
          </cell>
          <cell r="C299">
            <v>514</v>
          </cell>
        </row>
        <row r="300">
          <cell r="B300" t="str">
            <v>class_707_city</v>
          </cell>
          <cell r="C300">
            <v>515</v>
          </cell>
        </row>
        <row r="301">
          <cell r="B301" t="str">
            <v>class_710_aventra</v>
          </cell>
          <cell r="C301">
            <v>516</v>
          </cell>
        </row>
        <row r="302">
          <cell r="B302" t="str">
            <v>class_345_aventra_6_tile</v>
          </cell>
          <cell r="C302">
            <v>517</v>
          </cell>
        </row>
        <row r="303">
          <cell r="B303" t="str">
            <v>class_345_aventra_4_tile</v>
          </cell>
          <cell r="C303">
            <v>518</v>
          </cell>
        </row>
        <row r="304">
          <cell r="B304" t="str">
            <v>class_700_city_4_tile</v>
          </cell>
          <cell r="C304">
            <v>519</v>
          </cell>
        </row>
        <row r="305">
          <cell r="B305" t="str">
            <v>class_800_azuma_4_tile</v>
          </cell>
          <cell r="C305">
            <v>520</v>
          </cell>
        </row>
        <row r="306">
          <cell r="B306" t="str">
            <v>class_777</v>
          </cell>
          <cell r="C306">
            <v>522</v>
          </cell>
        </row>
        <row r="307">
          <cell r="B307" t="str">
            <v>mather_locomotive</v>
          </cell>
          <cell r="C307">
            <v>700</v>
          </cell>
        </row>
        <row r="308">
          <cell r="B308" t="str">
            <v>lu_gate_stock</v>
          </cell>
          <cell r="C308">
            <v>702</v>
          </cell>
        </row>
        <row r="309">
          <cell r="B309" t="str">
            <v>lu_standard_stock</v>
          </cell>
          <cell r="C309">
            <v>704</v>
          </cell>
        </row>
        <row r="310">
          <cell r="B310" t="str">
            <v>lu_op_stock</v>
          </cell>
          <cell r="C310">
            <v>708</v>
          </cell>
        </row>
        <row r="311">
          <cell r="B311" t="str">
            <v>lu_1900_stock</v>
          </cell>
          <cell r="C311">
            <v>720</v>
          </cell>
        </row>
        <row r="312">
          <cell r="B312" t="str">
            <v>lu_1938_stock</v>
          </cell>
          <cell r="C312">
            <v>722</v>
          </cell>
        </row>
        <row r="313">
          <cell r="B313" t="str">
            <v>lu_1959_stock</v>
          </cell>
          <cell r="C313">
            <v>724</v>
          </cell>
        </row>
        <row r="314">
          <cell r="B314" t="str">
            <v>lu_a60_stock</v>
          </cell>
          <cell r="C314">
            <v>726</v>
          </cell>
        </row>
        <row r="315">
          <cell r="B315" t="str">
            <v>lu_1967_stock</v>
          </cell>
          <cell r="C315">
            <v>728</v>
          </cell>
        </row>
        <row r="316">
          <cell r="B316" t="str">
            <v>lu_c69_stock</v>
          </cell>
          <cell r="C316">
            <v>730</v>
          </cell>
        </row>
        <row r="317">
          <cell r="B317" t="str">
            <v>lu_1973_stock</v>
          </cell>
          <cell r="C317">
            <v>731</v>
          </cell>
        </row>
        <row r="318">
          <cell r="B318" t="str">
            <v>lu_1973_stock_bug</v>
          </cell>
          <cell r="C318">
            <v>732</v>
          </cell>
        </row>
        <row r="319">
          <cell r="B319" t="str">
            <v>lu_d78_stock</v>
          </cell>
          <cell r="C319">
            <v>736</v>
          </cell>
        </row>
        <row r="320">
          <cell r="B320" t="str">
            <v>lu_1992_stock</v>
          </cell>
          <cell r="C320">
            <v>738</v>
          </cell>
        </row>
        <row r="321">
          <cell r="B321" t="str">
            <v>lu_1995_stock</v>
          </cell>
          <cell r="C321">
            <v>740</v>
          </cell>
        </row>
        <row r="322">
          <cell r="B322" t="str">
            <v>lu_2009_stock</v>
          </cell>
          <cell r="C322">
            <v>742</v>
          </cell>
        </row>
        <row r="323">
          <cell r="B323" t="str">
            <v>lu_s_stock</v>
          </cell>
          <cell r="C323">
            <v>744</v>
          </cell>
        </row>
        <row r="324">
          <cell r="B324" t="str">
            <v>lu_s_stock_4_tile</v>
          </cell>
          <cell r="C324">
            <v>745</v>
          </cell>
        </row>
        <row r="325">
          <cell r="B325" t="str">
            <v>lu_ntfl</v>
          </cell>
          <cell r="C325">
            <v>746</v>
          </cell>
        </row>
        <row r="326">
          <cell r="B326" t="str">
            <v>glasgow_subway_stock</v>
          </cell>
          <cell r="C326">
            <v>750</v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xmlns:r="http://schemas.openxmlformats.org/officeDocument/2006/relationships" name="Office 2013 - 2022 Theme">
  <a:themeElements>
    <a:clrScheme name="Office 2013 - 2022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K104857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1" ySplit="1" topLeftCell="BW2" activePane="bottomRight" state="frozen"/>
      <selection pane="topLeft" activeCell="A1" activeCellId="0" sqref="A1"/>
      <selection pane="topRight" activeCell="BW1" activeCellId="0" sqref="BW1"/>
      <selection pane="bottomLeft" activeCell="A2" activeCellId="0" sqref="A2"/>
      <selection pane="bottomRight" activeCell="CC3" activeCellId="0" sqref="CC3"/>
    </sheetView>
  </sheetViews>
  <sheetFormatPr defaultColWidth="8.6796875" defaultRowHeight="14.25" customHeight="false" zeroHeight="false" outlineLevelRow="0" outlineLevelCol="0"/>
  <cols>
    <col collapsed="false" customWidth="true" hidden="false" outlineLevel="0" max="1" min="1" style="0" width="37.18"/>
    <col collapsed="false" customWidth="true" hidden="false" outlineLevel="0" max="2" min="2" style="0" width="28.27"/>
    <col collapsed="false" customWidth="true" hidden="false" outlineLevel="0" max="7" min="3" style="0" width="13.27"/>
    <col collapsed="false" customWidth="true" hidden="false" outlineLevel="0" max="8" min="8" style="0" width="14.73"/>
    <col collapsed="false" customWidth="true" hidden="false" outlineLevel="0" max="9" min="9" style="0" width="13.45"/>
    <col collapsed="false" customWidth="true" hidden="false" outlineLevel="0" max="14" min="14" style="0" width="10.82"/>
    <col collapsed="false" customWidth="true" hidden="false" outlineLevel="0" max="15" min="15" style="1" width="10.82"/>
    <col collapsed="false" customWidth="true" hidden="false" outlineLevel="0" max="16" min="16" style="2" width="5.18"/>
    <col collapsed="false" customWidth="true" hidden="false" outlineLevel="0" max="17" min="17" style="2" width="7.27"/>
    <col collapsed="false" customWidth="true" hidden="false" outlineLevel="0" max="18" min="18" style="2" width="5.54"/>
    <col collapsed="false" customWidth="true" hidden="false" outlineLevel="0" max="19" min="19" style="2" width="10"/>
    <col collapsed="false" customWidth="true" hidden="false" outlineLevel="0" max="20" min="20" style="2" width="7.73"/>
    <col collapsed="false" customWidth="true" hidden="false" outlineLevel="0" max="21" min="21" style="2" width="11"/>
    <col collapsed="false" customWidth="true" hidden="false" outlineLevel="0" max="22" min="22" style="2" width="7.73"/>
    <col collapsed="false" customWidth="true" hidden="false" outlineLevel="0" max="23" min="23" style="0" width="10"/>
    <col collapsed="false" customWidth="true" hidden="false" outlineLevel="0" max="24" min="24" style="1" width="19.73"/>
    <col collapsed="false" customWidth="true" hidden="false" outlineLevel="0" max="25" min="25" style="0" width="13.27"/>
    <col collapsed="false" customWidth="true" hidden="false" outlineLevel="0" max="26" min="26" style="0" width="18"/>
    <col collapsed="false" customWidth="true" hidden="false" outlineLevel="0" max="27" min="27" style="3" width="8.45"/>
    <col collapsed="false" customWidth="true" hidden="false" outlineLevel="0" max="31" min="28" style="0" width="12.45"/>
    <col collapsed="false" customWidth="true" hidden="false" outlineLevel="0" max="32" min="32" style="0" width="10.54"/>
    <col collapsed="false" customWidth="true" hidden="false" outlineLevel="0" max="33" min="33" style="0" width="9.27"/>
    <col collapsed="false" customWidth="true" hidden="false" outlineLevel="0" max="34" min="34" style="0" width="10.54"/>
    <col collapsed="false" customWidth="true" hidden="false" outlineLevel="0" max="35" min="35" style="0" width="10.45"/>
    <col collapsed="false" customWidth="true" hidden="false" outlineLevel="0" max="36" min="36" style="4" width="9.18"/>
    <col collapsed="false" customWidth="true" hidden="false" outlineLevel="0" max="38" min="37" style="0" width="10.27"/>
    <col collapsed="false" customWidth="true" hidden="false" outlineLevel="0" max="39" min="39" style="0" width="26.82"/>
    <col collapsed="false" customWidth="true" hidden="false" outlineLevel="0" max="41" min="40" style="0" width="18.45"/>
    <col collapsed="false" customWidth="true" hidden="false" outlineLevel="0" max="43" min="42" style="5" width="18.45"/>
    <col collapsed="false" customWidth="true" hidden="false" outlineLevel="0" max="44" min="44" style="0" width="31.18"/>
    <col collapsed="false" customWidth="true" hidden="false" outlineLevel="0" max="45" min="45" style="0" width="17"/>
    <col collapsed="false" customWidth="true" hidden="false" outlineLevel="0" max="46" min="46" style="0" width="11.82"/>
    <col collapsed="false" customWidth="true" hidden="false" outlineLevel="0" max="47" min="47" style="0" width="13.18"/>
    <col collapsed="false" customWidth="true" hidden="false" outlineLevel="0" max="51" min="48" style="0" width="9.45"/>
    <col collapsed="false" customWidth="true" hidden="false" outlineLevel="0" max="52" min="52" style="0" width="18.73"/>
    <col collapsed="false" customWidth="true" hidden="false" outlineLevel="0" max="53" min="53" style="0" width="19.18"/>
    <col collapsed="false" customWidth="true" hidden="true" outlineLevel="0" max="54" min="54" style="0" width="15"/>
    <col collapsed="false" customWidth="true" hidden="true" outlineLevel="0" max="55" min="55" style="0" width="10"/>
    <col collapsed="false" customWidth="true" hidden="true" outlineLevel="0" max="56" min="56" style="0" width="9.18"/>
    <col collapsed="false" customWidth="true" hidden="true" outlineLevel="0" max="57" min="57" style="0" width="9.73"/>
    <col collapsed="false" customWidth="true" hidden="true" outlineLevel="0" max="58" min="58" style="0" width="12.45"/>
    <col collapsed="false" customWidth="true" hidden="true" outlineLevel="0" max="60" min="59" style="0" width="16"/>
    <col collapsed="false" customWidth="true" hidden="false" outlineLevel="0" max="64" min="62" style="0" width="11"/>
    <col collapsed="false" customWidth="true" hidden="false" outlineLevel="0" max="72" min="72" style="0" width="31.18"/>
    <col collapsed="false" customWidth="true" hidden="false" outlineLevel="0" max="74" min="74" style="0" width="19.18"/>
    <col collapsed="false" customWidth="true" hidden="false" outlineLevel="0" max="75" min="75" style="0" width="12.73"/>
    <col collapsed="false" customWidth="true" hidden="false" outlineLevel="0" max="76" min="76" style="0" width="16.82"/>
    <col collapsed="false" customWidth="true" hidden="false" outlineLevel="0" max="77" min="77" style="0" width="15.54"/>
    <col collapsed="false" customWidth="true" hidden="false" outlineLevel="0" max="79" min="79" style="0" width="15.73"/>
    <col collapsed="false" customWidth="true" hidden="false" outlineLevel="0" max="80" min="80" style="0" width="21.73"/>
    <col collapsed="false" customWidth="true" hidden="false" outlineLevel="0" max="81" min="81" style="0" width="26.27"/>
    <col collapsed="false" customWidth="true" hidden="false" outlineLevel="0" max="82" min="82" style="6" width="26.27"/>
    <col collapsed="false" customWidth="true" hidden="false" outlineLevel="0" max="83" min="83" style="0" width="44.27"/>
    <col collapsed="false" customWidth="true" hidden="false" outlineLevel="0" max="84" min="84" style="0" width="38.45"/>
    <col collapsed="false" customWidth="true" hidden="false" outlineLevel="0" max="85" min="85" style="0" width="255.73"/>
    <col collapsed="false" customWidth="true" hidden="false" outlineLevel="0" max="86" min="86" style="0" width="13.27"/>
    <col collapsed="false" customWidth="true" hidden="false" outlineLevel="0" max="87" min="87" style="0" width="44.73"/>
  </cols>
  <sheetData>
    <row r="1" s="7" customFormat="true" ht="14.25" hidden="false" customHeight="false" outlineLevel="0" collapsed="false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8" t="s">
        <v>14</v>
      </c>
      <c r="P1" s="9" t="s">
        <v>15</v>
      </c>
      <c r="Q1" s="9" t="s">
        <v>16</v>
      </c>
      <c r="R1" s="9" t="s">
        <v>17</v>
      </c>
      <c r="S1" s="9" t="s">
        <v>18</v>
      </c>
      <c r="T1" s="9" t="s">
        <v>19</v>
      </c>
      <c r="U1" s="9" t="s">
        <v>20</v>
      </c>
      <c r="V1" s="9" t="s">
        <v>21</v>
      </c>
      <c r="W1" s="7" t="s">
        <v>22</v>
      </c>
      <c r="X1" s="8" t="s">
        <v>23</v>
      </c>
      <c r="Y1" s="7" t="s">
        <v>24</v>
      </c>
      <c r="Z1" s="7" t="s">
        <v>25</v>
      </c>
      <c r="AA1" s="10" t="s">
        <v>26</v>
      </c>
      <c r="AB1" s="7" t="s">
        <v>27</v>
      </c>
      <c r="AC1" s="7" t="s">
        <v>28</v>
      </c>
      <c r="AD1" s="7" t="s">
        <v>29</v>
      </c>
      <c r="AE1" s="7" t="s">
        <v>30</v>
      </c>
      <c r="AF1" s="7" t="s">
        <v>31</v>
      </c>
      <c r="AG1" s="7" t="s">
        <v>32</v>
      </c>
      <c r="AH1" s="7" t="s">
        <v>33</v>
      </c>
      <c r="AI1" s="7" t="s">
        <v>34</v>
      </c>
      <c r="AJ1" s="11" t="s">
        <v>35</v>
      </c>
      <c r="AK1" s="7" t="s">
        <v>36</v>
      </c>
      <c r="AL1" s="7" t="s">
        <v>37</v>
      </c>
      <c r="AM1" s="7" t="s">
        <v>38</v>
      </c>
      <c r="AN1" s="7" t="s">
        <v>39</v>
      </c>
      <c r="AO1" s="7" t="s">
        <v>40</v>
      </c>
      <c r="AP1" s="12" t="s">
        <v>41</v>
      </c>
      <c r="AQ1" s="12" t="s">
        <v>42</v>
      </c>
      <c r="AR1" s="7" t="s">
        <v>43</v>
      </c>
      <c r="AS1" s="7" t="s">
        <v>44</v>
      </c>
      <c r="AT1" s="7" t="s">
        <v>45</v>
      </c>
      <c r="AU1" s="7" t="s">
        <v>46</v>
      </c>
      <c r="AV1" s="7" t="s">
        <v>47</v>
      </c>
      <c r="AW1" s="7" t="s">
        <v>48</v>
      </c>
      <c r="AX1" s="7" t="s">
        <v>49</v>
      </c>
      <c r="AY1" s="7" t="s">
        <v>50</v>
      </c>
      <c r="AZ1" s="7" t="s">
        <v>51</v>
      </c>
      <c r="BA1" s="7" t="s">
        <v>52</v>
      </c>
      <c r="BB1" s="7" t="s">
        <v>53</v>
      </c>
      <c r="BC1" s="7" t="s">
        <v>54</v>
      </c>
      <c r="BD1" s="7" t="s">
        <v>55</v>
      </c>
      <c r="BE1" s="7" t="s">
        <v>56</v>
      </c>
      <c r="BF1" s="7" t="s">
        <v>57</v>
      </c>
      <c r="BG1" s="7" t="s">
        <v>58</v>
      </c>
      <c r="BH1" s="7" t="s">
        <v>59</v>
      </c>
      <c r="BI1" s="7" t="s">
        <v>60</v>
      </c>
      <c r="BJ1" s="7" t="s">
        <v>61</v>
      </c>
      <c r="BK1" s="7" t="s">
        <v>62</v>
      </c>
      <c r="BL1" s="7" t="s">
        <v>63</v>
      </c>
      <c r="BM1" s="7" t="s">
        <v>64</v>
      </c>
      <c r="BN1" s="7" t="s">
        <v>65</v>
      </c>
      <c r="BO1" s="7" t="s">
        <v>66</v>
      </c>
      <c r="BP1" s="7" t="s">
        <v>67</v>
      </c>
      <c r="BQ1" s="7" t="s">
        <v>68</v>
      </c>
      <c r="BR1" s="7" t="s">
        <v>69</v>
      </c>
      <c r="BS1" s="7" t="s">
        <v>70</v>
      </c>
      <c r="BT1" s="7" t="s">
        <v>71</v>
      </c>
      <c r="BU1" s="7" t="s">
        <v>72</v>
      </c>
      <c r="BV1" s="7" t="s">
        <v>73</v>
      </c>
      <c r="BW1" s="7" t="s">
        <v>74</v>
      </c>
      <c r="BX1" s="7" t="s">
        <v>75</v>
      </c>
      <c r="BY1" s="7" t="s">
        <v>76</v>
      </c>
      <c r="BZ1" s="7" t="s">
        <v>77</v>
      </c>
      <c r="CA1" s="7" t="s">
        <v>78</v>
      </c>
      <c r="CB1" s="7" t="s">
        <v>79</v>
      </c>
      <c r="CC1" s="7" t="s">
        <v>80</v>
      </c>
      <c r="CD1" s="13" t="s">
        <v>81</v>
      </c>
      <c r="CE1" s="7" t="s">
        <v>82</v>
      </c>
      <c r="CF1" s="7" t="s">
        <v>83</v>
      </c>
      <c r="CG1" s="7" t="s">
        <v>84</v>
      </c>
      <c r="CH1" s="7" t="s">
        <v>85</v>
      </c>
      <c r="CI1" s="7" t="s">
        <v>86</v>
      </c>
      <c r="CJ1" s="7" t="s">
        <v>87</v>
      </c>
      <c r="CK1" s="7" t="s">
        <v>88</v>
      </c>
    </row>
    <row r="2" customFormat="false" ht="14.25" hidden="false" customHeight="false" outlineLevel="0" collapsed="false">
      <c r="A2" s="0" t="s">
        <v>89</v>
      </c>
      <c r="B2" s="0" t="s">
        <v>90</v>
      </c>
      <c r="C2" s="0" t="n">
        <f aca="false">IFERROR(INDEX([1]Table!C$2:$C$326, _xlfn.XMATCH($B2,[1]Table!$B$2:$B$326)),"")</f>
        <v>140</v>
      </c>
      <c r="E2" s="0" t="n">
        <v>1033</v>
      </c>
      <c r="F2" s="0" t="s">
        <v>91</v>
      </c>
      <c r="G2" s="0" t="s">
        <v>92</v>
      </c>
      <c r="H2" s="0" t="s">
        <v>93</v>
      </c>
      <c r="I2" s="0" t="s">
        <v>94</v>
      </c>
      <c r="J2" s="0" t="n">
        <v>1892</v>
      </c>
      <c r="L2" s="0" t="n">
        <v>1935</v>
      </c>
      <c r="W2" s="0" t="n">
        <v>28</v>
      </c>
      <c r="Y2" s="0" t="n">
        <v>4</v>
      </c>
      <c r="AA2" s="3" t="str">
        <f aca="false">IF(AND(W2&gt;0,Z2&gt;0),(Z2/((W2+X2)*10)),"")</f>
        <v/>
      </c>
      <c r="AB2" s="0" t="n">
        <v>90</v>
      </c>
      <c r="AC2" s="0" t="n">
        <f aca="false">ROUND(AB2*1.6, 0)</f>
        <v>144</v>
      </c>
      <c r="AF2" s="0" t="n">
        <v>16.2</v>
      </c>
      <c r="AG2" s="0" t="n">
        <v>16.2</v>
      </c>
      <c r="AH2" s="0" t="n">
        <v>2.8</v>
      </c>
      <c r="AJ2" s="4" t="n">
        <v>51</v>
      </c>
      <c r="AK2" s="0" t="str">
        <f aca="false">CONCATENATE(VLOOKUP(AL2, 'Voxel Sizes'!$A$2:$B$18,2,FALSE()),"x",INT(AH2*15), "x", INT(AI2*15))</f>
        <v>152x42x0</v>
      </c>
      <c r="AL2" s="0" t="n">
        <f aca="false">ROUND(15*((AG2*10)/256),0)</f>
        <v>9</v>
      </c>
      <c r="AN2" s="0" t="str">
        <f aca="false">CONCATENATE(VLOOKUP(AL2,Constants!$A$2:$C$16,IF(AM2&lt;&gt;"", 3, 2), FALSE()),IF(AM2&lt;&gt;"",CONCATENATE(",",VLOOKUP(AM2,$B:$AN,39,FALSE())),""))</f>
        <v>2,5,2</v>
      </c>
      <c r="AX2" s="0" t="n">
        <v>30</v>
      </c>
      <c r="AY2" s="14" t="n">
        <f aca="false">IF(L2&lt;&gt;"",MAX(16,(L2-J2)+8),"")</f>
        <v>51</v>
      </c>
      <c r="AZ2" s="0" t="n">
        <v>47</v>
      </c>
      <c r="BA2" s="0" t="n">
        <v>20</v>
      </c>
      <c r="BB2" s="0" t="n">
        <f aca="false">MIN(AB2/150, 1)*30</f>
        <v>18</v>
      </c>
      <c r="BC2" s="0" t="n">
        <f aca="false">MIN(N2/4000, 1)*20</f>
        <v>0</v>
      </c>
      <c r="BD2" s="0" t="n">
        <f aca="false">MIN(Z2/400,1)*20</f>
        <v>0</v>
      </c>
      <c r="BE2" s="3" t="n">
        <f aca="false">1-(MAX(J2-1900, 0)/750)</f>
        <v>1</v>
      </c>
      <c r="BF2" s="0" t="n">
        <f aca="false">((MAX($M2,1)*MIN($AJ2/300,1)))*IF(G2="Wagon",50,10)</f>
        <v>8.5</v>
      </c>
      <c r="BG2" s="0" t="n">
        <f aca="false">VLOOKUP($H2,Constants!$I:$K, 2, FALSE())</f>
        <v>1.2</v>
      </c>
      <c r="BH2" s="0" t="n">
        <f aca="false">VLOOKUP($H2,Constants!$I:$K, 3, FALSE())*IF(AND(G2="multiple_unit",AB2&lt;110),0.75,1)</f>
        <v>0.6</v>
      </c>
      <c r="BI2" s="0" t="n">
        <f aca="false">INT(POWER(((Constants!$G$2+$BB2+$BC2+$BD2+$BF2)*$BE2)*$BH2, 1.05))+$BA2</f>
        <v>41</v>
      </c>
      <c r="BJ2" s="0" t="n">
        <f aca="false">INT(POWER((((Constants!$G$1+$BB2+$BC2+$BD2+$BF2)*($BE2))*$BG2),IF($G2="wagon",1,1.2)))+$AZ2</f>
        <v>96</v>
      </c>
      <c r="BK2" s="15" t="n">
        <f aca="false">BI2*IF($G2="wagon",62.5,781.25)</f>
        <v>2562.5</v>
      </c>
      <c r="BL2" s="15" t="n">
        <f aca="false">BJ2*IF($G2="wagon",2.73,81.25)</f>
        <v>262.08</v>
      </c>
      <c r="BU2" s="0" t="n">
        <v>1</v>
      </c>
      <c r="BV2" s="0" t="n">
        <v>185</v>
      </c>
      <c r="BX2" s="0" t="s">
        <v>95</v>
      </c>
      <c r="BY2" s="0" t="s">
        <v>96</v>
      </c>
      <c r="BZ2" s="0" t="str">
        <f aca="false">VLOOKUP(J2,Eras!$A$2:$C$10, 2, TRUE())</f>
        <v>vct</v>
      </c>
      <c r="CA2" s="0" t="s">
        <v>97</v>
      </c>
      <c r="CB2" s="0" t="str">
        <f aca="false">CONCATENATE(BZ2,"_",CA2)</f>
        <v>vct_Mail Carriage</v>
      </c>
      <c r="CC2" s="0" t="str">
        <f aca="false">_xlfn.CONCAT(H2, "_",I2)</f>
        <v>carriage_RAIL</v>
      </c>
      <c r="CD2" s="6" t="str">
        <f aca="false" t="array" ref="CD2:CD2">_xlfn.CONCAT("{BLACK}Length: {GOLD}", TEXT(ROUNDUP(IF(AQ2&lt;&gt;"",SUM(VALUE(_xlfn.TEXTSPLIT(AQ2, ","))), SUM(VALUE(_xlfn.TEXTSPLIT(AN2, ",")))*IF(M2, M2, 1))/16, 1), "#,##0.0"), " tiles{}")</f>
        <v>{BLACK}Length: {GOLD}0.6 tiles{}</v>
      </c>
      <c r="CE2" s="0" t="str">
        <f aca="false">VLOOKUP($CC2, Constants!$M:$N, 2, FALSE())</f>
        <v/>
      </c>
      <c r="CF2" s="0" t="str">
        <f aca="false">IF(M2&gt;1,_xlfn.CONCAT("{BLACK}Cars: {GOLD}", M2),"")</f>
        <v/>
      </c>
      <c r="CG2" s="0" t="s">
        <v>98</v>
      </c>
      <c r="CH2" s="0" t="str">
        <f aca="false">IF($BT2="!param_no_gameplay_units","{GREEN}Included for gameplay purposes","")</f>
        <v/>
      </c>
      <c r="CI2" s="0" t="str">
        <f aca="false">IF(BW2="buffet","{YELLOW}25% long distance bonus for consist{}",IF(BY2="BRAKE","{YELLOW}Speed bonus for slow wagons{}",IF(BV2&gt;190,CONCATENATE("{YELLOW}",INT((BV2-185)/1.85),"% bonus for long distance travel{}"),IF(AND(BV2&lt;180,BV2&lt;&gt;0),CONCATENATE("{YELLOW}",INT((185-BV2)/1.85),"% penalty for long distance travel{}"),""))))</f>
        <v/>
      </c>
      <c r="CJ2" s="0" t="str">
        <f aca="false">_xlfn.CONCAT(CE2,IF(CE2&lt;&gt;""," ",""),CF2,IF(OR(CF2&lt;&gt;"",CE2&lt;&gt;""),"{}",""),CD2,CI2,"{SILVER}",CG2,IF(CH2&lt;&gt;"","{}{}",""),CH2)</f>
        <v>{BLACK}Length: {GOLD}0.6 tiles{}{SILVER}This brake carriage is designed for use with clerestory carriages. It can carry parcels and mail.</v>
      </c>
    </row>
    <row r="3" customFormat="false" ht="14.25" hidden="false" customHeight="false" outlineLevel="0" collapsed="false">
      <c r="A3" s="0" t="s">
        <v>99</v>
      </c>
      <c r="B3" s="0" t="s">
        <v>100</v>
      </c>
      <c r="C3" s="0" t="n">
        <f aca="false">IFERROR(INDEX([1]Table!C$2:$C$326, _xlfn.XMATCH($B3,[1]Table!$B$2:$B$326)),"")</f>
        <v>141</v>
      </c>
      <c r="E3" s="0" t="n">
        <v>1034</v>
      </c>
      <c r="F3" s="0" t="s">
        <v>91</v>
      </c>
      <c r="G3" s="0" t="s">
        <v>92</v>
      </c>
      <c r="H3" s="0" t="s">
        <v>93</v>
      </c>
      <c r="I3" s="0" t="s">
        <v>94</v>
      </c>
      <c r="J3" s="0" t="n">
        <v>1904</v>
      </c>
      <c r="L3" s="0" t="n">
        <v>1955</v>
      </c>
      <c r="W3" s="0" t="n">
        <v>29</v>
      </c>
      <c r="Y3" s="0" t="n">
        <v>5</v>
      </c>
      <c r="AA3" s="3" t="str">
        <f aca="false">IF(AND(W3&gt;0,Z3&gt;0),(Z3/((W3+X3)*10)),"")</f>
        <v/>
      </c>
      <c r="AB3" s="0" t="n">
        <v>100</v>
      </c>
      <c r="AC3" s="0" t="n">
        <f aca="false">ROUND(AB3*1.6, 0)</f>
        <v>160</v>
      </c>
      <c r="AF3" s="0" t="n">
        <v>17.7</v>
      </c>
      <c r="AG3" s="0" t="n">
        <v>17.7</v>
      </c>
      <c r="AH3" s="0" t="n">
        <v>2.83</v>
      </c>
      <c r="AI3" s="0" t="n">
        <v>3.79</v>
      </c>
      <c r="AJ3" s="4" t="n">
        <v>57</v>
      </c>
      <c r="AK3" s="0" t="str">
        <f aca="false">CONCATENATE(VLOOKUP(AL3, 'Voxel Sizes'!$A$2:$B$18,2,FALSE()),"x",INT(AH3*15), "x", INT(AI3*15))</f>
        <v>164x42x56</v>
      </c>
      <c r="AL3" s="0" t="n">
        <f aca="false">ROUND(15*((AG3*10)/256),0)</f>
        <v>10</v>
      </c>
      <c r="AN3" s="0" t="str">
        <f aca="false">CONCATENATE(VLOOKUP(AL3,Constants!$A$2:$C$16,IF(AM3&lt;&gt;"", 3, 2), FALSE()),IF(AM3&lt;&gt;"",CONCATENATE(",",VLOOKUP(AM3,$B:$AN,39,FALSE())),""))</f>
        <v>4,2,4</v>
      </c>
      <c r="AX3" s="0" t="n">
        <v>30</v>
      </c>
      <c r="AY3" s="14" t="n">
        <f aca="false">IF(L3&lt;&gt;"",MAX(16,(L3-J3)+8),"")</f>
        <v>59</v>
      </c>
      <c r="AZ3" s="0" t="n">
        <v>49</v>
      </c>
      <c r="BA3" s="0" t="n">
        <v>21</v>
      </c>
      <c r="BB3" s="0" t="n">
        <f aca="false">MIN(AB3/150, 1)*30</f>
        <v>20</v>
      </c>
      <c r="BC3" s="0" t="n">
        <f aca="false">MIN(N3/4000, 1)*20</f>
        <v>0</v>
      </c>
      <c r="BD3" s="0" t="n">
        <f aca="false">MIN(Z3/400,1)*20</f>
        <v>0</v>
      </c>
      <c r="BE3" s="3" t="n">
        <f aca="false">1-(MAX(J3-1900, 0)/750)</f>
        <v>0.994666666666667</v>
      </c>
      <c r="BF3" s="0" t="n">
        <f aca="false">((MAX($M3,1)*MIN($AJ3/300,1)))*IF(G3="Wagon",50,10)</f>
        <v>9.5</v>
      </c>
      <c r="BG3" s="0" t="n">
        <f aca="false">VLOOKUP($H3,Constants!$I:$K, 2, FALSE())</f>
        <v>1.2</v>
      </c>
      <c r="BH3" s="0" t="n">
        <f aca="false">VLOOKUP($H3,Constants!$I:$K, 3, FALSE())*IF(AND(G3="multiple_unit",AB3&lt;110),0.75,1)</f>
        <v>0.6</v>
      </c>
      <c r="BI3" s="0" t="n">
        <f aca="false">INT(POWER(((Constants!$G$2+$BB3+$BC3+$BD3+$BF3)*$BE3)*$BH3, 1.05))+$BA3</f>
        <v>44</v>
      </c>
      <c r="BJ3" s="0" t="n">
        <f aca="false">INT(POWER((((Constants!$G$1+$BB3+$BC3+$BD3+$BF3)*($BE3))*$BG3),IF($G3="wagon",1,1.2)))+$AZ3</f>
        <v>102</v>
      </c>
      <c r="BK3" s="15" t="n">
        <f aca="false">BI3*IF($G3="wagon",62.5,781.25)</f>
        <v>2750</v>
      </c>
      <c r="BL3" s="15" t="n">
        <f aca="false">BJ3*IF($G3="wagon",2.73,81.25)</f>
        <v>278.46</v>
      </c>
      <c r="BU3" s="0" t="n">
        <v>1</v>
      </c>
      <c r="BV3" s="0" t="n">
        <v>185</v>
      </c>
      <c r="BX3" s="0" t="s">
        <v>95</v>
      </c>
      <c r="BY3" s="0" t="s">
        <v>96</v>
      </c>
      <c r="BZ3" s="0" t="str">
        <f aca="false">VLOOKUP(J3,Eras!$A$2:$C$10, 2, TRUE())</f>
        <v>edw</v>
      </c>
      <c r="CA3" s="0" t="s">
        <v>97</v>
      </c>
      <c r="CB3" s="0" t="str">
        <f aca="false">CONCATENATE(BZ3,"_",CA3)</f>
        <v>edw_Mail Carriage</v>
      </c>
      <c r="CC3" s="0" t="str">
        <f aca="false">_xlfn.CONCAT(H3, "_",I3)</f>
        <v>carriage_RAIL</v>
      </c>
      <c r="CD3" s="6" t="str">
        <f aca="false" t="array" ref="CD3:CD3">_xlfn.CONCAT("{BLACK}Length: {GOLD}", TEXT(ROUNDUP(IF(AQ3&lt;&gt;"",SUM(VALUE(_xlfn.TEXTSPLIT(AQ3, ","))), SUM(VALUE(_xlfn.TEXTSPLIT(AN3, ",")))*IF(M3, M3, 1))/16, 1), "#,##0.0"), " tiles{}")</f>
        <v>{BLACK}Length: {GOLD}0.7 tiles{}</v>
      </c>
      <c r="CE3" s="0" t="str">
        <f aca="false">VLOOKUP($CC3, Constants!$M:$N, 2, FALSE())</f>
        <v/>
      </c>
      <c r="CF3" s="0" t="str">
        <f aca="false">IF(M3&gt;1,_xlfn.CONCAT("{BLACK}Cars: {GOLD}", M3),"")</f>
        <v/>
      </c>
      <c r="CG3" s="0" t="s">
        <v>101</v>
      </c>
      <c r="CH3" s="0" t="str">
        <f aca="false">IF($BT3="!param_no_gameplay_units","{GREEN}Included for gameplay purposes","")</f>
        <v/>
      </c>
      <c r="CI3" s="0" t="str">
        <f aca="false">IF(BW3="buffet","{YELLOW}25% long distance bonus for consist{}",IF(BY3="BRAKE","{YELLOW}Speed bonus for slow wagons{}",IF(BV3&gt;190,CONCATENATE("{YELLOW}",INT((BV3-185)/1.85),"% bonus for long distance travel{}"),IF(AND(BV3&lt;180,BV3&lt;&gt;0),CONCATENATE("{YELLOW}",INT((185-BV3)/1.85),"% penalty for long distance travel{}"),""))))</f>
        <v/>
      </c>
      <c r="CJ3" s="0" t="str">
        <f aca="false">_xlfn.CONCAT(CE3,IF(CE3&lt;&gt;""," ",""),CF3,IF(OR(CF3&lt;&gt;"",CE3&lt;&gt;""),"{}",""),CD3,CI3,"{SILVER}",CG3,IF(CH3&lt;&gt;"","{}{}",""),CH3)</f>
        <v>{BLACK}Length: {GOLD}0.7 tiles{}{SILVER}Brake carriages continued to be a fixture of passenger trains during the steam era, carrying bulky luggage and parcels.</v>
      </c>
    </row>
    <row r="1048254" customFormat="false" ht="12.8" hidden="false" customHeight="false" outlineLevel="0" collapsed="false"/>
    <row r="1048255" customFormat="false" ht="12.8" hidden="false" customHeight="false" outlineLevel="0" collapsed="false"/>
    <row r="1048256" customFormat="false" ht="12.8" hidden="false" customHeight="false" outlineLevel="0" collapsed="false"/>
    <row r="1048257" customFormat="false" ht="12.8" hidden="false" customHeight="false" outlineLevel="0" collapsed="false"/>
    <row r="1048258" customFormat="false" ht="12.8" hidden="false" customHeight="false" outlineLevel="0" collapsed="false"/>
    <row r="1048259" customFormat="false" ht="12.8" hidden="false" customHeight="false" outlineLevel="0" collapsed="false"/>
    <row r="1048260" customFormat="false" ht="12.8" hidden="false" customHeight="false" outlineLevel="0" collapsed="false"/>
    <row r="1048261" customFormat="false" ht="12.8" hidden="false" customHeight="false" outlineLevel="0" collapsed="false"/>
    <row r="1048262" customFormat="false" ht="12.8" hidden="false" customHeight="false" outlineLevel="0" collapsed="false"/>
    <row r="1048263" customFormat="false" ht="12.8" hidden="false" customHeight="false" outlineLevel="0" collapsed="false"/>
    <row r="1048264" customFormat="false" ht="12.8" hidden="false" customHeight="false" outlineLevel="0" collapsed="false"/>
    <row r="1048265" customFormat="false" ht="12.8" hidden="false" customHeight="false" outlineLevel="0" collapsed="false"/>
    <row r="1048266" customFormat="false" ht="12.8" hidden="false" customHeight="false" outlineLevel="0" collapsed="false"/>
    <row r="1048267" customFormat="false" ht="12.8" hidden="false" customHeight="false" outlineLevel="0" collapsed="false"/>
    <row r="1048268" customFormat="false" ht="12.8" hidden="false" customHeight="false" outlineLevel="0" collapsed="false"/>
    <row r="1048269" customFormat="false" ht="12.8" hidden="false" customHeight="false" outlineLevel="0" collapsed="false"/>
    <row r="1048270" customFormat="false" ht="12.8" hidden="false" customHeight="false" outlineLevel="0" collapsed="false"/>
    <row r="1048271" customFormat="false" ht="12.8" hidden="false" customHeight="false" outlineLevel="0" collapsed="false"/>
    <row r="1048272" customFormat="false" ht="12.8" hidden="false" customHeight="false" outlineLevel="0" collapsed="false"/>
    <row r="1048273" customFormat="false" ht="12.8" hidden="false" customHeight="false" outlineLevel="0" collapsed="false"/>
    <row r="1048274" customFormat="false" ht="12.8" hidden="false" customHeight="false" outlineLevel="0" collapsed="false"/>
    <row r="1048275" customFormat="false" ht="12.8" hidden="false" customHeight="false" outlineLevel="0" collapsed="false"/>
    <row r="1048276" customFormat="false" ht="12.8" hidden="false" customHeight="false" outlineLevel="0" collapsed="false"/>
    <row r="1048277" customFormat="false" ht="12.8" hidden="false" customHeight="false" outlineLevel="0" collapsed="false"/>
    <row r="1048278" customFormat="false" ht="12.8" hidden="false" customHeight="false" outlineLevel="0" collapsed="false"/>
    <row r="1048279" customFormat="false" ht="12.8" hidden="false" customHeight="false" outlineLevel="0" collapsed="false"/>
    <row r="1048280" customFormat="false" ht="12.8" hidden="false" customHeight="false" outlineLevel="0" collapsed="false"/>
    <row r="1048281" customFormat="false" ht="12.8" hidden="false" customHeight="false" outlineLevel="0" collapsed="false"/>
    <row r="1048282" customFormat="false" ht="12.8" hidden="false" customHeight="false" outlineLevel="0" collapsed="false"/>
    <row r="1048283" customFormat="false" ht="12.8" hidden="false" customHeight="false" outlineLevel="0" collapsed="false"/>
    <row r="1048284" customFormat="false" ht="12.8" hidden="false" customHeight="false" outlineLevel="0" collapsed="false"/>
    <row r="1048285" customFormat="false" ht="12.8" hidden="false" customHeight="false" outlineLevel="0" collapsed="false"/>
    <row r="1048286" customFormat="false" ht="12.8" hidden="false" customHeight="false" outlineLevel="0" collapsed="false"/>
    <row r="1048287" customFormat="false" ht="12.8" hidden="false" customHeight="false" outlineLevel="0" collapsed="false"/>
    <row r="1048288" customFormat="false" ht="12.8" hidden="false" customHeight="false" outlineLevel="0" collapsed="false"/>
    <row r="1048289" customFormat="false" ht="12.8" hidden="false" customHeight="false" outlineLevel="0" collapsed="false"/>
    <row r="1048290" customFormat="false" ht="12.8" hidden="false" customHeight="false" outlineLevel="0" collapsed="false"/>
    <row r="1048291" customFormat="false" ht="12.8" hidden="false" customHeight="false" outlineLevel="0" collapsed="false"/>
    <row r="1048292" customFormat="false" ht="12.8" hidden="false" customHeight="false" outlineLevel="0" collapsed="false"/>
    <row r="1048293" customFormat="false" ht="12.8" hidden="false" customHeight="false" outlineLevel="0" collapsed="false"/>
    <row r="1048294" customFormat="false" ht="12.8" hidden="false" customHeight="false" outlineLevel="0" collapsed="false"/>
    <row r="1048295" customFormat="false" ht="12.8" hidden="false" customHeight="false" outlineLevel="0" collapsed="false"/>
    <row r="1048296" customFormat="false" ht="12.8" hidden="false" customHeight="false" outlineLevel="0" collapsed="false"/>
    <row r="1048297" customFormat="false" ht="12.8" hidden="false" customHeight="false" outlineLevel="0" collapsed="false"/>
    <row r="1048298" customFormat="false" ht="12.8" hidden="false" customHeight="false" outlineLevel="0" collapsed="false"/>
    <row r="1048299" customFormat="false" ht="12.8" hidden="false" customHeight="false" outlineLevel="0" collapsed="false"/>
    <row r="1048300" customFormat="false" ht="12.8" hidden="false" customHeight="false" outlineLevel="0" collapsed="false"/>
    <row r="1048301" customFormat="false" ht="12.8" hidden="false" customHeight="false" outlineLevel="0" collapsed="false"/>
    <row r="1048302" customFormat="false" ht="12.8" hidden="false" customHeight="false" outlineLevel="0" collapsed="false"/>
    <row r="1048303" customFormat="false" ht="12.8" hidden="false" customHeight="false" outlineLevel="0" collapsed="false"/>
    <row r="1048304" customFormat="false" ht="12.8" hidden="false" customHeight="false" outlineLevel="0" collapsed="false"/>
    <row r="1048305" customFormat="false" ht="12.8" hidden="false" customHeight="false" outlineLevel="0" collapsed="false"/>
    <row r="1048306" customFormat="false" ht="12.8" hidden="false" customHeight="false" outlineLevel="0" collapsed="false"/>
    <row r="1048307" customFormat="false" ht="12.8" hidden="false" customHeight="false" outlineLevel="0" collapsed="false"/>
    <row r="1048308" customFormat="false" ht="12.8" hidden="false" customHeight="false" outlineLevel="0" collapsed="false"/>
    <row r="1048309" customFormat="false" ht="12.8" hidden="false" customHeight="false" outlineLevel="0" collapsed="false"/>
    <row r="1048310" customFormat="false" ht="12.8" hidden="false" customHeight="false" outlineLevel="0" collapsed="false"/>
    <row r="1048311" customFormat="false" ht="12.8" hidden="false" customHeight="false" outlineLevel="0" collapsed="false"/>
    <row r="1048312" customFormat="false" ht="12.8" hidden="false" customHeight="false" outlineLevel="0" collapsed="false"/>
    <row r="1048313" customFormat="false" ht="12.8" hidden="false" customHeight="false" outlineLevel="0" collapsed="false"/>
    <row r="1048314" customFormat="false" ht="12.8" hidden="false" customHeight="false" outlineLevel="0" collapsed="false"/>
    <row r="1048315" customFormat="false" ht="12.8" hidden="false" customHeight="false" outlineLevel="0" collapsed="false"/>
    <row r="1048316" customFormat="false" ht="12.8" hidden="false" customHeight="false" outlineLevel="0" collapsed="false"/>
    <row r="1048317" customFormat="false" ht="12.8" hidden="false" customHeight="false" outlineLevel="0" collapsed="false"/>
    <row r="1048318" customFormat="false" ht="12.8" hidden="false" customHeight="false" outlineLevel="0" collapsed="false"/>
    <row r="1048319" customFormat="false" ht="12.8" hidden="false" customHeight="false" outlineLevel="0" collapsed="false"/>
    <row r="1048320" customFormat="false" ht="12.8" hidden="false" customHeight="false" outlineLevel="0" collapsed="false"/>
    <row r="1048321" customFormat="false" ht="12.8" hidden="false" customHeight="false" outlineLevel="0" collapsed="false"/>
    <row r="1048322" customFormat="false" ht="12.8" hidden="false" customHeight="false" outlineLevel="0" collapsed="false"/>
    <row r="1048323" customFormat="false" ht="12.8" hidden="false" customHeight="false" outlineLevel="0" collapsed="false"/>
    <row r="1048324" customFormat="false" ht="12.8" hidden="false" customHeight="false" outlineLevel="0" collapsed="false"/>
    <row r="1048325" customFormat="false" ht="12.8" hidden="false" customHeight="false" outlineLevel="0" collapsed="false"/>
    <row r="1048326" customFormat="false" ht="12.8" hidden="false" customHeight="false" outlineLevel="0" collapsed="false"/>
    <row r="1048327" customFormat="false" ht="12.8" hidden="false" customHeight="false" outlineLevel="0" collapsed="false"/>
    <row r="1048328" customFormat="false" ht="12.8" hidden="false" customHeight="false" outlineLevel="0" collapsed="false"/>
    <row r="1048329" customFormat="false" ht="12.8" hidden="false" customHeight="false" outlineLevel="0" collapsed="false"/>
    <row r="1048330" customFormat="false" ht="12.8" hidden="false" customHeight="false" outlineLevel="0" collapsed="false"/>
    <row r="1048331" customFormat="false" ht="12.8" hidden="false" customHeight="false" outlineLevel="0" collapsed="false"/>
    <row r="1048332" customFormat="false" ht="12.8" hidden="false" customHeight="false" outlineLevel="0" collapsed="false"/>
    <row r="1048333" customFormat="false" ht="12.8" hidden="false" customHeight="false" outlineLevel="0" collapsed="false"/>
    <row r="1048334" customFormat="false" ht="12.8" hidden="false" customHeight="false" outlineLevel="0" collapsed="false"/>
    <row r="1048335" customFormat="false" ht="12.8" hidden="false" customHeight="false" outlineLevel="0" collapsed="false"/>
    <row r="1048336" customFormat="false" ht="12.8" hidden="false" customHeight="false" outlineLevel="0" collapsed="false"/>
    <row r="1048337" customFormat="false" ht="12.8" hidden="false" customHeight="false" outlineLevel="0" collapsed="false"/>
    <row r="1048338" customFormat="false" ht="12.8" hidden="false" customHeight="false" outlineLevel="0" collapsed="false"/>
    <row r="1048339" customFormat="false" ht="12.8" hidden="false" customHeight="false" outlineLevel="0" collapsed="false"/>
    <row r="1048340" customFormat="false" ht="12.8" hidden="false" customHeight="false" outlineLevel="0" collapsed="false"/>
    <row r="1048341" customFormat="false" ht="12.8" hidden="false" customHeight="false" outlineLevel="0" collapsed="false"/>
    <row r="1048342" customFormat="false" ht="12.8" hidden="false" customHeight="false" outlineLevel="0" collapsed="false"/>
    <row r="1048343" customFormat="false" ht="12.8" hidden="false" customHeight="false" outlineLevel="0" collapsed="false"/>
    <row r="1048344" customFormat="false" ht="12.8" hidden="false" customHeight="false" outlineLevel="0" collapsed="false"/>
    <row r="1048345" customFormat="false" ht="12.8" hidden="false" customHeight="false" outlineLevel="0" collapsed="false"/>
    <row r="1048346" customFormat="false" ht="12.8" hidden="false" customHeight="false" outlineLevel="0" collapsed="false"/>
    <row r="1048347" customFormat="false" ht="12.8" hidden="false" customHeight="false" outlineLevel="0" collapsed="false"/>
    <row r="1048348" customFormat="false" ht="12.8" hidden="false" customHeight="false" outlineLevel="0" collapsed="false"/>
    <row r="1048349" customFormat="false" ht="12.8" hidden="false" customHeight="false" outlineLevel="0" collapsed="false"/>
    <row r="1048350" customFormat="false" ht="12.8" hidden="false" customHeight="false" outlineLevel="0" collapsed="false"/>
    <row r="1048351" customFormat="false" ht="12.8" hidden="false" customHeight="false" outlineLevel="0" collapsed="false"/>
    <row r="1048352" customFormat="false" ht="12.8" hidden="false" customHeight="false" outlineLevel="0" collapsed="false"/>
    <row r="1048353" customFormat="false" ht="12.8" hidden="false" customHeight="false" outlineLevel="0" collapsed="false"/>
    <row r="1048354" customFormat="false" ht="12.8" hidden="false" customHeight="false" outlineLevel="0" collapsed="false"/>
    <row r="1048355" customFormat="false" ht="12.8" hidden="false" customHeight="false" outlineLevel="0" collapsed="false"/>
    <row r="1048356" customFormat="false" ht="12.8" hidden="false" customHeight="false" outlineLevel="0" collapsed="false"/>
    <row r="1048357" customFormat="false" ht="12.8" hidden="false" customHeight="false" outlineLevel="0" collapsed="false"/>
    <row r="1048358" customFormat="false" ht="12.8" hidden="false" customHeight="false" outlineLevel="0" collapsed="false"/>
    <row r="1048359" customFormat="false" ht="12.8" hidden="false" customHeight="false" outlineLevel="0" collapsed="false"/>
    <row r="1048360" customFormat="false" ht="12.8" hidden="false" customHeight="false" outlineLevel="0" collapsed="false"/>
    <row r="1048361" customFormat="false" ht="12.8" hidden="false" customHeight="false" outlineLevel="0" collapsed="false"/>
    <row r="1048362" customFormat="false" ht="12.8" hidden="false" customHeight="false" outlineLevel="0" collapsed="false"/>
    <row r="1048363" customFormat="false" ht="12.8" hidden="false" customHeight="false" outlineLevel="0" collapsed="false"/>
    <row r="1048364" customFormat="false" ht="12.8" hidden="false" customHeight="false" outlineLevel="0" collapsed="false"/>
    <row r="1048365" customFormat="false" ht="12.8" hidden="false" customHeight="false" outlineLevel="0" collapsed="false"/>
    <row r="1048366" customFormat="false" ht="12.8" hidden="false" customHeight="false" outlineLevel="0" collapsed="false"/>
    <row r="1048367" customFormat="false" ht="12.8" hidden="false" customHeight="false" outlineLevel="0" collapsed="false"/>
    <row r="1048368" customFormat="false" ht="12.8" hidden="false" customHeight="false" outlineLevel="0" collapsed="false"/>
    <row r="1048369" customFormat="false" ht="12.8" hidden="false" customHeight="false" outlineLevel="0" collapsed="false"/>
    <row r="1048370" customFormat="false" ht="12.8" hidden="false" customHeight="false" outlineLevel="0" collapsed="false"/>
    <row r="1048371" customFormat="false" ht="12.8" hidden="false" customHeight="false" outlineLevel="0" collapsed="false"/>
    <row r="1048372" customFormat="false" ht="12.8" hidden="false" customHeight="false" outlineLevel="0" collapsed="false"/>
    <row r="1048373" customFormat="false" ht="12.8" hidden="false" customHeight="false" outlineLevel="0" collapsed="false"/>
    <row r="1048374" customFormat="false" ht="12.8" hidden="false" customHeight="false" outlineLevel="0" collapsed="false"/>
    <row r="1048375" customFormat="false" ht="12.8" hidden="false" customHeight="false" outlineLevel="0" collapsed="false"/>
    <row r="1048376" customFormat="false" ht="12.8" hidden="false" customHeight="false" outlineLevel="0" collapsed="false"/>
    <row r="1048377" customFormat="false" ht="12.8" hidden="false" customHeight="false" outlineLevel="0" collapsed="false"/>
    <row r="1048378" customFormat="false" ht="12.8" hidden="false" customHeight="false" outlineLevel="0" collapsed="false"/>
    <row r="1048379" customFormat="false" ht="12.8" hidden="false" customHeight="false" outlineLevel="0" collapsed="false"/>
    <row r="1048380" customFormat="false" ht="12.8" hidden="false" customHeight="false" outlineLevel="0" collapsed="false"/>
    <row r="1048381" customFormat="false" ht="12.8" hidden="false" customHeight="false" outlineLevel="0" collapsed="false"/>
    <row r="1048382" customFormat="false" ht="12.8" hidden="false" customHeight="false" outlineLevel="0" collapsed="false"/>
    <row r="1048383" customFormat="false" ht="12.8" hidden="false" customHeight="false" outlineLevel="0" collapsed="false"/>
    <row r="1048384" customFormat="false" ht="12.8" hidden="false" customHeight="false" outlineLevel="0" collapsed="false"/>
    <row r="1048385" customFormat="false" ht="12.8" hidden="false" customHeight="false" outlineLevel="0" collapsed="false"/>
    <row r="1048386" customFormat="false" ht="12.8" hidden="false" customHeight="false" outlineLevel="0" collapsed="false"/>
    <row r="1048387" customFormat="false" ht="12.8" hidden="false" customHeight="false" outlineLevel="0" collapsed="false"/>
    <row r="1048388" customFormat="false" ht="12.8" hidden="false" customHeight="false" outlineLevel="0" collapsed="false"/>
    <row r="1048389" customFormat="false" ht="12.8" hidden="false" customHeight="false" outlineLevel="0" collapsed="false"/>
    <row r="1048390" customFormat="false" ht="12.8" hidden="false" customHeight="false" outlineLevel="0" collapsed="false"/>
    <row r="1048391" customFormat="false" ht="12.8" hidden="false" customHeight="false" outlineLevel="0" collapsed="false"/>
    <row r="1048392" customFormat="false" ht="12.8" hidden="false" customHeight="false" outlineLevel="0" collapsed="false"/>
    <row r="1048393" customFormat="false" ht="12.8" hidden="false" customHeight="false" outlineLevel="0" collapsed="false"/>
    <row r="1048394" customFormat="false" ht="12.8" hidden="false" customHeight="false" outlineLevel="0" collapsed="false"/>
    <row r="1048395" customFormat="false" ht="12.8" hidden="false" customHeight="false" outlineLevel="0" collapsed="false"/>
    <row r="1048396" customFormat="false" ht="12.8" hidden="false" customHeight="false" outlineLevel="0" collapsed="false"/>
    <row r="1048397" customFormat="false" ht="12.8" hidden="false" customHeight="false" outlineLevel="0" collapsed="false"/>
    <row r="1048398" customFormat="false" ht="12.8" hidden="false" customHeight="false" outlineLevel="0" collapsed="false"/>
    <row r="1048399" customFormat="false" ht="12.8" hidden="false" customHeight="false" outlineLevel="0" collapsed="false"/>
    <row r="1048400" customFormat="false" ht="12.8" hidden="false" customHeight="false" outlineLevel="0" collapsed="false"/>
    <row r="1048401" customFormat="false" ht="12.8" hidden="false" customHeight="false" outlineLevel="0" collapsed="false"/>
    <row r="1048402" customFormat="false" ht="12.8" hidden="false" customHeight="false" outlineLevel="0" collapsed="false"/>
    <row r="1048403" customFormat="false" ht="12.8" hidden="false" customHeight="false" outlineLevel="0" collapsed="false"/>
    <row r="1048404" customFormat="false" ht="12.8" hidden="false" customHeight="false" outlineLevel="0" collapsed="false"/>
    <row r="1048405" customFormat="false" ht="12.8" hidden="false" customHeight="false" outlineLevel="0" collapsed="false"/>
    <row r="1048406" customFormat="false" ht="12.8" hidden="false" customHeight="false" outlineLevel="0" collapsed="false"/>
    <row r="1048407" customFormat="false" ht="12.8" hidden="false" customHeight="false" outlineLevel="0" collapsed="false"/>
    <row r="1048408" customFormat="false" ht="12.8" hidden="false" customHeight="false" outlineLevel="0" collapsed="false"/>
    <row r="1048409" customFormat="false" ht="12.8" hidden="false" customHeight="false" outlineLevel="0" collapsed="false"/>
    <row r="1048410" customFormat="false" ht="12.8" hidden="false" customHeight="false" outlineLevel="0" collapsed="false"/>
    <row r="1048411" customFormat="false" ht="12.8" hidden="false" customHeight="false" outlineLevel="0" collapsed="false"/>
    <row r="1048412" customFormat="false" ht="12.8" hidden="false" customHeight="false" outlineLevel="0" collapsed="false"/>
    <row r="1048413" customFormat="false" ht="12.8" hidden="false" customHeight="false" outlineLevel="0" collapsed="false"/>
    <row r="1048414" customFormat="false" ht="12.8" hidden="false" customHeight="false" outlineLevel="0" collapsed="false"/>
    <row r="1048415" customFormat="false" ht="12.8" hidden="false" customHeight="false" outlineLevel="0" collapsed="false"/>
    <row r="1048416" customFormat="false" ht="12.8" hidden="false" customHeight="false" outlineLevel="0" collapsed="false"/>
    <row r="1048417" customFormat="false" ht="12.8" hidden="false" customHeight="false" outlineLevel="0" collapsed="false"/>
    <row r="1048418" customFormat="false" ht="12.8" hidden="false" customHeight="false" outlineLevel="0" collapsed="false"/>
    <row r="1048419" customFormat="false" ht="12.8" hidden="false" customHeight="false" outlineLevel="0" collapsed="false"/>
    <row r="1048420" customFormat="false" ht="12.8" hidden="false" customHeight="false" outlineLevel="0" collapsed="false"/>
    <row r="1048421" customFormat="false" ht="12.8" hidden="false" customHeight="false" outlineLevel="0" collapsed="false"/>
    <row r="1048422" customFormat="false" ht="12.8" hidden="false" customHeight="false" outlineLevel="0" collapsed="false"/>
    <row r="1048423" customFormat="false" ht="12.8" hidden="false" customHeight="false" outlineLevel="0" collapsed="false"/>
    <row r="1048424" customFormat="false" ht="12.8" hidden="false" customHeight="false" outlineLevel="0" collapsed="false"/>
    <row r="1048425" customFormat="false" ht="12.8" hidden="false" customHeight="false" outlineLevel="0" collapsed="false"/>
    <row r="1048426" customFormat="false" ht="12.8" hidden="false" customHeight="false" outlineLevel="0" collapsed="false"/>
    <row r="1048427" customFormat="false" ht="12.8" hidden="false" customHeight="false" outlineLevel="0" collapsed="false"/>
    <row r="1048428" customFormat="false" ht="12.8" hidden="false" customHeight="false" outlineLevel="0" collapsed="false"/>
    <row r="1048429" customFormat="false" ht="12.8" hidden="false" customHeight="false" outlineLevel="0" collapsed="false"/>
    <row r="1048430" customFormat="false" ht="12.8" hidden="false" customHeight="false" outlineLevel="0" collapsed="false"/>
    <row r="1048431" customFormat="false" ht="12.8" hidden="false" customHeight="false" outlineLevel="0" collapsed="false"/>
    <row r="1048432" customFormat="false" ht="12.8" hidden="false" customHeight="false" outlineLevel="0" collapsed="false"/>
    <row r="1048433" customFormat="false" ht="12.8" hidden="false" customHeight="false" outlineLevel="0" collapsed="false"/>
    <row r="1048434" customFormat="false" ht="12.8" hidden="false" customHeight="false" outlineLevel="0" collapsed="false"/>
    <row r="1048435" customFormat="false" ht="12.8" hidden="false" customHeight="false" outlineLevel="0" collapsed="false"/>
    <row r="1048436" customFormat="false" ht="12.8" hidden="false" customHeight="false" outlineLevel="0" collapsed="false"/>
    <row r="1048437" customFormat="false" ht="12.8" hidden="false" customHeight="false" outlineLevel="0" collapsed="false"/>
    <row r="1048438" customFormat="false" ht="12.8" hidden="false" customHeight="false" outlineLevel="0" collapsed="false"/>
    <row r="1048439" customFormat="false" ht="12.8" hidden="false" customHeight="false" outlineLevel="0" collapsed="false"/>
    <row r="1048440" customFormat="false" ht="12.8" hidden="false" customHeight="false" outlineLevel="0" collapsed="false"/>
    <row r="1048441" customFormat="false" ht="12.8" hidden="false" customHeight="false" outlineLevel="0" collapsed="false"/>
    <row r="1048442" customFormat="false" ht="12.8" hidden="false" customHeight="false" outlineLevel="0" collapsed="false"/>
    <row r="1048443" customFormat="false" ht="12.8" hidden="false" customHeight="false" outlineLevel="0" collapsed="false"/>
    <row r="1048444" customFormat="false" ht="12.8" hidden="false" customHeight="false" outlineLevel="0" collapsed="false"/>
    <row r="1048445" customFormat="false" ht="12.8" hidden="false" customHeight="false" outlineLevel="0" collapsed="false"/>
    <row r="1048446" customFormat="false" ht="12.8" hidden="false" customHeight="false" outlineLevel="0" collapsed="false"/>
    <row r="1048447" customFormat="false" ht="12.8" hidden="false" customHeight="false" outlineLevel="0" collapsed="false"/>
    <row r="1048448" customFormat="false" ht="12.8" hidden="false" customHeight="false" outlineLevel="0" collapsed="false"/>
    <row r="1048449" customFormat="false" ht="12.8" hidden="false" customHeight="false" outlineLevel="0" collapsed="false"/>
    <row r="1048450" customFormat="false" ht="12.8" hidden="false" customHeight="false" outlineLevel="0" collapsed="false"/>
    <row r="1048451" customFormat="false" ht="12.8" hidden="false" customHeight="false" outlineLevel="0" collapsed="false"/>
    <row r="1048452" customFormat="false" ht="12.8" hidden="false" customHeight="false" outlineLevel="0" collapsed="false"/>
    <row r="1048453" customFormat="false" ht="12.8" hidden="false" customHeight="false" outlineLevel="0" collapsed="false"/>
    <row r="1048454" customFormat="false" ht="12.8" hidden="false" customHeight="false" outlineLevel="0" collapsed="false"/>
    <row r="1048455" customFormat="false" ht="12.8" hidden="false" customHeight="false" outlineLevel="0" collapsed="false"/>
    <row r="1048456" customFormat="false" ht="12.8" hidden="false" customHeight="false" outlineLevel="0" collapsed="false"/>
    <row r="1048457" customFormat="false" ht="12.8" hidden="false" customHeight="false" outlineLevel="0" collapsed="false"/>
    <row r="1048458" customFormat="false" ht="12.8" hidden="false" customHeight="false" outlineLevel="0" collapsed="false"/>
    <row r="1048459" customFormat="false" ht="12.8" hidden="false" customHeight="false" outlineLevel="0" collapsed="false"/>
    <row r="1048460" customFormat="false" ht="12.8" hidden="false" customHeight="false" outlineLevel="0" collapsed="false"/>
    <row r="1048461" customFormat="false" ht="12.8" hidden="false" customHeight="false" outlineLevel="0" collapsed="false"/>
    <row r="1048462" customFormat="false" ht="12.8" hidden="false" customHeight="false" outlineLevel="0" collapsed="false"/>
    <row r="1048463" customFormat="false" ht="12.8" hidden="false" customHeight="false" outlineLevel="0" collapsed="false"/>
    <row r="1048464" customFormat="false" ht="12.8" hidden="false" customHeight="false" outlineLevel="0" collapsed="false"/>
    <row r="1048465" customFormat="false" ht="12.8" hidden="false" customHeight="false" outlineLevel="0" collapsed="false"/>
    <row r="1048466" customFormat="false" ht="12.8" hidden="false" customHeight="false" outlineLevel="0" collapsed="false"/>
    <row r="1048467" customFormat="false" ht="12.8" hidden="false" customHeight="false" outlineLevel="0" collapsed="false"/>
    <row r="1048468" customFormat="false" ht="12.8" hidden="false" customHeight="false" outlineLevel="0" collapsed="false"/>
    <row r="1048469" customFormat="false" ht="12.8" hidden="false" customHeight="false" outlineLevel="0" collapsed="false"/>
    <row r="1048470" customFormat="false" ht="12.8" hidden="false" customHeight="false" outlineLevel="0" collapsed="false"/>
    <row r="1048471" customFormat="false" ht="12.8" hidden="false" customHeight="false" outlineLevel="0" collapsed="false"/>
    <row r="1048472" customFormat="false" ht="12.8" hidden="false" customHeight="false" outlineLevel="0" collapsed="false"/>
    <row r="1048473" customFormat="false" ht="12.8" hidden="false" customHeight="false" outlineLevel="0" collapsed="false"/>
    <row r="1048474" customFormat="false" ht="12.8" hidden="false" customHeight="false" outlineLevel="0" collapsed="false"/>
    <row r="1048475" customFormat="false" ht="12.8" hidden="false" customHeight="false" outlineLevel="0" collapsed="false"/>
    <row r="1048476" customFormat="false" ht="12.8" hidden="false" customHeight="false" outlineLevel="0" collapsed="false"/>
    <row r="1048477" customFormat="false" ht="12.8" hidden="false" customHeight="false" outlineLevel="0" collapsed="false"/>
    <row r="1048478" customFormat="false" ht="12.8" hidden="false" customHeight="false" outlineLevel="0" collapsed="false"/>
    <row r="1048479" customFormat="false" ht="12.8" hidden="false" customHeight="false" outlineLevel="0" collapsed="false"/>
    <row r="1048480" customFormat="false" ht="12.8" hidden="false" customHeight="false" outlineLevel="0" collapsed="false"/>
    <row r="1048481" customFormat="false" ht="12.8" hidden="false" customHeight="false" outlineLevel="0" collapsed="false"/>
    <row r="1048482" customFormat="false" ht="12.8" hidden="false" customHeight="false" outlineLevel="0" collapsed="false"/>
    <row r="1048483" customFormat="false" ht="12.8" hidden="false" customHeight="false" outlineLevel="0" collapsed="false"/>
    <row r="1048484" customFormat="false" ht="12.8" hidden="false" customHeight="false" outlineLevel="0" collapsed="false"/>
    <row r="1048485" customFormat="false" ht="12.8" hidden="false" customHeight="false" outlineLevel="0" collapsed="false"/>
    <row r="1048486" customFormat="false" ht="12.8" hidden="false" customHeight="false" outlineLevel="0" collapsed="false"/>
    <row r="1048487" customFormat="false" ht="12.8" hidden="false" customHeight="false" outlineLevel="0" collapsed="false"/>
    <row r="1048488" customFormat="false" ht="12.8" hidden="false" customHeight="false" outlineLevel="0" collapsed="false"/>
    <row r="1048489" customFormat="false" ht="12.8" hidden="false" customHeight="false" outlineLevel="0" collapsed="false"/>
    <row r="1048490" customFormat="false" ht="12.8" hidden="false" customHeight="false" outlineLevel="0" collapsed="false"/>
    <row r="1048491" customFormat="false" ht="12.8" hidden="false" customHeight="false" outlineLevel="0" collapsed="false"/>
    <row r="1048492" customFormat="false" ht="12.8" hidden="false" customHeight="false" outlineLevel="0" collapsed="false"/>
    <row r="1048493" customFormat="false" ht="12.8" hidden="false" customHeight="false" outlineLevel="0" collapsed="false"/>
    <row r="1048494" customFormat="false" ht="12.8" hidden="false" customHeight="false" outlineLevel="0" collapsed="false"/>
    <row r="1048495" customFormat="false" ht="12.8" hidden="false" customHeight="false" outlineLevel="0" collapsed="false"/>
    <row r="1048496" customFormat="false" ht="12.8" hidden="false" customHeight="false" outlineLevel="0" collapsed="false"/>
    <row r="1048497" customFormat="false" ht="12.8" hidden="false" customHeight="false" outlineLevel="0" collapsed="false"/>
    <row r="1048498" customFormat="false" ht="12.8" hidden="false" customHeight="false" outlineLevel="0" collapsed="false"/>
    <row r="1048499" customFormat="false" ht="12.8" hidden="false" customHeight="false" outlineLevel="0" collapsed="false"/>
    <row r="1048500" customFormat="false" ht="12.8" hidden="false" customHeight="false" outlineLevel="0" collapsed="false"/>
    <row r="1048501" customFormat="false" ht="12.8" hidden="false" customHeight="false" outlineLevel="0" collapsed="false"/>
    <row r="1048502" customFormat="false" ht="12.8" hidden="false" customHeight="false" outlineLevel="0" collapsed="false"/>
    <row r="1048503" customFormat="false" ht="12.8" hidden="false" customHeight="false" outlineLevel="0" collapsed="false"/>
    <row r="1048504" customFormat="false" ht="12.8" hidden="false" customHeight="false" outlineLevel="0" collapsed="false"/>
    <row r="1048505" customFormat="false" ht="12.8" hidden="false" customHeight="false" outlineLevel="0" collapsed="false"/>
    <row r="1048506" customFormat="false" ht="12.8" hidden="false" customHeight="false" outlineLevel="0" collapsed="false"/>
    <row r="1048507" customFormat="false" ht="12.8" hidden="false" customHeight="false" outlineLevel="0" collapsed="false"/>
    <row r="1048508" customFormat="false" ht="12.8" hidden="false" customHeight="false" outlineLevel="0" collapsed="false"/>
    <row r="1048509" customFormat="false" ht="12.8" hidden="false" customHeight="false" outlineLevel="0" collapsed="false"/>
    <row r="1048510" customFormat="false" ht="12.8" hidden="false" customHeight="false" outlineLevel="0" collapsed="false"/>
    <row r="1048511" customFormat="false" ht="12.8" hidden="false" customHeight="false" outlineLevel="0" collapsed="false"/>
    <row r="1048512" customFormat="false" ht="12.8" hidden="false" customHeight="false" outlineLevel="0" collapsed="false"/>
    <row r="1048513" customFormat="false" ht="12.8" hidden="false" customHeight="false" outlineLevel="0" collapsed="false"/>
    <row r="1048514" customFormat="false" ht="12.8" hidden="false" customHeight="false" outlineLevel="0" collapsed="false"/>
    <row r="1048515" customFormat="false" ht="12.8" hidden="false" customHeight="false" outlineLevel="0" collapsed="false"/>
    <row r="1048516" customFormat="false" ht="12.8" hidden="false" customHeight="false" outlineLevel="0" collapsed="false"/>
    <row r="1048517" customFormat="false" ht="12.8" hidden="false" customHeight="false" outlineLevel="0" collapsed="false"/>
    <row r="1048518" customFormat="false" ht="12.8" hidden="false" customHeight="false" outlineLevel="0" collapsed="false"/>
    <row r="1048519" customFormat="false" ht="12.8" hidden="false" customHeight="false" outlineLevel="0" collapsed="false"/>
    <row r="1048520" customFormat="false" ht="12.8" hidden="false" customHeight="false" outlineLevel="0" collapsed="false"/>
    <row r="1048521" customFormat="false" ht="12.8" hidden="false" customHeight="false" outlineLevel="0" collapsed="false"/>
    <row r="1048522" customFormat="false" ht="12.8" hidden="false" customHeight="false" outlineLevel="0" collapsed="false"/>
    <row r="1048523" customFormat="false" ht="12.8" hidden="false" customHeight="false" outlineLevel="0" collapsed="false"/>
    <row r="1048524" customFormat="false" ht="12.8" hidden="false" customHeight="false" outlineLevel="0" collapsed="false"/>
    <row r="1048525" customFormat="false" ht="12.8" hidden="false" customHeight="false" outlineLevel="0" collapsed="false"/>
    <row r="1048526" customFormat="false" ht="12.8" hidden="false" customHeight="false" outlineLevel="0" collapsed="false"/>
    <row r="1048527" customFormat="false" ht="12.8" hidden="false" customHeight="false" outlineLevel="0" collapsed="false"/>
    <row r="1048528" customFormat="false" ht="12.8" hidden="false" customHeight="false" outlineLevel="0" collapsed="false"/>
    <row r="1048529" customFormat="false" ht="12.8" hidden="false" customHeight="false" outlineLevel="0" collapsed="false"/>
    <row r="1048530" customFormat="false" ht="12.8" hidden="false" customHeight="false" outlineLevel="0" collapsed="false"/>
    <row r="1048531" customFormat="false" ht="12.8" hidden="false" customHeight="false" outlineLevel="0" collapsed="false"/>
    <row r="1048532" customFormat="false" ht="12.8" hidden="false" customHeight="false" outlineLevel="0" collapsed="false"/>
    <row r="1048533" customFormat="false" ht="12.8" hidden="false" customHeight="false" outlineLevel="0" collapsed="false"/>
    <row r="1048534" customFormat="false" ht="12.8" hidden="false" customHeight="false" outlineLevel="0" collapsed="false"/>
    <row r="1048535" customFormat="false" ht="12.8" hidden="false" customHeight="false" outlineLevel="0" collapsed="false"/>
    <row r="1048536" customFormat="false" ht="12.8" hidden="false" customHeight="false" outlineLevel="0" collapsed="false"/>
    <row r="1048537" customFormat="false" ht="12.8" hidden="false" customHeight="false" outlineLevel="0" collapsed="false"/>
    <row r="1048538" customFormat="false" ht="12.8" hidden="false" customHeight="false" outlineLevel="0" collapsed="false"/>
    <row r="1048539" customFormat="false" ht="12.8" hidden="false" customHeight="false" outlineLevel="0" collapsed="false"/>
    <row r="1048540" customFormat="false" ht="12.8" hidden="false" customHeight="false" outlineLevel="0" collapsed="false"/>
    <row r="1048541" customFormat="false" ht="12.8" hidden="false" customHeight="false" outlineLevel="0" collapsed="false"/>
    <row r="1048542" customFormat="false" ht="12.8" hidden="false" customHeight="false" outlineLevel="0" collapsed="false"/>
    <row r="1048543" customFormat="false" ht="12.8" hidden="false" customHeight="false" outlineLevel="0" collapsed="false"/>
    <row r="1048544" customFormat="false" ht="12.8" hidden="false" customHeight="false" outlineLevel="0" collapsed="false"/>
    <row r="1048545" customFormat="false" ht="12.8" hidden="false" customHeight="false" outlineLevel="0" collapsed="false"/>
    <row r="1048546" customFormat="false" ht="12.8" hidden="false" customHeight="false" outlineLevel="0" collapsed="false"/>
    <row r="1048547" customFormat="false" ht="12.8" hidden="false" customHeight="false" outlineLevel="0" collapsed="false"/>
    <row r="1048548" customFormat="false" ht="12.8" hidden="false" customHeight="false" outlineLevel="0" collapsed="false"/>
    <row r="1048549" customFormat="false" ht="12.8" hidden="false" customHeight="false" outlineLevel="0" collapsed="false"/>
    <row r="1048550" customFormat="false" ht="12.8" hidden="false" customHeight="false" outlineLevel="0" collapsed="false"/>
    <row r="1048551" customFormat="false" ht="12.8" hidden="false" customHeight="false" outlineLevel="0" collapsed="false"/>
    <row r="1048552" customFormat="false" ht="12.8" hidden="false" customHeight="false" outlineLevel="0" collapsed="false"/>
    <row r="1048553" customFormat="false" ht="12.8" hidden="false" customHeight="false" outlineLevel="0" collapsed="false"/>
    <row r="1048554" customFormat="false" ht="12.8" hidden="false" customHeight="false" outlineLevel="0" collapsed="false"/>
    <row r="1048555" customFormat="false" ht="12.8" hidden="false" customHeight="false" outlineLevel="0" collapsed="false"/>
    <row r="1048556" customFormat="false" ht="12.8" hidden="false" customHeight="false" outlineLevel="0" collapsed="false"/>
    <row r="1048557" customFormat="false" ht="12.8" hidden="false" customHeight="false" outlineLevel="0" collapsed="false"/>
    <row r="1048558" customFormat="false" ht="12.8" hidden="false" customHeight="false" outlineLevel="0" collapsed="false"/>
    <row r="1048559" customFormat="false" ht="12.8" hidden="false" customHeight="false" outlineLevel="0" collapsed="false"/>
    <row r="1048560" customFormat="false" ht="12.8" hidden="false" customHeight="false" outlineLevel="0" collapsed="false"/>
    <row r="1048561" customFormat="false" ht="12.8" hidden="false" customHeight="false" outlineLevel="0" collapsed="false"/>
    <row r="1048562" customFormat="false" ht="12.8" hidden="false" customHeight="false" outlineLevel="0" collapsed="false"/>
    <row r="1048563" customFormat="false" ht="12.8" hidden="false" customHeight="false" outlineLevel="0" collapsed="false"/>
    <row r="1048564" customFormat="false" ht="12.8" hidden="false" customHeight="false" outlineLevel="0" collapsed="false"/>
    <row r="1048565" customFormat="false" ht="12.8" hidden="false" customHeight="false" outlineLevel="0" collapsed="false"/>
    <row r="1048566" customFormat="false" ht="12.8" hidden="false" customHeight="false" outlineLevel="0" collapsed="false"/>
    <row r="1048567" customFormat="false" ht="12.8" hidden="false" customHeight="false" outlineLevel="0" collapsed="false"/>
    <row r="1048568" customFormat="false" ht="12.8" hidden="false" customHeight="false" outlineLevel="0" collapsed="false"/>
    <row r="1048569" customFormat="false" ht="12.8" hidden="false" customHeight="false" outlineLevel="0" collapsed="false"/>
    <row r="1048570" customFormat="false" ht="12.8" hidden="false" customHeight="false" outlineLevel="0" collapsed="false"/>
    <row r="1048571" customFormat="false" ht="12.8" hidden="false" customHeight="false" outlineLevel="0" collapsed="false"/>
    <row r="1048572" customFormat="false" ht="12.8" hidden="false" customHeight="false" outlineLevel="0" collapsed="false"/>
    <row r="1048573" customFormat="false" ht="12.8" hidden="false" customHeight="false" outlineLevel="0" collapsed="false"/>
    <row r="1048574" customFormat="false" ht="12.8" hidden="false" customHeight="false" outlineLevel="0" collapsed="false"/>
    <row r="1048575" customFormat="false" ht="12.8" hidden="false" customHeight="false" outlineLevel="0" collapsed="false"/>
    <row r="1048576" customFormat="false" ht="12.8" hidden="false" customHeight="false" outlineLevel="0" collapsed="false"/>
  </sheetData>
  <autoFilter ref="A1:CG3">
    <sortState ref="A2:CG3">
      <sortCondition ref="A2:A3"/>
    </sortState>
  </autoFilter>
  <conditionalFormatting sqref="C1 C3:C1048576">
    <cfRule type="duplicateValues" priority="2" aboveAverage="0" equalAverage="0" bottom="0" percent="0" rank="0" text="" dxfId="8"/>
  </conditionalFormatting>
  <conditionalFormatting sqref="C3:C4">
    <cfRule type="duplicateValues" priority="3" aboveAverage="0" equalAverage="0" bottom="0" percent="0" rank="0" text="" dxfId="8"/>
  </conditionalFormatting>
  <conditionalFormatting sqref="C4">
    <cfRule type="duplicateValues" priority="4" aboveAverage="0" equalAverage="0" bottom="0" percent="0" rank="0" text="" dxfId="8"/>
  </conditionalFormatting>
  <conditionalFormatting sqref="C3">
    <cfRule type="duplicateValues" priority="5" aboveAverage="0" equalAverage="0" bottom="0" percent="0" rank="0" text="" dxfId="8"/>
  </conditionalFormatting>
  <conditionalFormatting sqref="C2">
    <cfRule type="duplicateValues" priority="6" aboveAverage="0" equalAverage="0" bottom="0" percent="0" rank="0" text="" dxfId="8"/>
  </conditionalFormatting>
  <dataValidations count="1">
    <dataValidation allowBlank="true" errorStyle="stop" operator="between" showDropDown="false" showErrorMessage="true" showInputMessage="true" sqref="CA1:CA1003" type="list">
      <formula1>'Gameplay Planning'!$1:$1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W11"/>
  <sheetViews>
    <sheetView showFormulas="false" showGridLines="true" showRowColHeaders="true" showZeros="true" rightToLeft="false" tabSelected="false" showOutlineSymbols="true" defaultGridColor="true" view="normal" topLeftCell="E1" colorId="64" zoomScale="100" zoomScaleNormal="100" zoomScalePageLayoutView="100" workbookViewId="0">
      <selection pane="topLeft" activeCell="W6" activeCellId="0" sqref="W6"/>
    </sheetView>
  </sheetViews>
  <sheetFormatPr defaultColWidth="8.6796875" defaultRowHeight="14.25" customHeight="false" zeroHeight="false" outlineLevelRow="0" outlineLevelCol="0"/>
  <cols>
    <col collapsed="false" customWidth="true" hidden="false" outlineLevel="0" max="2" min="2" style="0" width="29"/>
    <col collapsed="false" customWidth="true" hidden="false" outlineLevel="0" max="4" min="3" style="0" width="17.27"/>
    <col collapsed="false" customWidth="true" hidden="false" outlineLevel="0" max="5" min="5" style="0" width="6.54"/>
    <col collapsed="false" customWidth="true" hidden="false" outlineLevel="0" max="8" min="8" style="0" width="12"/>
    <col collapsed="false" customWidth="true" hidden="false" outlineLevel="0" max="10" min="9" style="0" width="16.18"/>
    <col collapsed="false" customWidth="true" hidden="false" outlineLevel="0" max="11" min="11" style="0" width="13.27"/>
    <col collapsed="false" customWidth="true" hidden="false" outlineLevel="0" max="13" min="13" style="0" width="14"/>
    <col collapsed="false" customWidth="true" hidden="false" outlineLevel="0" max="15" min="15" style="0" width="13.73"/>
    <col collapsed="false" customWidth="true" hidden="false" outlineLevel="0" max="16" min="16" style="0" width="3.18"/>
    <col collapsed="false" customWidth="true" hidden="false" outlineLevel="0" max="18" min="18" style="0" width="12.54"/>
    <col collapsed="false" customWidth="true" hidden="false" outlineLevel="0" max="19" min="19" style="0" width="12.45"/>
    <col collapsed="false" customWidth="true" hidden="false" outlineLevel="0" max="20" min="20" style="0" width="10.82"/>
    <col collapsed="false" customWidth="true" hidden="false" outlineLevel="0" max="21" min="21" style="0" width="4.45"/>
    <col collapsed="false" customWidth="true" hidden="false" outlineLevel="0" max="22" min="22" style="0" width="7"/>
  </cols>
  <sheetData>
    <row r="1" customFormat="false" ht="14.25" hidden="false" customHeight="false" outlineLevel="0" collapsed="false">
      <c r="C1" s="7" t="s">
        <v>102</v>
      </c>
      <c r="D1" s="7" t="s">
        <v>103</v>
      </c>
      <c r="E1" s="7" t="s">
        <v>104</v>
      </c>
      <c r="F1" s="7" t="s">
        <v>105</v>
      </c>
      <c r="G1" s="7" t="s">
        <v>106</v>
      </c>
      <c r="H1" s="7" t="s">
        <v>107</v>
      </c>
      <c r="I1" s="7" t="s">
        <v>108</v>
      </c>
      <c r="J1" s="7" t="s">
        <v>109</v>
      </c>
      <c r="K1" s="7" t="s">
        <v>110</v>
      </c>
      <c r="L1" s="7" t="s">
        <v>111</v>
      </c>
      <c r="M1" s="7" t="s">
        <v>112</v>
      </c>
      <c r="N1" s="7" t="s">
        <v>113</v>
      </c>
      <c r="O1" s="7" t="s">
        <v>114</v>
      </c>
      <c r="P1" s="7" t="s">
        <v>115</v>
      </c>
      <c r="Q1" s="7" t="s">
        <v>116</v>
      </c>
      <c r="R1" s="7" t="s">
        <v>97</v>
      </c>
      <c r="S1" s="7" t="s">
        <v>117</v>
      </c>
      <c r="T1" s="7" t="s">
        <v>118</v>
      </c>
      <c r="U1" s="7" t="s">
        <v>119</v>
      </c>
      <c r="V1" s="7" t="s">
        <v>120</v>
      </c>
      <c r="W1" s="7" t="s">
        <v>121</v>
      </c>
    </row>
    <row r="2" customFormat="false" ht="14.25" hidden="false" customHeight="false" outlineLevel="0" collapsed="false">
      <c r="A2" s="7" t="s">
        <v>122</v>
      </c>
      <c r="B2" s="7" t="s">
        <v>123</v>
      </c>
    </row>
    <row r="3" customFormat="false" ht="14.25" hidden="false" customHeight="false" outlineLevel="0" collapsed="false">
      <c r="A3" s="0" t="s">
        <v>124</v>
      </c>
      <c r="B3" s="0" t="str">
        <f aca="false">VLOOKUP(A3, Eras!$B$2:$C$10, 2, FALSE())</f>
        <v>Early (1800-1850)</v>
      </c>
      <c r="C3" s="0" t="n">
        <f aca="false">COUNTIF(Table!$CB:$CB,CONCATENATE($A3,"_",C$1))</f>
        <v>0</v>
      </c>
      <c r="D3" s="0" t="n">
        <f aca="false">COUNTIF(Table!$CB:$CB,CONCATENATE($A3,"_",D$1))</f>
        <v>0</v>
      </c>
      <c r="E3" s="0" t="n">
        <f aca="false">COUNTIF(Table!$CB:$CB,CONCATENATE($A3,"_",E$1))</f>
        <v>0</v>
      </c>
      <c r="F3" s="0" t="n">
        <f aca="false">COUNTIF(Table!$CB:$CB,CONCATENATE($A3,"_",F$1))</f>
        <v>0</v>
      </c>
      <c r="G3" s="0" t="n">
        <f aca="false">COUNTIF(Table!$CB:$CB,CONCATENATE($A3,"_",G$1))</f>
        <v>0</v>
      </c>
      <c r="H3" s="0" t="n">
        <f aca="false">COUNTIF(Table!$CB:$CB,CONCATENATE($A3,"_",H$1))</f>
        <v>0</v>
      </c>
      <c r="I3" s="0" t="n">
        <f aca="false">COUNTIF(Table!$CB:$CB,CONCATENATE($A3,"_",I$1))</f>
        <v>0</v>
      </c>
      <c r="J3" s="0" t="n">
        <f aca="false">COUNTIF(Table!$CB:$CB,CONCATENATE($A3,"_",J$1))</f>
        <v>0</v>
      </c>
      <c r="K3" s="0" t="n">
        <f aca="false">COUNTIF(Table!$CB:$CB,CONCATENATE($A3,"_",K$1))</f>
        <v>0</v>
      </c>
      <c r="L3" s="0" t="n">
        <f aca="false">COUNTIF(Table!$CB:$CB,CONCATENATE($A3,"_",L$1))</f>
        <v>0</v>
      </c>
      <c r="M3" s="0" t="n">
        <f aca="false">COUNTIF(Table!$CB:$CB,CONCATENATE($A3,"_",M$1))</f>
        <v>0</v>
      </c>
      <c r="N3" s="0" t="n">
        <f aca="false">COUNTIF(Table!$CB:$CB,CONCATENATE($A3,"_",N$1))</f>
        <v>0</v>
      </c>
      <c r="O3" s="0" t="n">
        <f aca="false">COUNTIF(Table!$CB:$CB,CONCATENATE($A3,"_",O$1))</f>
        <v>0</v>
      </c>
      <c r="P3" s="0" t="n">
        <f aca="false">COUNTIF(Table!$CB:$CB,CONCATENATE($A3,"_",P$1))</f>
        <v>0</v>
      </c>
      <c r="Q3" s="0" t="n">
        <f aca="false">COUNTIF(Table!$CB:$CB,CONCATENATE($A3,"_",Q$1))</f>
        <v>0</v>
      </c>
      <c r="R3" s="0" t="n">
        <f aca="false">COUNTIF(Table!$CB:$CB,CONCATENATE($A3,"_",R$1))</f>
        <v>0</v>
      </c>
      <c r="S3" s="0" t="n">
        <f aca="false">COUNTIF(Table!$CB:$CB,CONCATENATE($A3,"_",S$1))</f>
        <v>0</v>
      </c>
      <c r="T3" s="0" t="n">
        <f aca="false">COUNTIF(Table!$CB:$CB,CONCATENATE($A3,"_",T$1))</f>
        <v>0</v>
      </c>
      <c r="U3" s="0" t="n">
        <f aca="false">COUNTIF(Table!$CB:$CB,CONCATENATE($A3,"_",U$1))</f>
        <v>0</v>
      </c>
      <c r="V3" s="0" t="n">
        <f aca="false">COUNTIF(Table!$CB:$CB,CONCATENATE($A3,"_",V$1))</f>
        <v>0</v>
      </c>
      <c r="W3" s="0" t="n">
        <f aca="false">COUNTIF(Table!$CB:$CB,CONCATENATE($A3,"_",W$1))</f>
        <v>0</v>
      </c>
    </row>
    <row r="4" customFormat="false" ht="14.25" hidden="false" customHeight="false" outlineLevel="0" collapsed="false">
      <c r="A4" s="0" t="s">
        <v>125</v>
      </c>
      <c r="B4" s="0" t="str">
        <f aca="false">VLOOKUP(A4, Eras!$B$2:$C$10, 2, FALSE())</f>
        <v>Victorian (1850-1900)</v>
      </c>
      <c r="C4" s="0" t="n">
        <f aca="false">COUNTIF(Table!$CB:$CB,CONCATENATE($A4,"_",C$1))</f>
        <v>0</v>
      </c>
      <c r="D4" s="0" t="n">
        <f aca="false">COUNTIF(Table!$CB:$CB,CONCATENATE($A4,"_",D$1))</f>
        <v>0</v>
      </c>
      <c r="E4" s="0" t="n">
        <f aca="false">COUNTIF(Table!$CB:$CB,CONCATENATE($A4,"_",E$1))</f>
        <v>0</v>
      </c>
      <c r="F4" s="0" t="n">
        <f aca="false">COUNTIF(Table!$CB:$CB,CONCATENATE($A4,"_",F$1))</f>
        <v>0</v>
      </c>
      <c r="G4" s="0" t="n">
        <f aca="false">COUNTIF(Table!$CB:$CB,CONCATENATE($A4,"_",G$1))</f>
        <v>0</v>
      </c>
      <c r="H4" s="0" t="n">
        <f aca="false">COUNTIF(Table!$CB:$CB,CONCATENATE($A4,"_",H$1))</f>
        <v>0</v>
      </c>
      <c r="I4" s="0" t="n">
        <f aca="false">COUNTIF(Table!$CB:$CB,CONCATENATE($A4,"_",I$1))</f>
        <v>0</v>
      </c>
      <c r="J4" s="0" t="n">
        <f aca="false">COUNTIF(Table!$CB:$CB,CONCATENATE($A4,"_",J$1))</f>
        <v>0</v>
      </c>
      <c r="K4" s="0" t="n">
        <f aca="false">COUNTIF(Table!$CB:$CB,CONCATENATE($A4,"_",K$1))</f>
        <v>0</v>
      </c>
      <c r="L4" s="0" t="n">
        <f aca="false">COUNTIF(Table!$CB:$CB,CONCATENATE($A4,"_",L$1))</f>
        <v>0</v>
      </c>
      <c r="M4" s="0" t="n">
        <f aca="false">COUNTIF(Table!$CB:$CB,CONCATENATE($A4,"_",M$1))</f>
        <v>0</v>
      </c>
      <c r="N4" s="0" t="n">
        <f aca="false">COUNTIF(Table!$CB:$CB,CONCATENATE($A4,"_",N$1))</f>
        <v>0</v>
      </c>
      <c r="O4" s="0" t="n">
        <f aca="false">COUNTIF(Table!$CB:$CB,CONCATENATE($A4,"_",O$1))</f>
        <v>0</v>
      </c>
      <c r="P4" s="0" t="n">
        <f aca="false">COUNTIF(Table!$CB:$CB,CONCATENATE($A4,"_",P$1))</f>
        <v>0</v>
      </c>
      <c r="Q4" s="0" t="n">
        <f aca="false">COUNTIF(Table!$CB:$CB,CONCATENATE($A4,"_",Q$1))</f>
        <v>0</v>
      </c>
      <c r="R4" s="0" t="n">
        <f aca="false">COUNTIF(Table!$CB:$CB,CONCATENATE($A4,"_",R$1))</f>
        <v>1</v>
      </c>
      <c r="S4" s="0" t="n">
        <f aca="false">COUNTIF(Table!$CB:$CB,CONCATENATE($A4,"_",S$1))</f>
        <v>0</v>
      </c>
      <c r="T4" s="0" t="n">
        <f aca="false">COUNTIF(Table!$CB:$CB,CONCATENATE($A4,"_",T$1))</f>
        <v>0</v>
      </c>
      <c r="U4" s="0" t="n">
        <f aca="false">COUNTIF(Table!$CB:$CB,CONCATENATE($A4,"_",U$1))</f>
        <v>0</v>
      </c>
      <c r="V4" s="0" t="n">
        <f aca="false">COUNTIF(Table!$CB:$CB,CONCATENATE($A4,"_",V$1))</f>
        <v>0</v>
      </c>
      <c r="W4" s="0" t="n">
        <f aca="false">COUNTIF(Table!$CB:$CB,CONCATENATE($A4,"_",W$1))</f>
        <v>0</v>
      </c>
    </row>
    <row r="5" customFormat="false" ht="14.25" hidden="false" customHeight="false" outlineLevel="0" collapsed="false">
      <c r="A5" s="0" t="s">
        <v>126</v>
      </c>
      <c r="B5" s="0" t="str">
        <f aca="false">VLOOKUP(A5, Eras!$B$2:$C$10, 2, FALSE())</f>
        <v>Edwardian (1900-1920)</v>
      </c>
      <c r="C5" s="0" t="n">
        <f aca="false">COUNTIF(Table!$CB:$CB,CONCATENATE($A5,"_",C$1))</f>
        <v>0</v>
      </c>
      <c r="D5" s="0" t="n">
        <f aca="false">COUNTIF(Table!$CB:$CB,CONCATENATE($A5,"_",D$1))</f>
        <v>0</v>
      </c>
      <c r="E5" s="0" t="n">
        <f aca="false">COUNTIF(Table!$CB:$CB,CONCATENATE($A5,"_",E$1))</f>
        <v>0</v>
      </c>
      <c r="F5" s="0" t="n">
        <f aca="false">COUNTIF(Table!$CB:$CB,CONCATENATE($A5,"_",F$1))</f>
        <v>0</v>
      </c>
      <c r="G5" s="0" t="n">
        <f aca="false">COUNTIF(Table!$CB:$CB,CONCATENATE($A5,"_",G$1))</f>
        <v>0</v>
      </c>
      <c r="H5" s="0" t="n">
        <f aca="false">COUNTIF(Table!$CB:$CB,CONCATENATE($A5,"_",H$1))</f>
        <v>0</v>
      </c>
      <c r="I5" s="0" t="n">
        <f aca="false">COUNTIF(Table!$CB:$CB,CONCATENATE($A5,"_",I$1))</f>
        <v>0</v>
      </c>
      <c r="J5" s="0" t="n">
        <f aca="false">COUNTIF(Table!$CB:$CB,CONCATENATE($A5,"_",J$1))</f>
        <v>0</v>
      </c>
      <c r="K5" s="0" t="n">
        <f aca="false">COUNTIF(Table!$CB:$CB,CONCATENATE($A5,"_",K$1))</f>
        <v>0</v>
      </c>
      <c r="L5" s="0" t="n">
        <f aca="false">COUNTIF(Table!$CB:$CB,CONCATENATE($A5,"_",L$1))</f>
        <v>0</v>
      </c>
      <c r="M5" s="0" t="n">
        <f aca="false">COUNTIF(Table!$CB:$CB,CONCATENATE($A5,"_",M$1))</f>
        <v>0</v>
      </c>
      <c r="N5" s="0" t="n">
        <f aca="false">COUNTIF(Table!$CB:$CB,CONCATENATE($A5,"_",N$1))</f>
        <v>0</v>
      </c>
      <c r="O5" s="0" t="n">
        <f aca="false">COUNTIF(Table!$CB:$CB,CONCATENATE($A5,"_",O$1))</f>
        <v>0</v>
      </c>
      <c r="P5" s="0" t="n">
        <f aca="false">COUNTIF(Table!$CB:$CB,CONCATENATE($A5,"_",P$1))</f>
        <v>0</v>
      </c>
      <c r="Q5" s="0" t="n">
        <f aca="false">COUNTIF(Table!$CB:$CB,CONCATENATE($A5,"_",Q$1))</f>
        <v>0</v>
      </c>
      <c r="R5" s="0" t="n">
        <f aca="false">COUNTIF(Table!$CB:$CB,CONCATENATE($A5,"_",R$1))</f>
        <v>1</v>
      </c>
      <c r="S5" s="0" t="n">
        <f aca="false">COUNTIF(Table!$CB:$CB,CONCATENATE($A5,"_",S$1))</f>
        <v>0</v>
      </c>
      <c r="T5" s="0" t="n">
        <f aca="false">COUNTIF(Table!$CB:$CB,CONCATENATE($A5,"_",T$1))</f>
        <v>0</v>
      </c>
      <c r="U5" s="0" t="n">
        <f aca="false">COUNTIF(Table!$CB:$CB,CONCATENATE($A5,"_",U$1))</f>
        <v>0</v>
      </c>
      <c r="V5" s="0" t="n">
        <f aca="false">COUNTIF(Table!$CB:$CB,CONCATENATE($A5,"_",V$1))</f>
        <v>0</v>
      </c>
      <c r="W5" s="0" t="n">
        <f aca="false">COUNTIF(Table!$CB:$CB,CONCATENATE($A5,"_",W$1))</f>
        <v>0</v>
      </c>
    </row>
    <row r="6" customFormat="false" ht="14.25" hidden="false" customHeight="false" outlineLevel="0" collapsed="false">
      <c r="A6" s="0" t="s">
        <v>127</v>
      </c>
      <c r="B6" s="0" t="str">
        <f aca="false">VLOOKUP(A6, Eras!$B$2:$C$10, 2, FALSE())</f>
        <v>Big Four (1923-1948)</v>
      </c>
      <c r="C6" s="0" t="n">
        <f aca="false">COUNTIF(Table!$CB:$CB,CONCATENATE($A6,"_",C$1))</f>
        <v>0</v>
      </c>
      <c r="D6" s="0" t="n">
        <f aca="false">COUNTIF(Table!$CB:$CB,CONCATENATE($A6,"_",D$1))</f>
        <v>0</v>
      </c>
      <c r="E6" s="0" t="n">
        <f aca="false">COUNTIF(Table!$CB:$CB,CONCATENATE($A6,"_",E$1))</f>
        <v>0</v>
      </c>
      <c r="F6" s="0" t="n">
        <f aca="false">COUNTIF(Table!$CB:$CB,CONCATENATE($A6,"_",F$1))</f>
        <v>0</v>
      </c>
      <c r="G6" s="0" t="n">
        <f aca="false">COUNTIF(Table!$CB:$CB,CONCATENATE($A6,"_",G$1))</f>
        <v>0</v>
      </c>
      <c r="H6" s="0" t="n">
        <f aca="false">COUNTIF(Table!$CB:$CB,CONCATENATE($A6,"_",H$1))</f>
        <v>0</v>
      </c>
      <c r="I6" s="0" t="n">
        <f aca="false">COUNTIF(Table!$CB:$CB,CONCATENATE($A6,"_",I$1))</f>
        <v>0</v>
      </c>
      <c r="J6" s="0" t="n">
        <f aca="false">COUNTIF(Table!$CB:$CB,CONCATENATE($A6,"_",J$1))</f>
        <v>0</v>
      </c>
      <c r="K6" s="0" t="n">
        <f aca="false">COUNTIF(Table!$CB:$CB,CONCATENATE($A6,"_",K$1))</f>
        <v>0</v>
      </c>
      <c r="L6" s="0" t="n">
        <f aca="false">COUNTIF(Table!$CB:$CB,CONCATENATE($A6,"_",L$1))</f>
        <v>0</v>
      </c>
      <c r="M6" s="0" t="n">
        <f aca="false">COUNTIF(Table!$CB:$CB,CONCATENATE($A6,"_",M$1))</f>
        <v>0</v>
      </c>
      <c r="N6" s="0" t="n">
        <f aca="false">COUNTIF(Table!$CB:$CB,CONCATENATE($A6,"_",N$1))</f>
        <v>0</v>
      </c>
      <c r="O6" s="0" t="n">
        <f aca="false">COUNTIF(Table!$CB:$CB,CONCATENATE($A6,"_",O$1))</f>
        <v>0</v>
      </c>
      <c r="P6" s="0" t="n">
        <f aca="false">COUNTIF(Table!$CB:$CB,CONCATENATE($A6,"_",P$1))</f>
        <v>0</v>
      </c>
      <c r="Q6" s="0" t="n">
        <f aca="false">COUNTIF(Table!$CB:$CB,CONCATENATE($A6,"_",Q$1))</f>
        <v>0</v>
      </c>
      <c r="R6" s="0" t="n">
        <f aca="false">COUNTIF(Table!$CB:$CB,CONCATENATE($A6,"_",R$1))</f>
        <v>0</v>
      </c>
      <c r="S6" s="0" t="n">
        <f aca="false">COUNTIF(Table!$CB:$CB,CONCATENATE($A6,"_",S$1))</f>
        <v>0</v>
      </c>
      <c r="T6" s="0" t="n">
        <f aca="false">COUNTIF(Table!$CB:$CB,CONCATENATE($A6,"_",T$1))</f>
        <v>0</v>
      </c>
      <c r="U6" s="0" t="n">
        <f aca="false">COUNTIF(Table!$CB:$CB,CONCATENATE($A6,"_",U$1))</f>
        <v>0</v>
      </c>
      <c r="V6" s="0" t="n">
        <f aca="false">COUNTIF(Table!$CB:$CB,CONCATENATE($A6,"_",V$1))</f>
        <v>0</v>
      </c>
      <c r="W6" s="0" t="n">
        <f aca="false">COUNTIF(Table!$CB:$CB,CONCATENATE($A6,"_",W$1))</f>
        <v>0</v>
      </c>
    </row>
    <row r="7" customFormat="false" ht="14.25" hidden="false" customHeight="false" outlineLevel="0" collapsed="false">
      <c r="A7" s="0" t="s">
        <v>128</v>
      </c>
      <c r="B7" s="0" t="str">
        <f aca="false">VLOOKUP(A7, Eras!$B$2:$C$10, 2, FALSE())</f>
        <v>Early BR (1948-1955)</v>
      </c>
      <c r="C7" s="0" t="n">
        <f aca="false">COUNTIF(Table!$CB:$CB,CONCATENATE($A7,"_",C$1))</f>
        <v>0</v>
      </c>
      <c r="D7" s="0" t="n">
        <f aca="false">COUNTIF(Table!$CB:$CB,CONCATENATE($A7,"_",D$1))</f>
        <v>0</v>
      </c>
      <c r="E7" s="0" t="n">
        <f aca="false">COUNTIF(Table!$CB:$CB,CONCATENATE($A7,"_",E$1))</f>
        <v>0</v>
      </c>
      <c r="F7" s="0" t="n">
        <f aca="false">COUNTIF(Table!$CB:$CB,CONCATENATE($A7,"_",F$1))</f>
        <v>0</v>
      </c>
      <c r="G7" s="0" t="n">
        <f aca="false">COUNTIF(Table!$CB:$CB,CONCATENATE($A7,"_",G$1))</f>
        <v>0</v>
      </c>
      <c r="H7" s="0" t="n">
        <f aca="false">COUNTIF(Table!$CB:$CB,CONCATENATE($A7,"_",H$1))</f>
        <v>0</v>
      </c>
      <c r="I7" s="0" t="n">
        <f aca="false">COUNTIF(Table!$CB:$CB,CONCATENATE($A7,"_",I$1))</f>
        <v>0</v>
      </c>
      <c r="J7" s="0" t="n">
        <f aca="false">COUNTIF(Table!$CB:$CB,CONCATENATE($A7,"_",J$1))</f>
        <v>0</v>
      </c>
      <c r="K7" s="0" t="n">
        <f aca="false">COUNTIF(Table!$CB:$CB,CONCATENATE($A7,"_",K$1))</f>
        <v>0</v>
      </c>
      <c r="L7" s="0" t="n">
        <f aca="false">COUNTIF(Table!$CB:$CB,CONCATENATE($A7,"_",L$1))</f>
        <v>0</v>
      </c>
      <c r="M7" s="0" t="n">
        <f aca="false">COUNTIF(Table!$CB:$CB,CONCATENATE($A7,"_",M$1))</f>
        <v>0</v>
      </c>
      <c r="N7" s="0" t="n">
        <f aca="false">COUNTIF(Table!$CB:$CB,CONCATENATE($A7,"_",N$1))</f>
        <v>0</v>
      </c>
      <c r="O7" s="0" t="n">
        <f aca="false">COUNTIF(Table!$CB:$CB,CONCATENATE($A7,"_",O$1))</f>
        <v>0</v>
      </c>
      <c r="P7" s="0" t="n">
        <f aca="false">COUNTIF(Table!$CB:$CB,CONCATENATE($A7,"_",P$1))</f>
        <v>0</v>
      </c>
      <c r="Q7" s="0" t="n">
        <f aca="false">COUNTIF(Table!$CB:$CB,CONCATENATE($A7,"_",Q$1))</f>
        <v>0</v>
      </c>
      <c r="R7" s="0" t="n">
        <f aca="false">COUNTIF(Table!$CB:$CB,CONCATENATE($A7,"_",R$1))</f>
        <v>0</v>
      </c>
      <c r="S7" s="0" t="n">
        <f aca="false">COUNTIF(Table!$CB:$CB,CONCATENATE($A7,"_",S$1))</f>
        <v>0</v>
      </c>
      <c r="T7" s="0" t="n">
        <f aca="false">COUNTIF(Table!$CB:$CB,CONCATENATE($A7,"_",T$1))</f>
        <v>0</v>
      </c>
      <c r="U7" s="0" t="n">
        <f aca="false">COUNTIF(Table!$CB:$CB,CONCATENATE($A7,"_",U$1))</f>
        <v>0</v>
      </c>
      <c r="V7" s="0" t="n">
        <f aca="false">COUNTIF(Table!$CB:$CB,CONCATENATE($A7,"_",V$1))</f>
        <v>0</v>
      </c>
      <c r="W7" s="0" t="n">
        <f aca="false">COUNTIF(Table!$CB:$CB,CONCATENATE($A7,"_",W$1))</f>
        <v>0</v>
      </c>
    </row>
    <row r="8" customFormat="false" ht="14.25" hidden="false" customHeight="false" outlineLevel="0" collapsed="false">
      <c r="A8" s="0" t="s">
        <v>129</v>
      </c>
      <c r="B8" s="0" t="str">
        <f aca="false">VLOOKUP(A8, Eras!$B$2:$C$10, 2, FALSE())</f>
        <v>Dieselisation (1955-1970)</v>
      </c>
      <c r="C8" s="0" t="n">
        <f aca="false">COUNTIF(Table!$CB:$CB,CONCATENATE($A8,"_",C$1))</f>
        <v>0</v>
      </c>
      <c r="D8" s="0" t="n">
        <f aca="false">COUNTIF(Table!$CB:$CB,CONCATENATE($A8,"_",D$1))</f>
        <v>0</v>
      </c>
      <c r="E8" s="0" t="n">
        <f aca="false">COUNTIF(Table!$CB:$CB,CONCATENATE($A8,"_",E$1))</f>
        <v>0</v>
      </c>
      <c r="F8" s="0" t="n">
        <f aca="false">COUNTIF(Table!$CB:$CB,CONCATENATE($A8,"_",F$1))</f>
        <v>0</v>
      </c>
      <c r="G8" s="0" t="n">
        <f aca="false">COUNTIF(Table!$CB:$CB,CONCATENATE($A8,"_",G$1))</f>
        <v>0</v>
      </c>
      <c r="H8" s="0" t="n">
        <f aca="false">COUNTIF(Table!$CB:$CB,CONCATENATE($A8,"_",H$1))</f>
        <v>0</v>
      </c>
      <c r="I8" s="0" t="n">
        <f aca="false">COUNTIF(Table!$CB:$CB,CONCATENATE($A8,"_",I$1))</f>
        <v>0</v>
      </c>
      <c r="J8" s="0" t="n">
        <f aca="false">COUNTIF(Table!$CB:$CB,CONCATENATE($A8,"_",J$1))</f>
        <v>0</v>
      </c>
      <c r="K8" s="0" t="n">
        <f aca="false">COUNTIF(Table!$CB:$CB,CONCATENATE($A8,"_",K$1))</f>
        <v>0</v>
      </c>
      <c r="L8" s="0" t="n">
        <f aca="false">COUNTIF(Table!$CB:$CB,CONCATENATE($A8,"_",L$1))</f>
        <v>0</v>
      </c>
      <c r="M8" s="0" t="n">
        <f aca="false">COUNTIF(Table!$CB:$CB,CONCATENATE($A8,"_",M$1))</f>
        <v>0</v>
      </c>
      <c r="N8" s="0" t="n">
        <f aca="false">COUNTIF(Table!$CB:$CB,CONCATENATE($A8,"_",N$1))</f>
        <v>0</v>
      </c>
      <c r="O8" s="0" t="n">
        <f aca="false">COUNTIF(Table!$CB:$CB,CONCATENATE($A8,"_",O$1))</f>
        <v>0</v>
      </c>
      <c r="P8" s="0" t="n">
        <f aca="false">COUNTIF(Table!$CB:$CB,CONCATENATE($A8,"_",P$1))</f>
        <v>0</v>
      </c>
      <c r="Q8" s="0" t="n">
        <f aca="false">COUNTIF(Table!$CB:$CB,CONCATENATE($A8,"_",Q$1))</f>
        <v>0</v>
      </c>
      <c r="R8" s="0" t="n">
        <f aca="false">COUNTIF(Table!$CB:$CB,CONCATENATE($A8,"_",R$1))</f>
        <v>0</v>
      </c>
      <c r="S8" s="0" t="n">
        <f aca="false">COUNTIF(Table!$CB:$CB,CONCATENATE($A8,"_",S$1))</f>
        <v>0</v>
      </c>
      <c r="T8" s="0" t="n">
        <f aca="false">COUNTIF(Table!$CB:$CB,CONCATENATE($A8,"_",T$1))</f>
        <v>0</v>
      </c>
      <c r="U8" s="0" t="n">
        <f aca="false">COUNTIF(Table!$CB:$CB,CONCATENATE($A8,"_",U$1))</f>
        <v>0</v>
      </c>
      <c r="V8" s="0" t="n">
        <f aca="false">COUNTIF(Table!$CB:$CB,CONCATENATE($A8,"_",V$1))</f>
        <v>0</v>
      </c>
      <c r="W8" s="0" t="n">
        <f aca="false">COUNTIF(Table!$CB:$CB,CONCATENATE($A8,"_",W$1))</f>
        <v>0</v>
      </c>
    </row>
    <row r="9" customFormat="false" ht="14.25" hidden="false" customHeight="false" outlineLevel="0" collapsed="false">
      <c r="A9" s="0" t="s">
        <v>130</v>
      </c>
      <c r="B9" s="0" t="str">
        <f aca="false">VLOOKUP(A9, Eras!$B$2:$C$10, 2, FALSE())</f>
        <v>Late BR (1970-1995)</v>
      </c>
      <c r="C9" s="0" t="n">
        <f aca="false">COUNTIF(Table!$CB:$CB,CONCATENATE($A9,"_",C$1))</f>
        <v>0</v>
      </c>
      <c r="D9" s="0" t="n">
        <f aca="false">COUNTIF(Table!$CB:$CB,CONCATENATE($A9,"_",D$1))</f>
        <v>0</v>
      </c>
      <c r="E9" s="0" t="n">
        <f aca="false">COUNTIF(Table!$CB:$CB,CONCATENATE($A9,"_",E$1))</f>
        <v>0</v>
      </c>
      <c r="F9" s="0" t="n">
        <f aca="false">COUNTIF(Table!$CB:$CB,CONCATENATE($A9,"_",F$1))</f>
        <v>0</v>
      </c>
      <c r="G9" s="0" t="n">
        <f aca="false">COUNTIF(Table!$CB:$CB,CONCATENATE($A9,"_",G$1))</f>
        <v>0</v>
      </c>
      <c r="H9" s="0" t="n">
        <f aca="false">COUNTIF(Table!$CB:$CB,CONCATENATE($A9,"_",H$1))</f>
        <v>0</v>
      </c>
      <c r="I9" s="0" t="n">
        <f aca="false">COUNTIF(Table!$CB:$CB,CONCATENATE($A9,"_",I$1))</f>
        <v>0</v>
      </c>
      <c r="J9" s="0" t="n">
        <f aca="false">COUNTIF(Table!$CB:$CB,CONCATENATE($A9,"_",J$1))</f>
        <v>0</v>
      </c>
      <c r="K9" s="0" t="n">
        <f aca="false">COUNTIF(Table!$CB:$CB,CONCATENATE($A9,"_",K$1))</f>
        <v>0</v>
      </c>
      <c r="L9" s="0" t="n">
        <f aca="false">COUNTIF(Table!$CB:$CB,CONCATENATE($A9,"_",L$1))</f>
        <v>0</v>
      </c>
      <c r="M9" s="0" t="n">
        <f aca="false">COUNTIF(Table!$CB:$CB,CONCATENATE($A9,"_",M$1))</f>
        <v>0</v>
      </c>
      <c r="N9" s="0" t="n">
        <f aca="false">COUNTIF(Table!$CB:$CB,CONCATENATE($A9,"_",N$1))</f>
        <v>0</v>
      </c>
      <c r="O9" s="0" t="n">
        <f aca="false">COUNTIF(Table!$CB:$CB,CONCATENATE($A9,"_",O$1))</f>
        <v>0</v>
      </c>
      <c r="P9" s="0" t="n">
        <f aca="false">COUNTIF(Table!$CB:$CB,CONCATENATE($A9,"_",P$1))</f>
        <v>0</v>
      </c>
      <c r="Q9" s="0" t="n">
        <f aca="false">COUNTIF(Table!$CB:$CB,CONCATENATE($A9,"_",Q$1))</f>
        <v>0</v>
      </c>
      <c r="R9" s="0" t="n">
        <f aca="false">COUNTIF(Table!$CB:$CB,CONCATENATE($A9,"_",R$1))</f>
        <v>0</v>
      </c>
      <c r="S9" s="0" t="n">
        <f aca="false">COUNTIF(Table!$CB:$CB,CONCATENATE($A9,"_",S$1))</f>
        <v>0</v>
      </c>
      <c r="T9" s="0" t="n">
        <f aca="false">COUNTIF(Table!$CB:$CB,CONCATENATE($A9,"_",T$1))</f>
        <v>0</v>
      </c>
      <c r="U9" s="0" t="n">
        <f aca="false">COUNTIF(Table!$CB:$CB,CONCATENATE($A9,"_",U$1))</f>
        <v>0</v>
      </c>
      <c r="V9" s="0" t="n">
        <f aca="false">COUNTIF(Table!$CB:$CB,CONCATENATE($A9,"_",V$1))</f>
        <v>0</v>
      </c>
      <c r="W9" s="0" t="n">
        <f aca="false">COUNTIF(Table!$CB:$CB,CONCATENATE($A9,"_",W$1))</f>
        <v>0</v>
      </c>
    </row>
    <row r="10" customFormat="false" ht="14.25" hidden="false" customHeight="false" outlineLevel="0" collapsed="false">
      <c r="A10" s="0" t="s">
        <v>131</v>
      </c>
      <c r="B10" s="0" t="str">
        <f aca="false">VLOOKUP(A10, Eras!$B$2:$C$10, 2, FALSE())</f>
        <v>Privatisation (1995-2005)</v>
      </c>
      <c r="C10" s="0" t="n">
        <f aca="false">COUNTIF(Table!$CB:$CB,CONCATENATE($A10,"_",C$1))</f>
        <v>0</v>
      </c>
      <c r="D10" s="0" t="n">
        <f aca="false">COUNTIF(Table!$CB:$CB,CONCATENATE($A10,"_",D$1))</f>
        <v>0</v>
      </c>
      <c r="E10" s="0" t="n">
        <f aca="false">COUNTIF(Table!$CB:$CB,CONCATENATE($A10,"_",E$1))</f>
        <v>0</v>
      </c>
      <c r="F10" s="0" t="n">
        <f aca="false">COUNTIF(Table!$CB:$CB,CONCATENATE($A10,"_",F$1))</f>
        <v>0</v>
      </c>
      <c r="G10" s="0" t="n">
        <f aca="false">COUNTIF(Table!$CB:$CB,CONCATENATE($A10,"_",G$1))</f>
        <v>0</v>
      </c>
      <c r="H10" s="0" t="n">
        <f aca="false">COUNTIF(Table!$CB:$CB,CONCATENATE($A10,"_",H$1))</f>
        <v>0</v>
      </c>
      <c r="I10" s="0" t="n">
        <f aca="false">COUNTIF(Table!$CB:$CB,CONCATENATE($A10,"_",I$1))</f>
        <v>0</v>
      </c>
      <c r="J10" s="0" t="n">
        <f aca="false">COUNTIF(Table!$CB:$CB,CONCATENATE($A10,"_",J$1))</f>
        <v>0</v>
      </c>
      <c r="K10" s="0" t="n">
        <f aca="false">COUNTIF(Table!$CB:$CB,CONCATENATE($A10,"_",K$1))</f>
        <v>0</v>
      </c>
      <c r="L10" s="0" t="n">
        <f aca="false">COUNTIF(Table!$CB:$CB,CONCATENATE($A10,"_",L$1))</f>
        <v>0</v>
      </c>
      <c r="M10" s="0" t="n">
        <f aca="false">COUNTIF(Table!$CB:$CB,CONCATENATE($A10,"_",M$1))</f>
        <v>0</v>
      </c>
      <c r="N10" s="0" t="n">
        <f aca="false">COUNTIF(Table!$CB:$CB,CONCATENATE($A10,"_",N$1))</f>
        <v>0</v>
      </c>
      <c r="O10" s="0" t="n">
        <f aca="false">COUNTIF(Table!$CB:$CB,CONCATENATE($A10,"_",O$1))</f>
        <v>0</v>
      </c>
      <c r="P10" s="0" t="n">
        <f aca="false">COUNTIF(Table!$CB:$CB,CONCATENATE($A10,"_",P$1))</f>
        <v>0</v>
      </c>
      <c r="Q10" s="0" t="n">
        <f aca="false">COUNTIF(Table!$CB:$CB,CONCATENATE($A10,"_",Q$1))</f>
        <v>0</v>
      </c>
      <c r="R10" s="0" t="n">
        <f aca="false">COUNTIF(Table!$CB:$CB,CONCATENATE($A10,"_",R$1))</f>
        <v>0</v>
      </c>
      <c r="S10" s="0" t="n">
        <f aca="false">COUNTIF(Table!$CB:$CB,CONCATENATE($A10,"_",S$1))</f>
        <v>0</v>
      </c>
      <c r="T10" s="0" t="n">
        <f aca="false">COUNTIF(Table!$CB:$CB,CONCATENATE($A10,"_",T$1))</f>
        <v>0</v>
      </c>
      <c r="U10" s="0" t="n">
        <f aca="false">COUNTIF(Table!$CB:$CB,CONCATENATE($A10,"_",U$1))</f>
        <v>0</v>
      </c>
      <c r="V10" s="0" t="n">
        <f aca="false">COUNTIF(Table!$CB:$CB,CONCATENATE($A10,"_",V$1))</f>
        <v>0</v>
      </c>
      <c r="W10" s="0" t="n">
        <f aca="false">COUNTIF(Table!$CB:$CB,CONCATENATE($A10,"_",W$1))</f>
        <v>0</v>
      </c>
    </row>
    <row r="11" customFormat="false" ht="14.25" hidden="false" customHeight="false" outlineLevel="0" collapsed="false">
      <c r="A11" s="0" t="s">
        <v>132</v>
      </c>
      <c r="B11" s="0" t="str">
        <f aca="false">VLOOKUP(A11, Eras!$B$2:$C$10, 2, FALSE())</f>
        <v>Modern (2005-)</v>
      </c>
      <c r="C11" s="0" t="n">
        <f aca="false">COUNTIF(Table!$CB:$CB,CONCATENATE($A11,"_",C$1))</f>
        <v>0</v>
      </c>
      <c r="D11" s="0" t="n">
        <f aca="false">COUNTIF(Table!$CB:$CB,CONCATENATE($A11,"_",D$1))</f>
        <v>0</v>
      </c>
      <c r="E11" s="0" t="n">
        <f aca="false">COUNTIF(Table!$CB:$CB,CONCATENATE($A11,"_",E$1))</f>
        <v>0</v>
      </c>
      <c r="F11" s="0" t="n">
        <f aca="false">COUNTIF(Table!$CB:$CB,CONCATENATE($A11,"_",F$1))</f>
        <v>0</v>
      </c>
      <c r="G11" s="0" t="n">
        <f aca="false">COUNTIF(Table!$CB:$CB,CONCATENATE($A11,"_",G$1))</f>
        <v>0</v>
      </c>
      <c r="H11" s="0" t="n">
        <f aca="false">COUNTIF(Table!$CB:$CB,CONCATENATE($A11,"_",H$1))</f>
        <v>0</v>
      </c>
      <c r="I11" s="0" t="n">
        <f aca="false">COUNTIF(Table!$CB:$CB,CONCATENATE($A11,"_",I$1))</f>
        <v>0</v>
      </c>
      <c r="J11" s="0" t="n">
        <f aca="false">COUNTIF(Table!$CB:$CB,CONCATENATE($A11,"_",J$1))</f>
        <v>0</v>
      </c>
      <c r="K11" s="0" t="n">
        <f aca="false">COUNTIF(Table!$CB:$CB,CONCATENATE($A11,"_",K$1))</f>
        <v>0</v>
      </c>
      <c r="L11" s="0" t="n">
        <f aca="false">COUNTIF(Table!$CB:$CB,CONCATENATE($A11,"_",L$1))</f>
        <v>0</v>
      </c>
      <c r="M11" s="0" t="n">
        <f aca="false">COUNTIF(Table!$CB:$CB,CONCATENATE($A11,"_",M$1))</f>
        <v>0</v>
      </c>
      <c r="N11" s="0" t="n">
        <f aca="false">COUNTIF(Table!$CB:$CB,CONCATENATE($A11,"_",N$1))</f>
        <v>0</v>
      </c>
      <c r="O11" s="0" t="n">
        <f aca="false">COUNTIF(Table!$CB:$CB,CONCATENATE($A11,"_",O$1))</f>
        <v>0</v>
      </c>
      <c r="P11" s="0" t="n">
        <f aca="false">COUNTIF(Table!$CB:$CB,CONCATENATE($A11,"_",P$1))</f>
        <v>0</v>
      </c>
      <c r="Q11" s="0" t="n">
        <f aca="false">COUNTIF(Table!$CB:$CB,CONCATENATE($A11,"_",Q$1))</f>
        <v>0</v>
      </c>
      <c r="R11" s="0" t="n">
        <f aca="false">COUNTIF(Table!$CB:$CB,CONCATENATE($A11,"_",R$1))</f>
        <v>0</v>
      </c>
      <c r="S11" s="0" t="n">
        <f aca="false">COUNTIF(Table!$CB:$CB,CONCATENATE($A11,"_",S$1))</f>
        <v>0</v>
      </c>
      <c r="T11" s="0" t="n">
        <f aca="false">COUNTIF(Table!$CB:$CB,CONCATENATE($A11,"_",T$1))</f>
        <v>0</v>
      </c>
      <c r="U11" s="0" t="n">
        <f aca="false">COUNTIF(Table!$CB:$CB,CONCATENATE($A11,"_",U$1))</f>
        <v>0</v>
      </c>
      <c r="V11" s="0" t="n">
        <f aca="false">COUNTIF(Table!$CB:$CB,CONCATENATE($A11,"_",V$1))</f>
        <v>0</v>
      </c>
      <c r="W11" s="0" t="n">
        <f aca="false">COUNTIF(Table!$CB:$CB,CONCATENATE($A11,"_",W$1))</f>
        <v>0</v>
      </c>
    </row>
  </sheetData>
  <conditionalFormatting sqref="C3:C11 E8:V11 E3:G7 J6:V7 J5:K5 P3:V5 N5 W3:W11">
    <cfRule type="colorScale" priority="2">
      <colorScale>
        <cfvo type="min" val="0"/>
        <cfvo type="num" val="1"/>
        <cfvo type="max" val="0"/>
        <color rgb="FFC55A11"/>
        <color rgb="FFFFEB84"/>
        <color rgb="FFA9D18E"/>
      </colorScale>
    </cfRule>
    <cfRule type="cellIs" priority="3" operator="lessThan" aboveAverage="0" equalAverage="0" bottom="0" percent="0" rank="0" text="" dxfId="9">
      <formula>1</formula>
    </cfRule>
  </conditionalFormatting>
  <conditionalFormatting sqref="D3:D11">
    <cfRule type="colorScale" priority="4">
      <colorScale>
        <cfvo type="min" val="0"/>
        <cfvo type="num" val="1"/>
        <cfvo type="max" val="0"/>
        <color rgb="FFC55A11"/>
        <color rgb="FFFFEB84"/>
        <color rgb="FFA9D18E"/>
      </colorScale>
    </cfRule>
    <cfRule type="cellIs" priority="5" operator="lessThan" aboveAverage="0" equalAverage="0" bottom="0" percent="0" rank="0" text="" dxfId="10">
      <formula>1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ColWidth="8.6796875" defaultRowHeight="14.25" customHeight="false" zeroHeight="false" outlineLevelRow="0" outlineLevelCol="0"/>
  <cols>
    <col collapsed="false" customWidth="true" hidden="false" outlineLevel="0" max="1" min="1" style="0" width="9.54"/>
    <col collapsed="false" customWidth="true" hidden="false" outlineLevel="0" max="2" min="2" style="0" width="5.45"/>
    <col collapsed="false" customWidth="true" hidden="false" outlineLevel="0" max="3" min="3" style="0" width="29"/>
  </cols>
  <sheetData>
    <row r="1" customFormat="false" ht="14.25" hidden="false" customHeight="false" outlineLevel="0" collapsed="false">
      <c r="A1" s="7" t="s">
        <v>133</v>
      </c>
      <c r="B1" s="7" t="s">
        <v>134</v>
      </c>
      <c r="C1" s="7" t="s">
        <v>135</v>
      </c>
    </row>
    <row r="2" customFormat="false" ht="14.25" hidden="false" customHeight="false" outlineLevel="0" collapsed="false">
      <c r="A2" s="0" t="n">
        <v>1700</v>
      </c>
      <c r="B2" s="0" t="s">
        <v>124</v>
      </c>
      <c r="C2" s="0" t="s">
        <v>136</v>
      </c>
    </row>
    <row r="3" customFormat="false" ht="14.25" hidden="false" customHeight="false" outlineLevel="0" collapsed="false">
      <c r="A3" s="0" t="n">
        <v>1850</v>
      </c>
      <c r="B3" s="0" t="s">
        <v>125</v>
      </c>
      <c r="C3" s="0" t="s">
        <v>137</v>
      </c>
    </row>
    <row r="4" customFormat="false" ht="14.25" hidden="false" customHeight="false" outlineLevel="0" collapsed="false">
      <c r="A4" s="0" t="n">
        <v>1900</v>
      </c>
      <c r="B4" s="0" t="s">
        <v>126</v>
      </c>
      <c r="C4" s="0" t="s">
        <v>138</v>
      </c>
    </row>
    <row r="5" customFormat="false" ht="14.25" hidden="false" customHeight="false" outlineLevel="0" collapsed="false">
      <c r="A5" s="0" t="n">
        <v>1923</v>
      </c>
      <c r="B5" s="0" t="s">
        <v>127</v>
      </c>
      <c r="C5" s="0" t="s">
        <v>139</v>
      </c>
    </row>
    <row r="6" customFormat="false" ht="14.25" hidden="false" customHeight="false" outlineLevel="0" collapsed="false">
      <c r="A6" s="0" t="n">
        <v>1948</v>
      </c>
      <c r="B6" s="0" t="s">
        <v>128</v>
      </c>
      <c r="C6" s="0" t="s">
        <v>140</v>
      </c>
    </row>
    <row r="7" customFormat="false" ht="14.25" hidden="false" customHeight="false" outlineLevel="0" collapsed="false">
      <c r="A7" s="0" t="n">
        <v>1955</v>
      </c>
      <c r="B7" s="0" t="s">
        <v>129</v>
      </c>
      <c r="C7" s="0" t="s">
        <v>141</v>
      </c>
    </row>
    <row r="8" customFormat="false" ht="14.25" hidden="false" customHeight="false" outlineLevel="0" collapsed="false">
      <c r="A8" s="0" t="n">
        <v>1970</v>
      </c>
      <c r="B8" s="0" t="s">
        <v>130</v>
      </c>
      <c r="C8" s="0" t="s">
        <v>142</v>
      </c>
    </row>
    <row r="9" customFormat="false" ht="14.25" hidden="false" customHeight="false" outlineLevel="0" collapsed="false">
      <c r="A9" s="0" t="n">
        <v>1995</v>
      </c>
      <c r="B9" s="0" t="s">
        <v>131</v>
      </c>
      <c r="C9" s="0" t="s">
        <v>143</v>
      </c>
    </row>
    <row r="10" customFormat="false" ht="14.25" hidden="false" customHeight="false" outlineLevel="0" collapsed="false">
      <c r="A10" s="0" t="n">
        <v>2005</v>
      </c>
      <c r="B10" s="0" t="s">
        <v>132</v>
      </c>
      <c r="C10" s="0" t="s">
        <v>144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28"/>
  <sheetViews>
    <sheetView showFormulas="false" showGridLines="true" showRowColHeaders="true" showZeros="true" rightToLeft="false" tabSelected="false" showOutlineSymbols="true" defaultGridColor="true" view="normal" topLeftCell="D16" colorId="64" zoomScale="100" zoomScaleNormal="100" zoomScalePageLayoutView="100" workbookViewId="0">
      <selection pane="topLeft" activeCell="O27" activeCellId="0" sqref="O27"/>
    </sheetView>
  </sheetViews>
  <sheetFormatPr defaultColWidth="8.6796875" defaultRowHeight="14.25" customHeight="false" zeroHeight="false" outlineLevelRow="0" outlineLevelCol="0"/>
  <cols>
    <col collapsed="false" customWidth="true" hidden="false" outlineLevel="0" max="1" min="1" style="0" width="7"/>
    <col collapsed="false" customWidth="true" hidden="false" outlineLevel="0" max="2" min="2" style="0" width="13.27"/>
    <col collapsed="false" customWidth="true" hidden="false" outlineLevel="0" max="3" min="3" style="0" width="20.18"/>
    <col collapsed="false" customWidth="true" hidden="false" outlineLevel="0" max="6" min="6" style="0" width="27.45"/>
    <col collapsed="false" customWidth="true" hidden="false" outlineLevel="0" max="9" min="9" style="0" width="14.73"/>
    <col collapsed="false" customWidth="true" hidden="false" outlineLevel="0" max="10" min="10" style="0" width="18.18"/>
    <col collapsed="false" customWidth="true" hidden="false" outlineLevel="0" max="11" min="11" style="0" width="18.82"/>
    <col collapsed="false" customWidth="true" hidden="false" outlineLevel="0" max="13" min="13" style="0" width="19.73"/>
    <col collapsed="false" customWidth="true" hidden="false" outlineLevel="0" max="14" min="14" style="0" width="27.27"/>
    <col collapsed="false" customWidth="true" hidden="false" outlineLevel="0" max="15" min="15" style="0" width="6.73"/>
  </cols>
  <sheetData>
    <row r="1" customFormat="false" ht="14.25" hidden="false" customHeight="false" outlineLevel="0" collapsed="false">
      <c r="A1" s="7" t="s">
        <v>145</v>
      </c>
      <c r="B1" s="7" t="s">
        <v>146</v>
      </c>
      <c r="C1" s="7" t="s">
        <v>147</v>
      </c>
      <c r="F1" s="7" t="s">
        <v>148</v>
      </c>
      <c r="G1" s="0" t="n">
        <v>15</v>
      </c>
      <c r="I1" s="7" t="s">
        <v>149</v>
      </c>
      <c r="J1" s="7" t="s">
        <v>150</v>
      </c>
      <c r="K1" s="7" t="s">
        <v>151</v>
      </c>
      <c r="M1" s="7" t="s">
        <v>152</v>
      </c>
      <c r="N1" s="7" t="s">
        <v>153</v>
      </c>
      <c r="O1" s="7" t="s">
        <v>13</v>
      </c>
    </row>
    <row r="2" customFormat="false" ht="14.25" hidden="false" customHeight="false" outlineLevel="0" collapsed="false">
      <c r="A2" s="0" t="n">
        <v>0</v>
      </c>
      <c r="B2" s="0" t="s">
        <v>154</v>
      </c>
      <c r="F2" s="7" t="s">
        <v>155</v>
      </c>
      <c r="G2" s="0" t="n">
        <v>5</v>
      </c>
      <c r="I2" s="0" t="s">
        <v>156</v>
      </c>
      <c r="J2" s="0" t="n">
        <v>1</v>
      </c>
      <c r="K2" s="0" t="n">
        <v>2</v>
      </c>
      <c r="M2" s="0" t="s">
        <v>157</v>
      </c>
      <c r="N2" s="0" t="str">
        <f aca="false">IF(O2&lt;&gt;"", _xlfn.CONCAT("{BLACK}Powered by: {GOLD}",O2), "")</f>
        <v>{BLACK}Powered by: {GOLD}Diesel</v>
      </c>
      <c r="O2" s="0" t="s">
        <v>158</v>
      </c>
    </row>
    <row r="3" customFormat="false" ht="14.25" hidden="false" customHeight="false" outlineLevel="0" collapsed="false">
      <c r="A3" s="0" t="n">
        <v>3</v>
      </c>
      <c r="B3" s="0" t="s">
        <v>159</v>
      </c>
      <c r="C3" s="0" t="s">
        <v>159</v>
      </c>
      <c r="I3" s="0" t="s">
        <v>160</v>
      </c>
      <c r="J3" s="0" t="n">
        <v>0.85</v>
      </c>
      <c r="K3" s="0" t="n">
        <v>2.3</v>
      </c>
      <c r="M3" s="0" t="s">
        <v>161</v>
      </c>
      <c r="N3" s="0" t="str">
        <f aca="false">IF(O3&lt;&gt;"", _xlfn.CONCAT("{BLACK}Powered by: {GOLD}",O3), "")</f>
        <v>{BLACK}Powered by: {GOLD}Steam</v>
      </c>
      <c r="O3" s="0" t="s">
        <v>162</v>
      </c>
    </row>
    <row r="4" customFormat="false" ht="14.25" hidden="false" customHeight="false" outlineLevel="0" collapsed="false">
      <c r="A4" s="0" t="n">
        <v>4</v>
      </c>
      <c r="B4" s="0" t="s">
        <v>163</v>
      </c>
      <c r="C4" s="0" t="s">
        <v>163</v>
      </c>
      <c r="I4" s="0" t="s">
        <v>164</v>
      </c>
      <c r="J4" s="0" t="n">
        <v>1.15</v>
      </c>
      <c r="K4" s="0" t="n">
        <v>1.7</v>
      </c>
      <c r="M4" s="0" t="s">
        <v>165</v>
      </c>
      <c r="N4" s="0" t="str">
        <f aca="false">IF(O4&lt;&gt;"", _xlfn.CONCAT("{BLACK}Powered by: {GOLD}",O4), "")</f>
        <v>{BLACK}Powered by: {GOLD}25kV AC</v>
      </c>
      <c r="O4" s="0" t="s">
        <v>166</v>
      </c>
    </row>
    <row r="5" customFormat="false" ht="14.25" hidden="false" customHeight="false" outlineLevel="0" collapsed="false">
      <c r="A5" s="0" t="n">
        <v>5</v>
      </c>
      <c r="B5" s="0" t="s">
        <v>167</v>
      </c>
      <c r="C5" s="0" t="s">
        <v>167</v>
      </c>
      <c r="I5" s="0" t="s">
        <v>168</v>
      </c>
      <c r="J5" s="0" t="n">
        <v>0.9</v>
      </c>
      <c r="K5" s="0" t="n">
        <v>2.5</v>
      </c>
      <c r="M5" s="0" t="s">
        <v>169</v>
      </c>
      <c r="N5" s="0" t="str">
        <f aca="false">IF(O5&lt;&gt;"", _xlfn.CONCAT("{BLACK}Powered by: {GOLD}",O5), "")</f>
        <v>{BLACK}Powered by: {GOLD}750V DC</v>
      </c>
      <c r="O5" s="0" t="s">
        <v>170</v>
      </c>
    </row>
    <row r="6" customFormat="false" ht="14.25" hidden="false" customHeight="false" outlineLevel="0" collapsed="false">
      <c r="A6" s="0" t="n">
        <v>6</v>
      </c>
      <c r="B6" s="0" t="s">
        <v>171</v>
      </c>
      <c r="C6" s="0" t="s">
        <v>171</v>
      </c>
      <c r="I6" s="0" t="s">
        <v>172</v>
      </c>
      <c r="J6" s="0" t="n">
        <v>0.85</v>
      </c>
      <c r="K6" s="0" t="n">
        <v>2.4</v>
      </c>
      <c r="M6" s="0" t="s">
        <v>173</v>
      </c>
      <c r="N6" s="0" t="str">
        <f aca="false">IF(O6&lt;&gt;"", _xlfn.CONCAT("{BLACK}Powered by: {GOLD}",O6), "")</f>
        <v/>
      </c>
    </row>
    <row r="7" customFormat="false" ht="14.25" hidden="false" customHeight="false" outlineLevel="0" collapsed="false">
      <c r="A7" s="0" t="n">
        <v>7</v>
      </c>
      <c r="B7" s="0" t="s">
        <v>174</v>
      </c>
      <c r="C7" s="0" t="s">
        <v>174</v>
      </c>
      <c r="I7" s="0" t="s">
        <v>93</v>
      </c>
      <c r="J7" s="0" t="n">
        <v>1.2</v>
      </c>
      <c r="K7" s="0" t="n">
        <v>0.6</v>
      </c>
      <c r="M7" s="0" t="s">
        <v>175</v>
      </c>
      <c r="N7" s="0" t="str">
        <f aca="false">IF(O7&lt;&gt;"", _xlfn.CONCAT("{BLACK}Powered by: {GOLD}",O7), "")</f>
        <v/>
      </c>
    </row>
    <row r="8" customFormat="false" ht="14.25" hidden="false" customHeight="false" outlineLevel="0" collapsed="false">
      <c r="A8" s="0" t="n">
        <v>8</v>
      </c>
      <c r="B8" s="0" t="s">
        <v>176</v>
      </c>
      <c r="C8" s="0" t="s">
        <v>176</v>
      </c>
      <c r="I8" s="0" t="s">
        <v>177</v>
      </c>
      <c r="J8" s="0" t="n">
        <v>1.5</v>
      </c>
      <c r="K8" s="0" t="n">
        <v>0.7</v>
      </c>
      <c r="M8" s="0" t="s">
        <v>178</v>
      </c>
      <c r="N8" s="0" t="str">
        <f aca="false">IF(O8&lt;&gt;"", _xlfn.CONCAT("{BLACK}Powered by: {GOLD}",O8), "")</f>
        <v/>
      </c>
    </row>
    <row r="9" customFormat="false" ht="14.25" hidden="false" customHeight="false" outlineLevel="0" collapsed="false">
      <c r="A9" s="0" t="n">
        <v>9</v>
      </c>
      <c r="B9" s="0" t="s">
        <v>179</v>
      </c>
      <c r="C9" s="0" t="s">
        <v>179</v>
      </c>
      <c r="I9" s="0" t="s">
        <v>92</v>
      </c>
      <c r="J9" s="0" t="n">
        <v>1</v>
      </c>
      <c r="K9" s="0" t="n">
        <v>0.45</v>
      </c>
      <c r="M9" s="0" t="s">
        <v>180</v>
      </c>
      <c r="N9" s="0" t="str">
        <f aca="false">IF(O9&lt;&gt;"", _xlfn.CONCAT("{BLACK}Powered by: {GOLD}",O9), "")</f>
        <v/>
      </c>
    </row>
    <row r="10" customFormat="false" ht="14.25" hidden="false" customHeight="false" outlineLevel="0" collapsed="false">
      <c r="A10" s="0" t="n">
        <v>10</v>
      </c>
      <c r="B10" s="0" t="s">
        <v>181</v>
      </c>
      <c r="C10" s="0" t="s">
        <v>181</v>
      </c>
      <c r="I10" s="0" t="s">
        <v>182</v>
      </c>
      <c r="J10" s="0" t="n">
        <v>1</v>
      </c>
      <c r="K10" s="0" t="n">
        <v>0.4</v>
      </c>
      <c r="M10" s="0" t="s">
        <v>183</v>
      </c>
      <c r="N10" s="0" t="str">
        <f aca="false">IF(O10&lt;&gt;"", _xlfn.CONCAT("{BLACK}Powered by: {GOLD}",O10), "")</f>
        <v/>
      </c>
    </row>
    <row r="11" customFormat="false" ht="14.25" hidden="false" customHeight="false" outlineLevel="0" collapsed="false">
      <c r="A11" s="0" t="n">
        <v>11</v>
      </c>
      <c r="B11" s="0" t="s">
        <v>184</v>
      </c>
      <c r="C11" s="0" t="s">
        <v>184</v>
      </c>
      <c r="I11" s="0" t="s">
        <v>185</v>
      </c>
      <c r="J11" s="0" t="n">
        <v>0.9</v>
      </c>
      <c r="K11" s="0" t="n">
        <v>1.6</v>
      </c>
      <c r="M11" s="0" t="s">
        <v>186</v>
      </c>
      <c r="N11" s="0" t="str">
        <f aca="false">IF(O11&lt;&gt;"", _xlfn.CONCAT("{BLACK}Powered by: {GOLD}",O11), "")</f>
        <v>{BLACK}Powered by: {GOLD}750V DC / Diesel</v>
      </c>
      <c r="O11" s="0" t="s">
        <v>187</v>
      </c>
    </row>
    <row r="12" customFormat="false" ht="14.25" hidden="false" customHeight="false" outlineLevel="0" collapsed="false">
      <c r="A12" s="0" t="n">
        <v>12</v>
      </c>
      <c r="B12" s="0" t="s">
        <v>188</v>
      </c>
      <c r="C12" s="0" t="s">
        <v>188</v>
      </c>
      <c r="I12" s="0" t="s">
        <v>38</v>
      </c>
      <c r="J12" s="0" t="n">
        <v>0</v>
      </c>
      <c r="K12" s="0" t="n">
        <v>0</v>
      </c>
      <c r="M12" s="0" t="s">
        <v>189</v>
      </c>
      <c r="N12" s="0" t="str">
        <f aca="false">IF(O12&lt;&gt;"", _xlfn.CONCAT("{BLACK}Powered by: {GOLD}",O12), "")</f>
        <v>{BLACK}Powered by: {GOLD}25kV AC / 750V DC</v>
      </c>
      <c r="O12" s="0" t="s">
        <v>190</v>
      </c>
    </row>
    <row r="13" customFormat="false" ht="14.25" hidden="false" customHeight="false" outlineLevel="0" collapsed="false">
      <c r="A13" s="0" t="n">
        <v>13</v>
      </c>
      <c r="B13" s="0" t="s">
        <v>191</v>
      </c>
      <c r="C13" s="0" t="s">
        <v>191</v>
      </c>
      <c r="I13" s="0" t="s">
        <v>192</v>
      </c>
      <c r="J13" s="0" t="n">
        <v>1.05</v>
      </c>
      <c r="K13" s="0" t="n">
        <v>1.9</v>
      </c>
      <c r="M13" s="0" t="s">
        <v>193</v>
      </c>
      <c r="N13" s="0" t="str">
        <f aca="false">IF(O13&lt;&gt;"", _xlfn.CONCAT("{BLACK}Powered by: {GOLD}",O13), "")</f>
        <v/>
      </c>
    </row>
    <row r="14" customFormat="false" ht="14.25" hidden="false" customHeight="false" outlineLevel="0" collapsed="false">
      <c r="A14" s="0" t="n">
        <v>14</v>
      </c>
      <c r="B14" s="0" t="s">
        <v>194</v>
      </c>
      <c r="C14" s="0" t="s">
        <v>194</v>
      </c>
      <c r="I14" s="0" t="s">
        <v>195</v>
      </c>
      <c r="J14" s="0" t="n">
        <v>0.98</v>
      </c>
      <c r="K14" s="0" t="n">
        <v>1.88</v>
      </c>
      <c r="M14" s="0" t="s">
        <v>196</v>
      </c>
      <c r="N14" s="0" t="str">
        <f aca="false">IF(O14&lt;&gt;"", _xlfn.CONCAT("{BLACK}Powered by: {GOLD}",O14), "")</f>
        <v/>
      </c>
    </row>
    <row r="15" customFormat="false" ht="14.25" hidden="false" customHeight="false" outlineLevel="0" collapsed="false">
      <c r="A15" s="0" t="n">
        <v>15</v>
      </c>
      <c r="B15" s="0" t="s">
        <v>197</v>
      </c>
      <c r="C15" s="0" t="s">
        <v>197</v>
      </c>
      <c r="I15" s="0" t="s">
        <v>198</v>
      </c>
      <c r="J15" s="0" t="n">
        <v>0.5</v>
      </c>
      <c r="K15" s="0" t="n">
        <v>0.5</v>
      </c>
      <c r="M15" s="0" t="s">
        <v>199</v>
      </c>
      <c r="N15" s="0" t="str">
        <f aca="false">IF(O15&lt;&gt;"", _xlfn.CONCAT("{BLACK}Powered by: {GOLD}",O15), "")</f>
        <v/>
      </c>
    </row>
    <row r="16" customFormat="false" ht="14.25" hidden="false" customHeight="false" outlineLevel="0" collapsed="false">
      <c r="A16" s="0" t="n">
        <v>16</v>
      </c>
      <c r="B16" s="0" t="s">
        <v>200</v>
      </c>
      <c r="C16" s="0" t="s">
        <v>200</v>
      </c>
      <c r="I16" s="0" t="s">
        <v>201</v>
      </c>
      <c r="J16" s="0" t="n">
        <v>0.85</v>
      </c>
      <c r="K16" s="0" t="n">
        <v>2.3</v>
      </c>
      <c r="M16" s="0" t="s">
        <v>202</v>
      </c>
      <c r="N16" s="0" t="str">
        <f aca="false">IF(O16&lt;&gt;"", _xlfn.CONCAT("{BLACK}Powered by: {GOLD}",O16), "")</f>
        <v>{BLACK}Powered by: {GOLD}Petrol</v>
      </c>
      <c r="O16" s="0" t="s">
        <v>203</v>
      </c>
    </row>
    <row r="17" customFormat="false" ht="14.25" hidden="false" customHeight="false" outlineLevel="0" collapsed="false">
      <c r="I17" s="0" t="s">
        <v>204</v>
      </c>
      <c r="J17" s="0" t="n">
        <v>1</v>
      </c>
      <c r="K17" s="0" t="n">
        <v>2</v>
      </c>
      <c r="M17" s="0" t="s">
        <v>205</v>
      </c>
      <c r="N17" s="0" t="str">
        <f aca="false">IF(O17&lt;&gt;"", _xlfn.CONCAT("{BLACK}Powered by: {GOLD}",O17), "")</f>
        <v>{BLACK}Powered by: {GOLD}25kV AC / Diesel</v>
      </c>
      <c r="O17" s="0" t="s">
        <v>206</v>
      </c>
    </row>
    <row r="18" customFormat="false" ht="14.25" hidden="false" customHeight="false" outlineLevel="0" collapsed="false">
      <c r="M18" s="0" t="s">
        <v>207</v>
      </c>
      <c r="N18" s="0" t="str">
        <f aca="false">IF(O18&lt;&gt;"", _xlfn.CONCAT("{BLACK}Powered by: {GOLD}",O18), "")</f>
        <v>{BLACK}Powered by: {GOLD}LPG / Flywheel</v>
      </c>
      <c r="O18" s="0" t="s">
        <v>208</v>
      </c>
    </row>
    <row r="19" customFormat="false" ht="14.25" hidden="false" customHeight="false" outlineLevel="0" collapsed="false">
      <c r="M19" s="0" t="s">
        <v>209</v>
      </c>
      <c r="N19" s="0" t="str">
        <f aca="false">IF(O19&lt;&gt;"", _xlfn.CONCAT("{BLACK}Powered by: {GOLD}",O19), "")</f>
        <v/>
      </c>
    </row>
    <row r="20" customFormat="false" ht="14.25" hidden="false" customHeight="false" outlineLevel="0" collapsed="false">
      <c r="M20" s="0" t="s">
        <v>210</v>
      </c>
      <c r="N20" s="0" t="str">
        <f aca="false">IF(O20&lt;&gt;"", _xlfn.CONCAT("{BLACK}Powered by: {GOLD}",O20), "")</f>
        <v>{BLACK}Powered by: {GOLD}Steam</v>
      </c>
      <c r="O20" s="0" t="s">
        <v>162</v>
      </c>
    </row>
    <row r="21" customFormat="false" ht="14.25" hidden="false" customHeight="false" outlineLevel="0" collapsed="false">
      <c r="M21" s="0" t="s">
        <v>211</v>
      </c>
      <c r="N21" s="0" t="str">
        <f aca="false">IF(O21&lt;&gt;"", _xlfn.CONCAT("{BLACK}Powered by: {GOLD}",O21), "")</f>
        <v/>
      </c>
    </row>
    <row r="22" customFormat="false" ht="14.25" hidden="false" customHeight="false" outlineLevel="0" collapsed="false">
      <c r="M22" s="0" t="s">
        <v>212</v>
      </c>
      <c r="N22" s="0" t="str">
        <f aca="false">IF(O22&lt;&gt;"", _xlfn.CONCAT("{BLACK}Powered by: {GOLD}",O22), "")</f>
        <v>{BLACK}Powered by: {GOLD}Grass and hay</v>
      </c>
      <c r="O22" s="0" t="s">
        <v>213</v>
      </c>
    </row>
    <row r="23" customFormat="false" ht="14.25" hidden="false" customHeight="false" outlineLevel="0" collapsed="false">
      <c r="M23" s="0" t="s">
        <v>214</v>
      </c>
      <c r="N23" s="0" t="str">
        <f aca="false">IF(O23&lt;&gt;"", _xlfn.CONCAT("{BLACK}Powered by: {GOLD}",O23), "")</f>
        <v>{BLACK}Powered by: {GOLD}630V DC</v>
      </c>
      <c r="O23" s="0" t="s">
        <v>215</v>
      </c>
    </row>
    <row r="24" customFormat="false" ht="14.25" hidden="false" customHeight="false" outlineLevel="0" collapsed="false">
      <c r="M24" s="0" t="s">
        <v>216</v>
      </c>
      <c r="N24" s="0" t="str">
        <f aca="false">IF(O24&lt;&gt;"", _xlfn.CONCAT("{BLACK}Powered by: {GOLD}",O24), "")</f>
        <v/>
      </c>
    </row>
    <row r="25" customFormat="false" ht="14.25" hidden="false" customHeight="false" outlineLevel="0" collapsed="false">
      <c r="M25" s="0" t="s">
        <v>217</v>
      </c>
      <c r="N25" s="0" t="str">
        <f aca="false">IF(O25&lt;&gt;"", _xlfn.CONCAT("{BLACK}Powered by: {GOLD}",O25), "")</f>
        <v/>
      </c>
    </row>
    <row r="26" customFormat="false" ht="14.25" hidden="false" customHeight="false" outlineLevel="0" collapsed="false">
      <c r="M26" s="0" t="s">
        <v>218</v>
      </c>
      <c r="N26" s="0" t="str">
        <f aca="false">IF(O26&lt;&gt;"", _xlfn.CONCAT("{BLACK}Powered by: {GOLD}",O26), "")</f>
        <v/>
      </c>
    </row>
    <row r="27" customFormat="false" ht="14.25" hidden="false" customHeight="false" outlineLevel="0" collapsed="false">
      <c r="M27" s="0" t="s">
        <v>219</v>
      </c>
      <c r="N27" s="0" t="str">
        <f aca="false">IF(O27&lt;&gt;"", _xlfn.CONCAT("{BLACK}Powered by: {GOLD}",O27), "")</f>
        <v>{BLACK}Powered by: {GOLD}Gas Turbine</v>
      </c>
      <c r="O27" s="0" t="s">
        <v>220</v>
      </c>
    </row>
    <row r="28" customFormat="false" ht="14.25" hidden="false" customHeight="false" outlineLevel="0" collapsed="false">
      <c r="M28" s="0" t="s">
        <v>221</v>
      </c>
      <c r="N28" s="0" t="str">
        <f aca="false">IF(O28&lt;&gt;"", _xlfn.CONCAT("{BLACK}Powered by: {GOLD}",O28), "")</f>
        <v>{BLACK}Powered by: {GOLD}750V DC / Battery</v>
      </c>
      <c r="O28" s="0" t="s">
        <v>222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5" activeCellId="0" sqref="D5"/>
    </sheetView>
  </sheetViews>
  <sheetFormatPr defaultColWidth="8.6796875" defaultRowHeight="14.25" customHeight="false" zeroHeight="false" outlineLevelRow="0" outlineLevelCol="0"/>
  <cols>
    <col collapsed="false" customWidth="true" hidden="false" outlineLevel="0" max="2" min="1" style="0" width="10.73"/>
    <col collapsed="false" customWidth="true" hidden="false" outlineLevel="0" max="4" min="3" style="0" width="21.45"/>
  </cols>
  <sheetData>
    <row r="1" customFormat="false" ht="14.25" hidden="false" customHeight="false" outlineLevel="0" collapsed="false">
      <c r="A1" s="7" t="s">
        <v>223</v>
      </c>
      <c r="B1" s="7" t="s">
        <v>224</v>
      </c>
      <c r="C1" s="7" t="s">
        <v>225</v>
      </c>
      <c r="D1" s="7" t="s">
        <v>226</v>
      </c>
    </row>
    <row r="2" customFormat="false" ht="14.25" hidden="false" customHeight="false" outlineLevel="0" collapsed="false">
      <c r="A2" s="0" t="n">
        <v>0</v>
      </c>
      <c r="B2" s="0" t="n">
        <f aca="false">IF(D2,D2,C2)</f>
        <v>0</v>
      </c>
      <c r="C2" s="0" t="n">
        <f aca="false">INT(A2*(256/15))</f>
        <v>0</v>
      </c>
      <c r="D2" s="7"/>
    </row>
    <row r="3" customFormat="false" ht="14.25" hidden="false" customHeight="false" outlineLevel="0" collapsed="false">
      <c r="A3" s="0" t="n">
        <v>1</v>
      </c>
      <c r="B3" s="0" t="n">
        <f aca="false">IF(D3,D3,C3)</f>
        <v>17</v>
      </c>
      <c r="C3" s="0" t="n">
        <f aca="false">INT(A3*(256/15))</f>
        <v>17</v>
      </c>
    </row>
    <row r="4" customFormat="false" ht="14.25" hidden="false" customHeight="false" outlineLevel="0" collapsed="false">
      <c r="A4" s="0" t="n">
        <v>2</v>
      </c>
      <c r="B4" s="0" t="n">
        <f aca="false">IF(D4,D4,C4)</f>
        <v>34</v>
      </c>
      <c r="C4" s="0" t="n">
        <f aca="false">INT(A4*(256/15))</f>
        <v>34</v>
      </c>
    </row>
    <row r="5" customFormat="false" ht="14.25" hidden="false" customHeight="false" outlineLevel="0" collapsed="false">
      <c r="A5" s="0" t="n">
        <v>3</v>
      </c>
      <c r="B5" s="0" t="n">
        <f aca="false">IF(D5,D5,C5)</f>
        <v>51</v>
      </c>
      <c r="C5" s="0" t="n">
        <f aca="false">INT(A5*(256/15))</f>
        <v>51</v>
      </c>
    </row>
    <row r="6" customFormat="false" ht="14.25" hidden="false" customHeight="false" outlineLevel="0" collapsed="false">
      <c r="A6" s="0" t="n">
        <v>4</v>
      </c>
      <c r="B6" s="0" t="n">
        <f aca="false">IF(D6,D6,C6)</f>
        <v>60</v>
      </c>
      <c r="C6" s="0" t="n">
        <f aca="false">INT(A6*(256/15))</f>
        <v>68</v>
      </c>
      <c r="D6" s="0" t="n">
        <v>60</v>
      </c>
    </row>
    <row r="7" customFormat="false" ht="14.25" hidden="false" customHeight="false" outlineLevel="0" collapsed="false">
      <c r="A7" s="0" t="n">
        <v>5</v>
      </c>
      <c r="B7" s="0" t="n">
        <f aca="false">IF(D7,D7,C7)</f>
        <v>82</v>
      </c>
      <c r="C7" s="0" t="n">
        <f aca="false">INT(A7*(256/15))</f>
        <v>85</v>
      </c>
      <c r="D7" s="0" t="n">
        <v>82</v>
      </c>
    </row>
    <row r="8" customFormat="false" ht="14.25" hidden="false" customHeight="false" outlineLevel="0" collapsed="false">
      <c r="A8" s="0" t="n">
        <v>6</v>
      </c>
      <c r="B8" s="0" t="n">
        <f aca="false">IF(D8,D8,C8)</f>
        <v>102</v>
      </c>
      <c r="C8" s="0" t="n">
        <f aca="false">INT(A8*(256/15))</f>
        <v>102</v>
      </c>
      <c r="D8" s="0" t="n">
        <v>102</v>
      </c>
    </row>
    <row r="9" customFormat="false" ht="14.25" hidden="false" customHeight="false" outlineLevel="0" collapsed="false">
      <c r="A9" s="0" t="n">
        <v>7</v>
      </c>
      <c r="B9" s="0" t="n">
        <f aca="false">IF(D9,D9,C9)</f>
        <v>120</v>
      </c>
      <c r="C9" s="0" t="n">
        <f aca="false">INT(A9*(256/15))</f>
        <v>119</v>
      </c>
      <c r="D9" s="0" t="n">
        <v>120</v>
      </c>
    </row>
    <row r="10" customFormat="false" ht="14.25" hidden="false" customHeight="false" outlineLevel="0" collapsed="false">
      <c r="A10" s="0" t="n">
        <v>8</v>
      </c>
      <c r="B10" s="0" t="n">
        <f aca="false">IF(D10,D10,C10)</f>
        <v>136</v>
      </c>
      <c r="C10" s="0" t="n">
        <f aca="false">INT(A10*(256/15))</f>
        <v>136</v>
      </c>
      <c r="D10" s="0" t="n">
        <v>136</v>
      </c>
    </row>
    <row r="11" customFormat="false" ht="14.25" hidden="false" customHeight="false" outlineLevel="0" collapsed="false">
      <c r="A11" s="0" t="n">
        <v>9</v>
      </c>
      <c r="B11" s="0" t="n">
        <f aca="false">IF(D11,D11,C11)</f>
        <v>152</v>
      </c>
      <c r="C11" s="0" t="n">
        <f aca="false">INT(A11*(256/15))</f>
        <v>153</v>
      </c>
      <c r="D11" s="0" t="n">
        <v>152</v>
      </c>
    </row>
    <row r="12" customFormat="false" ht="14.25" hidden="false" customHeight="false" outlineLevel="0" collapsed="false">
      <c r="A12" s="0" t="n">
        <v>10</v>
      </c>
      <c r="B12" s="0" t="n">
        <f aca="false">IF(D12,D12,C12)</f>
        <v>164</v>
      </c>
      <c r="C12" s="0" t="n">
        <f aca="false">INT(A12*(256/15))</f>
        <v>170</v>
      </c>
      <c r="D12" s="0" t="n">
        <v>164</v>
      </c>
    </row>
    <row r="13" customFormat="false" ht="14.25" hidden="false" customHeight="false" outlineLevel="0" collapsed="false">
      <c r="A13" s="0" t="n">
        <v>11</v>
      </c>
      <c r="B13" s="0" t="n">
        <f aca="false">IF(D13,D13,C13)</f>
        <v>186</v>
      </c>
      <c r="C13" s="0" t="n">
        <f aca="false">INT(A13*(256/15))</f>
        <v>187</v>
      </c>
      <c r="D13" s="0" t="n">
        <v>186</v>
      </c>
    </row>
    <row r="14" customFormat="false" ht="14.25" hidden="false" customHeight="false" outlineLevel="0" collapsed="false">
      <c r="A14" s="0" t="n">
        <v>12</v>
      </c>
      <c r="B14" s="0" t="n">
        <f aca="false">IF(D14,D14,C14)</f>
        <v>198</v>
      </c>
      <c r="C14" s="0" t="n">
        <f aca="false">INT(A14*(256/15))</f>
        <v>204</v>
      </c>
      <c r="D14" s="0" t="n">
        <v>198</v>
      </c>
    </row>
    <row r="15" customFormat="false" ht="14.25" hidden="false" customHeight="false" outlineLevel="0" collapsed="false">
      <c r="A15" s="0" t="n">
        <v>13</v>
      </c>
      <c r="B15" s="0" t="n">
        <v>214</v>
      </c>
      <c r="C15" s="0" t="n">
        <f aca="false">INT(A15*(256/15))</f>
        <v>221</v>
      </c>
    </row>
    <row r="16" customFormat="false" ht="14.25" hidden="false" customHeight="false" outlineLevel="0" collapsed="false">
      <c r="A16" s="0" t="n">
        <v>14</v>
      </c>
      <c r="B16" s="0" t="n">
        <f aca="false">IF(D16,D16,C16)</f>
        <v>238</v>
      </c>
      <c r="C16" s="0" t="n">
        <f aca="false">INT(A16*(256/15))</f>
        <v>238</v>
      </c>
    </row>
    <row r="17" customFormat="false" ht="14.25" hidden="false" customHeight="false" outlineLevel="0" collapsed="false">
      <c r="A17" s="0" t="n">
        <v>15</v>
      </c>
      <c r="B17" s="0" t="n">
        <f aca="false">IF(D17,D17,C17)</f>
        <v>256</v>
      </c>
      <c r="C17" s="0" t="n">
        <f aca="false">INT(A17*(256/15))</f>
        <v>256</v>
      </c>
    </row>
    <row r="18" customFormat="false" ht="14.25" hidden="false" customHeight="false" outlineLevel="0" collapsed="false">
      <c r="A18" s="0" t="n">
        <v>16</v>
      </c>
      <c r="B18" s="0" t="n">
        <f aca="false">IF(D18,D18,C18)</f>
        <v>273</v>
      </c>
      <c r="C18" s="0" t="n">
        <f aca="false">INT(A18*(256/15))</f>
        <v>273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U52"/>
  <sheetViews>
    <sheetView showFormulas="false" showGridLines="true" showRowColHeaders="true" showZeros="true" rightToLeft="false" tabSelected="false" showOutlineSymbols="true" defaultGridColor="true" view="normal" topLeftCell="A28" colorId="64" zoomScale="100" zoomScaleNormal="100" zoomScalePageLayoutView="100" workbookViewId="0">
      <selection pane="topLeft" activeCell="B52" activeCellId="0" sqref="B52"/>
    </sheetView>
  </sheetViews>
  <sheetFormatPr defaultColWidth="8.6796875" defaultRowHeight="14.25" customHeight="false" zeroHeight="false" outlineLevelRow="0" outlineLevelCol="0"/>
  <cols>
    <col collapsed="false" customWidth="true" hidden="false" outlineLevel="0" max="1" min="1" style="0" width="11.45"/>
    <col collapsed="false" customWidth="true" hidden="false" outlineLevel="0" max="3" min="3" style="0" width="12"/>
    <col collapsed="false" customWidth="true" hidden="false" outlineLevel="0" max="9" min="8" style="0" width="10.54"/>
    <col collapsed="false" customWidth="true" hidden="false" outlineLevel="0" max="10" min="10" style="0" width="11.27"/>
  </cols>
  <sheetData>
    <row r="1" customFormat="false" ht="14.25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</row>
    <row r="2" customFormat="false" ht="14.25" hidden="false" customHeight="false" outlineLevel="0" collapsed="false">
      <c r="B2" s="0" t="s">
        <v>227</v>
      </c>
    </row>
    <row r="3" customFormat="false" ht="14.25" hidden="false" customHeight="false" outlineLevel="0" collapsed="false">
      <c r="A3" s="0" t="s">
        <v>228</v>
      </c>
      <c r="B3" s="0" t="s">
        <v>229</v>
      </c>
      <c r="C3" s="0" t="s">
        <v>230</v>
      </c>
      <c r="D3" s="0" t="s">
        <v>230</v>
      </c>
      <c r="E3" s="0" t="s">
        <v>230</v>
      </c>
      <c r="F3" s="0" t="s">
        <v>230</v>
      </c>
      <c r="G3" s="0" t="s">
        <v>231</v>
      </c>
      <c r="H3" s="0" t="s">
        <v>232</v>
      </c>
      <c r="I3" s="0" t="s">
        <v>232</v>
      </c>
      <c r="J3" s="0" t="s">
        <v>233</v>
      </c>
      <c r="K3" s="0" t="s">
        <v>230</v>
      </c>
      <c r="L3" s="0" t="s">
        <v>230</v>
      </c>
      <c r="M3" s="0" t="s">
        <v>230</v>
      </c>
      <c r="N3" s="0" t="s">
        <v>230</v>
      </c>
      <c r="O3" s="0" t="s">
        <v>234</v>
      </c>
    </row>
    <row r="4" customFormat="false" ht="14.25" hidden="false" customHeight="false" outlineLevel="0" collapsed="false">
      <c r="A4" s="0" t="s">
        <v>235</v>
      </c>
      <c r="B4" s="0" t="n">
        <v>1</v>
      </c>
      <c r="C4" s="0" t="n">
        <v>1</v>
      </c>
      <c r="D4" s="0" t="n">
        <v>0</v>
      </c>
      <c r="E4" s="0" t="n">
        <v>0</v>
      </c>
      <c r="F4" s="0" t="n">
        <v>0</v>
      </c>
      <c r="G4" s="0" t="n">
        <v>1</v>
      </c>
      <c r="H4" s="0" t="n">
        <v>1</v>
      </c>
      <c r="I4" s="0" t="n">
        <v>0</v>
      </c>
      <c r="J4" s="0" t="n">
        <v>1</v>
      </c>
      <c r="K4" s="0" t="n">
        <v>0</v>
      </c>
      <c r="L4" s="0" t="n">
        <v>0</v>
      </c>
      <c r="M4" s="0" t="n">
        <v>0</v>
      </c>
      <c r="N4" s="0" t="n">
        <v>0</v>
      </c>
      <c r="O4" s="0" t="n">
        <v>1</v>
      </c>
    </row>
    <row r="6" customFormat="false" ht="14.25" hidden="false" customHeight="true" outlineLevel="0" collapsed="false">
      <c r="B6" s="0" t="s">
        <v>236</v>
      </c>
    </row>
    <row r="7" customFormat="false" ht="14.25" hidden="false" customHeight="false" outlineLevel="0" collapsed="false">
      <c r="A7" s="0" t="s">
        <v>228</v>
      </c>
      <c r="B7" s="0" t="s">
        <v>237</v>
      </c>
      <c r="C7" s="0" t="s">
        <v>238</v>
      </c>
      <c r="D7" s="0" t="s">
        <v>239</v>
      </c>
      <c r="E7" s="0" t="s">
        <v>239</v>
      </c>
      <c r="F7" s="0" t="s">
        <v>239</v>
      </c>
      <c r="G7" s="0" t="s">
        <v>239</v>
      </c>
      <c r="H7" s="0" t="s">
        <v>240</v>
      </c>
      <c r="I7" s="0" t="s">
        <v>239</v>
      </c>
      <c r="J7" s="0" t="s">
        <v>239</v>
      </c>
      <c r="K7" s="0" t="s">
        <v>239</v>
      </c>
      <c r="L7" s="0" t="s">
        <v>239</v>
      </c>
      <c r="M7" s="0" t="s">
        <v>239</v>
      </c>
      <c r="N7" s="0" t="s">
        <v>239</v>
      </c>
      <c r="O7" s="0" t="s">
        <v>240</v>
      </c>
      <c r="P7" s="0" t="s">
        <v>239</v>
      </c>
      <c r="Q7" s="0" t="s">
        <v>239</v>
      </c>
      <c r="R7" s="0" t="s">
        <v>239</v>
      </c>
      <c r="S7" s="0" t="s">
        <v>239</v>
      </c>
      <c r="T7" s="0" t="s">
        <v>241</v>
      </c>
      <c r="U7" s="0" t="s">
        <v>242</v>
      </c>
    </row>
    <row r="8" customFormat="false" ht="14.25" hidden="false" customHeight="false" outlineLevel="0" collapsed="false">
      <c r="A8" s="0" t="s">
        <v>235</v>
      </c>
      <c r="B8" s="0" t="n">
        <v>1</v>
      </c>
      <c r="C8" s="0" t="n">
        <v>1</v>
      </c>
      <c r="D8" s="0" t="n">
        <v>1</v>
      </c>
      <c r="E8" s="0" t="n">
        <v>0</v>
      </c>
      <c r="F8" s="0" t="n">
        <v>0</v>
      </c>
      <c r="G8" s="0" t="n">
        <v>0</v>
      </c>
      <c r="H8" s="0" t="n">
        <v>1</v>
      </c>
      <c r="I8" s="0" t="n">
        <v>0</v>
      </c>
      <c r="J8" s="0" t="n">
        <v>0</v>
      </c>
      <c r="K8" s="0" t="n">
        <v>0</v>
      </c>
      <c r="L8" s="0" t="n">
        <v>0</v>
      </c>
      <c r="M8" s="0" t="n">
        <v>0</v>
      </c>
      <c r="N8" s="0" t="n">
        <v>0</v>
      </c>
      <c r="O8" s="0" t="n">
        <v>0</v>
      </c>
      <c r="P8" s="0" t="n">
        <v>0</v>
      </c>
      <c r="Q8" s="0" t="n">
        <v>0</v>
      </c>
      <c r="R8" s="0" t="n">
        <v>0</v>
      </c>
      <c r="S8" s="0" t="n">
        <v>0</v>
      </c>
      <c r="T8" s="0" t="n">
        <v>1</v>
      </c>
      <c r="U8" s="0" t="n">
        <v>1</v>
      </c>
    </row>
    <row r="9" customFormat="false" ht="14.25" hidden="false" customHeight="false" outlineLevel="0" collapsed="false">
      <c r="A9" s="0" t="s">
        <v>145</v>
      </c>
      <c r="B9" s="0" t="n">
        <v>22.15</v>
      </c>
      <c r="C9" s="0" t="n">
        <v>21.84</v>
      </c>
      <c r="D9" s="0" t="n">
        <v>18.7</v>
      </c>
      <c r="E9" s="0" t="n">
        <v>18.7</v>
      </c>
      <c r="F9" s="0" t="n">
        <v>18.7</v>
      </c>
      <c r="G9" s="0" t="n">
        <v>18.7</v>
      </c>
      <c r="H9" s="0" t="n">
        <v>18.7</v>
      </c>
      <c r="I9" s="0" t="n">
        <v>18.7</v>
      </c>
      <c r="J9" s="0" t="n">
        <v>18.7</v>
      </c>
      <c r="K9" s="0" t="n">
        <v>18.7</v>
      </c>
      <c r="L9" s="0" t="n">
        <v>18.7</v>
      </c>
      <c r="M9" s="0" t="n">
        <v>18.7</v>
      </c>
      <c r="N9" s="0" t="n">
        <v>18.7</v>
      </c>
      <c r="O9" s="0" t="n">
        <v>18.7</v>
      </c>
      <c r="P9" s="0" t="n">
        <v>18.7</v>
      </c>
      <c r="Q9" s="0" t="n">
        <v>18.7</v>
      </c>
      <c r="R9" s="0" t="n">
        <v>18.7</v>
      </c>
      <c r="S9" s="0" t="n">
        <v>18.7</v>
      </c>
      <c r="T9" s="0" t="n">
        <v>21.84</v>
      </c>
      <c r="U9" s="0" t="n">
        <v>22.15</v>
      </c>
    </row>
    <row r="10" customFormat="false" ht="14.25" hidden="false" customHeight="false" outlineLevel="0" collapsed="false">
      <c r="A10" s="0" t="s">
        <v>243</v>
      </c>
      <c r="B10" s="0" t="n">
        <f aca="false">ROUND(15*((B9*10)/256),0)</f>
        <v>13</v>
      </c>
      <c r="C10" s="0" t="n">
        <f aca="false">ROUND(15*((C9*10)/256),0)</f>
        <v>13</v>
      </c>
      <c r="D10" s="0" t="n">
        <f aca="false">ROUND(15*((D9*10)/256),0)</f>
        <v>11</v>
      </c>
      <c r="E10" s="0" t="n">
        <f aca="false">ROUND(15*((E9*10)/256),0)</f>
        <v>11</v>
      </c>
      <c r="F10" s="0" t="n">
        <f aca="false">ROUND(15*((F9*10)/256),0)</f>
        <v>11</v>
      </c>
      <c r="G10" s="0" t="n">
        <f aca="false">ROUND(15*((G9*10)/256),0)</f>
        <v>11</v>
      </c>
      <c r="H10" s="0" t="n">
        <f aca="false">ROUND(15*((H9*10)/256),0)</f>
        <v>11</v>
      </c>
      <c r="I10" s="0" t="n">
        <f aca="false">ROUND(15*((I9*10)/256),0)</f>
        <v>11</v>
      </c>
      <c r="J10" s="0" t="n">
        <f aca="false">ROUND(15*((J9*10)/256),0)</f>
        <v>11</v>
      </c>
      <c r="K10" s="0" t="n">
        <f aca="false">ROUND(15*((K9*10)/256),0)</f>
        <v>11</v>
      </c>
      <c r="L10" s="0" t="n">
        <f aca="false">ROUND(15*((L9*10)/256),0)</f>
        <v>11</v>
      </c>
      <c r="M10" s="0" t="n">
        <f aca="false">ROUND(15*((M9*10)/256),0)</f>
        <v>11</v>
      </c>
      <c r="N10" s="0" t="n">
        <f aca="false">ROUND(15*((N9*10)/256),0)</f>
        <v>11</v>
      </c>
      <c r="O10" s="0" t="n">
        <f aca="false">ROUND(15*((O9*10)/256),0)</f>
        <v>11</v>
      </c>
      <c r="P10" s="0" t="n">
        <f aca="false">ROUND(15*((P9*10)/256),0)</f>
        <v>11</v>
      </c>
      <c r="Q10" s="0" t="n">
        <f aca="false">ROUND(15*((Q9*10)/256),0)</f>
        <v>11</v>
      </c>
      <c r="R10" s="0" t="n">
        <f aca="false">ROUND(15*((R9*10)/256),0)</f>
        <v>11</v>
      </c>
      <c r="S10" s="0" t="n">
        <f aca="false">ROUND(15*((S9*10)/256),0)</f>
        <v>11</v>
      </c>
      <c r="T10" s="0" t="n">
        <f aca="false">ROUND(15*((T9*10)/256),0)</f>
        <v>13</v>
      </c>
      <c r="U10" s="0" t="n">
        <f aca="false">ROUND(15*((U9*10)/256),0)</f>
        <v>13</v>
      </c>
    </row>
    <row r="11" customFormat="false" ht="14.25" hidden="false" customHeight="false" outlineLevel="0" collapsed="false">
      <c r="A11" s="0" t="s">
        <v>244</v>
      </c>
      <c r="B11" s="0" t="str">
        <f aca="false">VLOOKUP(B10,Constants!$A$1:$B$16,2,FALSE())</f>
        <v>4,5,4</v>
      </c>
      <c r="C11" s="0" t="str">
        <f aca="false">VLOOKUP(C10,Constants!$A$1:$B$16,2,FALSE())</f>
        <v>4,5,4</v>
      </c>
      <c r="D11" s="0" t="str">
        <f aca="false">VLOOKUP(D10,Constants!$A$1:$B$16,2,FALSE())</f>
        <v>4,3,4</v>
      </c>
      <c r="E11" s="0" t="str">
        <f aca="false">VLOOKUP(E10,Constants!$A$1:$B$16,2,FALSE())</f>
        <v>4,3,4</v>
      </c>
      <c r="F11" s="0" t="str">
        <f aca="false">VLOOKUP(F10,Constants!$A$1:$B$16,2,FALSE())</f>
        <v>4,3,4</v>
      </c>
      <c r="G11" s="0" t="str">
        <f aca="false">VLOOKUP(G10,Constants!$A$1:$B$16,2,FALSE())</f>
        <v>4,3,4</v>
      </c>
      <c r="H11" s="0" t="str">
        <f aca="false">VLOOKUP(H10,Constants!$A$1:$B$16,2,FALSE())</f>
        <v>4,3,4</v>
      </c>
      <c r="I11" s="0" t="str">
        <f aca="false">VLOOKUP(I10,Constants!$A$1:$B$16,2,FALSE())</f>
        <v>4,3,4</v>
      </c>
      <c r="J11" s="0" t="str">
        <f aca="false">VLOOKUP(J10,Constants!$A$1:$B$16,2,FALSE())</f>
        <v>4,3,4</v>
      </c>
      <c r="K11" s="0" t="str">
        <f aca="false">VLOOKUP(K10,Constants!$A$1:$B$16,2,FALSE())</f>
        <v>4,3,4</v>
      </c>
      <c r="L11" s="0" t="str">
        <f aca="false">VLOOKUP(L10,Constants!$A$1:$B$16,2,FALSE())</f>
        <v>4,3,4</v>
      </c>
      <c r="M11" s="0" t="str">
        <f aca="false">VLOOKUP(M10,Constants!$A$1:$B$16,2,FALSE())</f>
        <v>4,3,4</v>
      </c>
      <c r="N11" s="0" t="str">
        <f aca="false">VLOOKUP(N10,Constants!$A$1:$B$16,2,FALSE())</f>
        <v>4,3,4</v>
      </c>
      <c r="O11" s="0" t="str">
        <f aca="false">VLOOKUP(O10,Constants!$A$1:$B$16,2,FALSE())</f>
        <v>4,3,4</v>
      </c>
      <c r="P11" s="0" t="str">
        <f aca="false">VLOOKUP(P10,Constants!$A$1:$B$16,2,FALSE())</f>
        <v>4,3,4</v>
      </c>
      <c r="Q11" s="0" t="str">
        <f aca="false">VLOOKUP(Q10,Constants!$A$1:$B$16,2,FALSE())</f>
        <v>4,3,4</v>
      </c>
      <c r="R11" s="0" t="str">
        <f aca="false">VLOOKUP(R10,Constants!$A$1:$B$16,2,FALSE())</f>
        <v>4,3,4</v>
      </c>
      <c r="S11" s="0" t="str">
        <f aca="false">VLOOKUP(S10,Constants!$A$1:$B$16,2,FALSE())</f>
        <v>4,3,4</v>
      </c>
      <c r="T11" s="0" t="str">
        <f aca="false">VLOOKUP(T10,Constants!$A$1:$B$16,2,FALSE())</f>
        <v>4,5,4</v>
      </c>
      <c r="U11" s="0" t="str">
        <f aca="false">VLOOKUP(U10,Constants!$A$1:$B$16,2,FALSE())</f>
        <v>4,5,4</v>
      </c>
    </row>
    <row r="13" customFormat="false" ht="14.25" hidden="false" customHeight="false" outlineLevel="0" collapsed="false">
      <c r="B13" s="0" t="str">
        <f aca="false">_xlfn.TEXTJOIN(",",TRUE(),  B7:U7)</f>
        <v>eurostar,eurostar_motor,eurostar_mid,eurostar_mid,eurostar_mid,eurostar_mid,eurostar_tbk,eurostar_mid,eurostar_mid,eurostar_mid,eurostar_mid,eurostar_mid,eurostar_mid,eurostar_tbk,eurostar_mid,eurostar_mid,eurostar_mid,eurostar_mid,eurostar_motor_rev,eurostar_rear</v>
      </c>
    </row>
    <row r="14" customFormat="false" ht="14.25" hidden="false" customHeight="false" outlineLevel="0" collapsed="false">
      <c r="B14" s="0" t="str">
        <f aca="false">_xlfn.TEXTJOIN(",",TRUE(),  B8:U8)</f>
        <v>1,1,1,0,0,0,1,0,0,0,0,0,0,0,0,0,0,0,1,1</v>
      </c>
    </row>
    <row r="15" customFormat="false" ht="14.25" hidden="false" customHeight="false" outlineLevel="0" collapsed="false">
      <c r="B15" s="0" t="str">
        <f aca="false">_xlfn.TEXTJOIN(",",TRUE(),  B11:U11)</f>
        <v>4,5,4,4,5,4,4,3,4,4,3,4,4,3,4,4,3,4,4,3,4,4,3,4,4,3,4,4,3,4,4,3,4,4,3,4,4,3,4,4,3,4,4,3,4,4,3,4,4,3,4,4,3,4,4,5,4,4,5,4</v>
      </c>
    </row>
    <row r="16" customFormat="false" ht="14.25" hidden="false" customHeight="false" outlineLevel="0" collapsed="false">
      <c r="B16" s="0" t="str">
        <f aca="false">_xlfn.TEXTJOIN(",",TRUE(),  B10:U10)</f>
        <v>13,13,11,11,11,11,11,11,11,11,11,11,11,11,11,11,11,11,13,13</v>
      </c>
    </row>
    <row r="18" customFormat="false" ht="14.25" hidden="false" customHeight="false" outlineLevel="0" collapsed="false">
      <c r="B18" s="0" t="s">
        <v>245</v>
      </c>
    </row>
    <row r="19" customFormat="false" ht="14.25" hidden="false" customHeight="false" outlineLevel="0" collapsed="false">
      <c r="A19" s="0" t="s">
        <v>228</v>
      </c>
      <c r="B19" s="0" t="s">
        <v>237</v>
      </c>
      <c r="C19" s="0" t="s">
        <v>238</v>
      </c>
      <c r="D19" s="0" t="s">
        <v>239</v>
      </c>
      <c r="E19" s="0" t="s">
        <v>240</v>
      </c>
      <c r="F19" s="0" t="s">
        <v>239</v>
      </c>
      <c r="G19" s="0" t="s">
        <v>240</v>
      </c>
      <c r="H19" s="0" t="s">
        <v>241</v>
      </c>
      <c r="I19" s="0" t="s">
        <v>242</v>
      </c>
    </row>
    <row r="20" customFormat="false" ht="14.25" hidden="false" customHeight="false" outlineLevel="0" collapsed="false">
      <c r="A20" s="0" t="s">
        <v>235</v>
      </c>
      <c r="B20" s="0" t="n">
        <v>0</v>
      </c>
      <c r="C20" s="0" t="n">
        <v>0</v>
      </c>
      <c r="D20" s="0" t="n">
        <v>0</v>
      </c>
      <c r="E20" s="0" t="n">
        <v>0</v>
      </c>
      <c r="F20" s="0" t="n">
        <v>0</v>
      </c>
      <c r="G20" s="0" t="n">
        <v>0</v>
      </c>
      <c r="H20" s="0" t="n">
        <v>0</v>
      </c>
      <c r="I20" s="0" t="n">
        <v>0</v>
      </c>
    </row>
    <row r="21" customFormat="false" ht="14.25" hidden="false" customHeight="false" outlineLevel="0" collapsed="false">
      <c r="A21" s="0" t="s">
        <v>145</v>
      </c>
      <c r="B21" s="0" t="n">
        <v>22.15</v>
      </c>
      <c r="C21" s="0" t="n">
        <v>21.84</v>
      </c>
      <c r="D21" s="0" t="n">
        <v>18.7</v>
      </c>
      <c r="E21" s="0" t="n">
        <v>18.7</v>
      </c>
      <c r="F21" s="0" t="n">
        <v>18.7</v>
      </c>
      <c r="G21" s="0" t="n">
        <v>18.7</v>
      </c>
      <c r="H21" s="0" t="n">
        <v>21.84</v>
      </c>
      <c r="I21" s="0" t="n">
        <v>22.15</v>
      </c>
    </row>
    <row r="22" customFormat="false" ht="14.25" hidden="false" customHeight="false" outlineLevel="0" collapsed="false">
      <c r="A22" s="0" t="s">
        <v>243</v>
      </c>
      <c r="B22" s="0" t="n">
        <f aca="false">ROUND(15*((B21*10)/256),0)</f>
        <v>13</v>
      </c>
      <c r="C22" s="0" t="n">
        <f aca="false">ROUND(15*((C21*10)/256),0)</f>
        <v>13</v>
      </c>
      <c r="D22" s="0" t="n">
        <f aca="false">ROUND(15*((D21*10)/256),0)</f>
        <v>11</v>
      </c>
      <c r="E22" s="0" t="n">
        <f aca="false">ROUND(15*((E21*10)/256),0)</f>
        <v>11</v>
      </c>
      <c r="F22" s="0" t="n">
        <f aca="false">ROUND(15*((F21*10)/256),0)</f>
        <v>11</v>
      </c>
      <c r="G22" s="0" t="n">
        <f aca="false">ROUND(15*((G21*10)/256),0)</f>
        <v>11</v>
      </c>
      <c r="H22" s="0" t="n">
        <f aca="false">ROUND(15*((H21*10)/256),0)</f>
        <v>13</v>
      </c>
      <c r="I22" s="0" t="n">
        <f aca="false">ROUND(15*((I21*10)/256),0)</f>
        <v>13</v>
      </c>
    </row>
    <row r="23" customFormat="false" ht="14.25" hidden="false" customHeight="false" outlineLevel="0" collapsed="false">
      <c r="A23" s="0" t="s">
        <v>244</v>
      </c>
      <c r="B23" s="0" t="str">
        <f aca="false">VLOOKUP(B22,Constants!$A$1:$B$16,2,FALSE())</f>
        <v>4,5,4</v>
      </c>
      <c r="C23" s="0" t="str">
        <f aca="false">VLOOKUP(C22,Constants!$A$1:$B$16,2,FALSE())</f>
        <v>4,5,4</v>
      </c>
      <c r="D23" s="0" t="str">
        <f aca="false">VLOOKUP(D22,Constants!$A$1:$B$16,2,FALSE())</f>
        <v>4,3,4</v>
      </c>
      <c r="E23" s="0" t="str">
        <f aca="false">VLOOKUP(E22,Constants!$A$1:$B$16,2,FALSE())</f>
        <v>4,3,4</v>
      </c>
      <c r="F23" s="0" t="str">
        <f aca="false">VLOOKUP(F22,Constants!$A$1:$B$16,2,FALSE())</f>
        <v>4,3,4</v>
      </c>
      <c r="G23" s="0" t="str">
        <f aca="false">VLOOKUP(G22,Constants!$A$1:$B$16,2,FALSE())</f>
        <v>4,3,4</v>
      </c>
      <c r="H23" s="0" t="str">
        <f aca="false">VLOOKUP(H22,Constants!$A$1:$B$16,2,FALSE())</f>
        <v>4,5,4</v>
      </c>
      <c r="I23" s="0" t="str">
        <f aca="false">VLOOKUP(I22,Constants!$A$1:$B$16,2,FALSE())</f>
        <v>4,5,4</v>
      </c>
    </row>
    <row r="25" customFormat="false" ht="14.25" hidden="false" customHeight="false" outlineLevel="0" collapsed="false">
      <c r="B25" s="0" t="str">
        <f aca="false">_xlfn.TEXTJOIN(",",TRUE(),  B19:P19)</f>
        <v>eurostar,eurostar_motor,eurostar_mid,eurostar_tbk,eurostar_mid,eurostar_tbk,eurostar_motor_rev,eurostar_rear</v>
      </c>
    </row>
    <row r="26" customFormat="false" ht="14.25" hidden="false" customHeight="false" outlineLevel="0" collapsed="false">
      <c r="B26" s="0" t="str">
        <f aca="false">_xlfn.TEXTJOIN(",",TRUE(),  B20:P20)</f>
        <v>0,0,0,0,0,0,0,0</v>
      </c>
    </row>
    <row r="27" customFormat="false" ht="14.25" hidden="false" customHeight="false" outlineLevel="0" collapsed="false">
      <c r="B27" s="0" t="str">
        <f aca="false">_xlfn.TEXTJOIN(",",TRUE(),  B23:P23)</f>
        <v>4,5,4,4,5,4,4,3,4,4,3,4,4,3,4,4,3,4,4,5,4,4,5,4</v>
      </c>
    </row>
    <row r="28" customFormat="false" ht="14.25" hidden="false" customHeight="false" outlineLevel="0" collapsed="false">
      <c r="B28" s="0" t="str">
        <f aca="false">_xlfn.TEXTJOIN(",",TRUE(),  B22:U22)</f>
        <v>13,13,11,11,11,11,13,13</v>
      </c>
    </row>
    <row r="30" customFormat="false" ht="14.25" hidden="false" customHeight="false" outlineLevel="0" collapsed="false">
      <c r="B30" s="0" t="s">
        <v>246</v>
      </c>
    </row>
    <row r="31" customFormat="false" ht="14.25" hidden="false" customHeight="false" outlineLevel="0" collapsed="false">
      <c r="A31" s="0" t="s">
        <v>228</v>
      </c>
      <c r="B31" s="0" t="s">
        <v>237</v>
      </c>
      <c r="C31" s="0" t="s">
        <v>238</v>
      </c>
      <c r="D31" s="0" t="s">
        <v>239</v>
      </c>
      <c r="E31" s="0" t="s">
        <v>241</v>
      </c>
      <c r="F31" s="0" t="s">
        <v>242</v>
      </c>
    </row>
    <row r="32" customFormat="false" ht="14.25" hidden="false" customHeight="false" outlineLevel="0" collapsed="false">
      <c r="A32" s="0" t="s">
        <v>235</v>
      </c>
      <c r="B32" s="0" t="n">
        <v>0</v>
      </c>
      <c r="C32" s="0" t="n">
        <v>0</v>
      </c>
      <c r="D32" s="0" t="n">
        <v>0</v>
      </c>
      <c r="E32" s="0" t="n">
        <v>0</v>
      </c>
      <c r="F32" s="0" t="n">
        <v>0</v>
      </c>
    </row>
    <row r="33" customFormat="false" ht="14.25" hidden="false" customHeight="false" outlineLevel="0" collapsed="false">
      <c r="A33" s="0" t="s">
        <v>145</v>
      </c>
      <c r="B33" s="0" t="n">
        <v>22.15</v>
      </c>
      <c r="C33" s="0" t="n">
        <v>21.84</v>
      </c>
      <c r="D33" s="0" t="n">
        <v>18.7</v>
      </c>
      <c r="E33" s="0" t="n">
        <v>21.84</v>
      </c>
      <c r="F33" s="0" t="n">
        <v>22.15</v>
      </c>
    </row>
    <row r="34" customFormat="false" ht="14.25" hidden="false" customHeight="false" outlineLevel="0" collapsed="false">
      <c r="A34" s="0" t="s">
        <v>243</v>
      </c>
      <c r="B34" s="0" t="n">
        <f aca="false">ROUND(15*((B33*10)/256),0)</f>
        <v>13</v>
      </c>
      <c r="C34" s="0" t="n">
        <f aca="false">ROUND(15*((C33*10)/256),0)</f>
        <v>13</v>
      </c>
      <c r="D34" s="0" t="n">
        <f aca="false">ROUND(15*((D33*10)/256),0)</f>
        <v>11</v>
      </c>
      <c r="E34" s="0" t="n">
        <f aca="false">ROUND(15*((E33*10)/256),0)</f>
        <v>13</v>
      </c>
      <c r="F34" s="0" t="n">
        <f aca="false">ROUND(15*((F33*10)/256),0)</f>
        <v>13</v>
      </c>
    </row>
    <row r="35" customFormat="false" ht="14.25" hidden="false" customHeight="false" outlineLevel="0" collapsed="false">
      <c r="A35" s="0" t="s">
        <v>244</v>
      </c>
      <c r="B35" s="0" t="str">
        <f aca="false">VLOOKUP(B34,Constants!$A$1:$B$16,2,FALSE())</f>
        <v>4,5,4</v>
      </c>
      <c r="C35" s="0" t="str">
        <f aca="false">VLOOKUP(C34,Constants!$A$1:$B$16,2,FALSE())</f>
        <v>4,5,4</v>
      </c>
      <c r="D35" s="0" t="str">
        <f aca="false">VLOOKUP(D34,Constants!$A$1:$B$16,2,FALSE())</f>
        <v>4,3,4</v>
      </c>
      <c r="E35" s="0" t="str">
        <f aca="false">VLOOKUP(E34,Constants!$A$1:$B$16,2,FALSE())</f>
        <v>4,5,4</v>
      </c>
      <c r="F35" s="0" t="str">
        <f aca="false">VLOOKUP(F34,Constants!$A$1:$B$16,2,FALSE())</f>
        <v>4,5,4</v>
      </c>
    </row>
    <row r="37" customFormat="false" ht="14.25" hidden="false" customHeight="false" outlineLevel="0" collapsed="false">
      <c r="B37" s="0" t="str">
        <f aca="false">_xlfn.TEXTJOIN(",",TRUE(),  B31:P31)</f>
        <v>eurostar,eurostar_motor,eurostar_mid,eurostar_motor_rev,eurostar_rear</v>
      </c>
    </row>
    <row r="38" customFormat="false" ht="14.25" hidden="false" customHeight="false" outlineLevel="0" collapsed="false">
      <c r="B38" s="0" t="str">
        <f aca="false">_xlfn.TEXTJOIN(",",TRUE(),  B32:P32)</f>
        <v>0,0,0,0,0</v>
      </c>
    </row>
    <row r="39" customFormat="false" ht="14.25" hidden="false" customHeight="false" outlineLevel="0" collapsed="false">
      <c r="B39" s="0" t="str">
        <f aca="false">_xlfn.TEXTJOIN(",",TRUE(),  B35:P35)</f>
        <v>4,5,4,4,5,4,4,3,4,4,5,4,4,5,4</v>
      </c>
    </row>
    <row r="40" customFormat="false" ht="14.25" hidden="false" customHeight="false" outlineLevel="0" collapsed="false">
      <c r="B40" s="0" t="str">
        <f aca="false">_xlfn.TEXTJOIN(",",TRUE(),  B34:U34)</f>
        <v>13,13,11,13,13</v>
      </c>
    </row>
    <row r="42" customFormat="false" ht="14.25" hidden="false" customHeight="false" outlineLevel="0" collapsed="false">
      <c r="B42" s="0" t="s">
        <v>247</v>
      </c>
    </row>
    <row r="43" customFormat="false" ht="14.25" hidden="false" customHeight="false" outlineLevel="0" collapsed="false">
      <c r="A43" s="0" t="s">
        <v>228</v>
      </c>
      <c r="B43" s="0" t="s">
        <v>248</v>
      </c>
      <c r="C43" s="0" t="s">
        <v>249</v>
      </c>
      <c r="D43" s="0" t="s">
        <v>250</v>
      </c>
      <c r="E43" s="0" t="s">
        <v>251</v>
      </c>
      <c r="F43" s="0" t="s">
        <v>252</v>
      </c>
    </row>
    <row r="44" customFormat="false" ht="14.25" hidden="false" customHeight="false" outlineLevel="0" collapsed="false">
      <c r="A44" s="0" t="s">
        <v>235</v>
      </c>
      <c r="B44" s="0" t="n">
        <v>1</v>
      </c>
      <c r="C44" s="0" t="n">
        <v>1</v>
      </c>
      <c r="D44" s="0" t="n">
        <v>1</v>
      </c>
      <c r="E44" s="0" t="n">
        <v>1</v>
      </c>
      <c r="F44" s="0" t="n">
        <v>1</v>
      </c>
    </row>
    <row r="45" customFormat="false" ht="14.25" hidden="false" customHeight="false" outlineLevel="0" collapsed="false">
      <c r="A45" s="0" t="s">
        <v>145</v>
      </c>
      <c r="B45" s="0" t="n">
        <v>20.2</v>
      </c>
      <c r="C45" s="0" t="n">
        <v>15.7</v>
      </c>
      <c r="D45" s="0" t="n">
        <v>10</v>
      </c>
      <c r="E45" s="0" t="n">
        <v>15.7</v>
      </c>
      <c r="F45" s="0" t="n">
        <v>20.2</v>
      </c>
    </row>
    <row r="46" customFormat="false" ht="14.25" hidden="false" customHeight="false" outlineLevel="0" collapsed="false">
      <c r="A46" s="0" t="s">
        <v>243</v>
      </c>
      <c r="B46" s="0" t="n">
        <f aca="false">ROUND(15*((B45*10)/256),0)</f>
        <v>12</v>
      </c>
      <c r="C46" s="0" t="n">
        <f aca="false">ROUND(15*((C45*10)/256),0)</f>
        <v>9</v>
      </c>
      <c r="D46" s="0" t="n">
        <f aca="false">ROUND(15*((D45*10)/256),0)</f>
        <v>6</v>
      </c>
      <c r="E46" s="0" t="n">
        <f aca="false">ROUND(15*((E45*10)/256),0)</f>
        <v>9</v>
      </c>
      <c r="F46" s="0" t="n">
        <f aca="false">ROUND(15*((F45*10)/256),0)</f>
        <v>12</v>
      </c>
    </row>
    <row r="47" customFormat="false" ht="14.25" hidden="false" customHeight="false" outlineLevel="0" collapsed="false">
      <c r="A47" s="0" t="s">
        <v>244</v>
      </c>
      <c r="B47" s="0" t="str">
        <f aca="false">VLOOKUP(B46,Constants!$A$1:$B$16,2,FALSE())</f>
        <v>4,4,4</v>
      </c>
      <c r="C47" s="0" t="str">
        <f aca="false">VLOOKUP(C46,Constants!$A$1:$B$16,2,FALSE())</f>
        <v>2,5,2</v>
      </c>
      <c r="D47" s="0" t="str">
        <f aca="false">VLOOKUP(D46,Constants!$A$1:$B$16,2,FALSE())</f>
        <v>2,2,2</v>
      </c>
      <c r="E47" s="0" t="str">
        <f aca="false">VLOOKUP(E46,Constants!$A$1:$B$16,2,FALSE())</f>
        <v>2,5,2</v>
      </c>
      <c r="F47" s="0" t="str">
        <f aca="false">VLOOKUP(F46,Constants!$A$1:$B$16,2,FALSE())</f>
        <v>4,4,4</v>
      </c>
    </row>
    <row r="49" customFormat="false" ht="14.25" hidden="false" customHeight="false" outlineLevel="0" collapsed="false">
      <c r="B49" s="0" t="str">
        <f aca="false">_xlfn.TEXTJOIN(",",TRUE(),  B43:P43)</f>
        <v>stadler_class_755,stadler_class_755_mid,stadler_class_755_motor,stadler_class_755_mid_rev,stadler_class_755_rear</v>
      </c>
    </row>
    <row r="50" customFormat="false" ht="14.25" hidden="false" customHeight="false" outlineLevel="0" collapsed="false">
      <c r="B50" s="0" t="str">
        <f aca="false">_xlfn.TEXTJOIN(",",TRUE(),  B44:P44)</f>
        <v>1,1,1,1,1</v>
      </c>
    </row>
    <row r="51" customFormat="false" ht="14.25" hidden="false" customHeight="false" outlineLevel="0" collapsed="false">
      <c r="B51" s="0" t="str">
        <f aca="false">_xlfn.TEXTJOIN(",",TRUE(),  B47:P47)</f>
        <v>4,4,4,2,5,2,2,2,2,2,5,2,4,4,4</v>
      </c>
    </row>
    <row r="52" customFormat="false" ht="14.25" hidden="false" customHeight="false" outlineLevel="0" collapsed="false">
      <c r="B52" s="0" t="str">
        <f aca="false">_xlfn.TEXTJOIN(",",TRUE(),  B46:U46)</f>
        <v>12,9,6,9,12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R11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6" activeCellId="0" sqref="B26"/>
    </sheetView>
  </sheetViews>
  <sheetFormatPr defaultColWidth="8.6796875" defaultRowHeight="14.25" customHeight="false" zeroHeight="false" outlineLevelRow="0" outlineLevelCol="0"/>
  <cols>
    <col collapsed="false" customWidth="true" hidden="false" outlineLevel="0" max="1" min="1" style="0" width="14.27"/>
    <col collapsed="false" customWidth="true" hidden="false" outlineLevel="0" max="2" min="2" style="0" width="22.27"/>
    <col collapsed="false" customWidth="true" hidden="false" outlineLevel="0" max="3" min="3" style="0" width="39.45"/>
    <col collapsed="false" customWidth="true" hidden="false" outlineLevel="0" max="6" min="6" style="0" width="11.54"/>
    <col collapsed="false" customWidth="true" hidden="false" outlineLevel="0" max="7" min="7" style="0" width="19.82"/>
    <col collapsed="false" customWidth="true" hidden="false" outlineLevel="0" max="8" min="8" style="0" width="12.82"/>
    <col collapsed="false" customWidth="true" hidden="false" outlineLevel="0" max="10" min="10" style="0" width="14.45"/>
  </cols>
  <sheetData>
    <row r="1" customFormat="false" ht="14.25" hidden="false" customHeight="false" outlineLevel="0" collapsed="false">
      <c r="A1" s="7" t="s">
        <v>253</v>
      </c>
      <c r="B1" s="7" t="s">
        <v>254</v>
      </c>
      <c r="C1" s="7" t="s">
        <v>255</v>
      </c>
      <c r="F1" s="7" t="s">
        <v>256</v>
      </c>
      <c r="G1" s="7" t="s">
        <v>135</v>
      </c>
      <c r="H1" s="7" t="s">
        <v>257</v>
      </c>
      <c r="J1" s="7" t="s">
        <v>258</v>
      </c>
      <c r="K1" s="7" t="s">
        <v>259</v>
      </c>
      <c r="L1" s="7" t="s">
        <v>260</v>
      </c>
      <c r="M1" s="7" t="s">
        <v>261</v>
      </c>
      <c r="N1" s="7" t="s">
        <v>262</v>
      </c>
      <c r="O1" s="7" t="s">
        <v>263</v>
      </c>
      <c r="P1" s="7" t="s">
        <v>264</v>
      </c>
      <c r="Q1" s="7" t="s">
        <v>265</v>
      </c>
      <c r="R1" s="7" t="s">
        <v>266</v>
      </c>
    </row>
    <row r="2" customFormat="false" ht="15.75" hidden="false" customHeight="true" outlineLevel="0" collapsed="false">
      <c r="A2" s="0" t="s">
        <v>267</v>
      </c>
      <c r="B2" s="0" t="s">
        <v>268</v>
      </c>
      <c r="C2" s="0" t="s">
        <v>269</v>
      </c>
      <c r="D2" s="0" t="str">
        <f aca="false">CONCATENATE("""", A2, """,")</f>
        <v>"ACID",</v>
      </c>
      <c r="F2" s="0" t="s">
        <v>270</v>
      </c>
      <c r="G2" s="16" t="str">
        <f aca="false">VLOOKUP(F2,A:B,2, FALSE())</f>
        <v>Batteries</v>
      </c>
      <c r="H2" s="16" t="s">
        <v>263</v>
      </c>
      <c r="J2" s="0" t="s">
        <v>271</v>
      </c>
      <c r="K2" s="0" t="n">
        <v>136</v>
      </c>
      <c r="L2" s="0" t="n">
        <v>38</v>
      </c>
      <c r="M2" s="0" t="n">
        <v>28</v>
      </c>
      <c r="N2" s="0" t="n">
        <f aca="false">K2/45</f>
        <v>3.02222222222222</v>
      </c>
      <c r="O2" s="0" t="n">
        <f aca="false">K2/30</f>
        <v>4.53333333333333</v>
      </c>
      <c r="P2" s="0" t="n">
        <f aca="false">K2/34</f>
        <v>4</v>
      </c>
      <c r="Q2" s="0" t="n">
        <f aca="false">K2/68</f>
        <v>2</v>
      </c>
      <c r="R2" s="0" t="n">
        <f aca="false">K2/60</f>
        <v>2.26666666666667</v>
      </c>
    </row>
    <row r="3" customFormat="false" ht="14.25" hidden="false" customHeight="false" outlineLevel="0" collapsed="false">
      <c r="A3" s="0" t="s">
        <v>272</v>
      </c>
      <c r="B3" s="0" t="s">
        <v>273</v>
      </c>
      <c r="C3" s="0" t="s">
        <v>274</v>
      </c>
      <c r="D3" s="0" t="str">
        <f aca="false">CONCATENATE("""", A3, """,")</f>
        <v>"AORE",</v>
      </c>
      <c r="F3" s="0" t="s">
        <v>275</v>
      </c>
      <c r="G3" s="16" t="str">
        <f aca="false">VLOOKUP(F3,A:B,2, FALSE())</f>
        <v>Bulding Materials</v>
      </c>
      <c r="H3" s="16" t="s">
        <v>262</v>
      </c>
      <c r="J3" s="0" t="s">
        <v>276</v>
      </c>
      <c r="K3" s="0" t="n">
        <v>70</v>
      </c>
      <c r="L3" s="0" t="n">
        <v>38</v>
      </c>
      <c r="M3" s="0" t="n">
        <v>28</v>
      </c>
      <c r="N3" s="0" t="n">
        <f aca="false">K3/45</f>
        <v>1.55555555555556</v>
      </c>
      <c r="O3" s="0" t="n">
        <f aca="false">K3/30</f>
        <v>2.33333333333333</v>
      </c>
      <c r="P3" s="0" t="n">
        <f aca="false">K3/34</f>
        <v>2.05882352941176</v>
      </c>
      <c r="Q3" s="0" t="n">
        <f aca="false">K3/68</f>
        <v>1.02941176470588</v>
      </c>
      <c r="R3" s="0" t="n">
        <f aca="false">K3/60</f>
        <v>1.16666666666667</v>
      </c>
    </row>
    <row r="4" customFormat="false" ht="14.25" hidden="false" customHeight="false" outlineLevel="0" collapsed="false">
      <c r="A4" s="0" t="s">
        <v>270</v>
      </c>
      <c r="B4" s="0" t="s">
        <v>277</v>
      </c>
      <c r="C4" s="0" t="s">
        <v>278</v>
      </c>
      <c r="D4" s="0" t="str">
        <f aca="false">CONCATENATE("""", A4, """,")</f>
        <v>"BATT",</v>
      </c>
      <c r="F4" s="0" t="s">
        <v>279</v>
      </c>
      <c r="G4" s="16" t="str">
        <f aca="false">VLOOKUP(F4,A:B,2, FALSE())</f>
        <v>Beer</v>
      </c>
      <c r="H4" s="16" t="s">
        <v>263</v>
      </c>
      <c r="J4" s="0" t="s">
        <v>280</v>
      </c>
      <c r="K4" s="0" t="n">
        <v>136</v>
      </c>
      <c r="L4" s="0" t="n">
        <v>38</v>
      </c>
      <c r="M4" s="0" t="n">
        <v>28</v>
      </c>
      <c r="N4" s="0" t="n">
        <f aca="false">K4/45</f>
        <v>3.02222222222222</v>
      </c>
      <c r="O4" s="0" t="n">
        <f aca="false">K4/30</f>
        <v>4.53333333333333</v>
      </c>
      <c r="P4" s="0" t="n">
        <f aca="false">K4/34</f>
        <v>4</v>
      </c>
      <c r="Q4" s="0" t="n">
        <f aca="false">K4/68</f>
        <v>2</v>
      </c>
      <c r="R4" s="0" t="n">
        <f aca="false">K4/60</f>
        <v>2.26666666666667</v>
      </c>
    </row>
    <row r="5" customFormat="false" ht="14.25" hidden="false" customHeight="false" outlineLevel="0" collapsed="false">
      <c r="A5" s="0" t="s">
        <v>275</v>
      </c>
      <c r="B5" s="0" t="s">
        <v>281</v>
      </c>
      <c r="C5" s="0" t="s">
        <v>282</v>
      </c>
      <c r="D5" s="0" t="str">
        <f aca="false">CONCATENATE("""", A5, """,")</f>
        <v>"BDMT",</v>
      </c>
      <c r="F5" s="0" t="s">
        <v>283</v>
      </c>
      <c r="G5" s="16" t="str">
        <f aca="false">VLOOKUP(F5,A:B,2, FALSE())</f>
        <v>Explosives</v>
      </c>
      <c r="H5" s="16" t="s">
        <v>263</v>
      </c>
      <c r="J5" s="0" t="s">
        <v>284</v>
      </c>
      <c r="K5" s="0" t="n">
        <v>46</v>
      </c>
      <c r="L5" s="0" t="n">
        <v>38</v>
      </c>
      <c r="M5" s="0" t="n">
        <v>28</v>
      </c>
      <c r="N5" s="0" t="n">
        <f aca="false">K5/45</f>
        <v>1.02222222222222</v>
      </c>
      <c r="O5" s="0" t="n">
        <f aca="false">K5/30</f>
        <v>1.53333333333333</v>
      </c>
      <c r="P5" s="0" t="n">
        <f aca="false">K5/34</f>
        <v>1.35294117647059</v>
      </c>
      <c r="Q5" s="0" t="n">
        <f aca="false">K5/68</f>
        <v>0.676470588235294</v>
      </c>
      <c r="R5" s="0" t="n">
        <f aca="false">K5/60</f>
        <v>0.766666666666667</v>
      </c>
    </row>
    <row r="6" customFormat="false" ht="14.25" hidden="false" customHeight="false" outlineLevel="0" collapsed="false">
      <c r="A6" s="0" t="s">
        <v>285</v>
      </c>
      <c r="B6" s="0" t="s">
        <v>286</v>
      </c>
      <c r="C6" s="0" t="s">
        <v>274</v>
      </c>
      <c r="D6" s="0" t="str">
        <f aca="false">CONCATENATE("""", A6, """,")</f>
        <v>"BEAN",</v>
      </c>
      <c r="F6" s="0" t="s">
        <v>287</v>
      </c>
      <c r="G6" s="16" t="str">
        <f aca="false">VLOOKUP(F6,A:B,2, FALSE())</f>
        <v>Bricks</v>
      </c>
      <c r="H6" s="16" t="s">
        <v>262</v>
      </c>
      <c r="J6" s="0" t="s">
        <v>288</v>
      </c>
      <c r="K6" s="0" t="n">
        <v>70</v>
      </c>
      <c r="L6" s="0" t="n">
        <v>38</v>
      </c>
      <c r="M6" s="0" t="n">
        <v>28</v>
      </c>
      <c r="N6" s="0" t="n">
        <f aca="false">K6/45</f>
        <v>1.55555555555556</v>
      </c>
      <c r="O6" s="0" t="n">
        <f aca="false">K6/30</f>
        <v>2.33333333333333</v>
      </c>
      <c r="P6" s="0" t="n">
        <f aca="false">K6/34</f>
        <v>2.05882352941176</v>
      </c>
      <c r="Q6" s="0" t="n">
        <f aca="false">K6/68</f>
        <v>1.02941176470588</v>
      </c>
      <c r="R6" s="0" t="n">
        <f aca="false">K6/60</f>
        <v>1.16666666666667</v>
      </c>
    </row>
    <row r="7" customFormat="false" ht="14.25" hidden="false" customHeight="false" outlineLevel="0" collapsed="false">
      <c r="A7" s="0" t="s">
        <v>279</v>
      </c>
      <c r="B7" s="0" t="s">
        <v>289</v>
      </c>
      <c r="C7" s="0" t="s">
        <v>290</v>
      </c>
      <c r="D7" s="0" t="str">
        <f aca="false">CONCATENATE("""", A7, """,")</f>
        <v>"BEER",</v>
      </c>
      <c r="F7" s="0" t="s">
        <v>291</v>
      </c>
      <c r="G7" s="16" t="str">
        <f aca="false">VLOOKUP(F7,A:B,2, FALSE())</f>
        <v>Bubbles</v>
      </c>
      <c r="H7" s="16" t="s">
        <v>263</v>
      </c>
      <c r="J7" s="0" t="s">
        <v>292</v>
      </c>
      <c r="K7" s="0" t="n">
        <v>180</v>
      </c>
      <c r="L7" s="0" t="n">
        <v>38</v>
      </c>
      <c r="M7" s="0" t="n">
        <v>28</v>
      </c>
      <c r="N7" s="0" t="n">
        <f aca="false">K7/45</f>
        <v>4</v>
      </c>
      <c r="O7" s="0" t="n">
        <f aca="false">K7/30</f>
        <v>6</v>
      </c>
      <c r="P7" s="0" t="n">
        <f aca="false">K7/34</f>
        <v>5.29411764705882</v>
      </c>
      <c r="Q7" s="0" t="n">
        <f aca="false">K7/68</f>
        <v>2.64705882352941</v>
      </c>
      <c r="R7" s="0" t="n">
        <f aca="false">K7/60</f>
        <v>3</v>
      </c>
    </row>
    <row r="8" customFormat="false" ht="14.25" hidden="false" customHeight="false" outlineLevel="0" collapsed="false">
      <c r="A8" s="0" t="s">
        <v>283</v>
      </c>
      <c r="B8" s="0" t="s">
        <v>293</v>
      </c>
      <c r="C8" s="0" t="s">
        <v>294</v>
      </c>
      <c r="D8" s="0" t="str">
        <f aca="false">CONCATENATE("""", A8, """,")</f>
        <v>"BOOM",</v>
      </c>
      <c r="F8" s="0" t="s">
        <v>295</v>
      </c>
      <c r="G8" s="16" t="str">
        <f aca="false">VLOOKUP(F8,A:B,2, FALSE())</f>
        <v>Ceramics</v>
      </c>
      <c r="H8" s="16" t="s">
        <v>263</v>
      </c>
      <c r="J8" s="0" t="s">
        <v>296</v>
      </c>
      <c r="K8" s="0" t="n">
        <v>180</v>
      </c>
      <c r="L8" s="0" t="n">
        <v>38</v>
      </c>
      <c r="M8" s="0" t="n">
        <v>28</v>
      </c>
      <c r="N8" s="0" t="n">
        <f aca="false">K8/45</f>
        <v>4</v>
      </c>
      <c r="O8" s="0" t="n">
        <f aca="false">K8/30</f>
        <v>6</v>
      </c>
      <c r="P8" s="0" t="n">
        <f aca="false">K8/34</f>
        <v>5.29411764705882</v>
      </c>
      <c r="Q8" s="0" t="n">
        <f aca="false">K8/68</f>
        <v>2.64705882352941</v>
      </c>
      <c r="R8" s="0" t="n">
        <f aca="false">K8/60</f>
        <v>3</v>
      </c>
    </row>
    <row r="9" customFormat="false" ht="14.25" hidden="false" customHeight="false" outlineLevel="0" collapsed="false">
      <c r="A9" s="0" t="s">
        <v>287</v>
      </c>
      <c r="B9" s="0" t="s">
        <v>297</v>
      </c>
      <c r="C9" s="0" t="s">
        <v>278</v>
      </c>
      <c r="D9" s="0" t="str">
        <f aca="false">CONCATENATE("""", A9, """,")</f>
        <v>"BRCK",</v>
      </c>
      <c r="F9" s="0" t="s">
        <v>298</v>
      </c>
      <c r="G9" s="16" t="str">
        <f aca="false">VLOOKUP(F9,A:B,2, FALSE())</f>
        <v>Copper</v>
      </c>
      <c r="H9" s="16" t="s">
        <v>299</v>
      </c>
      <c r="J9" s="0" t="s">
        <v>300</v>
      </c>
      <c r="K9" s="0" t="n">
        <v>116</v>
      </c>
      <c r="L9" s="0" t="n">
        <v>38</v>
      </c>
      <c r="M9" s="0" t="n">
        <v>22</v>
      </c>
      <c r="N9" s="0" t="n">
        <f aca="false">K9/45</f>
        <v>2.57777777777778</v>
      </c>
      <c r="O9" s="0" t="n">
        <f aca="false">K9/30</f>
        <v>3.86666666666667</v>
      </c>
      <c r="P9" s="0" t="n">
        <f aca="false">K9/34</f>
        <v>3.41176470588235</v>
      </c>
      <c r="Q9" s="0" t="n">
        <f aca="false">K9/68</f>
        <v>1.70588235294118</v>
      </c>
      <c r="R9" s="0" t="n">
        <f aca="false">K9/60</f>
        <v>1.93333333333333</v>
      </c>
    </row>
    <row r="10" customFormat="false" ht="14.25" hidden="false" customHeight="false" outlineLevel="0" collapsed="false">
      <c r="A10" s="0" t="s">
        <v>291</v>
      </c>
      <c r="B10" s="0" t="s">
        <v>301</v>
      </c>
      <c r="C10" s="0" t="s">
        <v>278</v>
      </c>
      <c r="D10" s="0" t="str">
        <f aca="false">CONCATENATE("""", A10, """,")</f>
        <v>"BUBL",</v>
      </c>
      <c r="F10" s="0" t="s">
        <v>302</v>
      </c>
      <c r="G10" s="16" t="str">
        <f aca="false">VLOOKUP(F10,A:B,2, FALSE())</f>
        <v>Cast Iron</v>
      </c>
      <c r="H10" s="16" t="s">
        <v>299</v>
      </c>
    </row>
    <row r="11" customFormat="false" ht="14.25" hidden="false" customHeight="false" outlineLevel="0" collapsed="false">
      <c r="A11" s="0" t="s">
        <v>303</v>
      </c>
      <c r="B11" s="0" t="s">
        <v>304</v>
      </c>
      <c r="C11" s="0" t="s">
        <v>274</v>
      </c>
      <c r="D11" s="0" t="str">
        <f aca="false">CONCATENATE("""", A11, """,")</f>
        <v>"CASS",</v>
      </c>
      <c r="F11" s="0" t="s">
        <v>305</v>
      </c>
      <c r="G11" s="16" t="str">
        <f aca="false">VLOOKUP(F11,A:B,2, FALSE())</f>
        <v>Fizzy Drinks</v>
      </c>
      <c r="H11" s="16" t="s">
        <v>263</v>
      </c>
    </row>
    <row r="12" customFormat="false" ht="14.25" hidden="false" customHeight="false" outlineLevel="0" collapsed="false">
      <c r="A12" s="0" t="s">
        <v>306</v>
      </c>
      <c r="B12" s="0" t="s">
        <v>307</v>
      </c>
      <c r="C12" s="0" t="s">
        <v>308</v>
      </c>
      <c r="D12" s="0" t="str">
        <f aca="false">CONCATENATE("""", A12, """,")</f>
        <v>"CBLK",</v>
      </c>
      <c r="F12" s="0" t="s">
        <v>309</v>
      </c>
      <c r="G12" s="16" t="str">
        <f aca="false">VLOOKUP(F12,A:B,2, FALSE())</f>
        <v>Iron</v>
      </c>
      <c r="H12" s="16" t="s">
        <v>299</v>
      </c>
    </row>
    <row r="13" customFormat="false" ht="14.25" hidden="false" customHeight="false" outlineLevel="0" collapsed="false">
      <c r="A13" s="0" t="s">
        <v>295</v>
      </c>
      <c r="B13" s="0" t="s">
        <v>310</v>
      </c>
      <c r="C13" s="0" t="s">
        <v>278</v>
      </c>
      <c r="D13" s="0" t="str">
        <f aca="false">CONCATENATE("""", A13, """,")</f>
        <v>"CERA",</v>
      </c>
      <c r="F13" s="0" t="s">
        <v>311</v>
      </c>
      <c r="G13" s="16" t="str">
        <f aca="false">VLOOKUP(F13,A:B,2, FALSE())</f>
        <v>Coffee</v>
      </c>
      <c r="H13" s="16" t="s">
        <v>263</v>
      </c>
    </row>
    <row r="14" customFormat="false" ht="14.25" hidden="false" customHeight="false" outlineLevel="0" collapsed="false">
      <c r="A14" s="0" t="s">
        <v>312</v>
      </c>
      <c r="B14" s="0" t="s">
        <v>313</v>
      </c>
      <c r="C14" s="0" t="s">
        <v>314</v>
      </c>
      <c r="D14" s="0" t="str">
        <f aca="false">CONCATENATE("""", A14, """,")</f>
        <v>"CERE",</v>
      </c>
      <c r="F14" s="0" t="s">
        <v>315</v>
      </c>
      <c r="G14" s="16" t="str">
        <f aca="false">VLOOKUP(F14,A:B,2, FALSE())</f>
        <v>Metal</v>
      </c>
      <c r="H14" s="16" t="s">
        <v>299</v>
      </c>
    </row>
    <row r="15" customFormat="false" ht="14.25" hidden="false" customHeight="false" outlineLevel="0" collapsed="false">
      <c r="A15" s="0" t="s">
        <v>316</v>
      </c>
      <c r="B15" s="0" t="s">
        <v>317</v>
      </c>
      <c r="C15" s="0" t="s">
        <v>269</v>
      </c>
      <c r="D15" s="0" t="str">
        <f aca="false">CONCATENATE("""", A15, """,")</f>
        <v>"CHLO",</v>
      </c>
      <c r="F15" s="0" t="s">
        <v>318</v>
      </c>
      <c r="G15" s="16" t="str">
        <f aca="false">VLOOKUP(F15,A:B,2, FALSE())</f>
        <v>Nuts</v>
      </c>
      <c r="H15" s="16" t="s">
        <v>263</v>
      </c>
    </row>
    <row r="16" customFormat="false" ht="14.25" hidden="false" customHeight="false" outlineLevel="0" collapsed="false">
      <c r="A16" s="0" t="s">
        <v>319</v>
      </c>
      <c r="B16" s="0" t="s">
        <v>320</v>
      </c>
      <c r="C16" s="0" t="s">
        <v>321</v>
      </c>
      <c r="D16" s="0" t="str">
        <f aca="false">CONCATENATE("""", A16, """,")</f>
        <v>"CLAY",</v>
      </c>
      <c r="F16" s="0" t="s">
        <v>322</v>
      </c>
      <c r="G16" s="16" t="str">
        <f aca="false">VLOOKUP(F16,A:B,2, FALSE())</f>
        <v>Paper</v>
      </c>
      <c r="H16" s="16" t="s">
        <v>263</v>
      </c>
    </row>
    <row r="17" customFormat="false" ht="14.25" hidden="false" customHeight="false" outlineLevel="0" collapsed="false">
      <c r="A17" s="0" t="s">
        <v>323</v>
      </c>
      <c r="B17" s="0" t="s">
        <v>324</v>
      </c>
      <c r="C17" s="0" t="s">
        <v>321</v>
      </c>
      <c r="D17" s="0" t="str">
        <f aca="false">CONCATENATE("""", A17, """,")</f>
        <v>"CMNT",</v>
      </c>
      <c r="F17" s="0" t="s">
        <v>325</v>
      </c>
      <c r="G17" s="16" t="str">
        <f aca="false">VLOOKUP(F17,A:B,2, FALSE())</f>
        <v>Pipe</v>
      </c>
      <c r="H17" s="16" t="s">
        <v>326</v>
      </c>
    </row>
    <row r="18" customFormat="false" ht="14.25" hidden="false" customHeight="false" outlineLevel="0" collapsed="false">
      <c r="A18" s="0" t="s">
        <v>327</v>
      </c>
      <c r="B18" s="0" t="s">
        <v>328</v>
      </c>
      <c r="C18" s="0" t="s">
        <v>274</v>
      </c>
      <c r="D18" s="0" t="str">
        <f aca="false">CONCATENATE("""", A18, """,")</f>
        <v>"COAL",</v>
      </c>
      <c r="F18" s="0" t="s">
        <v>329</v>
      </c>
      <c r="G18" s="16" t="str">
        <f aca="false">VLOOKUP(F18,A:B,2, FALSE())</f>
        <v>Electrical Equipment</v>
      </c>
      <c r="H18" s="16" t="s">
        <v>263</v>
      </c>
    </row>
    <row r="19" customFormat="false" ht="14.25" hidden="false" customHeight="false" outlineLevel="0" collapsed="false">
      <c r="A19" s="0" t="s">
        <v>330</v>
      </c>
      <c r="B19" s="0" t="s">
        <v>331</v>
      </c>
      <c r="C19" s="0" t="s">
        <v>274</v>
      </c>
      <c r="D19" s="0" t="str">
        <f aca="false">CONCATENATE("""", A19, """,")</f>
        <v>"COKE",</v>
      </c>
      <c r="F19" s="0" t="s">
        <v>332</v>
      </c>
      <c r="G19" s="16" t="str">
        <f aca="false">VLOOKUP(F19,A:B,2, FALSE())</f>
        <v>Alloy Steel</v>
      </c>
      <c r="H19" s="16" t="s">
        <v>299</v>
      </c>
    </row>
    <row r="20" customFormat="false" ht="14.25" hidden="false" customHeight="false" outlineLevel="0" collapsed="false">
      <c r="A20" s="0" t="s">
        <v>333</v>
      </c>
      <c r="B20" s="0" t="s">
        <v>334</v>
      </c>
      <c r="C20" s="0" t="s">
        <v>335</v>
      </c>
      <c r="D20" s="0" t="str">
        <f aca="false">CONCATENATE("""", A20, """,")</f>
        <v>"COLA",</v>
      </c>
      <c r="F20" s="0" t="s">
        <v>336</v>
      </c>
      <c r="G20" s="16" t="str">
        <f aca="false">VLOOKUP(F20,A:B,2, FALSE())</f>
        <v>Carbon Steel</v>
      </c>
      <c r="H20" s="16" t="s">
        <v>299</v>
      </c>
    </row>
    <row r="21" customFormat="false" ht="14.25" hidden="false" customHeight="false" outlineLevel="0" collapsed="false">
      <c r="A21" s="0" t="s">
        <v>298</v>
      </c>
      <c r="B21" s="0" t="s">
        <v>337</v>
      </c>
      <c r="C21" s="0" t="s">
        <v>278</v>
      </c>
      <c r="D21" s="0" t="str">
        <f aca="false">CONCATENATE("""", A21, """,")</f>
        <v>"COPR",</v>
      </c>
      <c r="F21" s="0" t="s">
        <v>338</v>
      </c>
      <c r="G21" s="16" t="str">
        <f aca="false">VLOOKUP(F21,A:B,2, FALSE())</f>
        <v>Steel</v>
      </c>
      <c r="H21" s="16" t="s">
        <v>299</v>
      </c>
    </row>
    <row r="22" customFormat="false" ht="14.25" hidden="false" customHeight="false" outlineLevel="0" collapsed="false">
      <c r="A22" s="0" t="s">
        <v>339</v>
      </c>
      <c r="B22" s="0" t="s">
        <v>340</v>
      </c>
      <c r="C22" s="0" t="s">
        <v>274</v>
      </c>
      <c r="D22" s="0" t="str">
        <f aca="false">CONCATENATE("""", A22, """,")</f>
        <v>"CORE",</v>
      </c>
      <c r="F22" s="0" t="s">
        <v>341</v>
      </c>
      <c r="G22" s="16" t="str">
        <f aca="false">VLOOKUP(F22,A:B,2, FALSE())</f>
        <v>Stainless Steel</v>
      </c>
      <c r="H22" s="16" t="s">
        <v>299</v>
      </c>
    </row>
    <row r="23" customFormat="false" ht="14.25" hidden="false" customHeight="false" outlineLevel="0" collapsed="false">
      <c r="A23" s="0" t="s">
        <v>302</v>
      </c>
      <c r="B23" s="0" t="s">
        <v>342</v>
      </c>
      <c r="C23" s="0" t="s">
        <v>278</v>
      </c>
      <c r="D23" s="0" t="str">
        <f aca="false">CONCATENATE("""", A23, """,")</f>
        <v>"CSTI",</v>
      </c>
      <c r="F23" s="0" t="s">
        <v>343</v>
      </c>
      <c r="G23" s="16" t="str">
        <f aca="false">VLOOKUP(F23,A:B,2, FALSE())</f>
        <v>Toys</v>
      </c>
      <c r="H23" s="16" t="s">
        <v>263</v>
      </c>
    </row>
    <row r="24" customFormat="false" ht="14.25" hidden="false" customHeight="false" outlineLevel="0" collapsed="false">
      <c r="A24" s="0" t="s">
        <v>344</v>
      </c>
      <c r="B24" s="0" t="s">
        <v>345</v>
      </c>
      <c r="C24" s="0" t="s">
        <v>269</v>
      </c>
      <c r="D24" s="0" t="str">
        <f aca="false">CONCATENATE("""", A24, """,")</f>
        <v>"CTAR",</v>
      </c>
      <c r="F24" s="0" t="s">
        <v>346</v>
      </c>
      <c r="G24" s="16" t="str">
        <f aca="false">VLOOKUP(F24,A:B,2, FALSE())</f>
        <v>Tyres</v>
      </c>
      <c r="H24" s="16" t="s">
        <v>347</v>
      </c>
    </row>
    <row r="25" customFormat="false" ht="14.25" hidden="false" customHeight="false" outlineLevel="0" collapsed="false">
      <c r="A25" s="0" t="s">
        <v>348</v>
      </c>
      <c r="B25" s="0" t="s">
        <v>349</v>
      </c>
      <c r="C25" s="0" t="s">
        <v>274</v>
      </c>
      <c r="D25" s="0" t="str">
        <f aca="false">CONCATENATE("""", A25, """,")</f>
        <v>"CTCD",</v>
      </c>
      <c r="F25" s="0" t="s">
        <v>350</v>
      </c>
      <c r="G25" s="16" t="str">
        <f aca="false">VLOOKUP(F25,A:B,2, FALSE())</f>
        <v>Vehicle Bodies</v>
      </c>
      <c r="H25" s="16" t="s">
        <v>351</v>
      </c>
    </row>
    <row r="26" customFormat="false" ht="14.25" hidden="false" customHeight="false" outlineLevel="0" collapsed="false">
      <c r="A26" s="0" t="s">
        <v>352</v>
      </c>
      <c r="B26" s="0" t="s">
        <v>353</v>
      </c>
      <c r="C26" s="0" t="s">
        <v>354</v>
      </c>
      <c r="D26" s="0" t="str">
        <f aca="false">CONCATENATE("""", A26, """,")</f>
        <v>"DIAM",</v>
      </c>
      <c r="F26" s="0" t="s">
        <v>355</v>
      </c>
      <c r="G26" s="16" t="str">
        <f aca="false">VLOOKUP(F26,A:B,2, FALSE())</f>
        <v>Vehicle Engines</v>
      </c>
      <c r="H26" s="16" t="s">
        <v>263</v>
      </c>
    </row>
    <row r="27" customFormat="false" ht="14.25" hidden="false" customHeight="false" outlineLevel="0" collapsed="false">
      <c r="A27" s="0" t="s">
        <v>356</v>
      </c>
      <c r="B27" s="0" t="s">
        <v>357</v>
      </c>
      <c r="C27" s="0" t="s">
        <v>358</v>
      </c>
      <c r="D27" s="0" t="str">
        <f aca="false">CONCATENATE("""", A27, """,")</f>
        <v>"DYES",</v>
      </c>
      <c r="F27" s="0" t="s">
        <v>359</v>
      </c>
      <c r="G27" s="16" t="str">
        <f aca="false">VLOOKUP(F27,A:B,2, FALSE())</f>
        <v>Wood</v>
      </c>
      <c r="H27" s="16" t="s">
        <v>360</v>
      </c>
    </row>
    <row r="28" customFormat="false" ht="14.25" hidden="false" customHeight="false" outlineLevel="0" collapsed="false">
      <c r="A28" s="0" t="s">
        <v>361</v>
      </c>
      <c r="B28" s="0" t="s">
        <v>362</v>
      </c>
      <c r="C28" s="0" t="s">
        <v>294</v>
      </c>
      <c r="D28" s="0" t="str">
        <f aca="false">CONCATENATE("""", A28, """,")</f>
        <v>"ENSP",</v>
      </c>
      <c r="F28" s="0" t="s">
        <v>363</v>
      </c>
      <c r="G28" s="16" t="str">
        <f aca="false">VLOOKUP(F28,A:B,2, FALSE())</f>
        <v>Zinc</v>
      </c>
      <c r="H28" s="16" t="s">
        <v>299</v>
      </c>
    </row>
    <row r="29" customFormat="false" ht="14.25" hidden="false" customHeight="false" outlineLevel="0" collapsed="false">
      <c r="A29" s="0" t="s">
        <v>364</v>
      </c>
      <c r="B29" s="0" t="s">
        <v>365</v>
      </c>
      <c r="C29" s="0" t="s">
        <v>358</v>
      </c>
      <c r="D29" s="0" t="str">
        <f aca="false">CONCATENATE("""", A29, """,")</f>
        <v>"EOIL",</v>
      </c>
      <c r="F29" s="0" t="s">
        <v>361</v>
      </c>
      <c r="G29" s="16" t="str">
        <f aca="false">VLOOKUP(F29,A:B,2, FALSE())</f>
        <v>Engineering Supplies</v>
      </c>
      <c r="H29" s="16" t="s">
        <v>366</v>
      </c>
    </row>
    <row r="30" customFormat="false" ht="14.25" hidden="false" customHeight="false" outlineLevel="0" collapsed="false">
      <c r="A30" s="0" t="s">
        <v>367</v>
      </c>
      <c r="B30" s="0" t="s">
        <v>368</v>
      </c>
      <c r="C30" s="0" t="s">
        <v>274</v>
      </c>
      <c r="D30" s="0" t="str">
        <f aca="false">CONCATENATE("""", A30, """,")</f>
        <v>"FECR",</v>
      </c>
      <c r="F30" s="0" t="s">
        <v>369</v>
      </c>
      <c r="G30" s="16" t="str">
        <f aca="false">VLOOKUP(F30,A:B,2, FALSE())</f>
        <v>Farm Supplies</v>
      </c>
      <c r="H30" s="16" t="s">
        <v>265</v>
      </c>
    </row>
    <row r="31" customFormat="false" ht="14.25" hidden="false" customHeight="false" outlineLevel="0" collapsed="false">
      <c r="A31" s="0" t="s">
        <v>370</v>
      </c>
      <c r="B31" s="0" t="s">
        <v>371</v>
      </c>
      <c r="C31" s="0" t="s">
        <v>372</v>
      </c>
      <c r="D31" s="0" t="str">
        <f aca="false">CONCATENATE("""", A31, """,")</f>
        <v>"FERT",</v>
      </c>
      <c r="F31" s="0" t="s">
        <v>373</v>
      </c>
      <c r="G31" s="16" t="str">
        <f aca="false">VLOOKUP(F31,A:B,2, FALSE())</f>
        <v>Vehicle Parts</v>
      </c>
      <c r="H31" s="16" t="s">
        <v>263</v>
      </c>
    </row>
    <row r="32" customFormat="false" ht="14.25" hidden="false" customHeight="false" outlineLevel="0" collapsed="false">
      <c r="A32" s="0" t="s">
        <v>374</v>
      </c>
      <c r="B32" s="0" t="s">
        <v>375</v>
      </c>
      <c r="C32" s="0" t="s">
        <v>372</v>
      </c>
      <c r="D32" s="0" t="str">
        <f aca="false">CONCATENATE("""", A32, """,")</f>
        <v>"FICR",</v>
      </c>
      <c r="F32" s="0" t="s">
        <v>376</v>
      </c>
      <c r="G32" s="16" t="str">
        <f aca="false">VLOOKUP(F32,A:B,2, FALSE())</f>
        <v>Timber</v>
      </c>
      <c r="H32" s="16" t="s">
        <v>264</v>
      </c>
    </row>
    <row r="33" customFormat="false" ht="14.25" hidden="false" customHeight="false" outlineLevel="0" collapsed="false">
      <c r="A33" s="0" t="s">
        <v>377</v>
      </c>
      <c r="B33" s="0" t="s">
        <v>378</v>
      </c>
      <c r="C33" s="0" t="s">
        <v>379</v>
      </c>
      <c r="D33" s="0" t="str">
        <f aca="false">CONCATENATE("""", A33, """,")</f>
        <v>"FISH",</v>
      </c>
      <c r="F33" s="0" t="s">
        <v>380</v>
      </c>
      <c r="G33" s="16" t="str">
        <f aca="false">VLOOKUP(F33,A:B,2, FALSE())</f>
        <v>Plastics</v>
      </c>
      <c r="H33" s="16" t="s">
        <v>263</v>
      </c>
    </row>
    <row r="34" customFormat="false" ht="14.25" hidden="false" customHeight="false" outlineLevel="0" collapsed="false">
      <c r="A34" s="0" t="s">
        <v>369</v>
      </c>
      <c r="B34" s="0" t="s">
        <v>381</v>
      </c>
      <c r="C34" s="0" t="s">
        <v>294</v>
      </c>
      <c r="D34" s="0" t="str">
        <f aca="false">CONCATENATE("""", A34, """,")</f>
        <v>"FMSP",</v>
      </c>
      <c r="F34" s="0" t="s">
        <v>356</v>
      </c>
      <c r="G34" s="16" t="str">
        <f aca="false">VLOOKUP(F34,A:B,2, FALSE())</f>
        <v>Dyes</v>
      </c>
      <c r="H34" s="16" t="s">
        <v>263</v>
      </c>
    </row>
    <row r="35" customFormat="false" ht="14.25" hidden="false" customHeight="false" outlineLevel="0" collapsed="false">
      <c r="A35" s="0" t="s">
        <v>382</v>
      </c>
      <c r="B35" s="0" t="s">
        <v>383</v>
      </c>
      <c r="C35" s="0" t="s">
        <v>379</v>
      </c>
      <c r="D35" s="0" t="str">
        <f aca="false">CONCATENATE("""", A35, """,")</f>
        <v>"FOOD",</v>
      </c>
      <c r="F35" s="0" t="s">
        <v>384</v>
      </c>
      <c r="G35" s="16" t="str">
        <f aca="false">VLOOKUP(F35,A:B,2, FALSE())</f>
        <v>Vehicles</v>
      </c>
      <c r="H35" s="16" t="s">
        <v>385</v>
      </c>
    </row>
    <row r="36" customFormat="false" ht="14.25" hidden="false" customHeight="false" outlineLevel="0" collapsed="false">
      <c r="A36" s="0" t="s">
        <v>386</v>
      </c>
      <c r="B36" s="0" t="s">
        <v>387</v>
      </c>
      <c r="C36" s="0" t="s">
        <v>388</v>
      </c>
      <c r="D36" s="0" t="str">
        <f aca="false">CONCATENATE("""", A36, """,")</f>
        <v>"FRUT",</v>
      </c>
      <c r="F36" s="0" t="s">
        <v>374</v>
      </c>
      <c r="G36" s="16" t="str">
        <f aca="false">VLOOKUP(F36,A:B,2, FALSE())</f>
        <v>Fibre Crops</v>
      </c>
      <c r="H36" s="16" t="s">
        <v>263</v>
      </c>
    </row>
    <row r="37" customFormat="false" ht="14.25" hidden="false" customHeight="false" outlineLevel="0" collapsed="false">
      <c r="A37" s="0" t="s">
        <v>389</v>
      </c>
      <c r="B37" s="0" t="s">
        <v>390</v>
      </c>
      <c r="C37" s="0" t="s">
        <v>391</v>
      </c>
      <c r="D37" s="0" t="str">
        <f aca="false">CONCATENATE("""", A37, """,")</f>
        <v>"FRVG",</v>
      </c>
      <c r="F37" s="0" t="s">
        <v>392</v>
      </c>
      <c r="G37" s="16" t="str">
        <f aca="false">VLOOKUP(F37,A:B,2, FALSE())</f>
        <v>Packaging</v>
      </c>
      <c r="H37" s="16" t="s">
        <v>263</v>
      </c>
    </row>
    <row r="38" customFormat="false" ht="14.25" hidden="false" customHeight="false" outlineLevel="0" collapsed="false">
      <c r="A38" s="0" t="s">
        <v>305</v>
      </c>
      <c r="B38" s="0" t="s">
        <v>393</v>
      </c>
      <c r="C38" s="0" t="s">
        <v>278</v>
      </c>
      <c r="D38" s="0" t="str">
        <f aca="false">CONCATENATE("""", A38, """,")</f>
        <v>"FZDR",</v>
      </c>
      <c r="F38" s="0" t="s">
        <v>394</v>
      </c>
      <c r="G38" s="16" t="str">
        <f aca="false">VLOOKUP(F38,A:B,2, FALSE())</f>
        <v>Steel Sheet</v>
      </c>
      <c r="H38" s="16"/>
    </row>
    <row r="39" customFormat="false" ht="14.25" hidden="false" customHeight="false" outlineLevel="0" collapsed="false">
      <c r="A39" s="0" t="s">
        <v>395</v>
      </c>
      <c r="B39" s="0" t="s">
        <v>396</v>
      </c>
      <c r="C39" s="0" t="s">
        <v>354</v>
      </c>
      <c r="D39" s="0" t="str">
        <f aca="false">CONCATENATE("""", A39, """,")</f>
        <v>"GOLD",</v>
      </c>
      <c r="F39" s="0" t="s">
        <v>397</v>
      </c>
      <c r="G39" s="16" t="str">
        <f aca="false">VLOOKUP(F39,A:B,2, FALSE())</f>
        <v>Steel Wire Rod</v>
      </c>
      <c r="H39" s="16"/>
    </row>
    <row r="40" customFormat="false" ht="14.25" hidden="false" customHeight="false" outlineLevel="0" collapsed="false">
      <c r="A40" s="0" t="s">
        <v>398</v>
      </c>
      <c r="B40" s="0" t="s">
        <v>399</v>
      </c>
      <c r="C40" s="0" t="s">
        <v>400</v>
      </c>
      <c r="D40" s="0" t="str">
        <f aca="false">CONCATENATE("""", A40, """,")</f>
        <v>"GOOD",</v>
      </c>
      <c r="F40" s="0" t="s">
        <v>401</v>
      </c>
      <c r="G40" s="16" t="str">
        <f aca="false">VLOOKUP(F40,A:B,2, FALSE())</f>
        <v>Rebar</v>
      </c>
      <c r="H40" s="16"/>
    </row>
    <row r="41" customFormat="false" ht="14.25" hidden="false" customHeight="false" outlineLevel="0" collapsed="false">
      <c r="A41" s="0" t="s">
        <v>402</v>
      </c>
      <c r="B41" s="0" t="s">
        <v>403</v>
      </c>
      <c r="C41" s="0" t="s">
        <v>274</v>
      </c>
      <c r="D41" s="0" t="str">
        <f aca="false">CONCATENATE("""", A41, """,")</f>
        <v>"GRAI",</v>
      </c>
      <c r="F41" s="16" t="s">
        <v>404</v>
      </c>
      <c r="G41" s="16" t="str">
        <f aca="false">VLOOKUP(F41,A:B,2, FALSE())</f>
        <v>Cleaning Agents</v>
      </c>
      <c r="H41" s="16" t="s">
        <v>263</v>
      </c>
    </row>
    <row r="42" customFormat="false" ht="14.25" hidden="false" customHeight="false" outlineLevel="0" collapsed="false">
      <c r="A42" s="0" t="s">
        <v>405</v>
      </c>
      <c r="B42" s="0" t="s">
        <v>406</v>
      </c>
      <c r="C42" s="0" t="s">
        <v>274</v>
      </c>
      <c r="D42" s="0" t="str">
        <f aca="false">CONCATENATE("""", A42, """,")</f>
        <v>"GRVL",</v>
      </c>
      <c r="F42" s="16" t="s">
        <v>407</v>
      </c>
      <c r="G42" s="16" t="str">
        <f aca="false">VLOOKUP(F42,A:B,2, FALSE())</f>
        <v>Paints and coatings</v>
      </c>
      <c r="H42" s="16" t="s">
        <v>263</v>
      </c>
    </row>
    <row r="43" customFormat="false" ht="14.25" hidden="false" customHeight="false" outlineLevel="0" collapsed="false">
      <c r="A43" s="0" t="s">
        <v>408</v>
      </c>
      <c r="B43" s="0" t="s">
        <v>409</v>
      </c>
      <c r="C43" s="0" t="s">
        <v>274</v>
      </c>
      <c r="D43" s="0" t="str">
        <f aca="false">CONCATENATE("""", A43, """,")</f>
        <v>"IORE",</v>
      </c>
    </row>
    <row r="44" customFormat="false" ht="14.25" hidden="false" customHeight="false" outlineLevel="0" collapsed="false">
      <c r="A44" s="0" t="s">
        <v>309</v>
      </c>
      <c r="B44" s="0" t="s">
        <v>410</v>
      </c>
      <c r="C44" s="0" t="s">
        <v>278</v>
      </c>
      <c r="D44" s="0" t="str">
        <f aca="false">CONCATENATE("""", A44, """,")</f>
        <v>"IRON",</v>
      </c>
    </row>
    <row r="45" customFormat="false" ht="14.25" hidden="false" customHeight="false" outlineLevel="0" collapsed="false">
      <c r="A45" s="0" t="s">
        <v>311</v>
      </c>
      <c r="B45" s="0" t="s">
        <v>411</v>
      </c>
      <c r="C45" s="0" t="s">
        <v>278</v>
      </c>
      <c r="D45" s="0" t="str">
        <f aca="false">CONCATENATE("""", A45, """,")</f>
        <v>"JAVA",</v>
      </c>
    </row>
    <row r="46" customFormat="false" ht="14.25" hidden="false" customHeight="false" outlineLevel="0" collapsed="false">
      <c r="A46" s="0" t="s">
        <v>412</v>
      </c>
      <c r="B46" s="0" t="s">
        <v>413</v>
      </c>
      <c r="C46" s="0" t="s">
        <v>414</v>
      </c>
      <c r="D46" s="0" t="str">
        <f aca="false">CONCATENATE("""", A46, """,")</f>
        <v>"KAOL",</v>
      </c>
    </row>
    <row r="47" customFormat="false" ht="14.25" hidden="false" customHeight="false" outlineLevel="0" collapsed="false">
      <c r="A47" s="0" t="s">
        <v>415</v>
      </c>
      <c r="B47" s="0" t="s">
        <v>416</v>
      </c>
      <c r="C47" s="0" t="s">
        <v>274</v>
      </c>
      <c r="D47" s="0" t="str">
        <f aca="false">CONCATENATE("""", A47, """,")</f>
        <v>"LIME",</v>
      </c>
    </row>
    <row r="48" customFormat="false" ht="14.25" hidden="false" customHeight="false" outlineLevel="0" collapsed="false">
      <c r="A48" s="0" t="s">
        <v>417</v>
      </c>
      <c r="B48" s="0" t="s">
        <v>418</v>
      </c>
      <c r="C48" s="0" t="s">
        <v>278</v>
      </c>
      <c r="D48" s="0" t="str">
        <f aca="false">CONCATENATE("""", A48, """,")</f>
        <v>"LVST",</v>
      </c>
    </row>
    <row r="49" customFormat="false" ht="14.25" hidden="false" customHeight="false" outlineLevel="0" collapsed="false">
      <c r="A49" s="0" t="s">
        <v>96</v>
      </c>
      <c r="B49" s="0" t="s">
        <v>419</v>
      </c>
      <c r="C49" s="0" t="s">
        <v>420</v>
      </c>
      <c r="D49" s="0" t="str">
        <f aca="false">CONCATENATE("""", A49, """,")</f>
        <v>"MAIL",</v>
      </c>
    </row>
    <row r="50" customFormat="false" ht="14.25" hidden="false" customHeight="false" outlineLevel="0" collapsed="false">
      <c r="A50" s="0" t="s">
        <v>421</v>
      </c>
      <c r="B50" s="0" t="s">
        <v>422</v>
      </c>
      <c r="C50" s="0" t="s">
        <v>274</v>
      </c>
      <c r="D50" s="0" t="str">
        <f aca="false">CONCATENATE("""", A50, """,")</f>
        <v>"MAIZ",</v>
      </c>
    </row>
    <row r="51" customFormat="false" ht="14.25" hidden="false" customHeight="false" outlineLevel="0" collapsed="false">
      <c r="A51" s="0" t="s">
        <v>315</v>
      </c>
      <c r="B51" s="0" t="s">
        <v>423</v>
      </c>
      <c r="C51" s="0" t="s">
        <v>278</v>
      </c>
      <c r="D51" s="0" t="str">
        <f aca="false">CONCATENATE("""", A51, """,")</f>
        <v>"METL",</v>
      </c>
    </row>
    <row r="52" customFormat="false" ht="14.25" hidden="false" customHeight="false" outlineLevel="0" collapsed="false">
      <c r="A52" s="0" t="s">
        <v>424</v>
      </c>
      <c r="B52" s="0" t="s">
        <v>425</v>
      </c>
      <c r="C52" s="0" t="s">
        <v>426</v>
      </c>
      <c r="D52" s="0" t="str">
        <f aca="false">CONCATENATE("""", A52, """,")</f>
        <v>"MILK",</v>
      </c>
    </row>
    <row r="53" customFormat="false" ht="14.25" hidden="false" customHeight="false" outlineLevel="0" collapsed="false">
      <c r="A53" s="0" t="s">
        <v>427</v>
      </c>
      <c r="B53" s="0" t="s">
        <v>428</v>
      </c>
      <c r="C53" s="0" t="s">
        <v>274</v>
      </c>
      <c r="D53" s="0" t="str">
        <f aca="false">CONCATENATE("""", A53, """,")</f>
        <v>"MNO2",</v>
      </c>
    </row>
    <row r="54" customFormat="false" ht="14.25" hidden="false" customHeight="false" outlineLevel="0" collapsed="false">
      <c r="A54" s="0" t="s">
        <v>392</v>
      </c>
      <c r="B54" s="0" t="s">
        <v>429</v>
      </c>
      <c r="C54" s="0" t="s">
        <v>430</v>
      </c>
      <c r="D54" s="0" t="str">
        <f aca="false">CONCATENATE("""", A54, """,")</f>
        <v>"MNSP",</v>
      </c>
    </row>
    <row r="55" customFormat="false" ht="14.25" hidden="false" customHeight="false" outlineLevel="0" collapsed="false">
      <c r="A55" s="0" t="s">
        <v>431</v>
      </c>
      <c r="B55" s="0" t="s">
        <v>432</v>
      </c>
      <c r="C55" s="0" t="s">
        <v>274</v>
      </c>
      <c r="D55" s="0" t="str">
        <f aca="false">CONCATENATE("""", A55, """,")</f>
        <v>"NITR",</v>
      </c>
    </row>
    <row r="56" customFormat="false" ht="14.25" hidden="false" customHeight="false" outlineLevel="0" collapsed="false">
      <c r="A56" s="0" t="s">
        <v>318</v>
      </c>
      <c r="B56" s="0" t="s">
        <v>433</v>
      </c>
      <c r="C56" s="0" t="s">
        <v>278</v>
      </c>
      <c r="D56" s="0" t="str">
        <f aca="false">CONCATENATE("""", A56, """,")</f>
        <v>"NUTS",</v>
      </c>
    </row>
    <row r="57" customFormat="false" ht="14.25" hidden="false" customHeight="false" outlineLevel="0" collapsed="false">
      <c r="A57" s="0" t="s">
        <v>434</v>
      </c>
      <c r="B57" s="0" t="s">
        <v>435</v>
      </c>
      <c r="C57" s="0" t="s">
        <v>335</v>
      </c>
      <c r="D57" s="0" t="str">
        <f aca="false">CONCATENATE("""", A57, """,")</f>
        <v>"OIL_",</v>
      </c>
    </row>
    <row r="58" customFormat="false" ht="14.25" hidden="false" customHeight="false" outlineLevel="0" collapsed="false">
      <c r="A58" s="0" t="s">
        <v>436</v>
      </c>
      <c r="B58" s="0" t="s">
        <v>437</v>
      </c>
      <c r="C58" s="0" t="s">
        <v>314</v>
      </c>
      <c r="D58" s="0" t="str">
        <f aca="false">CONCATENATE("""", A58, """,")</f>
        <v>"OLSD",</v>
      </c>
    </row>
    <row r="59" customFormat="false" ht="14.25" hidden="false" customHeight="false" outlineLevel="0" collapsed="false">
      <c r="A59" s="0" t="s">
        <v>322</v>
      </c>
      <c r="B59" s="0" t="s">
        <v>438</v>
      </c>
      <c r="C59" s="0" t="s">
        <v>278</v>
      </c>
      <c r="D59" s="0" t="str">
        <f aca="false">CONCATENATE("""", A59, """,")</f>
        <v>"PAPR",</v>
      </c>
    </row>
    <row r="60" customFormat="false" ht="14.25" hidden="false" customHeight="false" outlineLevel="0" collapsed="false">
      <c r="A60" s="0" t="s">
        <v>439</v>
      </c>
      <c r="B60" s="0" t="s">
        <v>440</v>
      </c>
      <c r="C60" s="0" t="s">
        <v>441</v>
      </c>
      <c r="D60" s="0" t="str">
        <f aca="false">CONCATENATE("""", A60, """,")</f>
        <v>"PASS",</v>
      </c>
    </row>
    <row r="61" customFormat="false" ht="14.25" hidden="false" customHeight="false" outlineLevel="0" collapsed="false">
      <c r="A61" s="0" t="s">
        <v>442</v>
      </c>
      <c r="B61" s="0" t="s">
        <v>443</v>
      </c>
      <c r="C61" s="0" t="s">
        <v>274</v>
      </c>
      <c r="D61" s="0" t="str">
        <f aca="false">CONCATENATE("""", A61, """,")</f>
        <v>"PEAT",</v>
      </c>
    </row>
    <row r="62" customFormat="false" ht="14.25" hidden="false" customHeight="false" outlineLevel="0" collapsed="false">
      <c r="A62" s="0" t="s">
        <v>444</v>
      </c>
      <c r="B62" s="0" t="s">
        <v>203</v>
      </c>
      <c r="C62" s="0" t="s">
        <v>335</v>
      </c>
      <c r="D62" s="0" t="str">
        <f aca="false">CONCATENATE("""", A62, """,")</f>
        <v>"PETR",</v>
      </c>
    </row>
    <row r="63" customFormat="false" ht="14.25" hidden="false" customHeight="false" outlineLevel="0" collapsed="false">
      <c r="A63" s="0" t="s">
        <v>445</v>
      </c>
      <c r="B63" s="0" t="s">
        <v>446</v>
      </c>
      <c r="C63" s="0" t="s">
        <v>274</v>
      </c>
      <c r="D63" s="0" t="str">
        <f aca="false">CONCATENATE("""", A63, """,")</f>
        <v>"PHOS",</v>
      </c>
    </row>
    <row r="64" customFormat="false" ht="14.25" hidden="false" customHeight="false" outlineLevel="0" collapsed="false">
      <c r="A64" s="0" t="s">
        <v>325</v>
      </c>
      <c r="B64" s="0" t="s">
        <v>447</v>
      </c>
      <c r="C64" s="0" t="s">
        <v>278</v>
      </c>
      <c r="D64" s="0" t="str">
        <f aca="false">CONCATENATE("""", A64, """,")</f>
        <v>"PIPE",</v>
      </c>
    </row>
    <row r="65" customFormat="false" ht="14.25" hidden="false" customHeight="false" outlineLevel="0" collapsed="false">
      <c r="A65" s="0" t="s">
        <v>380</v>
      </c>
      <c r="B65" s="0" t="s">
        <v>448</v>
      </c>
      <c r="C65" s="0" t="s">
        <v>449</v>
      </c>
      <c r="D65" s="0" t="str">
        <f aca="false">CONCATENATE("""", A65, """,")</f>
        <v>"PLAS",</v>
      </c>
    </row>
    <row r="66" customFormat="false" ht="14.25" hidden="false" customHeight="false" outlineLevel="0" collapsed="false">
      <c r="A66" s="0" t="s">
        <v>450</v>
      </c>
      <c r="B66" s="0" t="s">
        <v>451</v>
      </c>
      <c r="C66" s="0" t="s">
        <v>335</v>
      </c>
      <c r="D66" s="0" t="str">
        <f aca="false">CONCATENATE("""", A66, """,")</f>
        <v>"PLST",</v>
      </c>
    </row>
    <row r="67" customFormat="false" ht="14.25" hidden="false" customHeight="false" outlineLevel="0" collapsed="false">
      <c r="A67" s="0" t="s">
        <v>452</v>
      </c>
      <c r="B67" s="0" t="s">
        <v>453</v>
      </c>
      <c r="C67" s="0" t="s">
        <v>274</v>
      </c>
      <c r="D67" s="0" t="str">
        <f aca="false">CONCATENATE("""", A67, """,")</f>
        <v>"PORE",</v>
      </c>
    </row>
    <row r="68" customFormat="false" ht="14.25" hidden="false" customHeight="false" outlineLevel="0" collapsed="false">
      <c r="A68" s="0" t="s">
        <v>454</v>
      </c>
      <c r="B68" s="0" t="s">
        <v>455</v>
      </c>
      <c r="C68" s="0" t="s">
        <v>314</v>
      </c>
      <c r="D68" s="0" t="str">
        <f aca="false">CONCATENATE("""", A68, """,")</f>
        <v>"POTA",</v>
      </c>
    </row>
    <row r="69" customFormat="false" ht="14.25" hidden="false" customHeight="false" outlineLevel="0" collapsed="false">
      <c r="A69" s="0" t="s">
        <v>329</v>
      </c>
      <c r="B69" s="0" t="s">
        <v>456</v>
      </c>
      <c r="C69" s="0" t="s">
        <v>278</v>
      </c>
      <c r="D69" s="0" t="str">
        <f aca="false">CONCATENATE("""", A69, """,")</f>
        <v>"POWR",</v>
      </c>
    </row>
    <row r="70" customFormat="false" ht="14.25" hidden="false" customHeight="false" outlineLevel="0" collapsed="false">
      <c r="A70" s="0" t="s">
        <v>457</v>
      </c>
      <c r="B70" s="0" t="s">
        <v>458</v>
      </c>
      <c r="C70" s="0" t="s">
        <v>314</v>
      </c>
      <c r="D70" s="0" t="str">
        <f aca="false">CONCATENATE("""", A70, """,")</f>
        <v>"QLME",</v>
      </c>
    </row>
    <row r="71" customFormat="false" ht="14.25" hidden="false" customHeight="false" outlineLevel="0" collapsed="false">
      <c r="A71" s="0" t="s">
        <v>459</v>
      </c>
      <c r="B71" s="0" t="s">
        <v>460</v>
      </c>
      <c r="C71" s="0" t="s">
        <v>461</v>
      </c>
      <c r="D71" s="0" t="str">
        <f aca="false">CONCATENATE("""", A71, """,")</f>
        <v>"RCYC",</v>
      </c>
    </row>
    <row r="72" customFormat="false" ht="14.25" hidden="false" customHeight="false" outlineLevel="0" collapsed="false">
      <c r="A72" s="0" t="s">
        <v>462</v>
      </c>
      <c r="B72" s="0" t="s">
        <v>463</v>
      </c>
      <c r="C72" s="0" t="s">
        <v>335</v>
      </c>
      <c r="D72" s="0" t="str">
        <f aca="false">CONCATENATE("""", A72, """,")</f>
        <v>"RFPR",</v>
      </c>
    </row>
    <row r="73" customFormat="false" ht="14.25" hidden="false" customHeight="false" outlineLevel="0" collapsed="false">
      <c r="A73" s="0" t="s">
        <v>464</v>
      </c>
      <c r="B73" s="0" t="s">
        <v>465</v>
      </c>
      <c r="C73" s="0" t="s">
        <v>335</v>
      </c>
      <c r="D73" s="0" t="str">
        <f aca="false">CONCATENATE("""", A73, """,")</f>
        <v>"RUBR",</v>
      </c>
    </row>
    <row r="74" customFormat="false" ht="14.25" hidden="false" customHeight="false" outlineLevel="0" collapsed="false">
      <c r="A74" s="0" t="s">
        <v>466</v>
      </c>
      <c r="B74" s="0" t="s">
        <v>467</v>
      </c>
      <c r="C74" s="0" t="s">
        <v>274</v>
      </c>
      <c r="D74" s="0" t="str">
        <f aca="false">CONCATENATE("""", A74, """,")</f>
        <v>"SALT",</v>
      </c>
    </row>
    <row r="75" customFormat="false" ht="14.25" hidden="false" customHeight="false" outlineLevel="0" collapsed="false">
      <c r="A75" s="0" t="s">
        <v>468</v>
      </c>
      <c r="B75" s="0" t="s">
        <v>469</v>
      </c>
      <c r="C75" s="0" t="s">
        <v>274</v>
      </c>
      <c r="D75" s="0" t="str">
        <f aca="false">CONCATENATE("""", A75, """,")</f>
        <v>"SAND",</v>
      </c>
    </row>
    <row r="76" customFormat="false" ht="14.25" hidden="false" customHeight="false" outlineLevel="0" collapsed="false">
      <c r="A76" s="0" t="s">
        <v>470</v>
      </c>
      <c r="B76" s="0" t="s">
        <v>471</v>
      </c>
      <c r="C76" s="0" t="s">
        <v>314</v>
      </c>
      <c r="D76" s="0" t="str">
        <f aca="false">CONCATENATE("""", A76, """,")</f>
        <v>"SASH",</v>
      </c>
    </row>
    <row r="77" customFormat="false" ht="14.25" hidden="false" customHeight="false" outlineLevel="0" collapsed="false">
      <c r="A77" s="0" t="s">
        <v>472</v>
      </c>
      <c r="B77" s="0" t="s">
        <v>473</v>
      </c>
      <c r="C77" s="0" t="s">
        <v>474</v>
      </c>
      <c r="D77" s="0" t="str">
        <f aca="false">CONCATENATE("""", A77, """,")</f>
        <v>"SCMT",</v>
      </c>
    </row>
    <row r="78" customFormat="false" ht="14.25" hidden="false" customHeight="false" outlineLevel="0" collapsed="false">
      <c r="A78" s="0" t="s">
        <v>475</v>
      </c>
      <c r="B78" s="0" t="s">
        <v>476</v>
      </c>
      <c r="C78" s="0" t="s">
        <v>274</v>
      </c>
      <c r="D78" s="0" t="str">
        <f aca="false">CONCATENATE("""", A78, """,")</f>
        <v>"SGBT",</v>
      </c>
    </row>
    <row r="79" customFormat="false" ht="14.25" hidden="false" customHeight="false" outlineLevel="0" collapsed="false">
      <c r="A79" s="0" t="s">
        <v>477</v>
      </c>
      <c r="B79" s="0" t="s">
        <v>478</v>
      </c>
      <c r="C79" s="0" t="s">
        <v>474</v>
      </c>
      <c r="D79" s="0" t="str">
        <f aca="false">CONCATENATE("""", A79, """,")</f>
        <v>"SGCN",</v>
      </c>
    </row>
    <row r="80" customFormat="false" ht="14.25" hidden="false" customHeight="false" outlineLevel="0" collapsed="false">
      <c r="A80" s="0" t="s">
        <v>479</v>
      </c>
      <c r="B80" s="0" t="s">
        <v>480</v>
      </c>
      <c r="C80" s="0" t="s">
        <v>274</v>
      </c>
      <c r="D80" s="0" t="str">
        <f aca="false">CONCATENATE("""", A80, """,")</f>
        <v>"SLAG",</v>
      </c>
    </row>
    <row r="81" customFormat="false" ht="14.25" hidden="false" customHeight="false" outlineLevel="0" collapsed="false">
      <c r="A81" s="0" t="s">
        <v>332</v>
      </c>
      <c r="B81" s="0" t="s">
        <v>481</v>
      </c>
      <c r="C81" s="0" t="s">
        <v>278</v>
      </c>
      <c r="D81" s="0" t="str">
        <f aca="false">CONCATENATE("""", A81, """,")</f>
        <v>"STAL",</v>
      </c>
    </row>
    <row r="82" customFormat="false" ht="14.25" hidden="false" customHeight="false" outlineLevel="0" collapsed="false">
      <c r="A82" s="0" t="s">
        <v>336</v>
      </c>
      <c r="B82" s="0" t="s">
        <v>482</v>
      </c>
      <c r="C82" s="0" t="s">
        <v>278</v>
      </c>
      <c r="D82" s="0" t="str">
        <f aca="false">CONCATENATE("""", A82, """,")</f>
        <v>"STCB",</v>
      </c>
    </row>
    <row r="83" customFormat="false" ht="14.25" hidden="false" customHeight="false" outlineLevel="0" collapsed="false">
      <c r="A83" s="0" t="s">
        <v>338</v>
      </c>
      <c r="B83" s="0" t="s">
        <v>483</v>
      </c>
      <c r="C83" s="0" t="s">
        <v>278</v>
      </c>
      <c r="D83" s="0" t="str">
        <f aca="false">CONCATENATE("""", A83, """,")</f>
        <v>"STEL",</v>
      </c>
    </row>
    <row r="84" customFormat="false" ht="14.25" hidden="false" customHeight="false" outlineLevel="0" collapsed="false">
      <c r="A84" s="0" t="s">
        <v>341</v>
      </c>
      <c r="B84" s="0" t="s">
        <v>484</v>
      </c>
      <c r="C84" s="0" t="s">
        <v>278</v>
      </c>
      <c r="D84" s="0" t="str">
        <f aca="false">CONCATENATE("""", A84, """,")</f>
        <v>"STST",</v>
      </c>
    </row>
    <row r="85" customFormat="false" ht="14.25" hidden="false" customHeight="false" outlineLevel="0" collapsed="false">
      <c r="A85" s="0" t="s">
        <v>485</v>
      </c>
      <c r="B85" s="0" t="s">
        <v>486</v>
      </c>
      <c r="C85" s="0" t="s">
        <v>274</v>
      </c>
      <c r="D85" s="0" t="str">
        <f aca="false">CONCATENATE("""", A85, """,")</f>
        <v>"SUGR",</v>
      </c>
    </row>
    <row r="86" customFormat="false" ht="14.25" hidden="false" customHeight="false" outlineLevel="0" collapsed="false">
      <c r="A86" s="0" t="s">
        <v>487</v>
      </c>
      <c r="B86" s="0" t="s">
        <v>488</v>
      </c>
      <c r="C86" s="0" t="s">
        <v>314</v>
      </c>
      <c r="D86" s="0" t="str">
        <f aca="false">CONCATENATE("""", A86, """,")</f>
        <v>"SULP",</v>
      </c>
    </row>
    <row r="87" customFormat="false" ht="14.25" hidden="false" customHeight="false" outlineLevel="0" collapsed="false">
      <c r="A87" s="0" t="s">
        <v>489</v>
      </c>
      <c r="B87" s="0" t="s">
        <v>490</v>
      </c>
      <c r="C87" s="0" t="s">
        <v>400</v>
      </c>
      <c r="D87" s="0" t="str">
        <f aca="false">CONCATENATE("""", A87, """,")</f>
        <v>"SWET",</v>
      </c>
    </row>
    <row r="88" customFormat="false" ht="14.25" hidden="false" customHeight="false" outlineLevel="0" collapsed="false">
      <c r="A88" s="0" t="s">
        <v>491</v>
      </c>
      <c r="B88" s="0" t="s">
        <v>492</v>
      </c>
      <c r="C88" s="0" t="s">
        <v>274</v>
      </c>
      <c r="D88" s="0" t="str">
        <f aca="false">CONCATENATE("""", A88, """,")</f>
        <v>"TOFF",</v>
      </c>
    </row>
    <row r="89" customFormat="false" ht="14.25" hidden="false" customHeight="false" outlineLevel="0" collapsed="false">
      <c r="A89" s="0" t="s">
        <v>493</v>
      </c>
      <c r="B89" s="0" t="s">
        <v>494</v>
      </c>
      <c r="C89" s="0" t="s">
        <v>495</v>
      </c>
      <c r="D89" s="0" t="str">
        <f aca="false">CONCATENATE("""", A89, """,")</f>
        <v>"TOUR",</v>
      </c>
    </row>
    <row r="90" customFormat="false" ht="14.25" hidden="false" customHeight="false" outlineLevel="0" collapsed="false">
      <c r="A90" s="0" t="s">
        <v>343</v>
      </c>
      <c r="B90" s="0" t="s">
        <v>496</v>
      </c>
      <c r="C90" s="0" t="s">
        <v>278</v>
      </c>
      <c r="D90" s="0" t="str">
        <f aca="false">CONCATENATE("""", A90, """,")</f>
        <v>"TOYS",</v>
      </c>
    </row>
    <row r="91" customFormat="false" ht="14.25" hidden="false" customHeight="false" outlineLevel="0" collapsed="false">
      <c r="A91" s="0" t="s">
        <v>346</v>
      </c>
      <c r="B91" s="0" t="s">
        <v>497</v>
      </c>
      <c r="C91" s="0" t="s">
        <v>278</v>
      </c>
      <c r="D91" s="0" t="str">
        <f aca="false">CONCATENATE("""", A91, """,")</f>
        <v>"TYRE",</v>
      </c>
    </row>
    <row r="92" customFormat="false" ht="14.25" hidden="false" customHeight="false" outlineLevel="0" collapsed="false">
      <c r="A92" s="0" t="s">
        <v>498</v>
      </c>
      <c r="B92" s="0" t="s">
        <v>499</v>
      </c>
      <c r="C92" s="0" t="s">
        <v>500</v>
      </c>
      <c r="D92" s="0" t="str">
        <f aca="false">CONCATENATE("""", A92, """,")</f>
        <v>"URAN",</v>
      </c>
    </row>
    <row r="93" customFormat="false" ht="14.25" hidden="false" customHeight="false" outlineLevel="0" collapsed="false">
      <c r="A93" s="0" t="s">
        <v>501</v>
      </c>
      <c r="B93" s="0" t="s">
        <v>502</v>
      </c>
      <c r="C93" s="0" t="s">
        <v>354</v>
      </c>
      <c r="D93" s="0" t="str">
        <f aca="false">CONCATENATE("""", A93, """,")</f>
        <v>"VALU",</v>
      </c>
    </row>
    <row r="94" customFormat="false" ht="14.25" hidden="false" customHeight="false" outlineLevel="0" collapsed="false">
      <c r="A94" s="0" t="s">
        <v>350</v>
      </c>
      <c r="B94" s="0" t="s">
        <v>503</v>
      </c>
      <c r="C94" s="0" t="s">
        <v>278</v>
      </c>
      <c r="D94" s="0" t="str">
        <f aca="false">CONCATENATE("""", A94, """,")</f>
        <v>"VBOD",</v>
      </c>
    </row>
    <row r="95" customFormat="false" ht="14.25" hidden="false" customHeight="false" outlineLevel="0" collapsed="false">
      <c r="A95" s="0" t="s">
        <v>384</v>
      </c>
      <c r="B95" s="0" t="s">
        <v>504</v>
      </c>
      <c r="C95" s="0" t="s">
        <v>505</v>
      </c>
      <c r="D95" s="0" t="str">
        <f aca="false">CONCATENATE("""", A95, """,")</f>
        <v>"VEHI",</v>
      </c>
    </row>
    <row r="96" customFormat="false" ht="14.25" hidden="false" customHeight="false" outlineLevel="0" collapsed="false">
      <c r="A96" s="0" t="s">
        <v>355</v>
      </c>
      <c r="B96" s="0" t="s">
        <v>506</v>
      </c>
      <c r="C96" s="0" t="s">
        <v>278</v>
      </c>
      <c r="D96" s="0" t="str">
        <f aca="false">CONCATENATE("""", A96, """,")</f>
        <v>"VENG",</v>
      </c>
    </row>
    <row r="97" customFormat="false" ht="14.25" hidden="false" customHeight="false" outlineLevel="0" collapsed="false">
      <c r="A97" s="0" t="s">
        <v>373</v>
      </c>
      <c r="B97" s="0" t="s">
        <v>507</v>
      </c>
      <c r="C97" s="0" t="s">
        <v>430</v>
      </c>
      <c r="D97" s="0" t="str">
        <f aca="false">CONCATENATE("""", A97, """,")</f>
        <v>"VPTS",</v>
      </c>
    </row>
    <row r="98" customFormat="false" ht="14.25" hidden="false" customHeight="false" outlineLevel="0" collapsed="false">
      <c r="A98" s="0" t="s">
        <v>508</v>
      </c>
      <c r="B98" s="0" t="s">
        <v>509</v>
      </c>
      <c r="C98" s="0" t="s">
        <v>335</v>
      </c>
      <c r="D98" s="0" t="str">
        <f aca="false">CONCATENATE("""", A98, """,")</f>
        <v>"WATR",</v>
      </c>
    </row>
    <row r="99" customFormat="false" ht="14.25" hidden="false" customHeight="false" outlineLevel="0" collapsed="false">
      <c r="A99" s="0" t="s">
        <v>376</v>
      </c>
      <c r="B99" s="0" t="s">
        <v>510</v>
      </c>
      <c r="C99" s="0" t="s">
        <v>372</v>
      </c>
      <c r="D99" s="0" t="str">
        <f aca="false">CONCATENATE("""", A99, """,")</f>
        <v>"WDPR",</v>
      </c>
    </row>
    <row r="100" customFormat="false" ht="14.25" hidden="false" customHeight="false" outlineLevel="0" collapsed="false">
      <c r="A100" s="0" t="s">
        <v>511</v>
      </c>
      <c r="B100" s="0" t="s">
        <v>512</v>
      </c>
      <c r="C100" s="0" t="s">
        <v>274</v>
      </c>
      <c r="D100" s="0" t="str">
        <f aca="false">CONCATENATE("""", A100, """,")</f>
        <v>"WHEA",</v>
      </c>
    </row>
    <row r="101" customFormat="false" ht="14.25" hidden="false" customHeight="false" outlineLevel="0" collapsed="false">
      <c r="A101" s="0" t="s">
        <v>359</v>
      </c>
      <c r="B101" s="0" t="s">
        <v>513</v>
      </c>
      <c r="C101" s="0" t="s">
        <v>278</v>
      </c>
      <c r="D101" s="0" t="str">
        <f aca="false">CONCATENATE("""", A101, """,")</f>
        <v>"WOOD",</v>
      </c>
    </row>
    <row r="102" customFormat="false" ht="14.25" hidden="false" customHeight="false" outlineLevel="0" collapsed="false">
      <c r="A102" s="0" t="s">
        <v>514</v>
      </c>
      <c r="B102" s="0" t="s">
        <v>515</v>
      </c>
      <c r="C102" s="0" t="s">
        <v>282</v>
      </c>
      <c r="D102" s="0" t="str">
        <f aca="false">CONCATENATE("""", A102, """,")</f>
        <v>"WOOL",</v>
      </c>
    </row>
    <row r="103" customFormat="false" ht="14.25" hidden="false" customHeight="false" outlineLevel="0" collapsed="false">
      <c r="A103" s="0" t="s">
        <v>516</v>
      </c>
      <c r="B103" s="0" t="s">
        <v>517</v>
      </c>
      <c r="C103" s="0" t="s">
        <v>518</v>
      </c>
      <c r="D103" s="0" t="str">
        <f aca="false">CONCATENATE("""", A103, """,")</f>
        <v>"YETI",</v>
      </c>
    </row>
    <row r="104" customFormat="false" ht="14.25" hidden="false" customHeight="false" outlineLevel="0" collapsed="false">
      <c r="A104" s="0" t="s">
        <v>519</v>
      </c>
      <c r="B104" s="0" t="s">
        <v>520</v>
      </c>
      <c r="C104" s="0" t="s">
        <v>518</v>
      </c>
      <c r="D104" s="0" t="str">
        <f aca="false">CONCATENATE("""", A104, """,")</f>
        <v>"YETY",</v>
      </c>
    </row>
    <row r="105" customFormat="false" ht="14.25" hidden="false" customHeight="false" outlineLevel="0" collapsed="false">
      <c r="A105" s="0" t="s">
        <v>363</v>
      </c>
      <c r="B105" s="0" t="s">
        <v>521</v>
      </c>
      <c r="C105" s="0" t="s">
        <v>278</v>
      </c>
      <c r="D105" s="0" t="str">
        <f aca="false">CONCATENATE("""", A105, """,")</f>
        <v>"ZINC",</v>
      </c>
    </row>
    <row r="106" customFormat="false" ht="14.25" hidden="false" customHeight="false" outlineLevel="0" collapsed="false">
      <c r="A106" s="0" t="s">
        <v>404</v>
      </c>
      <c r="B106" s="0" t="s">
        <v>522</v>
      </c>
      <c r="C106" s="0" t="s">
        <v>449</v>
      </c>
      <c r="D106" s="0" t="str">
        <f aca="false">CONCATENATE("""", A106, """,")</f>
        <v>"SOAP",</v>
      </c>
    </row>
    <row r="107" customFormat="false" ht="14.25" hidden="false" customHeight="false" outlineLevel="0" collapsed="false">
      <c r="A107" s="0" t="s">
        <v>523</v>
      </c>
      <c r="B107" s="0" t="s">
        <v>524</v>
      </c>
      <c r="C107" s="0" t="s">
        <v>269</v>
      </c>
      <c r="D107" s="0" t="str">
        <f aca="false">CONCATENATE("""", A107, """,")</f>
        <v>"NH3_",</v>
      </c>
    </row>
    <row r="108" customFormat="false" ht="14.25" hidden="false" customHeight="false" outlineLevel="0" collapsed="false">
      <c r="A108" s="0" t="s">
        <v>525</v>
      </c>
      <c r="B108" s="0" t="s">
        <v>526</v>
      </c>
      <c r="C108" s="0" t="s">
        <v>269</v>
      </c>
      <c r="D108" s="0" t="str">
        <f aca="false">CONCATENATE("""", A108, """,")</f>
        <v>"O2__",</v>
      </c>
    </row>
    <row r="109" customFormat="false" ht="14.25" hidden="false" customHeight="false" outlineLevel="0" collapsed="false">
      <c r="A109" s="0" t="s">
        <v>407</v>
      </c>
      <c r="B109" s="0" t="s">
        <v>527</v>
      </c>
      <c r="C109" s="0" t="s">
        <v>449</v>
      </c>
      <c r="D109" s="0" t="str">
        <f aca="false">CONCATENATE("""", A109, """,")</f>
        <v>"COAT",</v>
      </c>
    </row>
    <row r="110" customFormat="false" ht="14.25" hidden="false" customHeight="false" outlineLevel="0" collapsed="false">
      <c r="A110" s="0" t="s">
        <v>401</v>
      </c>
      <c r="B110" s="0" t="s">
        <v>528</v>
      </c>
      <c r="C110" s="0" t="s">
        <v>278</v>
      </c>
      <c r="D110" s="0" t="str">
        <f aca="false">CONCATENATE("""", A110, """,")</f>
        <v>"RBAR",</v>
      </c>
    </row>
    <row r="111" customFormat="false" ht="14.25" hidden="false" customHeight="false" outlineLevel="0" collapsed="false">
      <c r="A111" s="0" t="s">
        <v>394</v>
      </c>
      <c r="B111" s="0" t="s">
        <v>529</v>
      </c>
      <c r="C111" s="0" t="s">
        <v>278</v>
      </c>
      <c r="D111" s="0" t="str">
        <f aca="false">CONCATENATE("""", A111, """,")</f>
        <v>"STSH",</v>
      </c>
    </row>
    <row r="112" customFormat="false" ht="14.25" hidden="false" customHeight="false" outlineLevel="0" collapsed="false">
      <c r="A112" s="0" t="s">
        <v>397</v>
      </c>
      <c r="B112" s="0" t="s">
        <v>530</v>
      </c>
      <c r="C112" s="0" t="s">
        <v>278</v>
      </c>
      <c r="D112" s="0" t="str">
        <f aca="false">CONCATENATE("""", A112, """,")</f>
        <v>"STWR",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LibreOffice/26.2.0.3$Windows_X86_64 LibreOffice_project/620$Build-3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2018-09-29T15:27:54Z</dcterms:created>
  <dc:creator>Matt Kimber</dc:creator>
  <dc:description/>
  <dc:language>en-GB</dc:language>
  <cp:lastModifiedBy/>
  <dcterms:modified xsi:type="dcterms:W3CDTF">2026-04-12T10:27:31Z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