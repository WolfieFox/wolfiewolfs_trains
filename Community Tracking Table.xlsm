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s>
  <definedNames>
    <definedName function="false" hidden="true" localSheetId="0" name="_xlnm._FilterDatabase" vbProcedure="false">Table!$A$1:$CH$13</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<sst xmlns="http://schemas.openxmlformats.org/spreadsheetml/2006/main" count="1147" uniqueCount="543">
  <si>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</si>
  <si>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</si>
  <si>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</si>
  <si>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</si>
  <si>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</si>
  <si>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</si>
  <si>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</si>
  <si>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</si>
  <si>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</si>
  <si>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</si>
  <si>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</si>
  <si>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</si>
  <si>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</si>
  <si>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</si>
  <si>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</si>
  <si>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</si>
  <si>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</si>
  <si>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</si>
  <si>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</si>
  <si>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</si>
  <si>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</si>
  <si>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</si>
  <si>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</si>
  <si>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</si>
  <si>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</si>
  <si>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</si>
  <si>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</si>
  <si>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</si>
  <si>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</si>
  <si>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</si>
  <si>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</si>
  <si>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</si>
  <si>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</si>
  <si>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</si>
  <si>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</si>
  <si>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</si>
  <si>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</si>
  <si>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</si>
  <si>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</si>
  <si>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</si>
  <si>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</si>
  <si>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</si>
  <si>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</si>
  <si>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</si>
  <si>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</si>
  <si>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</si>
  <si>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</si>
  <si>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</si>
  <si>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replace_last_wagon</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</si>
  <si>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</si>
  <si>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</si>
  <si>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</si>
  <si>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</si>
  <si>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</si>
  <si>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</si>
  <si>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</si>
  <si>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</si>
  <si>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</si>
  <si>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</si>
  <si>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</si>
  <si>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</si>
  <si>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</si>
  <si>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</si>
  <si>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</si>
  <si>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</si>
  <si>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</si>
  <si>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</si>
  <si>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</si>
  <si>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</si>
  <si>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</si>
  <si>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requires_second_power_car</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</si>
  <si>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</si>
  <si>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</si>
  <si>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</si>
  <si>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</si>
  <si>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</si>
  <si>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</si>
  <si>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</si>
  <si>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</si>
  <si>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</si>
  <si>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</si>
  <si>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</si>
  <si>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</si>
  <si>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</si>
  <si>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</si>
  <si>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</si>
  <si>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</si>
  <si>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</si>
  <si>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</si>
  <si>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</si>
  <si>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Trevithick Tender</t>
  </si>
  <si>
    <t xml:space="preserve">trevithick_tender</t>
  </si>
  <si>
    <t xml:space="preserve">RAIL</t>
  </si>
  <si>
    <t xml:space="preserve">Mixed Traffic</t>
  </si>
  <si>
    <t xml:space="preserve">GNR Tender</t>
  </si>
  <si>
    <t xml:space="preserve">gnr_tender</t>
  </si>
  <si>
    <t xml:space="preserve">LNWR Early Tender</t>
  </si>
  <si>
    <t xml:space="preserve">lnwr_early_tender</t>
  </si>
  <si>
    <t xml:space="preserve">Princess Tender</t>
  </si>
  <si>
    <t xml:space="preserve">princess_tender</t>
  </si>
  <si>
    <t xml:space="preserve">Star Tender</t>
  </si>
  <si>
    <t xml:space="preserve">star_tender</t>
  </si>
  <si>
    <t xml:space="preserve">early</t>
  </si>
  <si>
    <t xml:space="preserve">Iron Duke Tender</t>
  </si>
  <si>
    <t xml:space="preserve">iron_duke_tender</t>
  </si>
  <si>
    <t xml:space="preserve">Midland Tender (Old)</t>
  </si>
  <si>
    <t xml:space="preserve">midland_tender_old</t>
  </si>
  <si>
    <t xml:space="preserve">LNWR Tender</t>
  </si>
  <si>
    <t xml:space="preserve">lnwr_tender</t>
  </si>
  <si>
    <t xml:space="preserve">LNER Tender</t>
  </si>
  <si>
    <t xml:space="preserve">lner_tender</t>
  </si>
  <si>
    <t xml:space="preserve">GWR Tender</t>
  </si>
  <si>
    <t xml:space="preserve">gwr_tender</t>
  </si>
  <si>
    <t xml:space="preserve">Non-corridor carriage</t>
  </si>
  <si>
    <t xml:space="preserve">passenger_carriage_non_corridor</t>
  </si>
  <si>
    <t xml:space="preserve">FEAT_TRAINS</t>
  </si>
  <si>
    <t xml:space="preserve">wagon</t>
  </si>
  <si>
    <t xml:space="preserve">carriage</t>
  </si>
  <si>
    <t xml:space="preserve">Passengers</t>
  </si>
  <si>
    <t xml:space="preserve">PASS</t>
  </si>
  <si>
    <t xml:space="preserve">Carriage</t>
  </si>
  <si>
    <t xml:space="preserve">Non-corridor carriages allow greater seating density, at the cost of passenger comfort.</t>
  </si>
  <si>
    <t xml:space="preserve">BR Mk1 suburban carriage</t>
  </si>
  <si>
    <t xml:space="preserve">passenger_coach_mk1_suburban</t>
  </si>
  <si>
    <t xml:space="preserve">BR built many suburban Mk1 carriages with no gangways, although typically only one or two would be used per train across most of the country.</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</si>
  <si>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</si>
  <si>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</si>
  <si>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</si>
  <si>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</si>
  <si>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</si>
  <si>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</si>
  <si>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</si>
  <si>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</si>
  <si>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buffet</t>
  </si>
  <si>
    <t xml:space="preserve">After the Mark 1's bewildering array of restaurant car types, BR built very few Mark 2 dining cars, all during the final Mk2f iteration. The RFB (Restaurant First Class Buffet) is a variant with first-class seating.</t>
  </si>
  <si>
    <t xml:space="preserve">BR Mk2F carriage (BG)</t>
  </si>
  <si>
    <t xml:space="preserve">passenger_coach_mk2f_bg</t>
  </si>
  <si>
    <t xml:space="preserve">!param_no_gameplay_units</t>
  </si>
  <si>
    <t xml:space="preserve">Parcel</t>
  </si>
  <si>
    <t xml:space="preserve">MAIL</t>
  </si>
  <si>
    <t xml:space="preserve">By the 1970s BR had ceased to build carriages with the intention of adding parcel vans to passenger services, but that hasn't stopped railfans and modellers wondering what could have been.</t>
  </si>
  <si>
    <t xml:space="preserve">BR Mk2F carriage</t>
  </si>
  <si>
    <t xml:space="preserve">passenger_coach_mk2f_import</t>
  </si>
  <si>
    <t xml:space="preserve">0 == 1</t>
  </si>
  <si>
    <t xml:space="preserve">CAF Mk5A carriage</t>
  </si>
  <si>
    <t xml:space="preserve">passenger_coach_mk5a</t>
  </si>
  <si>
    <t xml:space="preserve">The Mark 5A was built for loco-hauled services on the TransPennine Express, but was withdrawn barely four years after introduction.</t>
  </si>
  <si>
    <t xml:space="preserve">Preserved Clerestory carriage</t>
  </si>
  <si>
    <t xml:space="preserve">preserved_clerestory_carriage</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</si>
  <si>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</si>
  <si>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</si>
  <si>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</si>
  <si>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</si>
  <si>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</si>
  <si>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Torpedo car</t>
  </si>
  <si>
    <t xml:space="preserve">torpedo_car</t>
  </si>
  <si>
    <t xml:space="preserve">Torpedo</t>
  </si>
  <si>
    <t xml:space="preserve">Extra</t>
  </si>
  <si>
    <t xml:space="preserve">Torpedo cars haul molten metal directly from furnaces, meaning it does not have to be processed to an intermediate form and melted again.</t>
  </si>
  <si>
    <t xml:space="preserve">Forrester Single</t>
  </si>
  <si>
    <t xml:space="preserve">forrester_single</t>
  </si>
  <si>
    <t xml:space="preserve">locomotive</t>
  </si>
  <si>
    <t xml:space="preserve">steam</t>
  </si>
  <si>
    <t xml:space="preserve">George Forrester and Company built the first passenger tank locomotive to enter service. They were supplied to multiple railways in both tank and tender forms.</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</si>
  <si>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</si>
  <si>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</si>
  <si>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</si>
  <si>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</si>
  <si>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</si>
  <si>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</si>
  <si>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</si>
  <si>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</si>
  <si>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</si>
  <si>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</si>
  <si>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Midland Railway 156 Class</t>
  </si>
  <si>
    <t xml:space="preserve">midland_156_class</t>
  </si>
  <si>
    <t xml:space="preserve">The Midland 156 class had a long career. It started as an express engine but as power outputs and speeds on the mainline increased it was relegated to increasingly minor duties, ending up being used on small branch lines.</t>
  </si>
  <si>
    <t xml:space="preserve">GNR Stirling 4-2-2</t>
  </si>
  <si>
    <t xml:space="preserve">stirling_single</t>
  </si>
  <si>
    <t xml:space="preserve">Patrick Stirling's "singles" (also known as "eight footers" due to the large driving wheels) were designed to haul heavy express trains.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</si>
  <si>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</si>
  <si>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</si>
  <si>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</si>
  <si>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</si>
  <si>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</si>
  <si>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</si>
  <si>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GWR 3001 "Achilles"</t>
  </si>
  <si>
    <t xml:space="preserve">gwr_achilles</t>
  </si>
  <si>
    <t xml:space="preserve">na</t>
  </si>
  <si>
    <t xml:space="preserve">102x0x0</t>
  </si>
  <si>
    <t xml:space="preserve">vct</t>
  </si>
  <si>
    <t xml:space="preserve">William Dean's 3001 class was the last of the GWR's 2-2-2 singles. They were rebuilt early on with a 4-2-2 layout to prevent derailments caused by the heavy front axle load.</t>
  </si>
  <si>
    <t xml:space="preserve">LSWR F9 "Bug"</t>
  </si>
  <si>
    <t xml:space="preserve">lswr_f9</t>
  </si>
  <si>
    <t xml:space="preserve">Cheap</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</si>
  <si>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</si>
  <si>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</si>
  <si>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</si>
  <si>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0x0x0</t>
  </si>
  <si>
    <t xml:space="preserve">GER Class A55 "Decapod"</t>
  </si>
  <si>
    <t xml:space="preserve">ger_decapod</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</si>
  <si>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</si>
  <si>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</si>
  <si>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</si>
  <si>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edw</t>
  </si>
  <si>
    <t xml:space="preserve">GWR "Great Bear"</t>
  </si>
  <si>
    <t xml:space="preserve">gwr_great_bear</t>
  </si>
  <si>
    <t xml:space="preserve">The Great Bear was a single locomotive, the first 4-6-2 "Pacific" type built in the UK, which served as the GWR's flagship until 1922 despite disappointing performance and low route availability.</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</si>
  <si>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</si>
  <si>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</si>
  <si>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</si>
  <si>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</si>
  <si>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</si>
  <si>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</si>
  <si>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</si>
  <si>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</si>
  <si>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</si>
  <si>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U1</t>
  </si>
  <si>
    <t xml:space="preserve">lner_u1</t>
  </si>
  <si>
    <t xml:space="preserve">multiple_unit</t>
  </si>
  <si>
    <t xml:space="preserve">lner_u1,lner_u1_mid,lner_u1_rear</t>
  </si>
  <si>
    <t xml:space="preserve">1,1,1</t>
  </si>
  <si>
    <t xml:space="preserve">1,0,1</t>
  </si>
  <si>
    <t xml:space="preserve">23,26</t>
  </si>
  <si>
    <t xml:space="preserve">Freight</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</si>
  <si>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</si>
  <si>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</si>
  <si>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</si>
  <si>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</si>
  <si>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</si>
  <si>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</si>
  <si>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LNER Raven A2</t>
  </si>
  <si>
    <t xml:space="preserve">lner_raven_a2</t>
  </si>
  <si>
    <t xml:space="preserve">LNER Thompson B1</t>
  </si>
  <si>
    <t xml:space="preserve">lner_thompson_b1</t>
  </si>
  <si>
    <t xml:space="preserve">big4</t>
  </si>
  <si>
    <t xml:space="preserve">LNER's B2 was a mixed traffic locomotive, the early examples of which were named after breeds of antelope, with 61018 "Gnu" having the record for shortest name given to a British locomotive. </t>
  </si>
  <si>
    <t xml:space="preserve">Brown, Boverie &amp; Cie 18000</t>
  </si>
  <si>
    <t xml:space="preserve">bbc_18000</t>
  </si>
  <si>
    <t xml:space="preserve">gas_turbine</t>
  </si>
  <si>
    <t xml:space="preserve">Originally ordered by the GWR, the 18000 used a gas turbine to match the power output of the King Class. This resulted in it being unreliable and expensive to run.</t>
  </si>
  <si>
    <t xml:space="preserve">BR Class 03</t>
  </si>
  <si>
    <t xml:space="preserve">br_class_03</t>
  </si>
  <si>
    <t xml:space="preserve">diesel</t>
  </si>
  <si>
    <t xml:space="preserve">dsl</t>
  </si>
  <si>
    <t xml:space="preserve">The Class 03 is a diesel-mechanical shunter, with a five speed manual gearbox driven through a fluid coupling. They were most useful in areas where the Class 08 was too large and heavy to operate.</t>
  </si>
  <si>
    <t xml:space="preserve">Brush Class 53 "Falcon"</t>
  </si>
  <si>
    <t xml:space="preserve">brush_falcon</t>
  </si>
  <si>
    <t xml:space="preserve">Brush's "Falcon" was a prototype for a new generation of Type 4 locomotives, but advances in single-engined diesel made the Falcon with its two Maybach diesels obsolete at the point of introduction.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</si>
  <si>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</si>
  <si>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</si>
  <si>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</si>
  <si>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BREL Mk2 DBSO</t>
  </si>
  <si>
    <t xml:space="preserve">brel_dbso</t>
  </si>
  <si>
    <t xml:space="preserve">none</t>
  </si>
  <si>
    <t xml:space="preserve">Express (Electric)</t>
  </si>
  <si>
    <t xml:space="preserve">The DBSO is a driving trailer built from a converted Mk2F carriage. They were first used with Class 47 locomotives for a push-pull service that could be driven from either end.</t>
  </si>
  <si>
    <t xml:space="preserve">CAF Mk5A DVT</t>
  </si>
  <si>
    <t xml:space="preserve">passenger_coach_mk5a_dvt</t>
  </si>
  <si>
    <t xml:space="preserve">Mark 5A carriage sets include a driving van trailer, enabling loco-hauled trains to be driven from both ends.</t>
  </si>
  <si>
    <t xml:space="preserve">Cartic</t>
  </si>
  <si>
    <t xml:space="preserve">cartic</t>
  </si>
  <si>
    <t xml:space="preserve">DMU</t>
  </si>
  <si>
    <t xml:space="preserve">Cravens Class 105</t>
  </si>
  <si>
    <t xml:space="preserve">class_105</t>
  </si>
  <si>
    <t xml:space="preserve">class_105,class_105_rev</t>
  </si>
  <si>
    <t xml:space="preserve">1,1</t>
  </si>
  <si>
    <t xml:space="preserve">The Class 105 had a long and hard life on British Railways, mostly around the Eastern Region. Sadly this meant few survived in a viable condition for preservation.</t>
  </si>
  <si>
    <t xml:space="preserve">Pressed Steel Class 117</t>
  </si>
  <si>
    <t xml:space="preserve">class_117</t>
  </si>
  <si>
    <t xml:space="preserve">class_117,class_117_mid,class_117_rev</t>
  </si>
  <si>
    <t xml:space="preserve">The Class 117 was built under licence by Pressed Steel, being a variant of the Class 116 built by BRCW Derby.</t>
  </si>
  <si>
    <t xml:space="preserve">SR 4DD Double Decker</t>
  </si>
  <si>
    <t xml:space="preserve">sr_4dd</t>
  </si>
  <si>
    <t xml:space="preserve">electric</t>
  </si>
  <si>
    <t xml:space="preserve">THIRD_RAIL</t>
  </si>
  <si>
    <t xml:space="preserve">sr_4dd,sr_4dd_mid,sr_4dd_mid,sr_4dd_rear</t>
  </si>
  <si>
    <t xml:space="preserve">1,1,0,1</t>
  </si>
  <si>
    <t xml:space="preserve">SR's 4DD was an experiment to see if double deck multiple units could increase capacity. The internal layout was compromised by the British loading gauge, and it was slow to load at stations.</t>
  </si>
  <si>
    <t xml:space="preserve">GRC&amp;W Class 128 Parcel Van</t>
  </si>
  <si>
    <t xml:space="preserve">class_128</t>
  </si>
  <si>
    <t xml:space="preserve">The Class 128 was built specifically for carrying parcels by the Gloucester Railway Carriage and Wagon Company.</t>
  </si>
  <si>
    <t xml:space="preserve">Siemens Class 185 "Desiro"</t>
  </si>
  <si>
    <t xml:space="preserve">siemens_185_desiro</t>
  </si>
  <si>
    <t xml:space="preserve">siemens_185_desiro,siemens_185_desiro_mid,siemens_185_desiro_rear</t>
  </si>
  <si>
    <t xml:space="preserve">EMU</t>
  </si>
  <si>
    <t xml:space="preserve">The Class 185 is a diesel version of the Siemens Desiro family. Each car has its own 6 cylinder engine, giving the unit high acceleration.</t>
  </si>
  <si>
    <t xml:space="preserve">Bombardier Class 730/2 "Aventra"</t>
  </si>
  <si>
    <t xml:space="preserve">class_730_aventra</t>
  </si>
  <si>
    <t xml:space="preserve">ELRL</t>
  </si>
  <si>
    <t xml:space="preserve">class_730_aventra,class_730_aventra_mid_1,class_730_aventra_mid_2,class_730_aventra_power,class_730_aventra_rear</t>
  </si>
  <si>
    <t xml:space="preserve">1,1,1,1,1</t>
  </si>
  <si>
    <t xml:space="preserve">The 730/2 is the longer and faster variant of the Class 730 units built for West Midlands Trains, serving on their London Northwestern Railway routes over the West Coast Main Line.</t>
  </si>
  <si>
    <t xml:space="preserve">Metropolitan-Vickers Bo-Bo Locomotive</t>
  </si>
  <si>
    <t xml:space="preserve">metrovick_locomotive</t>
  </si>
  <si>
    <t xml:space="preserve">tube</t>
  </si>
  <si>
    <t xml:space="preserve">LU Q Stock</t>
  </si>
  <si>
    <t xml:space="preserve">lu_q_stock</t>
  </si>
  <si>
    <t xml:space="preserve">LU</t>
  </si>
  <si>
    <t xml:space="preserve">LOR Electric Units</t>
  </si>
  <si>
    <t xml:space="preserve">lor_electric</t>
  </si>
  <si>
    <t xml:space="preserve">136x38x0</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</si>
  <si>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</si>
  <si>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</si>
  <si>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</si>
  <si>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</si>
  <si>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lbr</t>
  </si>
  <si>
    <t xml:space="preserve">GEC-Alsthom Class 374 "Eurostar e320"</t>
  </si>
  <si>
    <t xml:space="preserve">eurostar_e320</t>
  </si>
  <si>
    <t xml:space="preserve">Pony</t>
  </si>
  <si>
    <t xml:space="preserve">pony</t>
  </si>
  <si>
    <t xml:space="preserve">horses</t>
  </si>
  <si>
    <t xml:space="preserve">NARROW_GAUGE</t>
  </si>
  <si>
    <t xml:space="preserve">A smaller horse for a smaller railway.</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</si>
  <si>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</si>
  <si>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</si>
  <si>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</si>
  <si>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</si>
  <si>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</si>
  <si>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</si>
  <si>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</si>
  <si>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</si>
  <si>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</si>
  <si>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</si>
  <si>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</si>
  <si>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</si>
  <si>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</si>
  <si>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</si>
  <si>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</si>
  <si>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</si>
  <si>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</si>
  <si>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</si>
  <si>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</si>
  <si>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</si>
  <si>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</si>
  <si>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</si>
  <si>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</si>
  <si>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</si>
  <si>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</si>
  <si>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</si>
  <si>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</si>
  <si>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</si>
  <si>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</si>
  <si>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</si>
  <si>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</si>
  <si>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</si>
  <si>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</si>
  <si>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</si>
  <si>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</si>
  <si>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</si>
  <si>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petrol</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</si>
  <si>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</si>
  <si>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</si>
  <si>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</si>
  <si>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</si>
  <si>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</si>
  <si>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</si>
  <si>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Open Wagon</t>
  </si>
  <si>
    <t xml:space="preserve">Early narrow gauge railways were used solely for freight, until the Ffestiniog Railway began carrying passengers in the 1860s. Early gravity railways used incline cars to deliver quarry workers swiftly to their place of work.</t>
  </si>
  <si>
    <t xml:space="preserve">Four-wheel carriage</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</si>
  <si>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</si>
  <si>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</si>
  <si>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</si>
  <si>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</si>
  <si>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</si>
  <si>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Four-wheel brake carriage</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</si>
  <si>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</si>
  <si>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</si>
  <si>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</si>
  <si>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</si>
  <si>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</si>
  <si>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 wagon</t>
  </si>
  <si>
    <t xml:space="preserve">open_wagon_ng</t>
  </si>
  <si>
    <t xml:space="preserve">EarlyOpen</t>
  </si>
  <si>
    <t xml:space="preserve">COAL</t>
  </si>
  <si>
    <t xml:space="preserve">An open wagon for carrying bulk cargo on narrow gauge railways.</t>
  </si>
  <si>
    <t xml:space="preserve">Mineral wagon</t>
  </si>
  <si>
    <t xml:space="preserve">mineral_wagon_ng</t>
  </si>
  <si>
    <t xml:space="preserve">Bulk</t>
  </si>
  <si>
    <t xml:space="preserve">Heavier mineral wagons allowed larger amounts of cargo to be carried.</t>
  </si>
  <si>
    <t xml:space="preserve">Flat wagon</t>
  </si>
  <si>
    <t xml:space="preserve">flat_wagon_ng</t>
  </si>
  <si>
    <t xml:space="preserve">Bolster</t>
  </si>
  <si>
    <t xml:space="preserve">WOOD</t>
  </si>
  <si>
    <t xml:space="preserve">While many narrow gauge railways were quarry lines carrying bulk goods or slate, flat wagons were used for transporting equipment.</t>
  </si>
  <si>
    <t xml:space="preserve">Bolster wagon</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</si>
  <si>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</si>
  <si>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</si>
  <si>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</si>
  <si>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</si>
  <si>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</si>
  <si>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</si>
  <si>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</si>
  <si>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Tanker</t>
  </si>
  <si>
    <t xml:space="preserve">OIL_</t>
  </si>
  <si>
    <t xml:space="preserve">With specialised equipment at stations, tank wagons made liquid cargo easier to handle than loading drums into open wagons.</t>
  </si>
  <si>
    <t xml:space="preserve">Livestock van</t>
  </si>
  <si>
    <t xml:space="preserve">livestock_van_ng</t>
  </si>
  <si>
    <t xml:space="preserve">Livestock</t>
  </si>
  <si>
    <t xml:space="preserve">LVST</t>
  </si>
  <si>
    <t xml:space="preserve">A van for carrying livestock on narrow gauge railways.</t>
  </si>
  <si>
    <t xml:space="preserve">Wooden-framed van</t>
  </si>
  <si>
    <t xml:space="preserve">wooden_van_ng</t>
  </si>
  <si>
    <t xml:space="preserve">Van</t>
  </si>
  <si>
    <t xml:space="preserve">GOOD</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</si>
  <si>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</si>
  <si>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</si>
  <si>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</si>
  <si>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</si>
  <si>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</si>
  <si>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Iron-framed van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</si>
  <si>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</si>
  <si>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</si>
  <si>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</si>
  <si>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</si>
  <si>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</si>
  <si>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</si>
  <si>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</si>
  <si>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Passenger</t>
  </si>
  <si>
    <t xml:space="preserve">MT (Electric)</t>
  </si>
  <si>
    <t xml:space="preserve">Freight (Electric)</t>
  </si>
  <si>
    <t xml:space="preserve">DMU (Cheap)</t>
  </si>
  <si>
    <t xml:space="preserve">DMU (Express)</t>
  </si>
  <si>
    <t xml:space="preserve">EMU (Express)</t>
  </si>
  <si>
    <t xml:space="preserve">Mail Carriage</t>
  </si>
  <si>
    <t xml:space="preserve">Flat Wagon</t>
  </si>
  <si>
    <t xml:space="preserve">Era</t>
  </si>
  <si>
    <t xml:space="preserve">(name)</t>
  </si>
  <si>
    <t xml:space="preserve">ebr</t>
  </si>
  <si>
    <t xml:space="preserve">prv</t>
  </si>
  <si>
    <t xml:space="preserve">mod</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</si>
  <si>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</si>
  <si>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</si>
  <si>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</si>
  <si>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</si>
  <si>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</si>
  <si>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</si>
  <si>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</si>
  <si>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</si>
  <si>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</si>
  <si>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</si>
  <si>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</si>
  <si>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</si>
  <si>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</si>
  <si>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</si>
  <si>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</si>
  <si>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</si>
  <si>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</si>
  <si>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</si>
  <si>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</si>
  <si>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</si>
  <si>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</si>
  <si>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Cost Base</t>
  </si>
  <si>
    <t xml:space="preserve">diesel_RAIL</t>
  </si>
  <si>
    <t xml:space="preserve">Diesel</t>
  </si>
  <si>
    <t xml:space="preserve">steam_RAIL</t>
  </si>
  <si>
    <t xml:space="preserve">Steam</t>
  </si>
  <si>
    <t xml:space="preserve">1,2,1</t>
  </si>
  <si>
    <t xml:space="preserve">electric_ELRL</t>
  </si>
  <si>
    <t xml:space="preserve">25kV AC</t>
  </si>
  <si>
    <t xml:space="preserve">2,1,2</t>
  </si>
  <si>
    <t xml:space="preserve">dual_power</t>
  </si>
  <si>
    <t xml:space="preserve">electric_THIRD_RAIL</t>
  </si>
  <si>
    <t xml:space="preserve">750V DC</t>
  </si>
  <si>
    <t xml:space="preserve">2,2,2</t>
  </si>
  <si>
    <t xml:space="preserve">dual_electric</t>
  </si>
  <si>
    <t xml:space="preserve">tender_RAIL</t>
  </si>
  <si>
    <t xml:space="preserve">2,3,2</t>
  </si>
  <si>
    <t xml:space="preserve">carriage_RAIL</t>
  </si>
  <si>
    <t xml:space="preserve">2,4,2</t>
  </si>
  <si>
    <t xml:space="preserve">luxury_carriage</t>
  </si>
  <si>
    <t xml:space="preserve">luxury_carriage_RAIL</t>
  </si>
  <si>
    <t xml:space="preserve">2,5,2</t>
  </si>
  <si>
    <t xml:space="preserve">wagon_RAIL</t>
  </si>
  <si>
    <t xml:space="preserve">4,2,4</t>
  </si>
  <si>
    <t xml:space="preserve">brake</t>
  </si>
  <si>
    <t xml:space="preserve">steam_NARROW_GAUGE</t>
  </si>
  <si>
    <t xml:space="preserve">4,3,4</t>
  </si>
  <si>
    <t xml:space="preserve">dual_power_RAIL</t>
  </si>
  <si>
    <t xml:space="preserve">750V DC / Diesel</t>
  </si>
  <si>
    <t xml:space="preserve">4,4,4</t>
  </si>
  <si>
    <t xml:space="preserve">dual_electric_DUAL_POWER</t>
  </si>
  <si>
    <t xml:space="preserve">25kV AC / 750V DC</t>
  </si>
  <si>
    <t xml:space="preserve">4,5,4</t>
  </si>
  <si>
    <t xml:space="preserve">brake_RAIL</t>
  </si>
  <si>
    <t xml:space="preserve">4,6,4</t>
  </si>
  <si>
    <t xml:space="preserve">lpgflywheel</t>
  </si>
  <si>
    <t xml:space="preserve">tube_RAIL</t>
  </si>
  <si>
    <t xml:space="preserve">4,7,4</t>
  </si>
  <si>
    <t xml:space="preserve">_</t>
  </si>
  <si>
    <t xml:space="preserve">4,8,4</t>
  </si>
  <si>
    <t xml:space="preserve">petrol_RAIL</t>
  </si>
  <si>
    <t xml:space="preserve">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</si>
  <si>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</si>
  <si>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</si>
  <si>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</si>
  <si>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</si>
  <si>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</si>
  <si>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</si>
  <si>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</si>
  <si>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</si>
  <si>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</si>
  <si>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</si>
  <si>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</si>
  <si>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</si>
  <si>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</si>
  <si>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horses_NARROW_GAUGE</t>
  </si>
  <si>
    <t xml:space="preserve">wagon_NARROW_GAUGE</t>
  </si>
  <si>
    <t xml:space="preserve">diesel_NARROW_GAUGE</t>
  </si>
  <si>
    <t xml:space="preserve">none_RAIL</t>
  </si>
  <si>
    <t xml:space="preserve">gas_turbine_RAIL</t>
  </si>
  <si>
    <t xml:space="preserve">Gas Turbine</t>
  </si>
  <si>
    <t xml:space="preserve">petrol_NARROW_GAUGE</t>
  </si>
  <si>
    <t xml:space="preserve">TTD Length</t>
  </si>
  <si>
    <t xml:space="preserve">Voxel Size</t>
  </si>
  <si>
    <t xml:space="preserve">Voxel Size (calculated)</t>
  </si>
  <si>
    <t xml:space="preserve">Voxel size (observed)</t>
  </si>
  <si>
    <t xml:space="preserve">APT</t>
  </si>
  <si>
    <t xml:space="preserve">Names</t>
  </si>
  <si>
    <t xml:space="preserve">apt</t>
  </si>
  <si>
    <t xml:space="preserve">apt_mid</t>
  </si>
  <si>
    <t xml:space="preserve">apt_tbf</t>
  </si>
  <si>
    <t xml:space="preserve">apt_power</t>
  </si>
  <si>
    <t xml:space="preserve">apt_tbf_rev</t>
  </si>
  <si>
    <t xml:space="preserve">apt_rear</t>
  </si>
  <si>
    <t xml:space="preserve">Newsprites</t>
  </si>
  <si>
    <t xml:space="preserve">Eurostar</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</si>
  <si>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</si>
  <si>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</si>
  <si>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</si>
  <si>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</si>
  <si>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</si>
  <si>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</si>
  <si>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</si>
  <si>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</si>
  <si>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</si>
  <si>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</si>
  <si>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</si>
  <si>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t>
  </si>
  <si>
    <t xml:space="preserve">stadler_class_755_mid</t>
  </si>
  <si>
    <t xml:space="preserve">stadler_class_755_motor</t>
  </si>
  <si>
    <t xml:space="preserve">stadler_class_755_mid_rev</t>
  </si>
  <si>
    <t xml:space="preserve">stadler_class_755_rear</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</si>
</sst>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6">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b val="true"/>
      <sz val="11"/>
      <color rgb="FF000000"/>
      <name val="Calibri"/>
      <family val="2"/>
      <charset val="1"/>
    </font>
  </fonts>
  <fills count="12">
    <fill>
      <patternFill patternType="none"/>
    </fill>
    <fill>
      <patternFill patternType="gray125"/>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6" tint="0.5999"/>
        <bgColor rgb="FFD9D9D9"/>
      </patternFill>
    </fill>
    <fill>
      <patternFill patternType="solid">
        <fgColor theme="7" tint="0.7999"/>
        <bgColor rgb="FFFBE5D6"/>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theme="0" tint="-0.15"/>
        <bgColor rgb="FFDBDBDB"/>
      </patternFill>
    </fill>
    <fill>
      <patternFill patternType="solid">
        <fgColor rgb="FFFFFF00"/>
        <bgColor rgb="FFFFFF00"/>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27">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2" borderId="1" xfId="0" applyFont="false" applyBorder="true" applyAlignment="false" applyProtection="false">
      <alignment horizontal="general" vertical="bottom" textRotation="0" wrapText="false" indent="0" shrinkToFit="false"/>
      <protection locked="true" hidden="false"/>
    </xf>
    <xf numFmtId="164" fontId="0" fillId="3" borderId="1" xfId="0" applyFont="false" applyBorder="true" applyAlignment="false" applyProtection="false">
      <alignment horizontal="general"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4" fontId="0" fillId="4" borderId="1" xfId="0" applyFont="false" applyBorder="true" applyAlignment="false" applyProtection="false">
      <alignment horizontal="general" vertical="bottom" textRotation="0" wrapText="fals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4" fontId="0" fillId="6" borderId="1" xfId="0" applyFont="false" applyBorder="true" applyAlignment="false" applyProtection="false">
      <alignment horizontal="general" vertical="bottom" textRotation="0" wrapText="false" indent="0" shrinkToFit="false"/>
      <protection locked="true" hidden="false"/>
    </xf>
    <xf numFmtId="164" fontId="0" fillId="7" borderId="0" xfId="0" applyFont="false" applyBorder="false" applyAlignment="false" applyProtection="false">
      <alignment horizontal="general" vertical="bottom" textRotation="0" wrapText="false" indent="0" shrinkToFit="false"/>
      <protection locked="true" hidden="false"/>
    </xf>
    <xf numFmtId="164" fontId="0" fillId="8" borderId="0" xfId="0" applyFont="false" applyBorder="false" applyAlignment="false" applyProtection="false">
      <alignment horizontal="general" vertical="bottom" textRotation="0" wrapText="false" indent="0" shrinkToFit="false"/>
      <protection locked="true" hidden="false"/>
    </xf>
    <xf numFmtId="164" fontId="0" fillId="9"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4" fillId="2" borderId="1" xfId="0" applyFont="true" applyBorder="true" applyAlignment="false" applyProtection="false">
      <alignment horizontal="general" vertical="bottom" textRotation="0" wrapText="false" indent="0" shrinkToFit="false"/>
      <protection locked="true" hidden="false"/>
    </xf>
    <xf numFmtId="164" fontId="4" fillId="3" borderId="1" xfId="0" applyFont="true" applyBorder="true" applyAlignment="false" applyProtection="false">
      <alignment horizontal="general" vertical="bottom" textRotation="0" wrapText="false" indent="0" shrinkToFit="false"/>
      <protection locked="true" hidden="false"/>
    </xf>
    <xf numFmtId="165" fontId="4" fillId="0" borderId="0" xfId="0" applyFont="true" applyBorder="false" applyAlignment="false" applyProtection="false">
      <alignment horizontal="general" vertical="bottom" textRotation="0" wrapText="false" indent="0" shrinkToFit="false"/>
      <protection locked="true" hidden="false"/>
    </xf>
    <xf numFmtId="164" fontId="4" fillId="4" borderId="1" xfId="0" applyFont="true" applyBorder="true" applyAlignment="false" applyProtection="false">
      <alignment horizontal="general" vertical="bottom" textRotation="0" wrapText="false" indent="0" shrinkToFit="false"/>
      <protection locked="true" hidden="false"/>
    </xf>
    <xf numFmtId="164" fontId="4" fillId="5" borderId="0" xfId="0" applyFont="true" applyBorder="false" applyAlignment="false" applyProtection="false">
      <alignment horizontal="general" vertical="bottom" textRotation="0" wrapText="false" indent="0" shrinkToFit="false"/>
      <protection locked="true" hidden="false"/>
    </xf>
    <xf numFmtId="164" fontId="4" fillId="6" borderId="1" xfId="0" applyFont="true" applyBorder="true" applyAlignment="false" applyProtection="false">
      <alignment horizontal="general" vertical="bottom" textRotation="0" wrapText="false" indent="0" shrinkToFit="false"/>
      <protection locked="true" hidden="false"/>
    </xf>
    <xf numFmtId="164" fontId="4" fillId="7" borderId="0" xfId="0" applyFont="true" applyBorder="false" applyAlignment="false" applyProtection="false">
      <alignment horizontal="general" vertical="bottom" textRotation="0" wrapText="false" indent="0" shrinkToFit="false"/>
      <protection locked="true" hidden="false"/>
    </xf>
    <xf numFmtId="164" fontId="4" fillId="8"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false" hidden="false"/>
    </xf>
    <xf numFmtId="164" fontId="4" fillId="9" borderId="0" xfId="0" applyFont="true" applyBorder="false" applyAlignment="false" applyProtection="false">
      <alignment horizontal="general" vertical="bottom" textRotation="0" wrapText="false" indent="0" shrinkToFit="false"/>
      <protection locked="true" hidden="false"/>
    </xf>
    <xf numFmtId="165" fontId="0" fillId="7" borderId="0" xfId="0" applyFont="false" applyBorder="false" applyAlignment="false" applyProtection="false">
      <alignment horizontal="general" vertical="bottom" textRotation="0" wrapText="false" indent="0" shrinkToFit="false"/>
      <protection locked="true" hidden="false"/>
    </xf>
    <xf numFmtId="166" fontId="0" fillId="8" borderId="0" xfId="0" applyFont="false" applyBorder="false" applyAlignment="false" applyProtection="false">
      <alignment horizontal="general" vertical="bottom" textRotation="0" wrapText="false" indent="0" shrinkToFit="false"/>
      <protection locked="true" hidden="false"/>
    </xf>
    <xf numFmtId="164" fontId="0" fillId="10" borderId="0" xfId="0" applyFont="fals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7" fontId="0" fillId="3" borderId="1" xfId="0" applyFont="false" applyBorder="true" applyAlignment="false" applyProtection="false">
      <alignment horizontal="general" vertical="bottom" textRotation="0" wrapText="false" indent="0" shrinkToFit="false"/>
      <protection locked="true" hidden="false"/>
    </xf>
    <xf numFmtId="164" fontId="0" fillId="11" borderId="0" xfId="0" applyFont="tru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6">
    <dxf>
      <fill>
        <patternFill patternType="solid">
          <bgColor rgb="FF000000"/>
        </patternFill>
      </fill>
    </dxf>
    <dxf>
      <fill>
        <patternFill patternType="solid">
          <fgColor rgb="FF000000"/>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color rgb="FF9C0006"/>
      </font>
      <fill>
        <patternFill>
          <bgColor rgb="FFFFC7CE"/>
        </patternFill>
      </fill>
    </dxf>
    <dxf>
      <font>
        <color rgb="FF9C0006"/>
      </font>
      <fill>
        <patternFill/>
      </fill>
    </dxf>
    <dxf>
      <font>
        <color rgb="FF9C0006"/>
      </font>
      <fill>
        <patternFill/>
      </fill>
    </dxf>
  </dxfs>
  <colors>
    <indexedColors>
      <rgbColor rgb="FF000000"/>
      <rgbColor rgb="FFEDEDED"/>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9999FF"/>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DBDBDB"/>
      <rgbColor rgb="FFE2F0D9"/>
      <rgbColor rgb="FFFBE5D6"/>
      <rgbColor rgb="FF99CCFF"/>
      <rgbColor rgb="FFFFC7CE"/>
      <rgbColor rgb="FFCC99FF"/>
      <rgbColor rgb="FFF8CBAD"/>
      <rgbColor rgb="FF3366FF"/>
      <rgbColor rgb="FF33CCCC"/>
      <rgbColor rgb="FF99CC00"/>
      <rgbColor rgb="FFFFCC00"/>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L92"/>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1" ySplit="1" topLeftCell="B2" activePane="bottomRight" state="frozen"/>
      <selection pane="topLeft" activeCell="A1" activeCellId="0" sqref="A1"/>
      <selection pane="topRight" activeCell="B1" activeCellId="0" sqref="B1"/>
      <selection pane="bottomLeft" activeCell="A2" activeCellId="0" sqref="A2"/>
      <selection pane="bottomRight" activeCell="A1" activeCellId="0" sqref="1:1"/>
    </sheetView>
  </sheetViews>
  <sheetFormatPr defaultColWidth="8.6796875" defaultRowHeight="14.25" customHeight="false" zeroHeight="false" outlineLevelRow="0" outlineLevelCol="0"/>
  <cols>
    <col collapsed="false" customWidth="true" hidden="false" outlineLevel="0" max="1" min="1" style="0" width="37.18"/>
    <col collapsed="false" customWidth="true" hidden="false" outlineLevel="0" max="2" min="2" style="0" width="28.27"/>
    <col collapsed="false" customWidth="true" hidden="false" outlineLevel="0" max="7" min="3" style="0" width="13.27"/>
    <col collapsed="false" customWidth="true" hidden="false" outlineLevel="0" max="8" min="8" style="0" width="14.73"/>
    <col collapsed="false" customWidth="true" hidden="false" outlineLevel="0" max="9" min="9" style="0" width="19.18"/>
    <col collapsed="false" customWidth="true" hidden="false" outlineLevel="0" max="14" min="14" style="0" width="10.82"/>
    <col collapsed="false" customWidth="true" hidden="false" outlineLevel="0" max="15" min="15" style="1" width="10.82"/>
    <col collapsed="false" customWidth="true" hidden="false" outlineLevel="0" max="16" min="16" style="2" width="5.18"/>
    <col collapsed="false" customWidth="true" hidden="false" outlineLevel="0" max="17" min="17" style="2" width="7.27"/>
    <col collapsed="false" customWidth="true" hidden="false" outlineLevel="0" max="18" min="18" style="2" width="5.54"/>
    <col collapsed="false" customWidth="true" hidden="false" outlineLevel="0" max="19" min="19" style="2" width="10"/>
    <col collapsed="false" customWidth="true" hidden="false" outlineLevel="0" max="20" min="20" style="2" width="7.73"/>
    <col collapsed="false" customWidth="true" hidden="false" outlineLevel="0" max="21" min="21" style="2" width="11"/>
    <col collapsed="false" customWidth="true" hidden="false" outlineLevel="0" max="22" min="22" style="2" width="7.73"/>
    <col collapsed="false" customWidth="true" hidden="false" outlineLevel="0" max="23" min="23" style="0" width="10"/>
    <col collapsed="false" customWidth="true" hidden="false" outlineLevel="0" max="24" min="24" style="1" width="16.54"/>
    <col collapsed="false" customWidth="true" hidden="false" outlineLevel="0" max="25" min="25" style="0" width="13.27"/>
    <col collapsed="false" customWidth="true" hidden="false" outlineLevel="0" max="26" min="26" style="0" width="18"/>
    <col collapsed="false" customWidth="true" hidden="false" outlineLevel="0" max="27" min="27" style="3" width="8.45"/>
    <col collapsed="false" customWidth="true" hidden="false" outlineLevel="0" max="31" min="28" style="0" width="12.45"/>
    <col collapsed="false" customWidth="true" hidden="false" outlineLevel="0" max="32" min="32" style="0" width="10.54"/>
    <col collapsed="false" customWidth="true" hidden="false" outlineLevel="0" max="33" min="33" style="0" width="9.27"/>
    <col collapsed="false" customWidth="true" hidden="false" outlineLevel="0" max="34" min="34" style="0" width="10.54"/>
    <col collapsed="false" customWidth="true" hidden="false" outlineLevel="0" max="35" min="35" style="0" width="10.45"/>
    <col collapsed="false" customWidth="true" hidden="false" outlineLevel="0" max="36" min="36" style="4" width="9.18"/>
    <col collapsed="false" customWidth="true" hidden="false" outlineLevel="0" max="38" min="37" style="5" width="10.27"/>
    <col collapsed="false" customWidth="true" hidden="false" outlineLevel="0" max="39" min="39" style="0" width="26.82"/>
    <col collapsed="false" customWidth="true" hidden="false" outlineLevel="0" max="40" min="40" style="5" width="18.45"/>
    <col collapsed="false" customWidth="true" hidden="false" outlineLevel="0" max="41" min="41" style="0" width="18.45"/>
    <col collapsed="false" customWidth="true" hidden="false" outlineLevel="0" max="43" min="42" style="6" width="18.45"/>
    <col collapsed="false" customWidth="true" hidden="false" outlineLevel="0" max="44" min="44" style="0" width="31.18"/>
    <col collapsed="false" customWidth="true" hidden="false" outlineLevel="0" max="45" min="45" style="0" width="17"/>
    <col collapsed="false" customWidth="true" hidden="false" outlineLevel="0" max="46" min="46" style="0" width="11.82"/>
    <col collapsed="false" customWidth="true" hidden="false" outlineLevel="0" max="47" min="47" style="0" width="13.18"/>
    <col collapsed="false" customWidth="true" hidden="false" outlineLevel="0" max="49" min="48" style="0" width="9.45"/>
    <col collapsed="false" customWidth="true" hidden="false" outlineLevel="0" max="50" min="50" style="0" width="12.45"/>
    <col collapsed="false" customWidth="true" hidden="false" outlineLevel="0" max="51" min="51" style="5" width="9.45"/>
    <col collapsed="false" customWidth="true" hidden="false" outlineLevel="0" max="52" min="52" style="0" width="18.73"/>
    <col collapsed="false" customWidth="true" hidden="false" outlineLevel="0" max="53" min="53" style="0" width="19.18"/>
    <col collapsed="false" customWidth="true" hidden="true" outlineLevel="0" max="54" min="54" style="7" width="15"/>
    <col collapsed="false" customWidth="true" hidden="true" outlineLevel="0" max="55" min="55" style="7" width="10"/>
    <col collapsed="false" customWidth="true" hidden="true" outlineLevel="0" max="56" min="56" style="7" width="9.18"/>
    <col collapsed="false" customWidth="true" hidden="true" outlineLevel="0" max="57" min="57" style="7" width="9.73"/>
    <col collapsed="false" customWidth="true" hidden="true" outlineLevel="0" max="58" min="58" style="7" width="12.45"/>
    <col collapsed="false" customWidth="true" hidden="true" outlineLevel="0" max="60" min="59" style="7" width="16"/>
    <col collapsed="false" customWidth="true" hidden="false" outlineLevel="0" max="61" min="61" style="7" width="8.82"/>
    <col collapsed="false" customWidth="true" hidden="false" outlineLevel="0" max="62" min="62" style="7" width="11"/>
    <col collapsed="false" customWidth="true" hidden="false" outlineLevel="0" max="64" min="63" style="8" width="11"/>
    <col collapsed="false" customWidth="true" hidden="false" outlineLevel="0" max="72" min="72" style="0" width="27.26"/>
    <col collapsed="false" customWidth="true" hidden="false" outlineLevel="0" max="73" min="73" style="0" width="31.18"/>
    <col collapsed="false" customWidth="true" hidden="false" outlineLevel="0" max="75" min="75" style="0" width="19.18"/>
    <col collapsed="false" customWidth="true" hidden="false" outlineLevel="0" max="76" min="76" style="0" width="12.73"/>
    <col collapsed="false" customWidth="true" hidden="false" outlineLevel="0" max="77" min="77" style="0" width="16.82"/>
    <col collapsed="false" customWidth="true" hidden="false" outlineLevel="0" max="78" min="78" style="0" width="15.54"/>
    <col collapsed="false" customWidth="true" hidden="false" outlineLevel="0" max="79" min="79" style="9" width="9.18"/>
    <col collapsed="false" customWidth="true" hidden="false" outlineLevel="0" max="80" min="80" style="0" width="15.73"/>
    <col collapsed="false" customWidth="true" hidden="false" outlineLevel="0" max="81" min="81" style="9" width="21.73"/>
    <col collapsed="false" customWidth="true" hidden="false" outlineLevel="0" max="83" min="82" style="9" width="26.27"/>
    <col collapsed="false" customWidth="true" hidden="false" outlineLevel="0" max="84" min="84" style="9" width="29"/>
    <col collapsed="false" customWidth="true" hidden="false" outlineLevel="0" max="85" min="85" style="9" width="38.45"/>
    <col collapsed="false" customWidth="true" hidden="false" outlineLevel="0" max="86" min="86" style="0" width="255.73"/>
    <col collapsed="false" customWidth="true" hidden="false" outlineLevel="0" max="87" min="87" style="0" width="13.27"/>
    <col collapsed="false" customWidth="true" hidden="false" outlineLevel="0" max="88" min="88" style="0" width="16.73"/>
  </cols>
  <sheetData>
    <row r="1" s="10" customFormat="true" ht="14.25" hidden="false" customHeight="false" outlineLevel="0" collapsed="false">
      <c r="A1" s="10" t="s">
        <v>0</v>
      </c>
      <c r="B1" s="10" t="s">
        <v>1</v>
      </c>
      <c r="C1" s="10" t="s">
        <v>2</v>
      </c>
      <c r="D1" s="10" t="s">
        <v>3</v>
      </c>
      <c r="E1" s="10" t="s">
        <v>4</v>
      </c>
      <c r="F1" s="10" t="s">
        <v>5</v>
      </c>
      <c r="G1" s="10" t="s">
        <v>6</v>
      </c>
      <c r="H1" s="10" t="s">
        <v>7</v>
      </c>
      <c r="I1" s="10" t="s">
        <v>8</v>
      </c>
      <c r="J1" s="10" t="s">
        <v>9</v>
      </c>
      <c r="K1" s="10" t="s">
        <v>10</v>
      </c>
      <c r="L1" s="10" t="s">
        <v>11</v>
      </c>
      <c r="M1" s="10" t="s">
        <v>12</v>
      </c>
      <c r="N1" s="10" t="s">
        <v>13</v>
      </c>
      <c r="O1" s="11" t="s">
        <v>14</v>
      </c>
      <c r="P1" s="12" t="s">
        <v>15</v>
      </c>
      <c r="Q1" s="12" t="s">
        <v>16</v>
      </c>
      <c r="R1" s="12" t="s">
        <v>17</v>
      </c>
      <c r="S1" s="12" t="s">
        <v>18</v>
      </c>
      <c r="T1" s="12" t="s">
        <v>19</v>
      </c>
      <c r="U1" s="12" t="s">
        <v>20</v>
      </c>
      <c r="V1" s="12" t="s">
        <v>21</v>
      </c>
      <c r="W1" s="10" t="s">
        <v>22</v>
      </c>
      <c r="X1" s="11" t="s">
        <v>23</v>
      </c>
      <c r="Y1" s="10" t="s">
        <v>24</v>
      </c>
      <c r="Z1" s="10" t="s">
        <v>25</v>
      </c>
      <c r="AA1" s="13" t="s">
        <v>26</v>
      </c>
      <c r="AB1" s="10" t="s">
        <v>27</v>
      </c>
      <c r="AC1" s="10" t="s">
        <v>28</v>
      </c>
      <c r="AD1" s="10" t="s">
        <v>29</v>
      </c>
      <c r="AE1" s="10" t="s">
        <v>30</v>
      </c>
      <c r="AF1" s="10" t="s">
        <v>31</v>
      </c>
      <c r="AG1" s="10" t="s">
        <v>32</v>
      </c>
      <c r="AH1" s="10" t="s">
        <v>33</v>
      </c>
      <c r="AI1" s="10" t="s">
        <v>34</v>
      </c>
      <c r="AJ1" s="14" t="s">
        <v>35</v>
      </c>
      <c r="AK1" s="15" t="s">
        <v>36</v>
      </c>
      <c r="AL1" s="15" t="s">
        <v>37</v>
      </c>
      <c r="AM1" s="10" t="s">
        <v>38</v>
      </c>
      <c r="AN1" s="15" t="s">
        <v>39</v>
      </c>
      <c r="AO1" s="10" t="s">
        <v>40</v>
      </c>
      <c r="AP1" s="16" t="s">
        <v>41</v>
      </c>
      <c r="AQ1" s="16" t="s">
        <v>42</v>
      </c>
      <c r="AR1" s="10" t="s">
        <v>43</v>
      </c>
      <c r="AS1" s="10" t="s">
        <v>44</v>
      </c>
      <c r="AT1" s="10" t="s">
        <v>45</v>
      </c>
      <c r="AU1" s="10" t="s">
        <v>46</v>
      </c>
      <c r="AV1" s="10" t="s">
        <v>47</v>
      </c>
      <c r="AW1" s="10" t="s">
        <v>48</v>
      </c>
      <c r="AX1" s="10" t="s">
        <v>49</v>
      </c>
      <c r="AY1" s="15" t="s">
        <v>50</v>
      </c>
      <c r="AZ1" s="10" t="s">
        <v>51</v>
      </c>
      <c r="BA1" s="10" t="s">
        <v>52</v>
      </c>
      <c r="BB1" s="17" t="s">
        <v>53</v>
      </c>
      <c r="BC1" s="17" t="s">
        <v>54</v>
      </c>
      <c r="BD1" s="17" t="s">
        <v>55</v>
      </c>
      <c r="BE1" s="17" t="s">
        <v>56</v>
      </c>
      <c r="BF1" s="17" t="s">
        <v>57</v>
      </c>
      <c r="BG1" s="17" t="s">
        <v>58</v>
      </c>
      <c r="BH1" s="17" t="s">
        <v>59</v>
      </c>
      <c r="BI1" s="17" t="s">
        <v>60</v>
      </c>
      <c r="BJ1" s="17" t="s">
        <v>61</v>
      </c>
      <c r="BK1" s="18" t="s">
        <v>62</v>
      </c>
      <c r="BL1" s="18" t="s">
        <v>63</v>
      </c>
      <c r="BM1" s="10" t="s">
        <v>64</v>
      </c>
      <c r="BN1" s="10" t="s">
        <v>65</v>
      </c>
      <c r="BO1" s="10" t="s">
        <v>66</v>
      </c>
      <c r="BP1" s="19" t="s">
        <v>67</v>
      </c>
      <c r="BQ1" s="10" t="s">
        <v>68</v>
      </c>
      <c r="BR1" s="10" t="s">
        <v>69</v>
      </c>
      <c r="BS1" s="10" t="s">
        <v>70</v>
      </c>
      <c r="BT1" s="10" t="s">
        <v>71</v>
      </c>
      <c r="BU1" s="10" t="s">
        <v>72</v>
      </c>
      <c r="BV1" s="10" t="s">
        <v>73</v>
      </c>
      <c r="BW1" s="10" t="s">
        <v>74</v>
      </c>
      <c r="BX1" s="10" t="s">
        <v>75</v>
      </c>
      <c r="BY1" s="10" t="s">
        <v>76</v>
      </c>
      <c r="BZ1" s="10" t="s">
        <v>77</v>
      </c>
      <c r="CA1" s="20" t="s">
        <v>78</v>
      </c>
      <c r="CB1" s="10" t="s">
        <v>79</v>
      </c>
      <c r="CC1" s="20" t="s">
        <v>80</v>
      </c>
      <c r="CD1" s="20" t="s">
        <v>81</v>
      </c>
      <c r="CE1" s="20" t="s">
        <v>82</v>
      </c>
      <c r="CF1" s="20" t="s">
        <v>83</v>
      </c>
      <c r="CG1" s="20" t="s">
        <v>84</v>
      </c>
      <c r="CH1" s="10" t="s">
        <v>85</v>
      </c>
      <c r="CI1" s="10" t="s">
        <v>86</v>
      </c>
      <c r="CJ1" s="10" t="s">
        <v>87</v>
      </c>
      <c r="CK1" s="10" t="s">
        <v>88</v>
      </c>
      <c r="CL1" s="10" t="s">
        <v>89</v>
      </c>
    </row>
    <row r="2" customFormat="false" ht="13.5" hidden="false" customHeight="true" outlineLevel="0" collapsed="false">
      <c r="A2" s="0" t="s">
        <v>90</v>
      </c>
      <c r="B2" s="0" t="s">
        <v>91</v>
      </c>
      <c r="C2" s="0" t="n">
        <v>-1</v>
      </c>
      <c r="E2" s="0" t="n">
        <v>-1</v>
      </c>
      <c r="G2" s="0" t="s">
        <v>38</v>
      </c>
      <c r="H2" s="0" t="s">
        <v>38</v>
      </c>
      <c r="I2" s="0" t="s">
        <v>92</v>
      </c>
      <c r="J2" s="0" t="n">
        <v>1804</v>
      </c>
      <c r="W2" s="0" t="n">
        <v>2</v>
      </c>
      <c r="AA2" s="3" t="str">
        <f aca="false">IF(AND(W2&gt;0,Z2&gt;0),(Z2/((W2+X2)*10)),"")</f>
        <v/>
      </c>
      <c r="AF2" s="0" t="n">
        <v>7.5</v>
      </c>
      <c r="AG2" s="0" t="n">
        <v>5</v>
      </c>
      <c r="AJ2" s="4" t="n">
        <v>0</v>
      </c>
      <c r="AK2" s="5" t="str">
        <f aca="false">CONCATENATE(VLOOKUP(AL2, 'Voxel Sizes'!$A$2:$B$18,2,FALSE()),"x",INT(AH2*15), "x", INT(AI2*15))</f>
        <v>51x0x0</v>
      </c>
      <c r="AL2" s="5" t="n">
        <f aca="false">ROUND(15*((AG2*10)/256),0)</f>
        <v>3</v>
      </c>
      <c r="AN2" s="5" t="str">
        <f aca="false">CONCATENATE(VLOOKUP(AL2,Constants!$A$2:$C$16,IF(AM2&lt;&gt;"", 3, 2), FALSE()),IF(AM2&lt;&gt;"",CONCATENATE(",",VLOOKUP(AM2,$B:$AN,39,FALSE())),""))</f>
        <v>1,1,1</v>
      </c>
      <c r="AX2" s="0" t="n">
        <v>30</v>
      </c>
      <c r="AY2" s="5" t="str">
        <f aca="false">IF(L2&lt;&gt;"",MAX(16,(L2-J2)+8),"")</f>
        <v/>
      </c>
      <c r="BB2" s="7" t="n">
        <f aca="false">MIN(AB2/150, 1)*30</f>
        <v>0</v>
      </c>
      <c r="BC2" s="7" t="n">
        <f aca="false">MIN(N2/4000, 1)*20</f>
        <v>0</v>
      </c>
      <c r="BD2" s="7" t="n">
        <f aca="false">MIN(Z2/400,1)*20</f>
        <v>0</v>
      </c>
      <c r="BE2" s="21" t="n">
        <f aca="false">1-(MAX(J2-1900, 0)/750)</f>
        <v>1</v>
      </c>
      <c r="BF2" s="7" t="n">
        <f aca="false">((MAX($M2,1)*MIN($AJ2/300,1)))*IF(G2="Wagon",50,10)</f>
        <v>0</v>
      </c>
      <c r="BG2" s="7" t="n">
        <f aca="false">VLOOKUP($H2,Constants!$I:$K, 2, FALSE())</f>
        <v>0</v>
      </c>
      <c r="BH2" s="7" t="n">
        <f aca="false">VLOOKUP($H2,Constants!$I:$K, 3, FALSE())*IF(AND(G2="multiple_unit",AB2&lt;110),0.75,1)</f>
        <v>0</v>
      </c>
      <c r="BI2" s="7" t="n">
        <f aca="false">INT(POWER(((Constants!$G$2+$BB2+$BC2+$BD2+$BF2)*$BE2)*$BH2, 1.05))+$BA2</f>
        <v>0</v>
      </c>
      <c r="BJ2" s="7" t="n">
        <f aca="false">INT(POWER((((Constants!$G$1+$BB2+$BC2+$BD2+$BF2)*($BE2))*$BG2),IF($G2="wagon",1,1.2)))+$AZ2</f>
        <v>0</v>
      </c>
      <c r="BK2" s="22" t="n">
        <f aca="false">BI2*IF($G2="wagon",62.5,781.25)</f>
        <v>0</v>
      </c>
      <c r="BL2" s="22" t="n">
        <f aca="false">BJ2*IF($G2="wagon",2.73,81.25)</f>
        <v>0</v>
      </c>
      <c r="CA2" s="9" t="str">
        <f aca="false">VLOOKUP(J2,Eras!$A$2:$C$10, 2, TRUE())</f>
        <v>early</v>
      </c>
      <c r="CB2" s="0" t="s">
        <v>93</v>
      </c>
      <c r="CC2" s="9" t="str">
        <f aca="false">CONCATENATE(CA2,"_",CB2)</f>
        <v>early_Mixed Traffic</v>
      </c>
      <c r="CD2" s="9" t="str">
        <f aca="false">_xlfn.CONCAT(H2, "_",I2)</f>
        <v>tender_RAIL</v>
      </c>
      <c r="CE2" s="23" t="str">
        <f aca="false" t="array" ref="CE2:CE2">IF(AN2&lt;&gt;"na", _xlfn.CONCAT("{BLACK}Length: {GOLD}", TEXT(ROUNDUP(IF(AQ2&lt;&gt;"",SUM(VALUE(_xlfn.TEXTSPLIT(AQ2, ","))), SUM(VALUE(_xlfn.TEXTSPLIT(AN2, ",")))*IF(M2, M2, 1))/16, 1),"#,##0.0"), " tiles{}"), "")</f>
        <v>{BLACK}Length: {GOLD}0.2 tiles{}</v>
      </c>
      <c r="CF2" s="9" t="str">
        <f aca="false">VLOOKUP($CD2, Constants!$M:$N, 2, FALSE())</f>
        <v/>
      </c>
      <c r="CG2" s="9" t="str">
        <f aca="false">IF(AND(L2&gt;1,BN2&lt;&gt;1),_xlfn.CONCAT("{BLACK}Cars: {GOLD}", L2),"")</f>
        <v/>
      </c>
      <c r="CI2" s="0" t="str">
        <f aca="false">IF($BU2="!param_no_gameplay_units","{GREEN}Included for gameplay purposes","")</f>
        <v/>
      </c>
      <c r="CJ2" s="0" t="str">
        <f aca="false">IF(BX2="buffet","{YELLOW}25% long distance bonus for consist{}",IF(BY2="DANDY","{YELLOW}Faster downhill speeds for horse-drawn trains (1 required per 2 horses){}",IF(BY2="BRAKE","{YELLOW}Speed bonus for slow wagons{}",IF(BY2="NGPassengers","{YELLOW}Preserved railway bonus: passengers pay more when hauled by old locomotives{}",IF(AND(BW2&gt;190,NOT(AND(I2="NARROW_GAUGE",BY2&lt;&gt;"PASS"))),CONCATENATE("{YELLOW}",INT((BW2-185)/1.85),"% bonus for long distance travel{}"),IF(AND(BW2&lt;180,BW2&lt;&gt;0),CONCATENATE("{YELLOW}",INT((185-BW2)/1.85),"% penalty for long distance travel{}"),""))))))</f>
        <v/>
      </c>
      <c r="CK2" s="0" t="str">
        <f aca="false">_xlfn.CONCAT(CF2,IF(CF2&lt;&gt;""," ",""),CG2,IF(OR(CG2&lt;&gt;"",CF2&lt;&gt;""),"{}",""),CE2,CJ2,"{SILVER}",CH2,IF(CI2&lt;&gt;"","{}{}",""),CI2)</f>
        <v>{BLACK}Length: {GOLD}0.2 tiles{}{SILVER}</v>
      </c>
    </row>
    <row r="3" customFormat="false" ht="13.5" hidden="false" customHeight="true" outlineLevel="0" collapsed="false">
      <c r="A3" s="0" t="s">
        <v>94</v>
      </c>
      <c r="B3" s="0" t="s">
        <v>95</v>
      </c>
      <c r="C3" s="0" t="n">
        <v>-1</v>
      </c>
      <c r="E3" s="0" t="n">
        <v>-1</v>
      </c>
      <c r="G3" s="0" t="s">
        <v>38</v>
      </c>
      <c r="H3" s="0" t="s">
        <v>38</v>
      </c>
      <c r="I3" s="0" t="s">
        <v>92</v>
      </c>
      <c r="J3" s="0" t="n">
        <v>1870</v>
      </c>
      <c r="W3" s="0" t="n">
        <v>20</v>
      </c>
      <c r="AA3" s="3" t="str">
        <f aca="false">IF(AND(W3&gt;0,Z3&gt;0),(Z3/((W3+X3)*10)),"")</f>
        <v/>
      </c>
      <c r="AF3" s="0" t="n">
        <v>7.5</v>
      </c>
      <c r="AG3" s="0" t="n">
        <v>8</v>
      </c>
      <c r="AJ3" s="4" t="n">
        <v>0</v>
      </c>
      <c r="AK3" s="5" t="str">
        <f aca="false">CONCATENATE(VLOOKUP(AL3, 'Voxel Sizes'!$A$2:$B$18,2,FALSE()),"x",INT(AH3*15), "x", INT(AI3*15))</f>
        <v>82x0x0</v>
      </c>
      <c r="AL3" s="5" t="n">
        <f aca="false">ROUND(15*((AG3*10)/256),0)</f>
        <v>5</v>
      </c>
      <c r="AN3" s="5" t="str">
        <f aca="false">CONCATENATE(VLOOKUP(AL3,Constants!$A$2:$C$16,IF(AM3&lt;&gt;"", 3, 2), FALSE()),IF(AM3&lt;&gt;"",CONCATENATE(",",VLOOKUP(AM3,$B:$AN,39,FALSE())),""))</f>
        <v>2,1,2</v>
      </c>
      <c r="AX3" s="0" t="n">
        <v>30</v>
      </c>
      <c r="AY3" s="5" t="str">
        <f aca="false">IF(L3&lt;&gt;"",MAX(16,(L3-J3)+8),"")</f>
        <v/>
      </c>
      <c r="BB3" s="7" t="n">
        <f aca="false">MIN(AB3/150, 1)*30</f>
        <v>0</v>
      </c>
      <c r="BC3" s="7" t="n">
        <f aca="false">MIN(N3/4000, 1)*20</f>
        <v>0</v>
      </c>
      <c r="BD3" s="7" t="n">
        <f aca="false">MIN(Z3/400,1)*20</f>
        <v>0</v>
      </c>
      <c r="BE3" s="21" t="n">
        <f aca="false">1-(MAX(J3-1900, 0)/750)</f>
        <v>1</v>
      </c>
      <c r="BF3" s="7" t="n">
        <f aca="false">((MAX($M3,1)*MIN($AJ3/300,1)))*IF(G3="Wagon",50,10)</f>
        <v>0</v>
      </c>
      <c r="BG3" s="7" t="n">
        <f aca="false">VLOOKUP($H3,Constants!$I:$K, 2, FALSE())</f>
        <v>0</v>
      </c>
      <c r="BH3" s="7" t="n">
        <f aca="false">VLOOKUP($H3,Constants!$I:$K, 3, FALSE())*IF(AND(G3="multiple_unit",AB3&lt;110),0.75,1)</f>
        <v>0</v>
      </c>
      <c r="BI3" s="7" t="n">
        <f aca="false">INT(POWER(((Constants!$G$2+$BB3+$BC3+$BD3+$BF3)*$BE3)*$BH3, 1.05))+$BA3</f>
        <v>0</v>
      </c>
      <c r="BJ3" s="7" t="n">
        <f aca="false">INT(POWER((((Constants!$G$1+$BB3+$BC3+$BD3+$BF3)*($BE3))*$BG3),IF($G3="wagon",1,1.2)))+$AZ3</f>
        <v>0</v>
      </c>
      <c r="BK3" s="22" t="n">
        <f aca="false">BI3*IF($G3="wagon",62.5,781.25)</f>
        <v>0</v>
      </c>
      <c r="BL3" s="22" t="n">
        <f aca="false">BJ3*IF($G3="wagon",2.73,81.25)</f>
        <v>0</v>
      </c>
      <c r="CA3" s="9" t="str">
        <f aca="false">VLOOKUP(J3,Eras!$A$2:$C$10, 2, TRUE())</f>
        <v>vct</v>
      </c>
      <c r="CB3" s="0" t="s">
        <v>93</v>
      </c>
      <c r="CC3" s="9" t="str">
        <f aca="false">CONCATENATE(CA3,"_",CB3)</f>
        <v>vct_Mixed Traffic</v>
      </c>
      <c r="CD3" s="9" t="str">
        <f aca="false">_xlfn.CONCAT(H3, "_",I3)</f>
        <v>tender_RAIL</v>
      </c>
      <c r="CE3" s="23" t="str">
        <f aca="false" t="array" ref="CE3:CE3">IF(AN3&lt;&gt;"na", _xlfn.CONCAT("{BLACK}Length: {GOLD}", TEXT(ROUNDUP(IF(AQ3&lt;&gt;"",SUM(VALUE(_xlfn.TEXTSPLIT(AQ3, ","))), SUM(VALUE(_xlfn.TEXTSPLIT(AN3, ",")))*IF(M3, M3, 1))/16, 1),"#,##0.0"), " tiles{}"), "")</f>
        <v>{BLACK}Length: {GOLD}0.4 tiles{}</v>
      </c>
      <c r="CF3" s="9" t="str">
        <f aca="false">VLOOKUP($CD3, Constants!$M:$N, 2, FALSE())</f>
        <v/>
      </c>
      <c r="CG3" s="9" t="str">
        <f aca="false">IF(AND(L3&gt;1,BN3&lt;&gt;1),_xlfn.CONCAT("{BLACK}Cars: {GOLD}", L3),"")</f>
        <v/>
      </c>
      <c r="CI3" s="0" t="str">
        <f aca="false">IF($BU3="!param_no_gameplay_units","{GREEN}Included for gameplay purposes","")</f>
        <v/>
      </c>
      <c r="CJ3" s="0" t="str">
        <f aca="false">IF(BX3="buffet","{YELLOW}25% long distance bonus for consist{}",IF(BY3="DANDY","{YELLOW}Faster downhill speeds for horse-drawn trains (1 required per 2 horses){}",IF(BY3="BRAKE","{YELLOW}Speed bonus for slow wagons{}",IF(BY3="NGPassengers","{YELLOW}Preserved railway bonus: passengers pay more when hauled by old locomotives{}",IF(AND(BW3&gt;190,NOT(AND(I3="NARROW_GAUGE",BY3&lt;&gt;"PASS"))),CONCATENATE("{YELLOW}",INT((BW3-185)/1.85),"% bonus for long distance travel{}"),IF(AND(BW3&lt;180,BW3&lt;&gt;0),CONCATENATE("{YELLOW}",INT((185-BW3)/1.85),"% penalty for long distance travel{}"),""))))))</f>
        <v/>
      </c>
      <c r="CK3" s="0" t="str">
        <f aca="false">_xlfn.CONCAT(CF3,IF(CF3&lt;&gt;""," ",""),CG3,IF(OR(CG3&lt;&gt;"",CF3&lt;&gt;""),"{}",""),CE3,CJ3,"{SILVER}",CH3,IF(CI3&lt;&gt;"","{}{}",""),CI3)</f>
        <v>{BLACK}Length: {GOLD}0.4 tiles{}{SILVER}</v>
      </c>
    </row>
    <row r="4" customFormat="false" ht="13.5" hidden="false" customHeight="true" outlineLevel="0" collapsed="false">
      <c r="A4" s="0" t="s">
        <v>96</v>
      </c>
      <c r="B4" s="0" t="s">
        <v>97</v>
      </c>
      <c r="C4" s="0" t="n">
        <v>-1</v>
      </c>
      <c r="E4" s="0" t="n">
        <v>-1</v>
      </c>
      <c r="G4" s="0" t="s">
        <v>38</v>
      </c>
      <c r="H4" s="0" t="s">
        <v>38</v>
      </c>
      <c r="I4" s="0" t="s">
        <v>92</v>
      </c>
      <c r="J4" s="0" t="n">
        <v>1874</v>
      </c>
      <c r="W4" s="0" t="n">
        <v>20</v>
      </c>
      <c r="AA4" s="3" t="str">
        <f aca="false">IF(AND(W4&gt;0,Z4&gt;0),(Z4/((W4+X4)*10)),"")</f>
        <v/>
      </c>
      <c r="AF4" s="0" t="n">
        <v>7.5</v>
      </c>
      <c r="AG4" s="0" t="n">
        <v>8</v>
      </c>
      <c r="AJ4" s="4" t="n">
        <v>0</v>
      </c>
      <c r="AK4" s="5" t="str">
        <f aca="false">CONCATENATE(VLOOKUP(AL4, 'Voxel Sizes'!$A$2:$B$18,2,FALSE()),"x",INT(AH4*15), "x", INT(AI4*15))</f>
        <v>82x0x0</v>
      </c>
      <c r="AL4" s="5" t="n">
        <f aca="false">ROUND(15*((AG4*10)/256),0)</f>
        <v>5</v>
      </c>
      <c r="AN4" s="5" t="str">
        <f aca="false">CONCATENATE(VLOOKUP(AL4,Constants!$A$2:$C$16,IF(AM4&lt;&gt;"", 3, 2), FALSE()),IF(AM4&lt;&gt;"",CONCATENATE(",",VLOOKUP(AM4,$B:$AN,39,FALSE())),""))</f>
        <v>2,1,2</v>
      </c>
      <c r="AX4" s="0" t="n">
        <v>30</v>
      </c>
      <c r="AY4" s="5" t="str">
        <f aca="false">IF(L4&lt;&gt;"",MAX(16,(L4-J4)+8),"")</f>
        <v/>
      </c>
      <c r="BB4" s="7" t="n">
        <f aca="false">MIN(AB4/150, 1)*30</f>
        <v>0</v>
      </c>
      <c r="BC4" s="7" t="n">
        <f aca="false">MIN(N4/4000, 1)*20</f>
        <v>0</v>
      </c>
      <c r="BD4" s="7" t="n">
        <f aca="false">MIN(Z4/400,1)*20</f>
        <v>0</v>
      </c>
      <c r="BE4" s="21" t="n">
        <f aca="false">1-(MAX(J4-1900, 0)/750)</f>
        <v>1</v>
      </c>
      <c r="BF4" s="7" t="n">
        <f aca="false">((MAX($M4,1)*MIN($AJ4/300,1)))*IF(G4="Wagon",50,10)</f>
        <v>0</v>
      </c>
      <c r="BG4" s="7" t="n">
        <f aca="false">VLOOKUP($H4,Constants!$I:$K, 2, FALSE())</f>
        <v>0</v>
      </c>
      <c r="BH4" s="7" t="n">
        <f aca="false">VLOOKUP($H4,Constants!$I:$K, 3, FALSE())*IF(AND(G4="multiple_unit",AB4&lt;110),0.75,1)</f>
        <v>0</v>
      </c>
      <c r="BI4" s="7" t="n">
        <f aca="false">INT(POWER(((Constants!$G$2+$BB4+$BC4+$BD4+$BF4)*$BE4)*$BH4, 1.05))+$BA4</f>
        <v>0</v>
      </c>
      <c r="BJ4" s="7" t="n">
        <f aca="false">INT(POWER((((Constants!$G$1+$BB4+$BC4+$BD4+$BF4)*($BE4))*$BG4),IF($G4="wagon",1,1.2)))+$AZ4</f>
        <v>0</v>
      </c>
      <c r="BK4" s="22" t="n">
        <f aca="false">BI4*IF($G4="wagon",62.5,781.25)</f>
        <v>0</v>
      </c>
      <c r="BL4" s="22" t="n">
        <f aca="false">BJ4*IF($G4="wagon",2.73,81.25)</f>
        <v>0</v>
      </c>
      <c r="CA4" s="9" t="str">
        <f aca="false">VLOOKUP(J4,Eras!$A$2:$C$10, 2, TRUE())</f>
        <v>vct</v>
      </c>
      <c r="CB4" s="0" t="s">
        <v>93</v>
      </c>
      <c r="CC4" s="9" t="str">
        <f aca="false">CONCATENATE(CA4,"_",CB4)</f>
        <v>vct_Mixed Traffic</v>
      </c>
      <c r="CD4" s="9" t="str">
        <f aca="false">_xlfn.CONCAT(H4, "_",I4)</f>
        <v>tender_RAIL</v>
      </c>
      <c r="CE4" s="23" t="str">
        <f aca="false" t="array" ref="CE4:CE4">IF(AN4&lt;&gt;"na", _xlfn.CONCAT("{BLACK}Length: {GOLD}", TEXT(ROUNDUP(IF(AQ4&lt;&gt;"",SUM(VALUE(_xlfn.TEXTSPLIT(AQ4, ","))), SUM(VALUE(_xlfn.TEXTSPLIT(AN4, ",")))*IF(M4, M4, 1))/16, 1),"#,##0.0"), " tiles{}"), "")</f>
        <v>{BLACK}Length: {GOLD}0.4 tiles{}</v>
      </c>
      <c r="CF4" s="9" t="str">
        <f aca="false">VLOOKUP($CD4, Constants!$M:$N, 2, FALSE())</f>
        <v/>
      </c>
      <c r="CG4" s="9" t="str">
        <f aca="false">IF(AND(L4&gt;1,BN4&lt;&gt;1),_xlfn.CONCAT("{BLACK}Cars: {GOLD}", L4),"")</f>
        <v/>
      </c>
      <c r="CI4" s="0" t="str">
        <f aca="false">IF($BU4="!param_no_gameplay_units","{GREEN}Included for gameplay purposes","")</f>
        <v/>
      </c>
      <c r="CJ4" s="0" t="str">
        <f aca="false">IF(BX4="buffet","{YELLOW}25% long distance bonus for consist{}",IF(BY4="DANDY","{YELLOW}Faster downhill speeds for horse-drawn trains (1 required per 2 horses){}",IF(BY4="BRAKE","{YELLOW}Speed bonus for slow wagons{}",IF(BY4="NGPassengers","{YELLOW}Preserved railway bonus: passengers pay more when hauled by old locomotives{}",IF(AND(BW4&gt;190,NOT(AND(I4="NARROW_GAUGE",BY4&lt;&gt;"PASS"))),CONCATENATE("{YELLOW}",INT((BW4-185)/1.85),"% bonus for long distance travel{}"),IF(AND(BW4&lt;180,BW4&lt;&gt;0),CONCATENATE("{YELLOW}",INT((185-BW4)/1.85),"% penalty for long distance travel{}"),""))))))</f>
        <v/>
      </c>
      <c r="CK4" s="0" t="str">
        <f aca="false">_xlfn.CONCAT(CF4,IF(CF4&lt;&gt;""," ",""),CG4,IF(OR(CG4&lt;&gt;"",CF4&lt;&gt;""),"{}",""),CE4,CJ4,"{SILVER}",CH4,IF(CI4&lt;&gt;"","{}{}",""),CI4)</f>
        <v>{BLACK}Length: {GOLD}0.4 tiles{}{SILVER}</v>
      </c>
    </row>
    <row r="5" customFormat="false" ht="13.5" hidden="false" customHeight="true" outlineLevel="0" collapsed="false">
      <c r="A5" s="0" t="s">
        <v>98</v>
      </c>
      <c r="B5" s="0" t="s">
        <v>99</v>
      </c>
      <c r="C5" s="0" t="n">
        <v>-1</v>
      </c>
      <c r="E5" s="0" t="n">
        <v>-1</v>
      </c>
      <c r="G5" s="0" t="s">
        <v>38</v>
      </c>
      <c r="H5" s="0" t="s">
        <v>38</v>
      </c>
      <c r="I5" s="0" t="s">
        <v>92</v>
      </c>
      <c r="J5" s="0" t="n">
        <v>1863</v>
      </c>
      <c r="W5" s="0" t="n">
        <v>4</v>
      </c>
      <c r="AA5" s="3" t="str">
        <f aca="false">IF(AND(W5&gt;0,Z5&gt;0),(Z5/((W5+X5)*10)),"")</f>
        <v/>
      </c>
      <c r="AF5" s="0" t="n">
        <v>7.5</v>
      </c>
      <c r="AG5" s="0" t="n">
        <v>5</v>
      </c>
      <c r="AJ5" s="4" t="n">
        <v>0</v>
      </c>
      <c r="AK5" s="5" t="str">
        <f aca="false">CONCATENATE(VLOOKUP(AL5, 'Voxel Sizes'!$A$2:$B$18,2,FALSE()),"x",INT(AH5*15), "x", INT(AI5*15))</f>
        <v>51x0x0</v>
      </c>
      <c r="AL5" s="5" t="n">
        <f aca="false">ROUND(15*((AG5*10)/256),0)</f>
        <v>3</v>
      </c>
      <c r="AN5" s="5" t="str">
        <f aca="false">CONCATENATE(VLOOKUP(AL5,Constants!$A$2:$C$16,IF(AM5&lt;&gt;"", 3, 2), FALSE()),IF(AM5&lt;&gt;"",CONCATENATE(",",VLOOKUP(AM5,$B:$AN,39,FALSE())),""))</f>
        <v>1,1,1</v>
      </c>
      <c r="AX5" s="0" t="n">
        <v>30</v>
      </c>
      <c r="AY5" s="5" t="str">
        <f aca="false">IF(L5&lt;&gt;"",MAX(16,(L5-J5)+8),"")</f>
        <v/>
      </c>
      <c r="BB5" s="7" t="n">
        <f aca="false">MIN(AB5/150, 1)*30</f>
        <v>0</v>
      </c>
      <c r="BC5" s="7" t="n">
        <f aca="false">MIN(N5/4000, 1)*20</f>
        <v>0</v>
      </c>
      <c r="BD5" s="7" t="n">
        <f aca="false">MIN(Z5/400,1)*20</f>
        <v>0</v>
      </c>
      <c r="BE5" s="21" t="n">
        <f aca="false">1-(MAX(J5-1900, 0)/750)</f>
        <v>1</v>
      </c>
      <c r="BF5" s="7" t="n">
        <f aca="false">((MAX($M5,1)*MIN($AJ5/300,1)))*IF(G5="Wagon",50,10)</f>
        <v>0</v>
      </c>
      <c r="BG5" s="7" t="n">
        <f aca="false">VLOOKUP($H5,Constants!$I:$K, 2, FALSE())</f>
        <v>0</v>
      </c>
      <c r="BH5" s="7" t="n">
        <f aca="false">VLOOKUP($H5,Constants!$I:$K, 3, FALSE())*IF(AND(G5="multiple_unit",AB5&lt;110),0.75,1)</f>
        <v>0</v>
      </c>
      <c r="BI5" s="7" t="n">
        <f aca="false">INT(POWER(((Constants!$G$2+$BB5+$BC5+$BD5+$BF5)*$BE5)*$BH5, 1.05))+$BA5</f>
        <v>0</v>
      </c>
      <c r="BJ5" s="7" t="n">
        <f aca="false">INT(POWER((((Constants!$G$1+$BB5+$BC5+$BD5+$BF5)*($BE5))*$BG5),IF($G5="wagon",1,1.2)))+$AZ5</f>
        <v>0</v>
      </c>
      <c r="BK5" s="22" t="n">
        <f aca="false">BI5*IF($G5="wagon",62.5,781.25)</f>
        <v>0</v>
      </c>
      <c r="BL5" s="22" t="n">
        <f aca="false">BJ5*IF($G5="wagon",2.73,81.25)</f>
        <v>0</v>
      </c>
      <c r="CA5" s="9" t="str">
        <f aca="false">VLOOKUP(J5,Eras!$A$2:$C$10, 2, TRUE())</f>
        <v>vct</v>
      </c>
      <c r="CB5" s="0" t="s">
        <v>93</v>
      </c>
      <c r="CC5" s="9" t="str">
        <f aca="false">CONCATENATE(CA5,"_",CB5)</f>
        <v>vct_Mixed Traffic</v>
      </c>
      <c r="CD5" s="9" t="str">
        <f aca="false">_xlfn.CONCAT(H5, "_",I5)</f>
        <v>tender_RAIL</v>
      </c>
      <c r="CE5" s="23" t="str">
        <f aca="false" t="array" ref="CE5:CE5">IF(AN5&lt;&gt;"na", _xlfn.CONCAT("{BLACK}Length: {GOLD}", TEXT(ROUNDUP(IF(AQ5&lt;&gt;"",SUM(VALUE(_xlfn.TEXTSPLIT(AQ5, ","))), SUM(VALUE(_xlfn.TEXTSPLIT(AN5, ",")))*IF(M5, M5, 1))/16, 1),"#,##0.0"), " tiles{}"), "")</f>
        <v>{BLACK}Length: {GOLD}0.2 tiles{}</v>
      </c>
      <c r="CF5" s="9" t="str">
        <f aca="false">VLOOKUP($CD5, Constants!$M:$N, 2, FALSE())</f>
        <v/>
      </c>
      <c r="CG5" s="9" t="str">
        <f aca="false">IF(AND(L5&gt;1,BN5&lt;&gt;1),_xlfn.CONCAT("{BLACK}Cars: {GOLD}", L5),"")</f>
        <v/>
      </c>
      <c r="CI5" s="0" t="str">
        <f aca="false">IF($BU5="!param_no_gameplay_units","{GREEN}Included for gameplay purposes","")</f>
        <v/>
      </c>
      <c r="CJ5" s="0" t="str">
        <f aca="false">IF(BX5="buffet","{YELLOW}25% long distance bonus for consist{}",IF(BY5="DANDY","{YELLOW}Faster downhill speeds for horse-drawn trains (1 required per 2 horses){}",IF(BY5="BRAKE","{YELLOW}Speed bonus for slow wagons{}",IF(BY5="NGPassengers","{YELLOW}Preserved railway bonus: passengers pay more when hauled by old locomotives{}",IF(AND(BW5&gt;190,NOT(AND(I5="NARROW_GAUGE",BY5&lt;&gt;"PASS"))),CONCATENATE("{YELLOW}",INT((BW5-185)/1.85),"% bonus for long distance travel{}"),IF(AND(BW5&lt;180,BW5&lt;&gt;0),CONCATENATE("{YELLOW}",INT((185-BW5)/1.85),"% penalty for long distance travel{}"),""))))))</f>
        <v/>
      </c>
      <c r="CK5" s="0" t="str">
        <f aca="false">_xlfn.CONCAT(CF5,IF(CF5&lt;&gt;""," ",""),CG5,IF(OR(CG5&lt;&gt;"",CF5&lt;&gt;""),"{}",""),CE5,CJ5,"{SILVER}",CH5,IF(CI5&lt;&gt;"","{}{}",""),CI5)</f>
        <v>{BLACK}Length: {GOLD}0.2 tiles{}{SILVER}</v>
      </c>
    </row>
    <row r="6" customFormat="false" ht="14.25" hidden="false" customHeight="false" outlineLevel="0" collapsed="false">
      <c r="A6" s="0" t="s">
        <v>100</v>
      </c>
      <c r="B6" s="0" t="s">
        <v>101</v>
      </c>
      <c r="C6" s="0" t="n">
        <v>-1</v>
      </c>
      <c r="E6" s="0" t="n">
        <v>-1</v>
      </c>
      <c r="G6" s="0" t="s">
        <v>38</v>
      </c>
      <c r="H6" s="0" t="s">
        <v>38</v>
      </c>
      <c r="I6" s="0" t="s">
        <v>92</v>
      </c>
      <c r="J6" s="0" t="n">
        <v>1840</v>
      </c>
      <c r="W6" s="0" t="n">
        <v>5</v>
      </c>
      <c r="AA6" s="3" t="str">
        <f aca="false">IF(AND(W6&gt;0,Z6&gt;0),(Z6/((W6+X6)*10)),"")</f>
        <v/>
      </c>
      <c r="AF6" s="0" t="n">
        <v>7.5</v>
      </c>
      <c r="AG6" s="0" t="n">
        <v>6</v>
      </c>
      <c r="AJ6" s="4" t="n">
        <v>0</v>
      </c>
      <c r="AK6" s="5" t="str">
        <f aca="false">CONCATENATE(VLOOKUP(AL6, 'Voxel Sizes'!$A$2:$B$18,2,FALSE()),"x",INT(AH6*15), "x", INT(AI6*15))</f>
        <v>66x0x0</v>
      </c>
      <c r="AL6" s="5" t="n">
        <f aca="false">ROUND(15*((AG6*10)/256),0)</f>
        <v>4</v>
      </c>
      <c r="AN6" s="5" t="str">
        <f aca="false">CONCATENATE(VLOOKUP(AL6,Constants!$A$2:$C$16,IF(AM6&lt;&gt;"", 3, 2), FALSE()),IF(AM6&lt;&gt;"",CONCATENATE(",",VLOOKUP(AM6,$B:$AN,39,FALSE())),""))</f>
        <v>1,2,1</v>
      </c>
      <c r="AX6" s="0" t="n">
        <v>30</v>
      </c>
      <c r="AY6" s="5" t="str">
        <f aca="false">IF(L6&lt;&gt;"",MAX(16,(L6-J6)+8),"")</f>
        <v/>
      </c>
      <c r="BB6" s="7" t="n">
        <f aca="false">MIN(AB6/150, 1)*30</f>
        <v>0</v>
      </c>
      <c r="BC6" s="7" t="n">
        <f aca="false">MIN(N6/4000, 1)*20</f>
        <v>0</v>
      </c>
      <c r="BD6" s="7" t="n">
        <f aca="false">MIN(Z6/400,1)*20</f>
        <v>0</v>
      </c>
      <c r="BE6" s="3" t="n">
        <f aca="false">1-(MAX(J6-1900, 0)/750)</f>
        <v>1</v>
      </c>
      <c r="BF6" s="7" t="n">
        <f aca="false">((MAX($M6,1)*MIN($AJ6/300,1)))*IF(G6="Wagon",50,10)</f>
        <v>0</v>
      </c>
      <c r="BG6" s="7" t="n">
        <v>0</v>
      </c>
      <c r="BH6" s="7" t="n">
        <v>0</v>
      </c>
      <c r="BI6" s="7" t="n">
        <v>0</v>
      </c>
      <c r="BJ6" s="7" t="n">
        <v>0</v>
      </c>
      <c r="BK6" s="24" t="n">
        <f aca="false">BI6*IF($G6="wagon",62.5,781.25)</f>
        <v>0</v>
      </c>
      <c r="BL6" s="24" t="n">
        <f aca="false">BJ6*IF($G6="wagon",2.73,81.25)</f>
        <v>0</v>
      </c>
      <c r="CA6" s="9" t="s">
        <v>102</v>
      </c>
      <c r="CC6" s="9" t="str">
        <f aca="false">CONCATENATE(CA6,"_",CB6)</f>
        <v>early_</v>
      </c>
      <c r="CD6" s="9" t="str">
        <f aca="false">_xlfn.CONCAT(H6, "_",I6)</f>
        <v>tender_RAIL</v>
      </c>
      <c r="CE6" s="23" t="str">
        <f aca="false" t="array" ref="CE6:CE6">IF(AN6&lt;&gt;"na", _xlfn.CONCAT("{BLACK}Length: {GOLD}", TEXT(ROUNDUP(IF(AQ6&lt;&gt;"",SUM(VALUE(_xlfn.TEXTSPLIT(AQ6, ","))), SUM(VALUE(_xlfn.TEXTSPLIT(AN6, ",")))*IF(M6, M6, 1))/16, 1),"#,##0.0"), " tiles{}"), "")</f>
        <v>{BLACK}Length: {GOLD}0.3 tiles{}</v>
      </c>
      <c r="CF6" s="9" t="str">
        <f aca="false">VLOOKUP($CD6, Constants!$M:$N, 2, FALSE())</f>
        <v/>
      </c>
      <c r="CG6" s="9" t="str">
        <f aca="false">IF(AND(L6&gt;1,BN6&lt;&gt;1),_xlfn.CONCAT("{BLACK}Cars: {GOLD}", L6),"")</f>
        <v/>
      </c>
      <c r="CI6" s="0" t="str">
        <f aca="false">IF($BU6="!param_no_gameplay_units","{GREEN}Included for gameplay purposes","")</f>
        <v/>
      </c>
      <c r="CJ6" s="0" t="str">
        <f aca="false">IF(BX6="buffet","{YELLOW}25% long distance bonus for consist{}",IF(BY6="DANDY","{YELLOW}Faster downhill speeds for horse-drawn trains (1 required per 2 horses){}",IF(BY6="BRAKE","{YELLOW}Speed bonus for slow wagons{}",IF(BY6="NGPassengers","{YELLOW}Preserved railway bonus: passengers pay more when hauled by old locomotives{}",IF(AND(BW6&gt;190,NOT(AND(I6="NARROW_GAUGE",BY6&lt;&gt;"PASS"))),CONCATENATE("{YELLOW}",INT((BW6-185)/1.85),"% bonus for long distance travel{}"),IF(AND(BW6&lt;180,BW6&lt;&gt;0),CONCATENATE("{YELLOW}",INT((185-BW6)/1.85),"% penalty for long distance travel{}"),""))))))</f>
        <v/>
      </c>
      <c r="CK6" s="0" t="str">
        <f aca="false">_xlfn.CONCAT(CF6,IF(CF6&lt;&gt;""," ",""),CG6,IF(OR(CG6&lt;&gt;"",CF6&lt;&gt;""),"{}",""),CE6,CJ6,"{SILVER}",CH6,IF(CI6&lt;&gt;"","{}{}",""),CI6)</f>
        <v>{BLACK}Length: {GOLD}0.3 tiles{}{SILVER}</v>
      </c>
    </row>
    <row r="7" customFormat="false" ht="14.25" hidden="false" customHeight="false" outlineLevel="0" collapsed="false">
      <c r="A7" s="0" t="s">
        <v>103</v>
      </c>
      <c r="B7" s="0" t="s">
        <v>104</v>
      </c>
      <c r="C7" s="0" t="n">
        <v>-1</v>
      </c>
      <c r="E7" s="0" t="n">
        <v>-1</v>
      </c>
      <c r="G7" s="0" t="s">
        <v>38</v>
      </c>
      <c r="H7" s="0" t="s">
        <v>38</v>
      </c>
      <c r="I7" s="0" t="s">
        <v>92</v>
      </c>
      <c r="J7" s="0" t="n">
        <v>1848</v>
      </c>
      <c r="W7" s="0" t="n">
        <v>20</v>
      </c>
      <c r="AA7" s="3" t="str">
        <f aca="false">IF(AND(W7&gt;0,Z7&gt;0),(Z7/((W7+X7)*10)),"")</f>
        <v/>
      </c>
      <c r="AF7" s="0" t="n">
        <v>7.5</v>
      </c>
      <c r="AG7" s="0" t="n">
        <v>6</v>
      </c>
      <c r="AJ7" s="4" t="n">
        <v>0</v>
      </c>
      <c r="AK7" s="5" t="str">
        <f aca="false">CONCATENATE(VLOOKUP(AL7, 'Voxel Sizes'!$A$2:$B$18,2,FALSE()),"x",INT(AH7*15), "x", INT(AI7*15))</f>
        <v>66x0x0</v>
      </c>
      <c r="AL7" s="5" t="n">
        <f aca="false">ROUND(15*((AG7*10)/256),0)</f>
        <v>4</v>
      </c>
      <c r="AN7" s="5" t="str">
        <f aca="false">CONCATENATE(VLOOKUP(AL7,Constants!$A$2:$C$16,IF(AM7&lt;&gt;"", 3, 2), FALSE()),IF(AM7&lt;&gt;"",CONCATENATE(",",VLOOKUP(AM7,$B:$AN,39,FALSE())),""))</f>
        <v>1,2,1</v>
      </c>
      <c r="AX7" s="0" t="n">
        <v>30</v>
      </c>
      <c r="AY7" s="5" t="str">
        <f aca="false">IF(L7&lt;&gt;"",MAX(16,(L7-J7)+8),"")</f>
        <v/>
      </c>
      <c r="BB7" s="7" t="n">
        <f aca="false">MIN(AB7/150, 1)*30</f>
        <v>0</v>
      </c>
      <c r="BC7" s="7" t="n">
        <f aca="false">MIN(N7/4000, 1)*20</f>
        <v>0</v>
      </c>
      <c r="BD7" s="7" t="n">
        <f aca="false">MIN(Z7/400,1)*20</f>
        <v>0</v>
      </c>
      <c r="BE7" s="3" t="n">
        <f aca="false">1-(MAX(J7-1900, 0)/750)</f>
        <v>1</v>
      </c>
      <c r="BF7" s="7" t="n">
        <f aca="false">((MAX($M7,1)*MIN($AJ7/300,1)))*IF(G7="Wagon",50,10)</f>
        <v>0</v>
      </c>
      <c r="BG7" s="7" t="n">
        <v>0</v>
      </c>
      <c r="BH7" s="7" t="n">
        <v>0</v>
      </c>
      <c r="BI7" s="7" t="n">
        <v>0</v>
      </c>
      <c r="BJ7" s="7" t="n">
        <v>0</v>
      </c>
      <c r="BK7" s="24" t="n">
        <f aca="false">BI7*IF($G7="wagon",62.5,781.25)</f>
        <v>0</v>
      </c>
      <c r="BL7" s="24" t="n">
        <f aca="false">BJ7*IF($G7="wagon",2.73,81.25)</f>
        <v>0</v>
      </c>
      <c r="CA7" s="9" t="s">
        <v>102</v>
      </c>
      <c r="CC7" s="9" t="str">
        <f aca="false">CONCATENATE(CA7,"_",CB7)</f>
        <v>early_</v>
      </c>
      <c r="CD7" s="9" t="str">
        <f aca="false">_xlfn.CONCAT(H7, "_",I7)</f>
        <v>tender_RAIL</v>
      </c>
      <c r="CE7" s="23" t="str">
        <f aca="false" t="array" ref="CE7:CE7">IF(AN7&lt;&gt;"na", _xlfn.CONCAT("{BLACK}Length: {GOLD}", TEXT(ROUNDUP(IF(AQ7&lt;&gt;"",SUM(VALUE(_xlfn.TEXTSPLIT(AQ7, ","))), SUM(VALUE(_xlfn.TEXTSPLIT(AN7, ",")))*IF(M7, M7, 1))/16, 1),"#,##0.0"), " tiles{}"), "")</f>
        <v>{BLACK}Length: {GOLD}0.3 tiles{}</v>
      </c>
      <c r="CF7" s="9" t="str">
        <f aca="false">VLOOKUP($CD7, Constants!$M:$N, 2, FALSE())</f>
        <v/>
      </c>
      <c r="CG7" s="9" t="str">
        <f aca="false">IF(AND(L7&gt;1,BN7&lt;&gt;1),_xlfn.CONCAT("{BLACK}Cars: {GOLD}", L7),"")</f>
        <v/>
      </c>
      <c r="CI7" s="0" t="str">
        <f aca="false">IF($BU7="!param_no_gameplay_units","{GREEN}Included for gameplay purposes","")</f>
        <v/>
      </c>
      <c r="CJ7" s="0" t="str">
        <f aca="false">IF(BX7="buffet","{YELLOW}25% long distance bonus for consist{}",IF(BY7="DANDY","{YELLOW}Faster downhill speeds for horse-drawn trains (1 required per 2 horses){}",IF(BY7="BRAKE","{YELLOW}Speed bonus for slow wagons{}",IF(BY7="NGPassengers","{YELLOW}Preserved railway bonus: passengers pay more when hauled by old locomotives{}",IF(AND(BW7&gt;190,NOT(AND(I7="NARROW_GAUGE",BY7&lt;&gt;"PASS"))),CONCATENATE("{YELLOW}",INT((BW7-185)/1.85),"% bonus for long distance travel{}"),IF(AND(BW7&lt;180,BW7&lt;&gt;0),CONCATENATE("{YELLOW}",INT((185-BW7)/1.85),"% penalty for long distance travel{}"),""))))))</f>
        <v/>
      </c>
      <c r="CK7" s="0" t="str">
        <f aca="false">_xlfn.CONCAT(CF7,IF(CF7&lt;&gt;""," ",""),CG7,IF(OR(CG7&lt;&gt;"",CF7&lt;&gt;""),"{}",""),CE7,CJ7,"{SILVER}",CH7,IF(CI7&lt;&gt;"","{}{}",""),CI7)</f>
        <v>{BLACK}Length: {GOLD}0.3 tiles{}{SILVER}</v>
      </c>
    </row>
    <row r="8" customFormat="false" ht="14.25" hidden="false" customHeight="false" outlineLevel="0" collapsed="false">
      <c r="A8" s="0" t="s">
        <v>105</v>
      </c>
      <c r="B8" s="0" t="s">
        <v>106</v>
      </c>
      <c r="C8" s="0" t="n">
        <v>-1</v>
      </c>
      <c r="E8" s="0" t="n">
        <v>-1</v>
      </c>
      <c r="G8" s="0" t="s">
        <v>38</v>
      </c>
      <c r="H8" s="0" t="s">
        <v>38</v>
      </c>
      <c r="I8" s="0" t="s">
        <v>92</v>
      </c>
      <c r="J8" s="0" t="n">
        <v>1870</v>
      </c>
      <c r="W8" s="0" t="n">
        <v>42</v>
      </c>
      <c r="AA8" s="3" t="str">
        <f aca="false">IF(AND(W8&gt;0,Z8&gt;0),(Z8/((W8+X8)*10)),"")</f>
        <v/>
      </c>
      <c r="AF8" s="0" t="n">
        <v>7.5</v>
      </c>
      <c r="AG8" s="0" t="n">
        <v>8</v>
      </c>
      <c r="AJ8" s="4" t="n">
        <v>0</v>
      </c>
      <c r="AK8" s="5" t="str">
        <f aca="false">CONCATENATE(VLOOKUP(AL8, 'Voxel Sizes'!$A$2:$B$18,2,FALSE()),"x",INT(AH8*15), "x", INT(AI8*15))</f>
        <v>82x0x0</v>
      </c>
      <c r="AL8" s="5" t="n">
        <f aca="false">ROUND(15*((AG8*10)/256),0)</f>
        <v>5</v>
      </c>
      <c r="AN8" s="5" t="str">
        <f aca="false">CONCATENATE(VLOOKUP(AL8,Constants!$A$2:$C$16,IF(AM8&lt;&gt;"", 3, 2), FALSE()),IF(AM8&lt;&gt;"",CONCATENATE(",",VLOOKUP(AM8,$B:$AN,39,FALSE())),""))</f>
        <v>2,1,2</v>
      </c>
      <c r="AX8" s="0" t="n">
        <v>30</v>
      </c>
      <c r="AY8" s="5" t="str">
        <f aca="false">IF(L8&lt;&gt;"",MAX(16,(L8-J8)+8),"")</f>
        <v/>
      </c>
      <c r="BB8" s="7" t="n">
        <f aca="false">MIN(AB8/150, 1)*30</f>
        <v>0</v>
      </c>
      <c r="BC8" s="7" t="n">
        <f aca="false">MIN(N8/4000, 1)*20</f>
        <v>0</v>
      </c>
      <c r="BD8" s="7" t="n">
        <f aca="false">MIN(Z8/400,1)*20</f>
        <v>0</v>
      </c>
      <c r="BE8" s="21" t="n">
        <f aca="false">1-(MAX(J8-1900, 0)/750)</f>
        <v>1</v>
      </c>
      <c r="BF8" s="7" t="n">
        <f aca="false">((MAX($M8,1)*MIN($AJ8/300,1)))*IF(G8="Wagon",50,10)</f>
        <v>0</v>
      </c>
      <c r="BG8" s="7" t="n">
        <f aca="false">VLOOKUP($H8,Constants!$I:$K, 2, FALSE())</f>
        <v>0</v>
      </c>
      <c r="BH8" s="7" t="n">
        <f aca="false">VLOOKUP($H8,Constants!$I:$K, 3, FALSE())*IF(AND(G8="multiple_unit",AB8&lt;110),0.75,1)</f>
        <v>0</v>
      </c>
      <c r="BI8" s="7" t="n">
        <f aca="false">INT(POWER(((Constants!$G$2+$BB8+$BC8+$BD8+$BF8)*$BE8)*$BH8, 1.05))+$BA8</f>
        <v>0</v>
      </c>
      <c r="BJ8" s="7" t="n">
        <f aca="false">INT(POWER((((Constants!$G$1+$BB8+$BC8+$BD8+$BF8)*($BE8))*$BG8),IF($G8="wagon",1,1.2)))+$AZ8</f>
        <v>0</v>
      </c>
      <c r="BK8" s="22" t="n">
        <f aca="false">BI8*IF($G8="wagon",62.5,781.25)</f>
        <v>0</v>
      </c>
      <c r="BL8" s="22" t="n">
        <f aca="false">BJ8*IF($G8="wagon",2.73,81.25)</f>
        <v>0</v>
      </c>
      <c r="CA8" s="9" t="str">
        <f aca="false">VLOOKUP(J8,Eras!$A$2:$C$10, 2, TRUE())</f>
        <v>vct</v>
      </c>
      <c r="CB8" s="0" t="s">
        <v>93</v>
      </c>
      <c r="CC8" s="9" t="str">
        <f aca="false">CONCATENATE(CA8,"_",CB8)</f>
        <v>vct_Mixed Traffic</v>
      </c>
      <c r="CD8" s="9" t="str">
        <f aca="false">_xlfn.CONCAT(H8, "_",I8)</f>
        <v>tender_RAIL</v>
      </c>
      <c r="CE8" s="23" t="str">
        <f aca="false" t="array" ref="CE8:CE8">IF(AN8&lt;&gt;"na", _xlfn.CONCAT("{BLACK}Length: {GOLD}", TEXT(ROUNDUP(IF(AQ8&lt;&gt;"",SUM(VALUE(_xlfn.TEXTSPLIT(AQ8, ","))), SUM(VALUE(_xlfn.TEXTSPLIT(AN8, ",")))*IF(M8, M8, 1))/16, 1),"#,##0.0"), " tiles{}"), "")</f>
        <v>{BLACK}Length: {GOLD}0.4 tiles{}</v>
      </c>
      <c r="CF8" s="9" t="str">
        <f aca="false">VLOOKUP($CD8, Constants!$M:$N, 2, FALSE())</f>
        <v/>
      </c>
      <c r="CG8" s="9" t="str">
        <f aca="false">IF(AND(L8&gt;1,BN8&lt;&gt;1),_xlfn.CONCAT("{BLACK}Cars: {GOLD}", L8),"")</f>
        <v/>
      </c>
      <c r="CI8" s="0" t="str">
        <f aca="false">IF($BU8="!param_no_gameplay_units","{GREEN}Included for gameplay purposes","")</f>
        <v/>
      </c>
      <c r="CJ8" s="0" t="str">
        <f aca="false">IF(BX8="buffet","{YELLOW}25% long distance bonus for consist{}",IF(BY8="DANDY","{YELLOW}Faster downhill speeds for horse-drawn trains (1 required per 2 horses){}",IF(BY8="BRAKE","{YELLOW}Speed bonus for slow wagons{}",IF(BY8="NGPassengers","{YELLOW}Preserved railway bonus: passengers pay more when hauled by old locomotives{}",IF(AND(BW8&gt;190,NOT(AND(I8="NARROW_GAUGE",BY8&lt;&gt;"PASS"))),CONCATENATE("{YELLOW}",INT((BW8-185)/1.85),"% bonus for long distance travel{}"),IF(AND(BW8&lt;180,BW8&lt;&gt;0),CONCATENATE("{YELLOW}",INT((185-BW8)/1.85),"% penalty for long distance travel{}"),""))))))</f>
        <v/>
      </c>
      <c r="CK8" s="0" t="str">
        <f aca="false">_xlfn.CONCAT(CF8,IF(CF8&lt;&gt;""," ",""),CG8,IF(OR(CG8&lt;&gt;"",CF8&lt;&gt;""),"{}",""),CE8,CJ8,"{SILVER}",CH8,IF(CI8&lt;&gt;"","{}{}",""),CI8)</f>
        <v>{BLACK}Length: {GOLD}0.4 tiles{}{SILVER}</v>
      </c>
    </row>
    <row r="9" customFormat="false" ht="14.25" hidden="false" customHeight="false" outlineLevel="0" collapsed="false">
      <c r="A9" s="0" t="s">
        <v>107</v>
      </c>
      <c r="B9" s="0" t="s">
        <v>108</v>
      </c>
      <c r="C9" s="0" t="n">
        <v>-1</v>
      </c>
      <c r="E9" s="0" t="n">
        <v>-1</v>
      </c>
      <c r="G9" s="0" t="s">
        <v>38</v>
      </c>
      <c r="H9" s="0" t="s">
        <v>38</v>
      </c>
      <c r="I9" s="0" t="s">
        <v>92</v>
      </c>
      <c r="J9" s="0" t="n">
        <v>1870</v>
      </c>
      <c r="W9" s="0" t="n">
        <v>42</v>
      </c>
      <c r="AA9" s="3" t="str">
        <f aca="false">IF(AND(W9&gt;0,Z9&gt;0),(Z9/((W9+X9)*10)),"")</f>
        <v/>
      </c>
      <c r="AF9" s="0" t="n">
        <v>7.5</v>
      </c>
      <c r="AG9" s="0" t="n">
        <v>8</v>
      </c>
      <c r="AJ9" s="4" t="n">
        <v>0</v>
      </c>
      <c r="AK9" s="5" t="str">
        <f aca="false">CONCATENATE(VLOOKUP(AL9, 'Voxel Sizes'!$A$2:$B$18,2,FALSE()),"x",INT(AH9*15), "x", INT(AI9*15))</f>
        <v>82x0x0</v>
      </c>
      <c r="AL9" s="5" t="n">
        <f aca="false">ROUND(15*((AG9*10)/256),0)</f>
        <v>5</v>
      </c>
      <c r="AN9" s="5" t="str">
        <f aca="false">CONCATENATE(VLOOKUP(AL9,Constants!$A$2:$C$16,IF(AM9&lt;&gt;"", 3, 2), FALSE()),IF(AM9&lt;&gt;"",CONCATENATE(",",VLOOKUP(AM9,$B:$AN,39,FALSE())),""))</f>
        <v>2,1,2</v>
      </c>
      <c r="AX9" s="0" t="n">
        <v>30</v>
      </c>
      <c r="AY9" s="5" t="str">
        <f aca="false">IF(L9&lt;&gt;"",MAX(16,(L9-J9)+8),"")</f>
        <v/>
      </c>
      <c r="BB9" s="7" t="n">
        <f aca="false">MIN(AB9/150, 1)*30</f>
        <v>0</v>
      </c>
      <c r="BC9" s="7" t="n">
        <f aca="false">MIN(N9/4000, 1)*20</f>
        <v>0</v>
      </c>
      <c r="BD9" s="7" t="n">
        <f aca="false">MIN(Z9/400,1)*20</f>
        <v>0</v>
      </c>
      <c r="BE9" s="21" t="n">
        <f aca="false">1-(MAX(J9-1900, 0)/750)</f>
        <v>1</v>
      </c>
      <c r="BF9" s="7" t="n">
        <f aca="false">((MAX($M9,1)*MIN($AJ9/300,1)))*IF(G9="Wagon",50,10)</f>
        <v>0</v>
      </c>
      <c r="BG9" s="7" t="n">
        <f aca="false">VLOOKUP($H9,Constants!$I:$K, 2, FALSE())</f>
        <v>0</v>
      </c>
      <c r="BH9" s="7" t="n">
        <f aca="false">VLOOKUP($H9,Constants!$I:$K, 3, FALSE())*IF(AND(G9="multiple_unit",AB9&lt;110),0.75,1)</f>
        <v>0</v>
      </c>
      <c r="BI9" s="7" t="n">
        <f aca="false">INT(POWER(((Constants!$G$2+$BB9+$BC9+$BD9+$BF9)*$BE9)*$BH9, 1.05))+$BA9</f>
        <v>0</v>
      </c>
      <c r="BJ9" s="7" t="n">
        <f aca="false">INT(POWER((((Constants!$G$1+$BB9+$BC9+$BD9+$BF9)*($BE9))*$BG9),IF($G9="wagon",1,1.2)))+$AZ9</f>
        <v>0</v>
      </c>
      <c r="BK9" s="22" t="n">
        <f aca="false">BI9*IF($G9="wagon",62.5,781.25)</f>
        <v>0</v>
      </c>
      <c r="BL9" s="22" t="n">
        <f aca="false">BJ9*IF($G9="wagon",2.73,81.25)</f>
        <v>0</v>
      </c>
      <c r="CA9" s="9" t="str">
        <f aca="false">VLOOKUP(J9,Eras!$A$2:$C$10, 2, TRUE())</f>
        <v>vct</v>
      </c>
      <c r="CB9" s="0" t="s">
        <v>93</v>
      </c>
      <c r="CC9" s="9" t="str">
        <f aca="false">CONCATENATE(CA9,"_",CB9)</f>
        <v>vct_Mixed Traffic</v>
      </c>
      <c r="CD9" s="9" t="str">
        <f aca="false">_xlfn.CONCAT(H9, "_",I9)</f>
        <v>tender_RAIL</v>
      </c>
      <c r="CE9" s="23" t="str">
        <f aca="false" t="array" ref="CE9:CE9">IF(AN9&lt;&gt;"na", _xlfn.CONCAT("{BLACK}Length: {GOLD}", TEXT(ROUNDUP(IF(AQ9&lt;&gt;"",SUM(VALUE(_xlfn.TEXTSPLIT(AQ9, ","))), SUM(VALUE(_xlfn.TEXTSPLIT(AN9, ",")))*IF(M9, M9, 1))/16, 1),"#,##0.0"), " tiles{}"), "")</f>
        <v>{BLACK}Length: {GOLD}0.4 tiles{}</v>
      </c>
      <c r="CF9" s="9" t="str">
        <f aca="false">VLOOKUP($CD9, Constants!$M:$N, 2, FALSE())</f>
        <v/>
      </c>
      <c r="CG9" s="9" t="str">
        <f aca="false">IF(AND(L9&gt;1,BN9&lt;&gt;1),_xlfn.CONCAT("{BLACK}Cars: {GOLD}", L9),"")</f>
        <v/>
      </c>
      <c r="CI9" s="0" t="str">
        <f aca="false">IF($BU9="!param_no_gameplay_units","{GREEN}Included for gameplay purposes","")</f>
        <v/>
      </c>
      <c r="CJ9" s="0" t="str">
        <f aca="false">IF(BX9="buffet","{YELLOW}25% long distance bonus for consist{}",IF(BY9="DANDY","{YELLOW}Faster downhill speeds for horse-drawn trains (1 required per 2 horses){}",IF(BY9="BRAKE","{YELLOW}Speed bonus for slow wagons{}",IF(BY9="NGPassengers","{YELLOW}Preserved railway bonus: passengers pay more when hauled by old locomotives{}",IF(AND(BW9&gt;190,NOT(AND(I9="NARROW_GAUGE",BY9&lt;&gt;"PASS"))),CONCATENATE("{YELLOW}",INT((BW9-185)/1.85),"% bonus for long distance travel{}"),IF(AND(BW9&lt;180,BW9&lt;&gt;0),CONCATENATE("{YELLOW}",INT((185-BW9)/1.85),"% penalty for long distance travel{}"),""))))))</f>
        <v/>
      </c>
      <c r="CK9" s="0" t="str">
        <f aca="false">_xlfn.CONCAT(CF9,IF(CF9&lt;&gt;""," ",""),CG9,IF(OR(CG9&lt;&gt;"",CF9&lt;&gt;""),"{}",""),CE9,CJ9,"{SILVER}",CH9,IF(CI9&lt;&gt;"","{}{}",""),CI9)</f>
        <v>{BLACK}Length: {GOLD}0.4 tiles{}{SILVER}</v>
      </c>
    </row>
    <row r="10" customFormat="false" ht="14.25" hidden="false" customHeight="false" outlineLevel="0" collapsed="false">
      <c r="A10" s="0" t="s">
        <v>109</v>
      </c>
      <c r="B10" s="0" t="s">
        <v>110</v>
      </c>
      <c r="C10" s="0" t="n">
        <v>-1</v>
      </c>
      <c r="E10" s="0" t="n">
        <v>-1</v>
      </c>
      <c r="G10" s="0" t="s">
        <v>38</v>
      </c>
      <c r="H10" s="0" t="s">
        <v>38</v>
      </c>
      <c r="I10" s="0" t="s">
        <v>92</v>
      </c>
      <c r="J10" s="0" t="n">
        <v>1870</v>
      </c>
      <c r="W10" s="0" t="n">
        <v>42</v>
      </c>
      <c r="AA10" s="3" t="str">
        <f aca="false">IF(AND(W10&gt;0,Z10&gt;0),(Z10/((W10+X10)*10)),"")</f>
        <v/>
      </c>
      <c r="AF10" s="0" t="n">
        <v>7.5</v>
      </c>
      <c r="AG10" s="0" t="n">
        <v>8</v>
      </c>
      <c r="AJ10" s="4" t="n">
        <v>0</v>
      </c>
      <c r="AK10" s="5" t="str">
        <f aca="false">CONCATENATE(VLOOKUP(AL10, 'Voxel Sizes'!$A$2:$B$18,2,FALSE()),"x",INT(AH10*15), "x", INT(AI10*15))</f>
        <v>82x0x0</v>
      </c>
      <c r="AL10" s="5" t="n">
        <f aca="false">ROUND(15*((AG10*10)/256),0)</f>
        <v>5</v>
      </c>
      <c r="AN10" s="5" t="str">
        <f aca="false">CONCATENATE(VLOOKUP(AL10,Constants!$A$2:$C$16,IF(AM10&lt;&gt;"", 3, 2), FALSE()),IF(AM10&lt;&gt;"",CONCATENATE(",",VLOOKUP(AM10,$B:$AN,39,FALSE())),""))</f>
        <v>2,1,2</v>
      </c>
      <c r="AX10" s="0" t="n">
        <v>30</v>
      </c>
      <c r="AY10" s="5" t="str">
        <f aca="false">IF(L10&lt;&gt;"",MAX(16,(L10-J10)+8),"")</f>
        <v/>
      </c>
      <c r="BB10" s="7" t="n">
        <f aca="false">MIN(AB10/150, 1)*30</f>
        <v>0</v>
      </c>
      <c r="BC10" s="7" t="n">
        <f aca="false">MIN(N10/4000, 1)*20</f>
        <v>0</v>
      </c>
      <c r="BD10" s="7" t="n">
        <f aca="false">MIN(Z10/400,1)*20</f>
        <v>0</v>
      </c>
      <c r="BE10" s="21" t="n">
        <f aca="false">1-(MAX(J10-1900, 0)/750)</f>
        <v>1</v>
      </c>
      <c r="BF10" s="7" t="n">
        <f aca="false">((MAX($M10,1)*MIN($AJ10/300,1)))*IF(G10="Wagon",50,10)</f>
        <v>0</v>
      </c>
      <c r="BG10" s="7" t="n">
        <f aca="false">VLOOKUP($H10,Constants!$I:$K, 2, FALSE())</f>
        <v>0</v>
      </c>
      <c r="BH10" s="7" t="n">
        <f aca="false">VLOOKUP($H10,Constants!$I:$K, 3, FALSE())*IF(AND(G10="multiple_unit",AB10&lt;110),0.75,1)</f>
        <v>0</v>
      </c>
      <c r="BI10" s="7" t="n">
        <f aca="false">INT(POWER(((Constants!$G$2+$BB10+$BC10+$BD10+$BF10)*$BE10)*$BH10, 1.05))+$BA10</f>
        <v>0</v>
      </c>
      <c r="BJ10" s="7" t="n">
        <f aca="false">INT(POWER((((Constants!$G$1+$BB10+$BC10+$BD10+$BF10)*($BE10))*$BG10),IF($G10="wagon",1,1.2)))+$AZ10</f>
        <v>0</v>
      </c>
      <c r="BK10" s="22" t="n">
        <f aca="false">BI10*IF($G10="wagon",62.5,781.25)</f>
        <v>0</v>
      </c>
      <c r="BL10" s="22" t="n">
        <f aca="false">BJ10*IF($G10="wagon",2.73,81.25)</f>
        <v>0</v>
      </c>
      <c r="CA10" s="9" t="str">
        <f aca="false">VLOOKUP(J10,Eras!$A$2:$C$10, 2, TRUE())</f>
        <v>vct</v>
      </c>
      <c r="CB10" s="0" t="s">
        <v>93</v>
      </c>
      <c r="CC10" s="9" t="str">
        <f aca="false">CONCATENATE(CA10,"_",CB10)</f>
        <v>vct_Mixed Traffic</v>
      </c>
      <c r="CD10" s="9" t="str">
        <f aca="false">_xlfn.CONCAT(H10, "_",I10)</f>
        <v>tender_RAIL</v>
      </c>
      <c r="CE10" s="23" t="str">
        <f aca="false" t="array" ref="CE10:CE10">IF(AN10&lt;&gt;"na", _xlfn.CONCAT("{BLACK}Length: {GOLD}", TEXT(ROUNDUP(IF(AQ10&lt;&gt;"",SUM(VALUE(_xlfn.TEXTSPLIT(AQ10, ","))), SUM(VALUE(_xlfn.TEXTSPLIT(AN10, ",")))*IF(M10, M10, 1))/16, 1),"#,##0.0"), " tiles{}"), "")</f>
        <v>{BLACK}Length: {GOLD}0.4 tiles{}</v>
      </c>
      <c r="CF10" s="9" t="str">
        <f aca="false">VLOOKUP($CD10, Constants!$M:$N, 2, FALSE())</f>
        <v/>
      </c>
      <c r="CG10" s="9" t="str">
        <f aca="false">IF(AND(L10&gt;1,BN10&lt;&gt;1),_xlfn.CONCAT("{BLACK}Cars: {GOLD}", L10),"")</f>
        <v/>
      </c>
      <c r="CI10" s="0" t="str">
        <f aca="false">IF($BU10="!param_no_gameplay_units","{GREEN}Included for gameplay purposes","")</f>
        <v/>
      </c>
      <c r="CJ10" s="0" t="str">
        <f aca="false">IF(BX10="buffet","{YELLOW}25% long distance bonus for consist{}",IF(BY10="DANDY","{YELLOW}Faster downhill speeds for horse-drawn trains (1 required per 2 horses){}",IF(BY10="BRAKE","{YELLOW}Speed bonus for slow wagons{}",IF(BY10="NGPassengers","{YELLOW}Preserved railway bonus: passengers pay more when hauled by old locomotives{}",IF(AND(BW10&gt;190,NOT(AND(I10="NARROW_GAUGE",BY10&lt;&gt;"PASS"))),CONCATENATE("{YELLOW}",INT((BW10-185)/1.85),"% bonus for long distance travel{}"),IF(AND(BW10&lt;180,BW10&lt;&gt;0),CONCATENATE("{YELLOW}",INT((185-BW10)/1.85),"% penalty for long distance travel{}"),""))))))</f>
        <v/>
      </c>
      <c r="CK10" s="0" t="str">
        <f aca="false">_xlfn.CONCAT(CF10,IF(CF10&lt;&gt;""," ",""),CG10,IF(OR(CG10&lt;&gt;"",CF10&lt;&gt;""),"{}",""),CE10,CJ10,"{SILVER}",CH10,IF(CI10&lt;&gt;"","{}{}",""),CI10)</f>
        <v>{BLACK}Length: {GOLD}0.4 tiles{}{SILVER}</v>
      </c>
    </row>
    <row r="11" customFormat="false" ht="14.25" hidden="false" customHeight="false" outlineLevel="0" collapsed="false">
      <c r="A11" s="0" t="s">
        <v>111</v>
      </c>
      <c r="B11" s="0" t="s">
        <v>112</v>
      </c>
      <c r="C11" s="0" t="n">
        <v>-1</v>
      </c>
      <c r="E11" s="0" t="n">
        <v>-1</v>
      </c>
      <c r="G11" s="0" t="s">
        <v>38</v>
      </c>
      <c r="H11" s="0" t="s">
        <v>38</v>
      </c>
      <c r="I11" s="0" t="s">
        <v>92</v>
      </c>
      <c r="J11" s="0" t="n">
        <v>1900</v>
      </c>
      <c r="W11" s="0" t="n">
        <v>42</v>
      </c>
      <c r="AA11" s="3" t="str">
        <f aca="false">IF(AND(W11&gt;0,Z11&gt;0),(Z11/((W11+X11)*10)),"")</f>
        <v/>
      </c>
      <c r="AF11" s="0" t="n">
        <v>7.5</v>
      </c>
      <c r="AG11" s="0" t="n">
        <v>8</v>
      </c>
      <c r="AJ11" s="4" t="n">
        <v>0</v>
      </c>
      <c r="AK11" s="5" t="str">
        <f aca="false">CONCATENATE(VLOOKUP(AL11, 'Voxel Sizes'!$A$2:$B$18,2,FALSE()),"x",INT(AH11*15), "x", INT(AI11*15))</f>
        <v>82x0x0</v>
      </c>
      <c r="AL11" s="5" t="n">
        <f aca="false">ROUND(15*((AG11*10)/256),0)</f>
        <v>5</v>
      </c>
      <c r="AN11" s="5" t="str">
        <f aca="false">CONCATENATE(VLOOKUP(AL11,Constants!$A$2:$C$16,IF(AM11&lt;&gt;"", 3, 2), FALSE()),IF(AM11&lt;&gt;"",CONCATENATE(",",VLOOKUP(AM11,$B:$AN,39,FALSE())),""))</f>
        <v>2,1,2</v>
      </c>
      <c r="AX11" s="0" t="n">
        <v>30</v>
      </c>
      <c r="AY11" s="5" t="str">
        <f aca="false">IF(L11&lt;&gt;"",MAX(16,(L11-J11)+8),"")</f>
        <v/>
      </c>
      <c r="BB11" s="7" t="n">
        <f aca="false">MIN(AB11/150, 1)*30</f>
        <v>0</v>
      </c>
      <c r="BC11" s="7" t="n">
        <f aca="false">MIN(N11/4000, 1)*20</f>
        <v>0</v>
      </c>
      <c r="BD11" s="7" t="n">
        <f aca="false">MIN(Z11/400,1)*20</f>
        <v>0</v>
      </c>
      <c r="BE11" s="21" t="n">
        <f aca="false">1-(MAX(J11-1900, 0)/750)</f>
        <v>1</v>
      </c>
      <c r="BF11" s="7" t="n">
        <f aca="false">((MAX($M11,1)*MIN($AJ11/300,1)))*IF(G11="Wagon",50,10)</f>
        <v>0</v>
      </c>
      <c r="BG11" s="7" t="n">
        <f aca="false">VLOOKUP($H11,Constants!$I:$K, 2, FALSE())</f>
        <v>0</v>
      </c>
      <c r="BH11" s="7" t="n">
        <f aca="false">VLOOKUP($H11,Constants!$I:$K, 3, FALSE())*IF(AND(G11="multiple_unit",AB11&lt;110),0.75,1)</f>
        <v>0</v>
      </c>
      <c r="BI11" s="7" t="n">
        <f aca="false">INT(POWER(((Constants!$G$2+$BB11+$BC11+$BD11+$BF11)*$BE11)*$BH11, 1.05))+$BA11</f>
        <v>0</v>
      </c>
      <c r="BJ11" s="7" t="n">
        <f aca="false">INT(POWER((((Constants!$G$1+$BB11+$BC11+$BD11+$BF11)*($BE11))*$BG11),IF($G11="wagon",1,1.2)))+$AZ11</f>
        <v>0</v>
      </c>
      <c r="BK11" s="22" t="n">
        <f aca="false">BI11*IF($G11="wagon",62.5,781.25)</f>
        <v>0</v>
      </c>
      <c r="BL11" s="22" t="n">
        <f aca="false">BJ11*IF($G11="wagon",2.73,81.25)</f>
        <v>0</v>
      </c>
      <c r="CA11" s="9" t="str">
        <f aca="false">VLOOKUP(J11,Eras!$A$2:$C$10, 2, TRUE())</f>
        <v>edw</v>
      </c>
      <c r="CB11" s="0" t="s">
        <v>93</v>
      </c>
      <c r="CC11" s="9" t="str">
        <f aca="false">CONCATENATE(CA11,"_",CB11)</f>
        <v>edw_Mixed Traffic</v>
      </c>
      <c r="CD11" s="9" t="str">
        <f aca="false">_xlfn.CONCAT(H11, "_",I11)</f>
        <v>tender_RAIL</v>
      </c>
      <c r="CE11" s="23" t="str">
        <f aca="false" t="array" ref="CE11:CE11">IF(AN11&lt;&gt;"na", _xlfn.CONCAT("{BLACK}Length: {GOLD}", TEXT(ROUNDUP(IF(AQ11&lt;&gt;"",SUM(VALUE(_xlfn.TEXTSPLIT(AQ11, ","))), SUM(VALUE(_xlfn.TEXTSPLIT(AN11, ",")))*IF(M11, M11, 1))/16, 1),"#,##0.0"), " tiles{}"), "")</f>
        <v>{BLACK}Length: {GOLD}0.4 tiles{}</v>
      </c>
      <c r="CF11" s="9" t="str">
        <f aca="false">VLOOKUP($CD11, Constants!$M:$N, 2, FALSE())</f>
        <v/>
      </c>
      <c r="CG11" s="9" t="str">
        <f aca="false">IF(AND(L11&gt;1,BN11&lt;&gt;1),_xlfn.CONCAT("{BLACK}Cars: {GOLD}", L11),"")</f>
        <v/>
      </c>
      <c r="CI11" s="0" t="str">
        <f aca="false">IF($BU11="!param_no_gameplay_units","{GREEN}Included for gameplay purposes","")</f>
        <v/>
      </c>
      <c r="CJ11" s="0" t="str">
        <f aca="false">IF(BX11="buffet","{YELLOW}25% long distance bonus for consist{}",IF(BY11="DANDY","{YELLOW}Faster downhill speeds for horse-drawn trains (1 required per 2 horses){}",IF(BY11="BRAKE","{YELLOW}Speed bonus for slow wagons{}",IF(BY11="NGPassengers","{YELLOW}Preserved railway bonus: passengers pay more when hauled by old locomotives{}",IF(AND(BW11&gt;190,NOT(AND(I11="NARROW_GAUGE",BY11&lt;&gt;"PASS"))),CONCATENATE("{YELLOW}",INT((BW11-185)/1.85),"% bonus for long distance travel{}"),IF(AND(BW11&lt;180,BW11&lt;&gt;0),CONCATENATE("{YELLOW}",INT((185-BW11)/1.85),"% penalty for long distance travel{}"),""))))))</f>
        <v/>
      </c>
      <c r="CK11" s="0" t="str">
        <f aca="false">_xlfn.CONCAT(CF11,IF(CF11&lt;&gt;""," ",""),CG11,IF(OR(CG11&lt;&gt;"",CF11&lt;&gt;""),"{}",""),CE11,CJ11,"{SILVER}",CH11,IF(CI11&lt;&gt;"","{}{}",""),CI11)</f>
        <v>{BLACK}Length: {GOLD}0.4 tiles{}{SILVER}</v>
      </c>
    </row>
    <row r="12" customFormat="false" ht="14.25" hidden="false" customHeight="false" outlineLevel="0" collapsed="false">
      <c r="A12" s="0" t="s">
        <v>113</v>
      </c>
      <c r="B12" s="0" t="s">
        <v>114</v>
      </c>
      <c r="C12" s="0" t="n">
        <v>1061</v>
      </c>
      <c r="E12" s="0" t="n">
        <v>1000</v>
      </c>
      <c r="F12" s="0" t="s">
        <v>115</v>
      </c>
      <c r="G12" s="0" t="s">
        <v>116</v>
      </c>
      <c r="H12" s="0" t="s">
        <v>117</v>
      </c>
      <c r="I12" s="0" t="s">
        <v>92</v>
      </c>
      <c r="J12" s="0" t="n">
        <v>1906</v>
      </c>
      <c r="L12" s="0" t="n">
        <v>1955</v>
      </c>
      <c r="W12" s="0" t="n">
        <v>31</v>
      </c>
      <c r="Y12" s="0" t="n">
        <v>6</v>
      </c>
      <c r="AA12" s="3" t="str">
        <f aca="false">IF(AND(W12&gt;0,Z12&gt;0),(Z12/((W12+X12)*10)),"")</f>
        <v/>
      </c>
      <c r="AB12" s="0" t="n">
        <v>100</v>
      </c>
      <c r="AC12" s="0" t="n">
        <f aca="false">ROUND(AB12*1.6, 0)</f>
        <v>160</v>
      </c>
      <c r="AF12" s="0" t="n">
        <v>17.7</v>
      </c>
      <c r="AG12" s="0" t="n">
        <v>17.7</v>
      </c>
      <c r="AH12" s="0" t="n">
        <v>2.83</v>
      </c>
      <c r="AI12" s="0" t="n">
        <v>3.79</v>
      </c>
      <c r="AJ12" s="4" t="n">
        <v>57</v>
      </c>
      <c r="AK12" s="5" t="str">
        <f aca="false">CONCATENATE(VLOOKUP(AL12, 'Voxel Sizes'!$A$2:$B$18,2,FALSE()),"x",INT(AH12*15), "x", INT(AI12*15))</f>
        <v>164x42x56</v>
      </c>
      <c r="AL12" s="5" t="n">
        <f aca="false">ROUND(15*((AG12*10)/256),0)</f>
        <v>10</v>
      </c>
      <c r="AN12" s="5" t="str">
        <f aca="false">CONCATENATE(VLOOKUP(AL12,Constants!$A$2:$C$16,IF(AM12&lt;&gt;"", 3, 2), FALSE()),IF(AM12&lt;&gt;"",CONCATENATE(",",VLOOKUP(AM12,$B:$AN,39,FALSE())),""))</f>
        <v>4,2,4</v>
      </c>
      <c r="AX12" s="0" t="n">
        <v>30</v>
      </c>
      <c r="AY12" s="5" t="n">
        <f aca="false">IF(L12&lt;&gt;"",MAX(16,(L12-J12)+8),"")</f>
        <v>57</v>
      </c>
      <c r="AZ12" s="0" t="n">
        <v>72</v>
      </c>
      <c r="BA12" s="0" t="n">
        <f aca="false">20*3</f>
        <v>60</v>
      </c>
      <c r="BB12" s="7" t="n">
        <f aca="false">MIN(AB12/150, 1)*30</f>
        <v>20</v>
      </c>
      <c r="BC12" s="7" t="n">
        <f aca="false">MIN(N12/4000, 1)*20</f>
        <v>0</v>
      </c>
      <c r="BD12" s="7" t="n">
        <f aca="false">MIN(Z12/400,1)*20</f>
        <v>0</v>
      </c>
      <c r="BE12" s="21" t="n">
        <f aca="false">1-(MAX(J12-1900, 0)/750)</f>
        <v>0.992</v>
      </c>
      <c r="BF12" s="7" t="n">
        <f aca="false">((MAX($M12,1)*MIN($AJ12/300,1)))*IF(G12="Wagon",50,10)</f>
        <v>9.5</v>
      </c>
      <c r="BG12" s="7" t="n">
        <f aca="false">VLOOKUP($H12,Constants!$I:$K, 2, FALSE())</f>
        <v>1.2</v>
      </c>
      <c r="BH12" s="7" t="n">
        <f aca="false">VLOOKUP($H12,Constants!$I:$K, 3, FALSE())*IF(AND(G12="multiple_unit",AB12&lt;110),0.75,1)</f>
        <v>0.6</v>
      </c>
      <c r="BI12" s="7" t="n">
        <f aca="false">INT(POWER(((Constants!$G$2+$BB12+$BC12+$BD12+$BF12)*$BE12)*$BH12, 1.05))+$BA12</f>
        <v>83</v>
      </c>
      <c r="BJ12" s="7" t="n">
        <f aca="false">INT(POWER((((Constants!$G$1+$BB12+$BC12+$BD12+$BF12)*($BE12))*$BG12),IF($G12="wagon",1,1.2)))+$AZ12</f>
        <v>124</v>
      </c>
      <c r="BK12" s="22" t="n">
        <f aca="false">BI12*IF($G12="wagon",62.5,781.25)</f>
        <v>5187.5</v>
      </c>
      <c r="BL12" s="22" t="n">
        <f aca="false">BJ12*IF($G12="wagon",2.73,81.25)</f>
        <v>338.52</v>
      </c>
      <c r="BV12" s="0" t="n">
        <v>1</v>
      </c>
      <c r="BW12" s="0" t="n">
        <v>165</v>
      </c>
      <c r="BY12" s="0" t="s">
        <v>118</v>
      </c>
      <c r="BZ12" s="0" t="s">
        <v>119</v>
      </c>
      <c r="CA12" s="9" t="str">
        <f aca="false">VLOOKUP(J12,Eras!$A$2:$C$10, 2, TRUE())</f>
        <v>edw</v>
      </c>
      <c r="CB12" s="0" t="s">
        <v>120</v>
      </c>
      <c r="CC12" s="9" t="str">
        <f aca="false">CONCATENATE(CA12,"_",CB12)</f>
        <v>edw_Carriage</v>
      </c>
      <c r="CD12" s="9" t="str">
        <f aca="false">_xlfn.CONCAT(H12, "_",I12)</f>
        <v>carriage_RAIL</v>
      </c>
      <c r="CE12" s="23" t="str">
        <f aca="false" t="array" ref="CE12:CE12">IF(AN12&lt;&gt;"na", _xlfn.CONCAT("{BLACK}Length: {GOLD}", TEXT(ROUNDUP(IF(AQ12&lt;&gt;"",SUM(VALUE(_xlfn.TEXTSPLIT(AQ12, ","))), SUM(VALUE(_xlfn.TEXTSPLIT(AN12, ",")))*IF(M12, M12, 1))/16, 1),"#,##0.0"), " tiles{}"), "")</f>
        <v>{BLACK}Length: {GOLD}0.7 tiles{}</v>
      </c>
      <c r="CF12" s="9" t="str">
        <f aca="false">VLOOKUP($CD12, Constants!$M:$N, 2, FALSE())</f>
        <v/>
      </c>
      <c r="CG12" s="9" t="str">
        <f aca="false">IF(AND(L12&gt;1,BN12&lt;&gt;1),_xlfn.CONCAT("{BLACK}Cars: {GOLD}", L12),"")</f>
        <v/>
      </c>
      <c r="CH12" s="0" t="s">
        <v>121</v>
      </c>
      <c r="CI12" s="0" t="str">
        <f aca="false">IF($BU12="!param_no_gameplay_units","{GREEN}Included for gameplay purposes","")</f>
        <v/>
      </c>
      <c r="CJ12" s="0" t="str">
        <f aca="false">IF(BX12="buffet","{YELLOW}25% long distance bonus for consist{}",IF(BY12="DANDY","{YELLOW}Faster downhill speeds for horse-drawn trains (1 required per 2 horses){}",IF(BY12="BRAKE","{YELLOW}Speed bonus for slow wagons{}",IF(BY12="NGPassengers","{YELLOW}Preserved railway bonus: passengers pay more when hauled by old locomotives{}",IF(AND(BW12&gt;190,NOT(AND(I12="NARROW_GAUGE",BY12&lt;&gt;"PASS"))),CONCATENATE("{YELLOW}",INT((BW12-185)/1.85),"% bonus for long distance travel{}"),IF(AND(BW12&lt;180,BW12&lt;&gt;0),CONCATENATE("{YELLOW}",INT((185-BW12)/1.85),"% penalty for long distance travel{}"),""))))))</f>
        <v>{YELLOW}10% penalty for long distance travel{}</v>
      </c>
      <c r="CK12" s="0" t="str">
        <f aca="false">_xlfn.CONCAT(CF12,IF(CF12&lt;&gt;""," ",""),CG12,IF(OR(CG12&lt;&gt;"",CF12&lt;&gt;""),"{}",""),CE12,CJ12,"{SILVER}",CH12,IF(CI12&lt;&gt;"","{}{}",""),CI12)</f>
        <v>{BLACK}Length: {GOLD}0.7 tiles{}{YELLOW}10% penalty for long distance travel{}{SILVER}Non-corridor carriages allow greater seating density, at the cost of passenger comfort.</v>
      </c>
    </row>
    <row r="13" customFormat="false" ht="14.25" hidden="false" customHeight="false" outlineLevel="0" collapsed="false">
      <c r="A13" s="0" t="s">
        <v>122</v>
      </c>
      <c r="B13" s="0" t="s">
        <v>123</v>
      </c>
      <c r="C13" s="0" t="n">
        <v>1521</v>
      </c>
      <c r="E13" s="0" t="n">
        <v>1001</v>
      </c>
      <c r="F13" s="0" t="s">
        <v>115</v>
      </c>
      <c r="G13" s="0" t="s">
        <v>116</v>
      </c>
      <c r="H13" s="0" t="s">
        <v>117</v>
      </c>
      <c r="I13" s="0" t="s">
        <v>92</v>
      </c>
      <c r="J13" s="0" t="n">
        <v>1952</v>
      </c>
      <c r="K13" s="0" t="n">
        <v>1963</v>
      </c>
      <c r="L13" s="0" t="n">
        <v>1977</v>
      </c>
      <c r="W13" s="0" t="n">
        <v>30</v>
      </c>
      <c r="Y13" s="0" t="n">
        <v>6</v>
      </c>
      <c r="AA13" s="3" t="str">
        <f aca="false">IF(AND(W13&gt;0,Z13&gt;0),(Z13/((W13+X13)*10)),"")</f>
        <v/>
      </c>
      <c r="AB13" s="0" t="n">
        <v>100</v>
      </c>
      <c r="AC13" s="0" t="n">
        <f aca="false">ROUND(AB13*1.6, 0)</f>
        <v>160</v>
      </c>
      <c r="AF13" s="0" t="n">
        <v>19.3</v>
      </c>
      <c r="AG13" s="0" t="n">
        <v>20</v>
      </c>
      <c r="AJ13" s="4" t="n">
        <v>66</v>
      </c>
      <c r="AK13" s="5" t="str">
        <f aca="false">CONCATENATE(VLOOKUP(AL13, 'Voxel Sizes'!$A$2:$B$18,2,FALSE()),"x",INT(AH13*15), "x", INT(AI13*15))</f>
        <v>198x0x0</v>
      </c>
      <c r="AL13" s="5" t="n">
        <f aca="false">ROUND(15*((AG13*10)/256),0)</f>
        <v>12</v>
      </c>
      <c r="AN13" s="5" t="str">
        <f aca="false">CONCATENATE(VLOOKUP(AL13,Constants!$A$2:$C$16,IF(AM13&lt;&gt;"", 3, 2), FALSE()),IF(AM13&lt;&gt;"",CONCATENATE(",",VLOOKUP(AM13,$B:$AN,39,FALSE())),""))</f>
        <v>4,4,4</v>
      </c>
      <c r="AX13" s="0" t="n">
        <v>30</v>
      </c>
      <c r="AY13" s="5" t="n">
        <f aca="false">IF(L13&lt;&gt;"",MAX(16,(L13-J13)+8),"")</f>
        <v>33</v>
      </c>
      <c r="AZ13" s="0" t="n">
        <v>76</v>
      </c>
      <c r="BA13" s="0" t="n">
        <f aca="false">23*3</f>
        <v>69</v>
      </c>
      <c r="BB13" s="7" t="n">
        <f aca="false">MIN(AB13/150, 1)*30</f>
        <v>20</v>
      </c>
      <c r="BC13" s="7" t="n">
        <f aca="false">MIN(N13/4000, 1)*20</f>
        <v>0</v>
      </c>
      <c r="BD13" s="7" t="n">
        <f aca="false">MIN(Z13/400,1)*20</f>
        <v>0</v>
      </c>
      <c r="BE13" s="21" t="n">
        <f aca="false">1-(MAX(J13-1900, 0)/750)</f>
        <v>0.930666666666667</v>
      </c>
      <c r="BF13" s="7" t="n">
        <f aca="false">((MAX($M13,1)*MIN($AJ13/300,1)))*IF(G13="Wagon",50,10)</f>
        <v>11</v>
      </c>
      <c r="BG13" s="7" t="n">
        <f aca="false">VLOOKUP($H13,Constants!$I:$K, 2, FALSE())</f>
        <v>1.2</v>
      </c>
      <c r="BH13" s="7" t="n">
        <f aca="false">VLOOKUP($H13,Constants!$I:$K, 3, FALSE())*IF(AND(G13="multiple_unit",AB13&lt;110),0.75,1)</f>
        <v>0.6</v>
      </c>
      <c r="BI13" s="7" t="n">
        <f aca="false">INT(POWER(((Constants!$G$2+$BB13+$BC13+$BD13+$BF13)*$BE13)*$BH13, 1.05))+$BA13</f>
        <v>92</v>
      </c>
      <c r="BJ13" s="7" t="n">
        <f aca="false">INT(POWER((((Constants!$G$1+$BB13+$BC13+$BD13+$BF13)*($BE13))*$BG13),IF($G13="wagon",1,1.2)))+$AZ13</f>
        <v>127</v>
      </c>
      <c r="BK13" s="22" t="n">
        <f aca="false">BI13*IF($G13="wagon",62.5,781.25)</f>
        <v>5750</v>
      </c>
      <c r="BL13" s="22" t="n">
        <f aca="false">BJ13*IF($G13="wagon",2.73,81.25)</f>
        <v>346.71</v>
      </c>
      <c r="BV13" s="0" t="n">
        <v>1</v>
      </c>
      <c r="BW13" s="0" t="n">
        <v>165</v>
      </c>
      <c r="BY13" s="0" t="s">
        <v>118</v>
      </c>
      <c r="BZ13" s="0" t="s">
        <v>119</v>
      </c>
      <c r="CA13" s="9" t="str">
        <f aca="false">VLOOKUP(J13,Eras!$A$2:$C$10, 2, TRUE())</f>
        <v>ebr</v>
      </c>
      <c r="CB13" s="0" t="s">
        <v>120</v>
      </c>
      <c r="CC13" s="9" t="str">
        <f aca="false">CONCATENATE(CA13,"_",CB13)</f>
        <v>ebr_Carriage</v>
      </c>
      <c r="CD13" s="9" t="str">
        <f aca="false">_xlfn.CONCAT(H13, "_",I13)</f>
        <v>carriage_RAIL</v>
      </c>
      <c r="CE13" s="23" t="str">
        <f aca="false" t="array" ref="CE13:CE13">IF(AN13&lt;&gt;"na", _xlfn.CONCAT("{BLACK}Length: {GOLD}", TEXT(ROUNDUP(IF(AQ13&lt;&gt;"",SUM(VALUE(_xlfn.TEXTSPLIT(AQ13, ","))), SUM(VALUE(_xlfn.TEXTSPLIT(AN13, ",")))*IF(M13, M13, 1))/16, 1),"#,##0.0"), " tiles{}"), "")</f>
        <v>{BLACK}Length: {GOLD}0.8 tiles{}</v>
      </c>
      <c r="CF13" s="9" t="str">
        <f aca="false">VLOOKUP($CD13, Constants!$M:$N, 2, FALSE())</f>
        <v/>
      </c>
      <c r="CG13" s="9" t="str">
        <f aca="false">IF(AND(L13&gt;1,BN13&lt;&gt;1),_xlfn.CONCAT("{BLACK}Cars: {GOLD}", L13),"")</f>
        <v/>
      </c>
      <c r="CH13" s="0" t="s">
        <v>124</v>
      </c>
      <c r="CI13" s="0" t="str">
        <f aca="false">IF($BU13="!param_no_gameplay_units","{GREEN}Included for gameplay purposes","")</f>
        <v/>
      </c>
      <c r="CJ13" s="0" t="str">
        <f aca="false">IF(BX13="buffet","{YELLOW}25% long distance bonus for consist{}",IF(BY13="DANDY","{YELLOW}Faster downhill speeds for horse-drawn trains (1 required per 2 horses){}",IF(BY13="BRAKE","{YELLOW}Speed bonus for slow wagons{}",IF(BY13="NGPassengers","{YELLOW}Preserved railway bonus: passengers pay more when hauled by old locomotives{}",IF(AND(BW13&gt;190,NOT(AND(I13="NARROW_GAUGE",BY13&lt;&gt;"PASS"))),CONCATENATE("{YELLOW}",INT((BW13-185)/1.85),"% bonus for long distance travel{}"),IF(AND(BW13&lt;180,BW13&lt;&gt;0),CONCATENATE("{YELLOW}",INT((185-BW13)/1.85),"% penalty for long distance travel{}"),""))))))</f>
        <v>{YELLOW}10% penalty for long distance travel{}</v>
      </c>
      <c r="CK13" s="0" t="str">
        <f aca="false">_xlfn.CONCAT(CF13,IF(CF13&lt;&gt;""," ",""),CG13,IF(OR(CG13&lt;&gt;"",CF13&lt;&gt;""),"{}",""),CE13,CJ13,"{SILVER}",CH13,IF(CI13&lt;&gt;"","{}{}",""),CI13)</f>
        <v>{BLACK}Length: {GOLD}0.8 tiles{}{YELLOW}10% penalty for long distance travel{}{SILVER}BR built many suburban Mk1 carriages with no gangways, although typically only one or two would be used per train across most of the country.</v>
      </c>
    </row>
    <row r="14" customFormat="false" ht="14.25" hidden="false" customHeight="false" outlineLevel="0" collapsed="false">
      <c r="A14" s="0" t="s">
        <v>125</v>
      </c>
      <c r="B14" s="0" t="s">
        <v>126</v>
      </c>
      <c r="C14" s="0" t="n">
        <v>1732</v>
      </c>
      <c r="E14" s="0" t="n">
        <v>1002</v>
      </c>
      <c r="F14" s="0" t="s">
        <v>115</v>
      </c>
      <c r="G14" s="0" t="s">
        <v>116</v>
      </c>
      <c r="H14" s="0" t="s">
        <v>117</v>
      </c>
      <c r="I14" s="0" t="s">
        <v>92</v>
      </c>
      <c r="J14" s="0" t="n">
        <v>1973</v>
      </c>
      <c r="W14" s="0" t="n">
        <v>40</v>
      </c>
      <c r="Y14" s="0" t="n">
        <v>5</v>
      </c>
      <c r="AA14" s="3" t="str">
        <f aca="false">IF(AND(W14&gt;0,Z14&gt;0),(Z14/((W14+X14)*10)),"")</f>
        <v/>
      </c>
      <c r="AB14" s="0" t="n">
        <v>110</v>
      </c>
      <c r="AC14" s="0" t="n">
        <f aca="false">ROUND(AB14*1.6, 0)</f>
        <v>176</v>
      </c>
      <c r="AF14" s="0" t="n">
        <v>19.66</v>
      </c>
      <c r="AG14" s="0" t="n">
        <v>19.66</v>
      </c>
      <c r="AJ14" s="4" t="n">
        <v>63</v>
      </c>
      <c r="AK14" s="5" t="str">
        <f aca="false">CONCATENATE(VLOOKUP(AL14, 'Voxel Sizes'!$A$2:$B$18,2,FALSE()),"x",INT(AH14*15), "x", INT(AI14*15))</f>
        <v>198x0x0</v>
      </c>
      <c r="AL14" s="5" t="n">
        <f aca="false">ROUND(15*((AG14*10)/256),0)</f>
        <v>12</v>
      </c>
      <c r="AN14" s="5" t="str">
        <f aca="false">CONCATENATE(VLOOKUP(AL14,Constants!$A$2:$C$16,IF(AM14&lt;&gt;"", 3, 2), FALSE()),IF(AM14&lt;&gt;"",CONCATENATE(",",VLOOKUP(AM14,$B:$AN,39,FALSE())),""))</f>
        <v>4,4,4</v>
      </c>
      <c r="AX14" s="0" t="n">
        <v>30</v>
      </c>
      <c r="AY14" s="5" t="str">
        <f aca="false">IF(L14&lt;&gt;"",MAX(16,(L14-J14)+8),"")</f>
        <v/>
      </c>
      <c r="AZ14" s="0" t="n">
        <v>79</v>
      </c>
      <c r="BA14" s="0" t="n">
        <f aca="false">25*3</f>
        <v>75</v>
      </c>
      <c r="BB14" s="7" t="n">
        <f aca="false">MIN(AB14/150, 1)*30</f>
        <v>22</v>
      </c>
      <c r="BC14" s="7" t="n">
        <f aca="false">MIN(N14/4000, 1)*20</f>
        <v>0</v>
      </c>
      <c r="BD14" s="7" t="n">
        <f aca="false">MIN(Z14/400,1)*20</f>
        <v>0</v>
      </c>
      <c r="BE14" s="21" t="n">
        <f aca="false">1-(MAX(J14-1900, 0)/750)</f>
        <v>0.902666666666667</v>
      </c>
      <c r="BF14" s="7" t="n">
        <f aca="false">((MAX($M14,1)*MIN($AJ14/300,1)))*IF(G14="Wagon",50,10)</f>
        <v>10.5</v>
      </c>
      <c r="BG14" s="7" t="n">
        <f aca="false">VLOOKUP($H14,Constants!$I:$K, 2, FALSE())</f>
        <v>1.2</v>
      </c>
      <c r="BH14" s="7" t="n">
        <f aca="false">VLOOKUP($H14,Constants!$I:$K, 3, FALSE())*IF(AND(G14="multiple_unit",AB14&lt;110),0.75,1)</f>
        <v>0.6</v>
      </c>
      <c r="BI14" s="7" t="n">
        <f aca="false">INT(POWER(((Constants!$G$2+$BB14+$BC14+$BD14+$BF14)*$BE14)*$BH14, 1.05))+$BA14</f>
        <v>98</v>
      </c>
      <c r="BJ14" s="7" t="n">
        <f aca="false">INT(POWER((((Constants!$G$1+$BB14+$BC14+$BD14+$BF14)*($BE14))*$BG14),IF($G14="wagon",1,1.2)))+$AZ14</f>
        <v>130</v>
      </c>
      <c r="BK14" s="22" t="n">
        <f aca="false">BI14*IF($G14="wagon",62.5,781.25)</f>
        <v>6125</v>
      </c>
      <c r="BL14" s="22" t="n">
        <f aca="false">BJ14*IF($G14="wagon",2.73,81.25)</f>
        <v>354.9</v>
      </c>
      <c r="BV14" s="0" t="n">
        <v>1</v>
      </c>
      <c r="BY14" s="0" t="s">
        <v>118</v>
      </c>
      <c r="BZ14" s="0" t="s">
        <v>119</v>
      </c>
      <c r="CA14" s="9" t="str">
        <f aca="false">VLOOKUP(J14,Eras!$A$2:$C$10, 2, TRUE())</f>
        <v>lbr</v>
      </c>
      <c r="CB14" s="0" t="s">
        <v>120</v>
      </c>
      <c r="CC14" s="9" t="str">
        <f aca="false">CONCATENATE(CA14,"_",CB14)</f>
        <v>lbr_Carriage</v>
      </c>
      <c r="CD14" s="9" t="str">
        <f aca="false">_xlfn.CONCAT(H14, "_",I14)</f>
        <v>carriage_RAIL</v>
      </c>
      <c r="CE14" s="23" t="str">
        <f aca="false" t="array" ref="CE14:CE14">IF(AN14&lt;&gt;"na", _xlfn.CONCAT("{BLACK}Length: {GOLD}", TEXT(ROUNDUP(IF(AQ14&lt;&gt;"",SUM(VALUE(_xlfn.TEXTSPLIT(AQ14, ","))), SUM(VALUE(_xlfn.TEXTSPLIT(AN14, ",")))*IF(M14, M14, 1))/16, 1),"#,##0.0"), " tiles{}"), "")</f>
        <v>{BLACK}Length: {GOLD}0.8 tiles{}</v>
      </c>
      <c r="CF14" s="9" t="str">
        <f aca="false">VLOOKUP($CD14, Constants!$M:$N, 2, FALSE())</f>
        <v/>
      </c>
      <c r="CG14" s="9" t="str">
        <f aca="false">IF(AND(L14&gt;1,BN14&lt;&gt;1),_xlfn.CONCAT("{BLACK}Cars: {GOLD}", L14),"")</f>
        <v/>
      </c>
      <c r="CH14" s="0" t="s">
        <v>127</v>
      </c>
      <c r="CI14" s="0" t="str">
        <f aca="false">IF($BU14="!param_no_gameplay_units","{GREEN}Included for gameplay purposes","")</f>
        <v/>
      </c>
      <c r="CJ14" s="0" t="str">
        <f aca="false">IF(BX14="buffet","{YELLOW}25% long distance bonus for consist{}",IF(BY14="DANDY","{YELLOW}Faster downhill speeds for horse-drawn trains (1 required per 2 horses){}",IF(BY14="BRAKE","{YELLOW}Speed bonus for slow wagons{}",IF(BY14="NGPassengers","{YELLOW}Preserved railway bonus: passengers pay more when hauled by old locomotives{}",IF(AND(BW14&gt;190,NOT(AND(I14="NARROW_GAUGE",BY14&lt;&gt;"PASS"))),CONCATENATE("{YELLOW}",INT((BW14-185)/1.85),"% bonus for long distance travel{}"),IF(AND(BW14&lt;180,BW14&lt;&gt;0),CONCATENATE("{YELLOW}",INT((185-BW14)/1.85),"% penalty for long distance travel{}"),""))))))</f>
        <v/>
      </c>
      <c r="CK14" s="0" t="str">
        <f aca="false">_xlfn.CONCAT(CF14,IF(CF14&lt;&gt;""," ",""),CG14,IF(OR(CG14&lt;&gt;"",CF14&lt;&gt;""),"{}",""),CE14,CJ14,"{SILVER}",CH14,IF(CI14&lt;&gt;"","{}{}",""),CI14)</f>
        <v>{BLACK}Length: {GOLD}0.8 tiles{}{SILVER}The Mark 2F was the final development of the Mark 2 carriage, introducing many features which would be used on the Mark 3 Intercity carriages.</v>
      </c>
    </row>
    <row r="15" customFormat="false" ht="14.25" hidden="false" customHeight="false" outlineLevel="0" collapsed="false">
      <c r="A15" s="0" t="s">
        <v>128</v>
      </c>
      <c r="B15" s="0" t="s">
        <v>129</v>
      </c>
      <c r="C15" s="0" t="n">
        <v>1733</v>
      </c>
      <c r="D15" s="0" t="n">
        <v>1732</v>
      </c>
      <c r="E15" s="0" t="n">
        <v>1003</v>
      </c>
      <c r="F15" s="0" t="s">
        <v>115</v>
      </c>
      <c r="G15" s="0" t="s">
        <v>116</v>
      </c>
      <c r="H15" s="0" t="s">
        <v>117</v>
      </c>
      <c r="I15" s="0" t="s">
        <v>92</v>
      </c>
      <c r="J15" s="0" t="n">
        <v>1973</v>
      </c>
      <c r="W15" s="0" t="n">
        <v>40</v>
      </c>
      <c r="Y15" s="0" t="n">
        <v>5</v>
      </c>
      <c r="AA15" s="3" t="str">
        <f aca="false">IF(AND(W15&gt;0,Z15&gt;0),(Z15/((W15+X15)*10)),"")</f>
        <v/>
      </c>
      <c r="AB15" s="0" t="n">
        <v>110</v>
      </c>
      <c r="AC15" s="0" t="n">
        <f aca="false">ROUND(AB15*1.6, 0)</f>
        <v>176</v>
      </c>
      <c r="AF15" s="0" t="n">
        <v>19.66</v>
      </c>
      <c r="AG15" s="0" t="n">
        <v>19.66</v>
      </c>
      <c r="AJ15" s="4" t="n">
        <v>42</v>
      </c>
      <c r="AK15" s="5" t="str">
        <f aca="false">CONCATENATE(VLOOKUP(AL15, 'Voxel Sizes'!$A$2:$B$18,2,FALSE()),"x",INT(AH15*15), "x", INT(AI15*15))</f>
        <v>198x0x0</v>
      </c>
      <c r="AL15" s="5" t="n">
        <f aca="false">ROUND(15*((AG15*10)/256),0)</f>
        <v>12</v>
      </c>
      <c r="AN15" s="5" t="str">
        <f aca="false">CONCATENATE(VLOOKUP(AL15,Constants!$A$2:$C$16,IF(AM15&lt;&gt;"", 3, 2), FALSE()),IF(AM15&lt;&gt;"",CONCATENATE(",",VLOOKUP(AM15,$B:$AN,39,FALSE())),""))</f>
        <v>4,4,4</v>
      </c>
      <c r="AX15" s="0" t="n">
        <v>30</v>
      </c>
      <c r="AY15" s="5" t="str">
        <f aca="false">IF(L15&lt;&gt;"",MAX(16,(L15-J15)+8),"")</f>
        <v/>
      </c>
      <c r="AZ15" s="0" t="n">
        <v>135</v>
      </c>
      <c r="BA15" s="0" t="n">
        <v>105</v>
      </c>
      <c r="BB15" s="7" t="n">
        <f aca="false">MIN(AB15/150, 1)*30</f>
        <v>22</v>
      </c>
      <c r="BC15" s="7" t="n">
        <f aca="false">MIN(N15/4000, 1)*20</f>
        <v>0</v>
      </c>
      <c r="BD15" s="7" t="n">
        <f aca="false">MIN(Z15/400,1)*20</f>
        <v>0</v>
      </c>
      <c r="BE15" s="21" t="n">
        <f aca="false">1-(MAX(J15-1900, 0)/750)</f>
        <v>0.902666666666667</v>
      </c>
      <c r="BF15" s="7" t="n">
        <f aca="false">((MAX($M15,1)*MIN($AJ15/300,1)))*IF(G15="Wagon",50,10)</f>
        <v>7</v>
      </c>
      <c r="BG15" s="7" t="n">
        <f aca="false">VLOOKUP($H15,Constants!$I:$K, 2, FALSE())</f>
        <v>1.2</v>
      </c>
      <c r="BH15" s="7" t="n">
        <f aca="false">VLOOKUP($H15,Constants!$I:$K, 3, FALSE())*IF(AND(G15="multiple_unit",AB15&lt;110),0.75,1)</f>
        <v>0.6</v>
      </c>
      <c r="BI15" s="7" t="n">
        <f aca="false">INT(POWER(((Constants!$G$2+$BB15+$BC15+$BD15+$BF15)*$BE15)*$BH15, 1.05))+$BA15</f>
        <v>126</v>
      </c>
      <c r="BJ15" s="7" t="n">
        <f aca="false">INT(POWER((((Constants!$G$1+$BB15+$BC15+$BD15+$BF15)*($BE15))*$BG15),IF($G15="wagon",1,1.2)))+$AZ15</f>
        <v>182</v>
      </c>
      <c r="BK15" s="22" t="n">
        <f aca="false">BI15*IF($G15="wagon",62.5,781.25)</f>
        <v>7875</v>
      </c>
      <c r="BL15" s="22" t="n">
        <f aca="false">BJ15*IF($G15="wagon",2.73,81.25)</f>
        <v>496.86</v>
      </c>
      <c r="BV15" s="0" t="n">
        <v>1</v>
      </c>
      <c r="BW15" s="0" t="n">
        <v>222</v>
      </c>
      <c r="BY15" s="0" t="s">
        <v>118</v>
      </c>
      <c r="BZ15" s="0" t="s">
        <v>119</v>
      </c>
      <c r="CA15" s="9" t="str">
        <f aca="false">VLOOKUP(J15,Eras!$A$2:$C$10, 2, TRUE())</f>
        <v>lbr</v>
      </c>
      <c r="CB15" s="0" t="s">
        <v>120</v>
      </c>
      <c r="CC15" s="9" t="str">
        <f aca="false">CONCATENATE(CA15,"_",CB15)</f>
        <v>lbr_Carriage</v>
      </c>
      <c r="CD15" s="9" t="str">
        <f aca="false">_xlfn.CONCAT(H15, "_",I15)</f>
        <v>carriage_RAIL</v>
      </c>
      <c r="CE15" s="23" t="str">
        <f aca="false" t="array" ref="CE15:CE15">IF(AN15&lt;&gt;"na", _xlfn.CONCAT("{BLACK}Length: {GOLD}", TEXT(ROUNDUP(IF(AQ15&lt;&gt;"",SUM(VALUE(_xlfn.TEXTSPLIT(AQ15, ","))), SUM(VALUE(_xlfn.TEXTSPLIT(AN15, ",")))*IF(M15, M15, 1))/16, 1),"#,##0.0"), " tiles{}"), "")</f>
        <v>{BLACK}Length: {GOLD}0.8 tiles{}</v>
      </c>
      <c r="CF15" s="9" t="str">
        <f aca="false">VLOOKUP($CD15, Constants!$M:$N, 2, FALSE())</f>
        <v/>
      </c>
      <c r="CG15" s="9" t="str">
        <f aca="false">IF(AND(L15&gt;1,BN15&lt;&gt;1),_xlfn.CONCAT("{BLACK}Cars: {GOLD}", L15),"")</f>
        <v/>
      </c>
      <c r="CH15" s="0" t="s">
        <v>130</v>
      </c>
      <c r="CI15" s="0" t="str">
        <f aca="false">IF($BU15="!param_no_gameplay_units","{GREEN}Included for gameplay purposes","")</f>
        <v/>
      </c>
      <c r="CJ15" s="0" t="str">
        <f aca="false">IF(BX15="buffet","{YELLOW}25% long distance bonus for consist{}",IF(BY15="DANDY","{YELLOW}Faster downhill speeds for horse-drawn trains (1 required per 2 horses){}",IF(BY15="BRAKE","{YELLOW}Speed bonus for slow wagons{}",IF(BY15="NGPassengers","{YELLOW}Preserved railway bonus: passengers pay more when hauled by old locomotives{}",IF(AND(BW15&gt;190,NOT(AND(I15="NARROW_GAUGE",BY15&lt;&gt;"PASS"))),CONCATENATE("{YELLOW}",INT((BW15-185)/1.85),"% bonus for long distance travel{}"),IF(AND(BW15&lt;180,BW15&lt;&gt;0),CONCATENATE("{YELLOW}",INT((185-BW15)/1.85),"% penalty for long distance travel{}"),""))))))</f>
        <v>{YELLOW}20% bonus for long distance travel{}</v>
      </c>
      <c r="CK15" s="0" t="str">
        <f aca="false">_xlfn.CONCAT(CF15,IF(CF15&lt;&gt;""," ",""),CG15,IF(OR(CG15&lt;&gt;"",CF15&lt;&gt;""),"{}",""),CE15,CJ15,"{SILVER}",CH15,IF(CI15&lt;&gt;"","{}{}",""),CI15)</f>
        <v>{BLACK}Length: {GOLD}0.8 tiles{}{YELLOW}20% bonus for long distance travel{}{SILVER}By the point of the Mk2F, BR had abandoned corridor carriage layouts, using only open saloons even for first class.</v>
      </c>
    </row>
    <row r="16" customFormat="false" ht="14.25" hidden="false" customHeight="false" outlineLevel="0" collapsed="false">
      <c r="A16" s="0" t="s">
        <v>131</v>
      </c>
      <c r="B16" s="0" t="s">
        <v>132</v>
      </c>
      <c r="C16" s="0" t="n">
        <v>1734</v>
      </c>
      <c r="D16" s="0" t="n">
        <v>1732</v>
      </c>
      <c r="E16" s="0" t="n">
        <v>1004</v>
      </c>
      <c r="F16" s="0" t="s">
        <v>115</v>
      </c>
      <c r="G16" s="0" t="s">
        <v>116</v>
      </c>
      <c r="H16" s="0" t="s">
        <v>117</v>
      </c>
      <c r="I16" s="0" t="s">
        <v>92</v>
      </c>
      <c r="J16" s="0" t="n">
        <v>1973</v>
      </c>
      <c r="W16" s="0" t="n">
        <v>44</v>
      </c>
      <c r="Y16" s="0" t="n">
        <v>5</v>
      </c>
      <c r="AA16" s="3" t="str">
        <f aca="false">IF(AND(W16&gt;0,Z16&gt;0),(Z16/((W16+X16)*10)),"")</f>
        <v/>
      </c>
      <c r="AB16" s="0" t="n">
        <v>110</v>
      </c>
      <c r="AC16" s="0" t="n">
        <f aca="false">ROUND(AB16*1.6, 0)</f>
        <v>176</v>
      </c>
      <c r="AF16" s="0" t="n">
        <v>19.66</v>
      </c>
      <c r="AG16" s="0" t="n">
        <v>19.66</v>
      </c>
      <c r="AJ16" s="4" t="n">
        <v>24</v>
      </c>
      <c r="AK16" s="5" t="str">
        <f aca="false">CONCATENATE(VLOOKUP(AL16, 'Voxel Sizes'!$A$2:$B$18,2,FALSE()),"x",INT(AH16*15), "x", INT(AI16*15))</f>
        <v>198x0x0</v>
      </c>
      <c r="AL16" s="5" t="n">
        <f aca="false">ROUND(15*((AG16*10)/256),0)</f>
        <v>12</v>
      </c>
      <c r="AN16" s="5" t="str">
        <f aca="false">CONCATENATE(VLOOKUP(AL16,Constants!$A$2:$C$16,IF(AM16&lt;&gt;"", 3, 2), FALSE()),IF(AM16&lt;&gt;"",CONCATENATE(",",VLOOKUP(AM16,$B:$AN,39,FALSE())),""))</f>
        <v>4,4,4</v>
      </c>
      <c r="AX16" s="0" t="n">
        <v>30</v>
      </c>
      <c r="AY16" s="5" t="str">
        <f aca="false">IF(L16&lt;&gt;"",MAX(16,(L16-J16)+8),"")</f>
        <v/>
      </c>
      <c r="AZ16" s="0" t="n">
        <v>1150</v>
      </c>
      <c r="BA16" s="0" t="n">
        <v>150</v>
      </c>
      <c r="BB16" s="7" t="n">
        <f aca="false">MIN(AB16/150, 1)*30</f>
        <v>22</v>
      </c>
      <c r="BC16" s="7" t="n">
        <f aca="false">MIN(N16/4000, 1)*20</f>
        <v>0</v>
      </c>
      <c r="BD16" s="7" t="n">
        <f aca="false">MIN(Z16/400,1)*20</f>
        <v>0</v>
      </c>
      <c r="BE16" s="21" t="n">
        <f aca="false">1-(MAX(J16-1900, 0)/750)</f>
        <v>0.902666666666667</v>
      </c>
      <c r="BF16" s="7" t="n">
        <f aca="false">((MAX($M16,1)*MIN($AJ16/300,1)))*IF(G16="Wagon",50,10)</f>
        <v>4</v>
      </c>
      <c r="BG16" s="7" t="n">
        <f aca="false">VLOOKUP($H16,Constants!$I:$K, 2, FALSE())</f>
        <v>1.2</v>
      </c>
      <c r="BH16" s="7" t="n">
        <f aca="false">VLOOKUP($H16,Constants!$I:$K, 3, FALSE())*IF(AND(G16="multiple_unit",AB16&lt;110),0.75,1)</f>
        <v>0.6</v>
      </c>
      <c r="BI16" s="7" t="n">
        <f aca="false">INT(POWER(((Constants!$G$2+$BB16+$BC16+$BD16+$BF16)*$BE16)*$BH16, 1.05))+$BA16</f>
        <v>169</v>
      </c>
      <c r="BJ16" s="7" t="n">
        <f aca="false">INT(POWER((((Constants!$G$1+$BB16+$BC16+$BD16+$BF16)*($BE16))*$BG16),IF($G16="wagon",1,1.2)))+$AZ16</f>
        <v>1194</v>
      </c>
      <c r="BK16" s="22" t="n">
        <f aca="false">BI16*IF($G16="wagon",62.5,781.25)</f>
        <v>10562.5</v>
      </c>
      <c r="BL16" s="22" t="n">
        <f aca="false">BJ16*IF($G16="wagon",2.73,81.25)</f>
        <v>3259.62</v>
      </c>
      <c r="BV16" s="0" t="n">
        <v>1</v>
      </c>
      <c r="BW16" s="0" t="n">
        <v>222</v>
      </c>
      <c r="BX16" s="0" t="s">
        <v>133</v>
      </c>
      <c r="BY16" s="0" t="s">
        <v>118</v>
      </c>
      <c r="BZ16" s="0" t="s">
        <v>119</v>
      </c>
      <c r="CA16" s="9" t="str">
        <f aca="false">VLOOKUP(J16,Eras!$A$2:$C$10, 2, TRUE())</f>
        <v>lbr</v>
      </c>
      <c r="CB16" s="0" t="s">
        <v>120</v>
      </c>
      <c r="CC16" s="9" t="str">
        <f aca="false">CONCATENATE(CA16,"_",CB16)</f>
        <v>lbr_Carriage</v>
      </c>
      <c r="CD16" s="9" t="str">
        <f aca="false">_xlfn.CONCAT(H16, "_",I16)</f>
        <v>carriage_RAIL</v>
      </c>
      <c r="CE16" s="23" t="str">
        <f aca="false" t="array" ref="CE16:CE16">IF(AN16&lt;&gt;"na", _xlfn.CONCAT("{BLACK}Length: {GOLD}", TEXT(ROUNDUP(IF(AQ16&lt;&gt;"",SUM(VALUE(_xlfn.TEXTSPLIT(AQ16, ","))), SUM(VALUE(_xlfn.TEXTSPLIT(AN16, ",")))*IF(M16, M16, 1))/16, 1),"#,##0.0"), " tiles{}"), "")</f>
        <v>{BLACK}Length: {GOLD}0.8 tiles{}</v>
      </c>
      <c r="CF16" s="9" t="str">
        <f aca="false">VLOOKUP($CD16, Constants!$M:$N, 2, FALSE())</f>
        <v/>
      </c>
      <c r="CG16" s="9" t="str">
        <f aca="false">IF(AND(L16&gt;1,BN16&lt;&gt;1),_xlfn.CONCAT("{BLACK}Cars: {GOLD}", L16),"")</f>
        <v/>
      </c>
      <c r="CH16" s="0" t="s">
        <v>134</v>
      </c>
      <c r="CI16" s="0" t="str">
        <f aca="false">IF($BU16="!param_no_gameplay_units","{GREEN}Included for gameplay purposes","")</f>
        <v/>
      </c>
      <c r="CJ16" s="0" t="str">
        <f aca="false">IF(BX16="buffet","{YELLOW}25% long distance bonus for consist{}",IF(BY16="DANDY","{YELLOW}Faster downhill speeds for horse-drawn trains (1 required per 2 horses){}",IF(BY16="BRAKE","{YELLOW}Speed bonus for slow wagons{}",IF(BY16="NGPassengers","{YELLOW}Preserved railway bonus: passengers pay more when hauled by old locomotives{}",IF(AND(BW16&gt;190,NOT(AND(I16="NARROW_GAUGE",BY16&lt;&gt;"PASS"))),CONCATENATE("{YELLOW}",INT((BW16-185)/1.85),"% bonus for long distance travel{}"),IF(AND(BW16&lt;180,BW16&lt;&gt;0),CONCATENATE("{YELLOW}",INT((185-BW16)/1.85),"% penalty for long distance travel{}"),""))))))</f>
        <v>{YELLOW}25% long distance bonus for consist{}</v>
      </c>
      <c r="CK16" s="0" t="str">
        <f aca="false">_xlfn.CONCAT(CF16,IF(CF16&lt;&gt;""," ",""),CG16,IF(OR(CG16&lt;&gt;"",CF16&lt;&gt;""),"{}",""),CE16,CJ16,"{SILVER}",CH16,IF(CI16&lt;&gt;"","{}{}",""),CI16)</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17" customFormat="false" ht="14.25" hidden="false" customHeight="false" outlineLevel="0" collapsed="false">
      <c r="A17" s="0" t="s">
        <v>135</v>
      </c>
      <c r="B17" s="0" t="s">
        <v>136</v>
      </c>
      <c r="C17" s="0" t="n">
        <v>1735</v>
      </c>
      <c r="D17" s="0" t="n">
        <v>1732</v>
      </c>
      <c r="E17" s="0" t="n">
        <v>1005</v>
      </c>
      <c r="F17" s="0" t="s">
        <v>115</v>
      </c>
      <c r="G17" s="0" t="s">
        <v>116</v>
      </c>
      <c r="H17" s="0" t="s">
        <v>117</v>
      </c>
      <c r="I17" s="0" t="s">
        <v>92</v>
      </c>
      <c r="J17" s="0" t="n">
        <v>1973</v>
      </c>
      <c r="W17" s="0" t="n">
        <v>40</v>
      </c>
      <c r="Y17" s="0" t="n">
        <v>5</v>
      </c>
      <c r="AA17" s="3" t="str">
        <f aca="false">IF(AND(W17&gt;0,Z17&gt;0),(Z17/((W17+X17)*10)),"")</f>
        <v/>
      </c>
      <c r="AB17" s="0" t="n">
        <v>110</v>
      </c>
      <c r="AC17" s="0" t="n">
        <f aca="false">ROUND(AB17*1.6, 0)</f>
        <v>176</v>
      </c>
      <c r="AF17" s="0" t="n">
        <v>19.66</v>
      </c>
      <c r="AG17" s="0" t="n">
        <v>19.66</v>
      </c>
      <c r="AJ17" s="4" t="n">
        <v>69</v>
      </c>
      <c r="AK17" s="5" t="str">
        <f aca="false">CONCATENATE(VLOOKUP(AL17, 'Voxel Sizes'!$A$2:$B$18,2,FALSE()),"x",INT(AH17*15), "x", INT(AI17*15))</f>
        <v>198x0x0</v>
      </c>
      <c r="AL17" s="5" t="n">
        <f aca="false">ROUND(15*((AG17*10)/256),0)</f>
        <v>12</v>
      </c>
      <c r="AN17" s="5" t="str">
        <f aca="false">CONCATENATE(VLOOKUP(AL17,Constants!$A$2:$C$16,IF(AM17&lt;&gt;"", 3, 2), FALSE()),IF(AM17&lt;&gt;"",CONCATENATE(",",VLOOKUP(AM17,$B:$AN,39,FALSE())),""))</f>
        <v>4,4,4</v>
      </c>
      <c r="AX17" s="0" t="n">
        <v>30</v>
      </c>
      <c r="AY17" s="5" t="str">
        <f aca="false">IF(L17&lt;&gt;"",MAX(16,(L17-J17)+8),"")</f>
        <v/>
      </c>
      <c r="AZ17" s="0" t="n">
        <v>79</v>
      </c>
      <c r="BA17" s="0" t="n">
        <f aca="false">25*3</f>
        <v>75</v>
      </c>
      <c r="BB17" s="7" t="n">
        <f aca="false">MIN(AB17/150, 1)*30</f>
        <v>22</v>
      </c>
      <c r="BC17" s="7" t="n">
        <f aca="false">MIN(N17/4000, 1)*20</f>
        <v>0</v>
      </c>
      <c r="BD17" s="7" t="n">
        <f aca="false">MIN(Z17/400,1)*20</f>
        <v>0</v>
      </c>
      <c r="BE17" s="21" t="n">
        <f aca="false">1-(MAX(J17-1900, 0)/750)</f>
        <v>0.902666666666667</v>
      </c>
      <c r="BF17" s="7" t="n">
        <f aca="false">((MAX($M17,1)*MIN($AJ17/300,1)))*IF(G17="Wagon",50,10)</f>
        <v>11.5</v>
      </c>
      <c r="BG17" s="7" t="n">
        <f aca="false">VLOOKUP($H17,Constants!$I:$K, 2, FALSE())</f>
        <v>1.2</v>
      </c>
      <c r="BH17" s="7" t="n">
        <f aca="false">VLOOKUP($H17,Constants!$I:$K, 3, FALSE())*IF(AND(G17="multiple_unit",AB17&lt;110),0.75,1)</f>
        <v>0.6</v>
      </c>
      <c r="BI17" s="7" t="n">
        <f aca="false">INT(POWER(((Constants!$G$2+$BB17+$BC17+$BD17+$BF17)*$BE17)*$BH17, 1.05))+$BA17</f>
        <v>99</v>
      </c>
      <c r="BJ17" s="7" t="n">
        <f aca="false">INT(POWER((((Constants!$G$1+$BB17+$BC17+$BD17+$BF17)*($BE17))*$BG17),IF($G17="wagon",1,1.2)))+$AZ17</f>
        <v>131</v>
      </c>
      <c r="BK17" s="22" t="n">
        <f aca="false">BI17*IF($G17="wagon",62.5,781.25)</f>
        <v>6187.5</v>
      </c>
      <c r="BL17" s="22" t="n">
        <f aca="false">BJ17*IF($G17="wagon",2.73,81.25)</f>
        <v>357.63</v>
      </c>
      <c r="BU17" s="0" t="s">
        <v>137</v>
      </c>
      <c r="BV17" s="0" t="n">
        <v>1</v>
      </c>
      <c r="BY17" s="0" t="s">
        <v>138</v>
      </c>
      <c r="BZ17" s="0" t="s">
        <v>139</v>
      </c>
      <c r="CA17" s="9" t="str">
        <f aca="false">VLOOKUP(J17,Eras!$A$2:$C$10, 2, TRUE())</f>
        <v>lbr</v>
      </c>
      <c r="CB17" s="0" t="s">
        <v>120</v>
      </c>
      <c r="CC17" s="9" t="str">
        <f aca="false">CONCATENATE(CA17,"_",CB17)</f>
        <v>lbr_Carriage</v>
      </c>
      <c r="CD17" s="9" t="str">
        <f aca="false">_xlfn.CONCAT(H17, "_",I17)</f>
        <v>carriage_RAIL</v>
      </c>
      <c r="CE17" s="23" t="str">
        <f aca="false" t="array" ref="CE17:CE17">IF(AN17&lt;&gt;"na", _xlfn.CONCAT("{BLACK}Length: {GOLD}", TEXT(ROUNDUP(IF(AQ17&lt;&gt;"",SUM(VALUE(_xlfn.TEXTSPLIT(AQ17, ","))), SUM(VALUE(_xlfn.TEXTSPLIT(AN17, ",")))*IF(M17, M17, 1))/16, 1),"#,##0.0"), " tiles{}"), "")</f>
        <v>{BLACK}Length: {GOLD}0.8 tiles{}</v>
      </c>
      <c r="CF17" s="9" t="str">
        <f aca="false">VLOOKUP($CD17, Constants!$M:$N, 2, FALSE())</f>
        <v/>
      </c>
      <c r="CG17" s="9" t="str">
        <f aca="false">IF(AND(L17&gt;1,BN17&lt;&gt;1),_xlfn.CONCAT("{BLACK}Cars: {GOLD}", L17),"")</f>
        <v/>
      </c>
      <c r="CH17" s="0" t="s">
        <v>140</v>
      </c>
      <c r="CI17" s="0" t="str">
        <f aca="false">IF($BU17="!param_no_gameplay_units","{GREEN}Included for gameplay purposes","")</f>
        <v>{GREEN}Included for gameplay purposes</v>
      </c>
      <c r="CJ17" s="0" t="str">
        <f aca="false">IF(BX17="buffet","{YELLOW}25% long distance bonus for consist{}",IF(BY17="DANDY","{YELLOW}Faster downhill speeds for horse-drawn trains (1 required per 2 horses){}",IF(BY17="BRAKE","{YELLOW}Speed bonus for slow wagons{}",IF(BY17="NGPassengers","{YELLOW}Preserved railway bonus: passengers pay more when hauled by old locomotives{}",IF(AND(BW17&gt;190,NOT(AND(I17="NARROW_GAUGE",BY17&lt;&gt;"PASS"))),CONCATENATE("{YELLOW}",INT((BW17-185)/1.85),"% bonus for long distance travel{}"),IF(AND(BW17&lt;180,BW17&lt;&gt;0),CONCATENATE("{YELLOW}",INT((185-BW17)/1.85),"% penalty for long distance travel{}"),""))))))</f>
        <v/>
      </c>
      <c r="CK17" s="0" t="str">
        <f aca="false">_xlfn.CONCAT(CF17,IF(CF17&lt;&gt;""," ",""),CG17,IF(OR(CG17&lt;&gt;"",CF17&lt;&gt;""),"{}",""),CE17,CJ17,"{SILVER}",CH17,IF(CI17&lt;&gt;"","{}{}",""),CI17)</f>
        <v>{BLACK}Length: {GOLD}0.8 tiles{}{SILVER}By the 1970s BR had ceased to build carriages with the intention of adding parcel vans to passenger services, but that hasn't stopped railfans and modellers wondering what could have been.{}{}{GREEN}Included for gameplay purposes</v>
      </c>
    </row>
    <row r="18" customFormat="false" ht="14.25" hidden="false" customHeight="false" outlineLevel="0" collapsed="false">
      <c r="A18" s="0" t="s">
        <v>141</v>
      </c>
      <c r="B18" s="0" t="s">
        <v>142</v>
      </c>
      <c r="C18" s="0" t="n">
        <v>1731</v>
      </c>
      <c r="D18" s="0" t="n">
        <v>1732</v>
      </c>
      <c r="E18" s="0" t="n">
        <v>1006</v>
      </c>
      <c r="F18" s="0" t="s">
        <v>115</v>
      </c>
      <c r="G18" s="0" t="s">
        <v>116</v>
      </c>
      <c r="H18" s="0" t="s">
        <v>117</v>
      </c>
      <c r="I18" s="0" t="s">
        <v>92</v>
      </c>
      <c r="J18" s="0" t="n">
        <v>1973</v>
      </c>
      <c r="W18" s="0" t="n">
        <v>40</v>
      </c>
      <c r="Y18" s="0" t="n">
        <v>5</v>
      </c>
      <c r="AA18" s="3" t="str">
        <f aca="false">IF(AND(W18&gt;0,Z18&gt;0),(Z18/((W18+X18)*10)),"")</f>
        <v/>
      </c>
      <c r="AB18" s="0" t="n">
        <v>110</v>
      </c>
      <c r="AC18" s="0" t="n">
        <f aca="false">ROUND(AB18*1.6, 0)</f>
        <v>176</v>
      </c>
      <c r="AF18" s="0" t="n">
        <v>19.66</v>
      </c>
      <c r="AG18" s="0" t="n">
        <v>19.66</v>
      </c>
      <c r="AJ18" s="4" t="n">
        <v>60</v>
      </c>
      <c r="AK18" s="5" t="str">
        <f aca="false">CONCATENATE(VLOOKUP(AL18, 'Voxel Sizes'!$A$2:$B$18,2,FALSE()),"x",INT(AH18*15), "x", INT(AI18*15))</f>
        <v>198x0x0</v>
      </c>
      <c r="AL18" s="5" t="n">
        <f aca="false">ROUND(15*((AG18*10)/256),0)</f>
        <v>12</v>
      </c>
      <c r="AN18" s="5" t="str">
        <f aca="false">CONCATENATE(VLOOKUP(AL18,Constants!$A$2:$C$16,IF(AM18&lt;&gt;"", 3, 2), FALSE()),IF(AM18&lt;&gt;"",CONCATENATE(",",VLOOKUP(AM18,$B:$AN,39,FALSE())),""))</f>
        <v>4,4,4</v>
      </c>
      <c r="AU18" s="0" t="s">
        <v>126</v>
      </c>
      <c r="AX18" s="0" t="n">
        <v>30</v>
      </c>
      <c r="AY18" s="5" t="str">
        <f aca="false">IF(L18&lt;&gt;"",MAX(16,(L18-J18)+8),"")</f>
        <v/>
      </c>
      <c r="AZ18" s="0" t="n">
        <v>79</v>
      </c>
      <c r="BA18" s="0" t="n">
        <f aca="false">25*3</f>
        <v>75</v>
      </c>
      <c r="BB18" s="7" t="n">
        <f aca="false">MIN(AB18/150, 1)*30</f>
        <v>22</v>
      </c>
      <c r="BC18" s="7" t="n">
        <f aca="false">MIN(N18/4000, 1)*20</f>
        <v>0</v>
      </c>
      <c r="BD18" s="7" t="n">
        <f aca="false">MIN(Z18/400,1)*20</f>
        <v>0</v>
      </c>
      <c r="BE18" s="21" t="n">
        <f aca="false">1-(MAX(J18-1900, 0)/750)</f>
        <v>0.902666666666667</v>
      </c>
      <c r="BF18" s="7" t="n">
        <f aca="false">((MAX($M18,1)*MIN($AJ18/300,1)))*IF(G18="Wagon",50,10)</f>
        <v>10</v>
      </c>
      <c r="BG18" s="7" t="n">
        <f aca="false">VLOOKUP($H18,Constants!$I:$K, 2, FALSE())</f>
        <v>1.2</v>
      </c>
      <c r="BH18" s="7" t="n">
        <f aca="false">VLOOKUP($H18,Constants!$I:$K, 3, FALSE())*IF(AND(G18="multiple_unit",AB18&lt;110),0.75,1)</f>
        <v>0.6</v>
      </c>
      <c r="BI18" s="7" t="n">
        <f aca="false">INT(POWER(((Constants!$G$2+$BB18+$BC18+$BD18+$BF18)*$BE18)*$BH18, 1.05))+$BA18</f>
        <v>98</v>
      </c>
      <c r="BJ18" s="7" t="n">
        <f aca="false">INT(POWER((((Constants!$G$1+$BB18+$BC18+$BD18+$BF18)*($BE18))*$BG18),IF($G18="wagon",1,1.2)))+$AZ18</f>
        <v>129</v>
      </c>
      <c r="BK18" s="22" t="n">
        <f aca="false">BI18*IF($G18="wagon",62.5,781.25)</f>
        <v>6125</v>
      </c>
      <c r="BL18" s="22" t="n">
        <f aca="false">BJ18*IF($G18="wagon",2.73,81.25)</f>
        <v>352.17</v>
      </c>
      <c r="BU18" s="0" t="s">
        <v>143</v>
      </c>
      <c r="BV18" s="0" t="n">
        <v>1</v>
      </c>
      <c r="BY18" s="0" t="s">
        <v>118</v>
      </c>
      <c r="BZ18" s="0" t="s">
        <v>119</v>
      </c>
      <c r="CA18" s="9" t="str">
        <f aca="false">VLOOKUP(J18,Eras!$A$2:$C$10, 2, TRUE())</f>
        <v>lbr</v>
      </c>
      <c r="CB18" s="0" t="s">
        <v>120</v>
      </c>
      <c r="CC18" s="9" t="str">
        <f aca="false">CONCATENATE(CA18,"_",CB18)</f>
        <v>lbr_Carriage</v>
      </c>
      <c r="CD18" s="9" t="str">
        <f aca="false">_xlfn.CONCAT(H18, "_",I18)</f>
        <v>carriage_RAIL</v>
      </c>
      <c r="CE18" s="23" t="str">
        <f aca="false" t="array" ref="CE18:CE18">IF(AN18&lt;&gt;"na", _xlfn.CONCAT("{BLACK}Length: {GOLD}", TEXT(ROUNDUP(IF(AQ18&lt;&gt;"",SUM(VALUE(_xlfn.TEXTSPLIT(AQ18, ","))), SUM(VALUE(_xlfn.TEXTSPLIT(AN18, ",")))*IF(M18, M18, 1))/16, 1),"#,##0.0"), " tiles{}"), "")</f>
        <v>{BLACK}Length: {GOLD}0.8 tiles{}</v>
      </c>
      <c r="CF18" s="9" t="str">
        <f aca="false">VLOOKUP($CD18, Constants!$M:$N, 2, FALSE())</f>
        <v/>
      </c>
      <c r="CG18" s="9" t="str">
        <f aca="false">IF(AND(L18&gt;1,BN18&lt;&gt;1),_xlfn.CONCAT("{BLACK}Cars: {GOLD}", L18),"")</f>
        <v/>
      </c>
      <c r="CH18" s="0" t="s">
        <v>127</v>
      </c>
      <c r="CI18" s="0" t="str">
        <f aca="false">IF($BU18="!param_no_gameplay_units","{GREEN}Included for gameplay purposes","")</f>
        <v/>
      </c>
      <c r="CJ18" s="0" t="str">
        <f aca="false">IF(BX18="buffet","{YELLOW}25% long distance bonus for consist{}",IF(BY18="DANDY","{YELLOW}Faster downhill speeds for horse-drawn trains (1 required per 2 horses){}",IF(BY18="BRAKE","{YELLOW}Speed bonus for slow wagons{}",IF(BY18="NGPassengers","{YELLOW}Preserved railway bonus: passengers pay more when hauled by old locomotives{}",IF(AND(BW18&gt;190,NOT(AND(I18="NARROW_GAUGE",BY18&lt;&gt;"PASS"))),CONCATENATE("{YELLOW}",INT((BW18-185)/1.85),"% bonus for long distance travel{}"),IF(AND(BW18&lt;180,BW18&lt;&gt;0),CONCATENATE("{YELLOW}",INT((185-BW18)/1.85),"% penalty for long distance travel{}"),""))))))</f>
        <v/>
      </c>
      <c r="CK18" s="0" t="str">
        <f aca="false">_xlfn.CONCAT(CF18,IF(CF18&lt;&gt;""," ",""),CG18,IF(OR(CG18&lt;&gt;"",CF18&lt;&gt;""),"{}",""),CE18,CJ18,"{SILVER}",CH18,IF(CI18&lt;&gt;"","{}{}",""),CI18)</f>
        <v>{BLACK}Length: {GOLD}0.8 tiles{}{SILVER}The Mark 2F was the final development of the Mark 2 carriage, introducing many features which would be used on the Mark 3 Intercity carriages.</v>
      </c>
    </row>
    <row r="19" customFormat="false" ht="14.25" hidden="false" customHeight="false" outlineLevel="0" collapsed="false">
      <c r="A19" s="0" t="s">
        <v>144</v>
      </c>
      <c r="B19" s="0" t="s">
        <v>145</v>
      </c>
      <c r="C19" s="0" t="n">
        <v>1172</v>
      </c>
      <c r="E19" s="0" t="n">
        <v>1007</v>
      </c>
      <c r="F19" s="0" t="s">
        <v>115</v>
      </c>
      <c r="G19" s="0" t="s">
        <v>116</v>
      </c>
      <c r="H19" s="0" t="s">
        <v>117</v>
      </c>
      <c r="I19" s="0" t="s">
        <v>92</v>
      </c>
      <c r="J19" s="0" t="n">
        <v>2017</v>
      </c>
      <c r="W19" s="0" t="n">
        <v>40</v>
      </c>
      <c r="Y19" s="0" t="n">
        <v>5</v>
      </c>
      <c r="AA19" s="3" t="str">
        <f aca="false">IF(AND(W19&gt;0,Z19&gt;0),(Z19/((W19+X19)*10)),"")</f>
        <v/>
      </c>
      <c r="AB19" s="0" t="n">
        <v>125</v>
      </c>
      <c r="AC19" s="0" t="n">
        <f aca="false">ROUND(AB19*1.6, 0)</f>
        <v>200</v>
      </c>
      <c r="AF19" s="0" t="n">
        <v>23</v>
      </c>
      <c r="AG19" s="0" t="n">
        <v>23</v>
      </c>
      <c r="AJ19" s="4" t="n">
        <v>57</v>
      </c>
      <c r="AK19" s="5" t="str">
        <f aca="false">CONCATENATE(VLOOKUP(AL19, 'Voxel Sizes'!$A$2:$B$18,2,FALSE()),"x",INT(AH19*15), "x", INT(AI19*15))</f>
        <v>214x0x0</v>
      </c>
      <c r="AL19" s="5" t="n">
        <f aca="false">ROUND(15*((AG19*10)/256),0)</f>
        <v>13</v>
      </c>
      <c r="AN19" s="5" t="str">
        <f aca="false">CONCATENATE(VLOOKUP(AL19,Constants!$A$2:$C$16,IF(AM19&lt;&gt;"", 3, 2), FALSE()),IF(AM19&lt;&gt;"",CONCATENATE(",",VLOOKUP(AM19,$B:$AN,39,FALSE())),""))</f>
        <v>4,5,4</v>
      </c>
      <c r="AX19" s="0" t="n">
        <v>30</v>
      </c>
      <c r="AY19" s="5" t="str">
        <f aca="false">IF(L19&lt;&gt;"",MAX(16,(L19-J19)+8),"")</f>
        <v/>
      </c>
      <c r="AZ19" s="0" t="n">
        <v>85</v>
      </c>
      <c r="BA19" s="0" t="n">
        <v>85</v>
      </c>
      <c r="BB19" s="7" t="n">
        <f aca="false">MIN(AB19/150, 1)*30</f>
        <v>25</v>
      </c>
      <c r="BC19" s="7" t="n">
        <f aca="false">MIN(N19/4000, 1)*20</f>
        <v>0</v>
      </c>
      <c r="BD19" s="7" t="n">
        <f aca="false">MIN(Z19/400,1)*20</f>
        <v>0</v>
      </c>
      <c r="BE19" s="21" t="n">
        <f aca="false">1-(MAX(J19-1900, 0)/750)</f>
        <v>0.844</v>
      </c>
      <c r="BF19" s="7" t="n">
        <f aca="false">((MAX($M19,1)*MIN($AJ19/300,1)))*IF(G19="Wagon",50,10)</f>
        <v>9.5</v>
      </c>
      <c r="BG19" s="7" t="n">
        <f aca="false">VLOOKUP($H19,Constants!$I:$K, 2, FALSE())</f>
        <v>1.2</v>
      </c>
      <c r="BH19" s="7" t="n">
        <f aca="false">VLOOKUP($H19,Constants!$I:$K, 3, FALSE())*IF(AND(G19="multiple_unit",AB19&lt;110),0.75,1)</f>
        <v>0.6</v>
      </c>
      <c r="BI19" s="7" t="n">
        <f aca="false">INT(POWER(((Constants!$G$2+$BB19+$BC19+$BD19+$BF19)*$BE19)*$BH19, 1.05))+$BA19</f>
        <v>108</v>
      </c>
      <c r="BJ19" s="7" t="n">
        <f aca="false">INT(POWER((((Constants!$G$1+$BB19+$BC19+$BD19+$BF19)*($BE19))*$BG19),IF($G19="wagon",1,1.2)))+$AZ19</f>
        <v>135</v>
      </c>
      <c r="BK19" s="22" t="n">
        <f aca="false">BI19*IF($G19="wagon",62.5,781.25)</f>
        <v>6750</v>
      </c>
      <c r="BL19" s="22" t="n">
        <f aca="false">BJ19*IF($G19="wagon",2.73,81.25)</f>
        <v>368.55</v>
      </c>
      <c r="BV19" s="0" t="n">
        <v>1</v>
      </c>
      <c r="BW19" s="0" t="n">
        <v>222</v>
      </c>
      <c r="BY19" s="0" t="s">
        <v>118</v>
      </c>
      <c r="BZ19" s="0" t="s">
        <v>119</v>
      </c>
      <c r="CA19" s="9" t="str">
        <f aca="false">VLOOKUP(J19,Eras!$A$2:$C$10, 2, TRUE())</f>
        <v>mod</v>
      </c>
      <c r="CB19" s="0" t="s">
        <v>120</v>
      </c>
      <c r="CC19" s="9" t="str">
        <f aca="false">CONCATENATE(CA19,"_",CB19)</f>
        <v>mod_Carriage</v>
      </c>
      <c r="CD19" s="9" t="str">
        <f aca="false">_xlfn.CONCAT(H19, "_",I19)</f>
        <v>carriage_RAIL</v>
      </c>
      <c r="CE19" s="23" t="str">
        <f aca="false" t="array" ref="CE19:CE19">IF(AN19&lt;&gt;"na", _xlfn.CONCAT("{BLACK}Length: {GOLD}", TEXT(ROUNDUP(IF(AQ19&lt;&gt;"",SUM(VALUE(_xlfn.TEXTSPLIT(AQ19, ","))), SUM(VALUE(_xlfn.TEXTSPLIT(AN19, ",")))*IF(M19, M19, 1))/16, 1),"#,##0.0"), " tiles{}"), "")</f>
        <v>{BLACK}Length: {GOLD}0.9 tiles{}</v>
      </c>
      <c r="CF19" s="9" t="str">
        <f aca="false">VLOOKUP($CD19, Constants!$M:$N, 2, FALSE())</f>
        <v/>
      </c>
      <c r="CG19" s="9" t="str">
        <f aca="false">IF(AND(L19&gt;1,BN19&lt;&gt;1),_xlfn.CONCAT("{BLACK}Cars: {GOLD}", L19),"")</f>
        <v/>
      </c>
      <c r="CH19" s="0" t="s">
        <v>146</v>
      </c>
      <c r="CI19" s="0" t="str">
        <f aca="false">IF($BU19="!param_no_gameplay_units","{GREEN}Included for gameplay purposes","")</f>
        <v/>
      </c>
      <c r="CJ19" s="0" t="str">
        <f aca="false">IF(BX19="buffet","{YELLOW}25% long distance bonus for consist{}",IF(BY19="DANDY","{YELLOW}Faster downhill speeds for horse-drawn trains (1 required per 2 horses){}",IF(BY19="BRAKE","{YELLOW}Speed bonus for slow wagons{}",IF(BY19="NGPassengers","{YELLOW}Preserved railway bonus: passengers pay more when hauled by old locomotives{}",IF(AND(BW19&gt;190,NOT(AND(I19="NARROW_GAUGE",BY19&lt;&gt;"PASS"))),CONCATENATE("{YELLOW}",INT((BW19-185)/1.85),"% bonus for long distance travel{}"),IF(AND(BW19&lt;180,BW19&lt;&gt;0),CONCATENATE("{YELLOW}",INT((185-BW19)/1.85),"% penalty for long distance travel{}"),""))))))</f>
        <v>{YELLOW}20% bonus for long distance travel{}</v>
      </c>
      <c r="CK19" s="0" t="str">
        <f aca="false">_xlfn.CONCAT(CF19,IF(CF19&lt;&gt;""," ",""),CG19,IF(OR(CG19&lt;&gt;"",CF19&lt;&gt;""),"{}",""),CE19,CJ19,"{SILVER}",CH19,IF(CI19&lt;&gt;"","{}{}",""),CI19)</f>
        <v>{BLACK}Length: {GOLD}0.9 tiles{}{YELLOW}20% bonus for long distance travel{}{SILVER}The Mark 5A was built for loco-hauled services on the TransPennine Express, but was withdrawn barely four years after introduction.</v>
      </c>
    </row>
    <row r="20" customFormat="false" ht="14.25" hidden="false" customHeight="false" outlineLevel="0" collapsed="false">
      <c r="A20" s="0" t="s">
        <v>147</v>
      </c>
      <c r="B20" s="0" t="s">
        <v>148</v>
      </c>
      <c r="C20" s="0" t="n">
        <v>1601</v>
      </c>
      <c r="E20" s="0" t="n">
        <v>1008</v>
      </c>
      <c r="F20" s="0" t="s">
        <v>115</v>
      </c>
      <c r="G20" s="0" t="s">
        <v>116</v>
      </c>
      <c r="H20" s="0" t="s">
        <v>117</v>
      </c>
      <c r="I20" s="0" t="s">
        <v>92</v>
      </c>
      <c r="J20" s="0" t="n">
        <v>1960</v>
      </c>
      <c r="W20" s="0" t="n">
        <v>28</v>
      </c>
      <c r="Y20" s="0" t="n">
        <v>4</v>
      </c>
      <c r="AA20" s="3" t="str">
        <f aca="false">IF(AND(W20&gt;0,Z20&gt;0),(Z20/((W20+X20)*10)),"")</f>
        <v/>
      </c>
      <c r="AB20" s="0" t="n">
        <v>25</v>
      </c>
      <c r="AC20" s="0" t="n">
        <f aca="false">ROUND(AB20*1.6, 0)</f>
        <v>40</v>
      </c>
      <c r="AF20" s="0" t="n">
        <v>16.2</v>
      </c>
      <c r="AG20" s="0" t="n">
        <v>16.2</v>
      </c>
      <c r="AH20" s="0" t="n">
        <v>2.8</v>
      </c>
      <c r="AJ20" s="4" t="n">
        <v>42</v>
      </c>
      <c r="AK20" s="5" t="str">
        <f aca="false">CONCATENATE(VLOOKUP(AL20, 'Voxel Sizes'!$A$2:$B$18,2,FALSE()),"x",INT(AH20*15), "x", INT(AI20*15))</f>
        <v>152x42x0</v>
      </c>
      <c r="AL20" s="5" t="n">
        <f aca="false">ROUND(15*((AG20*10)/256),0)</f>
        <v>9</v>
      </c>
      <c r="AN20" s="5" t="str">
        <f aca="false">CONCATENATE(VLOOKUP(AL20,Constants!$A$2:$C$16,IF(AM20&lt;&gt;"", 3, 2), FALSE()),IF(AM20&lt;&gt;"",CONCATENATE(",",VLOOKUP(AM20,$B:$AN,39,FALSE())),""))</f>
        <v>2,5,2</v>
      </c>
      <c r="AX20" s="0" t="n">
        <v>30</v>
      </c>
      <c r="AY20" s="5" t="str">
        <f aca="false">IF(L20&lt;&gt;"",MAX(16,(L20-J20)+8),"")</f>
        <v/>
      </c>
      <c r="AZ20" s="0" t="n">
        <v>69</v>
      </c>
      <c r="BA20" s="0" t="n">
        <v>57</v>
      </c>
      <c r="BB20" s="7" t="n">
        <f aca="false">MIN(AB20/150, 1)*30</f>
        <v>5</v>
      </c>
      <c r="BC20" s="7" t="n">
        <f aca="false">MIN(N20/4000, 1)*20</f>
        <v>0</v>
      </c>
      <c r="BD20" s="7" t="n">
        <f aca="false">MIN(Z20/400,1)*20</f>
        <v>0</v>
      </c>
      <c r="BE20" s="21" t="n">
        <f aca="false">1-(MAX(J20-1900, 0)/750)</f>
        <v>0.92</v>
      </c>
      <c r="BF20" s="7" t="n">
        <f aca="false">((MAX($M20,1)*MIN($AJ20/300,1)))*IF(G20="Wagon",50,10)</f>
        <v>7</v>
      </c>
      <c r="BG20" s="7" t="n">
        <f aca="false">VLOOKUP($H20,Constants!$I:$K, 2, FALSE())</f>
        <v>1.2</v>
      </c>
      <c r="BH20" s="7" t="n">
        <f aca="false">VLOOKUP($H20,Constants!$I:$K, 3, FALSE())*IF(AND(G20="multiple_unit",AB20&lt;110),0.75,1)</f>
        <v>0.6</v>
      </c>
      <c r="BI20" s="7" t="n">
        <f aca="false">INT(POWER(((Constants!$G$2+$BB20+$BC20+$BD20+$BF20)*$BE20)*$BH20, 1.05))+$BA20</f>
        <v>67</v>
      </c>
      <c r="BJ20" s="7" t="n">
        <f aca="false">INT(POWER((((Constants!$G$1+$BB20+$BC20+$BD20+$BF20)*($BE20))*$BG20),IF($G20="wagon",1,1.2)))+$AZ20</f>
        <v>98</v>
      </c>
      <c r="BK20" s="22" t="n">
        <f aca="false">BI20*IF($G20="wagon",62.5,781.25)</f>
        <v>4187.5</v>
      </c>
      <c r="BL20" s="22" t="n">
        <f aca="false">BJ20*IF($G20="wagon",2.73,81.25)</f>
        <v>267.54</v>
      </c>
      <c r="BV20" s="0" t="n">
        <v>1</v>
      </c>
      <c r="BW20" s="0" t="n">
        <v>74</v>
      </c>
      <c r="BY20" s="0" t="s">
        <v>149</v>
      </c>
      <c r="BZ20" s="0" t="s">
        <v>119</v>
      </c>
      <c r="CA20" s="9" t="str">
        <f aca="false">VLOOKUP(J20,Eras!$A$2:$C$10, 2, TRUE())</f>
        <v>dsl</v>
      </c>
      <c r="CB20" s="0" t="s">
        <v>120</v>
      </c>
      <c r="CC20" s="9" t="str">
        <f aca="false">CONCATENATE(CA20,"_",CB20)</f>
        <v>dsl_Carriage</v>
      </c>
      <c r="CD20" s="9" t="str">
        <f aca="false">_xlfn.CONCAT(H20, "_",I20)</f>
        <v>carriage_RAIL</v>
      </c>
      <c r="CE20" s="23" t="str">
        <f aca="false" t="array" ref="CE20:CE20">IF(AN20&lt;&gt;"na", _xlfn.CONCAT("{BLACK}Length: {GOLD}", TEXT(ROUNDUP(IF(AQ20&lt;&gt;"",SUM(VALUE(_xlfn.TEXTSPLIT(AQ20, ","))), SUM(VALUE(_xlfn.TEXTSPLIT(AN20, ",")))*IF(M20, M20, 1))/16, 1),"#,##0.0"), " tiles{}"), "")</f>
        <v>{BLACK}Length: {GOLD}0.6 tiles{}</v>
      </c>
      <c r="CF20" s="9" t="str">
        <f aca="false">VLOOKUP($CD20, Constants!$M:$N, 2, FALSE())</f>
        <v/>
      </c>
      <c r="CG20" s="9" t="str">
        <f aca="false">IF(AND(L20&gt;1,BN20&lt;&gt;1),_xlfn.CONCAT("{BLACK}Cars: {GOLD}", L20),"")</f>
        <v/>
      </c>
      <c r="CH20" s="0" t="s">
        <v>150</v>
      </c>
      <c r="CI20" s="0" t="str">
        <f aca="false">IF($BU20="!param_no_gameplay_units","{GREEN}Included for gameplay purposes","")</f>
        <v/>
      </c>
      <c r="CJ20" s="0" t="str">
        <f aca="false">IF(BX20="buffet","{YELLOW}25% long distance bonus for consist{}",IF(BY20="DANDY","{YELLOW}Faster downhill speeds for horse-drawn trains (1 required per 2 horses){}",IF(BY20="BRAKE","{YELLOW}Speed bonus for slow wagons{}",IF(BY20="NGPassengers","{YELLOW}Preserved railway bonus: passengers pay more when hauled by old locomotives{}",IF(AND(BW20&gt;190,NOT(AND(I20="NARROW_GAUGE",BY20&lt;&gt;"PASS"))),CONCATENATE("{YELLOW}",INT((BW20-185)/1.85),"% bonus for long distance travel{}"),IF(AND(BW20&lt;180,BW20&lt;&gt;0),CONCATENATE("{YELLOW}",INT((185-BW20)/1.85),"% penalty for long distance travel{}"),""))))))</f>
        <v>{YELLOW}Preserved railway bonus: passengers pay more when hauled by old locomotives{}</v>
      </c>
      <c r="CK20" s="0" t="str">
        <f aca="false">_xlfn.CONCAT(CF20,IF(CF20&lt;&gt;""," ",""),CG20,IF(OR(CG20&lt;&gt;"",CF20&lt;&gt;""),"{}",""),CE20,CJ20,"{SILVER}",CH20,IF(CI20&lt;&gt;"","{}{}",""),CI20)</f>
        <v>{BLACK}Length: {GOLD}0.6 tiles{}{YELLOW}Preserved railway bonus: passengers pay more when hauled by old locomotives{}{SILVER}The first standard gauge preservation railway in the UK was the Bluebell Railway, opened in 1960. Preservation lines are limited to 25mph.</v>
      </c>
    </row>
    <row r="21" customFormat="false" ht="14.25" hidden="false" customHeight="false" outlineLevel="0" collapsed="false">
      <c r="A21" s="0" t="s">
        <v>151</v>
      </c>
      <c r="B21" s="0" t="s">
        <v>152</v>
      </c>
      <c r="C21" s="0" t="n">
        <v>1751</v>
      </c>
      <c r="E21" s="0" t="n">
        <v>1009</v>
      </c>
      <c r="F21" s="0" t="s">
        <v>115</v>
      </c>
      <c r="G21" s="0" t="s">
        <v>116</v>
      </c>
      <c r="H21" s="0" t="s">
        <v>117</v>
      </c>
      <c r="I21" s="0" t="s">
        <v>92</v>
      </c>
      <c r="J21" s="0" t="n">
        <v>1979</v>
      </c>
      <c r="W21" s="0" t="n">
        <v>32.5</v>
      </c>
      <c r="Y21" s="0" t="n">
        <v>5</v>
      </c>
      <c r="AA21" s="3" t="str">
        <f aca="false">IF(AND(W21&gt;0,Z21&gt;0),(Z21/((W21+X21)*10)),"")</f>
        <v/>
      </c>
      <c r="AB21" s="0" t="n">
        <v>25</v>
      </c>
      <c r="AC21" s="0" t="n">
        <f aca="false">ROUND(AB21*1.6, 0)</f>
        <v>40</v>
      </c>
      <c r="AF21" s="0" t="n">
        <v>19.3</v>
      </c>
      <c r="AG21" s="0" t="n">
        <v>20</v>
      </c>
      <c r="AJ21" s="4" t="n">
        <v>54</v>
      </c>
      <c r="AK21" s="5" t="str">
        <f aca="false">CONCATENATE(VLOOKUP(AL21, 'Voxel Sizes'!$A$2:$B$18,2,FALSE()),"x",INT(AH21*15), "x", INT(AI21*15))</f>
        <v>198x0x0</v>
      </c>
      <c r="AL21" s="5" t="n">
        <f aca="false">ROUND(15*((AG21*10)/256),0)</f>
        <v>12</v>
      </c>
      <c r="AN21" s="5" t="str">
        <f aca="false">CONCATENATE(VLOOKUP(AL21,Constants!$A$2:$C$16,IF(AM21&lt;&gt;"", 3, 2), FALSE()),IF(AM21&lt;&gt;"",CONCATENATE(",",VLOOKUP(AM21,$B:$AN,39,FALSE())),""))</f>
        <v>4,4,4</v>
      </c>
      <c r="AX21" s="0" t="n">
        <v>30</v>
      </c>
      <c r="AY21" s="5" t="str">
        <f aca="false">IF(L21&lt;&gt;"",MAX(16,(L21-J21)+8),"")</f>
        <v/>
      </c>
      <c r="AZ21" s="0" t="n">
        <v>76</v>
      </c>
      <c r="BA21" s="0" t="n">
        <f aca="false">23*3</f>
        <v>69</v>
      </c>
      <c r="BB21" s="7" t="n">
        <f aca="false">MIN(AB21/150, 1)*30</f>
        <v>5</v>
      </c>
      <c r="BC21" s="7" t="n">
        <f aca="false">MIN(N21/4000, 1)*20</f>
        <v>0</v>
      </c>
      <c r="BD21" s="7" t="n">
        <f aca="false">MIN(Z21/400,1)*20</f>
        <v>0</v>
      </c>
      <c r="BE21" s="21" t="n">
        <f aca="false">1-(MAX(J21-1900, 0)/750)</f>
        <v>0.894666666666667</v>
      </c>
      <c r="BF21" s="7" t="n">
        <f aca="false">((MAX($M21,1)*MIN($AJ21/300,1)))*IF(G21="Wagon",50,10)</f>
        <v>9</v>
      </c>
      <c r="BG21" s="7" t="n">
        <f aca="false">VLOOKUP($H21,Constants!$I:$K, 2, FALSE())</f>
        <v>1.2</v>
      </c>
      <c r="BH21" s="7" t="n">
        <f aca="false">VLOOKUP($H21,Constants!$I:$K, 3, FALSE())*IF(AND(G21="multiple_unit",AB21&lt;110),0.75,1)</f>
        <v>0.6</v>
      </c>
      <c r="BI21" s="7" t="n">
        <f aca="false">INT(POWER(((Constants!$G$2+$BB21+$BC21+$BD21+$BF21)*$BE21)*$BH21, 1.05))+$BA21</f>
        <v>80</v>
      </c>
      <c r="BJ21" s="7" t="n">
        <f aca="false">INT(POWER((((Constants!$G$1+$BB21+$BC21+$BD21+$BF21)*($BE21))*$BG21),IF($G21="wagon",1,1.2)))+$AZ21</f>
        <v>107</v>
      </c>
      <c r="BK21" s="22" t="n">
        <f aca="false">BI21*IF($G21="wagon",62.5,781.25)</f>
        <v>5000</v>
      </c>
      <c r="BL21" s="22" t="n">
        <f aca="false">BJ21*IF($G21="wagon",2.73,81.25)</f>
        <v>292.11</v>
      </c>
      <c r="BV21" s="0" t="n">
        <v>1</v>
      </c>
      <c r="BW21" s="0" t="n">
        <v>74</v>
      </c>
      <c r="BY21" s="0" t="s">
        <v>149</v>
      </c>
      <c r="BZ21" s="0" t="s">
        <v>119</v>
      </c>
      <c r="CA21" s="9" t="str">
        <f aca="false">VLOOKUP(J21,Eras!$A$2:$C$10, 2, TRUE())</f>
        <v>lbr</v>
      </c>
      <c r="CB21" s="0" t="s">
        <v>120</v>
      </c>
      <c r="CC21" s="9" t="str">
        <f aca="false">CONCATENATE(CA21,"_",CB21)</f>
        <v>lbr_Carriage</v>
      </c>
      <c r="CD21" s="9" t="str">
        <f aca="false">_xlfn.CONCAT(H21, "_",I21)</f>
        <v>carriage_RAIL</v>
      </c>
      <c r="CE21" s="23" t="str">
        <f aca="false" t="array" ref="CE21:CE21">IF(AN21&lt;&gt;"na", _xlfn.CONCAT("{BLACK}Length: {GOLD}", TEXT(ROUNDUP(IF(AQ21&lt;&gt;"",SUM(VALUE(_xlfn.TEXTSPLIT(AQ21, ","))), SUM(VALUE(_xlfn.TEXTSPLIT(AN21, ",")))*IF(M21, M21, 1))/16, 1),"#,##0.0"), " tiles{}"), "")</f>
        <v>{BLACK}Length: {GOLD}0.8 tiles{}</v>
      </c>
      <c r="CF21" s="9" t="str">
        <f aca="false">VLOOKUP($CD21, Constants!$M:$N, 2, FALSE())</f>
        <v/>
      </c>
      <c r="CG21" s="9" t="str">
        <f aca="false">IF(AND(L21&gt;1,BN21&lt;&gt;1),_xlfn.CONCAT("{BLACK}Cars: {GOLD}", L21),"")</f>
        <v/>
      </c>
      <c r="CH21" s="0" t="s">
        <v>153</v>
      </c>
      <c r="CI21" s="0" t="str">
        <f aca="false">IF($BU21="!param_no_gameplay_units","{GREEN}Included for gameplay purposes","")</f>
        <v/>
      </c>
      <c r="CJ21" s="0" t="str">
        <f aca="false">IF(BX21="buffet","{YELLOW}25% long distance bonus for consist{}",IF(BY21="DANDY","{YELLOW}Faster downhill speeds for horse-drawn trains (1 required per 2 horses){}",IF(BY21="BRAKE","{YELLOW}Speed bonus for slow wagons{}",IF(BY21="NGPassengers","{YELLOW}Preserved railway bonus: passengers pay more when hauled by old locomotives{}",IF(AND(BW21&gt;190,NOT(AND(I21="NARROW_GAUGE",BY21&lt;&gt;"PASS"))),CONCATENATE("{YELLOW}",INT((BW21-185)/1.85),"% bonus for long distance travel{}"),IF(AND(BW21&lt;180,BW21&lt;&gt;0),CONCATENATE("{YELLOW}",INT((185-BW21)/1.85),"% penalty for long distance travel{}"),""))))))</f>
        <v>{YELLOW}Preserved railway bonus: passengers pay more when hauled by old locomotives{}</v>
      </c>
      <c r="CK21" s="0" t="str">
        <f aca="false">_xlfn.CONCAT(CF21,IF(CF21&lt;&gt;""," ",""),CG21,IF(OR(CG21&lt;&gt;"",CF21&lt;&gt;""),"{}",""),CE21,CJ21,"{SILVER}",CH21,IF(CI21&lt;&gt;"","{}{}",""),CI21)</f>
        <v>{BLACK}Length: {GOLD}0.8 tiles{}{YELLOW}Preserved railway bonus: passengers pay more when hauled by old locomotives{}{SILVER}The ubiquity of the BR Mk1 carriage has made it a mainstay of preserved railways across the UK.</v>
      </c>
    </row>
    <row r="22" customFormat="false" ht="14.25" hidden="false" customHeight="false" outlineLevel="0" collapsed="false">
      <c r="A22" s="0" t="s">
        <v>154</v>
      </c>
      <c r="B22" s="0" t="s">
        <v>155</v>
      </c>
      <c r="C22" s="0" t="n">
        <v>1691</v>
      </c>
      <c r="E22" s="0" t="n">
        <v>1010</v>
      </c>
      <c r="F22" s="0" t="s">
        <v>115</v>
      </c>
      <c r="G22" s="0" t="s">
        <v>116</v>
      </c>
      <c r="H22" s="0" t="s">
        <v>116</v>
      </c>
      <c r="I22" s="0" t="s">
        <v>92</v>
      </c>
      <c r="J22" s="0" t="n">
        <v>1969</v>
      </c>
      <c r="W22" s="0" t="n">
        <v>160</v>
      </c>
      <c r="Y22" s="0" t="n">
        <v>5</v>
      </c>
      <c r="AA22" s="3" t="str">
        <f aca="false">IF(AND(W22&gt;0,Z22&gt;0),(Z22/((W22+X22)*10)),"")</f>
        <v/>
      </c>
      <c r="AB22" s="0" t="n">
        <v>65</v>
      </c>
      <c r="AC22" s="0" t="n">
        <f aca="false">ROUND(AB22*1.6, 0)</f>
        <v>104</v>
      </c>
      <c r="AF22" s="0" t="n">
        <v>25</v>
      </c>
      <c r="AG22" s="0" t="n">
        <v>22</v>
      </c>
      <c r="AJ22" s="4" t="n">
        <v>81</v>
      </c>
      <c r="AK22" s="5" t="str">
        <f aca="false">CONCATENATE(VLOOKUP(AL22, 'Voxel Sizes'!$A$2:$B$18,2,FALSE()),"x",INT(AH22*15), "x", INT(AI22*15))</f>
        <v>214x0x0</v>
      </c>
      <c r="AL22" s="5" t="n">
        <f aca="false">ROUND(15*((AG22*10)/256),0)</f>
        <v>13</v>
      </c>
      <c r="AN22" s="5" t="str">
        <f aca="false">CONCATENATE(VLOOKUP(AL22,Constants!$A$2:$C$16,IF(AM22&lt;&gt;"", 3, 2), FALSE()),IF(AM22&lt;&gt;"",CONCATENATE(",",VLOOKUP(AM22,$B:$AN,39,FALSE())),""))</f>
        <v>4,5,4</v>
      </c>
      <c r="AX22" s="0" t="n">
        <v>30</v>
      </c>
      <c r="AY22" s="5" t="str">
        <f aca="false">IF(L22&lt;&gt;"",MAX(16,(L22-J22)+8),"")</f>
        <v/>
      </c>
      <c r="BB22" s="7" t="n">
        <f aca="false">MIN(AB22/150, 1)*30</f>
        <v>13</v>
      </c>
      <c r="BC22" s="7" t="n">
        <f aca="false">MIN(N22/4000, 1)*20</f>
        <v>0</v>
      </c>
      <c r="BD22" s="7" t="n">
        <f aca="false">MIN(Z22/400,1)*20</f>
        <v>0</v>
      </c>
      <c r="BE22" s="21" t="n">
        <f aca="false">1-(MAX(J22-1900, 0)/750)</f>
        <v>0.908</v>
      </c>
      <c r="BF22" s="7" t="n">
        <f aca="false">((MAX($M22,1)*MIN($AJ22/300,1)))*IF(G22="Wagon",50,10)</f>
        <v>13.5</v>
      </c>
      <c r="BG22" s="7" t="n">
        <f aca="false">VLOOKUP($H22,Constants!$I:$K, 2, FALSE())</f>
        <v>1</v>
      </c>
      <c r="BH22" s="7" t="n">
        <f aca="false">VLOOKUP($H22,Constants!$I:$K, 3, FALSE())*IF(AND(G22="multiple_unit",AB22&lt;110),0.75,1)</f>
        <v>0.45</v>
      </c>
      <c r="BI22" s="7" t="n">
        <f aca="false">INT(POWER(((Constants!$G$2+$BB22+$BC22+$BD22+$BF22)*$BE22)*$BH22, 1.05))+$BA22</f>
        <v>14</v>
      </c>
      <c r="BJ22" s="7" t="n">
        <f aca="false">INT(POWER((((Constants!$G$1+$BB22+$BC22+$BD22+$BF22)*($BE22))*$BG22),IF($G22="wagon",1,1.2)))+$AZ22</f>
        <v>37</v>
      </c>
      <c r="BK22" s="22" t="n">
        <f aca="false">BI22*IF($G22="wagon",62.5,781.25)</f>
        <v>875</v>
      </c>
      <c r="BL22" s="22" t="n">
        <f aca="false">BJ22*IF($G22="wagon",2.73,81.25)</f>
        <v>101.01</v>
      </c>
      <c r="BV22" s="0" t="n">
        <v>1</v>
      </c>
      <c r="BW22" s="0" t="n">
        <v>205</v>
      </c>
      <c r="BY22" s="0" t="s">
        <v>156</v>
      </c>
      <c r="BZ22" s="0" t="s">
        <v>119</v>
      </c>
      <c r="CA22" s="9" t="str">
        <f aca="false">VLOOKUP(J22,Eras!$A$2:$C$10, 2, TRUE())</f>
        <v>dsl</v>
      </c>
      <c r="CB22" s="0" t="s">
        <v>157</v>
      </c>
      <c r="CC22" s="9" t="str">
        <f aca="false">CONCATENATE(CA22,"_",CB22)</f>
        <v>dsl_Extra</v>
      </c>
      <c r="CD22" s="9" t="str">
        <f aca="false">_xlfn.CONCAT(H22, "_",I22)</f>
        <v>wagon_RAIL</v>
      </c>
      <c r="CE22" s="23" t="str">
        <f aca="false" t="array" ref="CE22:CE22">IF(AN22&lt;&gt;"na", _xlfn.CONCAT("{BLACK}Length: {GOLD}", TEXT(ROUNDUP(IF(AQ22&lt;&gt;"",SUM(VALUE(_xlfn.TEXTSPLIT(AQ22, ","))), SUM(VALUE(_xlfn.TEXTSPLIT(AN22, ",")))*IF(M22, M22, 1))/16, 1),"#,##0.0"), " tiles{}"), "")</f>
        <v>{BLACK}Length: {GOLD}0.9 tiles{}</v>
      </c>
      <c r="CF22" s="9" t="str">
        <f aca="false">VLOOKUP($CD22, Constants!$M:$N, 2, FALSE())</f>
        <v/>
      </c>
      <c r="CG22" s="9" t="str">
        <f aca="false">IF(AND(L22&gt;1,BN22&lt;&gt;1),_xlfn.CONCAT("{BLACK}Cars: {GOLD}", L22),"")</f>
        <v/>
      </c>
      <c r="CH22" s="0" t="s">
        <v>158</v>
      </c>
      <c r="CI22" s="0" t="str">
        <f aca="false">IF($BU22="!param_no_gameplay_units","{GREEN}Included for gameplay purposes","")</f>
        <v/>
      </c>
      <c r="CJ22" s="0" t="str">
        <f aca="false">IF(BX22="buffet","{YELLOW}25% long distance bonus for consist{}",IF(BY22="DANDY","{YELLOW}Faster downhill speeds for horse-drawn trains (1 required per 2 horses){}",IF(BY22="BRAKE","{YELLOW}Speed bonus for slow wagons{}",IF(BY22="NGPassengers","{YELLOW}Preserved railway bonus: passengers pay more when hauled by old locomotives{}",IF(AND(BW22&gt;190,NOT(AND(I22="NARROW_GAUGE",BY22&lt;&gt;"PASS"))),CONCATENATE("{YELLOW}",INT((BW22-185)/1.85),"% bonus for long distance travel{}"),IF(AND(BW22&lt;180,BW22&lt;&gt;0),CONCATENATE("{YELLOW}",INT((185-BW22)/1.85),"% penalty for long distance travel{}"),""))))))</f>
        <v>{YELLOW}10% bonus for long distance travel{}</v>
      </c>
      <c r="CK22" s="0" t="str">
        <f aca="false">_xlfn.CONCAT(CF22,IF(CF22&lt;&gt;""," ",""),CG22,IF(OR(CG22&lt;&gt;"",CF22&lt;&gt;""),"{}",""),CE22,CJ22,"{SILVER}",CH22,IF(CI22&lt;&gt;"","{}{}",""),CI22)</f>
        <v>{BLACK}Length: {GOLD}0.9 tiles{}{YELLOW}10% bonus for long distance travel{}{SILVER}Torpedo cars haul molten metal directly from furnaces, meaning it does not have to be processed to an intermediate form and melted again.</v>
      </c>
    </row>
    <row r="23" customFormat="false" ht="14.25" hidden="false" customHeight="false" outlineLevel="0" collapsed="false">
      <c r="A23" s="0" t="s">
        <v>159</v>
      </c>
      <c r="B23" s="0" t="s">
        <v>160</v>
      </c>
      <c r="C23" s="0" t="n">
        <v>341</v>
      </c>
      <c r="E23" s="0" t="n">
        <v>1</v>
      </c>
      <c r="F23" s="0" t="s">
        <v>115</v>
      </c>
      <c r="G23" s="0" t="s">
        <v>161</v>
      </c>
      <c r="H23" s="0" t="s">
        <v>162</v>
      </c>
      <c r="I23" s="0" t="s">
        <v>92</v>
      </c>
      <c r="J23" s="0" t="n">
        <v>1834</v>
      </c>
      <c r="L23" s="0" t="n">
        <v>1860</v>
      </c>
      <c r="N23" s="0" t="n">
        <v>85</v>
      </c>
      <c r="P23" s="2" t="n">
        <v>11</v>
      </c>
      <c r="Q23" s="2" t="n">
        <v>16</v>
      </c>
      <c r="R23" s="2" t="n">
        <v>2</v>
      </c>
      <c r="S23" s="2" t="n">
        <v>50</v>
      </c>
      <c r="T23" s="25" t="n">
        <f aca="false">((($AB23/2)/60)*5280)/($U23*3.2*PI())</f>
        <v>106.750266707979</v>
      </c>
      <c r="U23" s="2" t="n">
        <v>1.435</v>
      </c>
      <c r="V23" s="2" t="n">
        <f aca="false">((($P23*$P23/4)*PI())*($Q23/12)*$R23*$S23*$T23)/(33000*1.1)</f>
        <v>37.2628726287263</v>
      </c>
      <c r="W23" s="0" t="n">
        <v>6</v>
      </c>
      <c r="X23" s="1" t="n">
        <v>4</v>
      </c>
      <c r="Z23" s="0" t="n">
        <v>15</v>
      </c>
      <c r="AA23" s="3" t="n">
        <f aca="false">IF(AND(W23&gt;0,Z23&gt;0),(Z23/((W23+X23)*10)),"")</f>
        <v>0.15</v>
      </c>
      <c r="AB23" s="0" t="n">
        <v>35</v>
      </c>
      <c r="AC23" s="0" t="n">
        <f aca="false">ROUND(AB23*1.6, 0)</f>
        <v>56</v>
      </c>
      <c r="AG23" s="0" t="n">
        <v>8</v>
      </c>
      <c r="AJ23" s="4" t="n">
        <v>0</v>
      </c>
      <c r="AK23" s="5" t="str">
        <f aca="false">CONCATENATE(VLOOKUP(AL23, 'Voxel Sizes'!$A$2:$B$18,2,FALSE()),"x",INT(AH23*15), "x", INT(AI23*15))</f>
        <v>82x0x0</v>
      </c>
      <c r="AL23" s="5" t="n">
        <f aca="false">ROUND(15*((AG23*10)/256),0)</f>
        <v>5</v>
      </c>
      <c r="AN23" s="5" t="str">
        <f aca="false">CONCATENATE(VLOOKUP(AL23,Constants!$A$2:$C$16,IF(AM23&lt;&gt;"", 3, 2), FALSE()),IF(AM23&lt;&gt;"",CONCATENATE(",",VLOOKUP(AM23,$B:$AN,39,FALSE())),""))</f>
        <v>2,1,2</v>
      </c>
      <c r="AV23" s="0" t="n">
        <v>1</v>
      </c>
      <c r="AX23" s="0" t="n">
        <v>29</v>
      </c>
      <c r="AY23" s="5" t="n">
        <f aca="false">IF(L23&lt;&gt;"",MAX(16,(L23-J23)+8),"")</f>
        <v>34</v>
      </c>
      <c r="AZ23" s="0" t="n">
        <v>-16</v>
      </c>
      <c r="BA23" s="0" t="n">
        <v>-8</v>
      </c>
      <c r="BB23" s="7" t="n">
        <f aca="false">MIN(AB23/150, 1)*30</f>
        <v>7</v>
      </c>
      <c r="BC23" s="7" t="n">
        <f aca="false">MIN(N23/4000, 1)*20</f>
        <v>0.425</v>
      </c>
      <c r="BD23" s="7" t="n">
        <f aca="false">MIN(Z23/400,1)*20</f>
        <v>0.75</v>
      </c>
      <c r="BE23" s="21" t="n">
        <f aca="false">1-(MAX(J23-1900, 0)/750)</f>
        <v>1</v>
      </c>
      <c r="BF23" s="7" t="n">
        <f aca="false">((MAX($M23,1)*MIN($AJ23/300,1)))*IF(G23="Wagon",50,10)</f>
        <v>0</v>
      </c>
      <c r="BG23" s="7" t="n">
        <f aca="false">VLOOKUP($H23,Constants!$I:$K, 2, FALSE())</f>
        <v>1.15</v>
      </c>
      <c r="BH23" s="7" t="n">
        <f aca="false">VLOOKUP($H23,Constants!$I:$K, 3, FALSE())*IF(AND(G23="multiple_unit",AB23&lt;110),0.75,1)</f>
        <v>1.7</v>
      </c>
      <c r="BI23" s="7" t="n">
        <f aca="false">INT(POWER(((Constants!$G$2+$BB23+$BC23+$BD23+$BF23)*$BE23)*$BH23, 1.05))+$BA23</f>
        <v>18</v>
      </c>
      <c r="BJ23" s="7" t="n">
        <f aca="false">INT(POWER((((Constants!$G$1+$BB23+$BC23+$BD23+$BF23)*($BE23))*$BG23),IF($G23="wagon",1,1.2)))+$AZ23</f>
        <v>35</v>
      </c>
      <c r="BK23" s="22" t="n">
        <f aca="false">BI23*IF($G23="wagon",62.5,781.25)</f>
        <v>14062.5</v>
      </c>
      <c r="BL23" s="22" t="n">
        <f aca="false">BJ23*IF($G23="wagon",2.73,81.25)</f>
        <v>2843.75</v>
      </c>
      <c r="BV23" s="0" t="n">
        <v>5</v>
      </c>
      <c r="CA23" s="9" t="str">
        <f aca="false">VLOOKUP(J23,Eras!$A$2:$C$10, 2, TRUE())</f>
        <v>early</v>
      </c>
      <c r="CB23" s="0" t="s">
        <v>157</v>
      </c>
      <c r="CC23" s="9" t="str">
        <f aca="false">CONCATENATE(CA23,"_",CB23)</f>
        <v>early_Extra</v>
      </c>
      <c r="CD23" s="9" t="str">
        <f aca="false">_xlfn.CONCAT(H23, "_",I23)</f>
        <v>steam_RAIL</v>
      </c>
      <c r="CE23" s="23" t="str">
        <f aca="false" t="array" ref="CE23:CE23">IF(AN23&lt;&gt;"na", _xlfn.CONCAT("{BLACK}Length: {GOLD}", TEXT(ROUNDUP(IF(AQ23&lt;&gt;"",SUM(VALUE(_xlfn.TEXTSPLIT(AQ23, ","))), SUM(VALUE(_xlfn.TEXTSPLIT(AN23, ",")))*IF(M23, M23, 1))/16, 1),"#,##0.0"), " tiles{}"), "")</f>
        <v>{BLACK}Length: {GOLD}0.4 tiles{}</v>
      </c>
      <c r="CF23" s="9" t="str">
        <f aca="false">VLOOKUP($CD23, Constants!$M:$N, 2, FALSE())</f>
        <v>{BLACK}Powered by: {GOLD}Steam</v>
      </c>
      <c r="CG23" s="9" t="str">
        <f aca="false">IF(AND(L23&gt;1,BN23&lt;&gt;1),_xlfn.CONCAT("{BLACK}Cars: {GOLD}", L23),"")</f>
        <v/>
      </c>
      <c r="CH23" s="0" t="s">
        <v>163</v>
      </c>
      <c r="CI23" s="0" t="str">
        <f aca="false">IF($BU23="!param_no_gameplay_units","{GREEN}Included for gameplay purposes","")</f>
        <v/>
      </c>
      <c r="CJ23" s="0" t="str">
        <f aca="false">IF(BX23="buffet","{YELLOW}25% long distance bonus for consist{}",IF(BY23="DANDY","{YELLOW}Faster downhill speeds for horse-drawn trains (1 required per 2 horses){}",IF(BY23="BRAKE","{YELLOW}Speed bonus for slow wagons{}",IF(BY23="NGPassengers","{YELLOW}Preserved railway bonus: passengers pay more when hauled by old locomotives{}",IF(AND(BW23&gt;190,NOT(AND(I23="NARROW_GAUGE",BY23&lt;&gt;"PASS"))),CONCATENATE("{YELLOW}",INT((BW23-185)/1.85),"% bonus for long distance travel{}"),IF(AND(BW23&lt;180,BW23&lt;&gt;0),CONCATENATE("{YELLOW}",INT((185-BW23)/1.85),"% penalty for long distance travel{}"),""))))))</f>
        <v/>
      </c>
      <c r="CK23" s="0" t="str">
        <f aca="false">_xlfn.CONCAT(CF23,IF(CF23&lt;&gt;""," ",""),CG23,IF(OR(CG23&lt;&gt;"",CF23&lt;&gt;""),"{}",""),CE23,CJ23,"{SILVER}",CH23,IF(CI23&lt;&gt;"","{}{}",""),CI23)</f>
        <v>{BLACK}Powered by: {GOLD}Steam {}{BLACK}Length: {GOLD}0.4 tiles{}{SILVER}George Forrester and Company built the first passenger tank locomotive to enter service. They were supplied to multiple railways in both tank and tender forms.</v>
      </c>
    </row>
    <row r="24" customFormat="false" ht="14.25" hidden="false" customHeight="false" outlineLevel="0" collapsed="false">
      <c r="A24" s="0" t="s">
        <v>164</v>
      </c>
      <c r="B24" s="0" t="s">
        <v>165</v>
      </c>
      <c r="C24" s="0" t="n">
        <v>381</v>
      </c>
      <c r="E24" s="0" t="n">
        <v>2</v>
      </c>
      <c r="F24" s="0" t="s">
        <v>115</v>
      </c>
      <c r="G24" s="0" t="s">
        <v>161</v>
      </c>
      <c r="H24" s="0" t="s">
        <v>162</v>
      </c>
      <c r="I24" s="0" t="s">
        <v>92</v>
      </c>
      <c r="J24" s="0" t="n">
        <v>1841</v>
      </c>
      <c r="L24" s="0" t="n">
        <v>1871</v>
      </c>
      <c r="N24" s="0" t="n">
        <v>220</v>
      </c>
      <c r="P24" s="2" t="n">
        <v>16</v>
      </c>
      <c r="Q24" s="2" t="n">
        <v>16</v>
      </c>
      <c r="R24" s="2" t="n">
        <v>2</v>
      </c>
      <c r="S24" s="2" t="n">
        <v>140</v>
      </c>
      <c r="T24" s="25" t="n">
        <f aca="false">((($AB24/2)/60)*5280)/($U24*3.2*PI())</f>
        <v>104.208593691122</v>
      </c>
      <c r="U24" s="2" t="n">
        <v>2.1</v>
      </c>
      <c r="V24" s="2" t="n">
        <f aca="false">((($P24*$P24/4)*PI())*($Q24/12)*$R24*$S24*$T24)/(33000*1.1)</f>
        <v>215.488215488215</v>
      </c>
      <c r="W24" s="0" t="n">
        <v>11</v>
      </c>
      <c r="Z24" s="0" t="n">
        <v>16</v>
      </c>
      <c r="AA24" s="3" t="n">
        <f aca="false">IF(AND(W24&gt;0,Z24&gt;0),(Z24/((W24+X24)*10)),"")</f>
        <v>0.145454545454545</v>
      </c>
      <c r="AB24" s="0" t="n">
        <v>50</v>
      </c>
      <c r="AC24" s="0" t="n">
        <f aca="false">ROUND(AB24*1.6, 0)</f>
        <v>80</v>
      </c>
      <c r="AF24" s="0" t="n">
        <v>8</v>
      </c>
      <c r="AG24" s="0" t="n">
        <v>8</v>
      </c>
      <c r="AJ24" s="4" t="n">
        <v>0</v>
      </c>
      <c r="AK24" s="5" t="str">
        <f aca="false">CONCATENATE(VLOOKUP(AL24, 'Voxel Sizes'!$A$2:$B$18,2,FALSE()),"x",INT(AH24*15), "x", INT(AI24*15))</f>
        <v>82x0x0</v>
      </c>
      <c r="AL24" s="5" t="n">
        <f aca="false">ROUND(15*((AG24*10)/256),0)</f>
        <v>5</v>
      </c>
      <c r="AM24" s="0" t="s">
        <v>101</v>
      </c>
      <c r="AN24" s="5" t="str">
        <f aca="false">CONCATENATE(VLOOKUP(AL24,Constants!$A$2:$C$16,IF(AM24&lt;&gt;"", 3, 2), FALSE()),IF(AM24&lt;&gt;"",CONCATENATE(",",VLOOKUP(AM24,$B:$AN,39,FALSE())),""))</f>
        <v>2,1,2,1,2,1</v>
      </c>
      <c r="AX24" s="0" t="n">
        <v>30</v>
      </c>
      <c r="AY24" s="5" t="n">
        <f aca="false">IF(L24&lt;&gt;"",MAX(16,(L24-J24)+8),"")</f>
        <v>38</v>
      </c>
      <c r="BB24" s="7" t="n">
        <f aca="false">MIN(AB24/150, 1)*30</f>
        <v>10</v>
      </c>
      <c r="BC24" s="7" t="n">
        <f aca="false">MIN(N24/4000, 1)*20</f>
        <v>1.1</v>
      </c>
      <c r="BD24" s="7" t="n">
        <f aca="false">MIN(Z24/400,1)*20</f>
        <v>0.8</v>
      </c>
      <c r="BE24" s="21" t="n">
        <f aca="false">1-(MAX(J24-1900, 0)/750)</f>
        <v>1</v>
      </c>
      <c r="BF24" s="7" t="n">
        <f aca="false">((MAX($M24,1)*MIN($AJ24/300,1)))*IF(G24="Wagon",50,10)</f>
        <v>0</v>
      </c>
      <c r="BG24" s="7" t="n">
        <f aca="false">VLOOKUP($H24,Constants!$I:$K, 2, FALSE())</f>
        <v>1.15</v>
      </c>
      <c r="BH24" s="7" t="n">
        <f aca="false">VLOOKUP($H24,Constants!$I:$K, 3, FALSE())*IF(AND(G24="multiple_unit",AB24&lt;110),0.75,1)</f>
        <v>1.7</v>
      </c>
      <c r="BI24" s="7" t="n">
        <f aca="false">INT(POWER(((Constants!$G$2+$BB24+$BC24+$BD24+$BF24)*$BE24)*$BH24, 1.05))+$BA24</f>
        <v>33</v>
      </c>
      <c r="BJ24" s="7" t="n">
        <f aca="false">INT(POWER((((Constants!$G$1+$BB24+$BC24+$BD24+$BF24)*($BE24))*$BG24),IF($G24="wagon",1,1.2)))+$AZ24</f>
        <v>61</v>
      </c>
      <c r="BK24" s="22" t="n">
        <f aca="false">BI24*IF($G24="wagon",62.5,781.25)</f>
        <v>25781.25</v>
      </c>
      <c r="BL24" s="22" t="n">
        <f aca="false">BJ24*IF($G24="wagon",2.73,81.25)</f>
        <v>4956.25</v>
      </c>
      <c r="BV24" s="0" t="n">
        <v>3</v>
      </c>
      <c r="CA24" s="9" t="s">
        <v>102</v>
      </c>
      <c r="CB24" s="0" t="s">
        <v>166</v>
      </c>
      <c r="CC24" s="9" t="str">
        <f aca="false">CONCATENATE(CA24,"_",CB24)</f>
        <v>early_Express</v>
      </c>
      <c r="CD24" s="9" t="str">
        <f aca="false">_xlfn.CONCAT(H24, "_",I24)</f>
        <v>steam_RAIL</v>
      </c>
      <c r="CE24" s="23" t="str">
        <f aca="false" t="array" ref="CE24:CE24">IF(AN24&lt;&gt;"na", _xlfn.CONCAT("{BLACK}Length: {GOLD}", TEXT(ROUNDUP(IF(AQ24&lt;&gt;"",SUM(VALUE(_xlfn.TEXTSPLIT(AQ24, ","))), SUM(VALUE(_xlfn.TEXTSPLIT(AN24, ",")))*IF(M24, M24, 1))/16, 1),"#,##0.0"), " tiles{}"), "")</f>
        <v>{BLACK}Length: {GOLD}0.6 tiles{}</v>
      </c>
      <c r="CF24" s="9" t="str">
        <f aca="false">VLOOKUP($CD24, Constants!$M:$N, 2, FALSE())</f>
        <v>{BLACK}Powered by: {GOLD}Steam</v>
      </c>
      <c r="CG24" s="9" t="str">
        <f aca="false">IF(AND(L24&gt;1,BN24&lt;&gt;1),_xlfn.CONCAT("{BLACK}Cars: {GOLD}", L24),"")</f>
        <v/>
      </c>
      <c r="CH24" s="0" t="s">
        <v>167</v>
      </c>
      <c r="CI24" s="0" t="str">
        <f aca="false">IF($BU24="!param_no_gameplay_units","{GREEN}Included for gameplay purposes","")</f>
        <v/>
      </c>
      <c r="CJ24" s="0" t="str">
        <f aca="false">IF(BX24="buffet","{YELLOW}25% long distance bonus for consist{}",IF(BY24="DANDY","{YELLOW}Faster downhill speeds for horse-drawn trains (1 required per 2 horses){}",IF(BY24="BRAKE","{YELLOW}Speed bonus for slow wagons{}",IF(BY24="NGPassengers","{YELLOW}Preserved railway bonus: passengers pay more when hauled by old locomotives{}",IF(AND(BW24&gt;190,NOT(AND(I24="NARROW_GAUGE",BY24&lt;&gt;"PASS"))),CONCATENATE("{YELLOW}",INT((BW24-185)/1.85),"% bonus for long distance travel{}"),IF(AND(BW24&lt;180,BW24&lt;&gt;0),CONCATENATE("{YELLOW}",INT((185-BW24)/1.85),"% penalty for long distance travel{}"),""))))))</f>
        <v/>
      </c>
      <c r="CK24" s="0" t="str">
        <f aca="false">_xlfn.CONCAT(CF24,IF(CF24&lt;&gt;""," ",""),CG24,IF(OR(CG24&lt;&gt;"",CF24&lt;&gt;""),"{}",""),CE24,CJ24,"{SILVER}",CH24,IF(CI24&lt;&gt;"","{}{}",""),CI24)</f>
        <v>{BLACK}Powered by: {GOLD}Steam {}{BLACK}Length: {GOLD}0.6 tiles{}{SILVER}The first GWR Star class was typical of a 2-2-2 "single" passenger locomotive. They were given common names of stars, such as "Dog Star" and "Shooting Star"</v>
      </c>
    </row>
    <row r="25" customFormat="false" ht="13.5" hidden="false" customHeight="true" outlineLevel="0" collapsed="false">
      <c r="A25" s="0" t="s">
        <v>168</v>
      </c>
      <c r="B25" s="0" t="s">
        <v>169</v>
      </c>
      <c r="C25" s="0" t="n">
        <v>461</v>
      </c>
      <c r="E25" s="0" t="n">
        <v>3</v>
      </c>
      <c r="F25" s="0" t="s">
        <v>115</v>
      </c>
      <c r="G25" s="0" t="s">
        <v>161</v>
      </c>
      <c r="H25" s="0" t="s">
        <v>162</v>
      </c>
      <c r="I25" s="0" t="s">
        <v>92</v>
      </c>
      <c r="J25" s="0" t="n">
        <v>1847</v>
      </c>
      <c r="L25" s="0" t="n">
        <v>1884</v>
      </c>
      <c r="N25" s="0" t="n">
        <v>400</v>
      </c>
      <c r="P25" s="2" t="n">
        <v>21</v>
      </c>
      <c r="Q25" s="2" t="n">
        <v>26</v>
      </c>
      <c r="R25" s="2" t="n">
        <v>2</v>
      </c>
      <c r="S25" s="2" t="n">
        <v>115</v>
      </c>
      <c r="T25" s="25" t="n">
        <f aca="false">((($AB25/2)/60)*5280)/($U25*3.2*PI())</f>
        <v>140.488622605809</v>
      </c>
      <c r="U25" s="2" t="n">
        <v>2.43</v>
      </c>
      <c r="V25" s="2" t="n">
        <f aca="false">((($P25*$P25/4)*PI())*($Q25/12)*$R25*$S25*$T25)/(33000*1.1)</f>
        <v>668.009960718294</v>
      </c>
      <c r="W25" s="0" t="n">
        <v>42</v>
      </c>
      <c r="Z25" s="0" t="n">
        <v>35</v>
      </c>
      <c r="AA25" s="3" t="n">
        <f aca="false">IF(AND(W25&gt;0,Z25&gt;0),(Z25/((W25+X25)*10)),"")</f>
        <v>0.0833333333333333</v>
      </c>
      <c r="AB25" s="0" t="n">
        <v>78</v>
      </c>
      <c r="AC25" s="0" t="n">
        <f aca="false">ROUND(AB25*1.6, 0)</f>
        <v>125</v>
      </c>
      <c r="AF25" s="0" t="n">
        <v>9</v>
      </c>
      <c r="AG25" s="0" t="n">
        <v>9</v>
      </c>
      <c r="AJ25" s="4" t="n">
        <v>0</v>
      </c>
      <c r="AK25" s="5" t="str">
        <f aca="false">CONCATENATE(VLOOKUP(AL25, 'Voxel Sizes'!$A$2:$B$18,2,FALSE()),"x",INT(AH25*15), "x", INT(AI25*15))</f>
        <v>82x0x0</v>
      </c>
      <c r="AL25" s="5" t="n">
        <f aca="false">ROUND(15*((AG25*10)/256),0)</f>
        <v>5</v>
      </c>
      <c r="AM25" s="0" t="s">
        <v>104</v>
      </c>
      <c r="AN25" s="5" t="str">
        <f aca="false">CONCATENATE(VLOOKUP(AL25,Constants!$A$2:$C$16,IF(AM25&lt;&gt;"", 3, 2), FALSE()),IF(AM25&lt;&gt;"",CONCATENATE(",",VLOOKUP(AM25,$B:$AN,39,FALSE())),""))</f>
        <v>2,1,2,1,2,1</v>
      </c>
      <c r="AX25" s="0" t="n">
        <v>31</v>
      </c>
      <c r="AY25" s="5" t="n">
        <f aca="false">IF(L25&lt;&gt;"",MAX(16,(L25-J25)+8),"")</f>
        <v>45</v>
      </c>
      <c r="AZ25" s="0" t="n">
        <v>15</v>
      </c>
      <c r="BA25" s="0" t="n">
        <v>20</v>
      </c>
      <c r="BB25" s="7" t="n">
        <f aca="false">MIN(AB25/150, 1)*30</f>
        <v>15.6</v>
      </c>
      <c r="BC25" s="7" t="n">
        <f aca="false">MIN(N25/4000, 1)*20</f>
        <v>2</v>
      </c>
      <c r="BD25" s="7" t="n">
        <f aca="false">MIN(Z25/400,1)*20</f>
        <v>1.75</v>
      </c>
      <c r="BE25" s="21" t="n">
        <f aca="false">1-(MAX(J25-1900, 0)/750)</f>
        <v>1</v>
      </c>
      <c r="BF25" s="7" t="n">
        <f aca="false">((MAX($M25,1)*MIN($AJ25/300,1)))*IF(G25="Wagon",50,10)</f>
        <v>0</v>
      </c>
      <c r="BG25" s="7" t="n">
        <f aca="false">VLOOKUP($H25,Constants!$I:$K, 2, FALSE())</f>
        <v>1.15</v>
      </c>
      <c r="BH25" s="7" t="n">
        <f aca="false">VLOOKUP($H25,Constants!$I:$K, 3, FALSE())*IF(AND(G25="multiple_unit",AB25&lt;110),0.75,1)</f>
        <v>1.7</v>
      </c>
      <c r="BI25" s="7" t="n">
        <f aca="false">INT(POWER(((Constants!$G$2+$BB25+$BC25+$BD25+$BF25)*$BE25)*$BH25, 1.05))+$BA25</f>
        <v>69</v>
      </c>
      <c r="BJ25" s="7" t="n">
        <f aca="false">INT(POWER((((Constants!$G$1+$BB25+$BC25+$BD25+$BF25)*($BE25))*$BG25),IF($G25="wagon",1,1.2)))+$AZ25</f>
        <v>97</v>
      </c>
      <c r="BK25" s="22" t="n">
        <f aca="false">BI25*IF($G25="wagon",62.5,781.25)</f>
        <v>53906.25</v>
      </c>
      <c r="BL25" s="22" t="n">
        <f aca="false">BJ25*IF($G25="wagon",2.73,81.25)</f>
        <v>7881.25</v>
      </c>
      <c r="BV25" s="0" t="n">
        <v>7</v>
      </c>
      <c r="CA25" s="9" t="s">
        <v>102</v>
      </c>
      <c r="CB25" s="0" t="s">
        <v>166</v>
      </c>
      <c r="CC25" s="9" t="str">
        <f aca="false">CONCATENATE(CA25,"_",CB25)</f>
        <v>early_Express</v>
      </c>
      <c r="CD25" s="9" t="str">
        <f aca="false">_xlfn.CONCAT(H25, "_",I25)</f>
        <v>steam_RAIL</v>
      </c>
      <c r="CE25" s="23" t="str">
        <f aca="false" t="array" ref="CE25:CE25">IF(AN25&lt;&gt;"na", _xlfn.CONCAT("{BLACK}Length: {GOLD}", TEXT(ROUNDUP(IF(AQ25&lt;&gt;"",SUM(VALUE(_xlfn.TEXTSPLIT(AQ25, ","))), SUM(VALUE(_xlfn.TEXTSPLIT(AN25, ",")))*IF(M25, M25, 1))/16, 1),"#,##0.0"), " tiles{}"), "")</f>
        <v>{BLACK}Length: {GOLD}0.6 tiles{}</v>
      </c>
      <c r="CF25" s="9" t="str">
        <f aca="false">VLOOKUP($CD25, Constants!$M:$N, 2, FALSE())</f>
        <v>{BLACK}Powered by: {GOLD}Steam</v>
      </c>
      <c r="CG25" s="9" t="str">
        <f aca="false">IF(AND(L25&gt;1,BN25&lt;&gt;1),_xlfn.CONCAT("{BLACK}Cars: {GOLD}", L25),"")</f>
        <v/>
      </c>
      <c r="CH25" s="0" t="s">
        <v>170</v>
      </c>
      <c r="CI25" s="0" t="str">
        <f aca="false">IF($BU25="!param_no_gameplay_units","{GREEN}Included for gameplay purposes","")</f>
        <v/>
      </c>
      <c r="CJ25" s="0" t="str">
        <f aca="false">IF(BX25="buffet","{YELLOW}25% long distance bonus for consist{}",IF(BY25="DANDY","{YELLOW}Faster downhill speeds for horse-drawn trains (1 required per 2 horses){}",IF(BY25="BRAKE","{YELLOW}Speed bonus for slow wagons{}",IF(BY25="NGPassengers","{YELLOW}Preserved railway bonus: passengers pay more when hauled by old locomotives{}",IF(AND(BW25&gt;190,NOT(AND(I25="NARROW_GAUGE",BY25&lt;&gt;"PASS"))),CONCATENATE("{YELLOW}",INT((BW25-185)/1.85),"% bonus for long distance travel{}"),IF(AND(BW25&lt;180,BW25&lt;&gt;0),CONCATENATE("{YELLOW}",INT((185-BW25)/1.85),"% penalty for long distance travel{}"),""))))))</f>
        <v/>
      </c>
      <c r="CK25" s="0" t="str">
        <f aca="false">_xlfn.CONCAT(CF25,IF(CF25&lt;&gt;""," ",""),CG25,IF(OR(CG25&lt;&gt;"",CF25&lt;&gt;""),"{}",""),CE25,CJ25,"{SILVER}",CH25,IF(CI25&lt;&gt;"","{}{}",""),CI25)</f>
        <v>{BLACK}Powered by: {GOLD}Steam {}{BLACK}Length: {GOLD}0.6 tiles{}{SILVER}The Iron Duke class was powerful and very fast for its time. Although both leading axles were rigidly mounted, the wide curves and broad gauge of the GWR's track made this less of a problem.</v>
      </c>
    </row>
    <row r="26" customFormat="false" ht="13.5" hidden="false" customHeight="true" outlineLevel="0" collapsed="false">
      <c r="A26" s="0" t="s">
        <v>171</v>
      </c>
      <c r="B26" s="0" t="s">
        <v>172</v>
      </c>
      <c r="C26" s="0" t="n">
        <v>741</v>
      </c>
      <c r="E26" s="0" t="n">
        <v>4</v>
      </c>
      <c r="F26" s="0" t="s">
        <v>115</v>
      </c>
      <c r="G26" s="0" t="s">
        <v>161</v>
      </c>
      <c r="H26" s="0" t="s">
        <v>162</v>
      </c>
      <c r="I26" s="0" t="s">
        <v>92</v>
      </c>
      <c r="J26" s="0" t="n">
        <v>1874</v>
      </c>
      <c r="L26" s="0" t="n">
        <v>1923</v>
      </c>
      <c r="N26" s="0" t="n">
        <v>550</v>
      </c>
      <c r="P26" s="2" t="n">
        <v>17</v>
      </c>
      <c r="Q26" s="2" t="n">
        <v>24</v>
      </c>
      <c r="R26" s="2" t="n">
        <v>2</v>
      </c>
      <c r="S26" s="2" t="n">
        <v>140</v>
      </c>
      <c r="T26" s="25" t="n">
        <f aca="false">((($AB26/2)/60)*5280)/($U26*3.2*PI())</f>
        <v>154.65586342852</v>
      </c>
      <c r="U26" s="2" t="n">
        <v>1.981</v>
      </c>
      <c r="V26" s="2" t="n">
        <f aca="false">((($P26*$P26/4)*PI())*($Q26/12)*$R26*$S26*$T26)/(33000*1.1)</f>
        <v>541.546204090374</v>
      </c>
      <c r="W26" s="0" t="n">
        <v>34</v>
      </c>
      <c r="X26" s="1" t="n">
        <v>30</v>
      </c>
      <c r="Z26" s="0" t="n">
        <v>49</v>
      </c>
      <c r="AA26" s="3" t="n">
        <f aca="false">IF(AND(W26&gt;0,Z26&gt;0),(Z26/((W26+X26)*10)),"")</f>
        <v>0.0765625</v>
      </c>
      <c r="AB26" s="0" t="n">
        <v>70</v>
      </c>
      <c r="AC26" s="0" t="n">
        <f aca="false">ROUND(AB26*1.6, 0)</f>
        <v>112</v>
      </c>
      <c r="AF26" s="0" t="n">
        <v>10</v>
      </c>
      <c r="AG26" s="0" t="n">
        <v>10</v>
      </c>
      <c r="AK26" s="5" t="str">
        <f aca="false">CONCATENATE(VLOOKUP(AL26, 'Voxel Sizes'!$A$2:$B$18,2,FALSE()),"x",INT(AH26*15), "x", INT(AI26*15))</f>
        <v>102x0x0</v>
      </c>
      <c r="AL26" s="5" t="n">
        <f aca="false">ROUND(15*((AG26*10)/256),0)</f>
        <v>6</v>
      </c>
      <c r="AM26" s="0" t="s">
        <v>97</v>
      </c>
      <c r="AN26" s="5" t="str">
        <f aca="false">CONCATENATE(VLOOKUP(AL26,Constants!$A$2:$C$16,IF(AM26&lt;&gt;"", 3, 2), FALSE()),IF(AM26&lt;&gt;"",CONCATENATE(",",VLOOKUP(AM26,$B:$AN,39,FALSE())),""))</f>
        <v>2,2,2,2,1,2</v>
      </c>
      <c r="AV26" s="0" t="n">
        <v>1</v>
      </c>
      <c r="AX26" s="0" t="n">
        <v>32</v>
      </c>
      <c r="AY26" s="5" t="n">
        <f aca="false">IF(L26&lt;&gt;"",MAX(16,(L26-J26)+8),"")</f>
        <v>57</v>
      </c>
      <c r="BB26" s="7" t="n">
        <f aca="false">MIN(AB26/150, 1)*30</f>
        <v>14</v>
      </c>
      <c r="BC26" s="7" t="n">
        <f aca="false">MIN(N26/4000, 1)*20</f>
        <v>2.75</v>
      </c>
      <c r="BD26" s="7" t="n">
        <f aca="false">MIN(Z26/400,1)*20</f>
        <v>2.45</v>
      </c>
      <c r="BE26" s="21" t="n">
        <f aca="false">1-(MAX(J26-1900, 0)/750)</f>
        <v>1</v>
      </c>
      <c r="BF26" s="7" t="n">
        <f aca="false">((MAX($M26,1)*MIN($AJ26/300,1)))*IF(G26="Wagon",50,10)</f>
        <v>0</v>
      </c>
      <c r="BG26" s="7" t="n">
        <f aca="false">VLOOKUP($H26,Constants!$I:$K, 2, FALSE())</f>
        <v>1.15</v>
      </c>
      <c r="BH26" s="7" t="n">
        <f aca="false">VLOOKUP($H26,Constants!$I:$K, 3, FALSE())*IF(AND(G26="multiple_unit",AB26&lt;110),0.75,1)</f>
        <v>1.7</v>
      </c>
      <c r="BI26" s="7" t="n">
        <f aca="false">INT(POWER(((Constants!$G$2+$BB26+$BC26+$BD26+$BF26)*$BE26)*$BH26, 1.05))+$BA26</f>
        <v>49</v>
      </c>
      <c r="BJ26" s="7" t="n">
        <f aca="false">INT(POWER((((Constants!$G$1+$BB26+$BC26+$BD26+$BF26)*($BE26))*$BG26),IF($G26="wagon",1,1.2)))+$AZ26</f>
        <v>81</v>
      </c>
      <c r="BK26" s="22" t="n">
        <f aca="false">BI26*IF($G26="wagon",62.5,781.25)</f>
        <v>38281.25</v>
      </c>
      <c r="BL26" s="22" t="n">
        <f aca="false">BJ26*IF($G26="wagon",2.73,81.25)</f>
        <v>6581.25</v>
      </c>
      <c r="BV26" s="0" t="n">
        <v>7</v>
      </c>
      <c r="CA26" s="9" t="s">
        <v>102</v>
      </c>
      <c r="CB26" s="0" t="s">
        <v>166</v>
      </c>
      <c r="CC26" s="9" t="str">
        <f aca="false">CONCATENATE(CA26,"_",CB26)</f>
        <v>early_Express</v>
      </c>
      <c r="CD26" s="9" t="str">
        <f aca="false">_xlfn.CONCAT(H26, "_",I26)</f>
        <v>steam_RAIL</v>
      </c>
      <c r="CE26" s="23" t="str">
        <f aca="false" t="array" ref="CE26:CE26">IF(AN26&lt;&gt;"na", _xlfn.CONCAT("{BLACK}Length: {GOLD}", TEXT(ROUNDUP(IF(AQ26&lt;&gt;"",SUM(VALUE(_xlfn.TEXTSPLIT(AQ26, ","))), SUM(VALUE(_xlfn.TEXTSPLIT(AN26, ",")))*IF(M26, M26, 1))/16, 1),"#,##0.0"), " tiles{}"), "")</f>
        <v>{BLACK}Length: {GOLD}0.7 tiles{}</v>
      </c>
      <c r="CF26" s="9" t="str">
        <f aca="false">VLOOKUP($CD26, Constants!$M:$N, 2, FALSE())</f>
        <v>{BLACK}Powered by: {GOLD}Steam</v>
      </c>
      <c r="CG26" s="9" t="str">
        <f aca="false">IF(AND(L26&gt;1,BN26&lt;&gt;1),_xlfn.CONCAT("{BLACK}Cars: {GOLD}", L26),"")</f>
        <v/>
      </c>
      <c r="CH26" s="0" t="s">
        <v>173</v>
      </c>
      <c r="CI26" s="0" t="str">
        <f aca="false">IF($BU26="!param_no_gameplay_units","{GREEN}Included for gameplay purposes","")</f>
        <v/>
      </c>
      <c r="CJ26" s="0" t="str">
        <f aca="false">IF(BX26="buffet","{YELLOW}25% long distance bonus for consist{}",IF(BY26="DANDY","{YELLOW}Faster downhill speeds for horse-drawn trains (1 required per 2 horses){}",IF(BY26="BRAKE","{YELLOW}Speed bonus for slow wagons{}",IF(BY26="NGPassengers","{YELLOW}Preserved railway bonus: passengers pay more when hauled by old locomotives{}",IF(AND(BW26&gt;190,NOT(AND(I26="NARROW_GAUGE",BY26&lt;&gt;"PASS"))),CONCATENATE("{YELLOW}",INT((BW26-185)/1.85),"% bonus for long distance travel{}"),IF(AND(BW26&lt;180,BW26&lt;&gt;0),CONCATENATE("{YELLOW}",INT((185-BW26)/1.85),"% penalty for long distance travel{}"),""))))))</f>
        <v/>
      </c>
      <c r="CK26" s="0" t="str">
        <f aca="false">_xlfn.CONCAT(CF26,IF(CF26&lt;&gt;""," ",""),CG26,IF(OR(CG26&lt;&gt;"",CF26&lt;&gt;""),"{}",""),CE26,CJ26,"{SILVER}",CH26,IF(CI26&lt;&gt;"","{}{}",""),CI26)</f>
        <v>{BLACK}Powered by: {GOLD}Steam {}{BLACK}Length: {GOLD}0.7 tiles{}{SILVER}F.W. Webb's Precedent class was an express passenger locomotive. A large part of the class was given numbers and names of previously withdrawn locomotives, giving it a fragmented numbering scheme.</v>
      </c>
    </row>
    <row r="27" customFormat="false" ht="14.25" hidden="false" customHeight="false" outlineLevel="0" collapsed="false">
      <c r="A27" s="0" t="s">
        <v>174</v>
      </c>
      <c r="B27" s="0" t="s">
        <v>175</v>
      </c>
      <c r="C27" s="0" t="n">
        <v>661</v>
      </c>
      <c r="E27" s="0" t="n">
        <v>5</v>
      </c>
      <c r="F27" s="0" t="s">
        <v>115</v>
      </c>
      <c r="G27" s="0" t="s">
        <v>161</v>
      </c>
      <c r="H27" s="0" t="s">
        <v>162</v>
      </c>
      <c r="I27" s="0" t="s">
        <v>92</v>
      </c>
      <c r="J27" s="0" t="n">
        <v>1866</v>
      </c>
      <c r="L27" s="0" t="n">
        <v>1947</v>
      </c>
      <c r="N27" s="0" t="n">
        <v>500</v>
      </c>
      <c r="P27" s="2" t="n">
        <v>17</v>
      </c>
      <c r="Q27" s="2" t="n">
        <v>24</v>
      </c>
      <c r="R27" s="2" t="n">
        <v>2</v>
      </c>
      <c r="S27" s="2" t="n">
        <v>140</v>
      </c>
      <c r="T27" s="25" t="n">
        <f aca="false">((($AB27/2)/60)*5280)/($U27*3.2*PI())</f>
        <v>150.364408444378</v>
      </c>
      <c r="U27" s="2" t="n">
        <v>1.892</v>
      </c>
      <c r="V27" s="2" t="n">
        <f aca="false">((($P27*$P27/4)*PI())*($Q27/12)*$R27*$S27*$T27)/(33000*1.1)</f>
        <v>526.51915561535</v>
      </c>
      <c r="W27" s="0" t="n">
        <v>38</v>
      </c>
      <c r="X27" s="1" t="n">
        <v>30</v>
      </c>
      <c r="Y27" s="0" t="n">
        <v>5</v>
      </c>
      <c r="Z27" s="0" t="n">
        <v>50</v>
      </c>
      <c r="AA27" s="3" t="n">
        <f aca="false">IF(AND(W27&gt;0,Z27&gt;0),(Z27/((W27+X27)*10)),"")</f>
        <v>0.0735294117647059</v>
      </c>
      <c r="AB27" s="0" t="n">
        <v>65</v>
      </c>
      <c r="AC27" s="0" t="n">
        <f aca="false">ROUND(AB27*1.6, 0)</f>
        <v>104</v>
      </c>
      <c r="AF27" s="0" t="n">
        <v>10</v>
      </c>
      <c r="AG27" s="0" t="n">
        <v>10</v>
      </c>
      <c r="AK27" s="5" t="str">
        <f aca="false">CONCATENATE(VLOOKUP(AL27, 'Voxel Sizes'!$A$2:$B$18,2,FALSE()),"x",INT(AH27*15), "x", INT(AI27*15))</f>
        <v>102x0x0</v>
      </c>
      <c r="AL27" s="5" t="n">
        <f aca="false">ROUND(15*((AG27*10)/256),0)</f>
        <v>6</v>
      </c>
      <c r="AM27" s="0" t="s">
        <v>106</v>
      </c>
      <c r="AN27" s="5" t="str">
        <f aca="false">CONCATENATE(VLOOKUP(AL27,Constants!$A$2:$C$16,IF(AM27&lt;&gt;"", 3, 2), FALSE()),IF(AM27&lt;&gt;"",CONCATENATE(",",VLOOKUP(AM27,$B:$AN,39,FALSE())),""))</f>
        <v>2,2,2,2,1,2</v>
      </c>
      <c r="AV27" s="0" t="n">
        <v>1</v>
      </c>
      <c r="AX27" s="0" t="n">
        <v>34</v>
      </c>
      <c r="AY27" s="5" t="n">
        <f aca="false">IF(L27&lt;&gt;"",MAX(16,(L27-J27)+8),"")</f>
        <v>89</v>
      </c>
      <c r="BB27" s="7" t="n">
        <f aca="false">MIN(AB27/150, 1)*30</f>
        <v>13</v>
      </c>
      <c r="BC27" s="7" t="n">
        <f aca="false">MIN(N27/4000, 1)*20</f>
        <v>2.5</v>
      </c>
      <c r="BD27" s="7" t="n">
        <f aca="false">MIN(Z27/400,1)*20</f>
        <v>2.5</v>
      </c>
      <c r="BE27" s="21" t="n">
        <f aca="false">1-(MAX(J27-1900, 0)/750)</f>
        <v>1</v>
      </c>
      <c r="BF27" s="7" t="n">
        <f aca="false">((MAX($M27,1)*MIN($AJ27/300,1)))*IF(G27="Wagon",50,10)</f>
        <v>0</v>
      </c>
      <c r="BG27" s="7" t="n">
        <f aca="false">VLOOKUP($H27,Constants!$I:$K, 2, FALSE())</f>
        <v>1.15</v>
      </c>
      <c r="BH27" s="7" t="n">
        <f aca="false">VLOOKUP($H27,Constants!$I:$K, 3, FALSE())*IF(AND(G27="multiple_unit",AB27&lt;110),0.75,1)</f>
        <v>1.7</v>
      </c>
      <c r="BI27" s="7" t="n">
        <f aca="false">INT(POWER(((Constants!$G$2+$BB27+$BC27+$BD27+$BF27)*$BE27)*$BH27, 1.05))+$BA27</f>
        <v>46</v>
      </c>
      <c r="BJ27" s="7" t="n">
        <f aca="false">INT(POWER((((Constants!$G$1+$BB27+$BC27+$BD27+$BF27)*($BE27))*$BG27),IF($G27="wagon",1,1.2)))+$AZ27</f>
        <v>78</v>
      </c>
      <c r="BK27" s="22" t="n">
        <f aca="false">BI27*IF($G27="wagon",62.5,781.25)</f>
        <v>35937.5</v>
      </c>
      <c r="BL27" s="22" t="n">
        <f aca="false">BJ27*IF($G27="wagon",2.73,81.25)</f>
        <v>6337.5</v>
      </c>
      <c r="BV27" s="0" t="n">
        <v>9</v>
      </c>
      <c r="CA27" s="9" t="str">
        <f aca="false">VLOOKUP(J27,Eras!$A$2:$C$10, 2, TRUE())</f>
        <v>vct</v>
      </c>
      <c r="CB27" s="0" t="s">
        <v>166</v>
      </c>
      <c r="CC27" s="9" t="str">
        <f aca="false">CONCATENATE(CA27,"_",CB27)</f>
        <v>vct_Express</v>
      </c>
      <c r="CD27" s="9" t="str">
        <f aca="false">_xlfn.CONCAT(H27, "_",I27)</f>
        <v>steam_RAIL</v>
      </c>
      <c r="CE27" s="23" t="str">
        <f aca="false" t="array" ref="CE27:CE27">IF(AN27&lt;&gt;"na", _xlfn.CONCAT("{BLACK}Length: {GOLD}", TEXT(ROUNDUP(IF(AQ27&lt;&gt;"",SUM(VALUE(_xlfn.TEXTSPLIT(AQ27, ","))), SUM(VALUE(_xlfn.TEXTSPLIT(AN27, ",")))*IF(M27, M27, 1))/16, 1),"#,##0.0"), " tiles{}"), "")</f>
        <v>{BLACK}Length: {GOLD}0.7 tiles{}</v>
      </c>
      <c r="CF27" s="9" t="str">
        <f aca="false">VLOOKUP($CD27, Constants!$M:$N, 2, FALSE())</f>
        <v>{BLACK}Powered by: {GOLD}Steam</v>
      </c>
      <c r="CG27" s="9" t="str">
        <f aca="false">IF(AND(L27&gt;1,BN27&lt;&gt;1),_xlfn.CONCAT("{BLACK}Cars: {GOLD}", L27),"")</f>
        <v/>
      </c>
      <c r="CH27" s="0" t="s">
        <v>176</v>
      </c>
      <c r="CI27" s="0" t="str">
        <f aca="false">IF($BU27="!param_no_gameplay_units","{GREEN}Included for gameplay purposes","")</f>
        <v/>
      </c>
      <c r="CJ27" s="0" t="str">
        <f aca="false">IF(BX27="buffet","{YELLOW}25% long distance bonus for consist{}",IF(BY27="DANDY","{YELLOW}Faster downhill speeds for horse-drawn trains (1 required per 2 horses){}",IF(BY27="BRAKE","{YELLOW}Speed bonus for slow wagons{}",IF(BY27="NGPassengers","{YELLOW}Preserved railway bonus: passengers pay more when hauled by old locomotives{}",IF(AND(BW27&gt;190,NOT(AND(I27="NARROW_GAUGE",BY27&lt;&gt;"PASS"))),CONCATENATE("{YELLOW}",INT((BW27-185)/1.85),"% bonus for long distance travel{}"),IF(AND(BW27&lt;180,BW27&lt;&gt;0),CONCATENATE("{YELLOW}",INT((185-BW27)/1.85),"% penalty for long distance travel{}"),""))))))</f>
        <v/>
      </c>
      <c r="CK27" s="0" t="str">
        <f aca="false">_xlfn.CONCAT(CF27,IF(CF27&lt;&gt;""," ",""),CG27,IF(OR(CG27&lt;&gt;"",CF27&lt;&gt;""),"{}",""),CE27,CJ27,"{SILVER}",CH27,IF(CI27&lt;&gt;"","{}{}",""),CI27)</f>
        <v>{BLACK}Powered by: {GOLD}Steam {}{BLACK}Length: {GOLD}0.7 tiles{}{SILVER}The Midland 156 class had a long career. It started as an express engine but as power outputs and speeds on the mainline increased it was relegated to increasingly minor duties, ending up being used on small branch lines.</v>
      </c>
    </row>
    <row r="28" customFormat="false" ht="14.25" hidden="false" customHeight="false" outlineLevel="0" collapsed="false">
      <c r="A28" s="0" t="s">
        <v>177</v>
      </c>
      <c r="B28" s="0" t="s">
        <v>178</v>
      </c>
      <c r="C28" s="0" t="n">
        <v>871</v>
      </c>
      <c r="E28" s="0" t="n">
        <v>6</v>
      </c>
      <c r="F28" s="0" t="s">
        <v>115</v>
      </c>
      <c r="G28" s="0" t="s">
        <v>161</v>
      </c>
      <c r="H28" s="0" t="s">
        <v>162</v>
      </c>
      <c r="I28" s="0" t="s">
        <v>92</v>
      </c>
      <c r="J28" s="0" t="n">
        <v>1870</v>
      </c>
      <c r="L28" s="0" t="n">
        <v>1916</v>
      </c>
      <c r="N28" s="0" t="n">
        <v>650</v>
      </c>
      <c r="P28" s="2" t="n">
        <v>18</v>
      </c>
      <c r="Q28" s="2" t="n">
        <v>28</v>
      </c>
      <c r="R28" s="2" t="n">
        <v>2</v>
      </c>
      <c r="S28" s="2" t="n">
        <v>140</v>
      </c>
      <c r="T28" s="25" t="n">
        <f aca="false">((($AB28/2)/60)*5280)/($U28*3.2*PI())</f>
        <v>151.22954450297</v>
      </c>
      <c r="U28" s="2" t="n">
        <v>2.46</v>
      </c>
      <c r="V28" s="2" t="n">
        <f aca="false">((($P28*$P28/4)*PI())*($Q28/12)*$R28*$S28*$T28)/(33000*1.1)</f>
        <v>692.627494456763</v>
      </c>
      <c r="W28" s="0" t="n">
        <v>40</v>
      </c>
      <c r="X28" s="1" t="n">
        <v>30</v>
      </c>
      <c r="Y28" s="0" t="n">
        <v>5</v>
      </c>
      <c r="Z28" s="0" t="n">
        <v>50</v>
      </c>
      <c r="AA28" s="3" t="n">
        <f aca="false">IF(AND(W28&gt;0,Z28&gt;0),(Z28/((W28+X28)*10)),"")</f>
        <v>0.0714285714285714</v>
      </c>
      <c r="AB28" s="0" t="n">
        <v>85</v>
      </c>
      <c r="AC28" s="0" t="n">
        <f aca="false">ROUND(AB28*1.6, 0)</f>
        <v>136</v>
      </c>
      <c r="AF28" s="0" t="n">
        <v>15.4</v>
      </c>
      <c r="AG28" s="0" t="n">
        <v>12</v>
      </c>
      <c r="AK28" s="5" t="str">
        <f aca="false">CONCATENATE(VLOOKUP(AL28, 'Voxel Sizes'!$A$2:$B$18,2,FALSE()),"x",INT(AH28*15), "x", INT(AI28*15))</f>
        <v>120x0x0</v>
      </c>
      <c r="AL28" s="5" t="n">
        <f aca="false">ROUND(15*((AG28*10)/256),0)</f>
        <v>7</v>
      </c>
      <c r="AM28" s="0" t="s">
        <v>95</v>
      </c>
      <c r="AN28" s="5" t="str">
        <f aca="false">CONCATENATE(VLOOKUP(AL28,Constants!$A$2:$C$16,IF(AM28&lt;&gt;"", 3, 2), FALSE()),IF(AM28&lt;&gt;"",CONCATENATE(",",VLOOKUP(AM28,$B:$AN,39,FALSE())),""))</f>
        <v>2,3,2,2,1,2</v>
      </c>
      <c r="AV28" s="0" t="n">
        <v>1</v>
      </c>
      <c r="AX28" s="0" t="n">
        <v>31</v>
      </c>
      <c r="AY28" s="5" t="n">
        <f aca="false">IF(L28&lt;&gt;"",MAX(16,(L28-J28)+8),"")</f>
        <v>54</v>
      </c>
      <c r="BB28" s="7" t="n">
        <f aca="false">MIN(AB28/150, 1)*30</f>
        <v>17</v>
      </c>
      <c r="BC28" s="7" t="n">
        <f aca="false">MIN(N28/4000, 1)*20</f>
        <v>3.25</v>
      </c>
      <c r="BD28" s="7" t="n">
        <f aca="false">MIN(Z28/400,1)*20</f>
        <v>2.5</v>
      </c>
      <c r="BE28" s="21" t="n">
        <f aca="false">1-(MAX(J28-1900, 0)/750)</f>
        <v>1</v>
      </c>
      <c r="BF28" s="7" t="n">
        <f aca="false">((MAX($M28,1)*MIN($AJ28/300,1)))*IF(G28="Wagon",50,10)</f>
        <v>0</v>
      </c>
      <c r="BG28" s="7" t="n">
        <f aca="false">VLOOKUP($H28,Constants!$I:$K, 2, FALSE())</f>
        <v>1.15</v>
      </c>
      <c r="BH28" s="7" t="n">
        <f aca="false">VLOOKUP($H28,Constants!$I:$K, 3, FALSE())*IF(AND(G28="multiple_unit",AB28&lt;110),0.75,1)</f>
        <v>1.7</v>
      </c>
      <c r="BI28" s="7" t="n">
        <f aca="false">INT(POWER(((Constants!$G$2+$BB28+$BC28+$BD28+$BF28)*$BE28)*$BH28, 1.05))+$BA28</f>
        <v>57</v>
      </c>
      <c r="BJ28" s="7" t="n">
        <f aca="false">INT(POWER((((Constants!$G$1+$BB28+$BC28+$BD28+$BF28)*($BE28))*$BG28),IF($G28="wagon",1,1.2)))+$AZ28</f>
        <v>92</v>
      </c>
      <c r="BK28" s="22" t="n">
        <f aca="false">BI28*IF($G28="wagon",62.5,781.25)</f>
        <v>44531.25</v>
      </c>
      <c r="BL28" s="22" t="n">
        <f aca="false">BJ28*IF($G28="wagon",2.73,81.25)</f>
        <v>7475</v>
      </c>
      <c r="BV28" s="0" t="n">
        <v>4</v>
      </c>
      <c r="CA28" s="9" t="str">
        <f aca="false">VLOOKUP(J28,Eras!$A$2:$C$10, 2, TRUE())</f>
        <v>vct</v>
      </c>
      <c r="CB28" s="0" t="s">
        <v>166</v>
      </c>
      <c r="CC28" s="9" t="str">
        <f aca="false">CONCATENATE(CA28,"_",CB28)</f>
        <v>vct_Express</v>
      </c>
      <c r="CD28" s="9" t="str">
        <f aca="false">_xlfn.CONCAT(H28, "_",I28)</f>
        <v>steam_RAIL</v>
      </c>
      <c r="CE28" s="23" t="str">
        <f aca="false" t="array" ref="CE28:CE28">IF(AN28&lt;&gt;"na", _xlfn.CONCAT("{BLACK}Length: {GOLD}", TEXT(ROUNDUP(IF(AQ28&lt;&gt;"",SUM(VALUE(_xlfn.TEXTSPLIT(AQ28, ","))), SUM(VALUE(_xlfn.TEXTSPLIT(AN28, ",")))*IF(M28, M28, 1))/16, 1),"#,##0.0"), " tiles{}"), "")</f>
        <v>{BLACK}Length: {GOLD}0.8 tiles{}</v>
      </c>
      <c r="CF28" s="9" t="str">
        <f aca="false">VLOOKUP($CD28, Constants!$M:$N, 2, FALSE())</f>
        <v>{BLACK}Powered by: {GOLD}Steam</v>
      </c>
      <c r="CG28" s="9" t="str">
        <f aca="false">IF(AND(L28&gt;1,BN28&lt;&gt;1),_xlfn.CONCAT("{BLACK}Cars: {GOLD}", L28),"")</f>
        <v/>
      </c>
      <c r="CH28" s="0" t="s">
        <v>179</v>
      </c>
      <c r="CI28" s="0" t="str">
        <f aca="false">IF($BU28="!param_no_gameplay_units","{GREEN}Included for gameplay purposes","")</f>
        <v/>
      </c>
      <c r="CJ28" s="0" t="str">
        <f aca="false">IF(BX28="buffet","{YELLOW}25% long distance bonus for consist{}",IF(BY28="DANDY","{YELLOW}Faster downhill speeds for horse-drawn trains (1 required per 2 horses){}",IF(BY28="BRAKE","{YELLOW}Speed bonus for slow wagons{}",IF(BY28="NGPassengers","{YELLOW}Preserved railway bonus: passengers pay more when hauled by old locomotives{}",IF(AND(BW28&gt;190,NOT(AND(I28="NARROW_GAUGE",BY28&lt;&gt;"PASS"))),CONCATENATE("{YELLOW}",INT((BW28-185)/1.85),"% bonus for long distance travel{}"),IF(AND(BW28&lt;180,BW28&lt;&gt;0),CONCATENATE("{YELLOW}",INT((185-BW28)/1.85),"% penalty for long distance travel{}"),""))))))</f>
        <v/>
      </c>
      <c r="CK28" s="0" t="str">
        <f aca="false">_xlfn.CONCAT(CF28,IF(CF28&lt;&gt;""," ",""),CG28,IF(OR(CG28&lt;&gt;"",CF28&lt;&gt;""),"{}",""),CE28,CJ28,"{SILVER}",CH28,IF(CI28&lt;&gt;"","{}{}",""),CI28)</f>
        <v>{BLACK}Powered by: {GOLD}Steam {}{BLACK}Length: {GOLD}0.8 tiles{}{SILVER}Patrick Stirling's "singles" (also known as "eight footers" due to the large driving wheels) were designed to haul heavy express trains.</v>
      </c>
    </row>
    <row r="29" customFormat="false" ht="13.5" hidden="false" customHeight="true" outlineLevel="0" collapsed="false">
      <c r="A29" s="0" t="s">
        <v>180</v>
      </c>
      <c r="B29" s="0" t="s">
        <v>181</v>
      </c>
      <c r="C29" s="0" t="n">
        <v>872</v>
      </c>
      <c r="E29" s="0" t="n">
        <v>7</v>
      </c>
      <c r="F29" s="0" t="s">
        <v>115</v>
      </c>
      <c r="G29" s="0" t="s">
        <v>161</v>
      </c>
      <c r="H29" s="0" t="s">
        <v>162</v>
      </c>
      <c r="I29" s="0" t="s">
        <v>92</v>
      </c>
      <c r="J29" s="0" t="n">
        <v>1887</v>
      </c>
      <c r="L29" s="0" t="n">
        <v>1934</v>
      </c>
      <c r="N29" s="0" t="n">
        <v>620</v>
      </c>
      <c r="P29" s="2" t="n">
        <v>17</v>
      </c>
      <c r="Q29" s="2" t="n">
        <v>24</v>
      </c>
      <c r="R29" s="2" t="n">
        <v>2</v>
      </c>
      <c r="S29" s="2" t="n">
        <v>150</v>
      </c>
      <c r="T29" s="25" t="n">
        <f aca="false">((($AB29/2)/60)*5280)/($U29*3.2*PI())</f>
        <v>165.702710816272</v>
      </c>
      <c r="U29" s="2" t="n">
        <v>1.981</v>
      </c>
      <c r="V29" s="2" t="n">
        <f aca="false">((($P29*$P29/4)*PI())*($Q29/12)*$R29*$S29*$T29)/(33000*1.1)</f>
        <v>621.672938369051</v>
      </c>
      <c r="W29" s="0" t="n">
        <v>34</v>
      </c>
      <c r="X29" s="1" t="n">
        <v>30</v>
      </c>
      <c r="Z29" s="0" t="n">
        <v>49</v>
      </c>
      <c r="AA29" s="3" t="n">
        <f aca="false">IF(AND(W29&gt;0,Z29&gt;0),(Z29/((W29+X29)*10)),"")</f>
        <v>0.0765625</v>
      </c>
      <c r="AB29" s="0" t="n">
        <v>75</v>
      </c>
      <c r="AC29" s="0" t="n">
        <f aca="false">ROUND(AB29*1.6, 0)</f>
        <v>120</v>
      </c>
      <c r="AF29" s="0" t="n">
        <v>10</v>
      </c>
      <c r="AG29" s="0" t="n">
        <v>10</v>
      </c>
      <c r="AK29" s="5" t="str">
        <f aca="false">CONCATENATE(VLOOKUP(AL29, 'Voxel Sizes'!$A$2:$B$18,2,FALSE()),"x",INT(AH29*15), "x", INT(AI29*15))</f>
        <v>102x0x0</v>
      </c>
      <c r="AL29" s="5" t="n">
        <f aca="false">ROUND(15*((AG29*10)/256),0)</f>
        <v>6</v>
      </c>
      <c r="AM29" s="0" t="s">
        <v>108</v>
      </c>
      <c r="AN29" s="5" t="str">
        <f aca="false">CONCATENATE(VLOOKUP(AL29,Constants!$A$2:$C$16,IF(AM29&lt;&gt;"", 3, 2), FALSE()),IF(AM29&lt;&gt;"",CONCATENATE(",",VLOOKUP(AM29,$B:$AN,39,FALSE())),""))</f>
        <v>2,2,2,2,1,2</v>
      </c>
      <c r="AV29" s="0" t="n">
        <v>1</v>
      </c>
      <c r="AX29" s="0" t="n">
        <v>32</v>
      </c>
      <c r="AY29" s="5" t="n">
        <f aca="false">IF(L29&lt;&gt;"",MAX(16,(L29-J29)+8),"")</f>
        <v>55</v>
      </c>
      <c r="BB29" s="7" t="n">
        <f aca="false">MIN(AB29/150, 1)*30</f>
        <v>15</v>
      </c>
      <c r="BC29" s="7" t="n">
        <f aca="false">MIN(N29/4000, 1)*20</f>
        <v>3.1</v>
      </c>
      <c r="BD29" s="7" t="n">
        <f aca="false">MIN(Z29/400,1)*20</f>
        <v>2.45</v>
      </c>
      <c r="BE29" s="21" t="n">
        <f aca="false">1-(MAX(J29-1900, 0)/750)</f>
        <v>1</v>
      </c>
      <c r="BF29" s="7" t="n">
        <f aca="false">((MAX($M29,1)*MIN($AJ29/300,1)))*IF(G29="Wagon",50,10)</f>
        <v>0</v>
      </c>
      <c r="BG29" s="7" t="n">
        <f aca="false">VLOOKUP($H29,Constants!$I:$K, 2, FALSE())</f>
        <v>1.15</v>
      </c>
      <c r="BH29" s="7" t="n">
        <f aca="false">VLOOKUP($H29,Constants!$I:$K, 3, FALSE())*IF(AND(G29="multiple_unit",AB29&lt;110),0.75,1)</f>
        <v>1.7</v>
      </c>
      <c r="BI29" s="7" t="n">
        <f aca="false">INT(POWER(((Constants!$G$2+$BB29+$BC29+$BD29+$BF29)*$BE29)*$BH29, 1.05))+$BA29</f>
        <v>52</v>
      </c>
      <c r="BJ29" s="7" t="n">
        <f aca="false">INT(POWER((((Constants!$G$1+$BB29+$BC29+$BD29+$BF29)*($BE29))*$BG29),IF($G29="wagon",1,1.2)))+$AZ29</f>
        <v>85</v>
      </c>
      <c r="BK29" s="22" t="n">
        <f aca="false">BI29*IF($G29="wagon",62.5,781.25)</f>
        <v>40625</v>
      </c>
      <c r="BL29" s="22" t="n">
        <f aca="false">BJ29*IF($G29="wagon",2.73,81.25)</f>
        <v>6906.25</v>
      </c>
      <c r="BV29" s="0" t="n">
        <v>7</v>
      </c>
      <c r="CA29" s="9" t="s">
        <v>102</v>
      </c>
      <c r="CB29" s="0" t="s">
        <v>166</v>
      </c>
      <c r="CC29" s="9" t="str">
        <f aca="false">CONCATENATE(CA29,"_",CB29)</f>
        <v>early_Express</v>
      </c>
      <c r="CD29" s="9" t="str">
        <f aca="false">_xlfn.CONCAT(H29, "_",I29)</f>
        <v>steam_RAIL</v>
      </c>
      <c r="CE29" s="23" t="str">
        <f aca="false" t="array" ref="CE29:CE29">IF(AN29&lt;&gt;"na", _xlfn.CONCAT("{BLACK}Length: {GOLD}", TEXT(ROUNDUP(IF(AQ29&lt;&gt;"",SUM(VALUE(_xlfn.TEXTSPLIT(AQ29, ","))), SUM(VALUE(_xlfn.TEXTSPLIT(AN29, ",")))*IF(M29, M29, 1))/16, 1),"#,##0.0"), " tiles{}"), "")</f>
        <v>{BLACK}Length: {GOLD}0.7 tiles{}</v>
      </c>
      <c r="CF29" s="9" t="str">
        <f aca="false">VLOOKUP($CD29, Constants!$M:$N, 2, FALSE())</f>
        <v>{BLACK}Powered by: {GOLD}Steam</v>
      </c>
      <c r="CG29" s="9" t="str">
        <f aca="false">IF(AND(L29&gt;1,BN29&lt;&gt;1),_xlfn.CONCAT("{BLACK}Cars: {GOLD}", L29),"")</f>
        <v/>
      </c>
      <c r="CH29" s="0" t="s">
        <v>182</v>
      </c>
      <c r="CI29" s="0" t="str">
        <f aca="false">IF($BU29="!param_no_gameplay_units","{GREEN}Included for gameplay purposes","")</f>
        <v/>
      </c>
      <c r="CJ29" s="0" t="str">
        <f aca="false">IF(BX29="buffet","{YELLOW}25% long distance bonus for consist{}",IF(BY29="DANDY","{YELLOW}Faster downhill speeds for horse-drawn trains (1 required per 2 horses){}",IF(BY29="BRAKE","{YELLOW}Speed bonus for slow wagons{}",IF(BY29="NGPassengers","{YELLOW}Preserved railway bonus: passengers pay more when hauled by old locomotives{}",IF(AND(BW29&gt;190,NOT(AND(I29="NARROW_GAUGE",BY29&lt;&gt;"PASS"))),CONCATENATE("{YELLOW}",INT((BW29-185)/1.85),"% bonus for long distance travel{}"),IF(AND(BW29&lt;180,BW29&lt;&gt;0),CONCATENATE("{YELLOW}",INT((185-BW29)/1.85),"% penalty for long distance travel{}"),""))))))</f>
        <v/>
      </c>
      <c r="CK29" s="0" t="str">
        <f aca="false">_xlfn.CONCAT(CF29,IF(CF29&lt;&gt;""," ",""),CG29,IF(OR(CG29&lt;&gt;"",CF29&lt;&gt;""),"{}",""),CE29,CJ29,"{SILVER}",CH29,IF(CI29&lt;&gt;"","{}{}",""),CI29)</f>
        <v>{BLACK}Powered by: {GOLD}Steam {}{BLACK}Length: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30" customFormat="false" ht="14.25" hidden="false" customHeight="false" outlineLevel="0" collapsed="false">
      <c r="A30" s="0" t="s">
        <v>183</v>
      </c>
      <c r="B30" s="0" t="s">
        <v>184</v>
      </c>
      <c r="C30" s="0" t="n">
        <v>981</v>
      </c>
      <c r="E30" s="0" t="n">
        <v>8</v>
      </c>
      <c r="F30" s="0" t="s">
        <v>115</v>
      </c>
      <c r="G30" s="0" t="s">
        <v>161</v>
      </c>
      <c r="H30" s="0" t="s">
        <v>162</v>
      </c>
      <c r="I30" s="0" t="s">
        <v>92</v>
      </c>
      <c r="J30" s="0" t="n">
        <v>1898</v>
      </c>
      <c r="L30" s="0" t="n">
        <v>1946</v>
      </c>
      <c r="N30" s="0" t="n">
        <v>950</v>
      </c>
      <c r="P30" s="2" t="n">
        <v>18.75</v>
      </c>
      <c r="Q30" s="2" t="n">
        <v>24</v>
      </c>
      <c r="R30" s="2" t="n">
        <v>2</v>
      </c>
      <c r="S30" s="2" t="n">
        <v>170</v>
      </c>
      <c r="T30" s="25" t="n">
        <f aca="false">((($AB30/2)/60)*5280)/($U30*3.2*PI())</f>
        <v>196.95424207622</v>
      </c>
      <c r="U30" s="2" t="n">
        <v>2</v>
      </c>
      <c r="V30" s="2" t="n">
        <f aca="false">((($P30*$P30/4)*PI())*($Q30/12)*$R30*$S30*$T30)/(33000*1.1)</f>
        <v>1018.73224431818</v>
      </c>
      <c r="W30" s="0" t="n">
        <v>60</v>
      </c>
      <c r="X30" s="1" t="n">
        <v>30</v>
      </c>
      <c r="Y30" s="0" t="n">
        <v>5</v>
      </c>
      <c r="Z30" s="0" t="n">
        <v>68</v>
      </c>
      <c r="AA30" s="3" t="n">
        <f aca="false">IF(AND(W30&gt;0,Z30&gt;0),(Z30/((W30+X30)*10)),"")</f>
        <v>0.0755555555555556</v>
      </c>
      <c r="AB30" s="0" t="n">
        <v>90</v>
      </c>
      <c r="AC30" s="0" t="n">
        <f aca="false">ROUND(AB30*1.6, 0)</f>
        <v>144</v>
      </c>
      <c r="AF30" s="0" t="n">
        <v>15.4</v>
      </c>
      <c r="AG30" s="0" t="n">
        <v>12</v>
      </c>
      <c r="AK30" s="5" t="str">
        <f aca="false">CONCATENATE(VLOOKUP(AL30, 'Voxel Sizes'!$A$2:$B$18,2,FALSE()),"x",INT(AH30*15), "x", INT(AI30*15))</f>
        <v>120x0x0</v>
      </c>
      <c r="AL30" s="5" t="n">
        <f aca="false">ROUND(15*((AG30*10)/256),0)</f>
        <v>7</v>
      </c>
      <c r="AM30" s="0" t="s">
        <v>95</v>
      </c>
      <c r="AN30" s="5" t="str">
        <f aca="false">CONCATENATE(VLOOKUP(AL30,Constants!$A$2:$C$16,IF(AM30&lt;&gt;"", 3, 2), FALSE()),IF(AM30&lt;&gt;"",CONCATENATE(",",VLOOKUP(AM30,$B:$AN,39,FALSE())),""))</f>
        <v>2,3,2,2,1,2</v>
      </c>
      <c r="AV30" s="0" t="n">
        <v>1</v>
      </c>
      <c r="AX30" s="0" t="n">
        <v>29</v>
      </c>
      <c r="AY30" s="5" t="n">
        <f aca="false">IF(L30&lt;&gt;"",MAX(16,(L30-J30)+8),"")</f>
        <v>56</v>
      </c>
      <c r="BB30" s="7" t="n">
        <f aca="false">MIN(AB30/150, 1)*30</f>
        <v>18</v>
      </c>
      <c r="BC30" s="7" t="n">
        <f aca="false">MIN(N30/4000, 1)*20</f>
        <v>4.75</v>
      </c>
      <c r="BD30" s="7" t="n">
        <f aca="false">MIN(Z30/400,1)*20</f>
        <v>3.4</v>
      </c>
      <c r="BE30" s="21" t="n">
        <f aca="false">1-(MAX(J30-1900, 0)/750)</f>
        <v>1</v>
      </c>
      <c r="BF30" s="7" t="n">
        <f aca="false">((MAX($M30,1)*MIN($AJ30/300,1)))*IF(G30="Wagon",50,10)</f>
        <v>0</v>
      </c>
      <c r="BG30" s="7" t="n">
        <f aca="false">VLOOKUP($H30,Constants!$I:$K, 2, FALSE())</f>
        <v>1.15</v>
      </c>
      <c r="BH30" s="7" t="n">
        <f aca="false">VLOOKUP($H30,Constants!$I:$K, 3, FALSE())*IF(AND(G30="multiple_unit",AB30&lt;110),0.75,1)</f>
        <v>1.7</v>
      </c>
      <c r="BI30" s="7" t="n">
        <f aca="false">INT(POWER(((Constants!$G$2+$BB30+$BC30+$BD30+$BF30)*$BE30)*$BH30, 1.05))+$BA30</f>
        <v>64</v>
      </c>
      <c r="BJ30" s="7" t="n">
        <f aca="false">INT(POWER((((Constants!$G$1+$BB30+$BC30+$BD30+$BF30)*($BE30))*$BG30),IF($G30="wagon",1,1.2)))+$AZ30</f>
        <v>102</v>
      </c>
      <c r="BK30" s="22" t="n">
        <f aca="false">BI30*IF($G30="wagon",62.5,781.25)</f>
        <v>50000</v>
      </c>
      <c r="BL30" s="22" t="n">
        <f aca="false">BJ30*IF($G30="wagon",2.73,81.25)</f>
        <v>8287.5</v>
      </c>
      <c r="BV30" s="0" t="n">
        <v>3</v>
      </c>
      <c r="CA30" s="9" t="str">
        <f aca="false">VLOOKUP(J30,Eras!$A$2:$C$10, 2, TRUE())</f>
        <v>vct</v>
      </c>
      <c r="CB30" s="0" t="s">
        <v>166</v>
      </c>
      <c r="CC30" s="9" t="str">
        <f aca="false">CONCATENATE(CA30,"_",CB30)</f>
        <v>vct_Express</v>
      </c>
      <c r="CD30" s="9" t="str">
        <f aca="false">_xlfn.CONCAT(H30, "_",I30)</f>
        <v>steam_RAIL</v>
      </c>
      <c r="CE30" s="23" t="str">
        <f aca="false" t="array" ref="CE30:CE30">IF(AN30&lt;&gt;"na", _xlfn.CONCAT("{BLACK}Length: {GOLD}", TEXT(ROUNDUP(IF(AQ30&lt;&gt;"",SUM(VALUE(_xlfn.TEXTSPLIT(AQ30, ","))), SUM(VALUE(_xlfn.TEXTSPLIT(AN30, ",")))*IF(M30, M30, 1))/16, 1),"#,##0.0"), " tiles{}"), "")</f>
        <v>{BLACK}Length: {GOLD}0.8 tiles{}</v>
      </c>
      <c r="CF30" s="9" t="str">
        <f aca="false">VLOOKUP($CD30, Constants!$M:$N, 2, FALSE())</f>
        <v>{BLACK}Powered by: {GOLD}Steam</v>
      </c>
      <c r="CG30" s="9" t="str">
        <f aca="false">IF(AND(L30&gt;1,BN30&lt;&gt;1),_xlfn.CONCAT("{BLACK}Cars: {GOLD}", L30),"")</f>
        <v/>
      </c>
      <c r="CH30" s="0" t="s">
        <v>185</v>
      </c>
      <c r="CI30" s="0" t="str">
        <f aca="false">IF($BU30="!param_no_gameplay_units","{GREEN}Included for gameplay purposes","")</f>
        <v/>
      </c>
      <c r="CJ30" s="0" t="str">
        <f aca="false">IF(BX30="buffet","{YELLOW}25% long distance bonus for consist{}",IF(BY30="DANDY","{YELLOW}Faster downhill speeds for horse-drawn trains (1 required per 2 horses){}",IF(BY30="BRAKE","{YELLOW}Speed bonus for slow wagons{}",IF(BY30="NGPassengers","{YELLOW}Preserved railway bonus: passengers pay more when hauled by old locomotives{}",IF(AND(BW30&gt;190,NOT(AND(I30="NARROW_GAUGE",BY30&lt;&gt;"PASS"))),CONCATENATE("{YELLOW}",INT((BW30-185)/1.85),"% bonus for long distance travel{}"),IF(AND(BW30&lt;180,BW30&lt;&gt;0),CONCATENATE("{YELLOW}",INT((185-BW30)/1.85),"% penalty for long distance travel{}"),""))))))</f>
        <v/>
      </c>
      <c r="CK30" s="0" t="str">
        <f aca="false">_xlfn.CONCAT(CF30,IF(CF30&lt;&gt;""," ",""),CG30,IF(OR(CG30&lt;&gt;"",CF30&lt;&gt;""),"{}",""),CE30,CJ30,"{SILVER}",CH30,IF(CI30&lt;&gt;"","{}{}",""),CI30)</f>
        <v>{BLACK}Powered by: {GOLD}Steam {}{BLACK}Length: {GOLD}0.8 tiles{}{SILVER}Henry Ivatt introduced the 4-4-2 Atlantic type to the UK with this design, nicknamed "Klondyke" after the peak of the Klondike Gold Rush of the previous year.</v>
      </c>
    </row>
    <row r="31" customFormat="false" ht="14.25" hidden="false" customHeight="false" outlineLevel="0" collapsed="false">
      <c r="A31" s="0" t="s">
        <v>186</v>
      </c>
      <c r="B31" s="0" t="s">
        <v>187</v>
      </c>
      <c r="C31" s="0" t="n">
        <v>180</v>
      </c>
      <c r="E31" s="0" t="n">
        <v>9</v>
      </c>
      <c r="G31" s="0" t="s">
        <v>188</v>
      </c>
      <c r="H31" s="0" t="s">
        <v>162</v>
      </c>
      <c r="I31" s="0" t="s">
        <v>92</v>
      </c>
      <c r="J31" s="0" t="n">
        <v>1891</v>
      </c>
      <c r="L31" s="0" t="n">
        <v>1915</v>
      </c>
      <c r="N31" s="0" t="n">
        <v>800</v>
      </c>
      <c r="T31" s="25"/>
      <c r="W31" s="0" t="n">
        <v>46</v>
      </c>
      <c r="X31" s="1" t="n">
        <v>41</v>
      </c>
      <c r="Z31" s="0" t="n">
        <v>75</v>
      </c>
      <c r="AA31" s="3" t="n">
        <f aca="false">IF(AND(W31&gt;0,Z31&gt;0),(Z31/((W31+X31)*10)),"")</f>
        <v>0.0862068965517241</v>
      </c>
      <c r="AB31" s="0" t="n">
        <v>80</v>
      </c>
      <c r="AC31" s="0" t="n">
        <f aca="false">ROUND(AB31*1.6, 0)</f>
        <v>128</v>
      </c>
      <c r="AF31" s="0" t="n">
        <v>11</v>
      </c>
      <c r="AG31" s="0" t="n">
        <v>11</v>
      </c>
      <c r="AJ31" s="4" t="n">
        <v>0</v>
      </c>
      <c r="AK31" s="5" t="s">
        <v>189</v>
      </c>
      <c r="AL31" s="5" t="n">
        <f aca="false">ROUND(15*((AG31*10)/256),0)</f>
        <v>6</v>
      </c>
      <c r="AM31" s="0" t="s">
        <v>112</v>
      </c>
      <c r="AN31" s="5" t="str">
        <f aca="false">CONCATENATE(VLOOKUP(AL31,Constants!$A$2:$C$16,IF(AM31&lt;&gt;"", 3, 2), FALSE()),IF(AM31&lt;&gt;"",CONCATENATE(",",VLOOKUP(AM31,$B:$AN,39,FALSE())),""))</f>
        <v>2,2,2,2,1,2</v>
      </c>
      <c r="AX31" s="0" t="n">
        <v>24</v>
      </c>
      <c r="AY31" s="5" t="n">
        <f aca="false">IF(L31&lt;&gt;"",MAX(16,(L31-J31)+8),"")</f>
        <v>32</v>
      </c>
      <c r="BB31" s="7" t="n">
        <f aca="false">MIN(AB31/150, 1)*30</f>
        <v>16</v>
      </c>
      <c r="BC31" s="7" t="n">
        <f aca="false">MIN(N31/4000, 1)*20</f>
        <v>4</v>
      </c>
      <c r="BD31" s="7" t="n">
        <f aca="false">MIN(Z31/400,1)*20</f>
        <v>3.75</v>
      </c>
      <c r="BE31" s="21" t="n">
        <f aca="false">1-(MAX(J31-1900, 0)/750)</f>
        <v>1</v>
      </c>
      <c r="BF31" s="7" t="n">
        <f aca="false">((MAX($M31,1)*MIN($AJ31/300,1)))*IF(G31="Wagon",50,10)</f>
        <v>0</v>
      </c>
      <c r="BG31" s="7" t="n">
        <f aca="false">VLOOKUP($H31,Constants!$I:$K, 2, FALSE())</f>
        <v>1.15</v>
      </c>
      <c r="BH31" s="7" t="n">
        <f aca="false">VLOOKUP($H31,Constants!$I:$K, 3, FALSE())*IF(AND(G31="multiple_unit",AB31&lt;110),0.75,1)</f>
        <v>1.7</v>
      </c>
      <c r="BI31" s="7" t="n">
        <f aca="false">INT(POWER(((Constants!$G$2+$BB31+$BC31+$BD31+$BF31)*$BE31)*$BH31, 1.05))+$BA31</f>
        <v>59</v>
      </c>
      <c r="BJ31" s="7" t="n">
        <f aca="false">INT(POWER((((Constants!$G$1+$BB31+$BC31+$BD31+$BF31)*($BE31))*$BG31),IF($G31="wagon",1,1.2)))+$AZ31</f>
        <v>95</v>
      </c>
      <c r="BK31" s="22" t="n">
        <f aca="false">BI31*IF($G31="wagon",62.5,781.25)</f>
        <v>46093.75</v>
      </c>
      <c r="BL31" s="22" t="n">
        <f aca="false">BJ31*IF($G31="wagon",2.73,81.25)</f>
        <v>7718.75</v>
      </c>
      <c r="BV31" s="0" t="n">
        <v>5</v>
      </c>
      <c r="CA31" s="9" t="s">
        <v>190</v>
      </c>
      <c r="CB31" s="0" t="s">
        <v>166</v>
      </c>
      <c r="CC31" s="9" t="str">
        <f aca="false">CONCATENATE(CA31,"_",CB31)</f>
        <v>vct_Express</v>
      </c>
      <c r="CD31" s="9" t="str">
        <f aca="false">_xlfn.CONCAT(H31, "_",I31)</f>
        <v>steam_RAIL</v>
      </c>
      <c r="CE31" s="23" t="str">
        <f aca="false" t="array" ref="CE31:CE31">IF(AN31&lt;&gt;"na", _xlfn.CONCAT("{BLACK}Length: {GOLD}", TEXT(ROUNDUP(IF(AQ31&lt;&gt;"",SUM(VALUE(_xlfn.TEXTSPLIT(AQ31, ","))), SUM(VALUE(_xlfn.TEXTSPLIT(AN31, ",")))*IF(M31, M31, 1))/16, 1),"#,##0.0"), " tiles{}"), "")</f>
        <v>{BLACK}Length: {GOLD}0.7 tiles{}</v>
      </c>
      <c r="CF31" s="9" t="str">
        <f aca="false">VLOOKUP($CD31, Constants!$M:$N, 2, FALSE())</f>
        <v>{BLACK}Powered by: {GOLD}Steam</v>
      </c>
      <c r="CG31" s="9" t="str">
        <f aca="false">IF(AND(L31&gt;1,BN31&lt;&gt;1),_xlfn.CONCAT("{BLACK}Cars: {GOLD}", L31),"")</f>
        <v/>
      </c>
      <c r="CH31" s="0" t="s">
        <v>191</v>
      </c>
      <c r="CI31" s="0" t="str">
        <f aca="false">IF($BU31="!param_no_gameplay_units","{GREEN}Included for gameplay purposes","")</f>
        <v/>
      </c>
      <c r="CJ31" s="0" t="str">
        <f aca="false">IF(BX31="buffet","{YELLOW}25% long distance bonus for consist{}",IF(BY31="DANDY","{YELLOW}Faster downhill speeds for horse-drawn trains (1 required per 2 horses){}",IF(BY31="BRAKE","{YELLOW}Speed bonus for slow wagons{}",IF(BY31="NGPassengers","{YELLOW}Preserved railway bonus: passengers pay more when hauled by old locomotives{}",IF(AND(BW31&gt;190,NOT(AND(I31="NARROW_GAUGE",BY31&lt;&gt;"PASS"))),CONCATENATE("{YELLOW}",INT((BW31-185)/1.85),"% bonus for long distance travel{}"),IF(AND(BW31&lt;180,BW31&lt;&gt;0),CONCATENATE("{YELLOW}",INT((185-BW31)/1.85),"% penalty for long distance travel{}"),""))))))</f>
        <v/>
      </c>
      <c r="CK31" s="0" t="str">
        <f aca="false">_xlfn.CONCAT(CF31,IF(CF31&lt;&gt;""," ",""),CG31,IF(OR(CG31&lt;&gt;"",CF31&lt;&gt;""),"{}",""),CE31,CJ31,"{SILVER}",CH31,IF(CI31&lt;&gt;"","{}{}",""),CI31)</f>
        <v>{BLACK}Powered by: {GOLD}Steam {}{BLACK}Length: {GOLD}0.7 tiles{}{SILVER}William Dean's 3001 class was the last of the GWR's 2-2-2 singles. They were rebuilt early on with a 4-2-2 layout to prevent derailments caused by the heavy front axle load.</v>
      </c>
    </row>
    <row r="32" customFormat="false" ht="14.25" hidden="false" customHeight="false" outlineLevel="0" collapsed="false">
      <c r="A32" s="0" t="s">
        <v>192</v>
      </c>
      <c r="B32" s="0" t="s">
        <v>193</v>
      </c>
      <c r="C32" s="0" t="n">
        <v>991</v>
      </c>
      <c r="E32" s="0" t="n">
        <v>10</v>
      </c>
      <c r="F32" s="0" t="s">
        <v>115</v>
      </c>
      <c r="G32" s="0" t="s">
        <v>161</v>
      </c>
      <c r="H32" s="0" t="s">
        <v>162</v>
      </c>
      <c r="I32" s="0" t="s">
        <v>92</v>
      </c>
      <c r="J32" s="0" t="n">
        <v>1899</v>
      </c>
      <c r="L32" s="0" t="n">
        <v>1933</v>
      </c>
      <c r="N32" s="0" t="n">
        <v>180</v>
      </c>
      <c r="P32" s="2" t="n">
        <v>11.5</v>
      </c>
      <c r="Q32" s="2" t="n">
        <v>18</v>
      </c>
      <c r="R32" s="2" t="n">
        <v>2</v>
      </c>
      <c r="S32" s="2" t="n">
        <v>175</v>
      </c>
      <c r="T32" s="25" t="n">
        <f aca="false">((($AB32/2)/60)*5280)/($U32*3.2*PI())</f>
        <v>128.728262794915</v>
      </c>
      <c r="U32" s="2" t="n">
        <v>1.7</v>
      </c>
      <c r="V32" s="2" t="n">
        <f aca="false">((($P32*$P32/4)*PI())*($Q32/12)*$R32*$S32*$T32)/(33000*1.1)</f>
        <v>193.380264037433</v>
      </c>
      <c r="W32" s="0" t="n">
        <v>38</v>
      </c>
      <c r="Y32" s="0" t="n">
        <v>5</v>
      </c>
      <c r="Z32" s="0" t="n">
        <v>24</v>
      </c>
      <c r="AA32" s="3" t="n">
        <f aca="false">IF(AND(W32&gt;0,Z32&gt;0),(Z32/((W32+X32)*10)),"")</f>
        <v>0.0631578947368421</v>
      </c>
      <c r="AB32" s="0" t="n">
        <v>50</v>
      </c>
      <c r="AC32" s="0" t="n">
        <f aca="false">ROUND(AB32*1.6, 0)</f>
        <v>80</v>
      </c>
      <c r="AF32" s="0" t="n">
        <v>10.9</v>
      </c>
      <c r="AG32" s="0" t="n">
        <v>12</v>
      </c>
      <c r="AJ32" s="4" t="n">
        <v>12</v>
      </c>
      <c r="AK32" s="5" t="str">
        <f aca="false">CONCATENATE(VLOOKUP(AL32, 'Voxel Sizes'!$A$2:$B$18,2,FALSE()),"x",INT(AH32*15), "x", INT(AI32*15))</f>
        <v>120x0x0</v>
      </c>
      <c r="AL32" s="5" t="n">
        <f aca="false">ROUND(15*((AG32*10)/256),0)</f>
        <v>7</v>
      </c>
      <c r="AN32" s="5" t="str">
        <f aca="false">CONCATENATE(VLOOKUP(AL32,Constants!$A$2:$C$16,IF(AM32&lt;&gt;"", 3, 2), FALSE()),IF(AM32&lt;&gt;"",CONCATENATE(",",VLOOKUP(AM32,$B:$AN,39,FALSE())),""))</f>
        <v>2,3,2</v>
      </c>
      <c r="AV32" s="0" t="n">
        <v>1</v>
      </c>
      <c r="AX32" s="0" t="n">
        <v>26</v>
      </c>
      <c r="AY32" s="5" t="n">
        <f aca="false">IF(L32&lt;&gt;"",MAX(16,(L32-J32)+8),"")</f>
        <v>42</v>
      </c>
      <c r="AZ32" s="0" t="n">
        <v>-14</v>
      </c>
      <c r="BA32" s="0" t="n">
        <v>-4</v>
      </c>
      <c r="BB32" s="7" t="n">
        <f aca="false">MIN(AB32/150, 1)*30</f>
        <v>10</v>
      </c>
      <c r="BC32" s="7" t="n">
        <f aca="false">MIN(N32/4000, 1)*20</f>
        <v>0.9</v>
      </c>
      <c r="BD32" s="7" t="n">
        <f aca="false">MIN(Z32/400,1)*20</f>
        <v>1.2</v>
      </c>
      <c r="BE32" s="21" t="n">
        <f aca="false">1-(MAX(J32-1900, 0)/750)</f>
        <v>1</v>
      </c>
      <c r="BF32" s="7" t="n">
        <f aca="false">((MAX($M32,1)*MIN($AJ32/300,1)))*IF(G32="Wagon",50,10)</f>
        <v>0.4</v>
      </c>
      <c r="BG32" s="7" t="n">
        <f aca="false">VLOOKUP($H32,Constants!$I:$K, 2, FALSE())</f>
        <v>1.15</v>
      </c>
      <c r="BH32" s="7" t="n">
        <f aca="false">VLOOKUP($H32,Constants!$I:$K, 3, FALSE())*IF(AND(G32="multiple_unit",AB32&lt;110),0.75,1)</f>
        <v>1.7</v>
      </c>
      <c r="BI32" s="7" t="n">
        <f aca="false">INT(POWER(((Constants!$G$2+$BB32+$BC32+$BD32+$BF32)*$BE32)*$BH32, 1.05))+$BA32</f>
        <v>31</v>
      </c>
      <c r="BJ32" s="7" t="n">
        <f aca="false">INT(POWER((((Constants!$G$1+$BB32+$BC32+$BD32+$BF32)*($BE32))*$BG32),IF($G32="wagon",1,1.2)))+$AZ32</f>
        <v>49</v>
      </c>
      <c r="BK32" s="22" t="n">
        <f aca="false">BI32*IF($G32="wagon",62.5,781.25)</f>
        <v>24218.75</v>
      </c>
      <c r="BL32" s="22" t="n">
        <f aca="false">BJ32*IF($G32="wagon",2.73,81.25)</f>
        <v>3981.25</v>
      </c>
      <c r="BV32" s="0" t="n">
        <v>4</v>
      </c>
      <c r="BY32" s="0" t="s">
        <v>118</v>
      </c>
      <c r="BZ32" s="0" t="s">
        <v>119</v>
      </c>
      <c r="CA32" s="9" t="str">
        <f aca="false">VLOOKUP(J32,Eras!$A$2:$C$10, 2, TRUE())</f>
        <v>vct</v>
      </c>
      <c r="CB32" s="0" t="s">
        <v>194</v>
      </c>
      <c r="CC32" s="9" t="str">
        <f aca="false">CONCATENATE(CA32,"_",CB32)</f>
        <v>vct_Cheap</v>
      </c>
      <c r="CD32" s="9" t="str">
        <f aca="false">_xlfn.CONCAT(H32, "_",I32)</f>
        <v>steam_RAIL</v>
      </c>
      <c r="CE32" s="23" t="str">
        <f aca="false" t="array" ref="CE32:CE32">IF(AN32&lt;&gt;"na", _xlfn.CONCAT("{BLACK}Length: {GOLD}", TEXT(ROUNDUP(IF(AQ32&lt;&gt;"",SUM(VALUE(_xlfn.TEXTSPLIT(AQ32, ","))), SUM(VALUE(_xlfn.TEXTSPLIT(AN32, ",")))*IF(M32, M32, 1))/16, 1),"#,##0.0"), " tiles{}"), "")</f>
        <v>{BLACK}Length: {GOLD}0.5 tiles{}</v>
      </c>
      <c r="CF32" s="9" t="str">
        <f aca="false">VLOOKUP($CD32, Constants!$M:$N, 2, FALSE())</f>
        <v>{BLACK}Powered by: {GOLD}Steam</v>
      </c>
      <c r="CG32" s="9" t="str">
        <f aca="false">IF(AND(L32&gt;1,BN32&lt;&gt;1),_xlfn.CONCAT("{BLACK}Cars: {GOLD}", L32),"")</f>
        <v/>
      </c>
      <c r="CH32" s="0" t="s">
        <v>195</v>
      </c>
      <c r="CI32" s="0" t="str">
        <f aca="false">IF($BU32="!param_no_gameplay_units","{GREEN}Included for gameplay purposes","")</f>
        <v/>
      </c>
      <c r="CJ32" s="0" t="str">
        <f aca="false">IF(BX32="buffet","{YELLOW}25% long distance bonus for consist{}",IF(BY32="DANDY","{YELLOW}Faster downhill speeds for horse-drawn trains (1 required per 2 horses){}",IF(BY32="BRAKE","{YELLOW}Speed bonus for slow wagons{}",IF(BY32="NGPassengers","{YELLOW}Preserved railway bonus: passengers pay more when hauled by old locomotives{}",IF(AND(BW32&gt;190,NOT(AND(I32="NARROW_GAUGE",BY32&lt;&gt;"PASS"))),CONCATENATE("{YELLOW}",INT((BW32-185)/1.85),"% bonus for long distance travel{}"),IF(AND(BW32&lt;180,BW32&lt;&gt;0),CONCATENATE("{YELLOW}",INT((185-BW32)/1.85),"% penalty for long distance travel{}"),""))))))</f>
        <v/>
      </c>
      <c r="CK32" s="0" t="str">
        <f aca="false">_xlfn.CONCAT(CF32,IF(CF32&lt;&gt;""," ",""),CG32,IF(OR(CG32&lt;&gt;"",CF32&lt;&gt;""),"{}",""),CE32,CJ32,"{SILVER}",CH32,IF(CI32&lt;&gt;"","{}{}",""),CI32)</f>
        <v>{BLACK}Powered by: {GOLD}Steam {}{BLACK}Length: {GOLD}0.5 tiles{}{SILVER}The F9 was Dugald Drummond's personal locomotive, allowing him to travel across the LSWR for inspections. After Drummond it only saw occasional use at Southampton Docks.</v>
      </c>
    </row>
    <row r="33" customFormat="false" ht="14.25" hidden="false" customHeight="false" outlineLevel="0" collapsed="false">
      <c r="A33" s="0" t="s">
        <v>196</v>
      </c>
      <c r="B33" s="0" t="s">
        <v>197</v>
      </c>
      <c r="C33" s="0" t="n">
        <v>992</v>
      </c>
      <c r="E33" s="0" t="n">
        <v>11</v>
      </c>
      <c r="G33" s="0" t="s">
        <v>188</v>
      </c>
      <c r="H33" s="0" t="s">
        <v>162</v>
      </c>
      <c r="I33" s="0" t="s">
        <v>92</v>
      </c>
      <c r="J33" s="0" t="n">
        <v>1899</v>
      </c>
      <c r="AA33" s="3" t="str">
        <f aca="false">IF(AND(W33&gt;0,Z33&gt;0),(Z33/((W33+X33)*10)),"")</f>
        <v/>
      </c>
      <c r="AC33" s="0" t="n">
        <f aca="false">ROUND(AB33*1.6, 0)</f>
        <v>0</v>
      </c>
      <c r="AJ33" s="4" t="n">
        <v>0</v>
      </c>
      <c r="AK33" s="5" t="s">
        <v>198</v>
      </c>
      <c r="AL33" s="5" t="n">
        <f aca="false">ROUND(15*((AG33*10)/256),0)</f>
        <v>0</v>
      </c>
      <c r="AN33" s="5" t="str">
        <f aca="false">CONCATENATE(VLOOKUP(AL33,Constants!$A$2:$C$16,IF(AM33&lt;&gt;"", 3, 2), FALSE()),IF(AM33&lt;&gt;"",CONCATENATE(",",VLOOKUP(AM33,$B:$AN,39,FALSE())),""))</f>
        <v>na</v>
      </c>
      <c r="AX33" s="0" t="n">
        <v>30</v>
      </c>
      <c r="AY33" s="5" t="str">
        <f aca="false">IF(L33&lt;&gt;"",MAX(16,(L33-J33)+8),"")</f>
        <v/>
      </c>
      <c r="BB33" s="7" t="n">
        <f aca="false">MIN(AB33/150, 1)*30</f>
        <v>0</v>
      </c>
      <c r="BC33" s="7" t="n">
        <f aca="false">MIN(N33/4000, 1)*20</f>
        <v>0</v>
      </c>
      <c r="BD33" s="7" t="n">
        <f aca="false">MIN(Z33/400,1)*20</f>
        <v>0</v>
      </c>
      <c r="BE33" s="21" t="n">
        <f aca="false">1-(MAX(J33-1900, 0)/750)</f>
        <v>1</v>
      </c>
      <c r="BF33" s="7" t="n">
        <f aca="false">((MAX($M33,1)*MIN($AJ33/300,1)))*IF(G33="Wagon",50,10)</f>
        <v>0</v>
      </c>
      <c r="BG33" s="7" t="n">
        <f aca="false">VLOOKUP($H33,Constants!$I:$K, 2, FALSE())</f>
        <v>1.15</v>
      </c>
      <c r="BH33" s="7" t="n">
        <f aca="false">VLOOKUP($H33,Constants!$I:$K, 3, FALSE())*IF(AND(G33="multiple_unit",AB33&lt;110),0.75,1)</f>
        <v>1.7</v>
      </c>
      <c r="BI33" s="7" t="n">
        <f aca="false">INT(POWER(((Constants!$G$2+$BB33+$BC33+$BD33+$BF33)*$BE33)*$BH33, 1.05))+$BA33</f>
        <v>9</v>
      </c>
      <c r="BJ33" s="7" t="n">
        <f aca="false">INT(POWER((((Constants!$G$1+$BB33+$BC33+$BD33+$BF33)*($BE33))*$BG33),IF($G33="wagon",1,1.2)))+$AZ33</f>
        <v>30</v>
      </c>
      <c r="BK33" s="22" t="n">
        <f aca="false">BI33*IF($G33="wagon",62.5,781.25)</f>
        <v>7031.25</v>
      </c>
      <c r="BL33" s="22" t="n">
        <f aca="false">BJ33*IF($G33="wagon",2.73,81.25)</f>
        <v>2437.5</v>
      </c>
      <c r="BV33" s="0" t="n">
        <v>8</v>
      </c>
      <c r="CA33" s="9" t="s">
        <v>190</v>
      </c>
      <c r="CC33" s="9" t="str">
        <f aca="false">CONCATENATE(CA33,"_",CB33)</f>
        <v>vct_</v>
      </c>
      <c r="CD33" s="9" t="str">
        <f aca="false">_xlfn.CONCAT(H33, "_",I33)</f>
        <v>steam_RAIL</v>
      </c>
      <c r="CE33" s="23" t="str">
        <f aca="false" t="array" ref="CE33:CE33">IF(AN33&lt;&gt;"na", _xlfn.CONCAT("{BLACK}Length: {GOLD}", TEXT(ROUNDUP(IF(AQ33&lt;&gt;"",SUM(VALUE(_xlfn.TEXTSPLIT(AQ33, ","))), SUM(VALUE(_xlfn.TEXTSPLIT(AN33, ",")))*IF(M33, M33, 1))/16, 1),"#,##0.0"), " tiles{}"), "")</f>
        <v/>
      </c>
      <c r="CF33" s="9" t="str">
        <f aca="false">VLOOKUP($CD33, Constants!$M:$N, 2, FALSE())</f>
        <v>{BLACK}Powered by: {GOLD}Steam</v>
      </c>
      <c r="CG33" s="9" t="str">
        <f aca="false">IF(AND(L33&gt;1,BN33&lt;&gt;1),_xlfn.CONCAT("{BLACK}Cars: {GOLD}", L33),"")</f>
        <v/>
      </c>
      <c r="CI33" s="0" t="str">
        <f aca="false">IF($BU33="!param_no_gameplay_units","{GREEN}Included for gameplay purposes","")</f>
        <v/>
      </c>
      <c r="CJ33" s="0" t="str">
        <f aca="false">IF(BX33="buffet","{YELLOW}25% long distance bonus for consist{}",IF(BY33="DANDY","{YELLOW}Faster downhill speeds for horse-drawn trains (1 required per 2 horses){}",IF(BY33="BRAKE","{YELLOW}Speed bonus for slow wagons{}",IF(BY33="NGPassengers","{YELLOW}Preserved railway bonus: passengers pay more when hauled by old locomotives{}",IF(AND(BW33&gt;190,NOT(AND(I33="NARROW_GAUGE",BY33&lt;&gt;"PASS"))),CONCATENATE("{YELLOW}",INT((BW33-185)/1.85),"% bonus for long distance travel{}"),IF(AND(BW33&lt;180,BW33&lt;&gt;0),CONCATENATE("{YELLOW}",INT((185-BW33)/1.85),"% penalty for long distance travel{}"),""))))))</f>
        <v/>
      </c>
      <c r="CK33" s="0" t="str">
        <f aca="false">_xlfn.CONCAT(CF33,IF(CF33&lt;&gt;""," ",""),CG33,IF(OR(CG33&lt;&gt;"",CF33&lt;&gt;""),"{}",""),CE33,CJ33,"{SILVER}",CH33,IF(CI33&lt;&gt;"","{}{}",""),CI33)</f>
        <v>{BLACK}Powered by: {GOLD}Steam {}{SILVER}</v>
      </c>
    </row>
    <row r="34" customFormat="false" ht="14.25" hidden="false" customHeight="false" outlineLevel="0" collapsed="false">
      <c r="A34" s="0" t="s">
        <v>199</v>
      </c>
      <c r="B34" s="0" t="s">
        <v>200</v>
      </c>
      <c r="C34" s="0" t="n">
        <v>1021</v>
      </c>
      <c r="E34" s="0" t="n">
        <v>12</v>
      </c>
      <c r="F34" s="0" t="s">
        <v>115</v>
      </c>
      <c r="G34" s="0" t="s">
        <v>161</v>
      </c>
      <c r="H34" s="0" t="s">
        <v>162</v>
      </c>
      <c r="I34" s="0" t="s">
        <v>92</v>
      </c>
      <c r="J34" s="0" t="n">
        <v>1902</v>
      </c>
      <c r="L34" s="0" t="n">
        <v>1924</v>
      </c>
      <c r="N34" s="0" t="n">
        <v>1000</v>
      </c>
      <c r="P34" s="2" t="n">
        <v>18.5</v>
      </c>
      <c r="Q34" s="2" t="n">
        <v>24</v>
      </c>
      <c r="R34" s="2" t="n">
        <v>3</v>
      </c>
      <c r="S34" s="2" t="n">
        <v>200</v>
      </c>
      <c r="T34" s="25" t="n">
        <f aca="false">((($AB34/2)/60)*5280)/($U34*3.2*PI())</f>
        <v>111.815060383905</v>
      </c>
      <c r="U34" s="2" t="n">
        <v>1.37</v>
      </c>
      <c r="V34" s="2" t="n">
        <f aca="false">((($P34*$P34/4)*PI())*($Q34/12)*$R34*$S34*$T34)/(33000*1.1)</f>
        <v>993.592402123424</v>
      </c>
      <c r="W34" s="0" t="n">
        <v>81</v>
      </c>
      <c r="Y34" s="0" t="n">
        <v>5</v>
      </c>
      <c r="Z34" s="0" t="n">
        <v>173</v>
      </c>
      <c r="AA34" s="3" t="n">
        <f aca="false">IF(AND(W34&gt;0,Z34&gt;0),(Z34/((W34+X34)*10)),"")</f>
        <v>0.21358024691358</v>
      </c>
      <c r="AB34" s="0" t="n">
        <v>35</v>
      </c>
      <c r="AC34" s="0" t="n">
        <f aca="false">ROUND(AB34*1.6, 0)</f>
        <v>56</v>
      </c>
      <c r="AF34" s="0" t="n">
        <v>12</v>
      </c>
      <c r="AG34" s="0" t="n">
        <v>12</v>
      </c>
      <c r="AK34" s="5" t="str">
        <f aca="false">CONCATENATE(VLOOKUP(AL34, 'Voxel Sizes'!$A$2:$B$18,2,FALSE()),"x",INT(AH34*15), "x", INT(AI34*15))</f>
        <v>120x0x0</v>
      </c>
      <c r="AL34" s="5" t="n">
        <f aca="false">ROUND(15*((AG34*10)/256),0)</f>
        <v>7</v>
      </c>
      <c r="AN34" s="5" t="str">
        <f aca="false">CONCATENATE(VLOOKUP(AL34,Constants!$A$2:$C$16,IF(AM34&lt;&gt;"", 3, 2), FALSE()),IF(AM34&lt;&gt;"",CONCATENATE(",",VLOOKUP(AM34,$B:$AN,39,FALSE())),""))</f>
        <v>2,3,2</v>
      </c>
      <c r="AV34" s="0" t="n">
        <v>1</v>
      </c>
      <c r="AX34" s="0" t="n">
        <v>18</v>
      </c>
      <c r="AY34" s="5" t="n">
        <f aca="false">IF(L34&lt;&gt;"",MAX(16,(L34-J34)+8),"")</f>
        <v>30</v>
      </c>
      <c r="AZ34" s="0" t="n">
        <v>4</v>
      </c>
      <c r="BB34" s="7" t="n">
        <f aca="false">MIN(AB34/150, 1)*30</f>
        <v>7</v>
      </c>
      <c r="BC34" s="7" t="n">
        <f aca="false">MIN(N34/4000, 1)*20</f>
        <v>5</v>
      </c>
      <c r="BD34" s="7" t="n">
        <f aca="false">MIN(Z34/400,1)*20</f>
        <v>8.65</v>
      </c>
      <c r="BE34" s="21" t="n">
        <f aca="false">1-(MAX(J34-1900, 0)/750)</f>
        <v>0.997333333333333</v>
      </c>
      <c r="BF34" s="7" t="n">
        <f aca="false">((MAX($M34,1)*MIN($AJ34/300,1)))*IF(G34="Wagon",50,10)</f>
        <v>0</v>
      </c>
      <c r="BG34" s="7" t="n">
        <f aca="false">VLOOKUP($H34,Constants!$I:$K, 2, FALSE())</f>
        <v>1.15</v>
      </c>
      <c r="BH34" s="7" t="n">
        <f aca="false">VLOOKUP($H34,Constants!$I:$K, 3, FALSE())*IF(AND(G34="multiple_unit",AB34&lt;110),0.75,1)</f>
        <v>1.7</v>
      </c>
      <c r="BI34" s="7" t="n">
        <f aca="false">INT(POWER(((Constants!$G$2+$BB34+$BC34+$BD34+$BF34)*$BE34)*$BH34, 1.05))+$BA34</f>
        <v>52</v>
      </c>
      <c r="BJ34" s="7" t="n">
        <f aca="false">INT(POWER((((Constants!$G$1+$BB34+$BC34+$BD34+$BF34)*($BE34))*$BG34),IF($G34="wagon",1,1.2)))+$AZ34</f>
        <v>89</v>
      </c>
      <c r="BK34" s="22" t="n">
        <f aca="false">BI34*IF($G34="wagon",62.5,781.25)</f>
        <v>40625</v>
      </c>
      <c r="BL34" s="22" t="n">
        <f aca="false">BJ34*IF($G34="wagon",2.73,81.25)</f>
        <v>7231.25</v>
      </c>
      <c r="BV34" s="0" t="n">
        <v>3</v>
      </c>
      <c r="CA34" s="9" t="str">
        <f aca="false">VLOOKUP(J34,Eras!$A$2:$C$10, 2, TRUE())</f>
        <v>edw</v>
      </c>
      <c r="CB34" s="0" t="s">
        <v>166</v>
      </c>
      <c r="CC34" s="9" t="str">
        <f aca="false">CONCATENATE(CA34,"_",CB34)</f>
        <v>edw_Express</v>
      </c>
      <c r="CD34" s="9" t="str">
        <f aca="false">_xlfn.CONCAT(H34, "_",I34)</f>
        <v>steam_RAIL</v>
      </c>
      <c r="CE34" s="23" t="str">
        <f aca="false" t="array" ref="CE34:CE34">IF(AN34&lt;&gt;"na", _xlfn.CONCAT("{BLACK}Length: {GOLD}", TEXT(ROUNDUP(IF(AQ34&lt;&gt;"",SUM(VALUE(_xlfn.TEXTSPLIT(AQ34, ","))), SUM(VALUE(_xlfn.TEXTSPLIT(AN34, ",")))*IF(M34, M34, 1))/16, 1),"#,##0.0"), " tiles{}"), "")</f>
        <v>{BLACK}Length: {GOLD}0.5 tiles{}</v>
      </c>
      <c r="CF34" s="9" t="str">
        <f aca="false">VLOOKUP($CD34, Constants!$M:$N, 2, FALSE())</f>
        <v>{BLACK}Powered by: {GOLD}Steam</v>
      </c>
      <c r="CG34" s="9" t="str">
        <f aca="false">IF(AND(L34&gt;1,BN34&lt;&gt;1),_xlfn.CONCAT("{BLACK}Cars: {GOLD}", L34),"")</f>
        <v/>
      </c>
      <c r="CH34" s="0" t="s">
        <v>201</v>
      </c>
      <c r="CI34" s="0" t="str">
        <f aca="false">IF($BU34="!param_no_gameplay_units","{GREEN}Included for gameplay purposes","")</f>
        <v/>
      </c>
      <c r="CJ34" s="0" t="str">
        <f aca="false">IF(BX34="buffet","{YELLOW}25% long distance bonus for consist{}",IF(BY34="DANDY","{YELLOW}Faster downhill speeds for horse-drawn trains (1 required per 2 horses){}",IF(BY34="BRAKE","{YELLOW}Speed bonus for slow wagons{}",IF(BY34="NGPassengers","{YELLOW}Preserved railway bonus: passengers pay more when hauled by old locomotives{}",IF(AND(BW34&gt;190,NOT(AND(I34="NARROW_GAUGE",BY34&lt;&gt;"PASS"))),CONCATENATE("{YELLOW}",INT((BW34-185)/1.85),"% bonus for long distance travel{}"),IF(AND(BW34&lt;180,BW34&lt;&gt;0),CONCATENATE("{YELLOW}",INT((185-BW34)/1.85),"% penalty for long distance travel{}"),""))))))</f>
        <v/>
      </c>
      <c r="CK34" s="0" t="str">
        <f aca="false">_xlfn.CONCAT(CF34,IF(CF34&lt;&gt;""," ",""),CG34,IF(OR(CG34&lt;&gt;"",CF34&lt;&gt;""),"{}",""),CE34,CJ34,"{SILVER}",CH34,IF(CI34&lt;&gt;"","{}{}",""),CI34)</f>
        <v>{BLACK}Powered by: {GOLD}Steam {}{BLACK}Length: {GOLD}0.5 tiles{}{SILVER}GER's prototype Decapod was built to outperform low speed acceleration of electric locomotives, to prevent a rival electric railway being approved by Parliament.</v>
      </c>
    </row>
    <row r="35" customFormat="false" ht="14.25" hidden="false" customHeight="false" outlineLevel="0" collapsed="false">
      <c r="A35" s="26" t="s">
        <v>202</v>
      </c>
      <c r="B35" s="26" t="s">
        <v>203</v>
      </c>
      <c r="E35" s="0" t="n">
        <v>-1</v>
      </c>
      <c r="F35" s="0" t="s">
        <v>115</v>
      </c>
      <c r="G35" s="0" t="s">
        <v>188</v>
      </c>
      <c r="T35" s="25"/>
      <c r="AN35" s="5" t="e">
        <f aca="false">CONCATENATE(VLOOKUP(AL35,Constants!$A$2:$C$16,IF(AM35&lt;&gt;"", 3, 2), FALSE()),IF(AM35&lt;&gt;"",CONCATENATE(",",VLOOKUP(AM35,$B:$AN,39,FALSE())),""))</f>
        <v>#N/A</v>
      </c>
      <c r="BE35" s="21"/>
      <c r="BF35" s="7" t="n">
        <f aca="false">((MAX($M35,1)*MIN($AJ35/300,1)))*IF(G35="Wagon",50,10)</f>
        <v>0</v>
      </c>
      <c r="BK35" s="22"/>
      <c r="BL35" s="22"/>
      <c r="CA35" s="9" t="s">
        <v>204</v>
      </c>
      <c r="CB35" s="0" t="s">
        <v>166</v>
      </c>
      <c r="CC35" s="9" t="str">
        <f aca="false">CONCATENATE(CA35,"_",CB35)</f>
        <v>edw_Express</v>
      </c>
      <c r="CD35" s="9" t="str">
        <f aca="false">_xlfn.CONCAT(H35, "_",I35)</f>
        <v>_</v>
      </c>
      <c r="CE35" s="23" t="e">
        <f aca="false" t="array" ref="CE35:CE35">IF(AN35&lt;&gt;"na", _xlfn.CONCAT("{BLACK}Length: {GOLD}", TEXT(ROUNDUP(IF(AQ35&lt;&gt;"",SUM(VALUE(_xlfn.TEXTSPLIT(AQ35, ","))), SUM(VALUE(_xlfn.TEXTSPLIT(AN35, ",")))*IF(M35, M35, 1))/16, 1),"#,##0.0"), " tiles{}"), "")</f>
        <v>#N/A</v>
      </c>
      <c r="CF35" s="9" t="str">
        <f aca="false">VLOOKUP($CD35, Constants!$M:$N, 2, FALSE())</f>
        <v/>
      </c>
      <c r="CI35" s="0" t="str">
        <f aca="false">IF($BU35="!param_no_gameplay_units","{GREEN}Included for gameplay purposes","")</f>
        <v/>
      </c>
      <c r="CJ35" s="0" t="str">
        <f aca="false">IF(BX35="buffet","{YELLOW}25% long distance bonus for consist{}",IF(BY35="DANDY","{YELLOW}Faster downhill speeds for horse-drawn trains (1 required per 2 horses){}",IF(BY35="BRAKE","{YELLOW}Speed bonus for slow wagons{}",IF(BY35="NGPassengers","{YELLOW}Preserved railway bonus: passengers pay more when hauled by old locomotives{}",IF(AND(BW35&gt;190,NOT(AND(I35="NARROW_GAUGE",BY35&lt;&gt;"PASS"))),CONCATENATE("{YELLOW}",INT((BW35-185)/1.85),"% bonus for long distance travel{}"),IF(AND(BW35&lt;180,BW35&lt;&gt;0),CONCATENATE("{YELLOW}",INT((185-BW35)/1.85),"% penalty for long distance travel{}"),""))))))</f>
        <v/>
      </c>
      <c r="CK35" s="0" t="e">
        <f aca="false">_xlfn.CONCAT(CF35,IF(CF35&lt;&gt;""," ",""),CG35,IF(OR(CG35&lt;&gt;"",CF35&lt;&gt;""),"{}",""),CE35,CJ35,"{SILVER}",CH35,IF(CI35&lt;&gt;"","{}{}",""),CI35)</f>
        <v>#N/A</v>
      </c>
    </row>
    <row r="36" customFormat="false" ht="14.25" hidden="false" customHeight="false" outlineLevel="0" collapsed="false">
      <c r="A36" s="0" t="s">
        <v>205</v>
      </c>
      <c r="B36" s="0" t="s">
        <v>206</v>
      </c>
      <c r="C36" s="0" t="n">
        <v>1081</v>
      </c>
      <c r="E36" s="0" t="n">
        <v>14</v>
      </c>
      <c r="F36" s="0" t="s">
        <v>115</v>
      </c>
      <c r="G36" s="0" t="s">
        <v>161</v>
      </c>
      <c r="H36" s="0" t="s">
        <v>162</v>
      </c>
      <c r="I36" s="0" t="s">
        <v>92</v>
      </c>
      <c r="J36" s="0" t="n">
        <v>1908</v>
      </c>
      <c r="L36" s="0" t="n">
        <v>1953</v>
      </c>
      <c r="N36" s="0" t="n">
        <v>1975</v>
      </c>
      <c r="P36" s="2" t="n">
        <v>15</v>
      </c>
      <c r="Q36" s="2" t="n">
        <v>26</v>
      </c>
      <c r="R36" s="2" t="n">
        <v>4</v>
      </c>
      <c r="S36" s="2" t="n">
        <v>225</v>
      </c>
      <c r="T36" s="25" t="n">
        <f aca="false">((($AB36/2)/60)*5280)/($U36*3.2*PI())</f>
        <v>207.656540712966</v>
      </c>
      <c r="U36" s="2" t="n">
        <v>1.37</v>
      </c>
      <c r="V36" s="2" t="n">
        <f aca="false">((($P36*$P36/4)*PI())*($Q36/12)*$R36*$S36*$T36)/(33000*1.1)</f>
        <v>1971.26949236894</v>
      </c>
      <c r="W36" s="0" t="n">
        <v>99</v>
      </c>
      <c r="X36" s="1" t="n">
        <v>46</v>
      </c>
      <c r="Z36" s="0" t="n">
        <v>124</v>
      </c>
      <c r="AA36" s="3" t="n">
        <f aca="false">IF(AND(W36&gt;0,Z36&gt;0),(Z36/((W36+X36)*10)),"")</f>
        <v>0.0855172413793103</v>
      </c>
      <c r="AB36" s="0" t="n">
        <v>65</v>
      </c>
      <c r="AC36" s="0" t="n">
        <f aca="false">ROUND(AB36*1.6, 0)</f>
        <v>104</v>
      </c>
      <c r="AF36" s="0" t="n">
        <v>23</v>
      </c>
      <c r="AG36" s="0" t="n">
        <v>14</v>
      </c>
      <c r="AK36" s="5" t="str">
        <f aca="false">CONCATENATE(VLOOKUP(AL36, 'Voxel Sizes'!$A$2:$B$18,2,FALSE()),"x",INT(AH36*15), "x", INT(AI36*15))</f>
        <v>136x0x0</v>
      </c>
      <c r="AL36" s="5" t="n">
        <f aca="false">ROUND(15*((AG36*10)/256),0)</f>
        <v>8</v>
      </c>
      <c r="AM36" s="0" t="s">
        <v>112</v>
      </c>
      <c r="AN36" s="5" t="str">
        <f aca="false">CONCATENATE(VLOOKUP(AL36,Constants!$A$2:$C$16,IF(AM36&lt;&gt;"", 3, 2), FALSE()),IF(AM36&lt;&gt;"",CONCATENATE(",",VLOOKUP(AM36,$B:$AN,39,FALSE())),""))</f>
        <v>2,4,2,2,1,2</v>
      </c>
      <c r="AV36" s="0" t="n">
        <v>1</v>
      </c>
      <c r="AX36" s="0" t="n">
        <v>26</v>
      </c>
      <c r="AY36" s="5" t="n">
        <f aca="false">IF(L36&lt;&gt;"",MAX(16,(L36-J36)+8),"")</f>
        <v>53</v>
      </c>
      <c r="AZ36" s="0" t="n">
        <v>10</v>
      </c>
      <c r="BA36" s="0" t="n">
        <v>10</v>
      </c>
      <c r="BB36" s="7" t="n">
        <f aca="false">MIN(AB36/150, 1)*30</f>
        <v>13</v>
      </c>
      <c r="BC36" s="7" t="n">
        <f aca="false">MIN(N36/4000, 1)*20</f>
        <v>9.875</v>
      </c>
      <c r="BD36" s="7" t="n">
        <f aca="false">MIN(Z36/400,1)*20</f>
        <v>6.2</v>
      </c>
      <c r="BE36" s="21" t="n">
        <f aca="false">1-(MAX(J36-1900, 0)/750)</f>
        <v>0.989333333333333</v>
      </c>
      <c r="BF36" s="7" t="n">
        <f aca="false">((MAX($M36,1)*MIN($AJ36/300,1)))*IF(G36="Wagon",50,10)</f>
        <v>0</v>
      </c>
      <c r="BG36" s="7" t="n">
        <f aca="false">VLOOKUP($H36,Constants!$I:$K, 2, FALSE())</f>
        <v>1.15</v>
      </c>
      <c r="BH36" s="7" t="n">
        <f aca="false">VLOOKUP($H36,Constants!$I:$K, 3, FALSE())*IF(AND(G36="multiple_unit",AB36&lt;110),0.75,1)</f>
        <v>1.7</v>
      </c>
      <c r="BI36" s="7" t="n">
        <f aca="false">INT(POWER(((Constants!$G$2+$BB36+$BC36+$BD36+$BF36)*$BE36)*$BH36, 1.05))+$BA36</f>
        <v>80</v>
      </c>
      <c r="BJ36" s="7" t="n">
        <f aca="false">INT(POWER((((Constants!$G$1+$BB36+$BC36+$BD36+$BF36)*($BE36))*$BG36),IF($G36="wagon",1,1.2)))+$AZ36</f>
        <v>119</v>
      </c>
      <c r="BK36" s="22" t="n">
        <f aca="false">BI36*IF($G36="wagon",62.5,781.25)</f>
        <v>62500</v>
      </c>
      <c r="BL36" s="22" t="n">
        <f aca="false">BJ36*IF($G36="wagon",2.73,81.25)</f>
        <v>9668.75</v>
      </c>
      <c r="BV36" s="0" t="n">
        <v>2</v>
      </c>
      <c r="CA36" s="9" t="s">
        <v>204</v>
      </c>
      <c r="CB36" s="0" t="s">
        <v>166</v>
      </c>
      <c r="CC36" s="9" t="str">
        <f aca="false">CONCATENATE(CA36,"_",CB36)</f>
        <v>edw_Express</v>
      </c>
      <c r="CD36" s="9" t="str">
        <f aca="false">_xlfn.CONCAT(H36, "_",I36)</f>
        <v>steam_RAIL</v>
      </c>
      <c r="CE36" s="23" t="str">
        <f aca="false" t="array" ref="CE36:CE36">IF(AN36&lt;&gt;"na", _xlfn.CONCAT("{BLACK}Length: {GOLD}", TEXT(ROUNDUP(IF(AQ36&lt;&gt;"",SUM(VALUE(_xlfn.TEXTSPLIT(AQ36, ","))), SUM(VALUE(_xlfn.TEXTSPLIT(AN36, ",")))*IF(M36, M36, 1))/16, 1),"#,##0.0"), " tiles{}"), "")</f>
        <v>{BLACK}Length: {GOLD}0.9 tiles{}</v>
      </c>
      <c r="CF36" s="9" t="str">
        <f aca="false">VLOOKUP($CD36, Constants!$M:$N, 2, FALSE())</f>
        <v>{BLACK}Powered by: {GOLD}Steam</v>
      </c>
      <c r="CG36" s="9" t="str">
        <f aca="false">IF(AND(L36&gt;1,BN36&lt;&gt;1),_xlfn.CONCAT("{BLACK}Cars: {GOLD}", L36),"")</f>
        <v/>
      </c>
      <c r="CH36" s="0" t="s">
        <v>207</v>
      </c>
      <c r="CI36" s="0" t="str">
        <f aca="false">IF($BU36="!param_no_gameplay_units","{GREEN}Included for gameplay purposes","")</f>
        <v/>
      </c>
      <c r="CJ36" s="0" t="str">
        <f aca="false">IF(BX36="buffet","{YELLOW}25% long distance bonus for consist{}",IF(BY36="DANDY","{YELLOW}Faster downhill speeds for horse-drawn trains (1 required per 2 horses){}",IF(BY36="BRAKE","{YELLOW}Speed bonus for slow wagons{}",IF(BY36="NGPassengers","{YELLOW}Preserved railway bonus: passengers pay more when hauled by old locomotives{}",IF(AND(BW36&gt;190,NOT(AND(I36="NARROW_GAUGE",BY36&lt;&gt;"PASS"))),CONCATENATE("{YELLOW}",INT((BW36-185)/1.85),"% bonus for long distance travel{}"),IF(AND(BW36&lt;180,BW36&lt;&gt;0),CONCATENATE("{YELLOW}",INT((185-BW36)/1.85),"% penalty for long distance travel{}"),""))))))</f>
        <v/>
      </c>
      <c r="CK36" s="0" t="str">
        <f aca="false">_xlfn.CONCAT(CF36,IF(CF36&lt;&gt;""," ",""),CG36,IF(OR(CG36&lt;&gt;"",CF36&lt;&gt;""),"{}",""),CE36,CJ36,"{SILVER}",CH36,IF(CI36&lt;&gt;"","{}{}",""),CI36)</f>
        <v>{BLACK}Powered by: {GOLD}Steam {}{BLACK}Length: {GOLD}0.9 tiles{}{SILVER}The Great Bear was a single locomotive, the first 4-6-2 "Pacific" type built in the UK, which served as the GWR's flagship until 1922 despite disappointing performance and low route availability.</v>
      </c>
    </row>
    <row r="37" customFormat="false" ht="14.25" hidden="false" customHeight="false" outlineLevel="0" collapsed="false">
      <c r="A37" s="0" t="s">
        <v>208</v>
      </c>
      <c r="B37" s="0" t="s">
        <v>209</v>
      </c>
      <c r="C37" s="0" t="n">
        <v>1131</v>
      </c>
      <c r="E37" s="0" t="n">
        <v>15</v>
      </c>
      <c r="F37" s="0" t="s">
        <v>115</v>
      </c>
      <c r="G37" s="0" t="s">
        <v>161</v>
      </c>
      <c r="H37" s="0" t="s">
        <v>162</v>
      </c>
      <c r="I37" s="0" t="s">
        <v>92</v>
      </c>
      <c r="J37" s="0" t="n">
        <v>1913</v>
      </c>
      <c r="L37" s="0" t="n">
        <v>1949</v>
      </c>
      <c r="N37" s="0" t="n">
        <v>1600</v>
      </c>
      <c r="P37" s="2" t="n">
        <v>15.75</v>
      </c>
      <c r="Q37" s="2" t="n">
        <v>26</v>
      </c>
      <c r="R37" s="2" t="n">
        <v>4</v>
      </c>
      <c r="S37" s="2" t="n">
        <v>175</v>
      </c>
      <c r="T37" s="25" t="n">
        <f aca="false">((($AB37/2)/60)*5280)/($U37*3.2*PI())</f>
        <v>177.205442735244</v>
      </c>
      <c r="U37" s="2" t="n">
        <v>2.05</v>
      </c>
      <c r="V37" s="2" t="n">
        <f aca="false">((($P37*$P37/4)*PI())*($Q37/12)*$R37*$S37*$T37)/(33000*1.1)</f>
        <v>1442.48588206763</v>
      </c>
      <c r="W37" s="0" t="n">
        <v>79</v>
      </c>
      <c r="X37" s="1" t="n">
        <v>35</v>
      </c>
      <c r="Y37" s="0" t="n">
        <v>5</v>
      </c>
      <c r="Z37" s="0" t="n">
        <v>120</v>
      </c>
      <c r="AA37" s="3" t="n">
        <f aca="false">IF(AND(W37&gt;0,Z37&gt;0),(Z37/((W37+X37)*10)),"")</f>
        <v>0.105263157894737</v>
      </c>
      <c r="AB37" s="0" t="n">
        <v>83</v>
      </c>
      <c r="AC37" s="0" t="n">
        <f aca="false">ROUND(AB37*1.6, 0)</f>
        <v>133</v>
      </c>
      <c r="AF37" s="0" t="n">
        <v>12</v>
      </c>
      <c r="AG37" s="0" t="n">
        <v>12</v>
      </c>
      <c r="AK37" s="5" t="str">
        <f aca="false">CONCATENATE(VLOOKUP(AL37, 'Voxel Sizes'!$A$2:$B$18,2,FALSE()),"x",INT(AH37*15), "x", INT(AI37*15))</f>
        <v>120x0x0</v>
      </c>
      <c r="AL37" s="5" t="n">
        <f aca="false">ROUND(15*((AG37*10)/256),0)</f>
        <v>7</v>
      </c>
      <c r="AM37" s="0" t="s">
        <v>108</v>
      </c>
      <c r="AN37" s="5" t="str">
        <f aca="false">CONCATENATE(VLOOKUP(AL37,Constants!$A$2:$C$16,IF(AM37&lt;&gt;"", 3, 2), FALSE()),IF(AM37&lt;&gt;"",CONCATENATE(",",VLOOKUP(AM37,$B:$AN,39,FALSE())),""))</f>
        <v>2,3,2,2,1,2</v>
      </c>
      <c r="AV37" s="0" t="n">
        <v>1</v>
      </c>
      <c r="AX37" s="0" t="n">
        <v>26</v>
      </c>
      <c r="AY37" s="5" t="n">
        <f aca="false">IF(L37&lt;&gt;"",MAX(16,(L37-J37)+8),"")</f>
        <v>44</v>
      </c>
      <c r="AZ37" s="0" t="n">
        <v>3</v>
      </c>
      <c r="BB37" s="7" t="n">
        <f aca="false">MIN(AB37/150, 1)*30</f>
        <v>16.6</v>
      </c>
      <c r="BC37" s="7" t="n">
        <f aca="false">MIN(N37/4000, 1)*20</f>
        <v>8</v>
      </c>
      <c r="BD37" s="7" t="n">
        <f aca="false">MIN(Z37/400,1)*20</f>
        <v>6</v>
      </c>
      <c r="BE37" s="21" t="n">
        <f aca="false">1-(MAX(J37-1900, 0)/750)</f>
        <v>0.982666666666667</v>
      </c>
      <c r="BF37" s="7" t="n">
        <f aca="false">((MAX($M37,1)*MIN($AJ37/300,1)))*IF(G37="Wagon",50,10)</f>
        <v>0</v>
      </c>
      <c r="BG37" s="7" t="n">
        <f aca="false">VLOOKUP($H37,Constants!$I:$K, 2, FALSE())</f>
        <v>1.15</v>
      </c>
      <c r="BH37" s="7" t="n">
        <f aca="false">VLOOKUP($H37,Constants!$I:$K, 3, FALSE())*IF(AND(G37="multiple_unit",AB37&lt;110),0.75,1)</f>
        <v>1.7</v>
      </c>
      <c r="BI37" s="7" t="n">
        <f aca="false">INT(POWER(((Constants!$G$2+$BB37+$BC37+$BD37+$BF37)*$BE37)*$BH37, 1.05))+$BA37</f>
        <v>72</v>
      </c>
      <c r="BJ37" s="7" t="n">
        <f aca="false">INT(POWER((((Constants!$G$1+$BB37+$BC37+$BD37+$BF37)*($BE37))*$BG37),IF($G37="wagon",1,1.2)))+$AZ37</f>
        <v>116</v>
      </c>
      <c r="BK37" s="22" t="n">
        <f aca="false">BI37*IF($G37="wagon",62.5,781.25)</f>
        <v>56250</v>
      </c>
      <c r="BL37" s="22" t="n">
        <f aca="false">BJ37*IF($G37="wagon",2.73,81.25)</f>
        <v>9425</v>
      </c>
      <c r="BV37" s="0" t="n">
        <v>3</v>
      </c>
      <c r="CA37" s="9" t="str">
        <f aca="false">VLOOKUP(J37,Eras!$A$2:$C$10, 2, TRUE())</f>
        <v>edw</v>
      </c>
      <c r="CB37" s="0" t="s">
        <v>166</v>
      </c>
      <c r="CC37" s="9" t="str">
        <f aca="false">CONCATENATE(CA37,"_",CB37)</f>
        <v>edw_Express</v>
      </c>
      <c r="CD37" s="9" t="str">
        <f aca="false">_xlfn.CONCAT(H37, "_",I37)</f>
        <v>steam_RAIL</v>
      </c>
      <c r="CE37" s="23" t="str">
        <f aca="false" t="array" ref="CE37:CE37">IF(AN37&lt;&gt;"na", _xlfn.CONCAT("{BLACK}Length: {GOLD}", TEXT(ROUNDUP(IF(AQ37&lt;&gt;"",SUM(VALUE(_xlfn.TEXTSPLIT(AQ37, ","))), SUM(VALUE(_xlfn.TEXTSPLIT(AN37, ",")))*IF(M37, M37, 1))/16, 1),"#,##0.0"), " tiles{}"), "")</f>
        <v>{BLACK}Length: {GOLD}0.8 tiles{}</v>
      </c>
      <c r="CF37" s="9" t="str">
        <f aca="false">VLOOKUP($CD37, Constants!$M:$N, 2, FALSE())</f>
        <v>{BLACK}Powered by: {GOLD}Steam</v>
      </c>
      <c r="CG37" s="9" t="str">
        <f aca="false">IF(AND(L37&gt;1,BN37&lt;&gt;1),_xlfn.CONCAT("{BLACK}Cars: {GOLD}", L37),"")</f>
        <v/>
      </c>
      <c r="CH37" s="0" t="s">
        <v>210</v>
      </c>
      <c r="CI37" s="0" t="str">
        <f aca="false">IF($BU37="!param_no_gameplay_units","{GREEN}Included for gameplay purposes","")</f>
        <v/>
      </c>
      <c r="CJ37" s="0" t="str">
        <f aca="false">IF(BX37="buffet","{YELLOW}25% long distance bonus for consist{}",IF(BY37="DANDY","{YELLOW}Faster downhill speeds for horse-drawn trains (1 required per 2 horses){}",IF(BY37="BRAKE","{YELLOW}Speed bonus for slow wagons{}",IF(BY37="NGPassengers","{YELLOW}Preserved railway bonus: passengers pay more when hauled by old locomotives{}",IF(AND(BW37&gt;190,NOT(AND(I37="NARROW_GAUGE",BY37&lt;&gt;"PASS"))),CONCATENATE("{YELLOW}",INT((BW37-185)/1.85),"% bonus for long distance travel{}"),IF(AND(BW37&lt;180,BW37&lt;&gt;0),CONCATENATE("{YELLOW}",INT((185-BW37)/1.85),"% penalty for long distance travel{}"),""))))))</f>
        <v/>
      </c>
      <c r="CK37" s="0" t="str">
        <f aca="false">_xlfn.CONCAT(CF37,IF(CF37&lt;&gt;""," ",""),CG37,IF(OR(CG37&lt;&gt;"",CF37&lt;&gt;""),"{}",""),CE37,CJ37,"{SILVER}",CH37,IF(CI37&lt;&gt;"","{}{}",""),CI37)</f>
        <v>{BLACK}Powered by: {GOLD}Steam {}{BLACK}Length: {GOLD}0.8 tiles{}{SILVER}The Claughton Class, named after the LNWR's chairman at the time, was unfortunately compromised by the Crewe works being unable to build a large boiler.</v>
      </c>
    </row>
    <row r="38" customFormat="false" ht="14.25" hidden="false" customHeight="false" outlineLevel="0" collapsed="false">
      <c r="A38" s="0" t="s">
        <v>211</v>
      </c>
      <c r="B38" s="0" t="s">
        <v>212</v>
      </c>
      <c r="C38" s="0" t="n">
        <v>1171</v>
      </c>
      <c r="E38" s="0" t="n">
        <v>16</v>
      </c>
      <c r="F38" s="0" t="s">
        <v>115</v>
      </c>
      <c r="G38" s="0" t="s">
        <v>161</v>
      </c>
      <c r="H38" s="0" t="s">
        <v>162</v>
      </c>
      <c r="I38" s="0" t="s">
        <v>92</v>
      </c>
      <c r="J38" s="0" t="n">
        <v>1917</v>
      </c>
      <c r="L38" s="0" t="n">
        <v>1949</v>
      </c>
      <c r="N38" s="0" t="n">
        <v>1650</v>
      </c>
      <c r="P38" s="2" t="n">
        <v>16</v>
      </c>
      <c r="Q38" s="2" t="n">
        <v>26</v>
      </c>
      <c r="R38" s="2" t="n">
        <v>4</v>
      </c>
      <c r="S38" s="2" t="n">
        <v>180</v>
      </c>
      <c r="T38" s="25" t="n">
        <f aca="false">((($AB38/2)/60)*5280)/($U38*3.2*PI())</f>
        <v>191.217710753612</v>
      </c>
      <c r="U38" s="2" t="n">
        <v>2.06</v>
      </c>
      <c r="V38" s="2" t="n">
        <f aca="false">((($P38*$P38/4)*PI())*($Q38/12)*$R38*$S38*$T38)/(33000*1.1)</f>
        <v>1652.2506619594</v>
      </c>
      <c r="W38" s="0" t="n">
        <v>86</v>
      </c>
      <c r="X38" s="1" t="n">
        <v>35</v>
      </c>
      <c r="Y38" s="0" t="n">
        <v>5</v>
      </c>
      <c r="Z38" s="0" t="n">
        <v>112</v>
      </c>
      <c r="AA38" s="3" t="n">
        <f aca="false">IF(AND(W38&gt;0,Z38&gt;0),(Z38/((W38+X38)*10)),"")</f>
        <v>0.0925619834710744</v>
      </c>
      <c r="AB38" s="0" t="n">
        <v>90</v>
      </c>
      <c r="AC38" s="0" t="n">
        <f aca="false">ROUND(AB38*1.6, 0)</f>
        <v>144</v>
      </c>
      <c r="AF38" s="0" t="n">
        <v>12</v>
      </c>
      <c r="AG38" s="0" t="n">
        <v>12</v>
      </c>
      <c r="AK38" s="5" t="str">
        <f aca="false">CONCATENATE(VLOOKUP(AL38, 'Voxel Sizes'!$A$2:$B$18,2,FALSE()),"x",INT(AH38*15), "x", INT(AI38*15))</f>
        <v>120x0x0</v>
      </c>
      <c r="AL38" s="5" t="n">
        <f aca="false">ROUND(15*((AG38*10)/256),0)</f>
        <v>7</v>
      </c>
      <c r="AM38" s="0" t="s">
        <v>110</v>
      </c>
      <c r="AN38" s="5" t="str">
        <f aca="false">CONCATENATE(VLOOKUP(AL38,Constants!$A$2:$C$16,IF(AM38&lt;&gt;"", 3, 2), FALSE()),IF(AM38&lt;&gt;"",CONCATENATE(",",VLOOKUP(AM38,$B:$AN,39,FALSE())),""))</f>
        <v>2,3,2,2,1,2</v>
      </c>
      <c r="AV38" s="0" t="n">
        <v>1</v>
      </c>
      <c r="AX38" s="0" t="n">
        <v>27</v>
      </c>
      <c r="AY38" s="5" t="n">
        <f aca="false">IF(L38&lt;&gt;"",MAX(16,(L38-J38)+8),"")</f>
        <v>40</v>
      </c>
      <c r="AZ38" s="0" t="n">
        <v>7</v>
      </c>
      <c r="BA38" s="0" t="n">
        <v>4</v>
      </c>
      <c r="BB38" s="7" t="n">
        <f aca="false">MIN(AB38/150, 1)*30</f>
        <v>18</v>
      </c>
      <c r="BC38" s="7" t="n">
        <f aca="false">MIN(N38/4000, 1)*20</f>
        <v>8.25</v>
      </c>
      <c r="BD38" s="7" t="n">
        <f aca="false">MIN(Z38/400,1)*20</f>
        <v>5.6</v>
      </c>
      <c r="BE38" s="21" t="n">
        <f aca="false">1-(MAX(J38-1900, 0)/750)</f>
        <v>0.977333333333333</v>
      </c>
      <c r="BF38" s="7" t="n">
        <f aca="false">((MAX($M38,1)*MIN($AJ38/300,1)))*IF(G38="Wagon",50,10)</f>
        <v>0</v>
      </c>
      <c r="BG38" s="7" t="n">
        <f aca="false">VLOOKUP($H38,Constants!$I:$K, 2, FALSE())</f>
        <v>1.15</v>
      </c>
      <c r="BH38" s="7" t="n">
        <f aca="false">VLOOKUP($H38,Constants!$I:$K, 3, FALSE())*IF(AND(G38="multiple_unit",AB38&lt;110),0.75,1)</f>
        <v>1.7</v>
      </c>
      <c r="BI38" s="7" t="n">
        <f aca="false">INT(POWER(((Constants!$G$2+$BB38+$BC38+$BD38+$BF38)*$BE38)*$BH38, 1.05))+$BA38</f>
        <v>79</v>
      </c>
      <c r="BJ38" s="7" t="n">
        <f aca="false">INT(POWER((((Constants!$G$1+$BB38+$BC38+$BD38+$BF38)*($BE38))*$BG38),IF($G38="wagon",1,1.2)))+$AZ38</f>
        <v>123</v>
      </c>
      <c r="BK38" s="22" t="n">
        <f aca="false">BI38*IF($G38="wagon",62.5,781.25)</f>
        <v>61718.75</v>
      </c>
      <c r="BL38" s="22" t="n">
        <f aca="false">BJ38*IF($G38="wagon",2.73,81.25)</f>
        <v>9993.75</v>
      </c>
      <c r="BV38" s="0" t="n">
        <v>3</v>
      </c>
      <c r="CA38" s="9" t="str">
        <f aca="false">VLOOKUP(J38,Eras!$A$2:$C$10, 2, TRUE())</f>
        <v>edw</v>
      </c>
      <c r="CB38" s="0" t="s">
        <v>166</v>
      </c>
      <c r="CC38" s="9" t="str">
        <f aca="false">CONCATENATE(CA38,"_",CB38)</f>
        <v>edw_Express</v>
      </c>
      <c r="CD38" s="9" t="str">
        <f aca="false">_xlfn.CONCAT(H38, "_",I38)</f>
        <v>steam_RAIL</v>
      </c>
      <c r="CE38" s="23" t="str">
        <f aca="false" t="array" ref="CE38:CE38">IF(AN38&lt;&gt;"na", _xlfn.CONCAT("{BLACK}Length: {GOLD}", TEXT(ROUNDUP(IF(AQ38&lt;&gt;"",SUM(VALUE(_xlfn.TEXTSPLIT(AQ38, ","))), SUM(VALUE(_xlfn.TEXTSPLIT(AN38, ",")))*IF(M38, M38, 1))/16, 1),"#,##0.0"), " tiles{}"), "")</f>
        <v>{BLACK}Length: {GOLD}0.8 tiles{}</v>
      </c>
      <c r="CF38" s="9" t="str">
        <f aca="false">VLOOKUP($CD38, Constants!$M:$N, 2, FALSE())</f>
        <v>{BLACK}Powered by: {GOLD}Steam</v>
      </c>
      <c r="CG38" s="9" t="str">
        <f aca="false">IF(AND(L38&gt;1,BN38&lt;&gt;1),_xlfn.CONCAT("{BLACK}Cars: {GOLD}", L38),"")</f>
        <v/>
      </c>
      <c r="CH38" s="0" t="s">
        <v>213</v>
      </c>
      <c r="CI38" s="0" t="str">
        <f aca="false">IF($BU38="!param_no_gameplay_units","{GREEN}Included for gameplay purposes","")</f>
        <v/>
      </c>
      <c r="CJ38" s="0" t="str">
        <f aca="false">IF(BX38="buffet","{YELLOW}25% long distance bonus for consist{}",IF(BY38="DANDY","{YELLOW}Faster downhill speeds for horse-drawn trains (1 required per 2 horses){}",IF(BY38="BRAKE","{YELLOW}Speed bonus for slow wagons{}",IF(BY38="NGPassengers","{YELLOW}Preserved railway bonus: passengers pay more when hauled by old locomotives{}",IF(AND(BW38&gt;190,NOT(AND(I38="NARROW_GAUGE",BY38&lt;&gt;"PASS"))),CONCATENATE("{YELLOW}",INT((BW38-185)/1.85),"% bonus for long distance travel{}"),IF(AND(BW38&lt;180,BW38&lt;&gt;0),CONCATENATE("{YELLOW}",INT((185-BW38)/1.85),"% penalty for long distance travel{}"),""))))))</f>
        <v/>
      </c>
      <c r="CK38" s="0" t="str">
        <f aca="false">_xlfn.CONCAT(CF38,IF(CF38&lt;&gt;""," ",""),CG38,IF(OR(CG38&lt;&gt;"",CF38&lt;&gt;""),"{}",""),CE38,CJ38,"{SILVER}",CH38,IF(CI38&lt;&gt;"","{}{}",""),CI38)</f>
        <v>{BLACK}Powered by: {GOLD}Steam {}{BLACK}Length: {GOLD}0.8 tiles{}{SILVER}Robinson's 9P was a four-cylinder express locotive introduced toward the end of his time at the GCR. Early versions suffered from high coal consumption due to narrow steam passages.</v>
      </c>
    </row>
    <row r="39" customFormat="false" ht="14.25" hidden="false" customHeight="false" outlineLevel="0" collapsed="false">
      <c r="A39" s="0" t="s">
        <v>214</v>
      </c>
      <c r="B39" s="0" t="s">
        <v>215</v>
      </c>
      <c r="C39" s="0" t="n">
        <v>1211</v>
      </c>
      <c r="E39" s="0" t="n">
        <v>17</v>
      </c>
      <c r="F39" s="0" t="s">
        <v>115</v>
      </c>
      <c r="G39" s="0" t="s">
        <v>161</v>
      </c>
      <c r="H39" s="0" t="s">
        <v>162</v>
      </c>
      <c r="I39" s="0" t="s">
        <v>92</v>
      </c>
      <c r="J39" s="0" t="n">
        <v>1921</v>
      </c>
      <c r="L39" s="0" t="n">
        <v>1950</v>
      </c>
      <c r="N39" s="0" t="n">
        <v>1650</v>
      </c>
      <c r="P39" s="2" t="n">
        <v>16</v>
      </c>
      <c r="Q39" s="2" t="n">
        <v>26</v>
      </c>
      <c r="R39" s="2" t="n">
        <v>4</v>
      </c>
      <c r="S39" s="2" t="n">
        <v>180</v>
      </c>
      <c r="T39" s="25" t="n">
        <f aca="false">((($AB39/2)/60)*5280)/($U39*3.2*PI())</f>
        <v>165.400849288816</v>
      </c>
      <c r="U39" s="2" t="n">
        <v>1.72</v>
      </c>
      <c r="V39" s="2" t="n">
        <f aca="false">((($P39*$P39/4)*PI())*($Q39/12)*$R39*$S39*$T39)/(33000*1.1)</f>
        <v>1429.1754756871</v>
      </c>
      <c r="W39" s="0" t="n">
        <v>94</v>
      </c>
      <c r="X39" s="1" t="n">
        <v>35</v>
      </c>
      <c r="Y39" s="0" t="n">
        <v>5</v>
      </c>
      <c r="Z39" s="0" t="n">
        <v>133</v>
      </c>
      <c r="AA39" s="3" t="n">
        <f aca="false">IF(AND(W39&gt;0,Z39&gt;0),(Z39/((W39+X39)*10)),"")</f>
        <v>0.103100775193798</v>
      </c>
      <c r="AB39" s="0" t="n">
        <v>65</v>
      </c>
      <c r="AC39" s="0" t="n">
        <f aca="false">ROUND(AB39*1.6, 0)</f>
        <v>104</v>
      </c>
      <c r="AF39" s="0" t="n">
        <v>12</v>
      </c>
      <c r="AG39" s="0" t="n">
        <v>12</v>
      </c>
      <c r="AK39" s="5" t="str">
        <f aca="false">CONCATENATE(VLOOKUP(AL39, 'Voxel Sizes'!$A$2:$B$18,2,FALSE()),"x",INT(AH39*15), "x", INT(AI39*15))</f>
        <v>120x0x0</v>
      </c>
      <c r="AL39" s="5" t="n">
        <f aca="false">ROUND(15*((AG39*10)/256),0)</f>
        <v>7</v>
      </c>
      <c r="AM39" s="0" t="s">
        <v>110</v>
      </c>
      <c r="AN39" s="5" t="str">
        <f aca="false">CONCATENATE(VLOOKUP(AL39,Constants!$A$2:$C$16,IF(AM39&lt;&gt;"", 3, 2), FALSE()),IF(AM39&lt;&gt;"",CONCATENATE(",",VLOOKUP(AM39,$B:$AN,39,FALSE())),""))</f>
        <v>2,3,2,2,1,2</v>
      </c>
      <c r="AV39" s="0" t="n">
        <v>1</v>
      </c>
      <c r="AX39" s="0" t="n">
        <v>26</v>
      </c>
      <c r="AY39" s="5" t="n">
        <f aca="false">IF(L39&lt;&gt;"",MAX(16,(L39-J39)+8),"")</f>
        <v>37</v>
      </c>
      <c r="AZ39" s="0" t="n">
        <v>14</v>
      </c>
      <c r="BA39" s="0" t="n">
        <v>11</v>
      </c>
      <c r="BB39" s="7" t="n">
        <f aca="false">MIN(AB39/150, 1)*30</f>
        <v>13</v>
      </c>
      <c r="BC39" s="7" t="n">
        <f aca="false">MIN(N39/4000, 1)*20</f>
        <v>8.25</v>
      </c>
      <c r="BD39" s="7" t="n">
        <f aca="false">MIN(Z39/400,1)*20</f>
        <v>6.65</v>
      </c>
      <c r="BE39" s="21" t="n">
        <f aca="false">1-(MAX(J39-1900, 0)/750)</f>
        <v>0.972</v>
      </c>
      <c r="BF39" s="7" t="n">
        <f aca="false">((MAX($M39,1)*MIN($AJ39/300,1)))*IF(G39="Wagon",50,10)</f>
        <v>0</v>
      </c>
      <c r="BG39" s="7" t="n">
        <f aca="false">VLOOKUP($H39,Constants!$I:$K, 2, FALSE())</f>
        <v>1.15</v>
      </c>
      <c r="BH39" s="7" t="n">
        <f aca="false">VLOOKUP($H39,Constants!$I:$K, 3, FALSE())*IF(AND(G39="multiple_unit",AB39&lt;110),0.75,1)</f>
        <v>1.7</v>
      </c>
      <c r="BI39" s="7" t="n">
        <f aca="false">INT(POWER(((Constants!$G$2+$BB39+$BC39+$BD39+$BF39)*$BE39)*$BH39, 1.05))+$BA39</f>
        <v>77</v>
      </c>
      <c r="BJ39" s="7" t="n">
        <f aca="false">INT(POWER((((Constants!$G$1+$BB39+$BC39+$BD39+$BF39)*($BE39))*$BG39),IF($G39="wagon",1,1.2)))+$AZ39</f>
        <v>117</v>
      </c>
      <c r="BK39" s="22" t="n">
        <f aca="false">BI39*IF($G39="wagon",62.5,781.25)</f>
        <v>60156.25</v>
      </c>
      <c r="BL39" s="22" t="n">
        <f aca="false">BJ39*IF($G39="wagon",2.73,81.25)</f>
        <v>9506.25</v>
      </c>
      <c r="BV39" s="0" t="n">
        <v>3</v>
      </c>
      <c r="CA39" s="9" t="str">
        <f aca="false">VLOOKUP(J39,Eras!$A$2:$C$10, 2, TRUE())</f>
        <v>edw</v>
      </c>
      <c r="CB39" s="0" t="s">
        <v>166</v>
      </c>
      <c r="CC39" s="9" t="str">
        <f aca="false">CONCATENATE(CA39,"_",CB39)</f>
        <v>edw_Express</v>
      </c>
      <c r="CD39" s="9" t="str">
        <f aca="false">_xlfn.CONCAT(H39, "_",I39)</f>
        <v>steam_RAIL</v>
      </c>
      <c r="CE39" s="23" t="str">
        <f aca="false" t="array" ref="CE39:CE39">IF(AN39&lt;&gt;"na", _xlfn.CONCAT("{BLACK}Length: {GOLD}", TEXT(ROUNDUP(IF(AQ39&lt;&gt;"",SUM(VALUE(_xlfn.TEXTSPLIT(AQ39, ","))), SUM(VALUE(_xlfn.TEXTSPLIT(AN39, ",")))*IF(M39, M39, 1))/16, 1),"#,##0.0"), " tiles{}"), "")</f>
        <v>{BLACK}Length: {GOLD}0.8 tiles{}</v>
      </c>
      <c r="CF39" s="9" t="str">
        <f aca="false">VLOOKUP($CD39, Constants!$M:$N, 2, FALSE())</f>
        <v>{BLACK}Powered by: {GOLD}Steam</v>
      </c>
      <c r="CG39" s="9" t="str">
        <f aca="false">IF(AND(L39&gt;1,BN39&lt;&gt;1),_xlfn.CONCAT("{BLACK}Cars: {GOLD}", L39),"")</f>
        <v/>
      </c>
      <c r="CH39" s="0" t="s">
        <v>216</v>
      </c>
      <c r="CI39" s="0" t="str">
        <f aca="false">IF($BU39="!param_no_gameplay_units","{GREEN}Included for gameplay purposes","")</f>
        <v/>
      </c>
      <c r="CJ39" s="0" t="str">
        <f aca="false">IF(BX39="buffet","{YELLOW}25% long distance bonus for consist{}",IF(BY39="DANDY","{YELLOW}Faster downhill speeds for horse-drawn trains (1 required per 2 horses){}",IF(BY39="BRAKE","{YELLOW}Speed bonus for slow wagons{}",IF(BY39="NGPassengers","{YELLOW}Preserved railway bonus: passengers pay more when hauled by old locomotives{}",IF(AND(BW39&gt;190,NOT(AND(I39="NARROW_GAUGE",BY39&lt;&gt;"PASS"))),CONCATENATE("{YELLOW}",INT((BW39-185)/1.85),"% bonus for long distance travel{}"),IF(AND(BW39&lt;180,BW39&lt;&gt;0),CONCATENATE("{YELLOW}",INT((185-BW39)/1.85),"% penalty for long distance travel{}"),""))))))</f>
        <v/>
      </c>
      <c r="CK39" s="0" t="str">
        <f aca="false">_xlfn.CONCAT(CF39,IF(CF39&lt;&gt;""," ",""),CG39,IF(OR(CG39&lt;&gt;"",CF39&lt;&gt;""),"{}",""),CE39,CJ39,"{SILVER}",CH39,IF(CI39&lt;&gt;"","{}{}",""),CI39)</f>
        <v>{BLACK}Powered by: {GOLD}Steam {}{BLACK}Length: {GOLD}0.8 tiles{}{SILVER}The 9Q is a freight adaptation of the 9P, which had an exceptional turn of speed for a high tractive effort engine. It earnt the name "Black Pig" for its heavy coal consumption.</v>
      </c>
    </row>
    <row r="40" customFormat="false" ht="14.25" hidden="false" customHeight="false" outlineLevel="0" collapsed="false">
      <c r="A40" s="0" t="s">
        <v>217</v>
      </c>
      <c r="B40" s="0" t="s">
        <v>218</v>
      </c>
      <c r="C40" s="0" t="n">
        <v>1213</v>
      </c>
      <c r="E40" s="0" t="n">
        <v>18</v>
      </c>
      <c r="F40" s="0" t="s">
        <v>115</v>
      </c>
      <c r="G40" s="0" t="s">
        <v>219</v>
      </c>
      <c r="H40" s="0" t="s">
        <v>162</v>
      </c>
      <c r="I40" s="0" t="s">
        <v>92</v>
      </c>
      <c r="J40" s="0" t="n">
        <v>1925</v>
      </c>
      <c r="L40" s="0" t="n">
        <v>1955</v>
      </c>
      <c r="M40" s="0" t="n">
        <v>3</v>
      </c>
      <c r="N40" s="0" t="n">
        <v>2500</v>
      </c>
      <c r="P40" s="2" t="n">
        <v>18.5</v>
      </c>
      <c r="Q40" s="2" t="n">
        <v>26</v>
      </c>
      <c r="R40" s="2" t="n">
        <v>6</v>
      </c>
      <c r="S40" s="2" t="n">
        <v>190</v>
      </c>
      <c r="T40" s="25" t="n">
        <f aca="false">((($AB40/2)/60)*5280)/($U40*3.2*PI())</f>
        <v>138.505092880605</v>
      </c>
      <c r="U40" s="2" t="n">
        <v>1.422</v>
      </c>
      <c r="V40" s="2" t="n">
        <f aca="false">((($P40*$P40/4)*PI())*($Q40/12)*$R40*$S40*$T40)/(33000*1.1)</f>
        <v>2533.31625191791</v>
      </c>
      <c r="W40" s="0" t="n">
        <v>181</v>
      </c>
      <c r="Y40" s="0" t="n">
        <v>5</v>
      </c>
      <c r="Z40" s="0" t="n">
        <v>324</v>
      </c>
      <c r="AA40" s="3" t="n">
        <f aca="false">IF(AND(W40&gt;0,Z40&gt;0),(Z40/((W40+X40)*10)),"")</f>
        <v>0.179005524861878</v>
      </c>
      <c r="AB40" s="0" t="n">
        <v>45</v>
      </c>
      <c r="AC40" s="0" t="n">
        <f aca="false">ROUND(AB40*1.6, 0)</f>
        <v>72</v>
      </c>
      <c r="AF40" s="0" t="n">
        <v>12</v>
      </c>
      <c r="AG40" s="0" t="n">
        <v>12</v>
      </c>
      <c r="AK40" s="5" t="str">
        <f aca="false">CONCATENATE(VLOOKUP(AL40, 'Voxel Sizes'!$A$2:$B$18,2,FALSE()),"x",INT(AH40*15), "x", INT(AI40*15))</f>
        <v>120x0x0</v>
      </c>
      <c r="AL40" s="5" t="n">
        <f aca="false">ROUND(15*((AG40*10)/256),0)</f>
        <v>7</v>
      </c>
      <c r="AN40" s="5" t="str">
        <f aca="false">CONCATENATE(VLOOKUP(AL40,Constants!$A$2:$C$16,IF(AM40&lt;&gt;"", 3, 2), FALSE()),IF(AM40&lt;&gt;"",CONCATENATE(",",VLOOKUP(AM40,$B:$AN,39,FALSE())),""))</f>
        <v>2,3,2</v>
      </c>
      <c r="AR40" s="0" t="s">
        <v>220</v>
      </c>
      <c r="AT40" s="0" t="s">
        <v>221</v>
      </c>
      <c r="AV40" s="0" t="s">
        <v>222</v>
      </c>
      <c r="AX40" s="0" t="n">
        <v>24</v>
      </c>
      <c r="AY40" s="5" t="n">
        <f aca="false">IF(L40&lt;&gt;"",MAX(16,(L40-J40)+8),"")</f>
        <v>38</v>
      </c>
      <c r="BB40" s="7" t="n">
        <f aca="false">MIN(AB40/150, 1)*30</f>
        <v>9</v>
      </c>
      <c r="BC40" s="7" t="n">
        <f aca="false">MIN(N40/4000, 1)*20</f>
        <v>12.5</v>
      </c>
      <c r="BD40" s="7" t="n">
        <f aca="false">MIN(Z40/400,1)*20</f>
        <v>16.2</v>
      </c>
      <c r="BE40" s="21" t="n">
        <f aca="false">1-(MAX(J40-1900, 0)/750)</f>
        <v>0.966666666666667</v>
      </c>
      <c r="BF40" s="7" t="n">
        <f aca="false">((MAX($M40,1)*MIN($AJ40/300,1)))*IF(G40="Wagon",50,10)</f>
        <v>0</v>
      </c>
      <c r="BG40" s="7" t="n">
        <f aca="false">VLOOKUP($H40,Constants!$I:$K, 2, FALSE())</f>
        <v>1.15</v>
      </c>
      <c r="BH40" s="7" t="n">
        <f aca="false">VLOOKUP($H40,Constants!$I:$K, 3, FALSE())*IF(AND(G40="multiple_unit",AB40&lt;110),0.75,1)</f>
        <v>1.275</v>
      </c>
      <c r="BI40" s="7" t="n">
        <f aca="false">INT(POWER(((Constants!$G$2+$BB40+$BC40+$BD40+$BF40)*$BE40)*$BH40, 1.05))+$BA40</f>
        <v>64</v>
      </c>
      <c r="BJ40" s="7" t="n">
        <f aca="false">INT(POWER((((Constants!$G$1+$BB40+$BC40+$BD40+$BF40)*($BE40))*$BG40),IF($G40="wagon",1,1.2)))+$AZ40</f>
        <v>132</v>
      </c>
      <c r="BK40" s="22" t="n">
        <f aca="false">BI40*IF($G40="wagon",62.5,781.25)</f>
        <v>50000</v>
      </c>
      <c r="BL40" s="22" t="n">
        <f aca="false">BJ40*IF($G40="wagon",2.73,81.25)</f>
        <v>10725</v>
      </c>
      <c r="BO40" s="0" t="n">
        <v>1</v>
      </c>
      <c r="BT40" s="0" t="s">
        <v>223</v>
      </c>
      <c r="BV40" s="0" t="n">
        <v>5</v>
      </c>
      <c r="CA40" s="9" t="str">
        <f aca="false">VLOOKUP(J40,Eras!$A$2:$C$10, 2, TRUE())</f>
        <v>big4</v>
      </c>
      <c r="CB40" s="0" t="s">
        <v>224</v>
      </c>
      <c r="CC40" s="9" t="str">
        <f aca="false">CONCATENATE(CA40,"_",CB40)</f>
        <v>big4_Freight</v>
      </c>
      <c r="CD40" s="9" t="str">
        <f aca="false">_xlfn.CONCAT(H40, "_",I40)</f>
        <v>steam_RAIL</v>
      </c>
      <c r="CE40" s="23" t="str">
        <f aca="false" t="array" ref="CE40:CE40">IF(AN40&lt;&gt;"na", _xlfn.CONCAT("{BLACK}Length: {GOLD}", TEXT(ROUNDUP(IF(AQ40&lt;&gt;"",SUM(VALUE(_xlfn.TEXTSPLIT(AQ40, ","))), SUM(VALUE(_xlfn.TEXTSPLIT(AN40, ",")))*IF(M40, M40, 1))/16, 1),"#,##0.0"), " tiles{}"), "")</f>
        <v>{BLACK}Length: {GOLD}1.4 tiles{}</v>
      </c>
      <c r="CF40" s="9" t="str">
        <f aca="false">VLOOKUP($CD40, Constants!$M:$N, 2, FALSE())</f>
        <v>{BLACK}Powered by: {GOLD}Steam</v>
      </c>
      <c r="CG40" s="9" t="str">
        <f aca="false">IF(AND(L40&gt;1,BN40&lt;&gt;1),_xlfn.CONCAT("{BLACK}Cars: {GOLD}", L40),"")</f>
        <v/>
      </c>
      <c r="CH40" s="0" t="s">
        <v>225</v>
      </c>
      <c r="CI40" s="0" t="str">
        <f aca="false">IF($BU40="!param_no_gameplay_units","{GREEN}Included for gameplay purposes","")</f>
        <v/>
      </c>
      <c r="CJ40" s="0" t="str">
        <f aca="false">IF(BX40="buffet","{YELLOW}25% long distance bonus for consist{}",IF(BY40="DANDY","{YELLOW}Faster downhill speeds for horse-drawn trains (1 required per 2 horses){}",IF(BY40="BRAKE","{YELLOW}Speed bonus for slow wagons{}",IF(BY40="NGPassengers","{YELLOW}Preserved railway bonus: passengers pay more when hauled by old locomotives{}",IF(AND(BW40&gt;190,NOT(AND(I40="NARROW_GAUGE",BY40&lt;&gt;"PASS"))),CONCATENATE("{YELLOW}",INT((BW40-185)/1.85),"% bonus for long distance travel{}"),IF(AND(BW40&lt;180,BW40&lt;&gt;0),CONCATENATE("{YELLOW}",INT((185-BW40)/1.85),"% penalty for long distance travel{}"),""))))))</f>
        <v/>
      </c>
      <c r="CK40" s="0" t="str">
        <f aca="false">_xlfn.CONCAT(CF40,IF(CF40&lt;&gt;""," ",""),CG40,IF(OR(CG40&lt;&gt;"",CF40&lt;&gt;""),"{}",""),CE40,CJ40,"{SILVER}",CH40,IF(CI40&lt;&gt;"","{}{}",""),CI40)</f>
        <v>{BLACK}Powered by: {GOLD}Steam {}{BLACK}Length: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41" customFormat="false" ht="14.25" hidden="false" customHeight="false" outlineLevel="0" collapsed="false">
      <c r="A41" s="0" t="s">
        <v>226</v>
      </c>
      <c r="B41" s="0" t="s">
        <v>227</v>
      </c>
      <c r="C41" s="0" t="n">
        <v>1212</v>
      </c>
      <c r="E41" s="0" t="n">
        <v>19</v>
      </c>
      <c r="F41" s="0" t="s">
        <v>115</v>
      </c>
      <c r="G41" s="0" t="s">
        <v>219</v>
      </c>
      <c r="H41" s="0" t="s">
        <v>162</v>
      </c>
      <c r="I41" s="0" t="s">
        <v>92</v>
      </c>
      <c r="J41" s="0" t="n">
        <v>1927</v>
      </c>
      <c r="L41" s="0" t="n">
        <v>1958</v>
      </c>
      <c r="M41" s="0" t="n">
        <v>3</v>
      </c>
      <c r="N41" s="0" t="n">
        <v>2000</v>
      </c>
      <c r="P41" s="2" t="n">
        <v>18.5</v>
      </c>
      <c r="Q41" s="2" t="n">
        <v>26</v>
      </c>
      <c r="R41" s="2" t="n">
        <v>4</v>
      </c>
      <c r="S41" s="2" t="n">
        <v>190</v>
      </c>
      <c r="T41" s="25" t="n">
        <f aca="false">((($AB41/2)/60)*5280)/($U41*3.2*PI())</f>
        <v>127.231422529858</v>
      </c>
      <c r="U41" s="2" t="n">
        <v>1.72</v>
      </c>
      <c r="V41" s="2" t="n">
        <f aca="false">((($P41*$P41/4)*PI())*($Q41/12)*$R41*$S41*$T41)/(33000*1.1)</f>
        <v>1551.41072791872</v>
      </c>
      <c r="W41" s="0" t="n">
        <v>148</v>
      </c>
      <c r="Y41" s="0" t="n">
        <v>5</v>
      </c>
      <c r="Z41" s="0" t="n">
        <v>203</v>
      </c>
      <c r="AA41" s="3" t="n">
        <f aca="false">IF(AND(W41&gt;0,Z41&gt;0),(Z41/((W41+X41)*10)),"")</f>
        <v>0.137162162162162</v>
      </c>
      <c r="AB41" s="0" t="n">
        <v>50</v>
      </c>
      <c r="AC41" s="0" t="n">
        <f aca="false">ROUND(AB41*1.6, 0)</f>
        <v>80</v>
      </c>
      <c r="AF41" s="0" t="n">
        <v>10</v>
      </c>
      <c r="AG41" s="0" t="n">
        <v>10</v>
      </c>
      <c r="AK41" s="5" t="str">
        <f aca="false">CONCATENATE(VLOOKUP(AL41, 'Voxel Sizes'!$A$2:$B$18,2,FALSE()),"x",INT(AH41*15), "x", INT(AI41*15))</f>
        <v>102x0x0</v>
      </c>
      <c r="AL41" s="5" t="n">
        <f aca="false">ROUND(15*((AG41*10)/256),0)</f>
        <v>6</v>
      </c>
      <c r="AN41" s="5" t="str">
        <f aca="false">CONCATENATE(VLOOKUP(AL41,Constants!$A$2:$C$16,IF(AM41&lt;&gt;"", 3, 2), FALSE()),IF(AM41&lt;&gt;"",CONCATENATE(",",VLOOKUP(AM41,$B:$AN,39,FALSE())),""))</f>
        <v>2,2,2</v>
      </c>
      <c r="AR41" s="0" t="s">
        <v>228</v>
      </c>
      <c r="AT41" s="0" t="s">
        <v>221</v>
      </c>
      <c r="AV41" s="0" t="s">
        <v>222</v>
      </c>
      <c r="AX41" s="0" t="n">
        <v>26</v>
      </c>
      <c r="AY41" s="5" t="n">
        <f aca="false">IF(L41&lt;&gt;"",MAX(16,(L41-J41)+8),"")</f>
        <v>39</v>
      </c>
      <c r="BB41" s="7" t="n">
        <f aca="false">MIN(AB41/150, 1)*30</f>
        <v>10</v>
      </c>
      <c r="BC41" s="7" t="n">
        <f aca="false">MIN(N41/4000, 1)*20</f>
        <v>10</v>
      </c>
      <c r="BD41" s="7" t="n">
        <f aca="false">MIN(Z41/400,1)*20</f>
        <v>10.15</v>
      </c>
      <c r="BE41" s="21" t="n">
        <f aca="false">1-(MAX(J41-1900, 0)/750)</f>
        <v>0.964</v>
      </c>
      <c r="BF41" s="7" t="n">
        <f aca="false">((MAX($M41,1)*MIN($AJ41/300,1)))*IF(G41="Wagon",50,10)</f>
        <v>0</v>
      </c>
      <c r="BG41" s="7" t="n">
        <f aca="false">VLOOKUP($H41,Constants!$I:$K, 2, FALSE())</f>
        <v>1.15</v>
      </c>
      <c r="BH41" s="7" t="n">
        <f aca="false">VLOOKUP($H41,Constants!$I:$K, 3, FALSE())*IF(AND(G41="multiple_unit",AB41&lt;110),0.75,1)</f>
        <v>1.275</v>
      </c>
      <c r="BI41" s="7" t="n">
        <f aca="false">INT(POWER(((Constants!$G$2+$BB41+$BC41+$BD41+$BF41)*$BE41)*$BH41, 1.05))+$BA41</f>
        <v>52</v>
      </c>
      <c r="BJ41" s="7" t="n">
        <f aca="false">INT(POWER((((Constants!$G$1+$BB41+$BC41+$BD41+$BF41)*($BE41))*$BG41),IF($G41="wagon",1,1.2)))+$AZ41</f>
        <v>109</v>
      </c>
      <c r="BK41" s="22" t="n">
        <f aca="false">BI41*IF($G41="wagon",62.5,781.25)</f>
        <v>40625</v>
      </c>
      <c r="BL41" s="22" t="n">
        <f aca="false">BJ41*IF($G41="wagon",2.73,81.25)</f>
        <v>8856.25</v>
      </c>
      <c r="BO41" s="0" t="n">
        <v>1</v>
      </c>
      <c r="BT41" s="0" t="s">
        <v>229</v>
      </c>
      <c r="BV41" s="0" t="n">
        <v>5</v>
      </c>
      <c r="CA41" s="9" t="str">
        <f aca="false">VLOOKUP(J41,Eras!$A$2:$C$10, 2, TRUE())</f>
        <v>big4</v>
      </c>
      <c r="CB41" s="0" t="s">
        <v>224</v>
      </c>
      <c r="CC41" s="9" t="str">
        <f aca="false">CONCATENATE(CA41,"_",CB41)</f>
        <v>big4_Freight</v>
      </c>
      <c r="CD41" s="9" t="str">
        <f aca="false">_xlfn.CONCAT(H41, "_",I41)</f>
        <v>steam_RAIL</v>
      </c>
      <c r="CE41" s="23" t="str">
        <f aca="false" t="array" ref="CE41:CE41">IF(AN41&lt;&gt;"na", _xlfn.CONCAT("{BLACK}Length: {GOLD}", TEXT(ROUNDUP(IF(AQ41&lt;&gt;"",SUM(VALUE(_xlfn.TEXTSPLIT(AQ41, ","))), SUM(VALUE(_xlfn.TEXTSPLIT(AN41, ",")))*IF(M41, M41, 1))/16, 1),"#,##0.0"), " tiles{}"), "")</f>
        <v>{BLACK}Length: {GOLD}1.2 tiles{}</v>
      </c>
      <c r="CF41" s="9" t="str">
        <f aca="false">VLOOKUP($CD41, Constants!$M:$N, 2, FALSE())</f>
        <v>{BLACK}Powered by: {GOLD}Steam</v>
      </c>
      <c r="CG41" s="9" t="str">
        <f aca="false">IF(AND(L41&gt;1,BN41&lt;&gt;1),_xlfn.CONCAT("{BLACK}Cars: {GOLD}", L41),"")</f>
        <v/>
      </c>
      <c r="CH41" s="0" t="s">
        <v>230</v>
      </c>
      <c r="CI41" s="0" t="str">
        <f aca="false">IF($BU41="!param_no_gameplay_units","{GREEN}Included for gameplay purposes","")</f>
        <v/>
      </c>
      <c r="CJ41" s="0" t="str">
        <f aca="false">IF(BX41="buffet","{YELLOW}25% long distance bonus for consist{}",IF(BY41="DANDY","{YELLOW}Faster downhill speeds for horse-drawn trains (1 required per 2 horses){}",IF(BY41="BRAKE","{YELLOW}Speed bonus for slow wagons{}",IF(BY41="NGPassengers","{YELLOW}Preserved railway bonus: passengers pay more when hauled by old locomotives{}",IF(AND(BW41&gt;190,NOT(AND(I41="NARROW_GAUGE",BY41&lt;&gt;"PASS"))),CONCATENATE("{YELLOW}",INT((BW41-185)/1.85),"% bonus for long distance travel{}"),IF(AND(BW41&lt;180,BW41&lt;&gt;0),CONCATENATE("{YELLOW}",INT((185-BW41)/1.85),"% penalty for long distance travel{}"),""))))))</f>
        <v/>
      </c>
      <c r="CK41" s="0" t="str">
        <f aca="false">_xlfn.CONCAT(CF41,IF(CF41&lt;&gt;""," ",""),CG41,IF(OR(CG41&lt;&gt;"",CF41&lt;&gt;""),"{}",""),CE41,CJ41,"{SILVER}",CH41,IF(CI41&lt;&gt;"","{}{}",""),CI41)</f>
        <v>{BLACK}Powered by: {GOLD}Steam {}{BLACK}Length: {GOLD}1.2 tiles{}{SILVER}The LMS Beyer Garratt was the most-produced Garratt type locomotive, designed for hauling heavy freight. While they suffered from poor fuel efficiency and high maintenance requirements, they survived in service to the late 1950s.</v>
      </c>
    </row>
    <row r="42" customFormat="false" ht="14.25" hidden="false" customHeight="false" outlineLevel="0" collapsed="false">
      <c r="A42" s="26" t="s">
        <v>231</v>
      </c>
      <c r="B42" s="0" t="s">
        <v>232</v>
      </c>
      <c r="C42" s="0" t="n">
        <v>1221</v>
      </c>
      <c r="E42" s="0" t="n">
        <v>-1</v>
      </c>
      <c r="G42" s="0" t="s">
        <v>188</v>
      </c>
      <c r="H42" s="0" t="s">
        <v>162</v>
      </c>
      <c r="I42" s="0" t="s">
        <v>92</v>
      </c>
      <c r="J42" s="0" t="n">
        <v>1922</v>
      </c>
      <c r="K42" s="0" t="n">
        <v>1924</v>
      </c>
      <c r="Z42" s="0" t="n">
        <v>119</v>
      </c>
      <c r="AA42" s="3" t="str">
        <f aca="false">IF(AND(W42&gt;0,Z42&gt;0),(Z42/((W42+X42)*10)),"")</f>
        <v/>
      </c>
      <c r="AC42" s="0" t="n">
        <f aca="false">ROUND(AB42*1.6, 0)</f>
        <v>0</v>
      </c>
      <c r="AK42" s="5" t="s">
        <v>198</v>
      </c>
      <c r="AL42" s="5" t="n">
        <f aca="false">ROUND(15*((AG42*10)/256),0)</f>
        <v>0</v>
      </c>
      <c r="AN42" s="5" t="str">
        <f aca="false">CONCATENATE(VLOOKUP(AL42,Constants!$A$2:$C$16,IF(AM42&lt;&gt;"", 3, 2), FALSE()),IF(AM42&lt;&gt;"",CONCATENATE(",",VLOOKUP(AM42,$B:$AN,39,FALSE())),""))</f>
        <v>na</v>
      </c>
      <c r="AV42" s="0" t="n">
        <v>1</v>
      </c>
      <c r="AX42" s="0" t="n">
        <v>30</v>
      </c>
      <c r="AY42" s="5" t="str">
        <f aca="false">IF(L42&lt;&gt;"",MAX(16,(L42-J42)+8),"")</f>
        <v/>
      </c>
      <c r="BB42" s="7" t="n">
        <f aca="false">MIN(AB42/150, 1)*30</f>
        <v>0</v>
      </c>
      <c r="BC42" s="7" t="n">
        <f aca="false">MIN(N42/4000, 1)*20</f>
        <v>0</v>
      </c>
      <c r="BD42" s="7" t="n">
        <f aca="false">MIN(Z42/400,1)*20</f>
        <v>5.95</v>
      </c>
      <c r="BE42" s="3" t="n">
        <f aca="false">1-(MAX(J42-1900, 0)/750)</f>
        <v>0.970666666666667</v>
      </c>
      <c r="BF42" s="7" t="n">
        <f aca="false">((MAX($M42,1)*MIN($AJ42/300,1)))*IF(G42="Wagon",50,10)</f>
        <v>0</v>
      </c>
      <c r="BG42" s="7" t="n">
        <v>1.15</v>
      </c>
      <c r="BH42" s="7" t="n">
        <v>1.7</v>
      </c>
      <c r="BI42" s="7" t="n">
        <f aca="false">INT(POWER(((Constants!$G$2+$BB42+$BC42+$BD42+$BF42)*$BE42)*$BH42, 1.05))+$BA42</f>
        <v>20</v>
      </c>
      <c r="BJ42" s="7" t="n">
        <f aca="false">INT(POWER((((Constants!$G$1+$BB42+$BC42+$BD42+$BF42)*($BE42))*$BG42),IF($G42="wagon",1,1.2)))+$AZ42</f>
        <v>43</v>
      </c>
      <c r="BK42" s="22" t="n">
        <f aca="false">BI42*IF($G42="wagon",62.5,781.25)</f>
        <v>15625</v>
      </c>
      <c r="BL42" s="22" t="n">
        <f aca="false">BJ42*IF($G42="wagon",2.73,81.25)</f>
        <v>3493.75</v>
      </c>
      <c r="BV42" s="0" t="n">
        <v>8</v>
      </c>
      <c r="CA42" s="9" t="s">
        <v>204</v>
      </c>
      <c r="CC42" s="9" t="str">
        <f aca="false">CONCATENATE(CA42,"_",CB42)</f>
        <v>edw_</v>
      </c>
      <c r="CD42" s="9" t="str">
        <f aca="false">_xlfn.CONCAT(H42, "_",I42)</f>
        <v>steam_RAIL</v>
      </c>
      <c r="CE42" s="23" t="str">
        <f aca="false" t="array" ref="CE42:CE42">IF(AN42&lt;&gt;"na", _xlfn.CONCAT("{BLACK}Length: {GOLD}", TEXT(ROUNDUP(IF(AQ42&lt;&gt;"",SUM(VALUE(_xlfn.TEXTSPLIT(AQ42, ","))), SUM(VALUE(_xlfn.TEXTSPLIT(AN42, ",")))*IF(M42, M42, 1))/16, 1),"#,##0.0"), " tiles{}"), "")</f>
        <v/>
      </c>
      <c r="CF42" s="9" t="str">
        <f aca="false">VLOOKUP($CD42, Constants!$M:$N, 2, FALSE())</f>
        <v>{BLACK}Powered by: {GOLD}Steam</v>
      </c>
      <c r="CG42" s="9" t="str">
        <f aca="false">IF(AND(L42&gt;1,BN42&lt;&gt;1),_xlfn.CONCAT("{BLACK}Cars: {GOLD}", L42),"")</f>
        <v/>
      </c>
      <c r="CI42" s="0" t="str">
        <f aca="false">IF($BU42="!param_no_gameplay_units","{GREEN}Included for gameplay purposes","")</f>
        <v/>
      </c>
      <c r="CJ42" s="0" t="str">
        <f aca="false">IF(BX42="buffet","{YELLOW}25% long distance bonus for consist{}",IF(BY42="DANDY","{YELLOW}Faster downhill speeds for horse-drawn trains (1 required per 2 horses){}",IF(BY42="BRAKE","{YELLOW}Speed bonus for slow wagons{}",IF(BY42="NGPassengers","{YELLOW}Preserved railway bonus: passengers pay more when hauled by old locomotives{}",IF(AND(BW42&gt;190,NOT(AND(I42="NARROW_GAUGE",BY42&lt;&gt;"PASS"))),CONCATENATE("{YELLOW}",INT((BW42-185)/1.85),"% bonus for long distance travel{}"),IF(AND(BW42&lt;180,BW42&lt;&gt;0),CONCATENATE("{YELLOW}",INT((185-BW42)/1.85),"% penalty for long distance travel{}"),""))))))</f>
        <v/>
      </c>
      <c r="CK42" s="0" t="str">
        <f aca="false">_xlfn.CONCAT(CF42,IF(CF42&lt;&gt;""," ",""),CG42,IF(OR(CG42&lt;&gt;"",CF42&lt;&gt;""),"{}",""),CE42,CJ42,"{SILVER}",CH42,IF(CI42&lt;&gt;"","{}{}",""),CI42)</f>
        <v>{BLACK}Powered by: {GOLD}Steam {}{SILVER}</v>
      </c>
    </row>
    <row r="43" customFormat="false" ht="14.25" hidden="false" customHeight="false" outlineLevel="0" collapsed="false">
      <c r="A43" s="0" t="s">
        <v>233</v>
      </c>
      <c r="B43" s="0" t="s">
        <v>234</v>
      </c>
      <c r="C43" s="0" t="n">
        <v>1421</v>
      </c>
      <c r="E43" s="0" t="n">
        <v>20</v>
      </c>
      <c r="F43" s="0" t="s">
        <v>115</v>
      </c>
      <c r="G43" s="0" t="s">
        <v>161</v>
      </c>
      <c r="H43" s="0" t="s">
        <v>162</v>
      </c>
      <c r="I43" s="0" t="s">
        <v>92</v>
      </c>
      <c r="J43" s="0" t="n">
        <v>1942</v>
      </c>
      <c r="L43" s="0" t="n">
        <v>1967</v>
      </c>
      <c r="N43" s="0" t="n">
        <v>1700</v>
      </c>
      <c r="P43" s="2" t="n">
        <v>20</v>
      </c>
      <c r="Q43" s="2" t="n">
        <v>26</v>
      </c>
      <c r="R43" s="2" t="n">
        <v>2</v>
      </c>
      <c r="S43" s="2" t="n">
        <v>225</v>
      </c>
      <c r="T43" s="25" t="n">
        <f aca="false">((($AB43/2)/60)*5280)/($U43*3.2*PI())</f>
        <v>197.885467807077</v>
      </c>
      <c r="U43" s="2" t="n">
        <v>1.88</v>
      </c>
      <c r="V43" s="2" t="n">
        <f aca="false">((($P43*$P43/4)*PI())*($Q43/12)*$R43*$S43*$T43)/(33000*1.1)</f>
        <v>1669.78965183752</v>
      </c>
      <c r="W43" s="0" t="n">
        <v>72</v>
      </c>
      <c r="Z43" s="0" t="n">
        <v>119</v>
      </c>
      <c r="AA43" s="3" t="n">
        <f aca="false">IF(AND(W43&gt;0,Z43&gt;0),(Z43/((W43+X43)*10)),"")</f>
        <v>0.165277777777778</v>
      </c>
      <c r="AB43" s="0" t="n">
        <v>85</v>
      </c>
      <c r="AC43" s="0" t="n">
        <f aca="false">ROUND(AB43*1.6, 0)</f>
        <v>136</v>
      </c>
      <c r="AF43" s="0" t="n">
        <v>18.7</v>
      </c>
      <c r="AG43" s="0" t="n">
        <v>14</v>
      </c>
      <c r="AK43" s="5" t="str">
        <f aca="false">CONCATENATE(VLOOKUP(AL43, 'Voxel Sizes'!$A$2:$B$18,2,FALSE()),"x",INT(AH43*15), "x", INT(AI43*15))</f>
        <v>136x0x0</v>
      </c>
      <c r="AL43" s="5" t="n">
        <f aca="false">ROUND(15*((AG43*10)/256),0)</f>
        <v>8</v>
      </c>
      <c r="AM43" s="0" t="s">
        <v>110</v>
      </c>
      <c r="AN43" s="5" t="str">
        <f aca="false">CONCATENATE(VLOOKUP(AL43,Constants!$A$2:$C$16,IF(AM43&lt;&gt;"", 3, 2), FALSE()),IF(AM43&lt;&gt;"",CONCATENATE(",",VLOOKUP(AM43,$B:$AN,39,FALSE())),""))</f>
        <v>2,4,2,2,1,2</v>
      </c>
      <c r="AV43" s="0" t="n">
        <v>1</v>
      </c>
      <c r="AX43" s="0" t="n">
        <v>31</v>
      </c>
      <c r="AY43" s="5" t="n">
        <f aca="false">IF(L43&lt;&gt;"",MAX(16,(L43-J43)+8),"")</f>
        <v>33</v>
      </c>
      <c r="BB43" s="7" t="n">
        <f aca="false">MIN(AB43/150, 1)*30</f>
        <v>17</v>
      </c>
      <c r="BC43" s="7" t="n">
        <f aca="false">MIN(N43/4000, 1)*20</f>
        <v>8.5</v>
      </c>
      <c r="BD43" s="7" t="n">
        <f aca="false">MIN(Z43/400,1)*20</f>
        <v>5.95</v>
      </c>
      <c r="BE43" s="3" t="n">
        <f aca="false">1-(MAX(J43-1900, 0)/750)</f>
        <v>0.944</v>
      </c>
      <c r="BF43" s="7" t="n">
        <f aca="false">((MAX($M43,1)*MIN($AJ43/300,1)))*IF(G43="Wagon",50,10)</f>
        <v>0</v>
      </c>
      <c r="BG43" s="7" t="n">
        <v>1.15</v>
      </c>
      <c r="BH43" s="7" t="n">
        <v>1.7</v>
      </c>
      <c r="BI43" s="7" t="n">
        <f aca="false">INT(POWER(((Constants!$G$2+$BB43+$BC43+$BD43+$BF43)*$BE43)*$BH43, 1.05))+$BA43</f>
        <v>71</v>
      </c>
      <c r="BJ43" s="7" t="n">
        <f aca="false">INT(POWER((((Constants!$G$1+$BB43+$BC43+$BD43+$BF43)*($BE43))*$BG43),IF($G43="wagon",1,1.2)))+$AZ43</f>
        <v>110</v>
      </c>
      <c r="BK43" s="22" t="n">
        <f aca="false">BI43*IF($G43="wagon",62.5,781.25)</f>
        <v>55468.75</v>
      </c>
      <c r="BL43" s="22" t="n">
        <f aca="false">BJ43*IF($G43="wagon",2.73,81.25)</f>
        <v>8937.5</v>
      </c>
      <c r="BV43" s="0" t="n">
        <v>7</v>
      </c>
      <c r="CA43" s="9" t="s">
        <v>235</v>
      </c>
      <c r="CB43" s="0" t="s">
        <v>93</v>
      </c>
      <c r="CC43" s="9" t="str">
        <f aca="false">CONCATENATE(CA43,"_",CB43)</f>
        <v>big4_Mixed Traffic</v>
      </c>
      <c r="CD43" s="9" t="str">
        <f aca="false">_xlfn.CONCAT(H43, "_",I43)</f>
        <v>steam_RAIL</v>
      </c>
      <c r="CE43" s="23" t="str">
        <f aca="false" t="array" ref="CE43:CE43">IF(AN43&lt;&gt;"na", _xlfn.CONCAT("{BLACK}Length: {GOLD}", TEXT(ROUNDUP(IF(AQ43&lt;&gt;"",SUM(VALUE(_xlfn.TEXTSPLIT(AQ43, ","))), SUM(VALUE(_xlfn.TEXTSPLIT(AN43, ",")))*IF(M43, M43, 1))/16, 1),"#,##0.0"), " tiles{}"), "")</f>
        <v>{BLACK}Length: {GOLD}0.9 tiles{}</v>
      </c>
      <c r="CF43" s="9" t="str">
        <f aca="false">VLOOKUP($CD43, Constants!$M:$N, 2, FALSE())</f>
        <v>{BLACK}Powered by: {GOLD}Steam</v>
      </c>
      <c r="CG43" s="9" t="str">
        <f aca="false">IF(AND(L43&gt;1,BN43&lt;&gt;1),_xlfn.CONCAT("{BLACK}Cars: {GOLD}", L43),"")</f>
        <v/>
      </c>
      <c r="CH43" s="0" t="s">
        <v>236</v>
      </c>
      <c r="CI43" s="0" t="str">
        <f aca="false">IF($BU43="!param_no_gameplay_units","{GREEN}Included for gameplay purposes","")</f>
        <v/>
      </c>
      <c r="CJ43" s="0" t="str">
        <f aca="false">IF(BX43="buffet","{YELLOW}25% long distance bonus for consist{}",IF(BY43="DANDY","{YELLOW}Faster downhill speeds for horse-drawn trains (1 required per 2 horses){}",IF(BY43="BRAKE","{YELLOW}Speed bonus for slow wagons{}",IF(BY43="NGPassengers","{YELLOW}Preserved railway bonus: passengers pay more when hauled by old locomotives{}",IF(AND(BW43&gt;190,NOT(AND(I43="NARROW_GAUGE",BY43&lt;&gt;"PASS"))),CONCATENATE("{YELLOW}",INT((BW43-185)/1.85),"% bonus for long distance travel{}"),IF(AND(BW43&lt;180,BW43&lt;&gt;0),CONCATENATE("{YELLOW}",INT((185-BW43)/1.85),"% penalty for long distance travel{}"),""))))))</f>
        <v/>
      </c>
      <c r="CK43" s="0" t="str">
        <f aca="false">_xlfn.CONCAT(CF43,IF(CF43&lt;&gt;""," ",""),CG43,IF(OR(CG43&lt;&gt;"",CF43&lt;&gt;""),"{}",""),CE43,CJ43,"{SILVER}",CH43,IF(CI43&lt;&gt;"","{}{}",""),CI43)</f>
        <v>{BLACK}Powered by: {GOLD}Steam {}{BLACK}Length: {GOLD}0.9 tiles{}{SILVER}LNER's B2 was a mixed traffic locomotive, the early examples of which were named after breeds of antelope, with 61018 "Gnu" having the record for shortest name given to a British locomotive. </v>
      </c>
    </row>
    <row r="44" customFormat="false" ht="14.25" hidden="false" customHeight="false" outlineLevel="0" collapsed="false">
      <c r="A44" s="0" t="s">
        <v>237</v>
      </c>
      <c r="B44" s="0" t="s">
        <v>238</v>
      </c>
      <c r="C44" s="0" t="n">
        <v>1491</v>
      </c>
      <c r="E44" s="0" t="n">
        <v>21</v>
      </c>
      <c r="F44" s="0" t="s">
        <v>115</v>
      </c>
      <c r="G44" s="0" t="s">
        <v>161</v>
      </c>
      <c r="H44" s="0" t="s">
        <v>239</v>
      </c>
      <c r="I44" s="0" t="s">
        <v>92</v>
      </c>
      <c r="J44" s="0" t="n">
        <v>1949</v>
      </c>
      <c r="L44" s="0" t="n">
        <v>1964</v>
      </c>
      <c r="N44" s="0" t="n">
        <v>2500</v>
      </c>
      <c r="W44" s="0" t="n">
        <v>117</v>
      </c>
      <c r="Z44" s="0" t="n">
        <v>140</v>
      </c>
      <c r="AA44" s="3" t="n">
        <f aca="false">IF(AND(W44&gt;0,Z44&gt;0),(Z44/((W44+X44)*10)),"")</f>
        <v>0.11965811965812</v>
      </c>
      <c r="AB44" s="0" t="n">
        <v>90</v>
      </c>
      <c r="AC44" s="0" t="n">
        <f aca="false">ROUND(AB44*1.6, 0)</f>
        <v>144</v>
      </c>
      <c r="AG44" s="0" t="n">
        <v>18</v>
      </c>
      <c r="AK44" s="5" t="str">
        <f aca="false">CONCATENATE(VLOOKUP(AL44, 'Voxel Sizes'!$A$2:$B$18,2,FALSE()),"x",INT(AH44*15), "x", INT(AI44*15))</f>
        <v>186x0x0</v>
      </c>
      <c r="AL44" s="5" t="n">
        <f aca="false">ROUND(15*((AG44*10)/256),0)</f>
        <v>11</v>
      </c>
      <c r="AN44" s="5" t="str">
        <f aca="false">CONCATENATE(VLOOKUP(AL44,Constants!$A$2:$C$16,IF(AM44&lt;&gt;"", 3, 2), FALSE()),IF(AM44&lt;&gt;"",CONCATENATE(",",VLOOKUP(AM44,$B:$AN,39,FALSE())),""))</f>
        <v>4,3,4</v>
      </c>
      <c r="AX44" s="0" t="n">
        <v>22</v>
      </c>
      <c r="AY44" s="5" t="n">
        <f aca="false">IF(L44&lt;&gt;"",MAX(16,(L44-J44)+8),"")</f>
        <v>23</v>
      </c>
      <c r="AZ44" s="0" t="n">
        <v>9</v>
      </c>
      <c r="BA44" s="0" t="n">
        <v>2</v>
      </c>
      <c r="BB44" s="7" t="n">
        <f aca="false">MIN(AB44/150, 1)*30</f>
        <v>18</v>
      </c>
      <c r="BC44" s="7" t="n">
        <f aca="false">MIN(N44/4000, 1)*20</f>
        <v>12.5</v>
      </c>
      <c r="BD44" s="7" t="n">
        <f aca="false">MIN(Z44/400,1)*20</f>
        <v>7</v>
      </c>
      <c r="BE44" s="21" t="n">
        <f aca="false">1-(MAX(J44-1900, 0)/750)</f>
        <v>0.934666666666667</v>
      </c>
      <c r="BF44" s="7" t="n">
        <f aca="false">((MAX($M44,1)*MIN($AJ44/300,1)))*IF(G44="Wagon",50,10)</f>
        <v>0</v>
      </c>
      <c r="BG44" s="7" t="n">
        <f aca="false">VLOOKUP($H44,Constants!$I:$K, 2, FALSE())</f>
        <v>1</v>
      </c>
      <c r="BH44" s="7" t="n">
        <f aca="false">VLOOKUP($H44,Constants!$I:$K, 3, FALSE())*IF(AND(G44="multiple_unit",AB44&lt;110),0.75,1)</f>
        <v>2</v>
      </c>
      <c r="BI44" s="7" t="n">
        <f aca="false">INT(POWER(((Constants!$G$2+$BB44+$BC44+$BD44+$BF44)*$BE44)*$BH44, 1.05))+$BA44</f>
        <v>100</v>
      </c>
      <c r="BJ44" s="7" t="n">
        <f aca="false">INT(POWER((((Constants!$G$1+$BB44+$BC44+$BD44+$BF44)*($BE44))*$BG44),IF($G44="wagon",1,1.2)))+$AZ44</f>
        <v>115</v>
      </c>
      <c r="BK44" s="22" t="n">
        <f aca="false">BI44*IF($G44="wagon",62.5,781.25)</f>
        <v>78125</v>
      </c>
      <c r="BL44" s="22" t="n">
        <f aca="false">BJ44*IF($G44="wagon",2.73,81.25)</f>
        <v>9343.75</v>
      </c>
      <c r="BV44" s="0" t="n">
        <v>6</v>
      </c>
      <c r="CA44" s="9" t="str">
        <f aca="false">VLOOKUP(J44,Eras!$A$2:$C$10, 2, TRUE())</f>
        <v>ebr</v>
      </c>
      <c r="CB44" s="0" t="s">
        <v>224</v>
      </c>
      <c r="CC44" s="9" t="str">
        <f aca="false">CONCATENATE(CA44,"_",CB44)</f>
        <v>ebr_Freight</v>
      </c>
      <c r="CD44" s="9" t="str">
        <f aca="false">_xlfn.CONCAT(H44, "_",I44)</f>
        <v>gas_turbine_RAIL</v>
      </c>
      <c r="CE44" s="23" t="str">
        <f aca="false" t="array" ref="CE44:CE44">IF(AN44&lt;&gt;"na", _xlfn.CONCAT("{BLACK}Length: {GOLD}", TEXT(ROUNDUP(IF(AQ44&lt;&gt;"",SUM(VALUE(_xlfn.TEXTSPLIT(AQ44, ","))), SUM(VALUE(_xlfn.TEXTSPLIT(AN44, ",")))*IF(M44, M44, 1))/16, 1),"#,##0.0"), " tiles{}"), "")</f>
        <v>{BLACK}Length: {GOLD}0.7 tiles{}</v>
      </c>
      <c r="CF44" s="9" t="str">
        <f aca="false">VLOOKUP($CD44, Constants!$M:$N, 2, FALSE())</f>
        <v>{BLACK}Powered by: {GOLD}Gas Turbine</v>
      </c>
      <c r="CG44" s="9" t="str">
        <f aca="false">IF(AND(L44&gt;1,BN44&lt;&gt;1),_xlfn.CONCAT("{BLACK}Cars: {GOLD}", L44),"")</f>
        <v/>
      </c>
      <c r="CH44" s="0" t="s">
        <v>240</v>
      </c>
      <c r="CI44" s="0" t="str">
        <f aca="false">IF($BU44="!param_no_gameplay_units","{GREEN}Included for gameplay purposes","")</f>
        <v/>
      </c>
      <c r="CJ44" s="0" t="str">
        <f aca="false">IF(BX44="buffet","{YELLOW}25% long distance bonus for consist{}",IF(BY44="DANDY","{YELLOW}Faster downhill speeds for horse-drawn trains (1 required per 2 horses){}",IF(BY44="BRAKE","{YELLOW}Speed bonus for slow wagons{}",IF(BY44="NGPassengers","{YELLOW}Preserved railway bonus: passengers pay more when hauled by old locomotives{}",IF(AND(BW44&gt;190,NOT(AND(I44="NARROW_GAUGE",BY44&lt;&gt;"PASS"))),CONCATENATE("{YELLOW}",INT((BW44-185)/1.85),"% bonus for long distance travel{}"),IF(AND(BW44&lt;180,BW44&lt;&gt;0),CONCATENATE("{YELLOW}",INT((185-BW44)/1.85),"% penalty for long distance travel{}"),""))))))</f>
        <v/>
      </c>
      <c r="CK44" s="0" t="str">
        <f aca="false">_xlfn.CONCAT(CF44,IF(CF44&lt;&gt;""," ",""),CG44,IF(OR(CG44&lt;&gt;"",CF44&lt;&gt;""),"{}",""),CE44,CJ44,"{SILVER}",CH44,IF(CI44&lt;&gt;"","{}{}",""),CI44)</f>
        <v>{BLACK}Powered by: {GOLD}Gas Turbine {}{BLACK}Length: {GOLD}0.7 tiles{}{SILVER}Originally ordered by the GWR, the 18000 used a gas turbine to match the power output of the King Class. This resulted in it being unreliable and expensive to run.</v>
      </c>
    </row>
    <row r="45" customFormat="false" ht="14.25" hidden="false" customHeight="false" outlineLevel="0" collapsed="false">
      <c r="A45" s="0" t="s">
        <v>241</v>
      </c>
      <c r="B45" s="0" t="s">
        <v>242</v>
      </c>
      <c r="C45" s="0" t="n">
        <v>1571</v>
      </c>
      <c r="E45" s="0" t="n">
        <v>22</v>
      </c>
      <c r="F45" s="0" t="s">
        <v>115</v>
      </c>
      <c r="G45" s="0" t="s">
        <v>161</v>
      </c>
      <c r="H45" s="0" t="s">
        <v>243</v>
      </c>
      <c r="I45" s="0" t="s">
        <v>92</v>
      </c>
      <c r="J45" s="0" t="n">
        <v>1957</v>
      </c>
      <c r="K45" s="0" t="n">
        <v>1961</v>
      </c>
      <c r="L45" s="0" t="n">
        <v>1993</v>
      </c>
      <c r="N45" s="0" t="n">
        <v>200</v>
      </c>
      <c r="W45" s="0" t="n">
        <v>30</v>
      </c>
      <c r="Z45" s="0" t="n">
        <v>70</v>
      </c>
      <c r="AA45" s="3" t="n">
        <f aca="false">IF(AND(W45&gt;0,Z45&gt;0),(Z45/((W45+X45)*10)),"")</f>
        <v>0.233333333333333</v>
      </c>
      <c r="AB45" s="0" t="n">
        <v>28</v>
      </c>
      <c r="AC45" s="0" t="n">
        <f aca="false">ROUND(AB45*1.6, 0)</f>
        <v>45</v>
      </c>
      <c r="AF45" s="0" t="n">
        <v>8</v>
      </c>
      <c r="AG45" s="0" t="n">
        <v>9.5</v>
      </c>
      <c r="AK45" s="5" t="str">
        <f aca="false">CONCATENATE(VLOOKUP(AL45, 'Voxel Sizes'!$A$2:$B$18,2,FALSE()),"x",INT(AH45*15), "x", INT(AI45*15))</f>
        <v>102x0x0</v>
      </c>
      <c r="AL45" s="5" t="n">
        <f aca="false">ROUND(15*((AG45*10)/256),0)</f>
        <v>6</v>
      </c>
      <c r="AN45" s="5" t="str">
        <f aca="false">CONCATENATE(VLOOKUP(AL45,Constants!$A$2:$C$16,IF(AM45&lt;&gt;"", 3, 2), FALSE()),IF(AM45&lt;&gt;"",CONCATENATE(",",VLOOKUP(AM45,$B:$AN,39,FALSE())),""))</f>
        <v>2,2,2</v>
      </c>
      <c r="AV45" s="0" t="n">
        <v>1</v>
      </c>
      <c r="AX45" s="0" t="n">
        <v>40</v>
      </c>
      <c r="AY45" s="5" t="n">
        <f aca="false">IF(L45&lt;&gt;"",MAX(16,(L45-J45)+8),"")</f>
        <v>44</v>
      </c>
      <c r="BB45" s="7" t="n">
        <f aca="false">MIN(AB45/150, 1)*30</f>
        <v>5.6</v>
      </c>
      <c r="BC45" s="7" t="n">
        <f aca="false">MIN(N45/4000, 1)*20</f>
        <v>1</v>
      </c>
      <c r="BD45" s="7" t="n">
        <f aca="false">MIN(Z45/400,1)*20</f>
        <v>3.5</v>
      </c>
      <c r="BE45" s="21" t="n">
        <f aca="false">1-(MAX(J45-1900, 0)/750)</f>
        <v>0.924</v>
      </c>
      <c r="BF45" s="7" t="n">
        <f aca="false">((MAX($M45,1)*MIN($AJ45/300,1)))*IF(G45="Wagon",50,10)</f>
        <v>0</v>
      </c>
      <c r="BG45" s="7" t="n">
        <f aca="false">VLOOKUP($H45,Constants!$I:$K, 2, FALSE())</f>
        <v>1</v>
      </c>
      <c r="BH45" s="7" t="n">
        <f aca="false">VLOOKUP($H45,Constants!$I:$K, 3, FALSE())*IF(AND(G45="multiple_unit",AB45&lt;110),0.75,1)</f>
        <v>2</v>
      </c>
      <c r="BI45" s="7" t="n">
        <f aca="false">INT(POWER(((Constants!$G$2+$BB45+$BC45+$BD45+$BF45)*$BE45)*$BH45, 1.05))+$BA45</f>
        <v>32</v>
      </c>
      <c r="BJ45" s="7" t="n">
        <f aca="false">INT(POWER((((Constants!$G$1+$BB45+$BC45+$BD45+$BF45)*($BE45))*$BG45),IF($G45="wagon",1,1.2)))+$AZ45</f>
        <v>43</v>
      </c>
      <c r="BK45" s="22" t="n">
        <f aca="false">BI45*IF($G45="wagon",62.5,781.25)</f>
        <v>25000</v>
      </c>
      <c r="BL45" s="22" t="n">
        <f aca="false">BJ45*IF($G45="wagon",2.73,81.25)</f>
        <v>3493.75</v>
      </c>
      <c r="BV45" s="0" t="n">
        <v>8</v>
      </c>
      <c r="CA45" s="9" t="s">
        <v>244</v>
      </c>
      <c r="CB45" s="0" t="s">
        <v>194</v>
      </c>
      <c r="CC45" s="9" t="str">
        <f aca="false">CONCATENATE(CA45,"_",CB45)</f>
        <v>dsl_Cheap</v>
      </c>
      <c r="CD45" s="9" t="str">
        <f aca="false">_xlfn.CONCAT(H45, "_",I45)</f>
        <v>diesel_RAIL</v>
      </c>
      <c r="CE45" s="23" t="str">
        <f aca="false" t="array" ref="CE45:CE45">IF(AN45&lt;&gt;"na", _xlfn.CONCAT("{BLACK}Length: {GOLD}", TEXT(ROUNDUP(IF(AQ45&lt;&gt;"",SUM(VALUE(_xlfn.TEXTSPLIT(AQ45, ","))), SUM(VALUE(_xlfn.TEXTSPLIT(AN45, ",")))*IF(M45, M45, 1))/16, 1),"#,##0.0"), " tiles{}"), "")</f>
        <v>{BLACK}Length: {GOLD}0.4 tiles{}</v>
      </c>
      <c r="CF45" s="9" t="str">
        <f aca="false">VLOOKUP($CD45, Constants!$M:$N, 2, FALSE())</f>
        <v>{BLACK}Powered by: {GOLD}Diesel</v>
      </c>
      <c r="CG45" s="9" t="str">
        <f aca="false">IF(AND(L45&gt;1,BN45&lt;&gt;1),_xlfn.CONCAT("{BLACK}Cars: {GOLD}", L45),"")</f>
        <v/>
      </c>
      <c r="CH45" s="0" t="s">
        <v>245</v>
      </c>
      <c r="CI45" s="0" t="str">
        <f aca="false">IF($BU45="!param_no_gameplay_units","{GREEN}Included for gameplay purposes","")</f>
        <v/>
      </c>
      <c r="CJ45" s="0" t="str">
        <f aca="false">IF(BX45="buffet","{YELLOW}25% long distance bonus for consist{}",IF(BY45="DANDY","{YELLOW}Faster downhill speeds for horse-drawn trains (1 required per 2 horses){}",IF(BY45="BRAKE","{YELLOW}Speed bonus for slow wagons{}",IF(BY45="NGPassengers","{YELLOW}Preserved railway bonus: passengers pay more when hauled by old locomotives{}",IF(AND(BW45&gt;190,NOT(AND(I45="NARROW_GAUGE",BY45&lt;&gt;"PASS"))),CONCATENATE("{YELLOW}",INT((BW45-185)/1.85),"% bonus for long distance travel{}"),IF(AND(BW45&lt;180,BW45&lt;&gt;0),CONCATENATE("{YELLOW}",INT((185-BW45)/1.85),"% penalty for long distance travel{}"),""))))))</f>
        <v/>
      </c>
      <c r="CK45" s="0" t="str">
        <f aca="false">_xlfn.CONCAT(CF45,IF(CF45&lt;&gt;""," ",""),CG45,IF(OR(CG45&lt;&gt;"",CF45&lt;&gt;""),"{}",""),CE45,CJ45,"{SILVER}",CH45,IF(CI45&lt;&gt;"","{}{}",""),CI45)</f>
        <v>{BLACK}Powered by: {GOLD}Diesel {}{BLACK}Length: {GOLD}0.4 tiles{}{SILVER}The Class 03 is a diesel-mechanical shunter, with a five speed manual gearbox driven through a fluid coupling. They were most useful in areas where the Class 08 was too large and heavy to operate.</v>
      </c>
    </row>
    <row r="46" customFormat="false" ht="14.25" hidden="false" customHeight="false" outlineLevel="0" collapsed="false">
      <c r="A46" s="0" t="s">
        <v>246</v>
      </c>
      <c r="B46" s="0" t="s">
        <v>247</v>
      </c>
      <c r="C46" s="0" t="n">
        <v>2611</v>
      </c>
      <c r="E46" s="0" t="n">
        <v>23</v>
      </c>
      <c r="F46" s="0" t="s">
        <v>115</v>
      </c>
      <c r="G46" s="0" t="s">
        <v>161</v>
      </c>
      <c r="H46" s="0" t="s">
        <v>243</v>
      </c>
      <c r="I46" s="0" t="s">
        <v>92</v>
      </c>
      <c r="J46" s="0" t="n">
        <v>1961</v>
      </c>
      <c r="L46" s="0" t="n">
        <v>1978</v>
      </c>
      <c r="N46" s="0" t="n">
        <v>2880</v>
      </c>
      <c r="W46" s="0" t="n">
        <v>117</v>
      </c>
      <c r="Z46" s="0" t="n">
        <v>266</v>
      </c>
      <c r="AA46" s="3" t="n">
        <f aca="false">IF(AND(W46&gt;0,Z46&gt;0),(Z46/((W46+X46)*10)),"")</f>
        <v>0.227350427350427</v>
      </c>
      <c r="AB46" s="0" t="n">
        <v>100</v>
      </c>
      <c r="AC46" s="0" t="n">
        <f aca="false">ROUND(AB46*1.6, 0)</f>
        <v>160</v>
      </c>
      <c r="AF46" s="0" t="n">
        <v>20.98</v>
      </c>
      <c r="AG46" s="0" t="n">
        <v>20.98</v>
      </c>
      <c r="AH46" s="0" t="n">
        <v>2.69</v>
      </c>
      <c r="AI46" s="0" t="n">
        <v>3.91</v>
      </c>
      <c r="AK46" s="5" t="str">
        <f aca="false">CONCATENATE(VLOOKUP(AL46, 'Voxel Sizes'!$A$2:$B$18,2,FALSE()),"x",INT(AH46*15), "x", INT(AI46*15))</f>
        <v>198x40x58</v>
      </c>
      <c r="AL46" s="5" t="n">
        <f aca="false">ROUND(15*((AG46*10)/256),0)</f>
        <v>12</v>
      </c>
      <c r="AN46" s="5" t="str">
        <f aca="false">CONCATENATE(VLOOKUP(AL46,Constants!$A$2:$C$16,IF(AM46&lt;&gt;"", 3, 2), FALSE()),IF(AM46&lt;&gt;"",CONCATENATE(",",VLOOKUP(AM46,$B:$AN,39,FALSE())),""))</f>
        <v>4,4,4</v>
      </c>
      <c r="AX46" s="0" t="n">
        <v>22</v>
      </c>
      <c r="AY46" s="5" t="n">
        <f aca="false">IF(L46&lt;&gt;"",MAX(16,(L46-J46)+8),"")</f>
        <v>25</v>
      </c>
      <c r="AZ46" s="0" t="n">
        <v>2</v>
      </c>
      <c r="BA46" s="0" t="n">
        <v>3</v>
      </c>
      <c r="BB46" s="7" t="n">
        <f aca="false">MIN(AB46/150, 1)*30</f>
        <v>20</v>
      </c>
      <c r="BC46" s="7" t="n">
        <f aca="false">MIN(N46/4000, 1)*20</f>
        <v>14.4</v>
      </c>
      <c r="BD46" s="7" t="n">
        <f aca="false">MIN(Z46/400,1)*20</f>
        <v>13.3</v>
      </c>
      <c r="BE46" s="21" t="n">
        <f aca="false">1-(MAX(J46-1900, 0)/750)</f>
        <v>0.918666666666667</v>
      </c>
      <c r="BF46" s="7" t="n">
        <f aca="false">((MAX($M46,1)*MIN($AJ46/300,1)))*IF(G46="Wagon",50,10)</f>
        <v>0</v>
      </c>
      <c r="BG46" s="7" t="n">
        <f aca="false">VLOOKUP($H46,Constants!$I:$K, 2, FALSE())</f>
        <v>1</v>
      </c>
      <c r="BH46" s="7" t="n">
        <f aca="false">VLOOKUP($H46,Constants!$I:$K, 3, FALSE())*IF(AND(G46="multiple_unit",AB46&lt;110),0.75,1)</f>
        <v>2</v>
      </c>
      <c r="BI46" s="7" t="n">
        <f aca="false">INT(POWER(((Constants!$G$2+$BB46+$BC46+$BD46+$BF46)*$BE46)*$BH46, 1.05))+$BA46</f>
        <v>124</v>
      </c>
      <c r="BJ46" s="7" t="n">
        <f aca="false">INT(POWER((((Constants!$G$1+$BB46+$BC46+$BD46+$BF46)*($BE46))*$BG46),IF($G46="wagon",1,1.2)))+$AZ46</f>
        <v>131</v>
      </c>
      <c r="BK46" s="22" t="n">
        <f aca="false">BI46*IF($G46="wagon",62.5,781.25)</f>
        <v>96875</v>
      </c>
      <c r="BL46" s="22" t="n">
        <f aca="false">BJ46*IF($G46="wagon",2.73,81.25)</f>
        <v>10643.75</v>
      </c>
      <c r="BV46" s="0" t="n">
        <v>6</v>
      </c>
      <c r="CA46" s="9" t="str">
        <f aca="false">VLOOKUP(J46,Eras!$A$2:$C$10, 2, TRUE())</f>
        <v>dsl</v>
      </c>
      <c r="CB46" s="0" t="s">
        <v>224</v>
      </c>
      <c r="CC46" s="9" t="str">
        <f aca="false">CONCATENATE(CA46,"_",CB46)</f>
        <v>dsl_Freight</v>
      </c>
      <c r="CD46" s="9" t="str">
        <f aca="false">_xlfn.CONCAT(H46, "_",I46)</f>
        <v>diesel_RAIL</v>
      </c>
      <c r="CE46" s="23" t="str">
        <f aca="false" t="array" ref="CE46:CE46">IF(AN46&lt;&gt;"na", _xlfn.CONCAT("{BLACK}Length: {GOLD}", TEXT(ROUNDUP(IF(AQ46&lt;&gt;"",SUM(VALUE(_xlfn.TEXTSPLIT(AQ46, ","))), SUM(VALUE(_xlfn.TEXTSPLIT(AN46, ",")))*IF(M46, M46, 1))/16, 1),"#,##0.0"), " tiles{}"), "")</f>
        <v>{BLACK}Length: {GOLD}0.8 tiles{}</v>
      </c>
      <c r="CF46" s="9" t="str">
        <f aca="false">VLOOKUP($CD46, Constants!$M:$N, 2, FALSE())</f>
        <v>{BLACK}Powered by: {GOLD}Diesel</v>
      </c>
      <c r="CG46" s="9" t="str">
        <f aca="false">IF(AND(L46&gt;1,BN46&lt;&gt;1),_xlfn.CONCAT("{BLACK}Cars: {GOLD}", L46),"")</f>
        <v/>
      </c>
      <c r="CH46" s="0" t="s">
        <v>248</v>
      </c>
      <c r="CI46" s="0" t="str">
        <f aca="false">IF($BU46="!param_no_gameplay_units","{GREEN}Included for gameplay purposes","")</f>
        <v/>
      </c>
      <c r="CJ46" s="0" t="str">
        <f aca="false">IF(BX46="buffet","{YELLOW}25% long distance bonus for consist{}",IF(BY46="DANDY","{YELLOW}Faster downhill speeds for horse-drawn trains (1 required per 2 horses){}",IF(BY46="BRAKE","{YELLOW}Speed bonus for slow wagons{}",IF(BY46="NGPassengers","{YELLOW}Preserved railway bonus: passengers pay more when hauled by old locomotives{}",IF(AND(BW46&gt;190,NOT(AND(I46="NARROW_GAUGE",BY46&lt;&gt;"PASS"))),CONCATENATE("{YELLOW}",INT((BW46-185)/1.85),"% bonus for long distance travel{}"),IF(AND(BW46&lt;180,BW46&lt;&gt;0),CONCATENATE("{YELLOW}",INT((185-BW46)/1.85),"% penalty for long distance travel{}"),""))))))</f>
        <v/>
      </c>
      <c r="CK46" s="0" t="str">
        <f aca="false">_xlfn.CONCAT(CF46,IF(CF46&lt;&gt;""," ",""),CG46,IF(OR(CG46&lt;&gt;"",CF46&lt;&gt;""),"{}",""),CE46,CJ46,"{SILVER}",CH46,IF(CI46&lt;&gt;"","{}{}",""),CI46)</f>
        <v>{BLACK}Powered by: {GOLD}Diesel {}{BLACK}Length: {GOLD}0.8 tiles{}{SILVER}Brush's "Falcon" was a prototype for a new generation of Type 4 locomotives, but advances in single-engined diesel made the Falcon with its two Maybach diesels obsolete at the point of introduction.</v>
      </c>
    </row>
    <row r="47" customFormat="false" ht="14.25" hidden="false" customHeight="false" outlineLevel="0" collapsed="false">
      <c r="A47" s="0" t="s">
        <v>249</v>
      </c>
      <c r="B47" s="0" t="s">
        <v>250</v>
      </c>
      <c r="C47" s="0" t="n">
        <v>2671</v>
      </c>
      <c r="E47" s="0" t="n">
        <v>24</v>
      </c>
      <c r="F47" s="0" t="s">
        <v>115</v>
      </c>
      <c r="G47" s="0" t="s">
        <v>161</v>
      </c>
      <c r="H47" s="0" t="s">
        <v>243</v>
      </c>
      <c r="I47" s="0" t="s">
        <v>92</v>
      </c>
      <c r="J47" s="0" t="n">
        <v>1967</v>
      </c>
      <c r="L47" s="0" t="n">
        <v>1982</v>
      </c>
      <c r="N47" s="0" t="n">
        <v>4000</v>
      </c>
      <c r="W47" s="0" t="n">
        <v>126</v>
      </c>
      <c r="Z47" s="0" t="n">
        <v>270</v>
      </c>
      <c r="AA47" s="3" t="n">
        <f aca="false">IF(AND(W47&gt;0,Z47&gt;0),(Z47/((W47+X47)*10)),"")</f>
        <v>0.214285714285714</v>
      </c>
      <c r="AB47" s="0" t="n">
        <v>110</v>
      </c>
      <c r="AC47" s="0" t="n">
        <f aca="false">ROUND(AB47*1.6, 0)</f>
        <v>176</v>
      </c>
      <c r="AF47" s="0" t="n">
        <v>20.27</v>
      </c>
      <c r="AG47" s="0" t="n">
        <v>20.27</v>
      </c>
      <c r="AH47" s="0" t="n">
        <v>2.69</v>
      </c>
      <c r="AI47" s="0" t="n">
        <v>3.91</v>
      </c>
      <c r="AK47" s="5" t="str">
        <f aca="false">CONCATENATE(VLOOKUP(AL47, 'Voxel Sizes'!$A$2:$B$18,2,FALSE()),"x",INT(AH47*15), "x", INT(AI47*15))</f>
        <v>198x40x58</v>
      </c>
      <c r="AL47" s="5" t="n">
        <f aca="false">ROUND(15*((AG47*10)/256),0)</f>
        <v>12</v>
      </c>
      <c r="AN47" s="5" t="str">
        <f aca="false">CONCATENATE(VLOOKUP(AL47,Constants!$A$2:$C$16,IF(AM47&lt;&gt;"", 3, 2), FALSE()),IF(AM47&lt;&gt;"",CONCATENATE(",",VLOOKUP(AM47,$B:$AN,39,FALSE())),""))</f>
        <v>4,4,4</v>
      </c>
      <c r="AX47" s="0" t="n">
        <v>21</v>
      </c>
      <c r="AY47" s="5" t="n">
        <f aca="false">IF(L47&lt;&gt;"",MAX(16,(L47-J47)+8),"")</f>
        <v>23</v>
      </c>
      <c r="BA47" s="0" t="n">
        <v>2</v>
      </c>
      <c r="BB47" s="7" t="n">
        <f aca="false">MIN(AB47/150, 1)*30</f>
        <v>22</v>
      </c>
      <c r="BC47" s="7" t="n">
        <f aca="false">MIN(N47/4000, 1)*20</f>
        <v>20</v>
      </c>
      <c r="BD47" s="7" t="n">
        <f aca="false">MIN(Z47/400,1)*20</f>
        <v>13.5</v>
      </c>
      <c r="BE47" s="21" t="n">
        <f aca="false">1-(MAX(J47-1900, 0)/750)</f>
        <v>0.910666666666667</v>
      </c>
      <c r="BF47" s="7" t="n">
        <f aca="false">((MAX($M47,1)*MIN($AJ47/300,1)))*IF(G47="Wagon",50,10)</f>
        <v>0</v>
      </c>
      <c r="BG47" s="7" t="n">
        <f aca="false">VLOOKUP($H47,Constants!$I:$K, 2, FALSE())</f>
        <v>1</v>
      </c>
      <c r="BH47" s="7" t="n">
        <f aca="false">VLOOKUP($H47,Constants!$I:$K, 3, FALSE())*IF(AND(G47="multiple_unit",AB47&lt;110),0.75,1)</f>
        <v>2</v>
      </c>
      <c r="BI47" s="7" t="n">
        <f aca="false">INT(POWER(((Constants!$G$2+$BB47+$BC47+$BD47+$BF47)*$BE47)*$BH47, 1.05))+$BA47</f>
        <v>141</v>
      </c>
      <c r="BJ47" s="7" t="n">
        <f aca="false">INT(POWER((((Constants!$G$1+$BB47+$BC47+$BD47+$BF47)*($BE47))*$BG47),IF($G47="wagon",1,1.2)))+$AZ47</f>
        <v>147</v>
      </c>
      <c r="BK47" s="22" t="n">
        <f aca="false">BI47*IF($G47="wagon",62.5,781.25)</f>
        <v>110156.25</v>
      </c>
      <c r="BL47" s="22" t="n">
        <f aca="false">BJ47*IF($G47="wagon",2.73,81.25)</f>
        <v>11943.75</v>
      </c>
      <c r="BV47" s="0" t="n">
        <v>6</v>
      </c>
      <c r="CA47" s="9" t="str">
        <f aca="false">VLOOKUP(J47,Eras!$A$2:$C$10, 2, TRUE())</f>
        <v>dsl</v>
      </c>
      <c r="CB47" s="0" t="s">
        <v>224</v>
      </c>
      <c r="CC47" s="9" t="str">
        <f aca="false">CONCATENATE(CA47,"_",CB47)</f>
        <v>dsl_Freight</v>
      </c>
      <c r="CD47" s="9" t="str">
        <f aca="false">_xlfn.CONCAT(H47, "_",I47)</f>
        <v>diesel_RAIL</v>
      </c>
      <c r="CE47" s="23" t="str">
        <f aca="false" t="array" ref="CE47:CE47">IF(AN47&lt;&gt;"na", _xlfn.CONCAT("{BLACK}Length: {GOLD}", TEXT(ROUNDUP(IF(AQ47&lt;&gt;"",SUM(VALUE(_xlfn.TEXTSPLIT(AQ47, ","))), SUM(VALUE(_xlfn.TEXTSPLIT(AN47, ",")))*IF(M47, M47, 1))/16, 1),"#,##0.0"), " tiles{}"), "")</f>
        <v>{BLACK}Length: {GOLD}0.8 tiles{}</v>
      </c>
      <c r="CF47" s="9" t="str">
        <f aca="false">VLOOKUP($CD47, Constants!$M:$N, 2, FALSE())</f>
        <v>{BLACK}Powered by: {GOLD}Diesel</v>
      </c>
      <c r="CG47" s="9" t="str">
        <f aca="false">IF(AND(L47&gt;1,BN47&lt;&gt;1),_xlfn.CONCAT("{BLACK}Cars: {GOLD}", L47),"")</f>
        <v/>
      </c>
      <c r="CH47" s="0" t="s">
        <v>251</v>
      </c>
      <c r="CI47" s="0" t="str">
        <f aca="false">IF($BU47="!param_no_gameplay_units","{GREEN}Included for gameplay purposes","")</f>
        <v/>
      </c>
      <c r="CJ47" s="0" t="str">
        <f aca="false">IF(BX47="buffet","{YELLOW}25% long distance bonus for consist{}",IF(BY47="DANDY","{YELLOW}Faster downhill speeds for horse-drawn trains (1 required per 2 horses){}",IF(BY47="BRAKE","{YELLOW}Speed bonus for slow wagons{}",IF(BY47="NGPassengers","{YELLOW}Preserved railway bonus: passengers pay more when hauled by old locomotives{}",IF(AND(BW47&gt;190,NOT(AND(I47="NARROW_GAUGE",BY47&lt;&gt;"PASS"))),CONCATENATE("{YELLOW}",INT((BW47-185)/1.85),"% bonus for long distance travel{}"),IF(AND(BW47&lt;180,BW47&lt;&gt;0),CONCATENATE("{YELLOW}",INT((185-BW47)/1.85),"% penalty for long distance travel{}"),""))))))</f>
        <v/>
      </c>
      <c r="CK47" s="0" t="str">
        <f aca="false">_xlfn.CONCAT(CF47,IF(CF47&lt;&gt;""," ",""),CG47,IF(OR(CG47&lt;&gt;"",CF47&lt;&gt;""),"{}",""),CE47,CJ47,"{SILVER}",CH47,IF(CI47&lt;&gt;"","{}{}",""),CI47)</f>
        <v>{BLACK}Powered by: {GOLD}Diesel {}{BLACK}Length: {GOLD}0.8 tiles{}{SILVER}The Brush "Kestrel" was a prototype high speed diesel locomotive. After a brief period of service in the UK it was sold to the Soviet Union, where it was re-gauged and used for testing.</v>
      </c>
    </row>
    <row r="48" customFormat="false" ht="14.25" hidden="false" customHeight="false" outlineLevel="0" collapsed="false">
      <c r="A48" s="0" t="s">
        <v>252</v>
      </c>
      <c r="B48" s="0" t="s">
        <v>253</v>
      </c>
      <c r="C48" s="0" t="n">
        <v>2791</v>
      </c>
      <c r="E48" s="0" t="n">
        <v>500</v>
      </c>
      <c r="F48" s="0" t="s">
        <v>115</v>
      </c>
      <c r="G48" s="0" t="s">
        <v>161</v>
      </c>
      <c r="H48" s="0" t="s">
        <v>254</v>
      </c>
      <c r="I48" s="0" t="s">
        <v>92</v>
      </c>
      <c r="J48" s="0" t="n">
        <v>1979</v>
      </c>
      <c r="N48" s="0" t="n">
        <v>50</v>
      </c>
      <c r="W48" s="0" t="n">
        <v>33</v>
      </c>
      <c r="Y48" s="0" t="n">
        <v>5</v>
      </c>
      <c r="Z48" s="0" t="n">
        <v>5</v>
      </c>
      <c r="AA48" s="3" t="n">
        <f aca="false">IF(AND(W48&gt;0,Z48&gt;0),(Z48/((W48+X48)*10)),"")</f>
        <v>0.0151515151515152</v>
      </c>
      <c r="AB48" s="0" t="n">
        <v>100</v>
      </c>
      <c r="AC48" s="0" t="n">
        <f aca="false">ROUND(AB48*1.6, 0)</f>
        <v>160</v>
      </c>
      <c r="AF48" s="0" t="n">
        <v>20.12</v>
      </c>
      <c r="AG48" s="0" t="n">
        <v>20.12</v>
      </c>
      <c r="AJ48" s="4" t="n">
        <v>36</v>
      </c>
      <c r="AK48" s="5" t="str">
        <f aca="false">CONCATENATE(VLOOKUP(AL48, 'Voxel Sizes'!$A$2:$B$18,2,FALSE()),"x",INT(AH48*15), "x", INT(AI48*15))</f>
        <v>198x0x0</v>
      </c>
      <c r="AL48" s="5" t="n">
        <f aca="false">ROUND(15*((AG48*10)/256),0)</f>
        <v>12</v>
      </c>
      <c r="AN48" s="5" t="str">
        <f aca="false">CONCATENATE(VLOOKUP(AL48,Constants!$A$2:$C$16,IF(AM48&lt;&gt;"", 3, 2), FALSE()),IF(AM48&lt;&gt;"",CONCATENATE(",",VLOOKUP(AM48,$B:$AN,39,FALSE())),""))</f>
        <v>4,4,4</v>
      </c>
      <c r="AX48" s="0" t="n">
        <v>33</v>
      </c>
      <c r="AY48" s="5" t="str">
        <f aca="false">IF(L48&lt;&gt;"",MAX(16,(L48-J48)+8),"")</f>
        <v/>
      </c>
      <c r="AZ48" s="0" t="n">
        <v>-35</v>
      </c>
      <c r="BA48" s="0" t="n">
        <v>-52</v>
      </c>
      <c r="BB48" s="7" t="n">
        <f aca="false">MIN(AB48/150, 1)*30</f>
        <v>20</v>
      </c>
      <c r="BC48" s="7" t="n">
        <f aca="false">MIN(N48/4000, 1)*20</f>
        <v>0.25</v>
      </c>
      <c r="BD48" s="7" t="n">
        <f aca="false">MIN(Z48/400,1)*20</f>
        <v>0.25</v>
      </c>
      <c r="BE48" s="21" t="n">
        <f aca="false">1-(MAX(J48-1900, 0)/750)</f>
        <v>0.894666666666667</v>
      </c>
      <c r="BF48" s="7" t="n">
        <f aca="false">((MAX($M48,1)*MIN($AJ48/300,1)))*IF(G48="Wagon",50,10)</f>
        <v>1.2</v>
      </c>
      <c r="BG48" s="7" t="n">
        <f aca="false">VLOOKUP($H48,Constants!$I:$K, 2, FALSE())</f>
        <v>0.85</v>
      </c>
      <c r="BH48" s="7" t="n">
        <f aca="false">VLOOKUP($H48,Constants!$I:$K, 3, FALSE())*IF(AND(G48="multiple_unit",AB48&lt;110),0.75,1)</f>
        <v>2.3</v>
      </c>
      <c r="BI48" s="7" t="n">
        <f aca="false">INT(POWER(((Constants!$G$2+$BB48+$BC48+$BD48+$BF48)*$BE48)*$BH48, 1.05))+$BA48</f>
        <v>15</v>
      </c>
      <c r="BJ48" s="7" t="n">
        <f aca="false">INT(POWER((((Constants!$G$1+$BB48+$BC48+$BD48+$BF48)*($BE48))*$BG48),IF($G48="wagon",1,1.2)))+$AZ48</f>
        <v>19</v>
      </c>
      <c r="BK48" s="22" t="n">
        <f aca="false">BI48*IF($G48="wagon",62.5,781.25)</f>
        <v>11718.75</v>
      </c>
      <c r="BL48" s="22" t="n">
        <f aca="false">BJ48*IF($G48="wagon",2.73,81.25)</f>
        <v>1543.75</v>
      </c>
      <c r="BM48" s="0" t="n">
        <v>1</v>
      </c>
      <c r="BN48" s="0" t="n">
        <v>1</v>
      </c>
      <c r="BV48" s="0" t="n">
        <v>7</v>
      </c>
      <c r="BY48" s="0" t="s">
        <v>118</v>
      </c>
      <c r="BZ48" s="0" t="s">
        <v>119</v>
      </c>
      <c r="CA48" s="9" t="str">
        <f aca="false">VLOOKUP(J48,Eras!$A$2:$C$10, 2, TRUE())</f>
        <v>lbr</v>
      </c>
      <c r="CB48" s="0" t="s">
        <v>255</v>
      </c>
      <c r="CC48" s="9" t="str">
        <f aca="false">CONCATENATE(CA48,"_",CB48)</f>
        <v>lbr_Express (Electric)</v>
      </c>
      <c r="CD48" s="9" t="str">
        <f aca="false">_xlfn.CONCAT(H48, "_",I48)</f>
        <v>none_RAIL</v>
      </c>
      <c r="CE48" s="23" t="str">
        <f aca="false" t="array" ref="CE48:CE48">IF(AN48&lt;&gt;"na", _xlfn.CONCAT("{BLACK}Length: {GOLD}", TEXT(ROUNDUP(IF(AQ48&lt;&gt;"",SUM(VALUE(_xlfn.TEXTSPLIT(AQ48, ","))), SUM(VALUE(_xlfn.TEXTSPLIT(AN48, ",")))*IF(M48, M48, 1))/16, 1),"#,##0.0"), " tiles{}"), "")</f>
        <v>{BLACK}Length: {GOLD}0.8 tiles{}</v>
      </c>
      <c r="CF48" s="9" t="str">
        <f aca="false">VLOOKUP($CD48, Constants!$M:$N, 2, FALSE())</f>
        <v/>
      </c>
      <c r="CG48" s="9" t="str">
        <f aca="false">IF(AND(L48&gt;1,BN48&lt;&gt;1),_xlfn.CONCAT("{BLACK}Cars: {GOLD}", L48),"")</f>
        <v/>
      </c>
      <c r="CH48" s="0" t="s">
        <v>256</v>
      </c>
      <c r="CI48" s="0" t="str">
        <f aca="false">IF($BU48="!param_no_gameplay_units","{GREEN}Included for gameplay purposes","")</f>
        <v/>
      </c>
      <c r="CJ48" s="0" t="str">
        <f aca="false">IF(BX48="buffet","{YELLOW}25% long distance bonus for consist{}",IF(BY48="DANDY","{YELLOW}Faster downhill speeds for horse-drawn trains (1 required per 2 horses){}",IF(BY48="BRAKE","{YELLOW}Speed bonus for slow wagons{}",IF(BY48="NGPassengers","{YELLOW}Preserved railway bonus: passengers pay more when hauled by old locomotives{}",IF(AND(BW48&gt;190,NOT(AND(I48="NARROW_GAUGE",BY48&lt;&gt;"PASS"))),CONCATENATE("{YELLOW}",INT((BW48-185)/1.85),"% bonus for long distance travel{}"),IF(AND(BW48&lt;180,BW48&lt;&gt;0),CONCATENATE("{YELLOW}",INT((185-BW48)/1.85),"% penalty for long distance travel{}"),""))))))</f>
        <v/>
      </c>
      <c r="CK48" s="0" t="str">
        <f aca="false">_xlfn.CONCAT(CF48,IF(CF48&lt;&gt;""," ",""),CG48,IF(OR(CG48&lt;&gt;"",CF48&lt;&gt;""),"{}",""),CE48,CJ48,"{SILVER}",CH48,IF(CI48&lt;&gt;"","{}{}",""),CI48)</f>
        <v>{BLACK}Length: {GOLD}0.8 tiles{}{SILVER}The DBSO is a driving trailer built from a converted Mk2F carriage. They were first used with Class 47 locomotives for a push-pull service that could be driven from either end.</v>
      </c>
    </row>
    <row r="49" customFormat="false" ht="14.25" hidden="false" customHeight="false" outlineLevel="0" collapsed="false">
      <c r="A49" s="0" t="s">
        <v>257</v>
      </c>
      <c r="B49" s="0" t="s">
        <v>258</v>
      </c>
      <c r="C49" s="0" t="n">
        <v>2171</v>
      </c>
      <c r="E49" s="0" t="n">
        <v>501</v>
      </c>
      <c r="F49" s="0" t="s">
        <v>115</v>
      </c>
      <c r="G49" s="0" t="s">
        <v>161</v>
      </c>
      <c r="H49" s="0" t="s">
        <v>254</v>
      </c>
      <c r="I49" s="0" t="s">
        <v>92</v>
      </c>
      <c r="J49" s="0" t="n">
        <v>2017</v>
      </c>
      <c r="N49" s="0" t="n">
        <v>50</v>
      </c>
      <c r="W49" s="0" t="n">
        <v>40</v>
      </c>
      <c r="Y49" s="0" t="n">
        <v>5</v>
      </c>
      <c r="Z49" s="0" t="n">
        <v>5</v>
      </c>
      <c r="AA49" s="3" t="n">
        <f aca="false">IF(AND(W49&gt;0,Z49&gt;0),(Z49/((W49+X49)*10)),"")</f>
        <v>0.0125</v>
      </c>
      <c r="AB49" s="0" t="n">
        <v>125</v>
      </c>
      <c r="AC49" s="0" t="n">
        <f aca="false">ROUND(AB49*1.6, 0)</f>
        <v>200</v>
      </c>
      <c r="AF49" s="0" t="n">
        <v>23</v>
      </c>
      <c r="AG49" s="0" t="n">
        <v>23</v>
      </c>
      <c r="AJ49" s="4" t="n">
        <v>57</v>
      </c>
      <c r="AK49" s="5" t="str">
        <f aca="false">CONCATENATE(VLOOKUP(AL49, 'Voxel Sizes'!$A$2:$B$18,2,FALSE()),"x",INT(AH49*15), "x", INT(AI49*15))</f>
        <v>214x0x0</v>
      </c>
      <c r="AL49" s="5" t="n">
        <f aca="false">ROUND(15*((AG49*10)/256),0)</f>
        <v>13</v>
      </c>
      <c r="AN49" s="5" t="str">
        <f aca="false">CONCATENATE(VLOOKUP(AL49,Constants!$A$2:$C$16,IF(AM49&lt;&gt;"", 3, 2), FALSE()),IF(AM49&lt;&gt;"",CONCATENATE(",",VLOOKUP(AM49,$B:$AN,39,FALSE())),""))</f>
        <v>4,5,4</v>
      </c>
      <c r="AX49" s="0" t="n">
        <v>30</v>
      </c>
      <c r="AY49" s="5" t="str">
        <f aca="false">IF(L49&lt;&gt;"",MAX(16,(L49-J49)+8),"")</f>
        <v/>
      </c>
      <c r="AZ49" s="0" t="n">
        <v>-35</v>
      </c>
      <c r="BA49" s="0" t="n">
        <v>-57</v>
      </c>
      <c r="BB49" s="7" t="n">
        <f aca="false">MIN(AB49/150, 1)*30</f>
        <v>25</v>
      </c>
      <c r="BC49" s="7" t="n">
        <f aca="false">MIN(N49/4000, 1)*20</f>
        <v>0.25</v>
      </c>
      <c r="BD49" s="7" t="n">
        <f aca="false">MIN(Z49/400,1)*20</f>
        <v>0.25</v>
      </c>
      <c r="BE49" s="21" t="n">
        <f aca="false">1-(MAX(J49-1900, 0)/750)</f>
        <v>0.844</v>
      </c>
      <c r="BF49" s="7" t="n">
        <f aca="false">((MAX($M49,1)*MIN($AJ49/300,1)))*IF(G49="Wagon",50,10)</f>
        <v>1.9</v>
      </c>
      <c r="BG49" s="7" t="n">
        <f aca="false">VLOOKUP($H49,Constants!$I:$K, 2, FALSE())</f>
        <v>0.85</v>
      </c>
      <c r="BH49" s="7" t="n">
        <f aca="false">VLOOKUP($H49,Constants!$I:$K, 3, FALSE())*IF(AND(G49="multiple_unit",AB49&lt;110),0.75,1)</f>
        <v>2.3</v>
      </c>
      <c r="BI49" s="7" t="n">
        <f aca="false">INT(POWER(((Constants!$G$2+$BB49+$BC49+$BD49+$BF49)*$BE49)*$BH49, 1.05))+$BA49</f>
        <v>20</v>
      </c>
      <c r="BJ49" s="7" t="n">
        <f aca="false">INT(POWER((((Constants!$G$1+$BB49+$BC49+$BD49+$BF49)*($BE49))*$BG49),IF($G49="wagon",1,1.2)))+$AZ49</f>
        <v>25</v>
      </c>
      <c r="BK49" s="22" t="n">
        <f aca="false">BI49*IF($G49="wagon",62.5,781.25)</f>
        <v>15625</v>
      </c>
      <c r="BL49" s="22" t="n">
        <f aca="false">BJ49*IF($G49="wagon",2.73,81.25)</f>
        <v>2031.25</v>
      </c>
      <c r="BM49" s="0" t="n">
        <v>1</v>
      </c>
      <c r="BN49" s="0" t="n">
        <v>1</v>
      </c>
      <c r="BV49" s="0" t="n">
        <v>1</v>
      </c>
      <c r="BW49" s="0" t="n">
        <v>222</v>
      </c>
      <c r="BY49" s="0" t="s">
        <v>118</v>
      </c>
      <c r="BZ49" s="0" t="s">
        <v>119</v>
      </c>
      <c r="CA49" s="9" t="str">
        <f aca="false">VLOOKUP(J49,Eras!$A$2:$C$10, 2, TRUE())</f>
        <v>mod</v>
      </c>
      <c r="CB49" s="0" t="s">
        <v>255</v>
      </c>
      <c r="CC49" s="9" t="str">
        <f aca="false">CONCATENATE(CA49,"_",CB49)</f>
        <v>mod_Express (Electric)</v>
      </c>
      <c r="CD49" s="9" t="str">
        <f aca="false">_xlfn.CONCAT(H49, "_",I49)</f>
        <v>none_RAIL</v>
      </c>
      <c r="CE49" s="23" t="str">
        <f aca="false" t="array" ref="CE49:CE49">IF(AN49&lt;&gt;"na", _xlfn.CONCAT("{BLACK}Length: {GOLD}", TEXT(ROUNDUP(IF(AQ49&lt;&gt;"",SUM(VALUE(_xlfn.TEXTSPLIT(AQ49, ","))), SUM(VALUE(_xlfn.TEXTSPLIT(AN49, ",")))*IF(M49, M49, 1))/16, 1),"#,##0.0"), " tiles{}"), "")</f>
        <v>{BLACK}Length: {GOLD}0.9 tiles{}</v>
      </c>
      <c r="CF49" s="9" t="str">
        <f aca="false">VLOOKUP($CD49, Constants!$M:$N, 2, FALSE())</f>
        <v/>
      </c>
      <c r="CG49" s="9" t="str">
        <f aca="false">IF(AND(L49&gt;1,BN49&lt;&gt;1),_xlfn.CONCAT("{BLACK}Cars: {GOLD}", L49),"")</f>
        <v/>
      </c>
      <c r="CH49" s="0" t="s">
        <v>259</v>
      </c>
      <c r="CI49" s="0" t="str">
        <f aca="false">IF($BU49="!param_no_gameplay_units","{GREEN}Included for gameplay purposes","")</f>
        <v/>
      </c>
      <c r="CJ49" s="0" t="str">
        <f aca="false">IF(BX49="buffet","{YELLOW}25% long distance bonus for consist{}",IF(BY49="DANDY","{YELLOW}Faster downhill speeds for horse-drawn trains (1 required per 2 horses){}",IF(BY49="BRAKE","{YELLOW}Speed bonus for slow wagons{}",IF(BY49="NGPassengers","{YELLOW}Preserved railway bonus: passengers pay more when hauled by old locomotives{}",IF(AND(BW49&gt;190,NOT(AND(I49="NARROW_GAUGE",BY49&lt;&gt;"PASS"))),CONCATENATE("{YELLOW}",INT((BW49-185)/1.85),"% bonus for long distance travel{}"),IF(AND(BW49&lt;180,BW49&lt;&gt;0),CONCATENATE("{YELLOW}",INT((185-BW49)/1.85),"% penalty for long distance travel{}"),""))))))</f>
        <v>{YELLOW}20% bonus for long distance travel{}</v>
      </c>
      <c r="CK49" s="0" t="str">
        <f aca="false">_xlfn.CONCAT(CF49,IF(CF49&lt;&gt;""," ",""),CG49,IF(OR(CG49&lt;&gt;"",CF49&lt;&gt;""),"{}",""),CE49,CJ49,"{SILVER}",CH49,IF(CI49&lt;&gt;"","{}{}",""),CI49)</f>
        <v>{BLACK}Length: {GOLD}0.9 tiles{}{YELLOW}20% bonus for long distance travel{}{SILVER}Mark 5A carriage sets include a driving van trailer, enabling loco-hauled trains to be driven from both ends.</v>
      </c>
    </row>
    <row r="50" customFormat="false" ht="14.25" hidden="false" customHeight="false" outlineLevel="0" collapsed="false">
      <c r="A50" s="0" t="s">
        <v>260</v>
      </c>
      <c r="B50" s="0" t="s">
        <v>261</v>
      </c>
      <c r="E50" s="0" t="n">
        <v>-1</v>
      </c>
      <c r="G50" s="0" t="s">
        <v>188</v>
      </c>
      <c r="H50" s="0" t="s">
        <v>116</v>
      </c>
      <c r="I50" s="0" t="s">
        <v>92</v>
      </c>
      <c r="AA50" s="3" t="str">
        <f aca="false">IF(AND(W50&gt;0,Z50&gt;0),(Z50/((W50+X50)*10)),"")</f>
        <v/>
      </c>
      <c r="AC50" s="0" t="n">
        <f aca="false">ROUND(AB50*1.6, 0)</f>
        <v>0</v>
      </c>
      <c r="AK50" s="5" t="str">
        <f aca="false">CONCATENATE(VLOOKUP(AL50, 'Voxel Sizes'!$A$2:$B$18,2,FALSE()),"x",INT(AH50*15), "x", INT(AI50*15))</f>
        <v>0x0x0</v>
      </c>
      <c r="AL50" s="5" t="n">
        <f aca="false">ROUND(15*((AG50*10)/256),0)</f>
        <v>0</v>
      </c>
      <c r="AN50" s="5" t="str">
        <f aca="false">CONCATENATE(VLOOKUP(AL50,Constants!$A$2:$C$16,IF(AM50&lt;&gt;"", 3, 2), FALSE()),IF(AM50&lt;&gt;"",CONCATENATE(",",VLOOKUP(AM50,$B:$AN,39,FALSE())),""))</f>
        <v>na</v>
      </c>
      <c r="AY50" s="5" t="str">
        <f aca="false">IF(L50&lt;&gt;"",MAX(16,(L50-J50)+8),"")</f>
        <v/>
      </c>
      <c r="BB50" s="7" t="n">
        <f aca="false">MIN(AB50/150, 1)*30</f>
        <v>0</v>
      </c>
      <c r="BC50" s="7" t="n">
        <f aca="false">MIN(N50/4000, 1)*20</f>
        <v>0</v>
      </c>
      <c r="BD50" s="7" t="n">
        <f aca="false">MIN(Z50/400,1)*20</f>
        <v>0</v>
      </c>
      <c r="BE50" s="21" t="n">
        <f aca="false">1-(MAX(J50-1900, 0)/750)</f>
        <v>1</v>
      </c>
      <c r="BF50" s="7" t="n">
        <f aca="false">((MAX($M50,1)*MIN($AJ50/300,1)))*IF(G50="Wagon",50,10)</f>
        <v>0</v>
      </c>
      <c r="BG50" s="7" t="n">
        <f aca="false">VLOOKUP($H50,Constants!$I:$K, 2, FALSE())</f>
        <v>1</v>
      </c>
      <c r="BH50" s="7" t="n">
        <f aca="false">VLOOKUP($H50,Constants!$I:$K, 3, FALSE())*IF(AND(G50="multiple_unit",AB50&lt;110),0.75,1)</f>
        <v>0.45</v>
      </c>
      <c r="BI50" s="7" t="n">
        <f aca="false">INT(POWER(((Constants!$G$2+$BB50+$BC50+$BD50+$BF50)*$BE50)*$BH50, 1.05))+$BA50</f>
        <v>2</v>
      </c>
      <c r="BJ50" s="7" t="n">
        <f aca="false">INT(POWER((((Constants!$G$1+$BB50+$BC50+$BD50+$BF50)*($BE50))*$BG50),IF($G50="wagon",1,1.2)))+$AZ50</f>
        <v>25</v>
      </c>
      <c r="BK50" s="22" t="n">
        <f aca="false">BI50*IF($G50="wagon",62.5,781.25)</f>
        <v>1562.5</v>
      </c>
      <c r="BL50" s="22" t="n">
        <f aca="false">BJ50*IF($G50="wagon",2.73,81.25)</f>
        <v>2031.25</v>
      </c>
      <c r="BV50" s="0" t="n">
        <v>7</v>
      </c>
      <c r="CA50" s="9" t="s">
        <v>244</v>
      </c>
      <c r="CB50" s="0" t="s">
        <v>262</v>
      </c>
      <c r="CC50" s="9" t="str">
        <f aca="false">CONCATENATE(CA50,"_",CB50)</f>
        <v>dsl_DMU</v>
      </c>
      <c r="CD50" s="9" t="str">
        <f aca="false">_xlfn.CONCAT(H50, "_",I50)</f>
        <v>wagon_RAIL</v>
      </c>
      <c r="CE50" s="23" t="str">
        <f aca="false" t="array" ref="CE50:CE50">IF(AN50&lt;&gt;"na", _xlfn.CONCAT("{BLACK}Length: {GOLD}", TEXT(ROUNDUP(IF(AQ50&lt;&gt;"",SUM(VALUE(_xlfn.TEXTSPLIT(AQ50, ","))), SUM(VALUE(_xlfn.TEXTSPLIT(AN50, ",")))*IF(M50, M50, 1))/16, 1),"#,##0.0"), " tiles{}"), "")</f>
        <v/>
      </c>
      <c r="CF50" s="9" t="str">
        <f aca="false">VLOOKUP($CD50, Constants!$M:$N, 2, FALSE())</f>
        <v/>
      </c>
      <c r="CG50" s="9" t="str">
        <f aca="false">IF(AND(L50&gt;1,BN50&lt;&gt;1),_xlfn.CONCAT("{BLACK}Cars: {GOLD}", L50),"")</f>
        <v/>
      </c>
      <c r="CI50" s="0" t="str">
        <f aca="false">IF($BU50="!param_no_gameplay_units","{GREEN}Included for gameplay purposes","")</f>
        <v/>
      </c>
      <c r="CJ50" s="0" t="str">
        <f aca="false">IF(BX50="buffet","{YELLOW}25% long distance bonus for consist{}",IF(BY50="DANDY","{YELLOW}Faster downhill speeds for horse-drawn trains (1 required per 2 horses){}",IF(BY50="BRAKE","{YELLOW}Speed bonus for slow wagons{}",IF(BY50="NGPassengers","{YELLOW}Preserved railway bonus: passengers pay more when hauled by old locomotives{}",IF(AND(BW50&gt;190,NOT(AND(I50="NARROW_GAUGE",BY50&lt;&gt;"PASS"))),CONCATENATE("{YELLOW}",INT((BW50-185)/1.85),"% bonus for long distance travel{}"),IF(AND(BW50&lt;180,BW50&lt;&gt;0),CONCATENATE("{YELLOW}",INT((185-BW50)/1.85),"% penalty for long distance travel{}"),""))))))</f>
        <v/>
      </c>
      <c r="CK50" s="0" t="str">
        <f aca="false">_xlfn.CONCAT(CF50,IF(CF50&lt;&gt;""," ",""),CG50,IF(OR(CG50&lt;&gt;"",CF50&lt;&gt;""),"{}",""),CE50,CJ50,"{SILVER}",CH50,IF(CI50&lt;&gt;"","{}{}",""),CI50)</f>
        <v>{SILVER}</v>
      </c>
    </row>
    <row r="51" customFormat="false" ht="14.25" hidden="false" customHeight="false" outlineLevel="0" collapsed="false">
      <c r="A51" s="0" t="s">
        <v>263</v>
      </c>
      <c r="B51" s="0" t="s">
        <v>264</v>
      </c>
      <c r="C51" s="0" t="n">
        <v>3562</v>
      </c>
      <c r="E51" s="0" t="n">
        <v>25</v>
      </c>
      <c r="F51" s="0" t="s">
        <v>115</v>
      </c>
      <c r="G51" s="0" t="s">
        <v>219</v>
      </c>
      <c r="H51" s="0" t="s">
        <v>243</v>
      </c>
      <c r="I51" s="0" t="s">
        <v>92</v>
      </c>
      <c r="J51" s="0" t="n">
        <v>1956</v>
      </c>
      <c r="K51" s="0" t="n">
        <v>1959</v>
      </c>
      <c r="L51" s="0" t="n">
        <v>1988</v>
      </c>
      <c r="M51" s="0" t="n">
        <v>2</v>
      </c>
      <c r="N51" s="0" t="n">
        <v>300</v>
      </c>
      <c r="W51" s="0" t="n">
        <f aca="false">30.5*2</f>
        <v>61</v>
      </c>
      <c r="Y51" s="0" t="n">
        <v>5</v>
      </c>
      <c r="Z51" s="0" t="n">
        <v>65</v>
      </c>
      <c r="AA51" s="3" t="n">
        <f aca="false">IF(AND(W51&gt;0,Z51&gt;0),(Z51/((W51+X51)*10)),"")</f>
        <v>0.10655737704918</v>
      </c>
      <c r="AB51" s="0" t="n">
        <v>70</v>
      </c>
      <c r="AC51" s="0" t="n">
        <f aca="false">ROUND(AB51*1.6, 0)</f>
        <v>112</v>
      </c>
      <c r="AF51" s="0" t="n">
        <v>17.53</v>
      </c>
      <c r="AG51" s="0" t="n">
        <v>17.53</v>
      </c>
      <c r="AI51" s="0" t="n">
        <v>3.84</v>
      </c>
      <c r="AJ51" s="4" t="n">
        <v>54</v>
      </c>
      <c r="AK51" s="5" t="str">
        <f aca="false">CONCATENATE(VLOOKUP(AL51, 'Voxel Sizes'!$A$2:$B$18,2,FALSE()),"x",INT(AH51*15), "x", INT(AI51*15))</f>
        <v>164x0x57</v>
      </c>
      <c r="AL51" s="5" t="n">
        <f aca="false">ROUND(15*((AG51*10)/256),0)</f>
        <v>10</v>
      </c>
      <c r="AN51" s="5" t="str">
        <f aca="false">CONCATENATE(VLOOKUP(AL51,Constants!$A$2:$C$16,IF(AM51&lt;&gt;"", 3, 2), FALSE()),IF(AM51&lt;&gt;"",CONCATENATE(",",VLOOKUP(AM51,$B:$AN,39,FALSE())),""))</f>
        <v>4,2,4</v>
      </c>
      <c r="AR51" s="0" t="s">
        <v>265</v>
      </c>
      <c r="AT51" s="0" t="s">
        <v>266</v>
      </c>
      <c r="AX51" s="0" t="n">
        <v>45</v>
      </c>
      <c r="AY51" s="5" t="n">
        <v>45</v>
      </c>
      <c r="AZ51" s="0" t="n">
        <v>-13</v>
      </c>
      <c r="BA51" s="0" t="n">
        <v>-22</v>
      </c>
      <c r="BB51" s="7" t="n">
        <f aca="false">MIN(AB51/150, 1)*30</f>
        <v>14</v>
      </c>
      <c r="BC51" s="7" t="n">
        <f aca="false">MIN(N51/4000, 1)*20</f>
        <v>1.5</v>
      </c>
      <c r="BD51" s="7" t="n">
        <f aca="false">MIN(Z51/400,1)*20</f>
        <v>3.25</v>
      </c>
      <c r="BE51" s="21" t="n">
        <f aca="false">1-(MAX(J51-1900, 0)/750)</f>
        <v>0.925333333333333</v>
      </c>
      <c r="BF51" s="7" t="n">
        <f aca="false">((MAX($M51,1)*MIN($AJ51/300,1)))*IF(G51="Wagon",50,10)</f>
        <v>3.6</v>
      </c>
      <c r="BG51" s="7" t="n">
        <f aca="false">VLOOKUP($H51,Constants!$I:$K, 2, FALSE())</f>
        <v>1</v>
      </c>
      <c r="BH51" s="7" t="n">
        <f aca="false">VLOOKUP($H51,Constants!$I:$K, 3, FALSE())*IF(AND(G51="multiple_unit",AB51&lt;110),0.75,1)</f>
        <v>1.5</v>
      </c>
      <c r="BI51" s="7" t="n">
        <f aca="false">INT(POWER(((Constants!$G$2+$BB51+$BC51+$BD51+$BF51)*$BE51)*$BH51, 1.05))+$BA51</f>
        <v>23</v>
      </c>
      <c r="BJ51" s="7" t="n">
        <f aca="false">INT(POWER((((Constants!$G$1+$BB51+$BC51+$BD51+$BF51)*($BE51))*$BG51),IF($G51="wagon",1,1.2)))+$AZ51</f>
        <v>57</v>
      </c>
      <c r="BK51" s="22" t="n">
        <f aca="false">BI51*IF($G51="wagon",62.5,781.25)</f>
        <v>17968.75</v>
      </c>
      <c r="BL51" s="22" t="n">
        <f aca="false">BJ51*IF($G51="wagon",2.73,81.25)</f>
        <v>4631.25</v>
      </c>
      <c r="BV51" s="0" t="n">
        <v>11</v>
      </c>
      <c r="BW51" s="0" t="n">
        <v>185</v>
      </c>
      <c r="BY51" s="0" t="s">
        <v>118</v>
      </c>
      <c r="BZ51" s="0" t="s">
        <v>119</v>
      </c>
      <c r="CA51" s="9" t="s">
        <v>244</v>
      </c>
      <c r="CB51" s="0" t="s">
        <v>262</v>
      </c>
      <c r="CC51" s="9" t="str">
        <f aca="false">CONCATENATE(CA51,"_",CB51)</f>
        <v>dsl_DMU</v>
      </c>
      <c r="CD51" s="9" t="str">
        <f aca="false">_xlfn.CONCAT(H51, "_",I51)</f>
        <v>diesel_RAIL</v>
      </c>
      <c r="CE51" s="23" t="str">
        <f aca="false" t="array" ref="CE51:CE51">IF(AN51&lt;&gt;"na", _xlfn.CONCAT("{BLACK}Length: {GOLD}", TEXT(ROUNDUP(IF(AQ51&lt;&gt;"",SUM(VALUE(_xlfn.TEXTSPLIT(AQ51, ","))), SUM(VALUE(_xlfn.TEXTSPLIT(AN51, ",")))*IF(M51, M51, 1))/16, 1),"#,##0.0"), " tiles{}"), "")</f>
        <v>{BLACK}Length: {GOLD}1.3 tiles{}</v>
      </c>
      <c r="CF51" s="9" t="str">
        <f aca="false">VLOOKUP($CD51, Constants!$M:$N, 2, FALSE())</f>
        <v>{BLACK}Powered by: {GOLD}Diesel</v>
      </c>
      <c r="CG51" s="9" t="str">
        <f aca="false">IF(AND(L51&gt;1,BN51&lt;&gt;1),_xlfn.CONCAT("{BLACK}Cars: {GOLD}", L51),"")</f>
        <v>{BLACK}Cars: {GOLD}2</v>
      </c>
      <c r="CH51" s="0" t="s">
        <v>267</v>
      </c>
      <c r="CI51" s="0" t="str">
        <f aca="false">IF($BU51="!param_no_gameplay_units","{GREEN}Included for gameplay purposes","")</f>
        <v/>
      </c>
      <c r="CJ51" s="0" t="str">
        <f aca="false">IF(BX51="buffet","{YELLOW}25% long distance bonus for consist{}",IF(BY51="DANDY","{YELLOW}Faster downhill speeds for horse-drawn trains (1 required per 2 horses){}",IF(BY51="BRAKE","{YELLOW}Speed bonus for slow wagons{}",IF(BY51="NGPassengers","{YELLOW}Preserved railway bonus: passengers pay more when hauled by old locomotives{}",IF(AND(BW51&gt;190,NOT(AND(I51="NARROW_GAUGE",BY51&lt;&gt;"PASS"))),CONCATENATE("{YELLOW}",INT((BW51-185)/1.85),"% bonus for long distance travel{}"),IF(AND(BW51&lt;180,BW51&lt;&gt;0),CONCATENATE("{YELLOW}",INT((185-BW51)/1.85),"% penalty for long distance travel{}"),""))))))</f>
        <v/>
      </c>
      <c r="CK51" s="0" t="str">
        <f aca="false">_xlfn.CONCAT(CF51,IF(CF51&lt;&gt;""," ",""),CG51,IF(OR(CG51&lt;&gt;"",CF51&lt;&gt;""),"{}",""),CE51,CJ51,"{SILVER}",CH51,IF(CI51&lt;&gt;"","{}{}",""),CI51)</f>
        <v>{BLACK}Powered by: {GOLD}Diesel {BLACK}Cars: {GOLD}2{}{BLACK}Length: {GOLD}1.3 tiles{}{SILVER}The Class 105 had a long and hard life on British Railways, mostly around the Eastern Region. Sadly this meant few survived in a viable condition for preservation.</v>
      </c>
    </row>
    <row r="52" customFormat="false" ht="14.25" hidden="false" customHeight="false" outlineLevel="0" collapsed="false">
      <c r="A52" s="0" t="s">
        <v>268</v>
      </c>
      <c r="B52" s="0" t="s">
        <v>269</v>
      </c>
      <c r="C52" s="0" t="n">
        <v>3592</v>
      </c>
      <c r="E52" s="0" t="n">
        <v>26</v>
      </c>
      <c r="F52" s="0" t="s">
        <v>115</v>
      </c>
      <c r="G52" s="0" t="s">
        <v>219</v>
      </c>
      <c r="H52" s="0" t="s">
        <v>243</v>
      </c>
      <c r="I52" s="0" t="s">
        <v>92</v>
      </c>
      <c r="J52" s="0" t="n">
        <v>1959</v>
      </c>
      <c r="K52" s="0" t="n">
        <v>1961</v>
      </c>
      <c r="L52" s="0" t="n">
        <v>1999</v>
      </c>
      <c r="M52" s="0" t="n">
        <v>3</v>
      </c>
      <c r="N52" s="0" t="n">
        <v>600</v>
      </c>
      <c r="W52" s="0" t="n">
        <f aca="false">36.6+36.6+30.5</f>
        <v>103.7</v>
      </c>
      <c r="Y52" s="0" t="n">
        <v>6</v>
      </c>
      <c r="Z52" s="0" t="n">
        <v>83</v>
      </c>
      <c r="AA52" s="3" t="n">
        <f aca="false">IF(AND(W52&gt;0,Z52&gt;0),(Z52/((W52+X52)*10)),"")</f>
        <v>0.0800385728061717</v>
      </c>
      <c r="AB52" s="0" t="n">
        <v>70</v>
      </c>
      <c r="AC52" s="0" t="n">
        <f aca="false">ROUND(AB52*1.6, 0)</f>
        <v>112</v>
      </c>
      <c r="AF52" s="0" t="n">
        <v>19.5</v>
      </c>
      <c r="AG52" s="0" t="n">
        <v>19.5</v>
      </c>
      <c r="AI52" s="0" t="n">
        <v>3.77</v>
      </c>
      <c r="AJ52" s="4" t="n">
        <v>60</v>
      </c>
      <c r="AK52" s="5" t="str">
        <f aca="false">CONCATENATE(VLOOKUP(AL52, 'Voxel Sizes'!$A$2:$B$18,2,FALSE()),"x",INT(AH52*15), "x", INT(AI52*15))</f>
        <v>186x0x56</v>
      </c>
      <c r="AL52" s="5" t="n">
        <f aca="false">ROUND(15*((AG52*10)/256),0)</f>
        <v>11</v>
      </c>
      <c r="AN52" s="5" t="str">
        <f aca="false">CONCATENATE(VLOOKUP(AL52,Constants!$A$2:$C$16,IF(AM52&lt;&gt;"", 3, 2), FALSE()),IF(AM52&lt;&gt;"",CONCATENATE(",",VLOOKUP(AM52,$B:$AN,39,FALSE())),""))</f>
        <v>4,3,4</v>
      </c>
      <c r="AR52" s="0" t="s">
        <v>270</v>
      </c>
      <c r="AT52" s="0" t="s">
        <v>221</v>
      </c>
      <c r="AX52" s="0" t="n">
        <v>42</v>
      </c>
      <c r="AY52" s="5" t="n">
        <f aca="false">IF(L52&lt;&gt;"",MAX(16,(L52-J52)+8),"")</f>
        <v>48</v>
      </c>
      <c r="AZ52" s="0" t="n">
        <v>-10</v>
      </c>
      <c r="BA52" s="0" t="n">
        <v>-15</v>
      </c>
      <c r="BB52" s="7" t="n">
        <f aca="false">MIN(AB52/150, 1)*30</f>
        <v>14</v>
      </c>
      <c r="BC52" s="7" t="n">
        <f aca="false">MIN(N52/4000, 1)*20</f>
        <v>3</v>
      </c>
      <c r="BD52" s="7" t="n">
        <f aca="false">MIN(Z52/400,1)*20</f>
        <v>4.15</v>
      </c>
      <c r="BE52" s="21" t="n">
        <f aca="false">1-(MAX(J52-1900, 0)/750)</f>
        <v>0.921333333333333</v>
      </c>
      <c r="BF52" s="7" t="n">
        <f aca="false">((MAX($M52,1)*MIN($AJ52/300,1)))*IF(G52="Wagon",50,10)</f>
        <v>6</v>
      </c>
      <c r="BG52" s="7" t="n">
        <f aca="false">VLOOKUP($H52,Constants!$I:$K, 2, FALSE())</f>
        <v>1</v>
      </c>
      <c r="BH52" s="7" t="n">
        <f aca="false">VLOOKUP($H52,Constants!$I:$K, 3, FALSE())*IF(AND(G52="multiple_unit",AB52&lt;110),0.75,1)</f>
        <v>1.5</v>
      </c>
      <c r="BI52" s="7" t="n">
        <f aca="false">INT(POWER(((Constants!$G$2+$BB52+$BC52+$BD52+$BF52)*$BE52)*$BH52, 1.05))+$BA52</f>
        <v>38</v>
      </c>
      <c r="BJ52" s="7" t="n">
        <f aca="false">INT(POWER((((Constants!$G$1+$BB52+$BC52+$BD52+$BF52)*($BE52))*$BG52),IF($G52="wagon",1,1.2)))+$AZ52</f>
        <v>70</v>
      </c>
      <c r="BK52" s="22" t="n">
        <f aca="false">BI52*IF($G52="wagon",62.5,781.25)</f>
        <v>29687.5</v>
      </c>
      <c r="BL52" s="22" t="n">
        <f aca="false">BJ52*IF($G52="wagon",2.73,81.25)</f>
        <v>5687.5</v>
      </c>
      <c r="BV52" s="0" t="n">
        <v>5</v>
      </c>
      <c r="BY52" s="0" t="s">
        <v>118</v>
      </c>
      <c r="BZ52" s="0" t="s">
        <v>119</v>
      </c>
      <c r="CA52" s="9" t="str">
        <f aca="false">VLOOKUP(J52,Eras!$A$2:$C$10, 2, TRUE())</f>
        <v>dsl</v>
      </c>
      <c r="CB52" s="0" t="s">
        <v>262</v>
      </c>
      <c r="CC52" s="9" t="str">
        <f aca="false">CONCATENATE(CA52,"_",CB52)</f>
        <v>dsl_DMU</v>
      </c>
      <c r="CD52" s="9" t="str">
        <f aca="false">_xlfn.CONCAT(H52, "_",I52)</f>
        <v>diesel_RAIL</v>
      </c>
      <c r="CE52" s="23" t="str">
        <f aca="false" t="array" ref="CE52:CE52">IF(AN52&lt;&gt;"na", _xlfn.CONCAT("{BLACK}Length: {GOLD}", TEXT(ROUNDUP(IF(AQ52&lt;&gt;"",SUM(VALUE(_xlfn.TEXTSPLIT(AQ52, ","))), SUM(VALUE(_xlfn.TEXTSPLIT(AN52, ",")))*IF(M52, M52, 1))/16, 1),"#,##0.0"), " tiles{}"), "")</f>
        <v>{BLACK}Length: {GOLD}2.1 tiles{}</v>
      </c>
      <c r="CF52" s="9" t="str">
        <f aca="false">VLOOKUP($CD52, Constants!$M:$N, 2, FALSE())</f>
        <v>{BLACK}Powered by: {GOLD}Diesel</v>
      </c>
      <c r="CG52" s="9" t="str">
        <f aca="false">IF(AND(L52&gt;1,BN52&lt;&gt;1),_xlfn.CONCAT("{BLACK}Cars: {GOLD}", L52),"")</f>
        <v>{BLACK}Cars: {GOLD}3</v>
      </c>
      <c r="CH52" s="0" t="s">
        <v>271</v>
      </c>
      <c r="CI52" s="0" t="str">
        <f aca="false">IF($BU52="!param_no_gameplay_units","{GREEN}Included for gameplay purposes","")</f>
        <v/>
      </c>
      <c r="CJ52" s="0" t="str">
        <f aca="false">IF(BX52="buffet","{YELLOW}25% long distance bonus for consist{}",IF(BY52="DANDY","{YELLOW}Faster downhill speeds for horse-drawn trains (1 required per 2 horses){}",IF(BY52="BRAKE","{YELLOW}Speed bonus for slow wagons{}",IF(BY52="NGPassengers","{YELLOW}Preserved railway bonus: passengers pay more when hauled by old locomotives{}",IF(AND(BW52&gt;190,NOT(AND(I52="NARROW_GAUGE",BY52&lt;&gt;"PASS"))),CONCATENATE("{YELLOW}",INT((BW52-185)/1.85),"% bonus for long distance travel{}"),IF(AND(BW52&lt;180,BW52&lt;&gt;0),CONCATENATE("{YELLOW}",INT((185-BW52)/1.85),"% penalty for long distance travel{}"),""))))))</f>
        <v/>
      </c>
      <c r="CK52" s="0" t="str">
        <f aca="false">_xlfn.CONCAT(CF52,IF(CF52&lt;&gt;""," ",""),CG52,IF(OR(CG52&lt;&gt;"",CF52&lt;&gt;""),"{}",""),CE52,CJ52,"{SILVER}",CH52,IF(CI52&lt;&gt;"","{}{}",""),CI52)</f>
        <v>{BLACK}Powered by: {GOLD}Diesel {BLACK}Cars: {GOLD}3{}{BLACK}Length: {GOLD}2.1 tiles{}{SILVER}The Class 117 was built under licence by Pressed Steel, being a variant of the Class 116 built by BRCW Derby.</v>
      </c>
    </row>
    <row r="53" customFormat="false" ht="12.75" hidden="false" customHeight="true" outlineLevel="0" collapsed="false">
      <c r="A53" s="0" t="s">
        <v>272</v>
      </c>
      <c r="B53" s="0" t="s">
        <v>273</v>
      </c>
      <c r="C53" s="0" t="n">
        <v>3491</v>
      </c>
      <c r="E53" s="0" t="n">
        <v>27</v>
      </c>
      <c r="F53" s="0" t="s">
        <v>115</v>
      </c>
      <c r="G53" s="0" t="s">
        <v>219</v>
      </c>
      <c r="H53" s="0" t="s">
        <v>274</v>
      </c>
      <c r="I53" s="0" t="s">
        <v>275</v>
      </c>
      <c r="J53" s="0" t="n">
        <v>1949</v>
      </c>
      <c r="L53" s="0" t="n">
        <v>1971</v>
      </c>
      <c r="M53" s="0" t="n">
        <v>4</v>
      </c>
      <c r="N53" s="0" t="n">
        <v>900</v>
      </c>
      <c r="W53" s="0" t="n">
        <v>135</v>
      </c>
      <c r="Y53" s="0" t="n">
        <v>3</v>
      </c>
      <c r="Z53" s="0" t="n">
        <v>120</v>
      </c>
      <c r="AA53" s="3" t="n">
        <f aca="false">IF(AND(W53&gt;0,Z53&gt;0),(Z53/((W53+X53)*10)),"")</f>
        <v>0.0888888888888889</v>
      </c>
      <c r="AB53" s="0" t="n">
        <v>75</v>
      </c>
      <c r="AC53" s="0" t="n">
        <f aca="false">ROUND(AB53*1.6, 0)</f>
        <v>120</v>
      </c>
      <c r="AF53" s="0" t="n">
        <v>19.6</v>
      </c>
      <c r="AG53" s="0" t="n">
        <v>19.6</v>
      </c>
      <c r="AH53" s="0" t="n">
        <v>2.82</v>
      </c>
      <c r="AJ53" s="4" t="n">
        <v>69</v>
      </c>
      <c r="AK53" s="5" t="str">
        <f aca="false">CONCATENATE(VLOOKUP(AL53, 'Voxel Sizes'!$A$2:$B$18,2,FALSE()),"x",INT(AH53*15), "x", INT(AI53*15))</f>
        <v>186x42x0</v>
      </c>
      <c r="AL53" s="5" t="n">
        <f aca="false">ROUND(15*((AG53*10)/256),0)</f>
        <v>11</v>
      </c>
      <c r="AN53" s="5" t="str">
        <f aca="false">CONCATENATE(VLOOKUP(AL53,Constants!$A$2:$C$16,IF(AM53&lt;&gt;"", 3, 2), FALSE()),IF(AM53&lt;&gt;"",CONCATENATE(",",VLOOKUP(AM53,$B:$AN,39,FALSE())),""))</f>
        <v>4,3,4</v>
      </c>
      <c r="AR53" s="0" t="s">
        <v>276</v>
      </c>
      <c r="AT53" s="0" t="s">
        <v>277</v>
      </c>
      <c r="AX53" s="0" t="n">
        <v>23</v>
      </c>
      <c r="AY53" s="5" t="n">
        <f aca="false">IF(L53&lt;&gt;"",MAX(16,(L53-J53)+8),"")</f>
        <v>30</v>
      </c>
      <c r="AZ53" s="0" t="n">
        <v>-10</v>
      </c>
      <c r="BA53" s="0" t="n">
        <v>-15</v>
      </c>
      <c r="BB53" s="7" t="n">
        <f aca="false">MIN(AB53/150, 1)*30</f>
        <v>15</v>
      </c>
      <c r="BC53" s="7" t="n">
        <f aca="false">MIN(N53/4000, 1)*20</f>
        <v>4.5</v>
      </c>
      <c r="BD53" s="7" t="n">
        <f aca="false">MIN(Z53/400,1)*20</f>
        <v>6</v>
      </c>
      <c r="BE53" s="21" t="n">
        <f aca="false">1-(MAX(J53-1900, 0)/750)</f>
        <v>0.934666666666667</v>
      </c>
      <c r="BF53" s="7" t="n">
        <f aca="false">((MAX($M53,1)*MIN($AJ53/300,1)))*IF(G53="Wagon",50,10)</f>
        <v>9.2</v>
      </c>
      <c r="BG53" s="7" t="n">
        <f aca="false">VLOOKUP($H53,Constants!$I:$K, 2, FALSE())</f>
        <v>0.85</v>
      </c>
      <c r="BH53" s="7" t="n">
        <f aca="false">VLOOKUP($H53,Constants!$I:$K, 3, FALSE())*IF(AND(G53="multiple_unit",AB53&lt;110),0.75,1)</f>
        <v>1.725</v>
      </c>
      <c r="BI53" s="7" t="n">
        <f aca="false">INT(POWER(((Constants!$G$2+$BB53+$BC53+$BD53+$BF53)*$BE53)*$BH53, 1.05))+$BA53</f>
        <v>63</v>
      </c>
      <c r="BJ53" s="7" t="n">
        <f aca="false">INT(POWER((((Constants!$G$1+$BB53+$BC53+$BD53+$BF53)*($BE53))*$BG53),IF($G53="wagon",1,1.2)))+$AZ53</f>
        <v>72</v>
      </c>
      <c r="BK53" s="22" t="n">
        <f aca="false">BI53*IF($G53="wagon",62.5,781.25)</f>
        <v>49218.75</v>
      </c>
      <c r="BL53" s="22" t="n">
        <f aca="false">BJ53*IF($G53="wagon",2.73,81.25)</f>
        <v>5850</v>
      </c>
      <c r="BV53" s="0" t="n">
        <v>8</v>
      </c>
      <c r="BW53" s="0" t="n">
        <v>165</v>
      </c>
      <c r="BY53" s="0" t="s">
        <v>118</v>
      </c>
      <c r="BZ53" s="0" t="s">
        <v>119</v>
      </c>
      <c r="CA53" s="9" t="str">
        <f aca="false">VLOOKUP(J53,Eras!$A$2:$C$10, 2, TRUE())</f>
        <v>ebr</v>
      </c>
      <c r="CB53" s="0" t="s">
        <v>262</v>
      </c>
      <c r="CC53" s="9" t="str">
        <f aca="false">CONCATENATE(CA53,"_",CB53)</f>
        <v>ebr_DMU</v>
      </c>
      <c r="CD53" s="9" t="str">
        <f aca="false">_xlfn.CONCAT(H53, "_",I53)</f>
        <v>electric_THIRD_RAIL</v>
      </c>
      <c r="CE53" s="23" t="str">
        <f aca="false" t="array" ref="CE53:CE53">IF(AN53&lt;&gt;"na", _xlfn.CONCAT("{BLACK}Length: {GOLD}", TEXT(ROUNDUP(IF(AQ53&lt;&gt;"",SUM(VALUE(_xlfn.TEXTSPLIT(AQ53, ","))), SUM(VALUE(_xlfn.TEXTSPLIT(AN53, ",")))*IF(M53, M53, 1))/16, 1),"#,##0.0"), " tiles{}"), "")</f>
        <v>{BLACK}Length: {GOLD}2.8 tiles{}</v>
      </c>
      <c r="CF53" s="9" t="str">
        <f aca="false">VLOOKUP($CD53, Constants!$M:$N, 2, FALSE())</f>
        <v>{BLACK}Powered by: {GOLD}750V DC</v>
      </c>
      <c r="CG53" s="9" t="str">
        <f aca="false">IF(AND(L53&gt;1,BN53&lt;&gt;1),_xlfn.CONCAT("{BLACK}Cars: {GOLD}", L53),"")</f>
        <v>{BLACK}Cars: {GOLD}4</v>
      </c>
      <c r="CH53" s="0" t="s">
        <v>278</v>
      </c>
      <c r="CI53" s="0" t="str">
        <f aca="false">IF($BU53="!param_no_gameplay_units","{GREEN}Included for gameplay purposes","")</f>
        <v/>
      </c>
      <c r="CJ53" s="0" t="str">
        <f aca="false">IF(BX53="buffet","{YELLOW}25% long distance bonus for consist{}",IF(BY53="DANDY","{YELLOW}Faster downhill speeds for horse-drawn trains (1 required per 2 horses){}",IF(BY53="BRAKE","{YELLOW}Speed bonus for slow wagons{}",IF(BY53="NGPassengers","{YELLOW}Preserved railway bonus: passengers pay more when hauled by old locomotives{}",IF(AND(BW53&gt;190,NOT(AND(I53="NARROW_GAUGE",BY53&lt;&gt;"PASS"))),CONCATENATE("{YELLOW}",INT((BW53-185)/1.85),"% bonus for long distance travel{}"),IF(AND(BW53&lt;180,BW53&lt;&gt;0),CONCATENATE("{YELLOW}",INT((185-BW53)/1.85),"% penalty for long distance travel{}"),""))))))</f>
        <v>{YELLOW}10% penalty for long distance travel{}</v>
      </c>
      <c r="CK53" s="0" t="str">
        <f aca="false">_xlfn.CONCAT(CF53,IF(CF53&lt;&gt;""," ",""),CG53,IF(OR(CG53&lt;&gt;"",CF53&lt;&gt;""),"{}",""),CE53,CJ53,"{SILVER}",CH53,IF(CI53&lt;&gt;"","{}{}",""),CI53)</f>
        <v>{BLACK}Powered by: {GOLD}750V DC {BLACK}Cars: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54" customFormat="false" ht="14.25" hidden="false" customHeight="false" outlineLevel="0" collapsed="false">
      <c r="A54" s="0" t="s">
        <v>279</v>
      </c>
      <c r="B54" s="0" t="s">
        <v>280</v>
      </c>
      <c r="C54" s="0" t="n">
        <v>3591</v>
      </c>
      <c r="E54" s="0" t="n">
        <v>28</v>
      </c>
      <c r="F54" s="0" t="s">
        <v>115</v>
      </c>
      <c r="G54" s="0" t="s">
        <v>219</v>
      </c>
      <c r="H54" s="0" t="s">
        <v>243</v>
      </c>
      <c r="I54" s="0" t="s">
        <v>92</v>
      </c>
      <c r="J54" s="0" t="n">
        <v>1959</v>
      </c>
      <c r="L54" s="0" t="n">
        <v>1991</v>
      </c>
      <c r="M54" s="0" t="n">
        <v>1</v>
      </c>
      <c r="N54" s="0" t="n">
        <v>460</v>
      </c>
      <c r="W54" s="0" t="n">
        <v>41</v>
      </c>
      <c r="Y54" s="0" t="n">
        <v>6</v>
      </c>
      <c r="Z54" s="0" t="n">
        <v>65</v>
      </c>
      <c r="AA54" s="3" t="n">
        <f aca="false">IF(AND(W54&gt;0,Z54&gt;0),(Z54/((W54+X54)*10)),"")</f>
        <v>0.158536585365854</v>
      </c>
      <c r="AB54" s="0" t="n">
        <v>70</v>
      </c>
      <c r="AC54" s="0" t="n">
        <f aca="false">ROUND(AB54*1.6, 0)</f>
        <v>112</v>
      </c>
      <c r="AE54" s="0" t="n">
        <v>1</v>
      </c>
      <c r="AF54" s="0" t="n">
        <v>19.66</v>
      </c>
      <c r="AG54" s="0" t="n">
        <v>19.66</v>
      </c>
      <c r="AI54" s="0" t="n">
        <v>3.77</v>
      </c>
      <c r="AJ54" s="4" t="n">
        <v>72</v>
      </c>
      <c r="AK54" s="5" t="str">
        <f aca="false">CONCATENATE(VLOOKUP(AL54, 'Voxel Sizes'!$A$2:$B$18,2,FALSE()),"x",INT(AH54*15), "x", INT(AI54*15))</f>
        <v>198x0x56</v>
      </c>
      <c r="AL54" s="5" t="n">
        <f aca="false">ROUND(15*((AG54*10)/256),0)</f>
        <v>12</v>
      </c>
      <c r="AN54" s="5" t="str">
        <f aca="false">CONCATENATE(VLOOKUP(AL54,Constants!$A$2:$C$16,IF(AM54&lt;&gt;"", 3, 2), FALSE()),IF(AM54&lt;&gt;"",CONCATENATE(",",VLOOKUP(AM54,$B:$AN,39,FALSE())),""))</f>
        <v>4,4,4</v>
      </c>
      <c r="AR54" s="0" t="s">
        <v>280</v>
      </c>
      <c r="AT54" s="0" t="n">
        <v>1</v>
      </c>
      <c r="AX54" s="0" t="n">
        <v>45</v>
      </c>
      <c r="AY54" s="5" t="n">
        <f aca="false">IF(L54&lt;&gt;"",MAX(16,(L54-J54)+8),"")</f>
        <v>40</v>
      </c>
      <c r="AZ54" s="0" t="n">
        <v>-10</v>
      </c>
      <c r="BA54" s="0" t="n">
        <v>-15</v>
      </c>
      <c r="BB54" s="7" t="n">
        <f aca="false">MIN(AB54/150, 1)*30</f>
        <v>14</v>
      </c>
      <c r="BC54" s="7" t="n">
        <f aca="false">MIN(N54/4000, 1)*20</f>
        <v>2.3</v>
      </c>
      <c r="BD54" s="7" t="n">
        <f aca="false">MIN(Z54/400,1)*20</f>
        <v>3.25</v>
      </c>
      <c r="BE54" s="21" t="n">
        <f aca="false">1-(MAX(J54-1900, 0)/750)</f>
        <v>0.921333333333333</v>
      </c>
      <c r="BF54" s="7" t="n">
        <f aca="false">((MAX($M54,1)*MIN($AJ54/300,1)))*IF(G54="Wagon",50,10)</f>
        <v>2.4</v>
      </c>
      <c r="BG54" s="7" t="n">
        <f aca="false">VLOOKUP($H54,Constants!$I:$K, 2, FALSE())</f>
        <v>1</v>
      </c>
      <c r="BH54" s="7" t="n">
        <f aca="false">VLOOKUP($H54,Constants!$I:$K, 3, FALSE())*IF(AND(G54="multiple_unit",AB54&lt;110),0.75,1)</f>
        <v>1.5</v>
      </c>
      <c r="BI54" s="7" t="n">
        <f aca="false">INT(POWER(((Constants!$G$2+$BB54+$BC54+$BD54+$BF54)*$BE54)*$BH54, 1.05))+$BA54</f>
        <v>29</v>
      </c>
      <c r="BJ54" s="7" t="n">
        <f aca="false">INT(POWER((((Constants!$G$1+$BB54+$BC54+$BD54+$BF54)*($BE54))*$BG54),IF($G54="wagon",1,1.2)))+$AZ54</f>
        <v>58</v>
      </c>
      <c r="BK54" s="22" t="n">
        <f aca="false">BI54*IF($G54="wagon",62.5,781.25)</f>
        <v>22656.25</v>
      </c>
      <c r="BL54" s="22" t="n">
        <f aca="false">BJ54*IF($G54="wagon",2.73,81.25)</f>
        <v>4712.5</v>
      </c>
      <c r="BV54" s="0" t="n">
        <v>4</v>
      </c>
      <c r="BW54" s="0" t="n">
        <v>185</v>
      </c>
      <c r="BZ54" s="0" t="s">
        <v>139</v>
      </c>
      <c r="CA54" s="9" t="str">
        <f aca="false">VLOOKUP(J54,Eras!$A$2:$C$10, 2, TRUE())</f>
        <v>dsl</v>
      </c>
      <c r="CB54" s="0" t="s">
        <v>262</v>
      </c>
      <c r="CC54" s="9" t="str">
        <f aca="false">CONCATENATE(CA54,"_",CB54)</f>
        <v>dsl_DMU</v>
      </c>
      <c r="CD54" s="9" t="str">
        <f aca="false">_xlfn.CONCAT(H54, "_",I54)</f>
        <v>diesel_RAIL</v>
      </c>
      <c r="CE54" s="23" t="str">
        <f aca="false" t="array" ref="CE54:CE54">IF(AN54&lt;&gt;"na", _xlfn.CONCAT("{BLACK}Length: {GOLD}", TEXT(ROUNDUP(IF(AQ54&lt;&gt;"",SUM(VALUE(_xlfn.TEXTSPLIT(AQ54, ","))), SUM(VALUE(_xlfn.TEXTSPLIT(AN54, ",")))*IF(M54, M54, 1))/16, 1),"#,##0.0"), " tiles{}"), "")</f>
        <v>{BLACK}Length: {GOLD}0.8 tiles{}</v>
      </c>
      <c r="CF54" s="9" t="str">
        <f aca="false">VLOOKUP($CD54, Constants!$M:$N, 2, FALSE())</f>
        <v>{BLACK}Powered by: {GOLD}Diesel</v>
      </c>
      <c r="CG54" s="9" t="str">
        <f aca="false">IF(AND(L54&gt;1,BN54&lt;&gt;1),_xlfn.CONCAT("{BLACK}Cars: {GOLD}", L54),"")</f>
        <v/>
      </c>
      <c r="CH54" s="0" t="s">
        <v>281</v>
      </c>
      <c r="CI54" s="0" t="str">
        <f aca="false">IF($BU54="!param_no_gameplay_units","{GREEN}Included for gameplay purposes","")</f>
        <v/>
      </c>
      <c r="CJ54" s="0" t="str">
        <f aca="false">IF(BX54="buffet","{YELLOW}25% long distance bonus for consist{}",IF(BY54="DANDY","{YELLOW}Faster downhill speeds for horse-drawn trains (1 required per 2 horses){}",IF(BY54="BRAKE","{YELLOW}Speed bonus for slow wagons{}",IF(BY54="NGPassengers","{YELLOW}Preserved railway bonus: passengers pay more when hauled by old locomotives{}",IF(AND(BW54&gt;190,NOT(AND(I54="NARROW_GAUGE",BY54&lt;&gt;"PASS"))),CONCATENATE("{YELLOW}",INT((BW54-185)/1.85),"% bonus for long distance travel{}"),IF(AND(BW54&lt;180,BW54&lt;&gt;0),CONCATENATE("{YELLOW}",INT((185-BW54)/1.85),"% penalty for long distance travel{}"),""))))))</f>
        <v/>
      </c>
      <c r="CK54" s="0" t="str">
        <f aca="false">_xlfn.CONCAT(CF54,IF(CF54&lt;&gt;""," ",""),CG54,IF(OR(CG54&lt;&gt;"",CF54&lt;&gt;""),"{}",""),CE54,CJ54,"{SILVER}",CH54,IF(CI54&lt;&gt;"","{}{}",""),CI54)</f>
        <v>{BLACK}Powered by: {GOLD}Diesel {}{BLACK}Length: {GOLD}0.8 tiles{}{SILVER}The Class 128 was built specifically for carrying parcels by the Gloucester Railway Carriage and Wagon Company.</v>
      </c>
    </row>
    <row r="55" customFormat="false" ht="14.25" hidden="false" customHeight="false" outlineLevel="0" collapsed="false">
      <c r="A55" s="0" t="s">
        <v>282</v>
      </c>
      <c r="B55" s="0" t="s">
        <v>283</v>
      </c>
      <c r="C55" s="0" t="n">
        <v>4051</v>
      </c>
      <c r="E55" s="0" t="n">
        <v>29</v>
      </c>
      <c r="F55" s="0" t="s">
        <v>115</v>
      </c>
      <c r="G55" s="0" t="s">
        <v>219</v>
      </c>
      <c r="H55" s="0" t="s">
        <v>243</v>
      </c>
      <c r="I55" s="0" t="s">
        <v>92</v>
      </c>
      <c r="J55" s="0" t="n">
        <v>2005</v>
      </c>
      <c r="K55" s="0" t="n">
        <v>2006</v>
      </c>
      <c r="M55" s="0" t="n">
        <v>3</v>
      </c>
      <c r="N55" s="0" t="n">
        <f aca="false">750*3</f>
        <v>2250</v>
      </c>
      <c r="W55" s="0" t="n">
        <v>169</v>
      </c>
      <c r="Y55" s="0" t="n">
        <v>5</v>
      </c>
      <c r="Z55" s="0" t="n">
        <v>185</v>
      </c>
      <c r="AA55" s="3" t="n">
        <f aca="false">IF(AND(W55&gt;0,Z55&gt;0),(Z55/((W55+X55)*10)),"")</f>
        <v>0.109467455621302</v>
      </c>
      <c r="AB55" s="0" t="n">
        <v>100</v>
      </c>
      <c r="AC55" s="0" t="n">
        <f aca="false">ROUND(AB55*1.6, 0)</f>
        <v>160</v>
      </c>
      <c r="AF55" s="0" t="n">
        <v>20.4</v>
      </c>
      <c r="AG55" s="0" t="n">
        <v>20.4</v>
      </c>
      <c r="AH55" s="0" t="n">
        <v>2.8</v>
      </c>
      <c r="AJ55" s="4" t="n">
        <v>60</v>
      </c>
      <c r="AK55" s="5" t="str">
        <f aca="false">CONCATENATE(VLOOKUP(AL55, 'Voxel Sizes'!$A$2:$B$18,2,FALSE()),"x",INT(AH55*15), "x", INT(AI55*15))</f>
        <v>198x42x0</v>
      </c>
      <c r="AL55" s="5" t="n">
        <f aca="false">ROUND(15*((AG55*10)/256),0)</f>
        <v>12</v>
      </c>
      <c r="AN55" s="5" t="str">
        <f aca="false">CONCATENATE(VLOOKUP(AL55,Constants!$A$2:$C$16,IF(AM55&lt;&gt;"", 3, 2), FALSE()),IF(AM55&lt;&gt;"",CONCATENATE(",",VLOOKUP(AM55,$B:$AN,39,FALSE())),""))</f>
        <v>4,4,4</v>
      </c>
      <c r="AO55" s="0" t="n">
        <v>4</v>
      </c>
      <c r="AR55" s="0" t="s">
        <v>284</v>
      </c>
      <c r="AT55" s="0" t="s">
        <v>221</v>
      </c>
      <c r="AX55" s="0" t="n">
        <v>28</v>
      </c>
      <c r="AY55" s="5" t="str">
        <f aca="false">IF(L55&lt;&gt;"",MAX(16,(L55-J55)+8),"")</f>
        <v/>
      </c>
      <c r="AZ55" s="0" t="n">
        <v>-12</v>
      </c>
      <c r="BA55" s="0" t="n">
        <v>-30</v>
      </c>
      <c r="BB55" s="7" t="n">
        <f aca="false">MIN(AB55/150, 1)*30</f>
        <v>20</v>
      </c>
      <c r="BC55" s="7" t="n">
        <f aca="false">MIN(N55/4000, 1)*20</f>
        <v>11.25</v>
      </c>
      <c r="BD55" s="7" t="n">
        <f aca="false">MIN(Z55/400,1)*20</f>
        <v>9.25</v>
      </c>
      <c r="BE55" s="21" t="n">
        <f aca="false">1-(MAX(J55-1900, 0)/750)</f>
        <v>0.86</v>
      </c>
      <c r="BF55" s="7" t="n">
        <f aca="false">((MAX($M55,1)*MIN($AJ55/300,1)))*IF(G55="Wagon",50,10)</f>
        <v>6</v>
      </c>
      <c r="BG55" s="7" t="n">
        <f aca="false">VLOOKUP($H55,Constants!$I:$K, 2, FALSE())</f>
        <v>1</v>
      </c>
      <c r="BH55" s="7" t="n">
        <f aca="false">VLOOKUP($H55,Constants!$I:$K, 3, FALSE())*IF(AND(G55="multiple_unit",AB55&lt;110),0.75,1)</f>
        <v>1.5</v>
      </c>
      <c r="BI55" s="7" t="n">
        <f aca="false">INT(POWER(((Constants!$G$2+$BB55+$BC55+$BD55+$BF55)*$BE55)*$BH55, 1.05))+$BA55</f>
        <v>51</v>
      </c>
      <c r="BJ55" s="7" t="n">
        <f aca="false">INT(POWER((((Constants!$G$1+$BB55+$BC55+$BD55+$BF55)*($BE55))*$BG55),IF($G55="wagon",1,1.2)))+$AZ55</f>
        <v>104</v>
      </c>
      <c r="BK55" s="22" t="n">
        <f aca="false">BI55*IF($G55="wagon",62.5,781.25)</f>
        <v>39843.75</v>
      </c>
      <c r="BL55" s="22" t="n">
        <f aca="false">BJ55*IF($G55="wagon",2.73,81.25)</f>
        <v>8450</v>
      </c>
      <c r="BV55" s="0" t="n">
        <v>3</v>
      </c>
      <c r="BW55" s="0" t="n">
        <v>185</v>
      </c>
      <c r="BY55" s="0" t="s">
        <v>118</v>
      </c>
      <c r="BZ55" s="0" t="s">
        <v>119</v>
      </c>
      <c r="CA55" s="9" t="str">
        <f aca="false">VLOOKUP(J55,Eras!$A$2:$C$10, 2, TRUE())</f>
        <v>mod</v>
      </c>
      <c r="CB55" s="0" t="s">
        <v>285</v>
      </c>
      <c r="CC55" s="9" t="str">
        <f aca="false">CONCATENATE(CA55,"_",CB55)</f>
        <v>mod_EMU</v>
      </c>
      <c r="CD55" s="9" t="str">
        <f aca="false">_xlfn.CONCAT(H55, "_",I55)</f>
        <v>diesel_RAIL</v>
      </c>
      <c r="CE55" s="23" t="str">
        <f aca="false" t="array" ref="CE55:CE55">IF(AN55&lt;&gt;"na", _xlfn.CONCAT("{BLACK}Length: {GOLD}", TEXT(ROUNDUP(IF(AQ55&lt;&gt;"",SUM(VALUE(_xlfn.TEXTSPLIT(AQ55, ","))), SUM(VALUE(_xlfn.TEXTSPLIT(AN55, ",")))*IF(M55, M55, 1))/16, 1),"#,##0.0"), " tiles{}"), "")</f>
        <v>{BLACK}Length: {GOLD}2.3 tiles{}</v>
      </c>
      <c r="CF55" s="9" t="str">
        <f aca="false">VLOOKUP($CD55, Constants!$M:$N, 2, FALSE())</f>
        <v>{BLACK}Powered by: {GOLD}Diesel</v>
      </c>
      <c r="CG55" s="9" t="str">
        <f aca="false">IF(AND(L55&gt;1,BN55&lt;&gt;1),_xlfn.CONCAT("{BLACK}Cars: {GOLD}", L55),"")</f>
        <v>{BLACK}Cars: {GOLD}3</v>
      </c>
      <c r="CH55" s="0" t="s">
        <v>286</v>
      </c>
      <c r="CI55" s="0" t="str">
        <f aca="false">IF($BU55="!param_no_gameplay_units","{GREEN}Included for gameplay purposes","")</f>
        <v/>
      </c>
      <c r="CJ55" s="0" t="str">
        <f aca="false">IF(BX55="buffet","{YELLOW}25% long distance bonus for consist{}",IF(BY55="DANDY","{YELLOW}Faster downhill speeds for horse-drawn trains (1 required per 2 horses){}",IF(BY55="BRAKE","{YELLOW}Speed bonus for slow wagons{}",IF(BY55="NGPassengers","{YELLOW}Preserved railway bonus: passengers pay more when hauled by old locomotives{}",IF(AND(BW55&gt;190,NOT(AND(I55="NARROW_GAUGE",BY55&lt;&gt;"PASS"))),CONCATENATE("{YELLOW}",INT((BW55-185)/1.85),"% bonus for long distance travel{}"),IF(AND(BW55&lt;180,BW55&lt;&gt;0),CONCATENATE("{YELLOW}",INT((185-BW55)/1.85),"% penalty for long distance travel{}"),""))))))</f>
        <v/>
      </c>
      <c r="CK55" s="0" t="str">
        <f aca="false">_xlfn.CONCAT(CF55,IF(CF55&lt;&gt;""," ",""),CG55,IF(OR(CG55&lt;&gt;"",CF55&lt;&gt;""),"{}",""),CE55,CJ55,"{SILVER}",CH55,IF(CI55&lt;&gt;"","{}{}",""),CI55)</f>
        <v>{BLACK}Powered by: {GOLD}Diesel {BLACK}Cars: {GOLD}3{}{BLACK}Length: {GOLD}2.3 tiles{}{SILVER}The Class 185 is a diesel version of the Siemens Desiro family. Each car has its own 6 cylinder engine, giving the unit high acceleration.</v>
      </c>
    </row>
    <row r="56" customFormat="false" ht="14.25" hidden="false" customHeight="false" outlineLevel="0" collapsed="false">
      <c r="A56" s="0" t="s">
        <v>287</v>
      </c>
      <c r="B56" s="0" t="s">
        <v>288</v>
      </c>
      <c r="C56" s="0" t="n">
        <v>4231</v>
      </c>
      <c r="E56" s="0" t="n">
        <v>30</v>
      </c>
      <c r="F56" s="0" t="s">
        <v>115</v>
      </c>
      <c r="G56" s="0" t="s">
        <v>219</v>
      </c>
      <c r="H56" s="0" t="s">
        <v>274</v>
      </c>
      <c r="I56" s="0" t="s">
        <v>289</v>
      </c>
      <c r="J56" s="0" t="n">
        <v>2023</v>
      </c>
      <c r="M56" s="0" t="n">
        <v>5</v>
      </c>
      <c r="N56" s="0" t="n">
        <v>1800</v>
      </c>
      <c r="W56" s="0" t="n">
        <v>250</v>
      </c>
      <c r="Y56" s="0" t="n">
        <v>5</v>
      </c>
      <c r="Z56" s="0" t="n">
        <v>190</v>
      </c>
      <c r="AA56" s="3" t="n">
        <f aca="false">IF(AND(W56&gt;0,Z56&gt;0),(Z56/((W56+X56)*10)),"")</f>
        <v>0.076</v>
      </c>
      <c r="AB56" s="0" t="n">
        <v>110</v>
      </c>
      <c r="AC56" s="0" t="n">
        <f aca="false">ROUND(AB56*1.6, 0)</f>
        <v>176</v>
      </c>
      <c r="AF56" s="0" t="n">
        <v>22.7</v>
      </c>
      <c r="AG56" s="0" t="n">
        <v>22.7</v>
      </c>
      <c r="AJ56" s="4" t="n">
        <v>81</v>
      </c>
      <c r="AK56" s="5" t="str">
        <f aca="false">CONCATENATE(VLOOKUP(AL56, 'Voxel Sizes'!$A$2:$B$18,2,FALSE()),"x",INT(AH56*15), "x", INT(AI56*15))</f>
        <v>214x0x0</v>
      </c>
      <c r="AL56" s="5" t="n">
        <f aca="false">ROUND(15*((AG56*10)/256),0)</f>
        <v>13</v>
      </c>
      <c r="AN56" s="5" t="str">
        <f aca="false">CONCATENATE(VLOOKUP(AL56,Constants!$A$2:$C$16,IF(AM56&lt;&gt;"", 3, 2), FALSE()),IF(AM56&lt;&gt;"",CONCATENATE(",",VLOOKUP(AM56,$B:$AN,39,FALSE())),""))</f>
        <v>4,5,4</v>
      </c>
      <c r="AO56" s="0" t="n">
        <v>4</v>
      </c>
      <c r="AR56" s="0" t="s">
        <v>290</v>
      </c>
      <c r="AT56" s="0" t="s">
        <v>291</v>
      </c>
      <c r="AX56" s="0" t="n">
        <v>31</v>
      </c>
      <c r="AY56" s="5" t="str">
        <f aca="false">IF(L56&lt;&gt;"",MAX(16,(L56-J56)+8),"")</f>
        <v/>
      </c>
      <c r="AZ56" s="0" t="n">
        <v>-12</v>
      </c>
      <c r="BA56" s="0" t="n">
        <v>-30</v>
      </c>
      <c r="BB56" s="7" t="n">
        <f aca="false">MIN(AB56/150, 1)*30</f>
        <v>22</v>
      </c>
      <c r="BC56" s="7" t="n">
        <f aca="false">MIN(N56/4000, 1)*20</f>
        <v>9</v>
      </c>
      <c r="BD56" s="7" t="n">
        <f aca="false">MIN(Z56/400,1)*20</f>
        <v>9.5</v>
      </c>
      <c r="BE56" s="21" t="n">
        <f aca="false">1-(MAX(J56-1900, 0)/750)</f>
        <v>0.836</v>
      </c>
      <c r="BF56" s="7" t="n">
        <f aca="false">((MAX($M56,1)*MIN($AJ56/300,1)))*IF(G56="Wagon",50,10)</f>
        <v>13.5</v>
      </c>
      <c r="BG56" s="7" t="n">
        <f aca="false">VLOOKUP($H56,Constants!$I:$K, 2, FALSE())</f>
        <v>0.85</v>
      </c>
      <c r="BH56" s="7" t="n">
        <f aca="false">VLOOKUP($H56,Constants!$I:$K, 3, FALSE())*IF(AND(G56="multiple_unit",AB56&lt;110),0.75,1)</f>
        <v>2.3</v>
      </c>
      <c r="BI56" s="7" t="n">
        <f aca="false">INT(POWER(((Constants!$G$2+$BB56+$BC56+$BD56+$BF56)*$BE56)*$BH56, 1.05))+$BA56</f>
        <v>113</v>
      </c>
      <c r="BJ56" s="7" t="n">
        <f aca="false">INT(POWER((((Constants!$G$1+$BB56+$BC56+$BD56+$BF56)*($BE56))*$BG56),IF($G56="wagon",1,1.2)))+$AZ56</f>
        <v>94</v>
      </c>
      <c r="BK56" s="22" t="n">
        <f aca="false">BI56*IF($G56="wagon",62.5,781.25)</f>
        <v>88281.25</v>
      </c>
      <c r="BL56" s="22" t="n">
        <f aca="false">BJ56*IF($G56="wagon",2.73,81.25)</f>
        <v>7637.5</v>
      </c>
      <c r="BV56" s="0" t="n">
        <v>11</v>
      </c>
      <c r="BW56" s="0" t="n">
        <v>185</v>
      </c>
      <c r="BY56" s="0" t="s">
        <v>118</v>
      </c>
      <c r="BZ56" s="0" t="s">
        <v>119</v>
      </c>
      <c r="CA56" s="9" t="str">
        <f aca="false">VLOOKUP(J56,Eras!$A$2:$C$10, 2, TRUE())</f>
        <v>mod</v>
      </c>
      <c r="CB56" s="0" t="s">
        <v>285</v>
      </c>
      <c r="CC56" s="9" t="str">
        <f aca="false">CONCATENATE(CA56,"_",CB56)</f>
        <v>mod_EMU</v>
      </c>
      <c r="CD56" s="9" t="str">
        <f aca="false">_xlfn.CONCAT(H56, "_",I56)</f>
        <v>electric_ELRL</v>
      </c>
      <c r="CE56" s="23" t="str">
        <f aca="false" t="array" ref="CE56:CE56">IF(AN56&lt;&gt;"na", _xlfn.CONCAT("{BLACK}Length: {GOLD}", TEXT(ROUNDUP(IF(AQ56&lt;&gt;"",SUM(VALUE(_xlfn.TEXTSPLIT(AQ56, ","))), SUM(VALUE(_xlfn.TEXTSPLIT(AN56, ",")))*IF(M56, M56, 1))/16, 1),"#,##0.0"), " tiles{}"), "")</f>
        <v>{BLACK}Length: {GOLD}4.1 tiles{}</v>
      </c>
      <c r="CF56" s="9" t="str">
        <f aca="false">VLOOKUP($CD56, Constants!$M:$N, 2, FALSE())</f>
        <v>{BLACK}Powered by: {GOLD}25kV AC</v>
      </c>
      <c r="CG56" s="9" t="str">
        <f aca="false">IF(AND(L56&gt;1,BN56&lt;&gt;1),_xlfn.CONCAT("{BLACK}Cars: {GOLD}", L56),"")</f>
        <v>{BLACK}Cars: {GOLD}5</v>
      </c>
      <c r="CH56" s="0" t="s">
        <v>292</v>
      </c>
      <c r="CI56" s="0" t="str">
        <f aca="false">IF($BU56="!param_no_gameplay_units","{GREEN}Included for gameplay purposes","")</f>
        <v/>
      </c>
      <c r="CJ56" s="0" t="str">
        <f aca="false">IF(BX56="buffet","{YELLOW}25% long distance bonus for consist{}",IF(BY56="DANDY","{YELLOW}Faster downhill speeds for horse-drawn trains (1 required per 2 horses){}",IF(BY56="BRAKE","{YELLOW}Speed bonus for slow wagons{}",IF(BY56="NGPassengers","{YELLOW}Preserved railway bonus: passengers pay more when hauled by old locomotives{}",IF(AND(BW56&gt;190,NOT(AND(I56="NARROW_GAUGE",BY56&lt;&gt;"PASS"))),CONCATENATE("{YELLOW}",INT((BW56-185)/1.85),"% bonus for long distance travel{}"),IF(AND(BW56&lt;180,BW56&lt;&gt;0),CONCATENATE("{YELLOW}",INT((185-BW56)/1.85),"% penalty for long distance travel{}"),""))))))</f>
        <v/>
      </c>
      <c r="CK56" s="0" t="str">
        <f aca="false">_xlfn.CONCAT(CF56,IF(CF56&lt;&gt;""," ",""),CG56,IF(OR(CG56&lt;&gt;"",CF56&lt;&gt;""),"{}",""),CE56,CJ56,"{SILVER}",CH56,IF(CI56&lt;&gt;"","{}{}",""),CI56)</f>
        <v>{BLACK}Powered by: {GOLD}25kV AC {BLACK}Cars: {GOLD}5{}{BLACK}Length: {GOLD}4.1 tiles{}{SILVER}The 730/2 is the longer and faster variant of the Class 730 units built for West Midlands Trains, serving on their London Northwestern Railway routes over the West Coast Main Line.</v>
      </c>
    </row>
    <row r="57" customFormat="false" ht="14.25" hidden="false" customHeight="false" outlineLevel="0" collapsed="false">
      <c r="A57" s="0" t="s">
        <v>293</v>
      </c>
      <c r="B57" s="0" t="s">
        <v>294</v>
      </c>
      <c r="C57" s="0" t="n">
        <v>706</v>
      </c>
      <c r="E57" s="0" t="n">
        <v>-1</v>
      </c>
      <c r="G57" s="0" t="s">
        <v>188</v>
      </c>
      <c r="H57" s="0" t="s">
        <v>295</v>
      </c>
      <c r="I57" s="0" t="s">
        <v>92</v>
      </c>
      <c r="AA57" s="3" t="str">
        <f aca="false">IF(AND(W57&gt;0,Z57&gt;0),(Z57/((W57+X57)*10)),"")</f>
        <v/>
      </c>
      <c r="AC57" s="0" t="n">
        <f aca="false">ROUND(AB57*1.6, 0)</f>
        <v>0</v>
      </c>
      <c r="AK57" s="5" t="s">
        <v>198</v>
      </c>
      <c r="AL57" s="5" t="n">
        <f aca="false">ROUND(15*((AG57*10)/256),0)</f>
        <v>0</v>
      </c>
      <c r="AN57" s="5" t="str">
        <f aca="false">CONCATENATE(VLOOKUP(AL57,Constants!$A$2:$C$16,IF(AM57&lt;&gt;"", 3, 2), FALSE()),IF(AM57&lt;&gt;"",CONCATENATE(",",VLOOKUP(AM57,$B:$AN,39,FALSE())),""))</f>
        <v>na</v>
      </c>
      <c r="AX57" s="0" t="n">
        <v>30</v>
      </c>
      <c r="AY57" s="5" t="str">
        <f aca="false">IF(L57&lt;&gt;"",MAX(16,(L57-J57)+8),"")</f>
        <v/>
      </c>
      <c r="BB57" s="7" t="n">
        <f aca="false">MIN(AB57/150, 1)*30</f>
        <v>0</v>
      </c>
      <c r="BC57" s="7" t="n">
        <f aca="false">MIN(N57/4000, 1)*20</f>
        <v>0</v>
      </c>
      <c r="BD57" s="7" t="n">
        <f aca="false">MIN(Z57/400,1)*20</f>
        <v>0</v>
      </c>
      <c r="BE57" s="3" t="n">
        <f aca="false">1-(MAX(J57-1900, 0)/750)</f>
        <v>1</v>
      </c>
      <c r="BF57" s="7" t="n">
        <f aca="false">((MAX($M57,1)*MIN($AJ57/300,1)))*IF(G57="Wagon",50,10)</f>
        <v>0</v>
      </c>
      <c r="BG57" s="7" t="n">
        <v>0.9</v>
      </c>
      <c r="BH57" s="7" t="n">
        <v>1.6</v>
      </c>
      <c r="BI57" s="7" t="n">
        <v>8</v>
      </c>
      <c r="BJ57" s="7" t="n">
        <v>22</v>
      </c>
      <c r="BK57" s="24" t="n">
        <f aca="false">BI57*IF($G57="wagon",62.5,781.25)</f>
        <v>6250</v>
      </c>
      <c r="BL57" s="24" t="n">
        <f aca="false">BJ57*IF($G57="wagon",2.73,81.25)</f>
        <v>1787.5</v>
      </c>
      <c r="BV57" s="0" t="n">
        <v>4</v>
      </c>
      <c r="CA57" s="9" t="s">
        <v>244</v>
      </c>
      <c r="CC57" s="9" t="str">
        <f aca="false">CONCATENATE(CA57,"_",CB57)</f>
        <v>dsl_</v>
      </c>
      <c r="CD57" s="9" t="str">
        <f aca="false">_xlfn.CONCAT(H57, "_",I57)</f>
        <v>tube_RAIL</v>
      </c>
      <c r="CE57" s="23" t="str">
        <f aca="false" t="array" ref="CE57:CE57">IF(AN57&lt;&gt;"na", _xlfn.CONCAT("{BLACK}Length: {GOLD}", TEXT(ROUNDUP(IF(AQ57&lt;&gt;"",SUM(VALUE(_xlfn.TEXTSPLIT(AQ57, ","))), SUM(VALUE(_xlfn.TEXTSPLIT(AN57, ",")))*IF(M57, M57, 1))/16, 1),"#,##0.0"), " tiles{}"), "")</f>
        <v/>
      </c>
      <c r="CF57" s="9" t="str">
        <f aca="false">VLOOKUP($CD57, Constants!$M:$N, 2, FALSE())</f>
        <v/>
      </c>
      <c r="CG57" s="9" t="str">
        <f aca="false">IF(AND(L57&gt;1,BN57&lt;&gt;1),_xlfn.CONCAT("{BLACK}Cars: {GOLD}", L57),"")</f>
        <v/>
      </c>
      <c r="CI57" s="0" t="str">
        <f aca="false">IF($BU57="!param_no_gameplay_units","{GREEN}Included for gameplay purposes","")</f>
        <v/>
      </c>
      <c r="CJ57" s="0" t="str">
        <f aca="false">IF(BX57="buffet","{YELLOW}25% long distance bonus for consist{}",IF(BY57="DANDY","{YELLOW}Faster downhill speeds for horse-drawn trains (1 required per 2 horses){}",IF(BY57="BRAKE","{YELLOW}Speed bonus for slow wagons{}",IF(BY57="NGPassengers","{YELLOW}Preserved railway bonus: passengers pay more when hauled by old locomotives{}",IF(AND(BW57&gt;190,NOT(AND(I57="NARROW_GAUGE",BY57&lt;&gt;"PASS"))),CONCATENATE("{YELLOW}",INT((BW57-185)/1.85),"% bonus for long distance travel{}"),IF(AND(BW57&lt;180,BW57&lt;&gt;0),CONCATENATE("{YELLOW}",INT((185-BW57)/1.85),"% penalty for long distance travel{}"),""))))))</f>
        <v/>
      </c>
      <c r="CK57" s="0" t="str">
        <f aca="false">_xlfn.CONCAT(CF57,IF(CF57&lt;&gt;""," ",""),CG57,IF(OR(CG57&lt;&gt;"",CF57&lt;&gt;""),"{}",""),CE57,CJ57,"{SILVER}",CH57,IF(CI57&lt;&gt;"","{}{}",""),CI57)</f>
        <v>{SILVER}</v>
      </c>
    </row>
    <row r="58" customFormat="false" ht="14.25" hidden="false" customHeight="false" outlineLevel="0" collapsed="false">
      <c r="A58" s="0" t="s">
        <v>296</v>
      </c>
      <c r="B58" s="0" t="s">
        <v>297</v>
      </c>
      <c r="C58" s="0" t="n">
        <v>710</v>
      </c>
      <c r="E58" s="0" t="n">
        <v>-1</v>
      </c>
      <c r="G58" s="0" t="s">
        <v>188</v>
      </c>
      <c r="H58" s="0" t="s">
        <v>295</v>
      </c>
      <c r="I58" s="0" t="s">
        <v>92</v>
      </c>
      <c r="AA58" s="3" t="str">
        <f aca="false">IF(AND(W58&gt;0,Z58&gt;0),(Z58/((W58+X58)*10)),"")</f>
        <v/>
      </c>
      <c r="AC58" s="0" t="n">
        <f aca="false">ROUND(AB58*1.6, 0)</f>
        <v>0</v>
      </c>
      <c r="AK58" s="5" t="s">
        <v>198</v>
      </c>
      <c r="AL58" s="5" t="n">
        <f aca="false">ROUND(15*((AG58*10)/256),0)</f>
        <v>0</v>
      </c>
      <c r="AN58" s="5" t="str">
        <f aca="false">CONCATENATE(VLOOKUP(AL58,Constants!$A$2:$C$16,IF(AM58&lt;&gt;"", 3, 2), FALSE()),IF(AM58&lt;&gt;"",CONCATENATE(",",VLOOKUP(AM58,$B:$AN,39,FALSE())),""))</f>
        <v>na</v>
      </c>
      <c r="AX58" s="0" t="n">
        <v>30</v>
      </c>
      <c r="AY58" s="5" t="str">
        <f aca="false">IF(L58&lt;&gt;"",MAX(16,(L58-J58)+8),"")</f>
        <v/>
      </c>
      <c r="BB58" s="7" t="n">
        <f aca="false">MIN(AB58/150, 1)*30</f>
        <v>0</v>
      </c>
      <c r="BC58" s="7" t="n">
        <f aca="false">MIN(N58/4000, 1)*20</f>
        <v>0</v>
      </c>
      <c r="BD58" s="7" t="n">
        <f aca="false">MIN(Z58/400,1)*20</f>
        <v>0</v>
      </c>
      <c r="BE58" s="3" t="n">
        <f aca="false">1-(MAX(J58-1900, 0)/750)</f>
        <v>1</v>
      </c>
      <c r="BF58" s="7" t="n">
        <f aca="false">((MAX($M58,1)*MIN($AJ58/300,1)))*IF(G58="Wagon",50,10)</f>
        <v>0</v>
      </c>
      <c r="BG58" s="7" t="n">
        <v>0.9</v>
      </c>
      <c r="BH58" s="7" t="n">
        <v>1.6</v>
      </c>
      <c r="BI58" s="7" t="n">
        <v>8</v>
      </c>
      <c r="BJ58" s="7" t="n">
        <v>22</v>
      </c>
      <c r="BK58" s="24" t="n">
        <f aca="false">BI58*IF($G58="wagon",62.5,781.25)</f>
        <v>6250</v>
      </c>
      <c r="BL58" s="24" t="n">
        <f aca="false">BJ58*IF($G58="wagon",2.73,81.25)</f>
        <v>1787.5</v>
      </c>
      <c r="BV58" s="0" t="n">
        <v>6</v>
      </c>
      <c r="BW58" s="0" t="n">
        <v>120</v>
      </c>
      <c r="CA58" s="9" t="s">
        <v>190</v>
      </c>
      <c r="CB58" s="0" t="s">
        <v>298</v>
      </c>
      <c r="CC58" s="9" t="str">
        <f aca="false">CONCATENATE(CA58,"_",CB58)</f>
        <v>vct_LU</v>
      </c>
      <c r="CD58" s="9" t="str">
        <f aca="false">_xlfn.CONCAT(H58, "_",I58)</f>
        <v>tube_RAIL</v>
      </c>
      <c r="CE58" s="23" t="str">
        <f aca="false" t="array" ref="CE58:CE58">IF(AN58&lt;&gt;"na", _xlfn.CONCAT("{BLACK}Length: {GOLD}", TEXT(ROUNDUP(IF(AQ58&lt;&gt;"",SUM(VALUE(_xlfn.TEXTSPLIT(AQ58, ","))), SUM(VALUE(_xlfn.TEXTSPLIT(AN58, ",")))*IF(M58, M58, 1))/16, 1),"#,##0.0"), " tiles{}"), "")</f>
        <v/>
      </c>
      <c r="CF58" s="9" t="str">
        <f aca="false">VLOOKUP($CD58, Constants!$M:$N, 2, FALSE())</f>
        <v/>
      </c>
      <c r="CG58" s="9" t="str">
        <f aca="false">IF(AND(L58&gt;1,BN58&lt;&gt;1),_xlfn.CONCAT("{BLACK}Cars: {GOLD}", L58),"")</f>
        <v/>
      </c>
      <c r="CI58" s="0" t="str">
        <f aca="false">IF($BU58="!param_no_gameplay_units","{GREEN}Included for gameplay purposes","")</f>
        <v/>
      </c>
      <c r="CJ58" s="0" t="str">
        <f aca="false">IF(BX58="buffet","{YELLOW}25% long distance bonus for consist{}",IF(BY58="DANDY","{YELLOW}Faster downhill speeds for horse-drawn trains (1 required per 2 horses){}",IF(BY58="BRAKE","{YELLOW}Speed bonus for slow wagons{}",IF(BY58="NGPassengers","{YELLOW}Preserved railway bonus: passengers pay more when hauled by old locomotives{}",IF(AND(BW58&gt;190,NOT(AND(I58="NARROW_GAUGE",BY58&lt;&gt;"PASS"))),CONCATENATE("{YELLOW}",INT((BW58-185)/1.85),"% bonus for long distance travel{}"),IF(AND(BW58&lt;180,BW58&lt;&gt;0),CONCATENATE("{YELLOW}",INT((185-BW58)/1.85),"% penalty for long distance travel{}"),""))))))</f>
        <v>{YELLOW}35% penalty for long distance travel{}</v>
      </c>
      <c r="CK58" s="0" t="str">
        <f aca="false">_xlfn.CONCAT(CF58,IF(CF58&lt;&gt;""," ",""),CG58,IF(OR(CG58&lt;&gt;"",CF58&lt;&gt;""),"{}",""),CE58,CJ58,"{SILVER}",CH58,IF(CI58&lt;&gt;"","{}{}",""),CI58)</f>
        <v>{YELLOW}35% penalty for long distance travel{}{SILVER}</v>
      </c>
    </row>
    <row r="59" customFormat="false" ht="14.25" hidden="false" customHeight="false" outlineLevel="0" collapsed="false">
      <c r="A59" s="0" t="s">
        <v>299</v>
      </c>
      <c r="B59" s="0" t="s">
        <v>300</v>
      </c>
      <c r="C59" s="0" t="n">
        <v>718</v>
      </c>
      <c r="E59" s="0" t="n">
        <v>-1</v>
      </c>
      <c r="G59" s="0" t="s">
        <v>188</v>
      </c>
      <c r="H59" s="0" t="s">
        <v>188</v>
      </c>
      <c r="I59" s="0" t="s">
        <v>275</v>
      </c>
      <c r="J59" s="0" t="n">
        <v>1893</v>
      </c>
      <c r="K59" s="0" t="n">
        <v>1896</v>
      </c>
      <c r="L59" s="0" t="n">
        <v>1956</v>
      </c>
      <c r="M59" s="0" t="n">
        <v>2</v>
      </c>
      <c r="N59" s="0" t="n">
        <v>120</v>
      </c>
      <c r="W59" s="0" t="n">
        <v>10</v>
      </c>
      <c r="Y59" s="0" t="n">
        <v>7</v>
      </c>
      <c r="Z59" s="0" t="n">
        <v>30</v>
      </c>
      <c r="AA59" s="3" t="n">
        <f aca="false">IF(AND(W59&gt;0,Z59&gt;0),(Z59/((W59+X59)*10)),"")</f>
        <v>0.3</v>
      </c>
      <c r="AB59" s="0" t="n">
        <v>35</v>
      </c>
      <c r="AC59" s="0" t="n">
        <f aca="false">ROUND(AB59*1.6, 0)</f>
        <v>56</v>
      </c>
      <c r="AF59" s="0" t="n">
        <v>14</v>
      </c>
      <c r="AG59" s="0" t="n">
        <v>14</v>
      </c>
      <c r="AH59" s="0" t="n">
        <v>2.59</v>
      </c>
      <c r="AJ59" s="4" t="n">
        <f aca="false">41+16</f>
        <v>57</v>
      </c>
      <c r="AK59" s="5" t="s">
        <v>301</v>
      </c>
      <c r="AL59" s="5" t="n">
        <f aca="false">ROUND(15*((AG59*10)/256),0)</f>
        <v>8</v>
      </c>
      <c r="AN59" s="5" t="str">
        <f aca="false">CONCATENATE(VLOOKUP(AL59,Constants!$A$2:$C$16,IF(AM59&lt;&gt;"", 3, 2), FALSE()),IF(AM59&lt;&gt;"",CONCATENATE(",",VLOOKUP(AM59,$B:$AN,39,FALSE())),""))</f>
        <v>2,4,2</v>
      </c>
      <c r="AR59" s="0" t="s">
        <v>302</v>
      </c>
      <c r="AT59" s="0" t="s">
        <v>266</v>
      </c>
      <c r="AX59" s="0" t="n">
        <v>25</v>
      </c>
      <c r="AY59" s="5" t="n">
        <f aca="false">IF(L59&lt;&gt;"",MAX(16,(L59-J59)+8),"")</f>
        <v>71</v>
      </c>
      <c r="BB59" s="7" t="n">
        <f aca="false">MIN(AB59/150, 1)*30</f>
        <v>7</v>
      </c>
      <c r="BC59" s="7" t="n">
        <f aca="false">MIN(N59/4000, 1)*20</f>
        <v>0.6</v>
      </c>
      <c r="BD59" s="7" t="n">
        <f aca="false">MIN(Z59/400,1)*20</f>
        <v>1.5</v>
      </c>
      <c r="BE59" s="3" t="n">
        <f aca="false">1-(MAX(J59-1900, 0)/750)</f>
        <v>1</v>
      </c>
      <c r="BF59" s="7" t="n">
        <f aca="false">((MAX($M59,1)*MIN($AJ59/300,1)))*IF(G59="Wagon",50,10)</f>
        <v>3.8</v>
      </c>
      <c r="BG59" s="7" t="e">
        <f aca="false">#N/A</f>
        <v>#N/A</v>
      </c>
      <c r="BH59" s="7" t="e">
        <f aca="false">#N/A</f>
        <v>#N/A</v>
      </c>
      <c r="BI59" s="7" t="e">
        <f aca="false">#N/A</f>
        <v>#N/A</v>
      </c>
      <c r="BJ59" s="7" t="e">
        <f aca="false">#N/A</f>
        <v>#N/A</v>
      </c>
      <c r="BK59" s="24" t="e">
        <f aca="false">BI59*IF($G59="wagon",62.5,781.25)</f>
        <v>#N/A</v>
      </c>
      <c r="BL59" s="24" t="e">
        <f aca="false">BJ59*IF($G59="wagon",2.73,81.25)</f>
        <v>#N/A</v>
      </c>
      <c r="BV59" s="0" t="n">
        <v>2</v>
      </c>
      <c r="BZ59" s="0" t="s">
        <v>119</v>
      </c>
      <c r="CA59" s="9" t="s">
        <v>190</v>
      </c>
      <c r="CB59" s="0" t="s">
        <v>285</v>
      </c>
      <c r="CC59" s="9" t="str">
        <f aca="false">CONCATENATE(CA59,"_",CB59)</f>
        <v>vct_EMU</v>
      </c>
      <c r="CD59" s="9" t="str">
        <f aca="false">_xlfn.CONCAT(H59, "_",I59)</f>
        <v>na_THIRD_RAIL</v>
      </c>
      <c r="CE59" s="23" t="str">
        <f aca="false" t="array" ref="CE59:CE59">IF(AN59&lt;&gt;"na", _xlfn.CONCAT("{BLACK}Length: {GOLD}", TEXT(ROUNDUP(IF(AQ59&lt;&gt;"",SUM(VALUE(_xlfn.TEXTSPLIT(AQ59, ","))), SUM(VALUE(_xlfn.TEXTSPLIT(AN59, ",")))*IF(M59, M59, 1))/16, 1),"#,##0.0"), " tiles{}"), "")</f>
        <v>{BLACK}Length: {GOLD}1.0 tiles{}</v>
      </c>
      <c r="CF59" s="9" t="e">
        <f aca="false">VLOOKUP($CD59, Constants!$M:$N, 2, FALSE())</f>
        <v>#N/A</v>
      </c>
      <c r="CG59" s="9" t="str">
        <f aca="false">IF(AND(L59&gt;1,BN59&lt;&gt;1),_xlfn.CONCAT("{BLACK}Cars: {GOLD}", L59),"")</f>
        <v>{BLACK}Cars: {GOLD}2</v>
      </c>
      <c r="CH59" s="0" t="s">
        <v>303</v>
      </c>
      <c r="CI59" s="0" t="str">
        <f aca="false">IF($BU59="!param_no_gameplay_units","{GREEN}Included for gameplay purposes","")</f>
        <v/>
      </c>
      <c r="CJ59" s="0" t="str">
        <f aca="false">IF(BX59="buffet","{YELLOW}25% long distance bonus for consist{}",IF(BY59="DANDY","{YELLOW}Faster downhill speeds for horse-drawn trains (1 required per 2 horses){}",IF(BY59="BRAKE","{YELLOW}Speed bonus for slow wagons{}",IF(BY59="NGPassengers","{YELLOW}Preserved railway bonus: passengers pay more when hauled by old locomotives{}",IF(AND(BW59&gt;190,NOT(AND(I59="NARROW_GAUGE",BY59&lt;&gt;"PASS"))),CONCATENATE("{YELLOW}",INT((BW59-185)/1.85),"% bonus for long distance travel{}"),IF(AND(BW59&lt;180,BW59&lt;&gt;0),CONCATENATE("{YELLOW}",INT((185-BW59)/1.85),"% penalty for long distance travel{}"),""))))))</f>
        <v/>
      </c>
      <c r="CK59" s="0" t="e">
        <f aca="false">_xlfn.CONCAT(CF59,IF(CF59&lt;&gt;""," ",""),CG59,IF(OR(CG59&lt;&gt;"",CF59&lt;&gt;""),"{}",""),CE59,CJ59,"{SILVER}",CH59,IF(CI59&lt;&gt;"","{}{}",""),CI59)</f>
        <v>#N/A</v>
      </c>
    </row>
    <row r="60" customFormat="false" ht="14.25" hidden="false" customHeight="false" outlineLevel="0" collapsed="false">
      <c r="A60" s="0" t="s">
        <v>304</v>
      </c>
      <c r="B60" s="0" t="s">
        <v>305</v>
      </c>
      <c r="C60" s="0" t="n">
        <v>734</v>
      </c>
      <c r="E60" s="0" t="n">
        <v>-1</v>
      </c>
      <c r="G60" s="0" t="s">
        <v>188</v>
      </c>
      <c r="H60" s="0" t="s">
        <v>295</v>
      </c>
      <c r="I60" s="0" t="s">
        <v>92</v>
      </c>
      <c r="J60" s="0" t="n">
        <v>1983</v>
      </c>
      <c r="AA60" s="3" t="str">
        <f aca="false">IF(AND(W60&gt;0,Z60&gt;0),(Z60/((W60+X60)*10)),"")</f>
        <v/>
      </c>
      <c r="AC60" s="0" t="n">
        <f aca="false">ROUND(AB60*1.6, 0)</f>
        <v>0</v>
      </c>
      <c r="AK60" s="5" t="s">
        <v>198</v>
      </c>
      <c r="AL60" s="5" t="n">
        <f aca="false">ROUND(15*((AG60*10)/256),0)</f>
        <v>0</v>
      </c>
      <c r="AN60" s="5" t="str">
        <f aca="false">CONCATENATE(VLOOKUP(AL60,Constants!$A$2:$C$16,IF(AM60&lt;&gt;"", 3, 2), FALSE()),IF(AM60&lt;&gt;"",CONCATENATE(",",VLOOKUP(AM60,$B:$AN,39,FALSE())),""))</f>
        <v>na</v>
      </c>
      <c r="AX60" s="0" t="n">
        <v>30</v>
      </c>
      <c r="AY60" s="5" t="str">
        <f aca="false">IF(L60&lt;&gt;"",MAX(16,(L60-J60)+8),"")</f>
        <v/>
      </c>
      <c r="BB60" s="7" t="n">
        <f aca="false">MIN(AB60/150, 1)*30</f>
        <v>0</v>
      </c>
      <c r="BC60" s="7" t="n">
        <f aca="false">MIN(N60/4000, 1)*20</f>
        <v>0</v>
      </c>
      <c r="BD60" s="7" t="n">
        <f aca="false">MIN(Z60/400,1)*20</f>
        <v>0</v>
      </c>
      <c r="BE60" s="3" t="n">
        <f aca="false">1-(MAX(J60-1900, 0)/750)</f>
        <v>0.889333333333333</v>
      </c>
      <c r="BF60" s="7" t="n">
        <f aca="false">((MAX($M60,1)*MIN($AJ60/300,1)))*IF(G60="Wagon",50,10)</f>
        <v>0</v>
      </c>
      <c r="BG60" s="7" t="n">
        <v>0.9</v>
      </c>
      <c r="BH60" s="7" t="n">
        <v>1.6</v>
      </c>
      <c r="BI60" s="7" t="n">
        <v>7</v>
      </c>
      <c r="BJ60" s="7" t="n">
        <v>19</v>
      </c>
      <c r="BK60" s="24" t="n">
        <f aca="false">BI60*IF($G60="wagon",62.5,781.25)</f>
        <v>5468.75</v>
      </c>
      <c r="BL60" s="24" t="n">
        <f aca="false">BJ60*IF($G60="wagon",2.73,81.25)</f>
        <v>1543.75</v>
      </c>
      <c r="BV60" s="0" t="n">
        <v>10</v>
      </c>
      <c r="BW60" s="0" t="n">
        <v>120</v>
      </c>
      <c r="BZ60" s="0" t="s">
        <v>119</v>
      </c>
      <c r="CA60" s="9" t="s">
        <v>306</v>
      </c>
      <c r="CB60" s="0" t="s">
        <v>298</v>
      </c>
      <c r="CC60" s="9" t="str">
        <f aca="false">CONCATENATE(CA60,"_",CB60)</f>
        <v>lbr_LU</v>
      </c>
      <c r="CD60" s="9" t="str">
        <f aca="false">_xlfn.CONCAT(H60, "_",I60)</f>
        <v>tube_RAIL</v>
      </c>
      <c r="CE60" s="23" t="str">
        <f aca="false" t="array" ref="CE60:CE60">IF(AN60&lt;&gt;"na", _xlfn.CONCAT("{BLACK}Length: {GOLD}", TEXT(ROUNDUP(IF(AQ60&lt;&gt;"",SUM(VALUE(_xlfn.TEXTSPLIT(AQ60, ","))), SUM(VALUE(_xlfn.TEXTSPLIT(AN60, ",")))*IF(M60, M60, 1))/16, 1),"#,##0.0"), " tiles{}"), "")</f>
        <v/>
      </c>
      <c r="CF60" s="9" t="str">
        <f aca="false">VLOOKUP($CD60, Constants!$M:$N, 2, FALSE())</f>
        <v/>
      </c>
      <c r="CG60" s="9" t="str">
        <f aca="false">IF(AND(L60&gt;1,BN60&lt;&gt;1),_xlfn.CONCAT("{BLACK}Cars: {GOLD}", L60),"")</f>
        <v/>
      </c>
      <c r="CI60" s="0" t="str">
        <f aca="false">IF($BU60="!param_no_gameplay_units","{GREEN}Included for gameplay purposes","")</f>
        <v/>
      </c>
      <c r="CJ60" s="0" t="str">
        <f aca="false">IF(BX60="buffet","{YELLOW}25% long distance bonus for consist{}",IF(BY60="DANDY","{YELLOW}Faster downhill speeds for horse-drawn trains (1 required per 2 horses){}",IF(BY60="BRAKE","{YELLOW}Speed bonus for slow wagons{}",IF(BY60="NGPassengers","{YELLOW}Preserved railway bonus: passengers pay more when hauled by old locomotives{}",IF(AND(BW60&gt;190,NOT(AND(I60="NARROW_GAUGE",BY60&lt;&gt;"PASS"))),CONCATENATE("{YELLOW}",INT((BW60-185)/1.85),"% bonus for long distance travel{}"),IF(AND(BW60&lt;180,BW60&lt;&gt;0),CONCATENATE("{YELLOW}",INT((185-BW60)/1.85),"% penalty for long distance travel{}"),""))))))</f>
        <v>{YELLOW}35% penalty for long distance travel{}</v>
      </c>
      <c r="CK60" s="0" t="str">
        <f aca="false">_xlfn.CONCAT(CF60,IF(CF60&lt;&gt;""," ",""),CG60,IF(OR(CG60&lt;&gt;"",CF60&lt;&gt;""),"{}",""),CE60,CJ60,"{SILVER}",CH60,IF(CI60&lt;&gt;"","{}{}",""),CI60)</f>
        <v>{YELLOW}35% penalty for long distance travel{}{SILVER}</v>
      </c>
    </row>
    <row r="61" customFormat="false" ht="14.25" hidden="false" customHeight="false" outlineLevel="0" collapsed="false">
      <c r="A61" s="26" t="s">
        <v>307</v>
      </c>
      <c r="B61" s="0" t="s">
        <v>308</v>
      </c>
      <c r="C61" s="0" t="n">
        <v>714</v>
      </c>
      <c r="E61" s="0" t="n">
        <v>-1</v>
      </c>
      <c r="G61" s="0" t="s">
        <v>188</v>
      </c>
      <c r="H61" s="0" t="s">
        <v>274</v>
      </c>
      <c r="I61" s="0" t="s">
        <v>289</v>
      </c>
      <c r="AA61" s="3" t="str">
        <f aca="false">IF(AND(W61&gt;0,Z61&gt;0),(Z61/((W61+X61)*10)),"")</f>
        <v/>
      </c>
      <c r="AC61" s="0" t="n">
        <f aca="false">ROUND(AB61*1.6, 0)</f>
        <v>0</v>
      </c>
      <c r="AK61" s="5" t="s">
        <v>198</v>
      </c>
      <c r="AL61" s="5" t="n">
        <f aca="false">ROUND(15*((AG61*10)/256),0)</f>
        <v>0</v>
      </c>
      <c r="AN61" s="5" t="str">
        <f aca="false">CONCATENATE(VLOOKUP(AL61,Constants!$A$2:$C$16,IF(AM61&lt;&gt;"", 3, 2), FALSE()),IF(AM61&lt;&gt;"",CONCATENATE(",",VLOOKUP(AM61,$B:$AN,39,FALSE())),""))</f>
        <v>na</v>
      </c>
      <c r="AX61" s="0" t="n">
        <v>30</v>
      </c>
      <c r="AY61" s="5" t="str">
        <f aca="false">IF(L61&lt;&gt;"",MAX(16,(L61-J61)+8),"")</f>
        <v/>
      </c>
      <c r="BB61" s="7" t="n">
        <f aca="false">MIN(AB61/150, 1)*30</f>
        <v>0</v>
      </c>
      <c r="BC61" s="7" t="n">
        <f aca="false">MIN(N61/4000, 1)*20</f>
        <v>0</v>
      </c>
      <c r="BD61" s="7" t="n">
        <f aca="false">MIN(Z61/400,1)*20</f>
        <v>0</v>
      </c>
      <c r="BE61" s="3" t="n">
        <f aca="false">1-(MAX(J61-1900, 0)/750)</f>
        <v>1</v>
      </c>
      <c r="BF61" s="7" t="n">
        <f aca="false">((MAX($M61,1)*MIN($AJ61/300,1)))*IF(G61="Wagon",50,10)</f>
        <v>0</v>
      </c>
      <c r="BG61" s="7" t="n">
        <v>0.85</v>
      </c>
      <c r="BH61" s="7" t="n">
        <v>2.3</v>
      </c>
      <c r="BI61" s="7" t="n">
        <v>12</v>
      </c>
      <c r="BJ61" s="7" t="n">
        <v>21</v>
      </c>
      <c r="BK61" s="24" t="n">
        <f aca="false">BI61*IF($G61="wagon",62.5,781.25)</f>
        <v>9375</v>
      </c>
      <c r="BL61" s="24" t="n">
        <f aca="false">BJ61*IF($G61="wagon",2.73,81.25)</f>
        <v>1706.25</v>
      </c>
      <c r="BV61" s="0" t="n">
        <v>8</v>
      </c>
      <c r="CA61" s="9" t="e">
        <f aca="false">#N/A</f>
        <v>#N/A</v>
      </c>
      <c r="CC61" s="9" t="e">
        <f aca="false">CONCATENATE(CA61,"_",CB61)</f>
        <v>#N/A</v>
      </c>
      <c r="CD61" s="9" t="str">
        <f aca="false">_xlfn.CONCAT(H61, "_",I61)</f>
        <v>electric_ELRL</v>
      </c>
      <c r="CE61" s="23" t="str">
        <f aca="false" t="array" ref="CE61:CE61">IF(AN61&lt;&gt;"na", _xlfn.CONCAT("{BLACK}Length: {GOLD}", TEXT(ROUNDUP(IF(AQ61&lt;&gt;"",SUM(VALUE(_xlfn.TEXTSPLIT(AQ61, ","))), SUM(VALUE(_xlfn.TEXTSPLIT(AN61, ",")))*IF(M61, M61, 1))/16, 1),"#,##0.0"), " tiles{}"), "")</f>
        <v/>
      </c>
      <c r="CF61" s="9" t="str">
        <f aca="false">VLOOKUP($CD61, Constants!$M:$N, 2, FALSE())</f>
        <v>{BLACK}Powered by: {GOLD}25kV AC</v>
      </c>
      <c r="CG61" s="9" t="str">
        <f aca="false">IF(AND(L61&gt;1,BN61&lt;&gt;1),_xlfn.CONCAT("{BLACK}Cars: {GOLD}", L61),"")</f>
        <v/>
      </c>
      <c r="CI61" s="0" t="str">
        <f aca="false">IF($BU61="!param_no_gameplay_units","{GREEN}Included for gameplay purposes","")</f>
        <v/>
      </c>
      <c r="CJ61" s="0" t="str">
        <f aca="false">IF(BX61="buffet","{YELLOW}25% long distance bonus for consist{}",IF(BY61="DANDY","{YELLOW}Faster downhill speeds for horse-drawn trains (1 required per 2 horses){}",IF(BY61="BRAKE","{YELLOW}Speed bonus for slow wagons{}",IF(BY61="NGPassengers","{YELLOW}Preserved railway bonus: passengers pay more when hauled by old locomotives{}",IF(AND(BW61&gt;190,NOT(AND(I61="NARROW_GAUGE",BY61&lt;&gt;"PASS"))),CONCATENATE("{YELLOW}",INT((BW61-185)/1.85),"% bonus for long distance travel{}"),IF(AND(BW61&lt;180,BW61&lt;&gt;0),CONCATENATE("{YELLOW}",INT((185-BW61)/1.85),"% penalty for long distance travel{}"),""))))))</f>
        <v/>
      </c>
      <c r="CK61" s="0" t="str">
        <f aca="false">_xlfn.CONCAT(CF61,IF(CF61&lt;&gt;""," ",""),CG61,IF(OR(CG61&lt;&gt;"",CF61&lt;&gt;""),"{}",""),CE61,CJ61,"{SILVER}",CH61,IF(CI61&lt;&gt;"","{}{}",""),CI61)</f>
        <v>{BLACK}Powered by: {GOLD}25kV AC {}{SILVER}</v>
      </c>
    </row>
    <row r="62" customFormat="false" ht="14.25" hidden="false" customHeight="false" outlineLevel="0" collapsed="false">
      <c r="A62" s="0" t="s">
        <v>309</v>
      </c>
      <c r="B62" s="0" t="s">
        <v>310</v>
      </c>
      <c r="C62" s="0" t="n">
        <v>1</v>
      </c>
      <c r="E62" s="0" t="n">
        <v>2000</v>
      </c>
      <c r="F62" s="0" t="s">
        <v>115</v>
      </c>
      <c r="G62" s="0" t="s">
        <v>311</v>
      </c>
      <c r="H62" s="0" t="s">
        <v>311</v>
      </c>
      <c r="I62" s="0" t="s">
        <v>312</v>
      </c>
      <c r="J62" s="0" t="n">
        <v>1800</v>
      </c>
      <c r="L62" s="0" t="n">
        <v>1880</v>
      </c>
      <c r="N62" s="0" t="n">
        <v>5</v>
      </c>
      <c r="T62" s="25"/>
      <c r="W62" s="0" t="n">
        <v>1</v>
      </c>
      <c r="Z62" s="0" t="n">
        <v>4</v>
      </c>
      <c r="AA62" s="3" t="n">
        <f aca="false">IF(AND(W62&gt;0,Z62&gt;0),(Z62/((W62+X62)*10)),"")</f>
        <v>0.4</v>
      </c>
      <c r="AB62" s="0" t="n">
        <v>15</v>
      </c>
      <c r="AC62" s="0" t="n">
        <f aca="false">ROUND(AB62*1.6, 0)</f>
        <v>24</v>
      </c>
      <c r="AG62" s="0" t="n">
        <v>6</v>
      </c>
      <c r="AJ62" s="4" t="n">
        <v>0</v>
      </c>
      <c r="AK62" s="5" t="str">
        <f aca="false">CONCATENATE(VLOOKUP(AL62, 'Voxel Sizes'!$A$2:$B$18,2,FALSE()),"x",INT(AH62*15), "x", INT(AI62*15))</f>
        <v>66x0x0</v>
      </c>
      <c r="AL62" s="5" t="n">
        <f aca="false">ROUND(15*((AG62*10)/256),0)</f>
        <v>4</v>
      </c>
      <c r="AN62" s="5" t="str">
        <f aca="false">CONCATENATE(VLOOKUP(AL62,Constants!$A$2:$C$16,IF(AM62&lt;&gt;"", 3, 2), FALSE()),IF(AM62&lt;&gt;"",CONCATENATE(",",VLOOKUP(AM62,$B:$AN,39,FALSE())),""))</f>
        <v>1,2,1</v>
      </c>
      <c r="AV62" s="0" t="n">
        <v>1</v>
      </c>
      <c r="AX62" s="0" t="n">
        <v>14</v>
      </c>
      <c r="AY62" s="5" t="n">
        <f aca="false">IF(L62&lt;&gt;"",MAX(16,(L62-J62)+8),"")</f>
        <v>88</v>
      </c>
      <c r="AZ62" s="0" t="n">
        <v>-13</v>
      </c>
      <c r="BA62" s="0" t="n">
        <v>-3</v>
      </c>
      <c r="BB62" s="7" t="n">
        <f aca="false">MIN(AB62/150, 1)*30</f>
        <v>3</v>
      </c>
      <c r="BC62" s="7" t="n">
        <f aca="false">MIN(N62/4000, 1)*20</f>
        <v>0.025</v>
      </c>
      <c r="BD62" s="7" t="n">
        <f aca="false">MIN(Z62/400,1)*20</f>
        <v>0.2</v>
      </c>
      <c r="BE62" s="21" t="n">
        <f aca="false">1-(MAX(J62-1900, 0)/750)</f>
        <v>1</v>
      </c>
      <c r="BF62" s="7" t="n">
        <f aca="false">((MAX($M62,1)*MIN($AJ62/300,1)))*IF(G62="Wagon",50,10)</f>
        <v>0</v>
      </c>
      <c r="BG62" s="7" t="n">
        <f aca="false">VLOOKUP($H62,Constants!$I:$K, 2, FALSE())</f>
        <v>0.5</v>
      </c>
      <c r="BH62" s="7" t="n">
        <f aca="false">VLOOKUP($H62,Constants!$I:$K, 3, FALSE())*IF(AND(G62="multiple_unit",AB62&lt;110),0.75,1)</f>
        <v>0.5</v>
      </c>
      <c r="BI62" s="7" t="n">
        <f aca="false">INT(POWER(((Constants!$G$2+$BB62+$BC62+$BD62+$BF62)*$BE62)*$BH62, 1.05))+$BA62</f>
        <v>1</v>
      </c>
      <c r="BJ62" s="7" t="n">
        <f aca="false">INT(POWER((((Constants!$G$1+$BB62+$BC62+$BD62+$BF62)*($BE62))*$BG62),IF($G62="wagon",1,1.2)))+$AZ62</f>
        <v>1</v>
      </c>
      <c r="BK62" s="22" t="n">
        <f aca="false">BI62*IF($G62="wagon",62.5,781.25)</f>
        <v>781.25</v>
      </c>
      <c r="BL62" s="22" t="n">
        <f aca="false">BJ62*IF($G62="wagon",2.73,81.25)</f>
        <v>81.25</v>
      </c>
      <c r="BV62" s="0" t="n">
        <v>1</v>
      </c>
      <c r="CA62" s="9" t="str">
        <f aca="false">VLOOKUP(J62,Eras!$A$2:$C$10, 2, TRUE())</f>
        <v>early</v>
      </c>
      <c r="CB62" s="0" t="s">
        <v>93</v>
      </c>
      <c r="CC62" s="9" t="str">
        <f aca="false">CONCATENATE(CA62,"_",CB62)</f>
        <v>early_Mixed Traffic</v>
      </c>
      <c r="CD62" s="9" t="str">
        <f aca="false">_xlfn.CONCAT(H62, "_",I62)</f>
        <v>horses_NARROW_GAUGE</v>
      </c>
      <c r="CE62" s="23" t="str">
        <f aca="false" t="array" ref="CE62:CE62">IF(AN62&lt;&gt;"na", _xlfn.CONCAT("{BLACK}Length: {GOLD}", TEXT(ROUNDUP(IF(AQ62&lt;&gt;"",SUM(VALUE(_xlfn.TEXTSPLIT(AQ62, ","))), SUM(VALUE(_xlfn.TEXTSPLIT(AN62, ",")))*IF(M62, M62, 1))/16, 1),"#,##0.0"), " tiles{}"), "")</f>
        <v>{BLACK}Length: {GOLD}0.3 tiles{}</v>
      </c>
      <c r="CF62" s="9" t="str">
        <f aca="false">VLOOKUP($CD62, Constants!$M:$N, 2, FALSE())</f>
        <v>{BLACK}Powered by: {GOLD}Grass and hay</v>
      </c>
      <c r="CG62" s="9" t="str">
        <f aca="false">IF(AND(L62&gt;1,BN62&lt;&gt;1),_xlfn.CONCAT("{BLACK}Cars: {GOLD}", L62),"")</f>
        <v/>
      </c>
      <c r="CH62" s="0" t="s">
        <v>313</v>
      </c>
      <c r="CI62" s="0" t="str">
        <f aca="false">IF($BU62="!param_no_gameplay_units","{GREEN}Included for gameplay purposes","")</f>
        <v/>
      </c>
      <c r="CJ62" s="0" t="str">
        <f aca="false">IF(BX62="buffet","{YELLOW}25% long distance bonus for consist{}",IF(BY62="DANDY","{YELLOW}Faster downhill speeds for horse-drawn trains (1 required per 2 horses){}",IF(BY62="BRAKE","{YELLOW}Speed bonus for slow wagons{}",IF(BY62="NGPassengers","{YELLOW}Preserved railway bonus: passengers pay more when hauled by old locomotives{}",IF(AND(BW62&gt;190,NOT(AND(I62="NARROW_GAUGE",BY62&lt;&gt;"PASS"))),CONCATENATE("{YELLOW}",INT((BW62-185)/1.85),"% bonus for long distance travel{}"),IF(AND(BW62&lt;180,BW62&lt;&gt;0),CONCATENATE("{YELLOW}",INT((185-BW62)/1.85),"% penalty for long distance travel{}"),""))))))</f>
        <v/>
      </c>
      <c r="CK62" s="0" t="str">
        <f aca="false">_xlfn.CONCAT(CF62,IF(CF62&lt;&gt;""," ",""),CG62,IF(OR(CG62&lt;&gt;"",CF62&lt;&gt;""),"{}",""),CE62,CJ62,"{SILVER}",CH62,IF(CI62&lt;&gt;"","{}{}",""),CI62)</f>
        <v>{BLACK}Powered by: {GOLD}Grass and hay {}{BLACK}Length: {GOLD}0.3 tiles{}{SILVER}A smaller horse for a smaller railway.</v>
      </c>
    </row>
    <row r="63" customFormat="false" ht="14.25" hidden="false" customHeight="false" outlineLevel="0" collapsed="false">
      <c r="A63" s="0" t="s">
        <v>314</v>
      </c>
      <c r="B63" s="0" t="s">
        <v>315</v>
      </c>
      <c r="C63" s="0" t="n">
        <v>2</v>
      </c>
      <c r="E63" s="0" t="n">
        <v>2001</v>
      </c>
      <c r="F63" s="0" t="s">
        <v>115</v>
      </c>
      <c r="G63" s="0" t="s">
        <v>161</v>
      </c>
      <c r="H63" s="0" t="s">
        <v>162</v>
      </c>
      <c r="I63" s="0" t="s">
        <v>312</v>
      </c>
      <c r="J63" s="0" t="n">
        <v>1804</v>
      </c>
      <c r="L63" s="0" t="n">
        <v>1840</v>
      </c>
      <c r="N63" s="0" t="n">
        <v>10</v>
      </c>
      <c r="P63" s="2" t="n">
        <v>8.6</v>
      </c>
      <c r="Q63" s="2" t="n">
        <v>16</v>
      </c>
      <c r="R63" s="2" t="n">
        <v>1</v>
      </c>
      <c r="S63" s="2" t="n">
        <v>160</v>
      </c>
      <c r="T63" s="25" t="n">
        <f aca="false">((($AB63/2)/60)*5280)/($U63*3.2*PI())</f>
        <v>87.5352187005424</v>
      </c>
      <c r="U63" s="2" t="n">
        <v>0.7</v>
      </c>
      <c r="V63" s="2" t="n">
        <f aca="false">((($P63*$P63/4)*PI())*($Q63/12)*$R63*$S63*$T63)/(33000*1.1)</f>
        <v>29.8828282828283</v>
      </c>
      <c r="W63" s="0" t="n">
        <v>5</v>
      </c>
      <c r="Y63" s="0" t="n">
        <v>5</v>
      </c>
      <c r="Z63" s="0" t="n">
        <v>12</v>
      </c>
      <c r="AA63" s="3" t="n">
        <f aca="false">IF(AND(W63&gt;0,Z63&gt;0),(Z63/((W63+X63)*10)),"")</f>
        <v>0.24</v>
      </c>
      <c r="AB63" s="0" t="n">
        <v>14</v>
      </c>
      <c r="AC63" s="0" t="n">
        <f aca="false">ROUND(AB63*1.6, 0)</f>
        <v>22</v>
      </c>
      <c r="AF63" s="0" t="n">
        <v>5.5</v>
      </c>
      <c r="AG63" s="0" t="n">
        <v>8</v>
      </c>
      <c r="AJ63" s="4" t="n">
        <v>0</v>
      </c>
      <c r="AK63" s="5" t="str">
        <f aca="false">CONCATENATE(VLOOKUP(AL63, 'Voxel Sizes'!$A$2:$B$18,2,FALSE()),"x",INT(AH63*15), "x", INT(AI63*15))</f>
        <v>82x0x0</v>
      </c>
      <c r="AL63" s="5" t="n">
        <f aca="false">ROUND(15*((AG63*10)/256),0)</f>
        <v>5</v>
      </c>
      <c r="AM63" s="0" t="s">
        <v>91</v>
      </c>
      <c r="AN63" s="5" t="str">
        <f aca="false">CONCATENATE(VLOOKUP(AL63,Constants!$A$2:$C$16,IF(AM63&lt;&gt;"", 3, 2), FALSE()),IF(AM63&lt;&gt;"",CONCATENATE(",",VLOOKUP(AM63,$B:$AN,39,FALSE())),""))</f>
        <v>2,1,2,1,1,1</v>
      </c>
      <c r="AV63" s="0" t="n">
        <v>1</v>
      </c>
      <c r="AX63" s="0" t="n">
        <v>28</v>
      </c>
      <c r="AY63" s="5" t="n">
        <f aca="false">IF(L63&lt;&gt;"",MAX(16,(L63-J63)+8),"")</f>
        <v>44</v>
      </c>
      <c r="AZ63" s="0" t="n">
        <v>-34</v>
      </c>
      <c r="BA63" s="0" t="n">
        <v>-13</v>
      </c>
      <c r="BB63" s="7" t="n">
        <f aca="false">MIN(AB63/150, 1)*30</f>
        <v>2.8</v>
      </c>
      <c r="BC63" s="7" t="n">
        <f aca="false">MIN(N63/4000, 1)*20</f>
        <v>0.05</v>
      </c>
      <c r="BD63" s="7" t="n">
        <f aca="false">MIN(Z63/400,1)*20</f>
        <v>0.6</v>
      </c>
      <c r="BE63" s="21" t="n">
        <f aca="false">1-(MAX(J63-1900, 0)/750)</f>
        <v>1</v>
      </c>
      <c r="BF63" s="7" t="n">
        <f aca="false">((MAX($M63,1)*MIN($AJ63/300,1)))*IF(G63="Wagon",50,10)</f>
        <v>0</v>
      </c>
      <c r="BG63" s="7" t="n">
        <f aca="false">VLOOKUP($H63,Constants!$I:$K, 2, FALSE())</f>
        <v>1.15</v>
      </c>
      <c r="BH63" s="7" t="n">
        <f aca="false">VLOOKUP($H63,Constants!$I:$K, 3, FALSE())*IF(AND(G63="multiple_unit",AB63&lt;110),0.75,1)</f>
        <v>1.7</v>
      </c>
      <c r="BI63" s="7" t="n">
        <f aca="false">INT(POWER(((Constants!$G$2+$BB63+$BC63+$BD63+$BF63)*$BE63)*$BH63, 1.05))+$BA63</f>
        <v>3</v>
      </c>
      <c r="BJ63" s="7" t="n">
        <f aca="false">INT(POWER((((Constants!$G$1+$BB63+$BC63+$BD63+$BF63)*($BE63))*$BG63),IF($G63="wagon",1,1.2)))+$AZ63</f>
        <v>5</v>
      </c>
      <c r="BK63" s="22" t="n">
        <f aca="false">BI63*IF($G63="wagon",62.5,781.25)</f>
        <v>2343.75</v>
      </c>
      <c r="BL63" s="22" t="n">
        <f aca="false">BJ63*IF($G63="wagon",2.73,81.25)</f>
        <v>406.25</v>
      </c>
      <c r="BV63" s="0" t="n">
        <v>2</v>
      </c>
      <c r="CA63" s="9" t="str">
        <f aca="false">VLOOKUP(J63,Eras!$A$2:$C$10, 2, TRUE())</f>
        <v>early</v>
      </c>
      <c r="CB63" s="0" t="s">
        <v>194</v>
      </c>
      <c r="CC63" s="9" t="str">
        <f aca="false">CONCATENATE(CA63,"_",CB63)</f>
        <v>early_Cheap</v>
      </c>
      <c r="CD63" s="9" t="str">
        <f aca="false">_xlfn.CONCAT(H63, "_",I63)</f>
        <v>steam_NARROW_GAUGE</v>
      </c>
      <c r="CE63" s="23" t="str">
        <f aca="false" t="array" ref="CE63:CE63">IF(AN63&lt;&gt;"na", _xlfn.CONCAT("{BLACK}Length: {GOLD}", TEXT(ROUNDUP(IF(AQ63&lt;&gt;"",SUM(VALUE(_xlfn.TEXTSPLIT(AQ63, ","))), SUM(VALUE(_xlfn.TEXTSPLIT(AN63, ",")))*IF(M63, M63, 1))/16, 1),"#,##0.0"), " tiles{}"), "")</f>
        <v>{BLACK}Length: {GOLD}0.5 tiles{}</v>
      </c>
      <c r="CF63" s="9" t="str">
        <f aca="false">VLOOKUP($CD63, Constants!$M:$N, 2, FALSE())</f>
        <v>{BLACK}Powered by: {GOLD}Steam</v>
      </c>
      <c r="CG63" s="9" t="str">
        <f aca="false">IF(AND(L63&gt;1,BN63&lt;&gt;1),_xlfn.CONCAT("{BLACK}Cars: {GOLD}", L63),"")</f>
        <v/>
      </c>
      <c r="CH63" s="0" t="s">
        <v>316</v>
      </c>
      <c r="CI63" s="0" t="str">
        <f aca="false">IF($BU63="!param_no_gameplay_units","{GREEN}Included for gameplay purposes","")</f>
        <v/>
      </c>
      <c r="CJ63" s="0" t="str">
        <f aca="false">IF(BX63="buffet","{YELLOW}25% long distance bonus for consist{}",IF(BY63="DANDY","{YELLOW}Faster downhill speeds for horse-drawn trains (1 required per 2 horses){}",IF(BY63="BRAKE","{YELLOW}Speed bonus for slow wagons{}",IF(BY63="NGPassengers","{YELLOW}Preserved railway bonus: passengers pay more when hauled by old locomotives{}",IF(AND(BW63&gt;190,NOT(AND(I63="NARROW_GAUGE",BY63&lt;&gt;"PASS"))),CONCATENATE("{YELLOW}",INT((BW63-185)/1.85),"% bonus for long distance travel{}"),IF(AND(BW63&lt;180,BW63&lt;&gt;0),CONCATENATE("{YELLOW}",INT((185-BW63)/1.85),"% penalty for long distance travel{}"),""))))))</f>
        <v/>
      </c>
      <c r="CK63" s="0" t="str">
        <f aca="false">_xlfn.CONCAT(CF63,IF(CF63&lt;&gt;""," ",""),CG63,IF(OR(CG63&lt;&gt;"",CF63&lt;&gt;""),"{}",""),CE63,CJ63,"{SILVER}",CH63,IF(CI63&lt;&gt;"","{}{}",""),CI63)</f>
        <v>{BLACK}Powered by: {GOLD}Steam {}{BLACK}Length: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64" customFormat="false" ht="14.25" hidden="false" customHeight="false" outlineLevel="0" collapsed="false">
      <c r="A64" s="0" t="s">
        <v>317</v>
      </c>
      <c r="B64" s="0" t="s">
        <v>318</v>
      </c>
      <c r="C64" s="0" t="n">
        <v>4</v>
      </c>
      <c r="E64" s="0" t="n">
        <v>2002</v>
      </c>
      <c r="F64" s="0" t="s">
        <v>115</v>
      </c>
      <c r="G64" s="0" t="s">
        <v>161</v>
      </c>
      <c r="H64" s="0" t="s">
        <v>162</v>
      </c>
      <c r="I64" s="0" t="s">
        <v>312</v>
      </c>
      <c r="J64" s="0" t="n">
        <v>1863</v>
      </c>
      <c r="L64" s="0" t="n">
        <v>1946</v>
      </c>
      <c r="N64" s="0" t="n">
        <v>90</v>
      </c>
      <c r="P64" s="2" t="n">
        <v>8.25</v>
      </c>
      <c r="Q64" s="2" t="n">
        <v>12</v>
      </c>
      <c r="R64" s="2" t="n">
        <v>2</v>
      </c>
      <c r="S64" s="2" t="n">
        <v>160</v>
      </c>
      <c r="T64" s="25" t="n">
        <f aca="false">((($AB64/2)/60)*5280)/($U64*3.2*PI())</f>
        <v>165.025412304301</v>
      </c>
      <c r="U64" s="2" t="n">
        <v>0.61</v>
      </c>
      <c r="V64" s="2" t="n">
        <f aca="false">((($P64*$P64/4)*PI())*($Q64/12)*$R64*$S64*$T64)/(33000*1.1)</f>
        <v>77.766393442623</v>
      </c>
      <c r="W64" s="0" t="n">
        <v>15</v>
      </c>
      <c r="Y64" s="0" t="n">
        <v>5</v>
      </c>
      <c r="Z64" s="0" t="n">
        <v>29</v>
      </c>
      <c r="AA64" s="3" t="n">
        <f aca="false">IF(AND(W64&gt;0,Z64&gt;0),(Z64/((W64+X64)*10)),"")</f>
        <v>0.193333333333333</v>
      </c>
      <c r="AB64" s="0" t="n">
        <v>23</v>
      </c>
      <c r="AC64" s="0" t="n">
        <f aca="false">ROUND(AB64*1.6, 0)</f>
        <v>37</v>
      </c>
      <c r="AF64" s="0" t="n">
        <v>5.5</v>
      </c>
      <c r="AG64" s="0" t="n">
        <v>6</v>
      </c>
      <c r="AJ64" s="4" t="n">
        <v>0</v>
      </c>
      <c r="AK64" s="5" t="str">
        <f aca="false">CONCATENATE(VLOOKUP(AL64, 'Voxel Sizes'!$A$2:$B$18,2,FALSE()),"x",INT(AH64*15), "x", INT(AI64*15))</f>
        <v>66x0x0</v>
      </c>
      <c r="AL64" s="5" t="n">
        <f aca="false">ROUND(15*((AG64*10)/256),0)</f>
        <v>4</v>
      </c>
      <c r="AM64" s="0" t="s">
        <v>99</v>
      </c>
      <c r="AN64" s="5" t="str">
        <f aca="false">CONCATENATE(VLOOKUP(AL64,Constants!$A$2:$C$16,IF(AM64&lt;&gt;"", 3, 2), FALSE()),IF(AM64&lt;&gt;"",CONCATENATE(",",VLOOKUP(AM64,$B:$AN,39,FALSE())),""))</f>
        <v>1,2,1,1,1,1</v>
      </c>
      <c r="AV64" s="0" t="n">
        <v>1</v>
      </c>
      <c r="AX64" s="0" t="n">
        <v>250</v>
      </c>
      <c r="AY64" s="5" t="n">
        <f aca="false">IF(L64&lt;&gt;"",MAX(16,(L64-J64)+8),"")</f>
        <v>91</v>
      </c>
      <c r="AZ64" s="0" t="n">
        <v>-5</v>
      </c>
      <c r="BA64" s="0" t="n">
        <v>-3</v>
      </c>
      <c r="BB64" s="7" t="n">
        <f aca="false">MIN(AB64/150, 1)*30</f>
        <v>4.6</v>
      </c>
      <c r="BC64" s="7" t="n">
        <f aca="false">MIN(N64/4000, 1)*20</f>
        <v>0.45</v>
      </c>
      <c r="BD64" s="7" t="n">
        <f aca="false">MIN(Z64/400,1)*20</f>
        <v>1.45</v>
      </c>
      <c r="BE64" s="21" t="n">
        <f aca="false">1-(MAX(J64-1900, 0)/750)</f>
        <v>1</v>
      </c>
      <c r="BF64" s="7" t="n">
        <f aca="false">((MAX($M64,1)*MIN($AJ64/300,1)))*IF(G64="Wagon",50,10)</f>
        <v>0</v>
      </c>
      <c r="BG64" s="7" t="n">
        <f aca="false">VLOOKUP($H64,Constants!$I:$K, 2, FALSE())</f>
        <v>1.15</v>
      </c>
      <c r="BH64" s="7" t="n">
        <f aca="false">VLOOKUP($H64,Constants!$I:$K, 3, FALSE())*IF(AND(G64="multiple_unit",AB64&lt;110),0.75,1)</f>
        <v>1.7</v>
      </c>
      <c r="BI64" s="7" t="n">
        <f aca="false">INT(POWER(((Constants!$G$2+$BB64+$BC64+$BD64+$BF64)*$BE64)*$BH64, 1.05))+$BA64</f>
        <v>19</v>
      </c>
      <c r="BJ64" s="7" t="n">
        <f aca="false">INT(POWER((((Constants!$G$1+$BB64+$BC64+$BD64+$BF64)*($BE64))*$BG64),IF($G64="wagon",1,1.2)))+$AZ64</f>
        <v>41</v>
      </c>
      <c r="BK64" s="22" t="n">
        <f aca="false">BI64*IF($G64="wagon",62.5,781.25)</f>
        <v>14843.75</v>
      </c>
      <c r="BL64" s="22" t="n">
        <f aca="false">BJ64*IF($G64="wagon",2.73,81.25)</f>
        <v>3331.25</v>
      </c>
      <c r="BV64" s="0" t="n">
        <v>9</v>
      </c>
      <c r="CA64" s="9" t="str">
        <f aca="false">VLOOKUP(J64,Eras!$A$2:$C$10, 2, TRUE())</f>
        <v>vct</v>
      </c>
      <c r="CB64" s="0" t="s">
        <v>194</v>
      </c>
      <c r="CC64" s="9" t="str">
        <f aca="false">CONCATENATE(CA64,"_",CB64)</f>
        <v>vct_Cheap</v>
      </c>
      <c r="CD64" s="9" t="str">
        <f aca="false">_xlfn.CONCAT(H64, "_",I64)</f>
        <v>steam_NARROW_GAUGE</v>
      </c>
      <c r="CE64" s="23" t="str">
        <f aca="false" t="array" ref="CE64:CE64">IF(AN64&lt;&gt;"na", _xlfn.CONCAT("{BLACK}Length: {GOLD}", TEXT(ROUNDUP(IF(AQ64&lt;&gt;"",SUM(VALUE(_xlfn.TEXTSPLIT(AQ64, ","))), SUM(VALUE(_xlfn.TEXTSPLIT(AN64, ",")))*IF(M64, M64, 1))/16, 1),"#,##0.0"), " tiles{}"), "")</f>
        <v>{BLACK}Length: {GOLD}0.5 tiles{}</v>
      </c>
      <c r="CF64" s="9" t="str">
        <f aca="false">VLOOKUP($CD64, Constants!$M:$N, 2, FALSE())</f>
        <v>{BLACK}Powered by: {GOLD}Steam</v>
      </c>
      <c r="CG64" s="9" t="str">
        <f aca="false">IF(AND(L64&gt;1,BN64&lt;&gt;1),_xlfn.CONCAT("{BLACK}Cars: {GOLD}", L64),"")</f>
        <v/>
      </c>
      <c r="CH64" s="0" t="s">
        <v>319</v>
      </c>
      <c r="CI64" s="0" t="str">
        <f aca="false">IF($BU64="!param_no_gameplay_units","{GREEN}Included for gameplay purposes","")</f>
        <v/>
      </c>
      <c r="CJ64" s="0" t="str">
        <f aca="false">IF(BX64="buffet","{YELLOW}25% long distance bonus for consist{}",IF(BY64="DANDY","{YELLOW}Faster downhill speeds for horse-drawn trains (1 required per 2 horses){}",IF(BY64="BRAKE","{YELLOW}Speed bonus for slow wagons{}",IF(BY64="NGPassengers","{YELLOW}Preserved railway bonus: passengers pay more when hauled by old locomotives{}",IF(AND(BW64&gt;190,NOT(AND(I64="NARROW_GAUGE",BY64&lt;&gt;"PASS"))),CONCATENATE("{YELLOW}",INT((BW64-185)/1.85),"% bonus for long distance travel{}"),IF(AND(BW64&lt;180,BW64&lt;&gt;0),CONCATENATE("{YELLOW}",INT((185-BW64)/1.85),"% penalty for long distance travel{}"),""))))))</f>
        <v/>
      </c>
      <c r="CK64" s="0" t="str">
        <f aca="false">_xlfn.CONCAT(CF64,IF(CF64&lt;&gt;""," ",""),CG64,IF(OR(CG64&lt;&gt;"",CF64&lt;&gt;""),"{}",""),CE64,CJ64,"{SILVER}",CH64,IF(CI64&lt;&gt;"","{}{}",""),CI64)</f>
        <v>{BLACK}Powered by: {GOLD}Steam {}{BLACK}Length: {GOLD}0.5 tiles{}{SILVER}"Princess" was the first locomotive on the Ffestiniog Railway, going through multiple rebuilds and serving on the railway until its eventual closure in 1946.</v>
      </c>
    </row>
    <row r="65" customFormat="false" ht="14.25" hidden="false" customHeight="false" outlineLevel="0" collapsed="false">
      <c r="A65" s="0" t="s">
        <v>320</v>
      </c>
      <c r="B65" s="0" t="s">
        <v>321</v>
      </c>
      <c r="C65" s="0" t="n">
        <v>5</v>
      </c>
      <c r="E65" s="0" t="n">
        <v>2003</v>
      </c>
      <c r="F65" s="0" t="s">
        <v>115</v>
      </c>
      <c r="G65" s="0" t="s">
        <v>161</v>
      </c>
      <c r="H65" s="0" t="s">
        <v>162</v>
      </c>
      <c r="I65" s="0" t="s">
        <v>312</v>
      </c>
      <c r="J65" s="0" t="n">
        <v>1864</v>
      </c>
      <c r="L65" s="0" t="n">
        <v>1945</v>
      </c>
      <c r="N65" s="0" t="n">
        <v>110</v>
      </c>
      <c r="P65" s="2" t="n">
        <v>8.6</v>
      </c>
      <c r="Q65" s="2" t="n">
        <v>16</v>
      </c>
      <c r="R65" s="2" t="n">
        <v>2</v>
      </c>
      <c r="S65" s="2" t="n">
        <v>160</v>
      </c>
      <c r="T65" s="25" t="n">
        <f aca="false">((($AB65/2)/60)*5280)/($U65*3.2*PI())</f>
        <v>156.312890536683</v>
      </c>
      <c r="U65" s="2" t="n">
        <v>0.7</v>
      </c>
      <c r="V65" s="2" t="n">
        <f aca="false">((($P65*$P65/4)*PI())*($Q65/12)*$R65*$S65*$T65)/(33000*1.1)</f>
        <v>106.724386724387</v>
      </c>
      <c r="W65" s="0" t="n">
        <v>13</v>
      </c>
      <c r="Y65" s="0" t="n">
        <v>5</v>
      </c>
      <c r="Z65" s="0" t="n">
        <v>26</v>
      </c>
      <c r="AA65" s="3" t="n">
        <f aca="false">IF(AND(W65&gt;0,Z65&gt;0),(Z65/((W65+X65)*10)),"")</f>
        <v>0.2</v>
      </c>
      <c r="AB65" s="0" t="n">
        <v>25</v>
      </c>
      <c r="AC65" s="0" t="n">
        <f aca="false">ROUND(AB65*1.6, 0)</f>
        <v>40</v>
      </c>
      <c r="AF65" s="0" t="n">
        <v>5.5</v>
      </c>
      <c r="AG65" s="0" t="n">
        <v>6</v>
      </c>
      <c r="AJ65" s="4" t="n">
        <v>0</v>
      </c>
      <c r="AK65" s="5" t="str">
        <f aca="false">CONCATENATE(VLOOKUP(AL65, 'Voxel Sizes'!$A$2:$B$18,2,FALSE()),"x",INT(AH65*15), "x", INT(AI65*15))</f>
        <v>66x0x0</v>
      </c>
      <c r="AL65" s="5" t="n">
        <f aca="false">ROUND(15*((AG65*10)/256),0)</f>
        <v>4</v>
      </c>
      <c r="AN65" s="5" t="str">
        <f aca="false">CONCATENATE(VLOOKUP(AL65,Constants!$A$2:$C$16,IF(AM65&lt;&gt;"", 3, 2), FALSE()),IF(AM65&lt;&gt;"",CONCATENATE(",",VLOOKUP(AM65,$B:$AN,39,FALSE())),""))</f>
        <v>1,2,1</v>
      </c>
      <c r="AV65" s="0" t="n">
        <v>1</v>
      </c>
      <c r="AX65" s="0" t="n">
        <v>250</v>
      </c>
      <c r="AY65" s="5" t="n">
        <f aca="false">IF(L65&lt;&gt;"",MAX(16,(L65-J65)+8),"")</f>
        <v>89</v>
      </c>
      <c r="AZ65" s="0" t="n">
        <v>-5</v>
      </c>
      <c r="BA65" s="0" t="n">
        <v>-3</v>
      </c>
      <c r="BB65" s="7" t="n">
        <f aca="false">MIN(AB65/150, 1)*30</f>
        <v>5</v>
      </c>
      <c r="BC65" s="7" t="n">
        <f aca="false">MIN(N65/4000, 1)*20</f>
        <v>0.55</v>
      </c>
      <c r="BD65" s="7" t="n">
        <f aca="false">MIN(Z65/400,1)*20</f>
        <v>1.3</v>
      </c>
      <c r="BE65" s="21" t="n">
        <f aca="false">1-(MAX(J65-1900, 0)/750)</f>
        <v>1</v>
      </c>
      <c r="BF65" s="7" t="n">
        <f aca="false">((MAX($M65,1)*MIN($AJ65/300,1)))*IF(G65="Wagon",50,10)</f>
        <v>0</v>
      </c>
      <c r="BG65" s="7" t="n">
        <f aca="false">VLOOKUP($H65,Constants!$I:$K, 2, FALSE())</f>
        <v>1.15</v>
      </c>
      <c r="BH65" s="7" t="n">
        <f aca="false">VLOOKUP($H65,Constants!$I:$K, 3, FALSE())*IF(AND(G65="multiple_unit",AB65&lt;110),0.75,1)</f>
        <v>1.7</v>
      </c>
      <c r="BI65" s="7" t="n">
        <f aca="false">INT(POWER(((Constants!$G$2+$BB65+$BC65+$BD65+$BF65)*$BE65)*$BH65, 1.05))+$BA65</f>
        <v>20</v>
      </c>
      <c r="BJ65" s="7" t="n">
        <f aca="false">INT(POWER((((Constants!$G$1+$BB65+$BC65+$BD65+$BF65)*($BE65))*$BG65),IF($G65="wagon",1,1.2)))+$AZ65</f>
        <v>42</v>
      </c>
      <c r="BK65" s="22" t="n">
        <f aca="false">BI65*IF($G65="wagon",62.5,781.25)</f>
        <v>15625</v>
      </c>
      <c r="BL65" s="22" t="n">
        <f aca="false">BJ65*IF($G65="wagon",2.73,81.25)</f>
        <v>3412.5</v>
      </c>
      <c r="BV65" s="0" t="n">
        <v>12</v>
      </c>
      <c r="CA65" s="9" t="str">
        <f aca="false">VLOOKUP(J65,Eras!$A$2:$C$10, 2, TRUE())</f>
        <v>vct</v>
      </c>
      <c r="CB65" s="0" t="s">
        <v>194</v>
      </c>
      <c r="CC65" s="9" t="str">
        <f aca="false">CONCATENATE(CA65,"_",CB65)</f>
        <v>vct_Cheap</v>
      </c>
      <c r="CD65" s="9" t="str">
        <f aca="false">_xlfn.CONCAT(H65, "_",I65)</f>
        <v>steam_NARROW_GAUGE</v>
      </c>
      <c r="CE65" s="23" t="str">
        <f aca="false" t="array" ref="CE65:CE65">IF(AN65&lt;&gt;"na", _xlfn.CONCAT("{BLACK}Length: {GOLD}", TEXT(ROUNDUP(IF(AQ65&lt;&gt;"",SUM(VALUE(_xlfn.TEXTSPLIT(AQ65, ","))), SUM(VALUE(_xlfn.TEXTSPLIT(AN65, ",")))*IF(M65, M65, 1))/16, 1),"#,##0.0"), " tiles{}"), "")</f>
        <v>{BLACK}Length: {GOLD}0.3 tiles{}</v>
      </c>
      <c r="CF65" s="9" t="str">
        <f aca="false">VLOOKUP($CD65, Constants!$M:$N, 2, FALSE())</f>
        <v>{BLACK}Powered by: {GOLD}Steam</v>
      </c>
      <c r="CG65" s="9" t="str">
        <f aca="false">IF(AND(L65&gt;1,BN65&lt;&gt;1),_xlfn.CONCAT("{BLACK}Cars: {GOLD}", L65),"")</f>
        <v/>
      </c>
      <c r="CH65" s="0" t="s">
        <v>322</v>
      </c>
      <c r="CI65" s="0" t="str">
        <f aca="false">IF($BU65="!param_no_gameplay_units","{GREEN}Included for gameplay purposes","")</f>
        <v/>
      </c>
      <c r="CJ65" s="0" t="str">
        <f aca="false">IF(BX65="buffet","{YELLOW}25% long distance bonus for consist{}",IF(BY65="DANDY","{YELLOW}Faster downhill speeds for horse-drawn trains (1 required per 2 horses){}",IF(BY65="BRAKE","{YELLOW}Speed bonus for slow wagons{}",IF(BY65="NGPassengers","{YELLOW}Preserved railway bonus: passengers pay more when hauled by old locomotives{}",IF(AND(BW65&gt;190,NOT(AND(I65="NARROW_GAUGE",BY65&lt;&gt;"PASS"))),CONCATENATE("{YELLOW}",INT((BW65-185)/1.85),"% bonus for long distance travel{}"),IF(AND(BW65&lt;180,BW65&lt;&gt;0),CONCATENATE("{YELLOW}",INT((185-BW65)/1.85),"% penalty for long distance travel{}"),""))))))</f>
        <v/>
      </c>
      <c r="CK65" s="0" t="str">
        <f aca="false">_xlfn.CONCAT(CF65,IF(CF65&lt;&gt;""," ",""),CG65,IF(OR(CG65&lt;&gt;"",CF65&lt;&gt;""),"{}",""),CE65,CJ65,"{SILVER}",CH65,IF(CI65&lt;&gt;"","{}{}",""),CI65)</f>
        <v>{BLACK}Powered by: {GOLD}Steam {}{BLACK}Length: {GOLD}0.3 tiles{}{SILVER}"Talyllyn" was delivered to the Talyllyn railway as an 0-4-0, but converted to 0-4-2 after a few years to improve riding quality. It was retired in 1945, but refurbished in the late 1950s and returned to preservation service.</v>
      </c>
    </row>
    <row r="66" customFormat="false" ht="14.25" hidden="false" customHeight="false" outlineLevel="0" collapsed="false">
      <c r="A66" s="0" t="s">
        <v>323</v>
      </c>
      <c r="B66" s="0" t="s">
        <v>324</v>
      </c>
      <c r="C66" s="0" t="n">
        <v>10</v>
      </c>
      <c r="E66" s="0" t="n">
        <v>2004</v>
      </c>
      <c r="F66" s="0" t="s">
        <v>115</v>
      </c>
      <c r="G66" s="0" t="s">
        <v>161</v>
      </c>
      <c r="H66" s="0" t="s">
        <v>162</v>
      </c>
      <c r="I66" s="0" t="s">
        <v>312</v>
      </c>
      <c r="J66" s="0" t="n">
        <v>1866</v>
      </c>
      <c r="L66" s="0" t="n">
        <v>1945</v>
      </c>
      <c r="N66" s="0" t="n">
        <v>85</v>
      </c>
      <c r="P66" s="2" t="n">
        <v>7.6</v>
      </c>
      <c r="Q66" s="2" t="n">
        <v>16</v>
      </c>
      <c r="R66" s="2" t="n">
        <v>2</v>
      </c>
      <c r="S66" s="2" t="n">
        <v>150</v>
      </c>
      <c r="T66" s="25" t="n">
        <f aca="false">((($AB66/2)/60)*5280)/($U66*3.2*PI())</f>
        <v>156.312890536683</v>
      </c>
      <c r="U66" s="2" t="n">
        <v>0.7</v>
      </c>
      <c r="V66" s="2" t="n">
        <f aca="false">((($P66*$P66/4)*PI())*($Q66/12)*$R66*$S66*$T66)/(33000*1.1)</f>
        <v>78.1385281385281</v>
      </c>
      <c r="W66" s="0" t="n">
        <v>10</v>
      </c>
      <c r="Y66" s="0" t="n">
        <v>5</v>
      </c>
      <c r="Z66" s="0" t="n">
        <v>18</v>
      </c>
      <c r="AA66" s="3" t="n">
        <f aca="false">IF(AND(W66&gt;0,Z66&gt;0),(Z66/((W66+X66)*10)),"")</f>
        <v>0.18</v>
      </c>
      <c r="AB66" s="0" t="n">
        <v>25</v>
      </c>
      <c r="AC66" s="0" t="n">
        <f aca="false">ROUND(AB66*1.6, 0)</f>
        <v>40</v>
      </c>
      <c r="AF66" s="0" t="n">
        <v>5.5</v>
      </c>
      <c r="AG66" s="0" t="n">
        <v>6</v>
      </c>
      <c r="AJ66" s="4" t="n">
        <v>0</v>
      </c>
      <c r="AK66" s="5" t="str">
        <f aca="false">CONCATENATE(VLOOKUP(AL66, 'Voxel Sizes'!$A$2:$B$18,2,FALSE()),"x",INT(AH66*15), "x", INT(AI66*15))</f>
        <v>66x0x0</v>
      </c>
      <c r="AL66" s="5" t="n">
        <f aca="false">ROUND(15*((AG66*10)/256),0)</f>
        <v>4</v>
      </c>
      <c r="AN66" s="5" t="str">
        <f aca="false">CONCATENATE(VLOOKUP(AL66,Constants!$A$2:$C$16,IF(AM66&lt;&gt;"", 3, 2), FALSE()),IF(AM66&lt;&gt;"",CONCATENATE(",",VLOOKUP(AM66,$B:$AN,39,FALSE())),""))</f>
        <v>1,2,1</v>
      </c>
      <c r="AV66" s="0" t="n">
        <v>1</v>
      </c>
      <c r="AX66" s="0" t="n">
        <v>250</v>
      </c>
      <c r="AY66" s="5" t="n">
        <f aca="false">IF(L66&lt;&gt;"",MAX(16,(L66-J66)+8),"")</f>
        <v>87</v>
      </c>
      <c r="AZ66" s="0" t="n">
        <v>-5</v>
      </c>
      <c r="BA66" s="0" t="n">
        <v>-6</v>
      </c>
      <c r="BB66" s="7" t="n">
        <f aca="false">MIN(AB66/150, 1)*30</f>
        <v>5</v>
      </c>
      <c r="BC66" s="7" t="n">
        <f aca="false">MIN(N66/4000, 1)*20</f>
        <v>0.425</v>
      </c>
      <c r="BD66" s="7" t="n">
        <f aca="false">MIN(Z66/400,1)*20</f>
        <v>0.9</v>
      </c>
      <c r="BE66" s="21" t="n">
        <f aca="false">1-(MAX(J66-1900, 0)/750)</f>
        <v>1</v>
      </c>
      <c r="BF66" s="7" t="n">
        <f aca="false">((MAX($M66,1)*MIN($AJ66/300,1)))*IF(G66="Wagon",50,10)</f>
        <v>0</v>
      </c>
      <c r="BG66" s="7" t="n">
        <f aca="false">VLOOKUP($H66,Constants!$I:$K, 2, FALSE())</f>
        <v>1.15</v>
      </c>
      <c r="BH66" s="7" t="n">
        <f aca="false">VLOOKUP($H66,Constants!$I:$K, 3, FALSE())*IF(AND(G66="multiple_unit",AB66&lt;110),0.75,1)</f>
        <v>1.7</v>
      </c>
      <c r="BI66" s="7" t="n">
        <f aca="false">INT(POWER(((Constants!$G$2+$BB66+$BC66+$BD66+$BF66)*$BE66)*$BH66, 1.05))+$BA66</f>
        <v>16</v>
      </c>
      <c r="BJ66" s="7" t="n">
        <f aca="false">INT(POWER((((Constants!$G$1+$BB66+$BC66+$BD66+$BF66)*($BE66))*$BG66),IF($G66="wagon",1,1.2)))+$AZ66</f>
        <v>41</v>
      </c>
      <c r="BK66" s="22" t="n">
        <f aca="false">BI66*IF($G66="wagon",62.5,781.25)</f>
        <v>12500</v>
      </c>
      <c r="BL66" s="22" t="n">
        <f aca="false">BJ66*IF($G66="wagon",2.73,81.25)</f>
        <v>3331.25</v>
      </c>
      <c r="BV66" s="0" t="n">
        <v>11</v>
      </c>
      <c r="CA66" s="9" t="str">
        <f aca="false">VLOOKUP(J66,Eras!$A$2:$C$10, 2, TRUE())</f>
        <v>vct</v>
      </c>
      <c r="CB66" s="0" t="s">
        <v>194</v>
      </c>
      <c r="CC66" s="9" t="str">
        <f aca="false">CONCATENATE(CA66,"_",CB66)</f>
        <v>vct_Cheap</v>
      </c>
      <c r="CD66" s="9" t="str">
        <f aca="false">_xlfn.CONCAT(H66, "_",I66)</f>
        <v>steam_NARROW_GAUGE</v>
      </c>
      <c r="CE66" s="23" t="str">
        <f aca="false" t="array" ref="CE66:CE66">IF(AN66&lt;&gt;"na", _xlfn.CONCAT("{BLACK}Length: {GOLD}", TEXT(ROUNDUP(IF(AQ66&lt;&gt;"",SUM(VALUE(_xlfn.TEXTSPLIT(AQ66, ","))), SUM(VALUE(_xlfn.TEXTSPLIT(AN66, ",")))*IF(M66, M66, 1))/16, 1),"#,##0.0"), " tiles{}"), "")</f>
        <v>{BLACK}Length: {GOLD}0.3 tiles{}</v>
      </c>
      <c r="CF66" s="9" t="str">
        <f aca="false">VLOOKUP($CD66, Constants!$M:$N, 2, FALSE())</f>
        <v>{BLACK}Powered by: {GOLD}Steam</v>
      </c>
      <c r="CG66" s="9" t="str">
        <f aca="false">IF(AND(L66&gt;1,BN66&lt;&gt;1),_xlfn.CONCAT("{BLACK}Cars: {GOLD}", L66),"")</f>
        <v/>
      </c>
      <c r="CH66" s="0" t="s">
        <v>325</v>
      </c>
      <c r="CI66" s="0" t="str">
        <f aca="false">IF($BU66="!param_no_gameplay_units","{GREEN}Included for gameplay purposes","")</f>
        <v/>
      </c>
      <c r="CJ66" s="0" t="str">
        <f aca="false">IF(BX66="buffet","{YELLOW}25% long distance bonus for consist{}",IF(BY66="DANDY","{YELLOW}Faster downhill speeds for horse-drawn trains (1 required per 2 horses){}",IF(BY66="BRAKE","{YELLOW}Speed bonus for slow wagons{}",IF(BY66="NGPassengers","{YELLOW}Preserved railway bonus: passengers pay more when hauled by old locomotives{}",IF(AND(BW66&gt;190,NOT(AND(I66="NARROW_GAUGE",BY66&lt;&gt;"PASS"))),CONCATENATE("{YELLOW}",INT((BW66-185)/1.85),"% bonus for long distance travel{}"),IF(AND(BW66&lt;180,BW66&lt;&gt;0),CONCATENATE("{YELLOW}",INT((185-BW66)/1.85),"% penalty for long distance travel{}"),""))))))</f>
        <v/>
      </c>
      <c r="CK66" s="0" t="str">
        <f aca="false">_xlfn.CONCAT(CF66,IF(CF66&lt;&gt;""," ",""),CG66,IF(OR(CG66&lt;&gt;"",CF66&lt;&gt;""),"{}",""),CE66,CJ66,"{SILVER}",CH66,IF(CI66&lt;&gt;"","{}{}",""),CI66)</f>
        <v>{BLACK}Powered by: {GOLD}Steam {}{BLACK}Length: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67" customFormat="false" ht="14.25" hidden="false" customHeight="false" outlineLevel="0" collapsed="false">
      <c r="A67" s="0" t="s">
        <v>326</v>
      </c>
      <c r="B67" s="0" t="s">
        <v>327</v>
      </c>
      <c r="C67" s="0" t="n">
        <v>12</v>
      </c>
      <c r="E67" s="0" t="n">
        <v>2005</v>
      </c>
      <c r="F67" s="0" t="s">
        <v>115</v>
      </c>
      <c r="G67" s="0" t="s">
        <v>161</v>
      </c>
      <c r="H67" s="0" t="s">
        <v>162</v>
      </c>
      <c r="I67" s="0" t="s">
        <v>312</v>
      </c>
      <c r="J67" s="0" t="n">
        <v>1869</v>
      </c>
      <c r="N67" s="0" t="n">
        <v>275</v>
      </c>
      <c r="P67" s="2" t="n">
        <v>8.25</v>
      </c>
      <c r="Q67" s="2" t="n">
        <v>13</v>
      </c>
      <c r="R67" s="2" t="n">
        <v>4</v>
      </c>
      <c r="S67" s="2" t="n">
        <v>160</v>
      </c>
      <c r="T67" s="25" t="n">
        <f aca="false">((($AB67/2)/60)*5280)/($U67*3.2*PI())</f>
        <v>218.838046751356</v>
      </c>
      <c r="U67" s="2" t="n">
        <v>0.7</v>
      </c>
      <c r="V67" s="2" t="n">
        <f aca="false">((($P67*$P67/4)*PI())*($Q67/12)*$R67*$S67*$T67)/(33000*1.1)</f>
        <v>223.4375</v>
      </c>
      <c r="W67" s="0" t="n">
        <v>10</v>
      </c>
      <c r="Y67" s="0" t="n">
        <v>5</v>
      </c>
      <c r="Z67" s="0" t="n">
        <v>38</v>
      </c>
      <c r="AA67" s="3" t="n">
        <f aca="false">IF(AND(W67&gt;0,Z67&gt;0),(Z67/((W67+X67)*10)),"")</f>
        <v>0.38</v>
      </c>
      <c r="AB67" s="0" t="n">
        <v>35</v>
      </c>
      <c r="AC67" s="0" t="n">
        <f aca="false">ROUND(AB67*1.6, 0)</f>
        <v>56</v>
      </c>
      <c r="AG67" s="0" t="n">
        <v>12</v>
      </c>
      <c r="AJ67" s="4" t="n">
        <v>0</v>
      </c>
      <c r="AK67" s="5" t="str">
        <f aca="false">CONCATENATE(VLOOKUP(AL67, 'Voxel Sizes'!$A$2:$B$18,2,FALSE()),"x",INT(AH67*15), "x", INT(AI67*15))</f>
        <v>120x0x0</v>
      </c>
      <c r="AL67" s="5" t="n">
        <f aca="false">ROUND(15*((AG67*10)/256),0)</f>
        <v>7</v>
      </c>
      <c r="AN67" s="5" t="str">
        <f aca="false">CONCATENATE(VLOOKUP(AL67,Constants!$A$2:$C$16,IF(AM67&lt;&gt;"", 3, 2), FALSE()),IF(AM67&lt;&gt;"",CONCATENATE(",",VLOOKUP(AM67,$B:$AN,39,FALSE())),""))</f>
        <v>2,3,2</v>
      </c>
      <c r="AV67" s="0" t="n">
        <v>1</v>
      </c>
      <c r="AX67" s="0" t="n">
        <v>250</v>
      </c>
      <c r="AY67" s="5" t="str">
        <f aca="false">IF(L67&lt;&gt;"",MAX(16,(L67-J67)+8),"")</f>
        <v/>
      </c>
      <c r="AZ67" s="0" t="n">
        <v>-5</v>
      </c>
      <c r="BA67" s="0" t="n">
        <v>-6</v>
      </c>
      <c r="BB67" s="7" t="n">
        <f aca="false">MIN(AB67/150, 1)*30</f>
        <v>7</v>
      </c>
      <c r="BC67" s="7" t="n">
        <f aca="false">MIN(N67/4000, 1)*20</f>
        <v>1.375</v>
      </c>
      <c r="BD67" s="7" t="n">
        <f aca="false">MIN(Z67/400,1)*20</f>
        <v>1.9</v>
      </c>
      <c r="BE67" s="21" t="n">
        <f aca="false">1-(MAX(J67-1900, 0)/750)</f>
        <v>1</v>
      </c>
      <c r="BF67" s="7" t="n">
        <f aca="false">((MAX($M67,1)*MIN($AJ67/300,1)))*IF(G67="Wagon",50,10)</f>
        <v>0</v>
      </c>
      <c r="BG67" s="7" t="n">
        <f aca="false">VLOOKUP($H67,Constants!$I:$K, 2, FALSE())</f>
        <v>1.15</v>
      </c>
      <c r="BH67" s="7" t="n">
        <f aca="false">VLOOKUP($H67,Constants!$I:$K, 3, FALSE())*IF(AND(G67="multiple_unit",AB67&lt;110),0.75,1)</f>
        <v>1.7</v>
      </c>
      <c r="BI67" s="7" t="n">
        <f aca="false">INT(POWER(((Constants!$G$2+$BB67+$BC67+$BD67+$BF67)*$BE67)*$BH67, 1.05))+$BA67</f>
        <v>24</v>
      </c>
      <c r="BJ67" s="7" t="n">
        <f aca="false">INT(POWER((((Constants!$G$1+$BB67+$BC67+$BD67+$BF67)*($BE67))*$BG67),IF($G67="wagon",1,1.2)))+$AZ67</f>
        <v>52</v>
      </c>
      <c r="BK67" s="22" t="n">
        <f aca="false">BI67*IF($G67="wagon",62.5,781.25)</f>
        <v>18750</v>
      </c>
      <c r="BL67" s="22" t="n">
        <f aca="false">BJ67*IF($G67="wagon",2.73,81.25)</f>
        <v>4225</v>
      </c>
      <c r="BV67" s="0" t="n">
        <v>11</v>
      </c>
      <c r="CA67" s="9" t="str">
        <f aca="false">VLOOKUP(J67,Eras!$A$2:$C$10, 2, TRUE())</f>
        <v>vct</v>
      </c>
      <c r="CB67" s="0" t="s">
        <v>194</v>
      </c>
      <c r="CC67" s="9" t="str">
        <f aca="false">CONCATENATE(CA67,"_",CB67)</f>
        <v>vct_Cheap</v>
      </c>
      <c r="CD67" s="9" t="str">
        <f aca="false">_xlfn.CONCAT(H67, "_",I67)</f>
        <v>steam_NARROW_GAUGE</v>
      </c>
      <c r="CE67" s="23" t="str">
        <f aca="false" t="array" ref="CE67:CE67">IF(AN67&lt;&gt;"na", _xlfn.CONCAT("{BLACK}Length: {GOLD}", TEXT(ROUNDUP(IF(AQ67&lt;&gt;"",SUM(VALUE(_xlfn.TEXTSPLIT(AQ67, ","))), SUM(VALUE(_xlfn.TEXTSPLIT(AN67, ",")))*IF(M67, M67, 1))/16, 1),"#,##0.0"), " tiles{}"), "")</f>
        <v>{BLACK}Length: {GOLD}0.5 tiles{}</v>
      </c>
      <c r="CF67" s="9" t="str">
        <f aca="false">VLOOKUP($CD67, Constants!$M:$N, 2, FALSE())</f>
        <v>{BLACK}Powered by: {GOLD}Steam</v>
      </c>
      <c r="CG67" s="9" t="str">
        <f aca="false">IF(AND(L67&gt;1,BN67&lt;&gt;1),_xlfn.CONCAT("{BLACK}Cars: {GOLD}", L67),"")</f>
        <v/>
      </c>
      <c r="CH67" s="0" t="s">
        <v>328</v>
      </c>
      <c r="CI67" s="0" t="str">
        <f aca="false">IF($BU67="!param_no_gameplay_units","{GREEN}Included for gameplay purposes","")</f>
        <v/>
      </c>
      <c r="CJ67" s="0" t="str">
        <f aca="false">IF(BX67="buffet","{YELLOW}25% long distance bonus for consist{}",IF(BY67="DANDY","{YELLOW}Faster downhill speeds for horse-drawn trains (1 required per 2 horses){}",IF(BY67="BRAKE","{YELLOW}Speed bonus for slow wagons{}",IF(BY67="NGPassengers","{YELLOW}Preserved railway bonus: passengers pay more when hauled by old locomotives{}",IF(AND(BW67&gt;190,NOT(AND(I67="NARROW_GAUGE",BY67&lt;&gt;"PASS"))),CONCATENATE("{YELLOW}",INT((BW67-185)/1.85),"% bonus for long distance travel{}"),IF(AND(BW67&lt;180,BW67&lt;&gt;0),CONCATENATE("{YELLOW}",INT((185-BW67)/1.85),"% penalty for long distance travel{}"),""))))))</f>
        <v/>
      </c>
      <c r="CK67" s="0" t="str">
        <f aca="false">_xlfn.CONCAT(CF67,IF(CF67&lt;&gt;""," ",""),CG67,IF(OR(CG67&lt;&gt;"",CF67&lt;&gt;""),"{}",""),CE67,CJ67,"{SILVER}",CH67,IF(CI67&lt;&gt;"","{}{}",""),CI67)</f>
        <v>{BLACK}Powered by: {GOLD}Steam {}{BLACK}Length: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68" customFormat="false" ht="14.25" hidden="false" customHeight="false" outlineLevel="0" collapsed="false">
      <c r="A68" s="0" t="s">
        <v>329</v>
      </c>
      <c r="B68" s="0" t="s">
        <v>330</v>
      </c>
      <c r="C68" s="0" t="n">
        <v>15</v>
      </c>
      <c r="E68" s="0" t="n">
        <v>2006</v>
      </c>
      <c r="F68" s="0" t="s">
        <v>115</v>
      </c>
      <c r="G68" s="0" t="s">
        <v>161</v>
      </c>
      <c r="H68" s="0" t="s">
        <v>162</v>
      </c>
      <c r="I68" s="0" t="s">
        <v>312</v>
      </c>
      <c r="J68" s="0" t="n">
        <v>1903</v>
      </c>
      <c r="L68" s="0" t="n">
        <v>1960</v>
      </c>
      <c r="N68" s="0" t="n">
        <v>55</v>
      </c>
      <c r="P68" s="2" t="n">
        <v>7</v>
      </c>
      <c r="Q68" s="2" t="n">
        <v>10</v>
      </c>
      <c r="R68" s="2" t="n">
        <v>2</v>
      </c>
      <c r="S68" s="2" t="n">
        <v>160</v>
      </c>
      <c r="T68" s="25" t="n">
        <f aca="false">((($AB68/2)/60)*5280)/($U68*3.2*PI())</f>
        <v>187.57546864402</v>
      </c>
      <c r="U68" s="2" t="n">
        <v>0.7</v>
      </c>
      <c r="V68" s="2" t="n">
        <f aca="false">((($P68*$P68/4)*PI())*($Q68/12)*$R68*$S68*$T68)/(33000*1.1)</f>
        <v>53.030303030303</v>
      </c>
      <c r="W68" s="0" t="n">
        <v>7</v>
      </c>
      <c r="Y68" s="0" t="n">
        <v>5</v>
      </c>
      <c r="Z68" s="0" t="n">
        <v>12</v>
      </c>
      <c r="AA68" s="3" t="n">
        <f aca="false">IF(AND(W68&gt;0,Z68&gt;0),(Z68/((W68+X68)*10)),"")</f>
        <v>0.171428571428571</v>
      </c>
      <c r="AB68" s="0" t="n">
        <v>30</v>
      </c>
      <c r="AC68" s="0" t="n">
        <f aca="false">ROUND(AB68*1.6, 0)</f>
        <v>48</v>
      </c>
      <c r="AF68" s="0" t="n">
        <v>4</v>
      </c>
      <c r="AG68" s="0" t="n">
        <v>6</v>
      </c>
      <c r="AJ68" s="4" t="n">
        <v>0</v>
      </c>
      <c r="AK68" s="5" t="str">
        <f aca="false">CONCATENATE(VLOOKUP(AL68, 'Voxel Sizes'!$A$2:$B$18,2,FALSE()),"x",INT(AH68*15), "x", INT(AI68*15))</f>
        <v>66x0x0</v>
      </c>
      <c r="AL68" s="5" t="n">
        <f aca="false">ROUND(15*((AG68*10)/256),0)</f>
        <v>4</v>
      </c>
      <c r="AN68" s="5" t="str">
        <f aca="false">CONCATENATE(VLOOKUP(AL68,Constants!$A$2:$C$16,IF(AM68&lt;&gt;"", 3, 2), FALSE()),IF(AM68&lt;&gt;"",CONCATENATE(",",VLOOKUP(AM68,$B:$AN,39,FALSE())),""))</f>
        <v>1,2,1</v>
      </c>
      <c r="AV68" s="0" t="n">
        <v>1</v>
      </c>
      <c r="AX68" s="0" t="n">
        <v>250</v>
      </c>
      <c r="AY68" s="5" t="n">
        <f aca="false">IF(L68&lt;&gt;"",MAX(16,(L68-J68)+8),"")</f>
        <v>65</v>
      </c>
      <c r="AZ68" s="0" t="n">
        <v>-5</v>
      </c>
      <c r="BA68" s="0" t="n">
        <v>-5</v>
      </c>
      <c r="BB68" s="7" t="n">
        <f aca="false">MIN(AB68/150, 1)*30</f>
        <v>6</v>
      </c>
      <c r="BC68" s="7" t="n">
        <f aca="false">MIN(N68/4000, 1)*20</f>
        <v>0.275</v>
      </c>
      <c r="BD68" s="7" t="n">
        <f aca="false">MIN(Z68/400,1)*20</f>
        <v>0.6</v>
      </c>
      <c r="BE68" s="21" t="n">
        <f aca="false">1-(MAX(J68-1900, 0)/750)</f>
        <v>0.996</v>
      </c>
      <c r="BF68" s="7" t="n">
        <f aca="false">((MAX($M68,1)*MIN($AJ68/300,1)))*IF(G68="Wagon",50,10)</f>
        <v>0</v>
      </c>
      <c r="BG68" s="7" t="n">
        <f aca="false">VLOOKUP($H68,Constants!$I:$K, 2, FALSE())</f>
        <v>1.15</v>
      </c>
      <c r="BH68" s="7" t="n">
        <f aca="false">VLOOKUP($H68,Constants!$I:$K, 3, FALSE())*IF(AND(G68="multiple_unit",AB68&lt;110),0.75,1)</f>
        <v>1.7</v>
      </c>
      <c r="BI68" s="7" t="n">
        <f aca="false">INT(POWER(((Constants!$G$2+$BB68+$BC68+$BD68+$BF68)*$BE68)*$BH68, 1.05))+$BA68</f>
        <v>18</v>
      </c>
      <c r="BJ68" s="7" t="n">
        <f aca="false">INT(POWER((((Constants!$G$1+$BB68+$BC68+$BD68+$BF68)*($BE68))*$BG68),IF($G68="wagon",1,1.2)))+$AZ68</f>
        <v>42</v>
      </c>
      <c r="BK68" s="22" t="n">
        <f aca="false">BI68*IF($G68="wagon",62.5,781.25)</f>
        <v>14062.5</v>
      </c>
      <c r="BL68" s="22" t="n">
        <f aca="false">BJ68*IF($G68="wagon",2.73,81.25)</f>
        <v>3412.5</v>
      </c>
      <c r="BV68" s="0" t="n">
        <v>10</v>
      </c>
      <c r="CA68" s="9" t="str">
        <f aca="false">VLOOKUP(J68,Eras!$A$2:$C$10, 2, TRUE())</f>
        <v>edw</v>
      </c>
      <c r="CB68" s="0" t="s">
        <v>194</v>
      </c>
      <c r="CC68" s="9" t="str">
        <f aca="false">CONCATENATE(CA68,"_",CB68)</f>
        <v>edw_Cheap</v>
      </c>
      <c r="CD68" s="9" t="str">
        <f aca="false">_xlfn.CONCAT(H68, "_",I68)</f>
        <v>steam_NARROW_GAUGE</v>
      </c>
      <c r="CE68" s="23" t="str">
        <f aca="false" t="array" ref="CE68:CE68">IF(AN68&lt;&gt;"na", _xlfn.CONCAT("{BLACK}Length: {GOLD}", TEXT(ROUNDUP(IF(AQ68&lt;&gt;"",SUM(VALUE(_xlfn.TEXTSPLIT(AQ68, ","))), SUM(VALUE(_xlfn.TEXTSPLIT(AN68, ",")))*IF(M68, M68, 1))/16, 1),"#,##0.0"), " tiles{}"), "")</f>
        <v>{BLACK}Length: {GOLD}0.3 tiles{}</v>
      </c>
      <c r="CF68" s="9" t="str">
        <f aca="false">VLOOKUP($CD68, Constants!$M:$N, 2, FALSE())</f>
        <v>{BLACK}Powered by: {GOLD}Steam</v>
      </c>
      <c r="CG68" s="9" t="str">
        <f aca="false">IF(AND(L68&gt;1,BN68&lt;&gt;1),_xlfn.CONCAT("{BLACK}Cars: {GOLD}", L68),"")</f>
        <v/>
      </c>
      <c r="CH68" s="0" t="s">
        <v>331</v>
      </c>
      <c r="CI68" s="0" t="str">
        <f aca="false">IF($BU68="!param_no_gameplay_units","{GREEN}Included for gameplay purposes","")</f>
        <v/>
      </c>
      <c r="CJ68" s="0" t="str">
        <f aca="false">IF(BX68="buffet","{YELLOW}25% long distance bonus for consist{}",IF(BY68="DANDY","{YELLOW}Faster downhill speeds for horse-drawn trains (1 required per 2 horses){}",IF(BY68="BRAKE","{YELLOW}Speed bonus for slow wagons{}",IF(BY68="NGPassengers","{YELLOW}Preserved railway bonus: passengers pay more when hauled by old locomotives{}",IF(AND(BW68&gt;190,NOT(AND(I68="NARROW_GAUGE",BY68&lt;&gt;"PASS"))),CONCATENATE("{YELLOW}",INT((BW68-185)/1.85),"% bonus for long distance travel{}"),IF(AND(BW68&lt;180,BW68&lt;&gt;0),CONCATENATE("{YELLOW}",INT((185-BW68)/1.85),"% penalty for long distance travel{}"),""))))))</f>
        <v/>
      </c>
      <c r="CK68" s="0" t="str">
        <f aca="false">_xlfn.CONCAT(CF68,IF(CF68&lt;&gt;""," ",""),CG68,IF(OR(CG68&lt;&gt;"",CF68&lt;&gt;""),"{}",""),CE68,CJ68,"{SILVER}",CH68,IF(CI68&lt;&gt;"","{}{}",""),CI68)</f>
        <v>{BLACK}Powered by: {GOLD}Steam {}{BLACK}Length: {GOLD}0.3 tiles{}{SILVER}These small Hunslet tank engines were used as quarry locomotives. "Alice" worked at Dinorwic, being used as a source of spare parts afterward, before being restored in the late '80s and early '90s and now running on the Bala Lake Railway.</v>
      </c>
    </row>
    <row r="69" customFormat="false" ht="14.25" hidden="false" customHeight="false" outlineLevel="0" collapsed="false">
      <c r="A69" s="0" t="s">
        <v>332</v>
      </c>
      <c r="B69" s="0" t="s">
        <v>333</v>
      </c>
      <c r="C69" s="0" t="n">
        <v>20</v>
      </c>
      <c r="E69" s="0" t="n">
        <v>-1</v>
      </c>
      <c r="G69" s="0" t="s">
        <v>188</v>
      </c>
      <c r="H69" s="0" t="s">
        <v>162</v>
      </c>
      <c r="I69" s="0" t="s">
        <v>312</v>
      </c>
      <c r="J69" s="0" t="n">
        <v>1903</v>
      </c>
      <c r="L69" s="0" t="n">
        <v>1951</v>
      </c>
      <c r="T69" s="25" t="n">
        <f aca="false">((($AB69/2)/60)*5280)/($U69*3.2*PI())</f>
        <v>0</v>
      </c>
      <c r="U69" s="2" t="n">
        <v>0.7</v>
      </c>
      <c r="V69" s="2" t="n">
        <f aca="false">((($P69*$P69/4)*PI())*($Q69/12)*$R69*$S69*$T69)/(33000*1.1)</f>
        <v>0</v>
      </c>
      <c r="Y69" s="0" t="n">
        <v>5</v>
      </c>
      <c r="AA69" s="3" t="str">
        <f aca="false">IF(AND(W69&gt;0,Z69&gt;0),(Z69/((W69+X69)*10)),"")</f>
        <v/>
      </c>
      <c r="AC69" s="0" t="n">
        <f aca="false">ROUND(AB69*1.6, 0)</f>
        <v>0</v>
      </c>
      <c r="AJ69" s="4" t="n">
        <v>0</v>
      </c>
      <c r="AK69" s="5" t="str">
        <f aca="false">CONCATENATE(VLOOKUP(AL69, 'Voxel Sizes'!$A$2:$B$18,2,FALSE()),"x",INT(AH69*15), "x", INT(AI69*15))</f>
        <v>0x0x0</v>
      </c>
      <c r="AL69" s="5" t="n">
        <f aca="false">ROUND(15*((AG69*10)/256),0)</f>
        <v>0</v>
      </c>
      <c r="AN69" s="5" t="str">
        <f aca="false">CONCATENATE(VLOOKUP(AL69,Constants!$A$2:$C$16,IF(AM69&lt;&gt;"", 3, 2), FALSE()),IF(AM69&lt;&gt;"",CONCATENATE(",",VLOOKUP(AM69,$B:$AN,39,FALSE())),""))</f>
        <v>na</v>
      </c>
      <c r="AV69" s="0" t="n">
        <v>1</v>
      </c>
      <c r="AX69" s="0" t="n">
        <v>250</v>
      </c>
      <c r="AY69" s="5" t="n">
        <f aca="false">IF(L69&lt;&gt;"",MAX(16,(L69-J69)+8),"")</f>
        <v>56</v>
      </c>
      <c r="AZ69" s="0" t="n">
        <v>-5</v>
      </c>
      <c r="BA69" s="0" t="n">
        <v>-5</v>
      </c>
      <c r="BB69" s="7" t="n">
        <f aca="false">MIN(AB69/150, 1)*30</f>
        <v>0</v>
      </c>
      <c r="BC69" s="7" t="n">
        <f aca="false">MIN(N69/4000, 1)*20</f>
        <v>0</v>
      </c>
      <c r="BD69" s="7" t="n">
        <f aca="false">MIN(Z69/400,1)*20</f>
        <v>0</v>
      </c>
      <c r="BE69" s="21" t="n">
        <f aca="false">1-(MAX(J69-1900, 0)/750)</f>
        <v>0.996</v>
      </c>
      <c r="BF69" s="7" t="n">
        <f aca="false">((MAX($M69,1)*MIN($AJ69/300,1)))*IF(G69="Wagon",50,10)</f>
        <v>0</v>
      </c>
      <c r="BG69" s="7" t="n">
        <f aca="false">VLOOKUP($H69,Constants!$I:$K, 2, FALSE())</f>
        <v>1.15</v>
      </c>
      <c r="BH69" s="7" t="n">
        <f aca="false">VLOOKUP($H69,Constants!$I:$K, 3, FALSE())*IF(AND(G69="multiple_unit",AB69&lt;110),0.75,1)</f>
        <v>1.7</v>
      </c>
      <c r="BI69" s="7" t="n">
        <f aca="false">INT(POWER(((Constants!$G$2+$BB69+$BC69+$BD69+$BF69)*$BE69)*$BH69, 1.05))+$BA69</f>
        <v>4</v>
      </c>
      <c r="BJ69" s="7" t="n">
        <f aca="false">INT(POWER((((Constants!$G$1+$BB69+$BC69+$BD69+$BF69)*($BE69))*$BG69),IF($G69="wagon",1,1.2)))+$AZ69</f>
        <v>25</v>
      </c>
      <c r="BK69" s="22" t="n">
        <f aca="false">BI69*IF($G69="wagon",62.5,781.25)</f>
        <v>3125</v>
      </c>
      <c r="BL69" s="22" t="n">
        <f aca="false">BJ69*IF($G69="wagon",2.73,81.25)</f>
        <v>2031.25</v>
      </c>
      <c r="BV69" s="0" t="n">
        <v>9</v>
      </c>
      <c r="CA69" s="9" t="str">
        <f aca="false">VLOOKUP(J69,Eras!$A$2:$C$10, 2, TRUE())</f>
        <v>edw</v>
      </c>
      <c r="CB69" s="0" t="s">
        <v>194</v>
      </c>
      <c r="CC69" s="9" t="str">
        <f aca="false">CONCATENATE(CA69,"_",CB69)</f>
        <v>edw_Cheap</v>
      </c>
      <c r="CD69" s="9" t="str">
        <f aca="false">_xlfn.CONCAT(H69, "_",I69)</f>
        <v>steam_NARROW_GAUGE</v>
      </c>
      <c r="CE69" s="23" t="str">
        <f aca="false" t="array" ref="CE69:CE69">IF(AN69&lt;&gt;"na", _xlfn.CONCAT("{BLACK}Length: {GOLD}", TEXT(ROUNDUP(IF(AQ69&lt;&gt;"",SUM(VALUE(_xlfn.TEXTSPLIT(AQ69, ","))), SUM(VALUE(_xlfn.TEXTSPLIT(AN69, ",")))*IF(M69, M69, 1))/16, 1),"#,##0.0"), " tiles{}"), "")</f>
        <v/>
      </c>
      <c r="CF69" s="9" t="str">
        <f aca="false">VLOOKUP($CD69, Constants!$M:$N, 2, FALSE())</f>
        <v>{BLACK}Powered by: {GOLD}Steam</v>
      </c>
      <c r="CG69" s="9" t="str">
        <f aca="false">IF(AND(L69&gt;1,BN69&lt;&gt;1),_xlfn.CONCAT("{BLACK}Cars: {GOLD}", L69),"")</f>
        <v/>
      </c>
      <c r="CI69" s="0" t="str">
        <f aca="false">IF($BU69="!param_no_gameplay_units","{GREEN}Included for gameplay purposes","")</f>
        <v/>
      </c>
      <c r="CJ69" s="0" t="str">
        <f aca="false">IF(BX69="buffet","{YELLOW}25% long distance bonus for consist{}",IF(BY69="DANDY","{YELLOW}Faster downhill speeds for horse-drawn trains (1 required per 2 horses){}",IF(BY69="BRAKE","{YELLOW}Speed bonus for slow wagons{}",IF(BY69="NGPassengers","{YELLOW}Preserved railway bonus: passengers pay more when hauled by old locomotives{}",IF(AND(BW69&gt;190,NOT(AND(I69="NARROW_GAUGE",BY69&lt;&gt;"PASS"))),CONCATENATE("{YELLOW}",INT((BW69-185)/1.85),"% bonus for long distance travel{}"),IF(AND(BW69&lt;180,BW69&lt;&gt;0),CONCATENATE("{YELLOW}",INT((185-BW69)/1.85),"% penalty for long distance travel{}"),""))))))</f>
        <v/>
      </c>
      <c r="CK69" s="0" t="str">
        <f aca="false">_xlfn.CONCAT(CF69,IF(CF69&lt;&gt;""," ",""),CG69,IF(OR(CG69&lt;&gt;"",CF69&lt;&gt;""),"{}",""),CE69,CJ69,"{SILVER}",CH69,IF(CI69&lt;&gt;"","{}{}",""),CI69)</f>
        <v>{BLACK}Powered by: {GOLD}Steam {}{SILVER}</v>
      </c>
    </row>
    <row r="70" customFormat="false" ht="14.25" hidden="false" customHeight="false" outlineLevel="0" collapsed="false">
      <c r="A70" s="0" t="s">
        <v>334</v>
      </c>
      <c r="B70" s="0" t="s">
        <v>335</v>
      </c>
      <c r="C70" s="0" t="n">
        <v>25</v>
      </c>
      <c r="E70" s="0" t="n">
        <v>2007</v>
      </c>
      <c r="F70" s="0" t="s">
        <v>115</v>
      </c>
      <c r="G70" s="0" t="s">
        <v>161</v>
      </c>
      <c r="H70" s="0" t="s">
        <v>162</v>
      </c>
      <c r="I70" s="0" t="s">
        <v>312</v>
      </c>
      <c r="J70" s="0" t="n">
        <v>1918</v>
      </c>
      <c r="L70" s="0" t="n">
        <v>1955</v>
      </c>
      <c r="N70" s="0" t="n">
        <v>65</v>
      </c>
      <c r="P70" s="2" t="n">
        <v>6.8</v>
      </c>
      <c r="Q70" s="2" t="n">
        <v>10.75</v>
      </c>
      <c r="R70" s="2" t="n">
        <v>2</v>
      </c>
      <c r="S70" s="2" t="n">
        <v>160</v>
      </c>
      <c r="T70" s="25" t="n">
        <f aca="false">((($AB70/2)/60)*5280)/($U70*3.2*PI())</f>
        <v>218.838046751356</v>
      </c>
      <c r="U70" s="2" t="n">
        <v>0.6</v>
      </c>
      <c r="V70" s="2" t="n">
        <f aca="false">((($P70*$P70/4)*PI())*($Q70/12)*$R70*$S70*$T70)/(33000*1.1)</f>
        <v>62.7626262626263</v>
      </c>
      <c r="W70" s="0" t="n">
        <v>8</v>
      </c>
      <c r="Y70" s="0" t="n">
        <v>5</v>
      </c>
      <c r="Z70" s="0" t="n">
        <v>15</v>
      </c>
      <c r="AA70" s="3" t="n">
        <f aca="false">IF(AND(W70&gt;0,Z70&gt;0),(Z70/((W70+X70)*10)),"")</f>
        <v>0.1875</v>
      </c>
      <c r="AB70" s="0" t="n">
        <v>30</v>
      </c>
      <c r="AC70" s="0" t="n">
        <f aca="false">ROUND(AB70*1.6, 0)</f>
        <v>48</v>
      </c>
      <c r="AF70" s="0" t="n">
        <v>4.7</v>
      </c>
      <c r="AG70" s="0" t="n">
        <v>6</v>
      </c>
      <c r="AJ70" s="4" t="n">
        <v>0</v>
      </c>
      <c r="AK70" s="5" t="str">
        <f aca="false">CONCATENATE(VLOOKUP(AL70, 'Voxel Sizes'!$A$2:$B$18,2,FALSE()),"x",INT(AH70*15), "x", INT(AI70*15))</f>
        <v>66x0x0</v>
      </c>
      <c r="AL70" s="5" t="n">
        <f aca="false">ROUND(15*((AG70*10)/256),0)</f>
        <v>4</v>
      </c>
      <c r="AN70" s="5" t="str">
        <f aca="false">CONCATENATE(VLOOKUP(AL70,Constants!$A$2:$C$16,IF(AM70&lt;&gt;"", 3, 2), FALSE()),IF(AM70&lt;&gt;"",CONCATENATE(",",VLOOKUP(AM70,$B:$AN,39,FALSE())),""))</f>
        <v>1,2,1</v>
      </c>
      <c r="AV70" s="0" t="n">
        <v>1</v>
      </c>
      <c r="AX70" s="0" t="n">
        <v>250</v>
      </c>
      <c r="AY70" s="5" t="n">
        <f aca="false">IF(L70&lt;&gt;"",MAX(16,(L70-J70)+8),"")</f>
        <v>45</v>
      </c>
      <c r="AZ70" s="0" t="n">
        <v>-5</v>
      </c>
      <c r="BA70" s="0" t="n">
        <v>-7</v>
      </c>
      <c r="BB70" s="7" t="n">
        <f aca="false">MIN(AB70/150, 1)*30</f>
        <v>6</v>
      </c>
      <c r="BC70" s="7" t="n">
        <f aca="false">MIN(N70/4000, 1)*20</f>
        <v>0.325</v>
      </c>
      <c r="BD70" s="7" t="n">
        <f aca="false">MIN(Z70/400,1)*20</f>
        <v>0.75</v>
      </c>
      <c r="BE70" s="21" t="n">
        <f aca="false">1-(MAX(J70-1900, 0)/750)</f>
        <v>0.976</v>
      </c>
      <c r="BF70" s="7" t="n">
        <f aca="false">((MAX($M70,1)*MIN($AJ70/300,1)))*IF(G70="Wagon",50,10)</f>
        <v>0</v>
      </c>
      <c r="BG70" s="7" t="n">
        <f aca="false">VLOOKUP($H70,Constants!$I:$K, 2, FALSE())</f>
        <v>1.15</v>
      </c>
      <c r="BH70" s="7" t="n">
        <f aca="false">VLOOKUP($H70,Constants!$I:$K, 3, FALSE())*IF(AND(G70="multiple_unit",AB70&lt;110),0.75,1)</f>
        <v>1.7</v>
      </c>
      <c r="BI70" s="7" t="n">
        <f aca="false">INT(POWER(((Constants!$G$2+$BB70+$BC70+$BD70+$BF70)*$BE70)*$BH70, 1.05))+$BA70</f>
        <v>16</v>
      </c>
      <c r="BJ70" s="7" t="n">
        <f aca="false">INT(POWER((((Constants!$G$1+$BB70+$BC70+$BD70+$BF70)*($BE70))*$BG70),IF($G70="wagon",1,1.2)))+$AZ70</f>
        <v>42</v>
      </c>
      <c r="BK70" s="22" t="n">
        <f aca="false">BI70*IF($G70="wagon",62.5,781.25)</f>
        <v>12500</v>
      </c>
      <c r="BL70" s="22" t="n">
        <f aca="false">BJ70*IF($G70="wagon",2.73,81.25)</f>
        <v>3412.5</v>
      </c>
      <c r="BV70" s="0" t="n">
        <v>8</v>
      </c>
      <c r="CA70" s="9" t="str">
        <f aca="false">VLOOKUP(J70,Eras!$A$2:$C$10, 2, TRUE())</f>
        <v>edw</v>
      </c>
      <c r="CB70" s="0" t="s">
        <v>194</v>
      </c>
      <c r="CC70" s="9" t="str">
        <f aca="false">CONCATENATE(CA70,"_",CB70)</f>
        <v>edw_Cheap</v>
      </c>
      <c r="CD70" s="9" t="str">
        <f aca="false">_xlfn.CONCAT(H70, "_",I70)</f>
        <v>steam_NARROW_GAUGE</v>
      </c>
      <c r="CE70" s="23" t="str">
        <f aca="false" t="array" ref="CE70:CE70">IF(AN70&lt;&gt;"na", _xlfn.CONCAT("{BLACK}Length: {GOLD}", TEXT(ROUNDUP(IF(AQ70&lt;&gt;"",SUM(VALUE(_xlfn.TEXTSPLIT(AQ70, ","))), SUM(VALUE(_xlfn.TEXTSPLIT(AN70, ",")))*IF(M70, M70, 1))/16, 1),"#,##0.0"), " tiles{}"), "")</f>
        <v>{BLACK}Length: {GOLD}0.3 tiles{}</v>
      </c>
      <c r="CF70" s="9" t="str">
        <f aca="false">VLOOKUP($CD70, Constants!$M:$N, 2, FALSE())</f>
        <v>{BLACK}Powered by: {GOLD}Steam</v>
      </c>
      <c r="CG70" s="9" t="str">
        <f aca="false">IF(AND(L70&gt;1,BN70&lt;&gt;1),_xlfn.CONCAT("{BLACK}Cars: {GOLD}", L70),"")</f>
        <v/>
      </c>
      <c r="CH70" s="0" t="s">
        <v>336</v>
      </c>
      <c r="CI70" s="0" t="str">
        <f aca="false">IF($BU70="!param_no_gameplay_units","{GREEN}Included for gameplay purposes","")</f>
        <v/>
      </c>
      <c r="CJ70" s="0" t="str">
        <f aca="false">IF(BX70="buffet","{YELLOW}25% long distance bonus for consist{}",IF(BY70="DANDY","{YELLOW}Faster downhill speeds for horse-drawn trains (1 required per 2 horses){}",IF(BY70="BRAKE","{YELLOW}Speed bonus for slow wagons{}",IF(BY70="NGPassengers","{YELLOW}Preserved railway bonus: passengers pay more when hauled by old locomotives{}",IF(AND(BW70&gt;190,NOT(AND(I70="NARROW_GAUGE",BY70&lt;&gt;"PASS"))),CONCATENATE("{YELLOW}",INT((BW70-185)/1.85),"% bonus for long distance travel{}"),IF(AND(BW70&lt;180,BW70&lt;&gt;0),CONCATENATE("{YELLOW}",INT((185-BW70)/1.85),"% penalty for long distance travel{}"),""))))))</f>
        <v/>
      </c>
      <c r="CK70" s="0" t="str">
        <f aca="false">_xlfn.CONCAT(CF70,IF(CF70&lt;&gt;""," ",""),CG70,IF(OR(CG70&lt;&gt;"",CF70&lt;&gt;""),"{}",""),CE70,CJ70,"{SILVER}",CH70,IF(CI70&lt;&gt;"","{}{}",""),CI70)</f>
        <v>{BLACK}Powered by: {GOLD}Steam {}{BLACK}Length: {GOLD}0.3 tiles{}{SILVER}The E Class is a small 0-4-0 well tank. One used by the RAF is preserved on the Talyllyn railway as "Douglas", named after second owner Douglas Abelson who donated it from his engineering firm.</v>
      </c>
    </row>
    <row r="71" customFormat="false" ht="14.25" hidden="false" customHeight="false" outlineLevel="0" collapsed="false">
      <c r="A71" s="0" t="s">
        <v>337</v>
      </c>
      <c r="B71" s="0" t="s">
        <v>338</v>
      </c>
      <c r="C71" s="0" t="n">
        <v>30</v>
      </c>
      <c r="E71" s="0" t="n">
        <v>2008</v>
      </c>
      <c r="F71" s="0" t="s">
        <v>115</v>
      </c>
      <c r="G71" s="0" t="s">
        <v>161</v>
      </c>
      <c r="H71" s="0" t="s">
        <v>162</v>
      </c>
      <c r="I71" s="0" t="s">
        <v>312</v>
      </c>
      <c r="J71" s="0" t="n">
        <v>1923</v>
      </c>
      <c r="L71" s="0" t="n">
        <v>1968</v>
      </c>
      <c r="N71" s="0" t="n">
        <v>250</v>
      </c>
      <c r="P71" s="2" t="n">
        <v>11.5</v>
      </c>
      <c r="Q71" s="2" t="n">
        <v>17</v>
      </c>
      <c r="R71" s="2" t="n">
        <v>2</v>
      </c>
      <c r="S71" s="2" t="n">
        <v>165</v>
      </c>
      <c r="T71" s="25" t="n">
        <f aca="false">((($AB71/2)/60)*5280)/($U71*3.2*PI())</f>
        <v>153.186632725949</v>
      </c>
      <c r="U71" s="2" t="n">
        <v>1</v>
      </c>
      <c r="V71" s="2" t="n">
        <f aca="false">((($P71*$P71/4)*PI())*($Q71/12)*$R71*$S71*$T71)/(33000*1.1)</f>
        <v>204.918619791667</v>
      </c>
      <c r="W71" s="0" t="n">
        <v>25</v>
      </c>
      <c r="Y71" s="0" t="n">
        <v>5</v>
      </c>
      <c r="Z71" s="0" t="n">
        <v>44</v>
      </c>
      <c r="AA71" s="3" t="n">
        <f aca="false">IF(AND(W71&gt;0,Z71&gt;0),(Z71/((W71+X71)*10)),"")</f>
        <v>0.176</v>
      </c>
      <c r="AB71" s="0" t="n">
        <v>35</v>
      </c>
      <c r="AC71" s="0" t="n">
        <f aca="false">ROUND(AB71*1.6, 0)</f>
        <v>56</v>
      </c>
      <c r="AG71" s="0" t="n">
        <v>8</v>
      </c>
      <c r="AJ71" s="4" t="n">
        <v>0</v>
      </c>
      <c r="AK71" s="5" t="str">
        <f aca="false">CONCATENATE(VLOOKUP(AL71, 'Voxel Sizes'!$A$2:$B$18,2,FALSE()),"x",INT(AH71*15), "x", INT(AI71*15))</f>
        <v>82x0x0</v>
      </c>
      <c r="AL71" s="5" t="n">
        <f aca="false">ROUND(15*((AG71*10)/256),0)</f>
        <v>5</v>
      </c>
      <c r="AN71" s="5" t="str">
        <f aca="false">CONCATENATE(VLOOKUP(AL71,Constants!$A$2:$C$16,IF(AM71&lt;&gt;"", 3, 2), FALSE()),IF(AM71&lt;&gt;"",CONCATENATE(",",VLOOKUP(AM71,$B:$AN,39,FALSE())),""))</f>
        <v>2,1,2</v>
      </c>
      <c r="AV71" s="0" t="n">
        <v>1</v>
      </c>
      <c r="AX71" s="0" t="n">
        <v>250</v>
      </c>
      <c r="AY71" s="5" t="n">
        <f aca="false">IF(L71&lt;&gt;"",MAX(16,(L71-J71)+8),"")</f>
        <v>53</v>
      </c>
      <c r="AZ71" s="0" t="n">
        <v>-10</v>
      </c>
      <c r="BA71" s="0" t="n">
        <v>-5</v>
      </c>
      <c r="BB71" s="7" t="n">
        <f aca="false">MIN(AB71/150, 1)*30</f>
        <v>7</v>
      </c>
      <c r="BC71" s="7" t="n">
        <f aca="false">MIN(N71/4000, 1)*20</f>
        <v>1.25</v>
      </c>
      <c r="BD71" s="7" t="n">
        <f aca="false">MIN(Z71/400,1)*20</f>
        <v>2.2</v>
      </c>
      <c r="BE71" s="21" t="n">
        <f aca="false">1-(MAX(J71-1900, 0)/750)</f>
        <v>0.969333333333333</v>
      </c>
      <c r="BF71" s="7" t="n">
        <f aca="false">((MAX($M71,1)*MIN($AJ71/300,1)))*IF(G71="Wagon",50,10)</f>
        <v>0</v>
      </c>
      <c r="BG71" s="7" t="n">
        <f aca="false">VLOOKUP($H71,Constants!$I:$K, 2, FALSE())</f>
        <v>1.15</v>
      </c>
      <c r="BH71" s="7" t="n">
        <f aca="false">VLOOKUP($H71,Constants!$I:$K, 3, FALSE())*IF(AND(G71="multiple_unit",AB71&lt;110),0.75,1)</f>
        <v>1.7</v>
      </c>
      <c r="BI71" s="7" t="n">
        <f aca="false">INT(POWER(((Constants!$G$2+$BB71+$BC71+$BD71+$BF71)*$BE71)*$BH71, 1.05))+$BA71</f>
        <v>24</v>
      </c>
      <c r="BJ71" s="7" t="n">
        <f aca="false">INT(POWER((((Constants!$G$1+$BB71+$BC71+$BD71+$BF71)*($BE71))*$BG71),IF($G71="wagon",1,1.2)))+$AZ71</f>
        <v>45</v>
      </c>
      <c r="BK71" s="22" t="n">
        <f aca="false">BI71*IF($G71="wagon",62.5,781.25)</f>
        <v>18750</v>
      </c>
      <c r="BL71" s="22" t="n">
        <f aca="false">BJ71*IF($G71="wagon",2.73,81.25)</f>
        <v>3656.25</v>
      </c>
      <c r="BV71" s="0" t="n">
        <v>7</v>
      </c>
      <c r="CA71" s="9" t="str">
        <f aca="false">VLOOKUP(J71,Eras!$A$2:$C$10, 2, TRUE())</f>
        <v>big4</v>
      </c>
      <c r="CB71" s="0" t="s">
        <v>194</v>
      </c>
      <c r="CC71" s="9" t="str">
        <f aca="false">CONCATENATE(CA71,"_",CB71)</f>
        <v>big4_Cheap</v>
      </c>
      <c r="CD71" s="9" t="str">
        <f aca="false">_xlfn.CONCAT(H71, "_",I71)</f>
        <v>steam_NARROW_GAUGE</v>
      </c>
      <c r="CE71" s="23" t="str">
        <f aca="false" t="array" ref="CE71:CE71">IF(AN71&lt;&gt;"na", _xlfn.CONCAT("{BLACK}Length: {GOLD}", TEXT(ROUNDUP(IF(AQ71&lt;&gt;"",SUM(VALUE(_xlfn.TEXTSPLIT(AQ71, ","))), SUM(VALUE(_xlfn.TEXTSPLIT(AN71, ",")))*IF(M71, M71, 1))/16, 1),"#,##0.0"), " tiles{}"), "")</f>
        <v>{BLACK}Length: {GOLD}0.4 tiles{}</v>
      </c>
      <c r="CF71" s="9" t="str">
        <f aca="false">VLOOKUP($CD71, Constants!$M:$N, 2, FALSE())</f>
        <v>{BLACK}Powered by: {GOLD}Steam</v>
      </c>
      <c r="CG71" s="9" t="str">
        <f aca="false">IF(AND(L71&gt;1,BN71&lt;&gt;1),_xlfn.CONCAT("{BLACK}Cars: {GOLD}", L71),"")</f>
        <v/>
      </c>
      <c r="CH71" s="0" t="s">
        <v>339</v>
      </c>
      <c r="CI71" s="0" t="str">
        <f aca="false">IF($BU71="!param_no_gameplay_units","{GREEN}Included for gameplay purposes","")</f>
        <v/>
      </c>
      <c r="CJ71" s="0" t="str">
        <f aca="false">IF(BX71="buffet","{YELLOW}25% long distance bonus for consist{}",IF(BY71="DANDY","{YELLOW}Faster downhill speeds for horse-drawn trains (1 required per 2 horses){}",IF(BY71="BRAKE","{YELLOW}Speed bonus for slow wagons{}",IF(BY71="NGPassengers","{YELLOW}Preserved railway bonus: passengers pay more when hauled by old locomotives{}",IF(AND(BW71&gt;190,NOT(AND(I71="NARROW_GAUGE",BY71&lt;&gt;"PASS"))),CONCATENATE("{YELLOW}",INT((BW71-185)/1.85),"% bonus for long distance travel{}"),IF(AND(BW71&lt;180,BW71&lt;&gt;0),CONCATENATE("{YELLOW}",INT((185-BW71)/1.85),"% penalty for long distance travel{}"),""))))))</f>
        <v/>
      </c>
      <c r="CK71" s="0" t="str">
        <f aca="false">_xlfn.CONCAT(CF71,IF(CF71&lt;&gt;""," ",""),CG71,IF(OR(CG71&lt;&gt;"",CF71&lt;&gt;""),"{}",""),CE71,CJ71,"{SILVER}",CH71,IF(CI71&lt;&gt;"","{}{}",""),CI71)</f>
        <v>{BLACK}Powered by: {GOLD}Steam {}{BLACK}Length: {GOLD}0.4 tiles{}{SILVER}Charles Collett designed these tank locomotives to replace worn-out engines on the Vale of Rheidol line. They became the last steam locomotives running on British Railways, up until the line became a heritage railway in 1989.</v>
      </c>
    </row>
    <row r="72" customFormat="false" ht="14.25" hidden="false" customHeight="false" outlineLevel="0" collapsed="false">
      <c r="A72" s="0" t="s">
        <v>340</v>
      </c>
      <c r="B72" s="0" t="s">
        <v>341</v>
      </c>
      <c r="C72" s="0" t="n">
        <v>35</v>
      </c>
      <c r="E72" s="0" t="n">
        <v>-1</v>
      </c>
      <c r="G72" s="0" t="s">
        <v>188</v>
      </c>
      <c r="H72" s="0" t="s">
        <v>243</v>
      </c>
      <c r="I72" s="0" t="s">
        <v>312</v>
      </c>
      <c r="J72" s="0" t="n">
        <v>1940</v>
      </c>
      <c r="L72" s="0" t="n">
        <v>1980</v>
      </c>
      <c r="N72" s="0" t="n">
        <v>40</v>
      </c>
      <c r="T72" s="25" t="n">
        <f aca="false">((($AB72/2)/60)*5280)/($U72*3.2*PI())</f>
        <v>0</v>
      </c>
      <c r="U72" s="2" t="n">
        <v>0.7</v>
      </c>
      <c r="V72" s="2" t="n">
        <f aca="false">((($P72*$P72/4)*PI())*($Q72/12)*$R72*$S72*$T72)/(33000*1.1)</f>
        <v>0</v>
      </c>
      <c r="Y72" s="0" t="n">
        <v>5</v>
      </c>
      <c r="AA72" s="3" t="str">
        <f aca="false">IF(AND(W72&gt;0,Z72&gt;0),(Z72/((W72+X72)*10)),"")</f>
        <v/>
      </c>
      <c r="AC72" s="0" t="n">
        <f aca="false">ROUND(AB72*1.6, 0)</f>
        <v>0</v>
      </c>
      <c r="AJ72" s="4" t="n">
        <v>0</v>
      </c>
      <c r="AK72" s="5" t="str">
        <f aca="false">CONCATENATE(VLOOKUP(AL72, 'Voxel Sizes'!$A$2:$B$18,2,FALSE()),"x",INT(AH72*15), "x", INT(AI72*15))</f>
        <v>0x0x0</v>
      </c>
      <c r="AL72" s="5" t="n">
        <f aca="false">ROUND(15*((AG72*10)/256),0)</f>
        <v>0</v>
      </c>
      <c r="AN72" s="5" t="str">
        <f aca="false">CONCATENATE(VLOOKUP(AL72,Constants!$A$2:$C$16,IF(AM72&lt;&gt;"", 3, 2), FALSE()),IF(AM72&lt;&gt;"",CONCATENATE(",",VLOOKUP(AM72,$B:$AN,39,FALSE())),""))</f>
        <v>na</v>
      </c>
      <c r="AV72" s="0" t="n">
        <v>1</v>
      </c>
      <c r="AX72" s="0" t="n">
        <v>250</v>
      </c>
      <c r="AY72" s="5" t="n">
        <f aca="false">IF(L72&lt;&gt;"",MAX(16,(L72-J72)+8),"")</f>
        <v>48</v>
      </c>
      <c r="AZ72" s="0" t="n">
        <v>-5</v>
      </c>
      <c r="BA72" s="0" t="n">
        <v>-2</v>
      </c>
      <c r="BB72" s="7" t="n">
        <f aca="false">MIN(AB72/150, 1)*30</f>
        <v>0</v>
      </c>
      <c r="BC72" s="7" t="n">
        <f aca="false">MIN(N72/4000, 1)*20</f>
        <v>0.2</v>
      </c>
      <c r="BD72" s="7" t="n">
        <f aca="false">MIN(Z72/400,1)*20</f>
        <v>0</v>
      </c>
      <c r="BE72" s="21" t="n">
        <f aca="false">1-(MAX(J72-1900, 0)/750)</f>
        <v>0.946666666666667</v>
      </c>
      <c r="BF72" s="7" t="n">
        <f aca="false">((MAX($M72,1)*MIN($AJ72/300,1)))*IF(G72="Wagon",50,10)</f>
        <v>0</v>
      </c>
      <c r="BG72" s="7" t="n">
        <f aca="false">VLOOKUP($H72,Constants!$I:$K, 2, FALSE())</f>
        <v>1</v>
      </c>
      <c r="BH72" s="7" t="n">
        <f aca="false">VLOOKUP($H72,Constants!$I:$K, 3, FALSE())*IF(AND(G72="multiple_unit",AB72&lt;110),0.75,1)</f>
        <v>2</v>
      </c>
      <c r="BI72" s="7" t="n">
        <f aca="false">INT(POWER(((Constants!$G$2+$BB72+$BC72+$BD72+$BF72)*$BE72)*$BH72, 1.05))+$BA72</f>
        <v>9</v>
      </c>
      <c r="BJ72" s="7" t="n">
        <f aca="false">INT(POWER((((Constants!$G$1+$BB72+$BC72+$BD72+$BF72)*($BE72))*$BG72),IF($G72="wagon",1,1.2)))+$AZ72</f>
        <v>19</v>
      </c>
      <c r="BK72" s="22" t="n">
        <f aca="false">BI72*IF($G72="wagon",62.5,781.25)</f>
        <v>7031.25</v>
      </c>
      <c r="BL72" s="22" t="n">
        <f aca="false">BJ72*IF($G72="wagon",2.73,81.25)</f>
        <v>1543.75</v>
      </c>
      <c r="BV72" s="0" t="n">
        <v>6</v>
      </c>
      <c r="CA72" s="9" t="str">
        <f aca="false">VLOOKUP(J72,Eras!$A$2:$C$10, 2, TRUE())</f>
        <v>big4</v>
      </c>
      <c r="CB72" s="0" t="s">
        <v>194</v>
      </c>
      <c r="CC72" s="9" t="str">
        <f aca="false">CONCATENATE(CA72,"_",CB72)</f>
        <v>big4_Cheap</v>
      </c>
      <c r="CD72" s="9" t="str">
        <f aca="false">_xlfn.CONCAT(H72, "_",I72)</f>
        <v>diesel_NARROW_GAUGE</v>
      </c>
      <c r="CE72" s="23" t="str">
        <f aca="false" t="array" ref="CE72:CE72">IF(AN72&lt;&gt;"na", _xlfn.CONCAT("{BLACK}Length: {GOLD}", TEXT(ROUNDUP(IF(AQ72&lt;&gt;"",SUM(VALUE(_xlfn.TEXTSPLIT(AQ72, ","))), SUM(VALUE(_xlfn.TEXTSPLIT(AN72, ",")))*IF(M72, M72, 1))/16, 1),"#,##0.0"), " tiles{}"), "")</f>
        <v/>
      </c>
      <c r="CF72" s="9" t="str">
        <f aca="false">VLOOKUP($CD72, Constants!$M:$N, 2, FALSE())</f>
        <v>{BLACK}Powered by: {GOLD}Diesel</v>
      </c>
      <c r="CG72" s="9" t="str">
        <f aca="false">IF(AND(L72&gt;1,BN72&lt;&gt;1),_xlfn.CONCAT("{BLACK}Cars: {GOLD}", L72),"")</f>
        <v/>
      </c>
      <c r="CI72" s="0" t="str">
        <f aca="false">IF($BU72="!param_no_gameplay_units","{GREEN}Included for gameplay purposes","")</f>
        <v/>
      </c>
      <c r="CJ72" s="0" t="str">
        <f aca="false">IF(BX72="buffet","{YELLOW}25% long distance bonus for consist{}",IF(BY72="DANDY","{YELLOW}Faster downhill speeds for horse-drawn trains (1 required per 2 horses){}",IF(BY72="BRAKE","{YELLOW}Speed bonus for slow wagons{}",IF(BY72="NGPassengers","{YELLOW}Preserved railway bonus: passengers pay more when hauled by old locomotives{}",IF(AND(BW72&gt;190,NOT(AND(I72="NARROW_GAUGE",BY72&lt;&gt;"PASS"))),CONCATENATE("{YELLOW}",INT((BW72-185)/1.85),"% bonus for long distance travel{}"),IF(AND(BW72&lt;180,BW72&lt;&gt;0),CONCATENATE("{YELLOW}",INT((185-BW72)/1.85),"% penalty for long distance travel{}"),""))))))</f>
        <v/>
      </c>
      <c r="CK72" s="0" t="str">
        <f aca="false">_xlfn.CONCAT(CF72,IF(CF72&lt;&gt;""," ",""),CG72,IF(OR(CG72&lt;&gt;"",CF72&lt;&gt;""),"{}",""),CE72,CJ72,"{SILVER}",CH72,IF(CI72&lt;&gt;"","{}{}",""),CI72)</f>
        <v>{BLACK}Powered by: {GOLD}Diesel {}{SILVER}</v>
      </c>
    </row>
    <row r="73" customFormat="false" ht="14.25" hidden="false" customHeight="false" outlineLevel="0" collapsed="false">
      <c r="A73" s="0" t="s">
        <v>342</v>
      </c>
      <c r="B73" s="0" t="s">
        <v>343</v>
      </c>
      <c r="C73" s="0" t="n">
        <v>40</v>
      </c>
      <c r="E73" s="0" t="n">
        <v>2009</v>
      </c>
      <c r="F73" s="0" t="s">
        <v>115</v>
      </c>
      <c r="G73" s="0" t="s">
        <v>161</v>
      </c>
      <c r="H73" s="0" t="s">
        <v>243</v>
      </c>
      <c r="I73" s="0" t="s">
        <v>312</v>
      </c>
      <c r="J73" s="0" t="n">
        <v>1941</v>
      </c>
      <c r="L73" s="0" t="n">
        <v>1985</v>
      </c>
      <c r="N73" s="0" t="n">
        <v>50</v>
      </c>
      <c r="T73" s="25" t="n">
        <f aca="false">((($AB73/2)/60)*5280)/($U73*3.2*PI())</f>
        <v>187.57546864402</v>
      </c>
      <c r="U73" s="2" t="n">
        <v>0.7</v>
      </c>
      <c r="V73" s="2" t="n">
        <f aca="false">((($P73*$P73/4)*PI())*($Q73/12)*$R73*$S73*$T73)/(33000*1.1)</f>
        <v>0</v>
      </c>
      <c r="W73" s="0" t="n">
        <v>7</v>
      </c>
      <c r="Y73" s="0" t="n">
        <v>5</v>
      </c>
      <c r="Z73" s="0" t="n">
        <v>22</v>
      </c>
      <c r="AA73" s="3" t="n">
        <f aca="false">IF(AND(W73&gt;0,Z73&gt;0),(Z73/((W73+X73)*10)),"")</f>
        <v>0.314285714285714</v>
      </c>
      <c r="AB73" s="0" t="n">
        <v>30</v>
      </c>
      <c r="AC73" s="0" t="n">
        <f aca="false">ROUND(AB73*1.6, 0)</f>
        <v>48</v>
      </c>
      <c r="AG73" s="0" t="n">
        <v>6</v>
      </c>
      <c r="AJ73" s="4" t="n">
        <v>0</v>
      </c>
      <c r="AK73" s="5" t="str">
        <f aca="false">CONCATENATE(VLOOKUP(AL73, 'Voxel Sizes'!$A$2:$B$18,2,FALSE()),"x",INT(AH73*15), "x", INT(AI73*15))</f>
        <v>66x0x0</v>
      </c>
      <c r="AL73" s="5" t="n">
        <f aca="false">ROUND(15*((AG73*10)/256),0)</f>
        <v>4</v>
      </c>
      <c r="AN73" s="5" t="str">
        <f aca="false">CONCATENATE(VLOOKUP(AL73,Constants!$A$2:$C$16,IF(AM73&lt;&gt;"", 3, 2), FALSE()),IF(AM73&lt;&gt;"",CONCATENATE(",",VLOOKUP(AM73,$B:$AN,39,FALSE())),""))</f>
        <v>1,2,1</v>
      </c>
      <c r="AX73" s="0" t="n">
        <v>125</v>
      </c>
      <c r="AY73" s="5" t="n">
        <f aca="false">IF(L73&lt;&gt;"",MAX(16,(L73-J73)+8),"")</f>
        <v>52</v>
      </c>
      <c r="AZ73" s="0" t="n">
        <v>-9</v>
      </c>
      <c r="BA73" s="0" t="n">
        <v>-12</v>
      </c>
      <c r="BB73" s="7" t="n">
        <f aca="false">MIN(AB73/150, 1)*30</f>
        <v>6</v>
      </c>
      <c r="BC73" s="7" t="n">
        <f aca="false">MIN(N73/4000, 1)*20</f>
        <v>0.25</v>
      </c>
      <c r="BD73" s="7" t="n">
        <f aca="false">MIN(Z73/400,1)*20</f>
        <v>1.1</v>
      </c>
      <c r="BE73" s="21" t="n">
        <f aca="false">1-(MAX(J73-1900, 0)/750)</f>
        <v>0.945333333333333</v>
      </c>
      <c r="BF73" s="7" t="n">
        <f aca="false">((MAX($M73,1)*MIN($AJ73/300,1)))*IF(G73="Wagon",50,10)</f>
        <v>0</v>
      </c>
      <c r="BG73" s="7" t="n">
        <f aca="false">VLOOKUP($H73,Constants!$I:$K, 2, FALSE())</f>
        <v>1</v>
      </c>
      <c r="BH73" s="7" t="n">
        <f aca="false">VLOOKUP($H73,Constants!$I:$K, 3, FALSE())*IF(AND(G73="multiple_unit",AB73&lt;110),0.75,1)</f>
        <v>2</v>
      </c>
      <c r="BI73" s="7" t="n">
        <f aca="false">INT(POWER(((Constants!$G$2+$BB73+$BC73+$BD73+$BF73)*$BE73)*$BH73, 1.05))+$BA73</f>
        <v>15</v>
      </c>
      <c r="BJ73" s="7" t="n">
        <f aca="false">INT(POWER((((Constants!$G$1+$BB73+$BC73+$BD73+$BF73)*($BE73))*$BG73),IF($G73="wagon",1,1.2)))+$AZ73</f>
        <v>29</v>
      </c>
      <c r="BK73" s="22" t="n">
        <f aca="false">BI73*IF($G73="wagon",62.5,781.25)</f>
        <v>11718.75</v>
      </c>
      <c r="BL73" s="22" t="n">
        <f aca="false">BJ73*IF($G73="wagon",2.73,81.25)</f>
        <v>2356.25</v>
      </c>
      <c r="BV73" s="0" t="n">
        <v>5</v>
      </c>
      <c r="CA73" s="9" t="str">
        <f aca="false">VLOOKUP(J73,Eras!$A$2:$C$10, 2, TRUE())</f>
        <v>big4</v>
      </c>
      <c r="CB73" s="0" t="s">
        <v>194</v>
      </c>
      <c r="CC73" s="9" t="str">
        <f aca="false">CONCATENATE(CA73,"_",CB73)</f>
        <v>big4_Cheap</v>
      </c>
      <c r="CD73" s="9" t="str">
        <f aca="false">_xlfn.CONCAT(H73, "_",I73)</f>
        <v>diesel_NARROW_GAUGE</v>
      </c>
      <c r="CE73" s="23" t="str">
        <f aca="false" t="array" ref="CE73:CE73">IF(AN73&lt;&gt;"na", _xlfn.CONCAT("{BLACK}Length: {GOLD}", TEXT(ROUNDUP(IF(AQ73&lt;&gt;"",SUM(VALUE(_xlfn.TEXTSPLIT(AQ73, ","))), SUM(VALUE(_xlfn.TEXTSPLIT(AN73, ",")))*IF(M73, M73, 1))/16, 1),"#,##0.0"), " tiles{}"), "")</f>
        <v>{BLACK}Length: {GOLD}0.3 tiles{}</v>
      </c>
      <c r="CF73" s="9" t="str">
        <f aca="false">VLOOKUP($CD73, Constants!$M:$N, 2, FALSE())</f>
        <v>{BLACK}Powered by: {GOLD}Diesel</v>
      </c>
      <c r="CG73" s="9" t="str">
        <f aca="false">IF(AND(L73&gt;1,BN73&lt;&gt;1),_xlfn.CONCAT("{BLACK}Cars: {GOLD}", L73),"")</f>
        <v/>
      </c>
      <c r="CH73" s="0" t="s">
        <v>344</v>
      </c>
      <c r="CI73" s="0" t="str">
        <f aca="false">IF($BU73="!param_no_gameplay_units","{GREEN}Included for gameplay purposes","")</f>
        <v/>
      </c>
      <c r="CJ73" s="0" t="str">
        <f aca="false">IF(BX73="buffet","{YELLOW}25% long distance bonus for consist{}",IF(BY73="DANDY","{YELLOW}Faster downhill speeds for horse-drawn trains (1 required per 2 horses){}",IF(BY73="BRAKE","{YELLOW}Speed bonus for slow wagons{}",IF(BY73="NGPassengers","{YELLOW}Preserved railway bonus: passengers pay more when hauled by old locomotives{}",IF(AND(BW73&gt;190,NOT(AND(I73="NARROW_GAUGE",BY73&lt;&gt;"PASS"))),CONCATENATE("{YELLOW}",INT((BW73-185)/1.85),"% bonus for long distance travel{}"),IF(AND(BW73&lt;180,BW73&lt;&gt;0),CONCATENATE("{YELLOW}",INT((185-BW73)/1.85),"% penalty for long distance travel{}"),""))))))</f>
        <v/>
      </c>
      <c r="CK73" s="0" t="str">
        <f aca="false">_xlfn.CONCAT(CF73,IF(CF73&lt;&gt;""," ",""),CG73,IF(OR(CG73&lt;&gt;"",CF73&lt;&gt;""),"{}",""),CE73,CJ73,"{SILVER}",CH73,IF(CI73&lt;&gt;"","{}{}",""),CI73)</f>
        <v>{BLACK}Powered by: {GOLD}Diesel {}{BLACK}Length: {GOLD}0.3 tiles{}{SILVER}Ruston and Hornsby built diesel locomotives for small industrial lines, which would often only need a small locomotive for hauling goods short distances.</v>
      </c>
    </row>
    <row r="74" customFormat="false" ht="14.25" hidden="false" customHeight="false" outlineLevel="0" collapsed="false">
      <c r="A74" s="0" t="s">
        <v>345</v>
      </c>
      <c r="B74" s="0" t="s">
        <v>346</v>
      </c>
      <c r="C74" s="0" t="n">
        <v>41</v>
      </c>
      <c r="E74" s="0" t="n">
        <v>2010</v>
      </c>
      <c r="F74" s="0" t="s">
        <v>115</v>
      </c>
      <c r="G74" s="0" t="s">
        <v>161</v>
      </c>
      <c r="H74" s="0" t="s">
        <v>243</v>
      </c>
      <c r="I74" s="0" t="s">
        <v>312</v>
      </c>
      <c r="J74" s="0" t="n">
        <v>1950</v>
      </c>
      <c r="N74" s="0" t="n">
        <v>75</v>
      </c>
      <c r="T74" s="25" t="n">
        <f aca="false">((($AB74/2)/60)*5280)/($U74*3.2*PI())</f>
        <v>200.080499886954</v>
      </c>
      <c r="U74" s="2" t="n">
        <v>0.7</v>
      </c>
      <c r="V74" s="2" t="n">
        <f aca="false">((($P74*$P74/4)*PI())*($Q74/12)*$R74*$S74*$T74)/(33000*1.1)</f>
        <v>0</v>
      </c>
      <c r="W74" s="0" t="n">
        <v>10</v>
      </c>
      <c r="Y74" s="0" t="n">
        <v>5</v>
      </c>
      <c r="Z74" s="0" t="n">
        <v>28</v>
      </c>
      <c r="AA74" s="3" t="n">
        <f aca="false">IF(AND(W74&gt;0,Z74&gt;0),(Z74/((W74+X74)*10)),"")</f>
        <v>0.28</v>
      </c>
      <c r="AB74" s="0" t="n">
        <v>32</v>
      </c>
      <c r="AC74" s="0" t="n">
        <f aca="false">ROUND(AB74*1.6, 0)</f>
        <v>51</v>
      </c>
      <c r="AG74" s="0" t="n">
        <v>6</v>
      </c>
      <c r="AJ74" s="4" t="n">
        <v>0</v>
      </c>
      <c r="AK74" s="5" t="str">
        <f aca="false">CONCATENATE(VLOOKUP(AL74, 'Voxel Sizes'!$A$2:$B$18,2,FALSE()),"x",INT(AH74*15), "x", INT(AI74*15))</f>
        <v>66x0x0</v>
      </c>
      <c r="AL74" s="5" t="n">
        <f aca="false">ROUND(15*((AG74*10)/256),0)</f>
        <v>4</v>
      </c>
      <c r="AN74" s="5" t="str">
        <f aca="false">CONCATENATE(VLOOKUP(AL74,Constants!$A$2:$C$16,IF(AM74&lt;&gt;"", 3, 2), FALSE()),IF(AM74&lt;&gt;"",CONCATENATE(",",VLOOKUP(AM74,$B:$AN,39,FALSE())),""))</f>
        <v>1,2,1</v>
      </c>
      <c r="AV74" s="0" t="n">
        <v>1</v>
      </c>
      <c r="AX74" s="0" t="n">
        <v>125</v>
      </c>
      <c r="AY74" s="5" t="str">
        <f aca="false">IF(L74&lt;&gt;"",MAX(16,(L74-J74)+8),"")</f>
        <v/>
      </c>
      <c r="AZ74" s="0" t="n">
        <v>-9</v>
      </c>
      <c r="BA74" s="0" t="n">
        <v>-12</v>
      </c>
      <c r="BB74" s="7" t="n">
        <f aca="false">MIN(AB74/150, 1)*30</f>
        <v>6.4</v>
      </c>
      <c r="BC74" s="7" t="n">
        <f aca="false">MIN(N74/4000, 1)*20</f>
        <v>0.375</v>
      </c>
      <c r="BD74" s="7" t="n">
        <f aca="false">MIN(Z74/400,1)*20</f>
        <v>1.4</v>
      </c>
      <c r="BE74" s="21" t="n">
        <f aca="false">1-(MAX(J74-1900, 0)/750)</f>
        <v>0.933333333333333</v>
      </c>
      <c r="BF74" s="7" t="n">
        <f aca="false">((MAX($M74,1)*MIN($AJ74/300,1)))*IF(G74="Wagon",50,10)</f>
        <v>0</v>
      </c>
      <c r="BG74" s="7" t="n">
        <f aca="false">VLOOKUP($H74,Constants!$I:$K, 2, FALSE())</f>
        <v>1</v>
      </c>
      <c r="BH74" s="7" t="n">
        <f aca="false">VLOOKUP($H74,Constants!$I:$K, 3, FALSE())*IF(AND(G74="multiple_unit",AB74&lt;110),0.75,1)</f>
        <v>2</v>
      </c>
      <c r="BI74" s="7" t="n">
        <f aca="false">INT(POWER(((Constants!$G$2+$BB74+$BC74+$BD74+$BF74)*$BE74)*$BH74, 1.05))+$BA74</f>
        <v>16</v>
      </c>
      <c r="BJ74" s="7" t="n">
        <f aca="false">INT(POWER((((Constants!$G$1+$BB74+$BC74+$BD74+$BF74)*($BE74))*$BG74),IF($G74="wagon",1,1.2)))+$AZ74</f>
        <v>31</v>
      </c>
      <c r="BK74" s="22" t="n">
        <f aca="false">BI74*IF($G74="wagon",62.5,781.25)</f>
        <v>12500</v>
      </c>
      <c r="BL74" s="22" t="n">
        <f aca="false">BJ74*IF($G74="wagon",2.73,81.25)</f>
        <v>2518.75</v>
      </c>
      <c r="BV74" s="0" t="n">
        <v>3</v>
      </c>
      <c r="CA74" s="9" t="str">
        <f aca="false">VLOOKUP(J74,Eras!$A$2:$C$10, 2, TRUE())</f>
        <v>ebr</v>
      </c>
      <c r="CB74" s="0" t="s">
        <v>194</v>
      </c>
      <c r="CC74" s="9" t="str">
        <f aca="false">CONCATENATE(CA74,"_",CB74)</f>
        <v>ebr_Cheap</v>
      </c>
      <c r="CD74" s="9" t="str">
        <f aca="false">_xlfn.CONCAT(H74, "_",I74)</f>
        <v>diesel_NARROW_GAUGE</v>
      </c>
      <c r="CE74" s="23" t="str">
        <f aca="false" t="array" ref="CE74:CE74">IF(AN74&lt;&gt;"na", _xlfn.CONCAT("{BLACK}Length: {GOLD}", TEXT(ROUNDUP(IF(AQ74&lt;&gt;"",SUM(VALUE(_xlfn.TEXTSPLIT(AQ74, ","))), SUM(VALUE(_xlfn.TEXTSPLIT(AN74, ",")))*IF(M74, M74, 1))/16, 1),"#,##0.0"), " tiles{}"), "")</f>
        <v>{BLACK}Length: {GOLD}0.3 tiles{}</v>
      </c>
      <c r="CF74" s="9" t="str">
        <f aca="false">VLOOKUP($CD74, Constants!$M:$N, 2, FALSE())</f>
        <v>{BLACK}Powered by: {GOLD}Diesel</v>
      </c>
      <c r="CG74" s="9" t="str">
        <f aca="false">IF(AND(L74&gt;1,BN74&lt;&gt;1),_xlfn.CONCAT("{BLACK}Cars: {GOLD}", L74),"")</f>
        <v/>
      </c>
      <c r="CH74" s="0" t="s">
        <v>347</v>
      </c>
      <c r="CI74" s="0" t="str">
        <f aca="false">IF($BU74="!param_no_gameplay_units","{GREEN}Included for gameplay purposes","")</f>
        <v/>
      </c>
      <c r="CJ74" s="0" t="str">
        <f aca="false">IF(BX74="buffet","{YELLOW}25% long distance bonus for consist{}",IF(BY74="DANDY","{YELLOW}Faster downhill speeds for horse-drawn trains (1 required per 2 horses){}",IF(BY74="BRAKE","{YELLOW}Speed bonus for slow wagons{}",IF(BY74="NGPassengers","{YELLOW}Preserved railway bonus: passengers pay more when hauled by old locomotives{}",IF(AND(BW74&gt;190,NOT(AND(I74="NARROW_GAUGE",BY74&lt;&gt;"PASS"))),CONCATENATE("{YELLOW}",INT((BW74-185)/1.85),"% bonus for long distance travel{}"),IF(AND(BW74&lt;180,BW74&lt;&gt;0),CONCATENATE("{YELLOW}",INT((185-BW74)/1.85),"% penalty for long distance travel{}"),""))))))</f>
        <v/>
      </c>
      <c r="CK74" s="0" t="str">
        <f aca="false">_xlfn.CONCAT(CF74,IF(CF74&lt;&gt;""," ",""),CG74,IF(OR(CG74&lt;&gt;"",CF74&lt;&gt;""),"{}",""),CE74,CJ74,"{SILVER}",CH74,IF(CI74&lt;&gt;"","{}{}",""),CI74)</f>
        <v>{BLACK}Powered by: {GOLD}Diesel {}{BLACK}Length: {GOLD}0.3 tiles{}{SILVER}The Hunslet 0-4-0DM is powered by a Gardner 4LW engine and is typical of a narrow gauge locomotive used for engineering duties.</v>
      </c>
    </row>
    <row r="75" customFormat="false" ht="14.25" hidden="false" customHeight="false" outlineLevel="0" collapsed="false">
      <c r="A75" s="0" t="s">
        <v>348</v>
      </c>
      <c r="B75" s="0" t="s">
        <v>349</v>
      </c>
      <c r="C75" s="0" t="n">
        <v>42</v>
      </c>
      <c r="E75" s="0" t="n">
        <v>2011</v>
      </c>
      <c r="F75" s="0" t="s">
        <v>115</v>
      </c>
      <c r="G75" s="0" t="s">
        <v>161</v>
      </c>
      <c r="H75" s="0" t="s">
        <v>350</v>
      </c>
      <c r="I75" s="0" t="s">
        <v>312</v>
      </c>
      <c r="J75" s="0" t="n">
        <v>1954</v>
      </c>
      <c r="N75" s="0" t="n">
        <v>30</v>
      </c>
      <c r="T75" s="25" t="n">
        <f aca="false">((($AB75/2)/60)*5280)/($U75*3.2*PI())</f>
        <v>150.060374915216</v>
      </c>
      <c r="U75" s="2" t="n">
        <v>0.7</v>
      </c>
      <c r="V75" s="2" t="n">
        <f aca="false">((($P75*$P75/4)*PI())*($Q75/12)*$R75*$S75*$T75)/(33000*1.1)</f>
        <v>0</v>
      </c>
      <c r="W75" s="0" t="n">
        <v>5</v>
      </c>
      <c r="Y75" s="0" t="n">
        <v>5</v>
      </c>
      <c r="Z75" s="0" t="n">
        <v>16</v>
      </c>
      <c r="AA75" s="3" t="n">
        <f aca="false">IF(AND(W75&gt;0,Z75&gt;0),(Z75/((W75+X75)*10)),"")</f>
        <v>0.32</v>
      </c>
      <c r="AB75" s="0" t="n">
        <v>24</v>
      </c>
      <c r="AC75" s="0" t="n">
        <f aca="false">ROUND(AB75*1.6, 0)</f>
        <v>38</v>
      </c>
      <c r="AG75" s="0" t="n">
        <v>6</v>
      </c>
      <c r="AJ75" s="4" t="n">
        <v>0</v>
      </c>
      <c r="AK75" s="5" t="str">
        <f aca="false">CONCATENATE(VLOOKUP(AL75, 'Voxel Sizes'!$A$2:$B$18,2,FALSE()),"x",INT(AH75*15), "x", INT(AI75*15))</f>
        <v>66x0x0</v>
      </c>
      <c r="AL75" s="5" t="n">
        <f aca="false">ROUND(15*((AG75*10)/256),0)</f>
        <v>4</v>
      </c>
      <c r="AN75" s="5" t="str">
        <f aca="false">CONCATENATE(VLOOKUP(AL75,Constants!$A$2:$C$16,IF(AM75&lt;&gt;"", 3, 2), FALSE()),IF(AM75&lt;&gt;"",CONCATENATE(",",VLOOKUP(AM75,$B:$AN,39,FALSE())),""))</f>
        <v>1,2,1</v>
      </c>
      <c r="AX75" s="0" t="n">
        <v>125</v>
      </c>
      <c r="AY75" s="5" t="str">
        <f aca="false">IF(L75&lt;&gt;"",MAX(16,(L75-J75)+8),"")</f>
        <v/>
      </c>
      <c r="AZ75" s="0" t="n">
        <v>-9</v>
      </c>
      <c r="BA75" s="0" t="n">
        <v>-12</v>
      </c>
      <c r="BB75" s="7" t="n">
        <f aca="false">MIN(AB75/150, 1)*30</f>
        <v>4.8</v>
      </c>
      <c r="BC75" s="7" t="n">
        <f aca="false">MIN(N75/4000, 1)*20</f>
        <v>0.15</v>
      </c>
      <c r="BD75" s="7" t="n">
        <f aca="false">MIN(Z75/400,1)*20</f>
        <v>0.8</v>
      </c>
      <c r="BE75" s="21" t="n">
        <f aca="false">1-(MAX(J75-1900, 0)/750)</f>
        <v>0.928</v>
      </c>
      <c r="BF75" s="7" t="n">
        <f aca="false">((MAX($M75,1)*MIN($AJ75/300,1)))*IF(G75="Wagon",50,10)</f>
        <v>0</v>
      </c>
      <c r="BG75" s="7" t="n">
        <f aca="false">VLOOKUP($H75,Constants!$I:$K, 2, FALSE())</f>
        <v>1.05</v>
      </c>
      <c r="BH75" s="7" t="n">
        <f aca="false">VLOOKUP($H75,Constants!$I:$K, 3, FALSE())*IF(AND(G75="multiple_unit",AB75&lt;110),0.75,1)</f>
        <v>1.9</v>
      </c>
      <c r="BI75" s="7" t="n">
        <f aca="false">INT(POWER(((Constants!$G$2+$BB75+$BC75+$BD75+$BF75)*$BE75)*$BH75, 1.05))+$BA75</f>
        <v>9</v>
      </c>
      <c r="BJ75" s="7" t="n">
        <f aca="false">INT(POWER((((Constants!$G$1+$BB75+$BC75+$BD75+$BF75)*($BE75))*$BG75),IF($G75="wagon",1,1.2)))+$AZ75</f>
        <v>27</v>
      </c>
      <c r="BK75" s="22" t="n">
        <f aca="false">BI75*IF($G75="wagon",62.5,781.25)</f>
        <v>7031.25</v>
      </c>
      <c r="BL75" s="22" t="n">
        <f aca="false">BJ75*IF($G75="wagon",2.73,81.25)</f>
        <v>2193.75</v>
      </c>
      <c r="BV75" s="0" t="n">
        <v>7</v>
      </c>
      <c r="CA75" s="9" t="str">
        <f aca="false">VLOOKUP(J75,Eras!$A$2:$C$10, 2, TRUE())</f>
        <v>ebr</v>
      </c>
      <c r="CB75" s="0" t="s">
        <v>194</v>
      </c>
      <c r="CC75" s="9" t="str">
        <f aca="false">CONCATENATE(CA75,"_",CB75)</f>
        <v>ebr_Cheap</v>
      </c>
      <c r="CD75" s="9" t="str">
        <f aca="false">_xlfn.CONCAT(H75, "_",I75)</f>
        <v>petrol_NARROW_GAUGE</v>
      </c>
      <c r="CE75" s="23" t="str">
        <f aca="false" t="array" ref="CE75:CE75">IF(AN75&lt;&gt;"na", _xlfn.CONCAT("{BLACK}Length: {GOLD}", TEXT(ROUNDUP(IF(AQ75&lt;&gt;"",SUM(VALUE(_xlfn.TEXTSPLIT(AQ75, ","))), SUM(VALUE(_xlfn.TEXTSPLIT(AN75, ",")))*IF(M75, M75, 1))/16, 1),"#,##0.0"), " tiles{}"), "")</f>
        <v>{BLACK}Length: {GOLD}0.3 tiles{}</v>
      </c>
      <c r="CF75" s="9" t="str">
        <f aca="false">VLOOKUP($CD75, Constants!$M:$N, 2, FALSE())</f>
        <v>{BLACK}Powered by: {GOLD}Petrol</v>
      </c>
      <c r="CG75" s="9" t="str">
        <f aca="false">IF(AND(L75&gt;1,BN75&lt;&gt;1),_xlfn.CONCAT("{BLACK}Cars: {GOLD}", L75),"")</f>
        <v/>
      </c>
      <c r="CH75" s="0" t="s">
        <v>351</v>
      </c>
      <c r="CI75" s="0" t="str">
        <f aca="false">IF($BU75="!param_no_gameplay_units","{GREEN}Included for gameplay purposes","")</f>
        <v/>
      </c>
      <c r="CJ75" s="0" t="str">
        <f aca="false">IF(BX75="buffet","{YELLOW}25% long distance bonus for consist{}",IF(BY75="DANDY","{YELLOW}Faster downhill speeds for horse-drawn trains (1 required per 2 horses){}",IF(BY75="BRAKE","{YELLOW}Speed bonus for slow wagons{}",IF(BY75="NGPassengers","{YELLOW}Preserved railway bonus: passengers pay more when hauled by old locomotives{}",IF(AND(BW75&gt;190,NOT(AND(I75="NARROW_GAUGE",BY75&lt;&gt;"PASS"))),CONCATENATE("{YELLOW}",INT((BW75-185)/1.85),"% bonus for long distance travel{}"),IF(AND(BW75&lt;180,BW75&lt;&gt;0),CONCATENATE("{YELLOW}",INT((185-BW75)/1.85),"% penalty for long distance travel{}"),""))))))</f>
        <v/>
      </c>
      <c r="CK75" s="0" t="str">
        <f aca="false">_xlfn.CONCAT(CF75,IF(CF75&lt;&gt;""," ",""),CG75,IF(OR(CG75&lt;&gt;"",CF75&lt;&gt;""),"{}",""),CE75,CJ75,"{SILVER}",CH75,IF(CI75&lt;&gt;"","{}{}",""),CI75)</f>
        <v>{BLACK}Powered by: {GOLD}Petrol {}{BLACK}Length: {GOLD}0.3 tiles{}{SILVER}Talyllyn Railway volunteer John Bate built this small locomotive using the engine from a Austin Seven. The canopy was added later.</v>
      </c>
    </row>
    <row r="76" customFormat="false" ht="14.25" hidden="false" customHeight="false" outlineLevel="0" collapsed="false">
      <c r="A76" s="0" t="s">
        <v>352</v>
      </c>
      <c r="B76" s="0" t="s">
        <v>353</v>
      </c>
      <c r="C76" s="0" t="n">
        <v>45</v>
      </c>
      <c r="E76" s="0" t="n">
        <v>2012</v>
      </c>
      <c r="F76" s="0" t="s">
        <v>115</v>
      </c>
      <c r="G76" s="0" t="s">
        <v>161</v>
      </c>
      <c r="H76" s="0" t="s">
        <v>243</v>
      </c>
      <c r="I76" s="0" t="s">
        <v>312</v>
      </c>
      <c r="J76" s="0" t="n">
        <v>1982</v>
      </c>
      <c r="N76" s="0" t="n">
        <v>100</v>
      </c>
      <c r="T76" s="25" t="n">
        <f aca="false">((($AB76/2)/60)*5280)/($U76*3.2*PI())</f>
        <v>218.838046751356</v>
      </c>
      <c r="U76" s="2" t="n">
        <v>0.7</v>
      </c>
      <c r="V76" s="2" t="n">
        <f aca="false">((($P76*$P76/4)*PI())*($Q76/12)*$R76*$S76*$T76)/(33000*1.1)</f>
        <v>0</v>
      </c>
      <c r="W76" s="0" t="n">
        <v>10</v>
      </c>
      <c r="Y76" s="0" t="n">
        <v>5</v>
      </c>
      <c r="Z76" s="0" t="n">
        <v>36</v>
      </c>
      <c r="AA76" s="3" t="n">
        <f aca="false">IF(AND(W76&gt;0,Z76&gt;0),(Z76/((W76+X76)*10)),"")</f>
        <v>0.36</v>
      </c>
      <c r="AB76" s="0" t="n">
        <v>35</v>
      </c>
      <c r="AC76" s="0" t="n">
        <f aca="false">ROUND(AB76*1.6, 0)</f>
        <v>56</v>
      </c>
      <c r="AG76" s="0" t="n">
        <v>7</v>
      </c>
      <c r="AJ76" s="4" t="n">
        <v>0</v>
      </c>
      <c r="AK76" s="5" t="str">
        <f aca="false">CONCATENATE(VLOOKUP(AL76, 'Voxel Sizes'!$A$2:$B$18,2,FALSE()),"x",INT(AH76*15), "x", INT(AI76*15))</f>
        <v>66x0x0</v>
      </c>
      <c r="AL76" s="5" t="n">
        <f aca="false">ROUND(15*((AG76*10)/256),0)</f>
        <v>4</v>
      </c>
      <c r="AN76" s="5" t="str">
        <f aca="false">CONCATENATE(VLOOKUP(AL76,Constants!$A$2:$C$16,IF(AM76&lt;&gt;"", 3, 2), FALSE()),IF(AM76&lt;&gt;"",CONCATENATE(",",VLOOKUP(AM76,$B:$AN,39,FALSE())),""))</f>
        <v>1,2,1</v>
      </c>
      <c r="AX76" s="0" t="n">
        <v>125</v>
      </c>
      <c r="AY76" s="5" t="str">
        <f aca="false">IF(L76&lt;&gt;"",MAX(16,(L76-J76)+8),"")</f>
        <v/>
      </c>
      <c r="AZ76" s="0" t="n">
        <v>-7</v>
      </c>
      <c r="BA76" s="0" t="n">
        <v>-6</v>
      </c>
      <c r="BB76" s="7" t="n">
        <f aca="false">MIN(AB76/150, 1)*30</f>
        <v>7</v>
      </c>
      <c r="BC76" s="7" t="n">
        <f aca="false">MIN(N76/4000, 1)*20</f>
        <v>0.5</v>
      </c>
      <c r="BD76" s="7" t="n">
        <f aca="false">MIN(Z76/400,1)*20</f>
        <v>1.8</v>
      </c>
      <c r="BE76" s="21" t="n">
        <f aca="false">1-(MAX(J76-1900, 0)/750)</f>
        <v>0.890666666666667</v>
      </c>
      <c r="BF76" s="7" t="n">
        <f aca="false">((MAX($M76,1)*MIN($AJ76/300,1)))*IF(G76="Wagon",50,10)</f>
        <v>0</v>
      </c>
      <c r="BG76" s="7" t="n">
        <f aca="false">VLOOKUP($H76,Constants!$I:$K, 2, FALSE())</f>
        <v>1</v>
      </c>
      <c r="BH76" s="7" t="n">
        <f aca="false">VLOOKUP($H76,Constants!$I:$K, 3, FALSE())*IF(AND(G76="multiple_unit",AB76&lt;110),0.75,1)</f>
        <v>2</v>
      </c>
      <c r="BI76" s="7" t="n">
        <f aca="false">INT(POWER(((Constants!$G$2+$BB76+$BC76+$BD76+$BF76)*$BE76)*$BH76, 1.05))+$BA76</f>
        <v>23</v>
      </c>
      <c r="BJ76" s="7" t="n">
        <f aca="false">INT(POWER((((Constants!$G$1+$BB76+$BC76+$BD76+$BF76)*($BE76))*$BG76),IF($G76="wagon",1,1.2)))+$AZ76</f>
        <v>33</v>
      </c>
      <c r="BK76" s="22" t="n">
        <f aca="false">BI76*IF($G76="wagon",62.5,781.25)</f>
        <v>17968.75</v>
      </c>
      <c r="BL76" s="22" t="n">
        <f aca="false">BJ76*IF($G76="wagon",2.73,81.25)</f>
        <v>2681.25</v>
      </c>
      <c r="BV76" s="0" t="n">
        <v>4</v>
      </c>
      <c r="CA76" s="9" t="str">
        <f aca="false">VLOOKUP(J76,Eras!$A$2:$C$10, 2, TRUE())</f>
        <v>lbr</v>
      </c>
      <c r="CB76" s="0" t="s">
        <v>194</v>
      </c>
      <c r="CC76" s="9" t="str">
        <f aca="false">CONCATENATE(CA76,"_",CB76)</f>
        <v>lbr_Cheap</v>
      </c>
      <c r="CD76" s="9" t="str">
        <f aca="false">_xlfn.CONCAT(H76, "_",I76)</f>
        <v>diesel_NARROW_GAUGE</v>
      </c>
      <c r="CE76" s="23" t="str">
        <f aca="false" t="array" ref="CE76:CE76">IF(AN76&lt;&gt;"na", _xlfn.CONCAT("{BLACK}Length: {GOLD}", TEXT(ROUNDUP(IF(AQ76&lt;&gt;"",SUM(VALUE(_xlfn.TEXTSPLIT(AQ76, ","))), SUM(VALUE(_xlfn.TEXTSPLIT(AN76, ",")))*IF(M76, M76, 1))/16, 1),"#,##0.0"), " tiles{}"), "")</f>
        <v>{BLACK}Length: {GOLD}0.3 tiles{}</v>
      </c>
      <c r="CF76" s="9" t="str">
        <f aca="false">VLOOKUP($CD76, Constants!$M:$N, 2, FALSE())</f>
        <v>{BLACK}Powered by: {GOLD}Diesel</v>
      </c>
      <c r="CG76" s="9" t="str">
        <f aca="false">IF(AND(L76&gt;1,BN76&lt;&gt;1),_xlfn.CONCAT("{BLACK}Cars: {GOLD}", L76),"")</f>
        <v/>
      </c>
      <c r="CH76" s="0" t="s">
        <v>354</v>
      </c>
      <c r="CI76" s="0" t="str">
        <f aca="false">IF($BU76="!param_no_gameplay_units","{GREEN}Included for gameplay purposes","")</f>
        <v/>
      </c>
      <c r="CJ76" s="0" t="str">
        <f aca="false">IF(BX76="buffet","{YELLOW}25% long distance bonus for consist{}",IF(BY76="DANDY","{YELLOW}Faster downhill speeds for horse-drawn trains (1 required per 2 horses){}",IF(BY76="BRAKE","{YELLOW}Speed bonus for slow wagons{}",IF(BY76="NGPassengers","{YELLOW}Preserved railway bonus: passengers pay more when hauled by old locomotives{}",IF(AND(BW76&gt;190,NOT(AND(I76="NARROW_GAUGE",BY76&lt;&gt;"PASS"))),CONCATENATE("{YELLOW}",INT((BW76-185)/1.85),"% bonus for long distance travel{}"),IF(AND(BW76&lt;180,BW76&lt;&gt;0),CONCATENATE("{YELLOW}",INT((185-BW76)/1.85),"% penalty for long distance travel{}"),""))))))</f>
        <v/>
      </c>
      <c r="CK76" s="0" t="str">
        <f aca="false">_xlfn.CONCAT(CF76,IF(CF76&lt;&gt;""," ",""),CG76,IF(OR(CG76&lt;&gt;"",CF76&lt;&gt;""),"{}",""),CE76,CJ76,"{SILVER}",CH76,IF(CI76&lt;&gt;"","{}{}",""),CI76)</f>
        <v>{BLACK}Powered by: {GOLD}Diesel {}{BLACK}Length: {GOLD}0.3 tiles{}{SILVER}Larger and more powerful diesel shunters displaced steam from industrial lines as they were more economical to run. Even preservation railways keep some around for utility duties.</v>
      </c>
    </row>
    <row r="77" customFormat="false" ht="14.25" hidden="false" customHeight="false" outlineLevel="0" collapsed="false">
      <c r="A77" s="0" t="s">
        <v>355</v>
      </c>
      <c r="B77" s="0" t="s">
        <v>356</v>
      </c>
      <c r="C77" s="0" t="n">
        <v>80</v>
      </c>
      <c r="E77" s="0" t="n">
        <v>-1</v>
      </c>
      <c r="G77" s="0" t="s">
        <v>188</v>
      </c>
      <c r="H77" s="0" t="s">
        <v>116</v>
      </c>
      <c r="I77" s="0" t="s">
        <v>312</v>
      </c>
      <c r="J77" s="0" t="n">
        <v>1800</v>
      </c>
      <c r="L77" s="0" t="n">
        <v>1880</v>
      </c>
      <c r="W77" s="0" t="n">
        <v>3</v>
      </c>
      <c r="Y77" s="0" t="n">
        <v>3</v>
      </c>
      <c r="AA77" s="3" t="str">
        <f aca="false">IF(AND(W77&gt;0,Z77&gt;0),(Z77/((W77+X77)*10)),"")</f>
        <v/>
      </c>
      <c r="AB77" s="0" t="n">
        <v>25</v>
      </c>
      <c r="AC77" s="0" t="n">
        <f aca="false">ROUND(AB77*1.6, 0)</f>
        <v>40</v>
      </c>
      <c r="AF77" s="0" t="n">
        <v>6</v>
      </c>
      <c r="AG77" s="0" t="n">
        <v>6</v>
      </c>
      <c r="AJ77" s="4" t="n">
        <v>12</v>
      </c>
      <c r="AK77" s="5" t="str">
        <f aca="false">CONCATENATE(VLOOKUP(AL77, 'Voxel Sizes'!$A$2:$B$18,2,FALSE()),"x",INT(AH77*15), "x", INT(AI77*15))</f>
        <v>66x0x0</v>
      </c>
      <c r="AL77" s="5" t="n">
        <f aca="false">ROUND(15*((AG77*10)/256),0)</f>
        <v>4</v>
      </c>
      <c r="AN77" s="5" t="str">
        <f aca="false">CONCATENATE(VLOOKUP(AL77,Constants!$A$2:$C$16,IF(AM77&lt;&gt;"", 3, 2), FALSE()),IF(AM77&lt;&gt;"",CONCATENATE(",",VLOOKUP(AM77,$B:$AN,39,FALSE())),""))</f>
        <v>1,2,1</v>
      </c>
      <c r="AX77" s="0" t="n">
        <v>80</v>
      </c>
      <c r="AY77" s="5" t="n">
        <f aca="false">IF(L77&lt;&gt;"",MAX(16,(L77-J77)+8),"")</f>
        <v>88</v>
      </c>
      <c r="BB77" s="7" t="n">
        <f aca="false">MIN(AB77/150, 1)*30</f>
        <v>5</v>
      </c>
      <c r="BC77" s="7" t="n">
        <f aca="false">MIN(N77/4000, 1)*20</f>
        <v>0</v>
      </c>
      <c r="BD77" s="7" t="n">
        <f aca="false">MIN(Z77/400,1)*20</f>
        <v>0</v>
      </c>
      <c r="BE77" s="21" t="n">
        <f aca="false">1-(MAX(J77-1900, 0)/750)</f>
        <v>1</v>
      </c>
      <c r="BF77" s="7" t="n">
        <f aca="false">((MAX($M77,1)*MIN($AJ77/300,1)))*IF(G77="Wagon",50,10)</f>
        <v>0.4</v>
      </c>
      <c r="BG77" s="7" t="n">
        <f aca="false">VLOOKUP($H77,Constants!$I:$K, 2, FALSE())</f>
        <v>1</v>
      </c>
      <c r="BH77" s="7" t="n">
        <f aca="false">VLOOKUP($H77,Constants!$I:$K, 3, FALSE())*IF(AND(G77="multiple_unit",AB77&lt;110),0.75,1)</f>
        <v>0.45</v>
      </c>
      <c r="BI77" s="7" t="n">
        <f aca="false">INT(POWER(((Constants!$G$2+$BB77+$BC77+$BD77+$BF77)*$BE77)*$BH77, 1.05))+$BA77</f>
        <v>5</v>
      </c>
      <c r="BJ77" s="7" t="n">
        <f aca="false">INT(POWER((((Constants!$G$1+$BB77+$BC77+$BD77+$BF77)*($BE77))*$BG77),IF($G77="wagon",1,1.2)))+$AZ77</f>
        <v>37</v>
      </c>
      <c r="BK77" s="22" t="n">
        <f aca="false">BI77*IF($G77="wagon",62.5,781.25)</f>
        <v>3906.25</v>
      </c>
      <c r="BL77" s="22" t="n">
        <f aca="false">BJ77*IF($G77="wagon",2.73,81.25)</f>
        <v>3006.25</v>
      </c>
      <c r="BV77" s="0" t="n">
        <v>1</v>
      </c>
      <c r="BW77" s="0" t="n">
        <v>74</v>
      </c>
      <c r="BY77" s="0" t="s">
        <v>149</v>
      </c>
      <c r="BZ77" s="0" t="s">
        <v>119</v>
      </c>
      <c r="CA77" s="9" t="str">
        <f aca="false">VLOOKUP(J77,Eras!$A$2:$C$10, 2, TRUE())</f>
        <v>early</v>
      </c>
      <c r="CB77" s="0" t="s">
        <v>357</v>
      </c>
      <c r="CC77" s="9" t="str">
        <f aca="false">CONCATENATE(CA77,"_",CB77)</f>
        <v>early_Open Wagon</v>
      </c>
      <c r="CD77" s="9" t="str">
        <f aca="false">_xlfn.CONCAT(H77, "_",I77)</f>
        <v>wagon_NARROW_GAUGE</v>
      </c>
      <c r="CE77" s="23" t="str">
        <f aca="false" t="array" ref="CE77:CE77">IF(AN77&lt;&gt;"na", _xlfn.CONCAT("{BLACK}Length: {GOLD}", TEXT(ROUNDUP(IF(AQ77&lt;&gt;"",SUM(VALUE(_xlfn.TEXTSPLIT(AQ77, ","))), SUM(VALUE(_xlfn.TEXTSPLIT(AN77, ",")))*IF(M77, M77, 1))/16, 1),"#,##0.0"), " tiles{}"), "")</f>
        <v>{BLACK}Length: {GOLD}0.3 tiles{}</v>
      </c>
      <c r="CF77" s="9" t="str">
        <f aca="false">VLOOKUP($CD77, Constants!$M:$N, 2, FALSE())</f>
        <v/>
      </c>
      <c r="CG77" s="9" t="str">
        <f aca="false">IF(AND(L77&gt;1,BN77&lt;&gt;1),_xlfn.CONCAT("{BLACK}Cars: {GOLD}", L77),"")</f>
        <v/>
      </c>
      <c r="CH77" s="0" t="s">
        <v>358</v>
      </c>
      <c r="CI77" s="0" t="str">
        <f aca="false">IF($BU77="!param_no_gameplay_units","{GREEN}Included for gameplay purposes","")</f>
        <v/>
      </c>
      <c r="CJ77" s="0" t="str">
        <f aca="false">IF(BX77="buffet","{YELLOW}25% long distance bonus for consist{}",IF(BY77="DANDY","{YELLOW}Faster downhill speeds for horse-drawn trains (1 required per 2 horses){}",IF(BY77="BRAKE","{YELLOW}Speed bonus for slow wagons{}",IF(BY77="NGPassengers","{YELLOW}Preserved railway bonus: passengers pay more when hauled by old locomotives{}",IF(AND(BW77&gt;190,NOT(AND(I77="NARROW_GAUGE",BY77&lt;&gt;"PASS"))),CONCATENATE("{YELLOW}",INT((BW77-185)/1.85),"% bonus for long distance travel{}"),IF(AND(BW77&lt;180,BW77&lt;&gt;0),CONCATENATE("{YELLOW}",INT((185-BW77)/1.85),"% penalty for long distance travel{}"),""))))))</f>
        <v>{YELLOW}Preserved railway bonus: passengers pay more when hauled by old locomotives{}</v>
      </c>
      <c r="CK77" s="0" t="str">
        <f aca="false">_xlfn.CONCAT(CF77,IF(CF77&lt;&gt;""," ",""),CG77,IF(OR(CG77&lt;&gt;"",CF77&lt;&gt;""),"{}",""),CE77,CJ77,"{SILVER}",CH77,IF(CI77&lt;&gt;"","{}{}",""),CI77)</f>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78" customFormat="false" ht="14.25" hidden="false" customHeight="false" outlineLevel="0" collapsed="false">
      <c r="A78" s="0" t="s">
        <v>359</v>
      </c>
      <c r="B78" s="0" t="s">
        <v>360</v>
      </c>
      <c r="C78" s="0" t="n">
        <v>81</v>
      </c>
      <c r="E78" s="0" t="n">
        <v>3001</v>
      </c>
      <c r="F78" s="0" t="s">
        <v>115</v>
      </c>
      <c r="G78" s="0" t="s">
        <v>116</v>
      </c>
      <c r="H78" s="0" t="s">
        <v>116</v>
      </c>
      <c r="I78" s="0" t="s">
        <v>312</v>
      </c>
      <c r="J78" s="0" t="n">
        <v>1863</v>
      </c>
      <c r="W78" s="0" t="n">
        <v>5</v>
      </c>
      <c r="Y78" s="0" t="n">
        <v>4</v>
      </c>
      <c r="AA78" s="3" t="str">
        <f aca="false">IF(AND(W78&gt;0,Z78&gt;0),(Z78/((W78+X78)*10)),"")</f>
        <v/>
      </c>
      <c r="AB78" s="0" t="n">
        <v>35</v>
      </c>
      <c r="AC78" s="0" t="n">
        <f aca="false">ROUND(AB78*1.6, 0)</f>
        <v>56</v>
      </c>
      <c r="AF78" s="0" t="n">
        <v>8</v>
      </c>
      <c r="AG78" s="0" t="n">
        <v>8</v>
      </c>
      <c r="AJ78" s="4" t="n">
        <v>18</v>
      </c>
      <c r="AK78" s="5" t="str">
        <f aca="false">CONCATENATE(VLOOKUP(AL78, 'Voxel Sizes'!$A$2:$B$18,2,FALSE()),"x",INT(AH78*15), "x", INT(AI78*15))</f>
        <v>82x0x0</v>
      </c>
      <c r="AL78" s="5" t="n">
        <f aca="false">ROUND(15*((AG78*10)/256),0)</f>
        <v>5</v>
      </c>
      <c r="AN78" s="5" t="str">
        <f aca="false">CONCATENATE(VLOOKUP(AL78,Constants!$A$2:$C$16,IF(AM78&lt;&gt;"", 3, 2), FALSE()),IF(AM78&lt;&gt;"",CONCATENATE(",",VLOOKUP(AM78,$B:$AN,39,FALSE())),""))</f>
        <v>2,1,2</v>
      </c>
      <c r="AX78" s="0" t="n">
        <v>80</v>
      </c>
      <c r="AY78" s="5" t="str">
        <f aca="false">IF(L78&lt;&gt;"",MAX(16,(L78-J78)+8),"")</f>
        <v/>
      </c>
      <c r="AZ78" s="0" t="n">
        <v>5</v>
      </c>
      <c r="BA78" s="0" t="n">
        <v>10</v>
      </c>
      <c r="BB78" s="7" t="n">
        <f aca="false">MIN(AB78/150, 1)*30</f>
        <v>7</v>
      </c>
      <c r="BC78" s="7" t="n">
        <f aca="false">MIN(N78/4000, 1)*20</f>
        <v>0</v>
      </c>
      <c r="BD78" s="7" t="n">
        <f aca="false">MIN(Z78/400,1)*20</f>
        <v>0</v>
      </c>
      <c r="BE78" s="21" t="n">
        <f aca="false">1-(MAX(J78-1900, 0)/750)</f>
        <v>1</v>
      </c>
      <c r="BF78" s="7" t="n">
        <f aca="false">((MAX($M78,1)*MIN($AJ78/300,1)))*IF(G78="Wagon",50,10)</f>
        <v>3</v>
      </c>
      <c r="BG78" s="7" t="n">
        <f aca="false">VLOOKUP($H78,Constants!$I:$K, 2, FALSE())</f>
        <v>1</v>
      </c>
      <c r="BH78" s="7" t="n">
        <f aca="false">VLOOKUP($H78,Constants!$I:$K, 3, FALSE())*IF(AND(G78="multiple_unit",AB78&lt;110),0.75,1)</f>
        <v>0.45</v>
      </c>
      <c r="BI78" s="7" t="n">
        <f aca="false">INT(POWER(((Constants!$G$2+$BB78+$BC78+$BD78+$BF78)*$BE78)*$BH78, 1.05))+$BA78</f>
        <v>17</v>
      </c>
      <c r="BJ78" s="7" t="n">
        <f aca="false">INT(POWER((((Constants!$G$1+$BB78+$BC78+$BD78+$BF78)*($BE78))*$BG78),IF($G78="wagon",1,1.2)))+$AZ78</f>
        <v>30</v>
      </c>
      <c r="BK78" s="22" t="n">
        <f aca="false">BI78*IF($G78="wagon",62.5,781.25)</f>
        <v>1062.5</v>
      </c>
      <c r="BL78" s="22" t="n">
        <f aca="false">BJ78*IF($G78="wagon",2.73,81.25)</f>
        <v>81.9</v>
      </c>
      <c r="BV78" s="0" t="n">
        <v>1</v>
      </c>
      <c r="BW78" s="0" t="n">
        <v>74</v>
      </c>
      <c r="BY78" s="0" t="s">
        <v>149</v>
      </c>
      <c r="BZ78" s="0" t="s">
        <v>119</v>
      </c>
      <c r="CA78" s="9" t="str">
        <f aca="false">VLOOKUP(J78,Eras!$A$2:$C$10, 2, TRUE())</f>
        <v>vct</v>
      </c>
      <c r="CB78" s="0" t="s">
        <v>357</v>
      </c>
      <c r="CC78" s="9" t="str">
        <f aca="false">CONCATENATE(CA78,"_",CB78)</f>
        <v>vct_Open Wagon</v>
      </c>
      <c r="CD78" s="9" t="str">
        <f aca="false">_xlfn.CONCAT(H78, "_",I78)</f>
        <v>wagon_NARROW_GAUGE</v>
      </c>
      <c r="CE78" s="23" t="str">
        <f aca="false" t="array" ref="CE78:CE78">IF(AN78&lt;&gt;"na", _xlfn.CONCAT("{BLACK}Length: {GOLD}", TEXT(ROUNDUP(IF(AQ78&lt;&gt;"",SUM(VALUE(_xlfn.TEXTSPLIT(AQ78, ","))), SUM(VALUE(_xlfn.TEXTSPLIT(AN78, ",")))*IF(M78, M78, 1))/16, 1),"#,##0.0"), " tiles{}"), "")</f>
        <v>{BLACK}Length: {GOLD}0.4 tiles{}</v>
      </c>
      <c r="CF78" s="9" t="str">
        <f aca="false">VLOOKUP($CD78, Constants!$M:$N, 2, FALSE())</f>
        <v/>
      </c>
      <c r="CG78" s="9" t="str">
        <f aca="false">IF(AND(L78&gt;1,BN78&lt;&gt;1),_xlfn.CONCAT("{BLACK}Cars: {GOLD}", L78),"")</f>
        <v/>
      </c>
      <c r="CH78" s="0" t="s">
        <v>361</v>
      </c>
      <c r="CI78" s="0" t="str">
        <f aca="false">IF($BU78="!param_no_gameplay_units","{GREEN}Included for gameplay purposes","")</f>
        <v/>
      </c>
      <c r="CJ78" s="0" t="str">
        <f aca="false">IF(BX78="buffet","{YELLOW}25% long distance bonus for consist{}",IF(BY78="DANDY","{YELLOW}Faster downhill speeds for horse-drawn trains (1 required per 2 horses){}",IF(BY78="BRAKE","{YELLOW}Speed bonus for slow wagons{}",IF(BY78="NGPassengers","{YELLOW}Preserved railway bonus: passengers pay more when hauled by old locomotives{}",IF(AND(BW78&gt;190,NOT(AND(I78="NARROW_GAUGE",BY78&lt;&gt;"PASS"))),CONCATENATE("{YELLOW}",INT((BW78-185)/1.85),"% bonus for long distance travel{}"),IF(AND(BW78&lt;180,BW78&lt;&gt;0),CONCATENATE("{YELLOW}",INT((185-BW78)/1.85),"% penalty for long distance travel{}"),""))))))</f>
        <v>{YELLOW}Preserved railway bonus: passengers pay more when hauled by old locomotives{}</v>
      </c>
      <c r="CK78" s="0" t="str">
        <f aca="false">_xlfn.CONCAT(CF78,IF(CF78&lt;&gt;""," ",""),CG78,IF(OR(CG78&lt;&gt;"",CF78&lt;&gt;""),"{}",""),CE78,CJ78,"{SILVER}",CH78,IF(CI78&lt;&gt;"","{}{}",""),CI78)</f>
        <v>{BLACK}Length: {GOLD}0.4 tiles{}{YELLOW}Preserved railway bonus: passengers pay more when hauled by old locomotives{}{SILVER}When narrow gauge began operating passenger services, carriages were simple, flat-sided vehicles build around wooden frames on a four-wheel chassis.</v>
      </c>
    </row>
    <row r="79" customFormat="false" ht="14.25" hidden="false" customHeight="false" outlineLevel="0" collapsed="false">
      <c r="A79" s="0" t="s">
        <v>362</v>
      </c>
      <c r="B79" s="0" t="s">
        <v>363</v>
      </c>
      <c r="C79" s="0" t="n">
        <v>82</v>
      </c>
      <c r="E79" s="0" t="n">
        <v>3002</v>
      </c>
      <c r="F79" s="0" t="s">
        <v>115</v>
      </c>
      <c r="G79" s="0" t="s">
        <v>116</v>
      </c>
      <c r="H79" s="0" t="s">
        <v>116</v>
      </c>
      <c r="I79" s="0" t="s">
        <v>312</v>
      </c>
      <c r="J79" s="0" t="n">
        <v>1900</v>
      </c>
      <c r="W79" s="0" t="n">
        <v>7</v>
      </c>
      <c r="Y79" s="0" t="n">
        <v>4</v>
      </c>
      <c r="AA79" s="3" t="str">
        <f aca="false">IF(AND(W79&gt;0,Z79&gt;0),(Z79/((W79+X79)*10)),"")</f>
        <v/>
      </c>
      <c r="AB79" s="0" t="n">
        <v>45</v>
      </c>
      <c r="AC79" s="0" t="n">
        <f aca="false">ROUND(AB79*1.6, 0)</f>
        <v>72</v>
      </c>
      <c r="AF79" s="0" t="n">
        <v>12</v>
      </c>
      <c r="AG79" s="0" t="n">
        <v>12</v>
      </c>
      <c r="AJ79" s="4" t="n">
        <v>36</v>
      </c>
      <c r="AK79" s="5" t="str">
        <f aca="false">CONCATENATE(VLOOKUP(AL79, 'Voxel Sizes'!$A$2:$B$18,2,FALSE()),"x",INT(AH79*15), "x", INT(AI79*15))</f>
        <v>120x0x0</v>
      </c>
      <c r="AL79" s="5" t="n">
        <f aca="false">ROUND(15*((AG79*10)/256),0)</f>
        <v>7</v>
      </c>
      <c r="AN79" s="5" t="str">
        <f aca="false">CONCATENATE(VLOOKUP(AL79,Constants!$A$2:$C$16,IF(AM79&lt;&gt;"", 3, 2), FALSE()),IF(AM79&lt;&gt;"",CONCATENATE(",",VLOOKUP(AM79,$B:$AN,39,FALSE())),""))</f>
        <v>2,3,2</v>
      </c>
      <c r="AX79" s="0" t="n">
        <v>80</v>
      </c>
      <c r="AY79" s="5" t="str">
        <f aca="false">IF(L79&lt;&gt;"",MAX(16,(L79-J79)+8),"")</f>
        <v/>
      </c>
      <c r="AZ79" s="0" t="n">
        <v>10</v>
      </c>
      <c r="BA79" s="0" t="n">
        <v>20</v>
      </c>
      <c r="BB79" s="7" t="n">
        <f aca="false">MIN(AB79/150, 1)*30</f>
        <v>9</v>
      </c>
      <c r="BC79" s="7" t="n">
        <f aca="false">MIN(N79/4000, 1)*20</f>
        <v>0</v>
      </c>
      <c r="BD79" s="7" t="n">
        <f aca="false">MIN(Z79/400,1)*20</f>
        <v>0</v>
      </c>
      <c r="BE79" s="21" t="n">
        <f aca="false">1-(MAX(J79-1900, 0)/750)</f>
        <v>1</v>
      </c>
      <c r="BF79" s="7" t="n">
        <f aca="false">((MAX($M79,1)*MIN($AJ79/300,1)))*IF(G79="Wagon",50,10)</f>
        <v>6</v>
      </c>
      <c r="BG79" s="7" t="n">
        <f aca="false">VLOOKUP($H79,Constants!$I:$K, 2, FALSE())</f>
        <v>1</v>
      </c>
      <c r="BH79" s="7" t="n">
        <f aca="false">VLOOKUP($H79,Constants!$I:$K, 3, FALSE())*IF(AND(G79="multiple_unit",AB79&lt;110),0.75,1)</f>
        <v>0.45</v>
      </c>
      <c r="BI79" s="7" t="n">
        <f aca="false">INT(POWER(((Constants!$G$2+$BB79+$BC79+$BD79+$BF79)*$BE79)*$BH79, 1.05))+$BA79</f>
        <v>30</v>
      </c>
      <c r="BJ79" s="7" t="n">
        <f aca="false">INT(POWER((((Constants!$G$1+$BB79+$BC79+$BD79+$BF79)*($BE79))*$BG79),IF($G79="wagon",1,1.2)))+$AZ79</f>
        <v>40</v>
      </c>
      <c r="BK79" s="22" t="n">
        <f aca="false">BI79*IF($G79="wagon",62.5,781.25)</f>
        <v>1875</v>
      </c>
      <c r="BL79" s="22" t="n">
        <f aca="false">BJ79*IF($G79="wagon",2.73,81.25)</f>
        <v>109.2</v>
      </c>
      <c r="BV79" s="0" t="n">
        <v>1</v>
      </c>
      <c r="BW79" s="0" t="n">
        <v>74</v>
      </c>
      <c r="BY79" s="0" t="s">
        <v>149</v>
      </c>
      <c r="BZ79" s="0" t="s">
        <v>119</v>
      </c>
      <c r="CA79" s="9" t="str">
        <f aca="false">VLOOKUP(J79,Eras!$A$2:$C$10, 2, TRUE())</f>
        <v>edw</v>
      </c>
      <c r="CB79" s="0" t="s">
        <v>357</v>
      </c>
      <c r="CC79" s="9" t="str">
        <f aca="false">CONCATENATE(CA79,"_",CB79)</f>
        <v>edw_Open Wagon</v>
      </c>
      <c r="CD79" s="9" t="str">
        <f aca="false">_xlfn.CONCAT(H79, "_",I79)</f>
        <v>wagon_NARROW_GAUGE</v>
      </c>
      <c r="CE79" s="23" t="str">
        <f aca="false" t="array" ref="CE79:CE79">IF(AN79&lt;&gt;"na", _xlfn.CONCAT("{BLACK}Length: {GOLD}", TEXT(ROUNDUP(IF(AQ79&lt;&gt;"",SUM(VALUE(_xlfn.TEXTSPLIT(AQ79, ","))), SUM(VALUE(_xlfn.TEXTSPLIT(AN79, ",")))*IF(M79, M79, 1))/16, 1),"#,##0.0"), " tiles{}"), "")</f>
        <v>{BLACK}Length: {GOLD}0.5 tiles{}</v>
      </c>
      <c r="CF79" s="9" t="str">
        <f aca="false">VLOOKUP($CD79, Constants!$M:$N, 2, FALSE())</f>
        <v/>
      </c>
      <c r="CG79" s="9" t="str">
        <f aca="false">IF(AND(L79&gt;1,BN79&lt;&gt;1),_xlfn.CONCAT("{BLACK}Cars: {GOLD}", L79),"")</f>
        <v/>
      </c>
      <c r="CH79" s="0" t="s">
        <v>364</v>
      </c>
      <c r="CI79" s="0" t="str">
        <f aca="false">IF($BU79="!param_no_gameplay_units","{GREEN}Included for gameplay purposes","")</f>
        <v/>
      </c>
      <c r="CJ79" s="0" t="str">
        <f aca="false">IF(BX79="buffet","{YELLOW}25% long distance bonus for consist{}",IF(BY79="DANDY","{YELLOW}Faster downhill speeds for horse-drawn trains (1 required per 2 horses){}",IF(BY79="BRAKE","{YELLOW}Speed bonus for slow wagons{}",IF(BY79="NGPassengers","{YELLOW}Preserved railway bonus: passengers pay more when hauled by old locomotives{}",IF(AND(BW79&gt;190,NOT(AND(I79="NARROW_GAUGE",BY79&lt;&gt;"PASS"))),CONCATENATE("{YELLOW}",INT((BW79-185)/1.85),"% bonus for long distance travel{}"),IF(AND(BW79&lt;180,BW79&lt;&gt;0),CONCATENATE("{YELLOW}",INT((185-BW79)/1.85),"% penalty for long distance travel{}"),""))))))</f>
        <v>{YELLOW}Preserved railway bonus: passengers pay more when hauled by old locomotives{}</v>
      </c>
      <c r="CK79" s="0" t="str">
        <f aca="false">_xlfn.CONCAT(CF79,IF(CF79&lt;&gt;""," ",""),CG79,IF(OR(CG79&lt;&gt;"",CF79&lt;&gt;""),"{}",""),CE79,CJ79,"{SILVER}",CH79,IF(CI79&lt;&gt;"","{}{}",""),CI79)</f>
        <v>{BLACK}Length: {GOLD}0.5 tiles{}{YELLOW}Preserved railway bonus: passengers pay more when hauled by old locomotives{}{SILVER}Later narrow gauge carriages increased in length where loading gauges allowed, using bogies to help negotiate tight curves.</v>
      </c>
    </row>
    <row r="80" customFormat="false" ht="14.25" hidden="false" customHeight="false" outlineLevel="0" collapsed="false">
      <c r="A80" s="0" t="s">
        <v>365</v>
      </c>
      <c r="B80" s="0" t="s">
        <v>366</v>
      </c>
      <c r="C80" s="0" t="n">
        <v>84</v>
      </c>
      <c r="E80" s="0" t="n">
        <v>3003</v>
      </c>
      <c r="F80" s="0" t="s">
        <v>115</v>
      </c>
      <c r="G80" s="0" t="s">
        <v>116</v>
      </c>
      <c r="H80" s="0" t="s">
        <v>116</v>
      </c>
      <c r="I80" s="0" t="s">
        <v>312</v>
      </c>
      <c r="J80" s="0" t="n">
        <v>1863</v>
      </c>
      <c r="W80" s="0" t="n">
        <v>4</v>
      </c>
      <c r="Y80" s="0" t="n">
        <v>4</v>
      </c>
      <c r="AA80" s="3" t="str">
        <f aca="false">IF(AND(W80&gt;0,Z80&gt;0),(Z80/((W80+X80)*10)),"")</f>
        <v/>
      </c>
      <c r="AB80" s="0" t="n">
        <v>35</v>
      </c>
      <c r="AC80" s="0" t="n">
        <f aca="false">ROUND(AB80*1.6, 0)</f>
        <v>56</v>
      </c>
      <c r="AF80" s="0" t="n">
        <v>8</v>
      </c>
      <c r="AG80" s="0" t="n">
        <v>8</v>
      </c>
      <c r="AJ80" s="4" t="n">
        <v>24</v>
      </c>
      <c r="AK80" s="5" t="str">
        <f aca="false">CONCATENATE(VLOOKUP(AL80, 'Voxel Sizes'!$A$2:$B$18,2,FALSE()),"x",INT(AH80*15), "x", INT(AI80*15))</f>
        <v>82x0x0</v>
      </c>
      <c r="AL80" s="5" t="n">
        <f aca="false">ROUND(15*((AG80*10)/256),0)</f>
        <v>5</v>
      </c>
      <c r="AN80" s="5" t="str">
        <f aca="false">CONCATENATE(VLOOKUP(AL80,Constants!$A$2:$C$16,IF(AM80&lt;&gt;"", 3, 2), FALSE()),IF(AM80&lt;&gt;"",CONCATENATE(",",VLOOKUP(AM80,$B:$AN,39,FALSE())),""))</f>
        <v>2,1,2</v>
      </c>
      <c r="AX80" s="0" t="n">
        <v>80</v>
      </c>
      <c r="AY80" s="5" t="str">
        <f aca="false">IF(L80&lt;&gt;"",MAX(16,(L80-J80)+8),"")</f>
        <v/>
      </c>
      <c r="AZ80" s="0" t="n">
        <v>5</v>
      </c>
      <c r="BA80" s="0" t="n">
        <v>10</v>
      </c>
      <c r="BB80" s="7" t="n">
        <f aca="false">MIN(AB80/150, 1)*30</f>
        <v>7</v>
      </c>
      <c r="BC80" s="7" t="n">
        <f aca="false">MIN(N80/4000, 1)*20</f>
        <v>0</v>
      </c>
      <c r="BD80" s="7" t="n">
        <f aca="false">MIN(Z80/400,1)*20</f>
        <v>0</v>
      </c>
      <c r="BE80" s="21" t="n">
        <f aca="false">1-(MAX(J80-1900, 0)/750)</f>
        <v>1</v>
      </c>
      <c r="BF80" s="7" t="n">
        <f aca="false">((MAX($M80,1)*MIN($AJ80/300,1)))*IF(G80="Wagon",50,10)</f>
        <v>4</v>
      </c>
      <c r="BG80" s="7" t="n">
        <f aca="false">VLOOKUP($H80,Constants!$I:$K, 2, FALSE())</f>
        <v>1</v>
      </c>
      <c r="BH80" s="7" t="n">
        <f aca="false">VLOOKUP($H80,Constants!$I:$K, 3, FALSE())*IF(AND(G80="multiple_unit",AB80&lt;110),0.75,1)</f>
        <v>0.45</v>
      </c>
      <c r="BI80" s="7" t="n">
        <f aca="false">INT(POWER(((Constants!$G$2+$BB80+$BC80+$BD80+$BF80)*$BE80)*$BH80, 1.05))+$BA80</f>
        <v>17</v>
      </c>
      <c r="BJ80" s="7" t="n">
        <f aca="false">INT(POWER((((Constants!$G$1+$BB80+$BC80+$BD80+$BF80)*($BE80))*$BG80),IF($G80="wagon",1,1.2)))+$AZ80</f>
        <v>31</v>
      </c>
      <c r="BK80" s="22" t="n">
        <f aca="false">BI80*IF($G80="wagon",62.5,781.25)</f>
        <v>1062.5</v>
      </c>
      <c r="BL80" s="22" t="n">
        <f aca="false">BJ80*IF($G80="wagon",2.73,81.25)</f>
        <v>84.63</v>
      </c>
      <c r="BV80" s="0" t="n">
        <v>1</v>
      </c>
      <c r="BW80" s="0" t="n">
        <v>225</v>
      </c>
      <c r="BY80" s="0" t="s">
        <v>138</v>
      </c>
      <c r="BZ80" s="0" t="s">
        <v>139</v>
      </c>
      <c r="CA80" s="9" t="str">
        <f aca="false">VLOOKUP(J80,Eras!$A$2:$C$10, 2, TRUE())</f>
        <v>vct</v>
      </c>
      <c r="CB80" s="0" t="s">
        <v>357</v>
      </c>
      <c r="CC80" s="9" t="str">
        <f aca="false">CONCATENATE(CA80,"_",CB80)</f>
        <v>vct_Open Wagon</v>
      </c>
      <c r="CD80" s="9" t="str">
        <f aca="false">_xlfn.CONCAT(H80, "_",I80)</f>
        <v>wagon_NARROW_GAUGE</v>
      </c>
      <c r="CE80" s="23" t="str">
        <f aca="false" t="array" ref="CE80:CE80">IF(AN80&lt;&gt;"na", _xlfn.CONCAT("{BLACK}Length: {GOLD}", TEXT(ROUNDUP(IF(AQ80&lt;&gt;"",SUM(VALUE(_xlfn.TEXTSPLIT(AQ80, ","))), SUM(VALUE(_xlfn.TEXTSPLIT(AN80, ",")))*IF(M80, M80, 1))/16, 1),"#,##0.0"), " tiles{}"), "")</f>
        <v>{BLACK}Length: {GOLD}0.4 tiles{}</v>
      </c>
      <c r="CF80" s="9" t="str">
        <f aca="false">VLOOKUP($CD80, Constants!$M:$N, 2, FALSE())</f>
        <v/>
      </c>
      <c r="CG80" s="9" t="str">
        <f aca="false">IF(AND(L80&gt;1,BN80&lt;&gt;1),_xlfn.CONCAT("{BLACK}Cars: {GOLD}", L80),"")</f>
        <v/>
      </c>
      <c r="CH80" s="0" t="s">
        <v>367</v>
      </c>
      <c r="CI80" s="0" t="str">
        <f aca="false">IF($BU80="!param_no_gameplay_units","{GREEN}Included for gameplay purposes","")</f>
        <v/>
      </c>
      <c r="CJ80" s="0" t="str">
        <f aca="false">IF(BX80="buffet","{YELLOW}25% long distance bonus for consist{}",IF(BY80="DANDY","{YELLOW}Faster downhill speeds for horse-drawn trains (1 required per 2 horses){}",IF(BY80="BRAKE","{YELLOW}Speed bonus for slow wagons{}",IF(BY80="NGPassengers","{YELLOW}Preserved railway bonus: passengers pay more when hauled by old locomotives{}",IF(AND(BW80&gt;190,NOT(AND(I80="NARROW_GAUGE",BY80&lt;&gt;"PASS"))),CONCATENATE("{YELLOW}",INT((BW80-185)/1.85),"% bonus for long distance travel{}"),IF(AND(BW80&lt;180,BW80&lt;&gt;0),CONCATENATE("{YELLOW}",INT((185-BW80)/1.85),"% penalty for long distance travel{}"),""))))))</f>
        <v/>
      </c>
      <c r="CK80" s="0" t="str">
        <f aca="false">_xlfn.CONCAT(CF80,IF(CF80&lt;&gt;""," ",""),CG80,IF(OR(CG80&lt;&gt;"",CF80&lt;&gt;""),"{}",""),CE80,CJ80,"{SILVER}",CH80,IF(CI80&lt;&gt;"","{}{}",""),CI80)</f>
        <v>{BLACK}Length: {GOLD}0.4 tiles{}{SILVER}Brake vans were rarer on narrow gauge railways, but passenger services would typically have a guard's wagon which could also carry parcels.</v>
      </c>
    </row>
    <row r="81" customFormat="false" ht="14.25" hidden="false" customHeight="false" outlineLevel="0" collapsed="false">
      <c r="A81" s="0" t="s">
        <v>368</v>
      </c>
      <c r="B81" s="0" t="s">
        <v>369</v>
      </c>
      <c r="C81" s="0" t="n">
        <v>85</v>
      </c>
      <c r="E81" s="0" t="n">
        <v>3004</v>
      </c>
      <c r="F81" s="0" t="s">
        <v>115</v>
      </c>
      <c r="G81" s="0" t="s">
        <v>116</v>
      </c>
      <c r="H81" s="0" t="s">
        <v>116</v>
      </c>
      <c r="I81" s="0" t="s">
        <v>312</v>
      </c>
      <c r="J81" s="0" t="n">
        <v>1900</v>
      </c>
      <c r="W81" s="0" t="n">
        <v>6</v>
      </c>
      <c r="Y81" s="0" t="n">
        <v>4</v>
      </c>
      <c r="AA81" s="3" t="str">
        <f aca="false">IF(AND(W81&gt;0,Z81&gt;0),(Z81/((W81+X81)*10)),"")</f>
        <v/>
      </c>
      <c r="AB81" s="0" t="n">
        <v>45</v>
      </c>
      <c r="AC81" s="0" t="n">
        <f aca="false">ROUND(AB81*1.6, 0)</f>
        <v>72</v>
      </c>
      <c r="AF81" s="0" t="n">
        <v>12</v>
      </c>
      <c r="AG81" s="0" t="n">
        <v>12</v>
      </c>
      <c r="AJ81" s="4" t="n">
        <v>42</v>
      </c>
      <c r="AK81" s="5" t="str">
        <f aca="false">CONCATENATE(VLOOKUP(AL81, 'Voxel Sizes'!$A$2:$B$18,2,FALSE()),"x",INT(AH81*15), "x", INT(AI81*15))</f>
        <v>120x0x0</v>
      </c>
      <c r="AL81" s="5" t="n">
        <f aca="false">ROUND(15*((AG81*10)/256),0)</f>
        <v>7</v>
      </c>
      <c r="AN81" s="5" t="str">
        <f aca="false">CONCATENATE(VLOOKUP(AL81,Constants!$A$2:$C$16,IF(AM81&lt;&gt;"", 3, 2), FALSE()),IF(AM81&lt;&gt;"",CONCATENATE(",",VLOOKUP(AM81,$B:$AN,39,FALSE())),""))</f>
        <v>2,3,2</v>
      </c>
      <c r="AX81" s="0" t="n">
        <v>80</v>
      </c>
      <c r="AY81" s="5" t="str">
        <f aca="false">IF(L81&lt;&gt;"",MAX(16,(L81-J81)+8),"")</f>
        <v/>
      </c>
      <c r="AZ81" s="0" t="n">
        <v>10</v>
      </c>
      <c r="BA81" s="0" t="n">
        <v>20</v>
      </c>
      <c r="BB81" s="7" t="n">
        <f aca="false">MIN(AB81/150, 1)*30</f>
        <v>9</v>
      </c>
      <c r="BC81" s="7" t="n">
        <f aca="false">MIN(N81/4000, 1)*20</f>
        <v>0</v>
      </c>
      <c r="BD81" s="7" t="n">
        <f aca="false">MIN(Z81/400,1)*20</f>
        <v>0</v>
      </c>
      <c r="BE81" s="21" t="n">
        <f aca="false">1-(MAX(J81-1900, 0)/750)</f>
        <v>1</v>
      </c>
      <c r="BF81" s="7" t="n">
        <f aca="false">((MAX($M81,1)*MIN($AJ81/300,1)))*IF(G81="Wagon",50,10)</f>
        <v>7</v>
      </c>
      <c r="BG81" s="7" t="n">
        <f aca="false">VLOOKUP($H81,Constants!$I:$K, 2, FALSE())</f>
        <v>1</v>
      </c>
      <c r="BH81" s="7" t="n">
        <f aca="false">VLOOKUP($H81,Constants!$I:$K, 3, FALSE())*IF(AND(G81="multiple_unit",AB81&lt;110),0.75,1)</f>
        <v>0.45</v>
      </c>
      <c r="BI81" s="7" t="n">
        <f aca="false">INT(POWER(((Constants!$G$2+$BB81+$BC81+$BD81+$BF81)*$BE81)*$BH81, 1.05))+$BA81</f>
        <v>30</v>
      </c>
      <c r="BJ81" s="7" t="n">
        <f aca="false">INT(POWER((((Constants!$G$1+$BB81+$BC81+$BD81+$BF81)*($BE81))*$BG81),IF($G81="wagon",1,1.2)))+$AZ81</f>
        <v>41</v>
      </c>
      <c r="BK81" s="22" t="n">
        <f aca="false">BI81*IF($G81="wagon",62.5,781.25)</f>
        <v>1875</v>
      </c>
      <c r="BL81" s="22" t="n">
        <f aca="false">BJ81*IF($G81="wagon",2.73,81.25)</f>
        <v>111.93</v>
      </c>
      <c r="BV81" s="0" t="n">
        <v>1</v>
      </c>
      <c r="BW81" s="0" t="n">
        <v>225</v>
      </c>
      <c r="BY81" s="0" t="s">
        <v>138</v>
      </c>
      <c r="BZ81" s="0" t="s">
        <v>139</v>
      </c>
      <c r="CA81" s="9" t="str">
        <f aca="false">VLOOKUP(J81,Eras!$A$2:$C$10, 2, TRUE())</f>
        <v>edw</v>
      </c>
      <c r="CB81" s="0" t="s">
        <v>357</v>
      </c>
      <c r="CC81" s="9" t="str">
        <f aca="false">CONCATENATE(CA81,"_",CB81)</f>
        <v>edw_Open Wagon</v>
      </c>
      <c r="CD81" s="9" t="str">
        <f aca="false">_xlfn.CONCAT(H81, "_",I81)</f>
        <v>wagon_NARROW_GAUGE</v>
      </c>
      <c r="CE81" s="23" t="str">
        <f aca="false" t="array" ref="CE81:CE81">IF(AN81&lt;&gt;"na", _xlfn.CONCAT("{BLACK}Length: {GOLD}", TEXT(ROUNDUP(IF(AQ81&lt;&gt;"",SUM(VALUE(_xlfn.TEXTSPLIT(AQ81, ","))), SUM(VALUE(_xlfn.TEXTSPLIT(AN81, ",")))*IF(M81, M81, 1))/16, 1),"#,##0.0"), " tiles{}"), "")</f>
        <v>{BLACK}Length: {GOLD}0.5 tiles{}</v>
      </c>
      <c r="CF81" s="9" t="str">
        <f aca="false">VLOOKUP($CD81, Constants!$M:$N, 2, FALSE())</f>
        <v/>
      </c>
      <c r="CG81" s="9" t="str">
        <f aca="false">IF(AND(L81&gt;1,BN81&lt;&gt;1),_xlfn.CONCAT("{BLACK}Cars: {GOLD}", L81),"")</f>
        <v/>
      </c>
      <c r="CH81" s="0" t="s">
        <v>370</v>
      </c>
      <c r="CI81" s="0" t="str">
        <f aca="false">IF($BU81="!param_no_gameplay_units","{GREEN}Included for gameplay purposes","")</f>
        <v/>
      </c>
      <c r="CJ81" s="0" t="str">
        <f aca="false">IF(BX81="buffet","{YELLOW}25% long distance bonus for consist{}",IF(BY81="DANDY","{YELLOW}Faster downhill speeds for horse-drawn trains (1 required per 2 horses){}",IF(BY81="BRAKE","{YELLOW}Speed bonus for slow wagons{}",IF(BY81="NGPassengers","{YELLOW}Preserved railway bonus: passengers pay more when hauled by old locomotives{}",IF(AND(BW81&gt;190,NOT(AND(I81="NARROW_GAUGE",BY81&lt;&gt;"PASS"))),CONCATENATE("{YELLOW}",INT((BW81-185)/1.85),"% bonus for long distance travel{}"),IF(AND(BW81&lt;180,BW81&lt;&gt;0),CONCATENATE("{YELLOW}",INT((185-BW81)/1.85),"% penalty for long distance travel{}"),""))))))</f>
        <v/>
      </c>
      <c r="CK81" s="0" t="str">
        <f aca="false">_xlfn.CONCAT(CF81,IF(CF81&lt;&gt;""," ",""),CG81,IF(OR(CG81&lt;&gt;"",CF81&lt;&gt;""),"{}",""),CE81,CJ81,"{SILVER}",CH81,IF(CI81&lt;&gt;"","{}{}",""),CI81)</f>
        <v>{BLACK}Length: {GOLD}0.5 tiles{}{SILVER}Larger and heavier carriages also meant larger and heavier guard's vans.</v>
      </c>
    </row>
    <row r="82" customFormat="false" ht="14.25" hidden="false" customHeight="false" outlineLevel="0" collapsed="false">
      <c r="A82" s="0" t="s">
        <v>371</v>
      </c>
      <c r="B82" s="0" t="s">
        <v>372</v>
      </c>
      <c r="C82" s="0" t="n">
        <v>86</v>
      </c>
      <c r="E82" s="0" t="n">
        <v>3005</v>
      </c>
      <c r="F82" s="0" t="s">
        <v>115</v>
      </c>
      <c r="G82" s="0" t="s">
        <v>116</v>
      </c>
      <c r="H82" s="0" t="s">
        <v>116</v>
      </c>
      <c r="I82" s="0" t="s">
        <v>312</v>
      </c>
      <c r="J82" s="0" t="n">
        <v>1800</v>
      </c>
      <c r="L82" s="0" t="n">
        <v>1900</v>
      </c>
      <c r="W82" s="0" t="n">
        <v>1</v>
      </c>
      <c r="Y82" s="0" t="n">
        <v>3</v>
      </c>
      <c r="AA82" s="3" t="str">
        <f aca="false">IF(AND(W82&gt;0,Z82&gt;0),(Z82/((W82+X82)*10)),"")</f>
        <v/>
      </c>
      <c r="AB82" s="0" t="n">
        <v>25</v>
      </c>
      <c r="AC82" s="0" t="n">
        <f aca="false">ROUND(AB82*1.6, 0)</f>
        <v>40</v>
      </c>
      <c r="AF82" s="0" t="n">
        <v>4.9</v>
      </c>
      <c r="AG82" s="0" t="n">
        <v>6</v>
      </c>
      <c r="AJ82" s="4" t="n">
        <v>9</v>
      </c>
      <c r="AK82" s="5" t="str">
        <f aca="false">CONCATENATE(VLOOKUP(AL82, 'Voxel Sizes'!$A$2:$B$18,2,FALSE()),"x",INT(AH82*15), "x", INT(AI82*15))</f>
        <v>66x0x0</v>
      </c>
      <c r="AL82" s="5" t="n">
        <f aca="false">ROUND(15*((AG82*10)/256),0)</f>
        <v>4</v>
      </c>
      <c r="AN82" s="5" t="str">
        <f aca="false">CONCATENATE(VLOOKUP(AL82,Constants!$A$2:$C$16,IF(AM82&lt;&gt;"", 3, 2), FALSE()),IF(AM82&lt;&gt;"",CONCATENATE(",",VLOOKUP(AM82,$B:$AN,39,FALSE())),""))</f>
        <v>1,2,1</v>
      </c>
      <c r="AX82" s="0" t="n">
        <v>80</v>
      </c>
      <c r="AY82" s="5" t="n">
        <f aca="false">IF(L82&lt;&gt;"",MAX(16,(L82-J82)+8),"")</f>
        <v>108</v>
      </c>
      <c r="AZ82" s="0" t="n">
        <v>-15</v>
      </c>
      <c r="BA82" s="0" t="n">
        <v>-3</v>
      </c>
      <c r="BB82" s="7" t="n">
        <f aca="false">MIN(AB82/150, 1)*30</f>
        <v>5</v>
      </c>
      <c r="BC82" s="7" t="n">
        <f aca="false">MIN(N82/4000, 1)*20</f>
        <v>0</v>
      </c>
      <c r="BD82" s="7" t="n">
        <f aca="false">MIN(Z82/400,1)*20</f>
        <v>0</v>
      </c>
      <c r="BE82" s="21" t="n">
        <f aca="false">1-(MAX(J82-1900, 0)/750)</f>
        <v>1</v>
      </c>
      <c r="BF82" s="7" t="n">
        <f aca="false">((MAX($M82,1)*MIN($AJ82/300,1)))*IF(G82="Wagon",50,10)</f>
        <v>1.5</v>
      </c>
      <c r="BG82" s="7" t="n">
        <f aca="false">VLOOKUP($H82,Constants!$I:$K, 2, FALSE())</f>
        <v>1</v>
      </c>
      <c r="BH82" s="7" t="n">
        <f aca="false">VLOOKUP($H82,Constants!$I:$K, 3, FALSE())*IF(AND(G82="multiple_unit",AB82&lt;110),0.75,1)</f>
        <v>0.45</v>
      </c>
      <c r="BI82" s="7" t="n">
        <f aca="false">INT(POWER(((Constants!$G$2+$BB82+$BC82+$BD82+$BF82)*$BE82)*$BH82, 1.05))+$BA82</f>
        <v>2</v>
      </c>
      <c r="BJ82" s="7" t="n">
        <f aca="false">INT(POWER((((Constants!$G$1+$BB82+$BC82+$BD82+$BF82)*($BE82))*$BG82),IF($G82="wagon",1,1.2)))+$AZ82</f>
        <v>6</v>
      </c>
      <c r="BK82" s="22" t="n">
        <f aca="false">BI82*IF($G82="wagon",62.5,781.25)</f>
        <v>125</v>
      </c>
      <c r="BL82" s="22" t="n">
        <f aca="false">BJ82*IF($G82="wagon",2.73,81.25)</f>
        <v>16.38</v>
      </c>
      <c r="BV82" s="0" t="n">
        <v>1</v>
      </c>
      <c r="BW82" s="0" t="n">
        <v>225</v>
      </c>
      <c r="BY82" s="0" t="s">
        <v>373</v>
      </c>
      <c r="BZ82" s="0" t="s">
        <v>374</v>
      </c>
      <c r="CA82" s="9" t="str">
        <f aca="false">VLOOKUP(J82,Eras!$A$2:$C$10, 2, TRUE())</f>
        <v>early</v>
      </c>
      <c r="CB82" s="0" t="s">
        <v>357</v>
      </c>
      <c r="CC82" s="9" t="str">
        <f aca="false">CONCATENATE(CA82,"_",CB82)</f>
        <v>early_Open Wagon</v>
      </c>
      <c r="CD82" s="9" t="str">
        <f aca="false">_xlfn.CONCAT(H82, "_",I82)</f>
        <v>wagon_NARROW_GAUGE</v>
      </c>
      <c r="CE82" s="23" t="str">
        <f aca="false" t="array" ref="CE82:CE82">IF(AN82&lt;&gt;"na", _xlfn.CONCAT("{BLACK}Length: {GOLD}", TEXT(ROUNDUP(IF(AQ82&lt;&gt;"",SUM(VALUE(_xlfn.TEXTSPLIT(AQ82, ","))), SUM(VALUE(_xlfn.TEXTSPLIT(AN82, ",")))*IF(M82, M82, 1))/16, 1),"#,##0.0"), " tiles{}"), "")</f>
        <v>{BLACK}Length: {GOLD}0.3 tiles{}</v>
      </c>
      <c r="CF82" s="9" t="str">
        <f aca="false">VLOOKUP($CD82, Constants!$M:$N, 2, FALSE())</f>
        <v/>
      </c>
      <c r="CG82" s="9" t="str">
        <f aca="false">IF(AND(L82&gt;1,BN82&lt;&gt;1),_xlfn.CONCAT("{BLACK}Cars: {GOLD}", L82),"")</f>
        <v/>
      </c>
      <c r="CH82" s="0" t="s">
        <v>375</v>
      </c>
      <c r="CI82" s="0" t="str">
        <f aca="false">IF($BU82="!param_no_gameplay_units","{GREEN}Included for gameplay purposes","")</f>
        <v/>
      </c>
      <c r="CJ82" s="0" t="str">
        <f aca="false">IF(BX82="buffet","{YELLOW}25% long distance bonus for consist{}",IF(BY82="DANDY","{YELLOW}Faster downhill speeds for horse-drawn trains (1 required per 2 horses){}",IF(BY82="BRAKE","{YELLOW}Speed bonus for slow wagons{}",IF(BY82="NGPassengers","{YELLOW}Preserved railway bonus: passengers pay more when hauled by old locomotives{}",IF(AND(BW82&gt;190,NOT(AND(I82="NARROW_GAUGE",BY82&lt;&gt;"PASS"))),CONCATENATE("{YELLOW}",INT((BW82-185)/1.85),"% bonus for long distance travel{}"),IF(AND(BW82&lt;180,BW82&lt;&gt;0),CONCATENATE("{YELLOW}",INT((185-BW82)/1.85),"% penalty for long distance travel{}"),""))))))</f>
        <v/>
      </c>
      <c r="CK82" s="0" t="str">
        <f aca="false">_xlfn.CONCAT(CF82,IF(CF82&lt;&gt;""," ",""),CG82,IF(OR(CG82&lt;&gt;"",CF82&lt;&gt;""),"{}",""),CE82,CJ82,"{SILVER}",CH82,IF(CI82&lt;&gt;"","{}{}",""),CI82)</f>
        <v>{BLACK}Length: {GOLD}0.3 tiles{}{SILVER}An open wagon for carrying bulk cargo on narrow gauge railways.</v>
      </c>
    </row>
    <row r="83" customFormat="false" ht="14.25" hidden="false" customHeight="false" outlineLevel="0" collapsed="false">
      <c r="A83" s="0" t="s">
        <v>376</v>
      </c>
      <c r="B83" s="0" t="s">
        <v>377</v>
      </c>
      <c r="C83" s="0" t="n">
        <v>87</v>
      </c>
      <c r="E83" s="0" t="n">
        <v>3006</v>
      </c>
      <c r="F83" s="0" t="s">
        <v>115</v>
      </c>
      <c r="G83" s="0" t="s">
        <v>116</v>
      </c>
      <c r="H83" s="0" t="s">
        <v>116</v>
      </c>
      <c r="I83" s="0" t="s">
        <v>312</v>
      </c>
      <c r="J83" s="0" t="n">
        <v>1870</v>
      </c>
      <c r="W83" s="0" t="n">
        <v>1</v>
      </c>
      <c r="Y83" s="0" t="n">
        <v>4</v>
      </c>
      <c r="AA83" s="3" t="str">
        <f aca="false">IF(AND(W83&gt;0,Z83&gt;0),(Z83/((W83+X83)*10)),"")</f>
        <v/>
      </c>
      <c r="AB83" s="0" t="n">
        <v>30</v>
      </c>
      <c r="AC83" s="0" t="n">
        <f aca="false">ROUND(AB83*1.6, 0)</f>
        <v>48</v>
      </c>
      <c r="AF83" s="0" t="n">
        <v>8</v>
      </c>
      <c r="AG83" s="0" t="n">
        <v>8</v>
      </c>
      <c r="AJ83" s="4" t="n">
        <v>12</v>
      </c>
      <c r="AK83" s="5" t="str">
        <f aca="false">CONCATENATE(VLOOKUP(AL83, 'Voxel Sizes'!$A$2:$B$18,2,FALSE()),"x",INT(AH83*15), "x", INT(AI83*15))</f>
        <v>82x0x0</v>
      </c>
      <c r="AL83" s="5" t="n">
        <f aca="false">ROUND(15*((AG83*10)/256),0)</f>
        <v>5</v>
      </c>
      <c r="AN83" s="5" t="str">
        <f aca="false">CONCATENATE(VLOOKUP(AL83,Constants!$A$2:$C$16,IF(AM83&lt;&gt;"", 3, 2), FALSE()),IF(AM83&lt;&gt;"",CONCATENATE(",",VLOOKUP(AM83,$B:$AN,39,FALSE())),""))</f>
        <v>2,1,2</v>
      </c>
      <c r="AX83" s="0" t="n">
        <v>80</v>
      </c>
      <c r="AY83" s="5" t="str">
        <f aca="false">IF(L83&lt;&gt;"",MAX(16,(L83-J83)+8),"")</f>
        <v/>
      </c>
      <c r="AZ83" s="0" t="n">
        <v>-15</v>
      </c>
      <c r="BA83" s="0" t="n">
        <v>-3</v>
      </c>
      <c r="BB83" s="7" t="n">
        <f aca="false">MIN(AB83/150, 1)*30</f>
        <v>6</v>
      </c>
      <c r="BC83" s="7" t="n">
        <f aca="false">MIN(N83/4000, 1)*20</f>
        <v>0</v>
      </c>
      <c r="BD83" s="7" t="n">
        <f aca="false">MIN(Z83/400,1)*20</f>
        <v>0</v>
      </c>
      <c r="BE83" s="21" t="n">
        <f aca="false">1-(MAX(J83-1900, 0)/750)</f>
        <v>1</v>
      </c>
      <c r="BF83" s="7" t="n">
        <f aca="false">((MAX($M83,1)*MIN($AJ83/300,1)))*IF(G83="Wagon",50,10)</f>
        <v>2</v>
      </c>
      <c r="BG83" s="7" t="n">
        <f aca="false">VLOOKUP($H83,Constants!$I:$K, 2, FALSE())</f>
        <v>1</v>
      </c>
      <c r="BH83" s="7" t="n">
        <f aca="false">VLOOKUP($H83,Constants!$I:$K, 3, FALSE())*IF(AND(G83="multiple_unit",AB83&lt;110),0.75,1)</f>
        <v>0.45</v>
      </c>
      <c r="BI83" s="7" t="n">
        <f aca="false">INT(POWER(((Constants!$G$2+$BB83+$BC83+$BD83+$BF83)*$BE83)*$BH83, 1.05))+$BA83</f>
        <v>3</v>
      </c>
      <c r="BJ83" s="7" t="n">
        <f aca="false">INT(POWER((((Constants!$G$1+$BB83+$BC83+$BD83+$BF83)*($BE83))*$BG83),IF($G83="wagon",1,1.2)))+$AZ83</f>
        <v>8</v>
      </c>
      <c r="BK83" s="22" t="n">
        <f aca="false">BI83*IF($G83="wagon",62.5,781.25)</f>
        <v>187.5</v>
      </c>
      <c r="BL83" s="22" t="n">
        <f aca="false">BJ83*IF($G83="wagon",2.73,81.25)</f>
        <v>21.84</v>
      </c>
      <c r="BV83" s="0" t="n">
        <v>1</v>
      </c>
      <c r="BW83" s="0" t="n">
        <v>225</v>
      </c>
      <c r="BY83" s="0" t="s">
        <v>378</v>
      </c>
      <c r="BZ83" s="0" t="s">
        <v>374</v>
      </c>
      <c r="CA83" s="9" t="str">
        <f aca="false">VLOOKUP(J83,Eras!$A$2:$C$10, 2, TRUE())</f>
        <v>vct</v>
      </c>
      <c r="CB83" s="0" t="s">
        <v>357</v>
      </c>
      <c r="CC83" s="9" t="str">
        <f aca="false">CONCATENATE(CA83,"_",CB83)</f>
        <v>vct_Open Wagon</v>
      </c>
      <c r="CD83" s="9" t="str">
        <f aca="false">_xlfn.CONCAT(H83, "_",I83)</f>
        <v>wagon_NARROW_GAUGE</v>
      </c>
      <c r="CE83" s="23" t="str">
        <f aca="false" t="array" ref="CE83:CE83">IF(AN83&lt;&gt;"na", _xlfn.CONCAT("{BLACK}Length: {GOLD}", TEXT(ROUNDUP(IF(AQ83&lt;&gt;"",SUM(VALUE(_xlfn.TEXTSPLIT(AQ83, ","))), SUM(VALUE(_xlfn.TEXTSPLIT(AN83, ",")))*IF(M83, M83, 1))/16, 1),"#,##0.0"), " tiles{}"), "")</f>
        <v>{BLACK}Length: {GOLD}0.4 tiles{}</v>
      </c>
      <c r="CF83" s="9" t="str">
        <f aca="false">VLOOKUP($CD83, Constants!$M:$N, 2, FALSE())</f>
        <v/>
      </c>
      <c r="CG83" s="9" t="str">
        <f aca="false">IF(AND(L83&gt;1,BN83&lt;&gt;1),_xlfn.CONCAT("{BLACK}Cars: {GOLD}", L83),"")</f>
        <v/>
      </c>
      <c r="CH83" s="0" t="s">
        <v>379</v>
      </c>
      <c r="CI83" s="0" t="str">
        <f aca="false">IF($BU83="!param_no_gameplay_units","{GREEN}Included for gameplay purposes","")</f>
        <v/>
      </c>
      <c r="CJ83" s="0" t="str">
        <f aca="false">IF(BX83="buffet","{YELLOW}25% long distance bonus for consist{}",IF(BY83="DANDY","{YELLOW}Faster downhill speeds for horse-drawn trains (1 required per 2 horses){}",IF(BY83="BRAKE","{YELLOW}Speed bonus for slow wagons{}",IF(BY83="NGPassengers","{YELLOW}Preserved railway bonus: passengers pay more when hauled by old locomotives{}",IF(AND(BW83&gt;190,NOT(AND(I83="NARROW_GAUGE",BY83&lt;&gt;"PASS"))),CONCATENATE("{YELLOW}",INT((BW83-185)/1.85),"% bonus for long distance travel{}"),IF(AND(BW83&lt;180,BW83&lt;&gt;0),CONCATENATE("{YELLOW}",INT((185-BW83)/1.85),"% penalty for long distance travel{}"),""))))))</f>
        <v/>
      </c>
      <c r="CK83" s="0" t="str">
        <f aca="false">_xlfn.CONCAT(CF83,IF(CF83&lt;&gt;""," ",""),CG83,IF(OR(CG83&lt;&gt;"",CF83&lt;&gt;""),"{}",""),CE83,CJ83,"{SILVER}",CH83,IF(CI83&lt;&gt;"","{}{}",""),CI83)</f>
        <v>{BLACK}Length: {GOLD}0.4 tiles{}{SILVER}Heavier mineral wagons allowed larger amounts of cargo to be carried.</v>
      </c>
    </row>
    <row r="84" customFormat="false" ht="14.25" hidden="false" customHeight="false" outlineLevel="0" collapsed="false">
      <c r="A84" s="0" t="s">
        <v>380</v>
      </c>
      <c r="B84" s="0" t="s">
        <v>381</v>
      </c>
      <c r="C84" s="0" t="n">
        <v>88</v>
      </c>
      <c r="E84" s="0" t="n">
        <v>3007</v>
      </c>
      <c r="F84" s="0" t="s">
        <v>115</v>
      </c>
      <c r="G84" s="0" t="s">
        <v>116</v>
      </c>
      <c r="H84" s="0" t="s">
        <v>116</v>
      </c>
      <c r="I84" s="0" t="s">
        <v>312</v>
      </c>
      <c r="J84" s="0" t="n">
        <v>1800</v>
      </c>
      <c r="L84" s="0" t="n">
        <v>1900</v>
      </c>
      <c r="W84" s="0" t="n">
        <v>1</v>
      </c>
      <c r="Y84" s="0" t="n">
        <v>3</v>
      </c>
      <c r="AA84" s="3" t="str">
        <f aca="false">IF(AND(W84&gt;0,Z84&gt;0),(Z84/((W84+X84)*10)),"")</f>
        <v/>
      </c>
      <c r="AB84" s="0" t="n">
        <v>25</v>
      </c>
      <c r="AC84" s="0" t="n">
        <f aca="false">ROUND(AB84*1.6, 0)</f>
        <v>40</v>
      </c>
      <c r="AF84" s="0" t="n">
        <v>4.9</v>
      </c>
      <c r="AG84" s="0" t="n">
        <v>6</v>
      </c>
      <c r="AJ84" s="4" t="n">
        <v>10</v>
      </c>
      <c r="AK84" s="5" t="str">
        <f aca="false">CONCATENATE(VLOOKUP(AL84, 'Voxel Sizes'!$A$2:$B$18,2,FALSE()),"x",INT(AH84*15), "x", INT(AI84*15))</f>
        <v>66x0x0</v>
      </c>
      <c r="AL84" s="5" t="n">
        <f aca="false">ROUND(15*((AG84*10)/256),0)</f>
        <v>4</v>
      </c>
      <c r="AN84" s="5" t="str">
        <f aca="false">CONCATENATE(VLOOKUP(AL84,Constants!$A$2:$C$16,IF(AM84&lt;&gt;"", 3, 2), FALSE()),IF(AM84&lt;&gt;"",CONCATENATE(",",VLOOKUP(AM84,$B:$AN,39,FALSE())),""))</f>
        <v>1,2,1</v>
      </c>
      <c r="AX84" s="0" t="n">
        <v>80</v>
      </c>
      <c r="AY84" s="5" t="n">
        <f aca="false">IF(L84&lt;&gt;"",MAX(16,(L84-J84)+8),"")</f>
        <v>108</v>
      </c>
      <c r="AZ84" s="0" t="n">
        <v>-15</v>
      </c>
      <c r="BA84" s="0" t="n">
        <v>-3</v>
      </c>
      <c r="BB84" s="7" t="n">
        <f aca="false">MIN(AB84/150, 1)*30</f>
        <v>5</v>
      </c>
      <c r="BC84" s="7" t="n">
        <f aca="false">MIN(N84/4000, 1)*20</f>
        <v>0</v>
      </c>
      <c r="BD84" s="7" t="n">
        <f aca="false">MIN(Z84/400,1)*20</f>
        <v>0</v>
      </c>
      <c r="BE84" s="21" t="n">
        <f aca="false">1-(MAX(J84-1900, 0)/750)</f>
        <v>1</v>
      </c>
      <c r="BF84" s="7" t="n">
        <f aca="false">((MAX($M84,1)*MIN($AJ84/300,1)))*IF(G84="Wagon",50,10)</f>
        <v>1.66666666666667</v>
      </c>
      <c r="BG84" s="7" t="n">
        <f aca="false">VLOOKUP($H84,Constants!$I:$K, 2, FALSE())</f>
        <v>1</v>
      </c>
      <c r="BH84" s="7" t="n">
        <f aca="false">VLOOKUP($H84,Constants!$I:$K, 3, FALSE())*IF(AND(G84="multiple_unit",AB84&lt;110),0.75,1)</f>
        <v>0.45</v>
      </c>
      <c r="BI84" s="7" t="n">
        <f aca="false">INT(POWER(((Constants!$G$2+$BB84+$BC84+$BD84+$BF84)*$BE84)*$BH84, 1.05))+$BA84</f>
        <v>2</v>
      </c>
      <c r="BJ84" s="7" t="n">
        <f aca="false">INT(POWER((((Constants!$G$1+$BB84+$BC84+$BD84+$BF84)*($BE84))*$BG84),IF($G84="wagon",1,1.2)))+$AZ84</f>
        <v>6</v>
      </c>
      <c r="BK84" s="22" t="n">
        <f aca="false">BI84*IF($G84="wagon",62.5,781.25)</f>
        <v>125</v>
      </c>
      <c r="BL84" s="22" t="n">
        <f aca="false">BJ84*IF($G84="wagon",2.73,81.25)</f>
        <v>16.38</v>
      </c>
      <c r="BV84" s="0" t="n">
        <v>1</v>
      </c>
      <c r="BW84" s="0" t="n">
        <v>225</v>
      </c>
      <c r="BY84" s="0" t="s">
        <v>382</v>
      </c>
      <c r="BZ84" s="0" t="s">
        <v>383</v>
      </c>
      <c r="CA84" s="9" t="str">
        <f aca="false">VLOOKUP(J84,Eras!$A$2:$C$10, 2, TRUE())</f>
        <v>early</v>
      </c>
      <c r="CB84" s="0" t="s">
        <v>357</v>
      </c>
      <c r="CC84" s="9" t="str">
        <f aca="false">CONCATENATE(CA84,"_",CB84)</f>
        <v>early_Open Wagon</v>
      </c>
      <c r="CD84" s="9" t="str">
        <f aca="false">_xlfn.CONCAT(H84, "_",I84)</f>
        <v>wagon_NARROW_GAUGE</v>
      </c>
      <c r="CE84" s="23" t="str">
        <f aca="false" t="array" ref="CE84:CE84">IF(AN84&lt;&gt;"na", _xlfn.CONCAT("{BLACK}Length: {GOLD}", TEXT(ROUNDUP(IF(AQ84&lt;&gt;"",SUM(VALUE(_xlfn.TEXTSPLIT(AQ84, ","))), SUM(VALUE(_xlfn.TEXTSPLIT(AN84, ",")))*IF(M84, M84, 1))/16, 1),"#,##0.0"), " tiles{}"), "")</f>
        <v>{BLACK}Length: {GOLD}0.3 tiles{}</v>
      </c>
      <c r="CF84" s="9" t="str">
        <f aca="false">VLOOKUP($CD84, Constants!$M:$N, 2, FALSE())</f>
        <v/>
      </c>
      <c r="CG84" s="9" t="str">
        <f aca="false">IF(AND(L84&gt;1,BN84&lt;&gt;1),_xlfn.CONCAT("{BLACK}Cars: {GOLD}", L84),"")</f>
        <v/>
      </c>
      <c r="CH84" s="0" t="s">
        <v>384</v>
      </c>
      <c r="CI84" s="0" t="str">
        <f aca="false">IF($BU84="!param_no_gameplay_units","{GREEN}Included for gameplay purposes","")</f>
        <v/>
      </c>
      <c r="CJ84" s="0" t="str">
        <f aca="false">IF(BX84="buffet","{YELLOW}25% long distance bonus for consist{}",IF(BY84="DANDY","{YELLOW}Faster downhill speeds for horse-drawn trains (1 required per 2 horses){}",IF(BY84="BRAKE","{YELLOW}Speed bonus for slow wagons{}",IF(BY84="NGPassengers","{YELLOW}Preserved railway bonus: passengers pay more when hauled by old locomotives{}",IF(AND(BW84&gt;190,NOT(AND(I84="NARROW_GAUGE",BY84&lt;&gt;"PASS"))),CONCATENATE("{YELLOW}",INT((BW84-185)/1.85),"% bonus for long distance travel{}"),IF(AND(BW84&lt;180,BW84&lt;&gt;0),CONCATENATE("{YELLOW}",INT((185-BW84)/1.85),"% penalty for long distance travel{}"),""))))))</f>
        <v/>
      </c>
      <c r="CK84" s="0" t="str">
        <f aca="false">_xlfn.CONCAT(CF84,IF(CF84&lt;&gt;""," ",""),CG84,IF(OR(CG84&lt;&gt;"",CF84&lt;&gt;""),"{}",""),CE84,CJ84,"{SILVER}",CH84,IF(CI84&lt;&gt;"","{}{}",""),CI84)</f>
        <v>{BLACK}Length: {GOLD}0.3 tiles{}{SILVER}While many narrow gauge railways were quarry lines carrying bulk goods or slate, flat wagons were used for transporting equipment.</v>
      </c>
    </row>
    <row r="85" customFormat="false" ht="14.25" hidden="false" customHeight="false" outlineLevel="0" collapsed="false">
      <c r="A85" s="0" t="s">
        <v>385</v>
      </c>
      <c r="B85" s="0" t="s">
        <v>386</v>
      </c>
      <c r="C85" s="0" t="n">
        <v>89</v>
      </c>
      <c r="E85" s="0" t="n">
        <v>3008</v>
      </c>
      <c r="F85" s="0" t="s">
        <v>115</v>
      </c>
      <c r="G85" s="0" t="s">
        <v>116</v>
      </c>
      <c r="H85" s="0" t="s">
        <v>116</v>
      </c>
      <c r="I85" s="0" t="s">
        <v>312</v>
      </c>
      <c r="J85" s="0" t="n">
        <v>1870</v>
      </c>
      <c r="W85" s="0" t="n">
        <v>1</v>
      </c>
      <c r="Y85" s="0" t="n">
        <v>4</v>
      </c>
      <c r="AA85" s="3" t="str">
        <f aca="false">IF(AND(W85&gt;0,Z85&gt;0),(Z85/((W85+X85)*10)),"")</f>
        <v/>
      </c>
      <c r="AB85" s="0" t="n">
        <v>30</v>
      </c>
      <c r="AC85" s="0" t="n">
        <f aca="false">ROUND(AB85*1.6, 0)</f>
        <v>48</v>
      </c>
      <c r="AF85" s="0" t="n">
        <v>4.9</v>
      </c>
      <c r="AG85" s="0" t="n">
        <v>8</v>
      </c>
      <c r="AJ85" s="4" t="n">
        <v>12</v>
      </c>
      <c r="AK85" s="5" t="str">
        <f aca="false">CONCATENATE(VLOOKUP(AL85, 'Voxel Sizes'!$A$2:$B$18,2,FALSE()),"x",INT(AH85*15), "x", INT(AI85*15))</f>
        <v>82x0x0</v>
      </c>
      <c r="AL85" s="5" t="n">
        <f aca="false">ROUND(15*((AG85*10)/256),0)</f>
        <v>5</v>
      </c>
      <c r="AN85" s="5" t="str">
        <f aca="false">CONCATENATE(VLOOKUP(AL85,Constants!$A$2:$C$16,IF(AM85&lt;&gt;"", 3, 2), FALSE()),IF(AM85&lt;&gt;"",CONCATENATE(",",VLOOKUP(AM85,$B:$AN,39,FALSE())),""))</f>
        <v>2,1,2</v>
      </c>
      <c r="AX85" s="0" t="n">
        <v>80</v>
      </c>
      <c r="AY85" s="5" t="str">
        <f aca="false">IF(L85&lt;&gt;"",MAX(16,(L85-J85)+8),"")</f>
        <v/>
      </c>
      <c r="AZ85" s="0" t="n">
        <v>-15</v>
      </c>
      <c r="BA85" s="0" t="n">
        <v>-3</v>
      </c>
      <c r="BB85" s="7" t="n">
        <f aca="false">MIN(AB85/150, 1)*30</f>
        <v>6</v>
      </c>
      <c r="BC85" s="7" t="n">
        <f aca="false">MIN(N85/4000, 1)*20</f>
        <v>0</v>
      </c>
      <c r="BD85" s="7" t="n">
        <f aca="false">MIN(Z85/400,1)*20</f>
        <v>0</v>
      </c>
      <c r="BE85" s="21" t="n">
        <f aca="false">1-(MAX(J85-1900, 0)/750)</f>
        <v>1</v>
      </c>
      <c r="BF85" s="7" t="n">
        <f aca="false">((MAX($M85,1)*MIN($AJ85/300,1)))*IF(G85="Wagon",50,10)</f>
        <v>2</v>
      </c>
      <c r="BG85" s="7" t="n">
        <f aca="false">VLOOKUP($H85,Constants!$I:$K, 2, FALSE())</f>
        <v>1</v>
      </c>
      <c r="BH85" s="7" t="n">
        <f aca="false">VLOOKUP($H85,Constants!$I:$K, 3, FALSE())*IF(AND(G85="multiple_unit",AB85&lt;110),0.75,1)</f>
        <v>0.45</v>
      </c>
      <c r="BI85" s="7" t="n">
        <f aca="false">INT(POWER(((Constants!$G$2+$BB85+$BC85+$BD85+$BF85)*$BE85)*$BH85, 1.05))+$BA85</f>
        <v>3</v>
      </c>
      <c r="BJ85" s="7" t="n">
        <f aca="false">INT(POWER((((Constants!$G$1+$BB85+$BC85+$BD85+$BF85)*($BE85))*$BG85),IF($G85="wagon",1,1.2)))+$AZ85</f>
        <v>8</v>
      </c>
      <c r="BK85" s="22" t="n">
        <f aca="false">BI85*IF($G85="wagon",62.5,781.25)</f>
        <v>187.5</v>
      </c>
      <c r="BL85" s="22" t="n">
        <f aca="false">BJ85*IF($G85="wagon",2.73,81.25)</f>
        <v>21.84</v>
      </c>
      <c r="BV85" s="0" t="n">
        <v>1</v>
      </c>
      <c r="BW85" s="0" t="n">
        <v>225</v>
      </c>
      <c r="BY85" s="0" t="s">
        <v>382</v>
      </c>
      <c r="BZ85" s="0" t="s">
        <v>383</v>
      </c>
      <c r="CA85" s="9" t="str">
        <f aca="false">VLOOKUP(J85,Eras!$A$2:$C$10, 2, TRUE())</f>
        <v>vct</v>
      </c>
      <c r="CB85" s="0" t="s">
        <v>357</v>
      </c>
      <c r="CC85" s="9" t="str">
        <f aca="false">CONCATENATE(CA85,"_",CB85)</f>
        <v>vct_Open Wagon</v>
      </c>
      <c r="CD85" s="9" t="str">
        <f aca="false">_xlfn.CONCAT(H85, "_",I85)</f>
        <v>wagon_NARROW_GAUGE</v>
      </c>
      <c r="CE85" s="23" t="str">
        <f aca="false" t="array" ref="CE85:CE85">IF(AN85&lt;&gt;"na", _xlfn.CONCAT("{BLACK}Length: {GOLD}", TEXT(ROUNDUP(IF(AQ85&lt;&gt;"",SUM(VALUE(_xlfn.TEXTSPLIT(AQ85, ","))), SUM(VALUE(_xlfn.TEXTSPLIT(AN85, ",")))*IF(M85, M85, 1))/16, 1),"#,##0.0"), " tiles{}"), "")</f>
        <v>{BLACK}Length: {GOLD}0.4 tiles{}</v>
      </c>
      <c r="CF85" s="9" t="str">
        <f aca="false">VLOOKUP($CD85, Constants!$M:$N, 2, FALSE())</f>
        <v/>
      </c>
      <c r="CG85" s="9" t="str">
        <f aca="false">IF(AND(L85&gt;1,BN85&lt;&gt;1),_xlfn.CONCAT("{BLACK}Cars: {GOLD}", L85),"")</f>
        <v/>
      </c>
      <c r="CH85" s="0" t="s">
        <v>387</v>
      </c>
      <c r="CI85" s="0" t="str">
        <f aca="false">IF($BU85="!param_no_gameplay_units","{GREEN}Included for gameplay purposes","")</f>
        <v/>
      </c>
      <c r="CJ85" s="0" t="str">
        <f aca="false">IF(BX85="buffet","{YELLOW}25% long distance bonus for consist{}",IF(BY85="DANDY","{YELLOW}Faster downhill speeds for horse-drawn trains (1 required per 2 horses){}",IF(BY85="BRAKE","{YELLOW}Speed bonus for slow wagons{}",IF(BY85="NGPassengers","{YELLOW}Preserved railway bonus: passengers pay more when hauled by old locomotives{}",IF(AND(BW85&gt;190,NOT(AND(I85="NARROW_GAUGE",BY85&lt;&gt;"PASS"))),CONCATENATE("{YELLOW}",INT((BW85-185)/1.85),"% bonus for long distance travel{}"),IF(AND(BW85&lt;180,BW85&lt;&gt;0),CONCATENATE("{YELLOW}",INT((185-BW85)/1.85),"% penalty for long distance travel{}"),""))))))</f>
        <v/>
      </c>
      <c r="CK85" s="0" t="str">
        <f aca="false">_xlfn.CONCAT(CF85,IF(CF85&lt;&gt;""," ",""),CG85,IF(OR(CG85&lt;&gt;"",CF85&lt;&gt;""),"{}",""),CE85,CJ85,"{SILVER}",CH85,IF(CI85&lt;&gt;"","{}{}",""),CI85)</f>
        <v>{BLACK}Length: {GOLD}0.4 tiles{}{SILVER}As per standard gauge practice, bolster wagons were used for carrying long, rigid cargo.</v>
      </c>
    </row>
    <row r="86" customFormat="false" ht="14.25" hidden="false" customHeight="false" outlineLevel="0" collapsed="false">
      <c r="A86" s="0" t="s">
        <v>388</v>
      </c>
      <c r="B86" s="0" t="s">
        <v>389</v>
      </c>
      <c r="C86" s="0" t="n">
        <v>96</v>
      </c>
      <c r="E86" s="0" t="n">
        <v>3009</v>
      </c>
      <c r="F86" s="0" t="s">
        <v>115</v>
      </c>
      <c r="G86" s="0" t="s">
        <v>116</v>
      </c>
      <c r="H86" s="0" t="s">
        <v>116</v>
      </c>
      <c r="I86" s="0" t="s">
        <v>312</v>
      </c>
      <c r="J86" s="0" t="n">
        <v>1890</v>
      </c>
      <c r="W86" s="0" t="n">
        <v>2</v>
      </c>
      <c r="Y86" s="0" t="n">
        <v>4</v>
      </c>
      <c r="AA86" s="3" t="str">
        <f aca="false">IF(AND(W86&gt;0,Z86&gt;0),(Z86/((W86+X86)*10)),"")</f>
        <v/>
      </c>
      <c r="AB86" s="0" t="n">
        <v>30</v>
      </c>
      <c r="AC86" s="0" t="n">
        <f aca="false">ROUND(AB86*1.6, 0)</f>
        <v>48</v>
      </c>
      <c r="AF86" s="0" t="n">
        <v>10</v>
      </c>
      <c r="AG86" s="0" t="n">
        <v>10</v>
      </c>
      <c r="AJ86" s="4" t="n">
        <v>18</v>
      </c>
      <c r="AK86" s="5" t="str">
        <f aca="false">CONCATENATE(VLOOKUP(AL86, 'Voxel Sizes'!$A$2:$B$18,2,FALSE()),"x",INT(AH86*15), "x", INT(AI86*15))</f>
        <v>102x0x0</v>
      </c>
      <c r="AL86" s="5" t="n">
        <f aca="false">ROUND(15*((AG86*10)/256),0)</f>
        <v>6</v>
      </c>
      <c r="AN86" s="5" t="str">
        <f aca="false">CONCATENATE(VLOOKUP(AL86,Constants!$A$2:$C$16,IF(AM86&lt;&gt;"", 3, 2), FALSE()),IF(AM86&lt;&gt;"",CONCATENATE(",",VLOOKUP(AM86,$B:$AN,39,FALSE())),""))</f>
        <v>2,2,2</v>
      </c>
      <c r="AX86" s="0" t="n">
        <v>80</v>
      </c>
      <c r="AY86" s="5" t="str">
        <f aca="false">IF(L86&lt;&gt;"",MAX(16,(L86-J86)+8),"")</f>
        <v/>
      </c>
      <c r="AZ86" s="0" t="n">
        <v>-15</v>
      </c>
      <c r="BA86" s="0" t="n">
        <v>-2</v>
      </c>
      <c r="BB86" s="7" t="n">
        <f aca="false">MIN(AB86/150, 1)*30</f>
        <v>6</v>
      </c>
      <c r="BC86" s="7" t="n">
        <f aca="false">MIN(N86/4000, 1)*20</f>
        <v>0</v>
      </c>
      <c r="BD86" s="7" t="n">
        <f aca="false">MIN(Z86/400,1)*20</f>
        <v>0</v>
      </c>
      <c r="BE86" s="21" t="n">
        <f aca="false">1-(MAX(J86-1900, 0)/750)</f>
        <v>1</v>
      </c>
      <c r="BF86" s="7" t="n">
        <f aca="false">((MAX($M86,1)*MIN($AJ86/300,1)))*IF(G86="Wagon",50,10)</f>
        <v>3</v>
      </c>
      <c r="BG86" s="7" t="n">
        <f aca="false">VLOOKUP($H86,Constants!$I:$K, 2, FALSE())</f>
        <v>1</v>
      </c>
      <c r="BH86" s="7" t="n">
        <f aca="false">VLOOKUP($H86,Constants!$I:$K, 3, FALSE())*IF(AND(G86="multiple_unit",AB86&lt;110),0.75,1)</f>
        <v>0.45</v>
      </c>
      <c r="BI86" s="7" t="n">
        <f aca="false">INT(POWER(((Constants!$G$2+$BB86+$BC86+$BD86+$BF86)*$BE86)*$BH86, 1.05))+$BA86</f>
        <v>4</v>
      </c>
      <c r="BJ86" s="7" t="n">
        <f aca="false">INT(POWER((((Constants!$G$1+$BB86+$BC86+$BD86+$BF86)*($BE86))*$BG86),IF($G86="wagon",1,1.2)))+$AZ86</f>
        <v>9</v>
      </c>
      <c r="BK86" s="22" t="n">
        <f aca="false">BI86*IF($G86="wagon",62.5,781.25)</f>
        <v>250</v>
      </c>
      <c r="BL86" s="22" t="n">
        <f aca="false">BJ86*IF($G86="wagon",2.73,81.25)</f>
        <v>24.57</v>
      </c>
      <c r="BV86" s="0" t="n">
        <v>1</v>
      </c>
      <c r="BW86" s="0" t="n">
        <v>225</v>
      </c>
      <c r="BY86" s="0" t="s">
        <v>382</v>
      </c>
      <c r="BZ86" s="0" t="s">
        <v>383</v>
      </c>
      <c r="CA86" s="9" t="str">
        <f aca="false">VLOOKUP(J86,Eras!$A$2:$C$10, 2, TRUE())</f>
        <v>vct</v>
      </c>
      <c r="CB86" s="0" t="s">
        <v>357</v>
      </c>
      <c r="CC86" s="9" t="str">
        <f aca="false">CONCATENATE(CA86,"_",CB86)</f>
        <v>vct_Open Wagon</v>
      </c>
      <c r="CD86" s="9" t="str">
        <f aca="false">_xlfn.CONCAT(H86, "_",I86)</f>
        <v>wagon_NARROW_GAUGE</v>
      </c>
      <c r="CE86" s="23" t="str">
        <f aca="false" t="array" ref="CE86:CE86">IF(AN86&lt;&gt;"na", _xlfn.CONCAT("{BLACK}Length: {GOLD}", TEXT(ROUNDUP(IF(AQ86&lt;&gt;"",SUM(VALUE(_xlfn.TEXTSPLIT(AQ86, ","))), SUM(VALUE(_xlfn.TEXTSPLIT(AN86, ",")))*IF(M86, M86, 1))/16, 1),"#,##0.0"), " tiles{}"), "")</f>
        <v>{BLACK}Length: {GOLD}0.4 tiles{}</v>
      </c>
      <c r="CF86" s="9" t="str">
        <f aca="false">VLOOKUP($CD86, Constants!$M:$N, 2, FALSE())</f>
        <v/>
      </c>
      <c r="CG86" s="9" t="str">
        <f aca="false">IF(AND(L86&gt;1,BN86&lt;&gt;1),_xlfn.CONCAT("{BLACK}Cars: {GOLD}", L86),"")</f>
        <v/>
      </c>
      <c r="CH86" s="0" t="s">
        <v>390</v>
      </c>
      <c r="CI86" s="0" t="str">
        <f aca="false">IF($BU86="!param_no_gameplay_units","{GREEN}Included for gameplay purposes","")</f>
        <v/>
      </c>
      <c r="CJ86" s="0" t="str">
        <f aca="false">IF(BX86="buffet","{YELLOW}25% long distance bonus for consist{}",IF(BY86="DANDY","{YELLOW}Faster downhill speeds for horse-drawn trains (1 required per 2 horses){}",IF(BY86="BRAKE","{YELLOW}Speed bonus for slow wagons{}",IF(BY86="NGPassengers","{YELLOW}Preserved railway bonus: passengers pay more when hauled by old locomotives{}",IF(AND(BW86&gt;190,NOT(AND(I86="NARROW_GAUGE",BY86&lt;&gt;"PASS"))),CONCATENATE("{YELLOW}",INT((BW86-185)/1.85),"% bonus for long distance travel{}"),IF(AND(BW86&lt;180,BW86&lt;&gt;0),CONCATENATE("{YELLOW}",INT((185-BW86)/1.85),"% penalty for long distance travel{}"),""))))))</f>
        <v/>
      </c>
      <c r="CK86" s="0" t="str">
        <f aca="false">_xlfn.CONCAT(CF86,IF(CF86&lt;&gt;""," ",""),CG86,IF(OR(CG86&lt;&gt;"",CF86&lt;&gt;""),"{}",""),CE86,CJ86,"{SILVER}",CH86,IF(CI86&lt;&gt;"","{}{}",""),CI86)</f>
        <v>{BLACK}Length: {GOLD}0.4 tiles{}{SILVER}Narrow gauge railways tend to use smaller vehicles capable of traversing tight turns, but the occasional larger wagon can be found on straighter routes.</v>
      </c>
    </row>
    <row r="87" customFormat="false" ht="14.25" hidden="false" customHeight="false" outlineLevel="0" collapsed="false">
      <c r="A87" s="0" t="s">
        <v>391</v>
      </c>
      <c r="B87" s="0" t="s">
        <v>392</v>
      </c>
      <c r="C87" s="0" t="n">
        <v>90</v>
      </c>
      <c r="E87" s="0" t="n">
        <v>3010</v>
      </c>
      <c r="F87" s="0" t="s">
        <v>115</v>
      </c>
      <c r="G87" s="0" t="s">
        <v>116</v>
      </c>
      <c r="H87" s="0" t="s">
        <v>116</v>
      </c>
      <c r="I87" s="0" t="s">
        <v>312</v>
      </c>
      <c r="J87" s="0" t="n">
        <v>1870</v>
      </c>
      <c r="W87" s="0" t="n">
        <v>1</v>
      </c>
      <c r="Y87" s="0" t="n">
        <v>4</v>
      </c>
      <c r="AA87" s="3" t="str">
        <f aca="false">IF(AND(W87&gt;0,Z87&gt;0),(Z87/((W87+X87)*10)),"")</f>
        <v/>
      </c>
      <c r="AB87" s="0" t="n">
        <v>30</v>
      </c>
      <c r="AC87" s="0" t="n">
        <f aca="false">ROUND(AB87*1.6, 0)</f>
        <v>48</v>
      </c>
      <c r="AF87" s="0" t="n">
        <v>4.9</v>
      </c>
      <c r="AG87" s="0" t="n">
        <v>6</v>
      </c>
      <c r="AJ87" s="4" t="n">
        <v>12</v>
      </c>
      <c r="AK87" s="5" t="str">
        <f aca="false">CONCATENATE(VLOOKUP(AL87, 'Voxel Sizes'!$A$2:$B$18,2,FALSE()),"x",INT(AH87*15), "x", INT(AI87*15))</f>
        <v>66x0x0</v>
      </c>
      <c r="AL87" s="5" t="n">
        <f aca="false">ROUND(15*((AG87*10)/256),0)</f>
        <v>4</v>
      </c>
      <c r="AN87" s="5" t="str">
        <f aca="false">CONCATENATE(VLOOKUP(AL87,Constants!$A$2:$C$16,IF(AM87&lt;&gt;"", 3, 2), FALSE()),IF(AM87&lt;&gt;"",CONCATENATE(",",VLOOKUP(AM87,$B:$AN,39,FALSE())),""))</f>
        <v>1,2,1</v>
      </c>
      <c r="AX87" s="0" t="n">
        <v>80</v>
      </c>
      <c r="AY87" s="5" t="str">
        <f aca="false">IF(L87&lt;&gt;"",MAX(16,(L87-J87)+8),"")</f>
        <v/>
      </c>
      <c r="AZ87" s="0" t="n">
        <v>-15</v>
      </c>
      <c r="BA87" s="0" t="n">
        <v>-3</v>
      </c>
      <c r="BB87" s="7" t="n">
        <f aca="false">MIN(AB87/150, 1)*30</f>
        <v>6</v>
      </c>
      <c r="BC87" s="7" t="n">
        <f aca="false">MIN(N87/4000, 1)*20</f>
        <v>0</v>
      </c>
      <c r="BD87" s="7" t="n">
        <f aca="false">MIN(Z87/400,1)*20</f>
        <v>0</v>
      </c>
      <c r="BE87" s="21" t="n">
        <f aca="false">1-(MAX(J87-1900, 0)/750)</f>
        <v>1</v>
      </c>
      <c r="BF87" s="7" t="n">
        <f aca="false">((MAX($M87,1)*MIN($AJ87/300,1)))*IF(G87="Wagon",50,10)</f>
        <v>2</v>
      </c>
      <c r="BG87" s="7" t="n">
        <f aca="false">VLOOKUP($H87,Constants!$I:$K, 2, FALSE())</f>
        <v>1</v>
      </c>
      <c r="BH87" s="7" t="n">
        <f aca="false">VLOOKUP($H87,Constants!$I:$K, 3, FALSE())*IF(AND(G87="multiple_unit",AB87&lt;110),0.75,1)</f>
        <v>0.45</v>
      </c>
      <c r="BI87" s="7" t="n">
        <f aca="false">INT(POWER(((Constants!$G$2+$BB87+$BC87+$BD87+$BF87)*$BE87)*$BH87, 1.05))+$BA87</f>
        <v>3</v>
      </c>
      <c r="BJ87" s="7" t="n">
        <f aca="false">INT(POWER((((Constants!$G$1+$BB87+$BC87+$BD87+$BF87)*($BE87))*$BG87),IF($G87="wagon",1,1.2)))+$AZ87</f>
        <v>8</v>
      </c>
      <c r="BK87" s="22" t="n">
        <f aca="false">BI87*IF($G87="wagon",62.5,781.25)</f>
        <v>187.5</v>
      </c>
      <c r="BL87" s="22" t="n">
        <f aca="false">BJ87*IF($G87="wagon",2.73,81.25)</f>
        <v>21.84</v>
      </c>
      <c r="BV87" s="0" t="n">
        <v>1</v>
      </c>
      <c r="BW87" s="0" t="n">
        <v>225</v>
      </c>
      <c r="BY87" s="0" t="s">
        <v>393</v>
      </c>
      <c r="BZ87" s="0" t="s">
        <v>394</v>
      </c>
      <c r="CA87" s="9" t="str">
        <f aca="false">VLOOKUP(J87,Eras!$A$2:$C$10, 2, TRUE())</f>
        <v>vct</v>
      </c>
      <c r="CB87" s="0" t="s">
        <v>357</v>
      </c>
      <c r="CC87" s="9" t="str">
        <f aca="false">CONCATENATE(CA87,"_",CB87)</f>
        <v>vct_Open Wagon</v>
      </c>
      <c r="CD87" s="9" t="str">
        <f aca="false">_xlfn.CONCAT(H87, "_",I87)</f>
        <v>wagon_NARROW_GAUGE</v>
      </c>
      <c r="CE87" s="23" t="str">
        <f aca="false" t="array" ref="CE87:CE87">IF(AN87&lt;&gt;"na", _xlfn.CONCAT("{BLACK}Length: {GOLD}", TEXT(ROUNDUP(IF(AQ87&lt;&gt;"",SUM(VALUE(_xlfn.TEXTSPLIT(AQ87, ","))), SUM(VALUE(_xlfn.TEXTSPLIT(AN87, ",")))*IF(M87, M87, 1))/16, 1),"#,##0.0"), " tiles{}"), "")</f>
        <v>{BLACK}Length: {GOLD}0.3 tiles{}</v>
      </c>
      <c r="CF87" s="9" t="str">
        <f aca="false">VLOOKUP($CD87, Constants!$M:$N, 2, FALSE())</f>
        <v/>
      </c>
      <c r="CG87" s="9" t="str">
        <f aca="false">IF(AND(L87&gt;1,BN87&lt;&gt;1),_xlfn.CONCAT("{BLACK}Cars: {GOLD}", L87),"")</f>
        <v/>
      </c>
      <c r="CH87" s="0" t="s">
        <v>395</v>
      </c>
      <c r="CI87" s="0" t="str">
        <f aca="false">IF($BU87="!param_no_gameplay_units","{GREEN}Included for gameplay purposes","")</f>
        <v/>
      </c>
      <c r="CJ87" s="0" t="str">
        <f aca="false">IF(BX87="buffet","{YELLOW}25% long distance bonus for consist{}",IF(BY87="DANDY","{YELLOW}Faster downhill speeds for horse-drawn trains (1 required per 2 horses){}",IF(BY87="BRAKE","{YELLOW}Speed bonus for slow wagons{}",IF(BY87="NGPassengers","{YELLOW}Preserved railway bonus: passengers pay more when hauled by old locomotives{}",IF(AND(BW87&gt;190,NOT(AND(I87="NARROW_GAUGE",BY87&lt;&gt;"PASS"))),CONCATENATE("{YELLOW}",INT((BW87-185)/1.85),"% bonus for long distance travel{}"),IF(AND(BW87&lt;180,BW87&lt;&gt;0),CONCATENATE("{YELLOW}",INT((185-BW87)/1.85),"% penalty for long distance travel{}"),""))))))</f>
        <v/>
      </c>
      <c r="CK87" s="0" t="str">
        <f aca="false">_xlfn.CONCAT(CF87,IF(CF87&lt;&gt;""," ",""),CG87,IF(OR(CG87&lt;&gt;"",CF87&lt;&gt;""),"{}",""),CE87,CJ87,"{SILVER}",CH87,IF(CI87&lt;&gt;"","{}{}",""),CI87)</f>
        <v>{BLACK}Length: {GOLD}0.3 tiles{}{SILVER}With specialised equipment at stations, tank wagons made liquid cargo easier to handle than loading drums into open wagons.</v>
      </c>
    </row>
    <row r="88" customFormat="false" ht="14.25" hidden="false" customHeight="false" outlineLevel="0" collapsed="false">
      <c r="A88" s="0" t="s">
        <v>396</v>
      </c>
      <c r="B88" s="0" t="s">
        <v>397</v>
      </c>
      <c r="C88" s="0" t="n">
        <v>91</v>
      </c>
      <c r="E88" s="0" t="n">
        <v>3011</v>
      </c>
      <c r="F88" s="0" t="s">
        <v>115</v>
      </c>
      <c r="G88" s="0" t="s">
        <v>116</v>
      </c>
      <c r="H88" s="0" t="s">
        <v>116</v>
      </c>
      <c r="I88" s="0" t="s">
        <v>312</v>
      </c>
      <c r="J88" s="0" t="n">
        <v>1870</v>
      </c>
      <c r="W88" s="0" t="n">
        <v>1</v>
      </c>
      <c r="Y88" s="0" t="n">
        <v>4</v>
      </c>
      <c r="AA88" s="3" t="str">
        <f aca="false">IF(AND(W88&gt;0,Z88&gt;0),(Z88/((W88+X88)*10)),"")</f>
        <v/>
      </c>
      <c r="AB88" s="0" t="n">
        <v>30</v>
      </c>
      <c r="AC88" s="0" t="n">
        <f aca="false">ROUND(AB88*1.6, 0)</f>
        <v>48</v>
      </c>
      <c r="AF88" s="0" t="n">
        <v>4.9</v>
      </c>
      <c r="AG88" s="0" t="n">
        <v>6</v>
      </c>
      <c r="AJ88" s="4" t="n">
        <v>12</v>
      </c>
      <c r="AK88" s="5" t="str">
        <f aca="false">CONCATENATE(VLOOKUP(AL88, 'Voxel Sizes'!$A$2:$B$18,2,FALSE()),"x",INT(AH88*15), "x", INT(AI88*15))</f>
        <v>66x0x0</v>
      </c>
      <c r="AL88" s="5" t="n">
        <f aca="false">ROUND(15*((AG88*10)/256),0)</f>
        <v>4</v>
      </c>
      <c r="AN88" s="5" t="str">
        <f aca="false">CONCATENATE(VLOOKUP(AL88,Constants!$A$2:$C$16,IF(AM88&lt;&gt;"", 3, 2), FALSE()),IF(AM88&lt;&gt;"",CONCATENATE(",",VLOOKUP(AM88,$B:$AN,39,FALSE())),""))</f>
        <v>1,2,1</v>
      </c>
      <c r="AX88" s="0" t="n">
        <v>80</v>
      </c>
      <c r="AY88" s="5" t="str">
        <f aca="false">IF(L88&lt;&gt;"",MAX(16,(L88-J88)+8),"")</f>
        <v/>
      </c>
      <c r="AZ88" s="0" t="n">
        <v>-15</v>
      </c>
      <c r="BA88" s="0" t="n">
        <v>-3</v>
      </c>
      <c r="BB88" s="7" t="n">
        <f aca="false">MIN(AB88/150, 1)*30</f>
        <v>6</v>
      </c>
      <c r="BC88" s="7" t="n">
        <f aca="false">MIN(N88/4000, 1)*20</f>
        <v>0</v>
      </c>
      <c r="BD88" s="7" t="n">
        <f aca="false">MIN(Z88/400,1)*20</f>
        <v>0</v>
      </c>
      <c r="BE88" s="21" t="n">
        <f aca="false">1-(MAX(J88-1900, 0)/750)</f>
        <v>1</v>
      </c>
      <c r="BF88" s="7" t="n">
        <f aca="false">((MAX($M88,1)*MIN($AJ88/300,1)))*IF(G88="Wagon",50,10)</f>
        <v>2</v>
      </c>
      <c r="BG88" s="7" t="n">
        <f aca="false">VLOOKUP($H88,Constants!$I:$K, 2, FALSE())</f>
        <v>1</v>
      </c>
      <c r="BH88" s="7" t="n">
        <f aca="false">VLOOKUP($H88,Constants!$I:$K, 3, FALSE())*IF(AND(G88="multiple_unit",AB88&lt;110),0.75,1)</f>
        <v>0.45</v>
      </c>
      <c r="BI88" s="7" t="n">
        <f aca="false">INT(POWER(((Constants!$G$2+$BB88+$BC88+$BD88+$BF88)*$BE88)*$BH88, 1.05))+$BA88</f>
        <v>3</v>
      </c>
      <c r="BJ88" s="7" t="n">
        <f aca="false">INT(POWER((((Constants!$G$1+$BB88+$BC88+$BD88+$BF88)*($BE88))*$BG88),IF($G88="wagon",1,1.2)))+$AZ88</f>
        <v>8</v>
      </c>
      <c r="BK88" s="22" t="n">
        <f aca="false">BI88*IF($G88="wagon",62.5,781.25)</f>
        <v>187.5</v>
      </c>
      <c r="BL88" s="22" t="n">
        <f aca="false">BJ88*IF($G88="wagon",2.73,81.25)</f>
        <v>21.84</v>
      </c>
      <c r="BV88" s="0" t="n">
        <v>1</v>
      </c>
      <c r="BW88" s="0" t="n">
        <v>225</v>
      </c>
      <c r="BY88" s="0" t="s">
        <v>398</v>
      </c>
      <c r="BZ88" s="0" t="s">
        <v>399</v>
      </c>
      <c r="CA88" s="9" t="str">
        <f aca="false">VLOOKUP(J88,Eras!$A$2:$C$10, 2, TRUE())</f>
        <v>vct</v>
      </c>
      <c r="CB88" s="0" t="s">
        <v>357</v>
      </c>
      <c r="CC88" s="9" t="str">
        <f aca="false">CONCATENATE(CA88,"_",CB88)</f>
        <v>vct_Open Wagon</v>
      </c>
      <c r="CD88" s="9" t="str">
        <f aca="false">_xlfn.CONCAT(H88, "_",I88)</f>
        <v>wagon_NARROW_GAUGE</v>
      </c>
      <c r="CE88" s="23" t="str">
        <f aca="false" t="array" ref="CE88:CE88">IF(AN88&lt;&gt;"na", _xlfn.CONCAT("{BLACK}Length: {GOLD}", TEXT(ROUNDUP(IF(AQ88&lt;&gt;"",SUM(VALUE(_xlfn.TEXTSPLIT(AQ88, ","))), SUM(VALUE(_xlfn.TEXTSPLIT(AN88, ",")))*IF(M88, M88, 1))/16, 1),"#,##0.0"), " tiles{}"), "")</f>
        <v>{BLACK}Length: {GOLD}0.3 tiles{}</v>
      </c>
      <c r="CF88" s="9" t="str">
        <f aca="false">VLOOKUP($CD88, Constants!$M:$N, 2, FALSE())</f>
        <v/>
      </c>
      <c r="CG88" s="9" t="str">
        <f aca="false">IF(AND(L88&gt;1,BN88&lt;&gt;1),_xlfn.CONCAT("{BLACK}Cars: {GOLD}", L88),"")</f>
        <v/>
      </c>
      <c r="CH88" s="0" t="s">
        <v>400</v>
      </c>
      <c r="CI88" s="0" t="str">
        <f aca="false">IF($BU88="!param_no_gameplay_units","{GREEN}Included for gameplay purposes","")</f>
        <v/>
      </c>
      <c r="CJ88" s="0" t="str">
        <f aca="false">IF(BX88="buffet","{YELLOW}25% long distance bonus for consist{}",IF(BY88="DANDY","{YELLOW}Faster downhill speeds for horse-drawn trains (1 required per 2 horses){}",IF(BY88="BRAKE","{YELLOW}Speed bonus for slow wagons{}",IF(BY88="NGPassengers","{YELLOW}Preserved railway bonus: passengers pay more when hauled by old locomotives{}",IF(AND(BW88&gt;190,NOT(AND(I88="NARROW_GAUGE",BY88&lt;&gt;"PASS"))),CONCATENATE("{YELLOW}",INT((BW88-185)/1.85),"% bonus for long distance travel{}"),IF(AND(BW88&lt;180,BW88&lt;&gt;0),CONCATENATE("{YELLOW}",INT((185-BW88)/1.85),"% penalty for long distance travel{}"),""))))))</f>
        <v/>
      </c>
      <c r="CK88" s="0" t="str">
        <f aca="false">_xlfn.CONCAT(CF88,IF(CF88&lt;&gt;""," ",""),CG88,IF(OR(CG88&lt;&gt;"",CF88&lt;&gt;""),"{}",""),CE88,CJ88,"{SILVER}",CH88,IF(CI88&lt;&gt;"","{}{}",""),CI88)</f>
        <v>{BLACK}Length: {GOLD}0.3 tiles{}{SILVER}A van for carrying livestock on narrow gauge railways.</v>
      </c>
    </row>
    <row r="89" customFormat="false" ht="14.25" hidden="false" customHeight="false" outlineLevel="0" collapsed="false">
      <c r="A89" s="0" t="s">
        <v>401</v>
      </c>
      <c r="B89" s="0" t="s">
        <v>402</v>
      </c>
      <c r="C89" s="0" t="n">
        <v>92</v>
      </c>
      <c r="E89" s="0" t="n">
        <v>3012</v>
      </c>
      <c r="F89" s="0" t="s">
        <v>115</v>
      </c>
      <c r="G89" s="0" t="s">
        <v>116</v>
      </c>
      <c r="H89" s="0" t="s">
        <v>116</v>
      </c>
      <c r="I89" s="0" t="s">
        <v>312</v>
      </c>
      <c r="J89" s="0" t="n">
        <v>1800</v>
      </c>
      <c r="L89" s="0" t="n">
        <v>1900</v>
      </c>
      <c r="W89" s="0" t="n">
        <v>1</v>
      </c>
      <c r="Y89" s="0" t="n">
        <v>3</v>
      </c>
      <c r="AA89" s="3" t="str">
        <f aca="false">IF(AND(W89&gt;0,Z89&gt;0),(Z89/((W89+X89)*10)),"")</f>
        <v/>
      </c>
      <c r="AB89" s="0" t="n">
        <v>25</v>
      </c>
      <c r="AC89" s="0" t="n">
        <f aca="false">ROUND(AB89*1.6, 0)</f>
        <v>40</v>
      </c>
      <c r="AF89" s="0" t="n">
        <v>4.9</v>
      </c>
      <c r="AG89" s="0" t="n">
        <v>6</v>
      </c>
      <c r="AJ89" s="4" t="n">
        <v>12</v>
      </c>
      <c r="AK89" s="5" t="str">
        <f aca="false">CONCATENATE(VLOOKUP(AL89, 'Voxel Sizes'!$A$2:$B$18,2,FALSE()),"x",INT(AH89*15), "x", INT(AI89*15))</f>
        <v>66x0x0</v>
      </c>
      <c r="AL89" s="5" t="n">
        <f aca="false">ROUND(15*((AG89*10)/256),0)</f>
        <v>4</v>
      </c>
      <c r="AN89" s="5" t="str">
        <f aca="false">CONCATENATE(VLOOKUP(AL89,Constants!$A$2:$C$16,IF(AM89&lt;&gt;"", 3, 2), FALSE()),IF(AM89&lt;&gt;"",CONCATENATE(",",VLOOKUP(AM89,$B:$AN,39,FALSE())),""))</f>
        <v>1,2,1</v>
      </c>
      <c r="AX89" s="0" t="n">
        <v>80</v>
      </c>
      <c r="AY89" s="5" t="n">
        <f aca="false">IF(L89&lt;&gt;"",MAX(16,(L89-J89)+8),"")</f>
        <v>108</v>
      </c>
      <c r="AZ89" s="0" t="n">
        <v>-15</v>
      </c>
      <c r="BA89" s="0" t="n">
        <v>-3</v>
      </c>
      <c r="BB89" s="7" t="n">
        <f aca="false">MIN(AB89/150, 1)*30</f>
        <v>5</v>
      </c>
      <c r="BC89" s="7" t="n">
        <f aca="false">MIN(N89/4000, 1)*20</f>
        <v>0</v>
      </c>
      <c r="BD89" s="7" t="n">
        <f aca="false">MIN(Z89/400,1)*20</f>
        <v>0</v>
      </c>
      <c r="BE89" s="21" t="n">
        <f aca="false">1-(MAX(J89-1900, 0)/750)</f>
        <v>1</v>
      </c>
      <c r="BF89" s="7" t="n">
        <f aca="false">((MAX($M89,1)*MIN($AJ89/300,1)))*IF(G89="Wagon",50,10)</f>
        <v>2</v>
      </c>
      <c r="BG89" s="7" t="n">
        <f aca="false">VLOOKUP($H89,Constants!$I:$K, 2, FALSE())</f>
        <v>1</v>
      </c>
      <c r="BH89" s="7" t="n">
        <f aca="false">VLOOKUP($H89,Constants!$I:$K, 3, FALSE())*IF(AND(G89="multiple_unit",AB89&lt;110),0.75,1)</f>
        <v>0.45</v>
      </c>
      <c r="BI89" s="7" t="n">
        <f aca="false">INT(POWER(((Constants!$G$2+$BB89+$BC89+$BD89+$BF89)*$BE89)*$BH89, 1.05))+$BA89</f>
        <v>2</v>
      </c>
      <c r="BJ89" s="7" t="n">
        <f aca="false">INT(POWER((((Constants!$G$1+$BB89+$BC89+$BD89+$BF89)*($BE89))*$BG89),IF($G89="wagon",1,1.2)))+$AZ89</f>
        <v>7</v>
      </c>
      <c r="BK89" s="22" t="n">
        <f aca="false">BI89*IF($G89="wagon",62.5,781.25)</f>
        <v>125</v>
      </c>
      <c r="BL89" s="22" t="n">
        <f aca="false">BJ89*IF($G89="wagon",2.73,81.25)</f>
        <v>19.11</v>
      </c>
      <c r="BV89" s="0" t="n">
        <v>1</v>
      </c>
      <c r="BW89" s="0" t="n">
        <v>225</v>
      </c>
      <c r="BY89" s="0" t="s">
        <v>403</v>
      </c>
      <c r="BZ89" s="0" t="s">
        <v>404</v>
      </c>
      <c r="CA89" s="9" t="str">
        <f aca="false">VLOOKUP(J89,Eras!$A$2:$C$10, 2, TRUE())</f>
        <v>early</v>
      </c>
      <c r="CB89" s="0" t="s">
        <v>357</v>
      </c>
      <c r="CC89" s="9" t="str">
        <f aca="false">CONCATENATE(CA89,"_",CB89)</f>
        <v>early_Open Wagon</v>
      </c>
      <c r="CD89" s="9" t="str">
        <f aca="false">_xlfn.CONCAT(H89, "_",I89)</f>
        <v>wagon_NARROW_GAUGE</v>
      </c>
      <c r="CE89" s="23" t="str">
        <f aca="false" t="array" ref="CE89:CE89">IF(AN89&lt;&gt;"na", _xlfn.CONCAT("{BLACK}Length: {GOLD}", TEXT(ROUNDUP(IF(AQ89&lt;&gt;"",SUM(VALUE(_xlfn.TEXTSPLIT(AQ89, ","))), SUM(VALUE(_xlfn.TEXTSPLIT(AN89, ",")))*IF(M89, M89, 1))/16, 1),"#,##0.0"), " tiles{}"), "")</f>
        <v>{BLACK}Length: {GOLD}0.3 tiles{}</v>
      </c>
      <c r="CF89" s="9" t="str">
        <f aca="false">VLOOKUP($CD89, Constants!$M:$N, 2, FALSE())</f>
        <v/>
      </c>
      <c r="CG89" s="9" t="str">
        <f aca="false">IF(AND(L89&gt;1,BN89&lt;&gt;1),_xlfn.CONCAT("{BLACK}Cars: {GOLD}", L89),"")</f>
        <v/>
      </c>
      <c r="CH89" s="0" t="s">
        <v>405</v>
      </c>
      <c r="CI89" s="0" t="str">
        <f aca="false">IF($BU89="!param_no_gameplay_units","{GREEN}Included for gameplay purposes","")</f>
        <v/>
      </c>
      <c r="CJ89" s="0" t="str">
        <f aca="false">IF(BX89="buffet","{YELLOW}25% long distance bonus for consist{}",IF(BY89="DANDY","{YELLOW}Faster downhill speeds for horse-drawn trains (1 required per 2 horses){}",IF(BY89="BRAKE","{YELLOW}Speed bonus for slow wagons{}",IF(BY89="NGPassengers","{YELLOW}Preserved railway bonus: passengers pay more when hauled by old locomotives{}",IF(AND(BW89&gt;190,NOT(AND(I89="NARROW_GAUGE",BY89&lt;&gt;"PASS"))),CONCATENATE("{YELLOW}",INT((BW89-185)/1.85),"% bonus for long distance travel{}"),IF(AND(BW89&lt;180,BW89&lt;&gt;0),CONCATENATE("{YELLOW}",INT((185-BW89)/1.85),"% penalty for long distance travel{}"),""))))))</f>
        <v/>
      </c>
      <c r="CK89" s="0" t="str">
        <f aca="false">_xlfn.CONCAT(CF89,IF(CF89&lt;&gt;""," ",""),CG89,IF(OR(CG89&lt;&gt;"",CF89&lt;&gt;""),"{}",""),CE89,CJ89,"{SILVER}",CH89,IF(CI89&lt;&gt;"","{}{}",""),CI89)</f>
        <v>{BLACK}Length: {GOLD}0.3 tiles{}{SILVER}Like their larger counterparts, narrow gauge railways built many vans for carrying piece goods.</v>
      </c>
    </row>
    <row r="90" customFormat="false" ht="14.25" hidden="false" customHeight="false" outlineLevel="0" collapsed="false">
      <c r="A90" s="0" t="s">
        <v>406</v>
      </c>
      <c r="B90" s="0" t="s">
        <v>407</v>
      </c>
      <c r="C90" s="0" t="n">
        <v>93</v>
      </c>
      <c r="E90" s="0" t="n">
        <v>3013</v>
      </c>
      <c r="F90" s="0" t="s">
        <v>115</v>
      </c>
      <c r="G90" s="0" t="s">
        <v>116</v>
      </c>
      <c r="H90" s="0" t="s">
        <v>116</v>
      </c>
      <c r="I90" s="0" t="s">
        <v>312</v>
      </c>
      <c r="J90" s="0" t="n">
        <v>1860</v>
      </c>
      <c r="W90" s="0" t="n">
        <v>3</v>
      </c>
      <c r="Y90" s="0" t="n">
        <v>4</v>
      </c>
      <c r="AA90" s="3" t="str">
        <f aca="false">IF(AND(W90&gt;0,Z90&gt;0),(Z90/((W90+X90)*10)),"")</f>
        <v/>
      </c>
      <c r="AB90" s="0" t="n">
        <v>35</v>
      </c>
      <c r="AC90" s="0" t="n">
        <f aca="false">ROUND(AB90*1.6, 0)</f>
        <v>56</v>
      </c>
      <c r="AF90" s="0" t="n">
        <v>4.9</v>
      </c>
      <c r="AG90" s="0" t="n">
        <v>6</v>
      </c>
      <c r="AJ90" s="4" t="n">
        <v>15</v>
      </c>
      <c r="AK90" s="5" t="str">
        <f aca="false">CONCATENATE(VLOOKUP(AL90, 'Voxel Sizes'!$A$2:$B$18,2,FALSE()),"x",INT(AH90*15), "x", INT(AI90*15))</f>
        <v>66x0x0</v>
      </c>
      <c r="AL90" s="5" t="n">
        <f aca="false">ROUND(15*((AG90*10)/256),0)</f>
        <v>4</v>
      </c>
      <c r="AN90" s="5" t="str">
        <f aca="false">CONCATENATE(VLOOKUP(AL90,Constants!$A$2:$C$16,IF(AM90&lt;&gt;"", 3, 2), FALSE()),IF(AM90&lt;&gt;"",CONCATENATE(",",VLOOKUP(AM90,$B:$AN,39,FALSE())),""))</f>
        <v>1,2,1</v>
      </c>
      <c r="AX90" s="0" t="n">
        <v>80</v>
      </c>
      <c r="AY90" s="5" t="str">
        <f aca="false">IF(L90&lt;&gt;"",MAX(16,(L90-J90)+8),"")</f>
        <v/>
      </c>
      <c r="AZ90" s="0" t="n">
        <v>-14</v>
      </c>
      <c r="BA90" s="0" t="n">
        <v>-3</v>
      </c>
      <c r="BB90" s="7" t="n">
        <f aca="false">MIN(AB90/150, 1)*30</f>
        <v>7</v>
      </c>
      <c r="BC90" s="7" t="n">
        <f aca="false">MIN(N90/4000, 1)*20</f>
        <v>0</v>
      </c>
      <c r="BD90" s="7" t="n">
        <f aca="false">MIN(Z90/400,1)*20</f>
        <v>0</v>
      </c>
      <c r="BE90" s="21" t="n">
        <f aca="false">1-(MAX(J90-1900, 0)/750)</f>
        <v>1</v>
      </c>
      <c r="BF90" s="7" t="n">
        <f aca="false">((MAX($M90,1)*MIN($AJ90/300,1)))*IF(G90="Wagon",50,10)</f>
        <v>2.5</v>
      </c>
      <c r="BG90" s="7" t="n">
        <f aca="false">VLOOKUP($H90,Constants!$I:$K, 2, FALSE())</f>
        <v>1</v>
      </c>
      <c r="BH90" s="7" t="n">
        <f aca="false">VLOOKUP($H90,Constants!$I:$K, 3, FALSE())*IF(AND(G90="multiple_unit",AB90&lt;110),0.75,1)</f>
        <v>0.45</v>
      </c>
      <c r="BI90" s="7" t="n">
        <f aca="false">INT(POWER(((Constants!$G$2+$BB90+$BC90+$BD90+$BF90)*$BE90)*$BH90, 1.05))+$BA90</f>
        <v>4</v>
      </c>
      <c r="BJ90" s="7" t="n">
        <f aca="false">INT(POWER((((Constants!$G$1+$BB90+$BC90+$BD90+$BF90)*($BE90))*$BG90),IF($G90="wagon",1,1.2)))+$AZ90</f>
        <v>10</v>
      </c>
      <c r="BK90" s="22" t="n">
        <f aca="false">BI90*IF($G90="wagon",62.5,781.25)</f>
        <v>250</v>
      </c>
      <c r="BL90" s="22" t="n">
        <f aca="false">BJ90*IF($G90="wagon",2.73,81.25)</f>
        <v>27.3</v>
      </c>
      <c r="BV90" s="0" t="n">
        <v>1</v>
      </c>
      <c r="BW90" s="0" t="n">
        <v>225</v>
      </c>
      <c r="BY90" s="0" t="s">
        <v>403</v>
      </c>
      <c r="BZ90" s="0" t="s">
        <v>408</v>
      </c>
      <c r="CA90" s="9" t="str">
        <f aca="false">VLOOKUP(J90,Eras!$A$2:$C$10, 2, TRUE())</f>
        <v>vct</v>
      </c>
      <c r="CB90" s="0" t="s">
        <v>357</v>
      </c>
      <c r="CC90" s="9" t="str">
        <f aca="false">CONCATENATE(CA90,"_",CB90)</f>
        <v>vct_Open Wagon</v>
      </c>
      <c r="CD90" s="9" t="str">
        <f aca="false">_xlfn.CONCAT(H90, "_",I90)</f>
        <v>wagon_NARROW_GAUGE</v>
      </c>
      <c r="CE90" s="23" t="str">
        <f aca="false" t="array" ref="CE90:CE90">IF(AN90&lt;&gt;"na", _xlfn.CONCAT("{BLACK}Length: {GOLD}", TEXT(ROUNDUP(IF(AQ90&lt;&gt;"",SUM(VALUE(_xlfn.TEXTSPLIT(AQ90, ","))), SUM(VALUE(_xlfn.TEXTSPLIT(AN90, ",")))*IF(M90, M90, 1))/16, 1),"#,##0.0"), " tiles{}"), "")</f>
        <v>{BLACK}Length: {GOLD}0.3 tiles{}</v>
      </c>
      <c r="CF90" s="9" t="str">
        <f aca="false">VLOOKUP($CD90, Constants!$M:$N, 2, FALSE())</f>
        <v/>
      </c>
      <c r="CG90" s="9" t="str">
        <f aca="false">IF(AND(L90&gt;1,BN90&lt;&gt;1),_xlfn.CONCAT("{BLACK}Cars: {GOLD}", L90),"")</f>
        <v/>
      </c>
      <c r="CH90" s="0" t="s">
        <v>409</v>
      </c>
      <c r="CI90" s="0" t="str">
        <f aca="false">IF($BU90="!param_no_gameplay_units","{GREEN}Included for gameplay purposes","")</f>
        <v/>
      </c>
      <c r="CJ90" s="0" t="str">
        <f aca="false">IF(BX90="buffet","{YELLOW}25% long distance bonus for consist{}",IF(BY90="DANDY","{YELLOW}Faster downhill speeds for horse-drawn trains (1 required per 2 horses){}",IF(BY90="BRAKE","{YELLOW}Speed bonus for slow wagons{}",IF(BY90="NGPassengers","{YELLOW}Preserved railway bonus: passengers pay more when hauled by old locomotives{}",IF(AND(BW90&gt;190,NOT(AND(I90="NARROW_GAUGE",BY90&lt;&gt;"PASS"))),CONCATENATE("{YELLOW}",INT((BW90-185)/1.85),"% bonus for long distance travel{}"),IF(AND(BW90&lt;180,BW90&lt;&gt;0),CONCATENATE("{YELLOW}",INT((185-BW90)/1.85),"% penalty for long distance travel{}"),""))))))</f>
        <v/>
      </c>
      <c r="CK90" s="0" t="str">
        <f aca="false">_xlfn.CONCAT(CF90,IF(CF90&lt;&gt;""," ",""),CG90,IF(OR(CG90&lt;&gt;"",CF90&lt;&gt;""),"{}",""),CE90,CJ90,"{SILVER}",CH90,IF(CI90&lt;&gt;"","{}{}",""),CI90)</f>
        <v>{BLACK}Length: {GOLD}0.3 tiles{}{SILVER}Gunpowder vans carried explosives to the quarries served by narrow gauge railways. This example has solid iron construction.</v>
      </c>
    </row>
    <row r="91" customFormat="false" ht="14.25" hidden="false" customHeight="false" outlineLevel="0" collapsed="false">
      <c r="A91" s="0" t="s">
        <v>410</v>
      </c>
      <c r="B91" s="0" t="s">
        <v>411</v>
      </c>
      <c r="C91" s="0" t="n">
        <v>94</v>
      </c>
      <c r="E91" s="0" t="n">
        <v>3014</v>
      </c>
      <c r="F91" s="0" t="s">
        <v>115</v>
      </c>
      <c r="G91" s="0" t="s">
        <v>116</v>
      </c>
      <c r="H91" s="0" t="s">
        <v>116</v>
      </c>
      <c r="I91" s="0" t="s">
        <v>312</v>
      </c>
      <c r="J91" s="0" t="n">
        <v>1870</v>
      </c>
      <c r="W91" s="0" t="n">
        <v>2</v>
      </c>
      <c r="Y91" s="0" t="n">
        <v>4</v>
      </c>
      <c r="AA91" s="3" t="str">
        <f aca="false">IF(AND(W91&gt;0,Z91&gt;0),(Z91/((W91+X91)*10)),"")</f>
        <v/>
      </c>
      <c r="AB91" s="0" t="n">
        <v>35</v>
      </c>
      <c r="AC91" s="0" t="n">
        <f aca="false">ROUND(AB91*1.6, 0)</f>
        <v>56</v>
      </c>
      <c r="AF91" s="0" t="n">
        <v>4.9</v>
      </c>
      <c r="AG91" s="0" t="n">
        <v>6</v>
      </c>
      <c r="AJ91" s="4" t="n">
        <v>15</v>
      </c>
      <c r="AK91" s="5" t="str">
        <f aca="false">CONCATENATE(VLOOKUP(AL91, 'Voxel Sizes'!$A$2:$B$18,2,FALSE()),"x",INT(AH91*15), "x", INT(AI91*15))</f>
        <v>66x0x0</v>
      </c>
      <c r="AL91" s="5" t="n">
        <f aca="false">ROUND(15*((AG91*10)/256),0)</f>
        <v>4</v>
      </c>
      <c r="AN91" s="5" t="str">
        <f aca="false">CONCATENATE(VLOOKUP(AL91,Constants!$A$2:$C$16,IF(AM91&lt;&gt;"", 3, 2), FALSE()),IF(AM91&lt;&gt;"",CONCATENATE(",",VLOOKUP(AM91,$B:$AN,39,FALSE())),""))</f>
        <v>1,2,1</v>
      </c>
      <c r="AX91" s="0" t="n">
        <v>80</v>
      </c>
      <c r="AY91" s="5" t="str">
        <f aca="false">IF(L91&lt;&gt;"",MAX(16,(L91-J91)+8),"")</f>
        <v/>
      </c>
      <c r="AZ91" s="0" t="n">
        <v>-15</v>
      </c>
      <c r="BA91" s="0" t="n">
        <v>-3</v>
      </c>
      <c r="BB91" s="7" t="n">
        <f aca="false">MIN(AB91/150, 1)*30</f>
        <v>7</v>
      </c>
      <c r="BC91" s="7" t="n">
        <f aca="false">MIN(N91/4000, 1)*20</f>
        <v>0</v>
      </c>
      <c r="BD91" s="7" t="n">
        <f aca="false">MIN(Z91/400,1)*20</f>
        <v>0</v>
      </c>
      <c r="BE91" s="21" t="n">
        <f aca="false">1-(MAX(J91-1900, 0)/750)</f>
        <v>1</v>
      </c>
      <c r="BF91" s="7" t="n">
        <f aca="false">((MAX($M91,1)*MIN($AJ91/300,1)))*IF(G91="Wagon",50,10)</f>
        <v>2.5</v>
      </c>
      <c r="BG91" s="7" t="n">
        <f aca="false">VLOOKUP($H91,Constants!$I:$K, 2, FALSE())</f>
        <v>1</v>
      </c>
      <c r="BH91" s="7" t="n">
        <f aca="false">VLOOKUP($H91,Constants!$I:$K, 3, FALSE())*IF(AND(G91="multiple_unit",AB91&lt;110),0.75,1)</f>
        <v>0.45</v>
      </c>
      <c r="BI91" s="7" t="n">
        <f aca="false">INT(POWER(((Constants!$G$2+$BB91+$BC91+$BD91+$BF91)*$BE91)*$BH91, 1.05))+$BA91</f>
        <v>4</v>
      </c>
      <c r="BJ91" s="7" t="n">
        <f aca="false">INT(POWER((((Constants!$G$1+$BB91+$BC91+$BD91+$BF91)*($BE91))*$BG91),IF($G91="wagon",1,1.2)))+$AZ91</f>
        <v>9</v>
      </c>
      <c r="BK91" s="22" t="n">
        <f aca="false">BI91*IF($G91="wagon",62.5,781.25)</f>
        <v>250</v>
      </c>
      <c r="BL91" s="22" t="n">
        <f aca="false">BJ91*IF($G91="wagon",2.73,81.25)</f>
        <v>24.57</v>
      </c>
      <c r="BV91" s="0" t="n">
        <v>1</v>
      </c>
      <c r="BW91" s="0" t="n">
        <v>225</v>
      </c>
      <c r="BY91" s="0" t="s">
        <v>403</v>
      </c>
      <c r="BZ91" s="0" t="s">
        <v>404</v>
      </c>
      <c r="CA91" s="9" t="str">
        <f aca="false">VLOOKUP(J91,Eras!$A$2:$C$10, 2, TRUE())</f>
        <v>vct</v>
      </c>
      <c r="CB91" s="0" t="s">
        <v>357</v>
      </c>
      <c r="CC91" s="9" t="str">
        <f aca="false">CONCATENATE(CA91,"_",CB91)</f>
        <v>vct_Open Wagon</v>
      </c>
      <c r="CD91" s="9" t="str">
        <f aca="false">_xlfn.CONCAT(H91, "_",I91)</f>
        <v>wagon_NARROW_GAUGE</v>
      </c>
      <c r="CE91" s="23" t="str">
        <f aca="false" t="array" ref="CE91:CE91">IF(AN91&lt;&gt;"na", _xlfn.CONCAT("{BLACK}Length: {GOLD}", TEXT(ROUNDUP(IF(AQ91&lt;&gt;"",SUM(VALUE(_xlfn.TEXTSPLIT(AQ91, ","))), SUM(VALUE(_xlfn.TEXTSPLIT(AN91, ",")))*IF(M91, M91, 1))/16, 1),"#,##0.0"), " tiles{}"), "")</f>
        <v>{BLACK}Length: {GOLD}0.3 tiles{}</v>
      </c>
      <c r="CF91" s="9" t="str">
        <f aca="false">VLOOKUP($CD91, Constants!$M:$N, 2, FALSE())</f>
        <v/>
      </c>
      <c r="CG91" s="9" t="str">
        <f aca="false">IF(AND(L91&gt;1,BN91&lt;&gt;1),_xlfn.CONCAT("{BLACK}Cars: {GOLD}", L91),"")</f>
        <v/>
      </c>
      <c r="CH91" s="0" t="s">
        <v>412</v>
      </c>
      <c r="CI91" s="0" t="str">
        <f aca="false">IF($BU91="!param_no_gameplay_units","{GREEN}Included for gameplay purposes","")</f>
        <v/>
      </c>
      <c r="CJ91" s="0" t="str">
        <f aca="false">IF(BX91="buffet","{YELLOW}25% long distance bonus for consist{}",IF(BY91="DANDY","{YELLOW}Faster downhill speeds for horse-drawn trains (1 required per 2 horses){}",IF(BY91="BRAKE","{YELLOW}Speed bonus for slow wagons{}",IF(BY91="NGPassengers","{YELLOW}Preserved railway bonus: passengers pay more when hauled by old locomotives{}",IF(AND(BW91&gt;190,NOT(AND(I91="NARROW_GAUGE",BY91&lt;&gt;"PASS"))),CONCATENATE("{YELLOW}",INT((BW91-185)/1.85),"% bonus for long distance travel{}"),IF(AND(BW91&lt;180,BW91&lt;&gt;0),CONCATENATE("{YELLOW}",INT((185-BW91)/1.85),"% penalty for long distance travel{}"),""))))))</f>
        <v/>
      </c>
      <c r="CK91" s="0" t="str">
        <f aca="false">_xlfn.CONCAT(CF91,IF(CF91&lt;&gt;""," ",""),CG91,IF(OR(CG91&lt;&gt;"",CF91&lt;&gt;""),"{}",""),CE91,CJ91,"{SILVER}",CH91,IF(CI91&lt;&gt;"","{}{}",""),CI91)</f>
        <v>{BLACK}Length: {GOLD}0.3 tiles{}{SILVER}Later vans used iron frames to increase their strength and enable running at faster speeds.</v>
      </c>
    </row>
    <row r="92" customFormat="false" ht="14.25" hidden="false" customHeight="false" outlineLevel="0" collapsed="false">
      <c r="A92" s="0" t="s">
        <v>413</v>
      </c>
      <c r="B92" s="0" t="s">
        <v>414</v>
      </c>
      <c r="C92" s="0" t="n">
        <v>95</v>
      </c>
      <c r="E92" s="0" t="n">
        <v>3015</v>
      </c>
      <c r="F92" s="0" t="s">
        <v>115</v>
      </c>
      <c r="G92" s="0" t="s">
        <v>116</v>
      </c>
      <c r="H92" s="0" t="s">
        <v>116</v>
      </c>
      <c r="I92" s="0" t="s">
        <v>312</v>
      </c>
      <c r="J92" s="0" t="n">
        <v>1800</v>
      </c>
      <c r="L92" s="0" t="n">
        <v>1880</v>
      </c>
      <c r="W92" s="0" t="n">
        <v>1</v>
      </c>
      <c r="Y92" s="0" t="n">
        <v>3</v>
      </c>
      <c r="AA92" s="3" t="str">
        <f aca="false">IF(AND(W92&gt;0,Z92&gt;0),(Z92/((W92+X92)*10)),"")</f>
        <v/>
      </c>
      <c r="AB92" s="0" t="n">
        <v>45</v>
      </c>
      <c r="AC92" s="0" t="n">
        <f aca="false">ROUND(AB92*1.6, 0)</f>
        <v>72</v>
      </c>
      <c r="AF92" s="0" t="n">
        <v>4.9</v>
      </c>
      <c r="AG92" s="0" t="n">
        <v>6</v>
      </c>
      <c r="AJ92" s="4" t="n">
        <v>0</v>
      </c>
      <c r="AK92" s="5" t="str">
        <f aca="false">CONCATENATE(VLOOKUP(AL92, 'Voxel Sizes'!$A$2:$B$18,2,FALSE()),"x",INT(AH92*15), "x", INT(AI92*15))</f>
        <v>66x0x0</v>
      </c>
      <c r="AL92" s="5" t="n">
        <f aca="false">ROUND(15*((AG92*10)/256),0)</f>
        <v>4</v>
      </c>
      <c r="AN92" s="5" t="str">
        <f aca="false">CONCATENATE(VLOOKUP(AL92,Constants!$A$2:$C$16,IF(AM92&lt;&gt;"", 3, 2), FALSE()),IF(AM92&lt;&gt;"",CONCATENATE(",",VLOOKUP(AM92,$B:$AN,39,FALSE())),""))</f>
        <v>1,2,1</v>
      </c>
      <c r="AX92" s="0" t="n">
        <v>80</v>
      </c>
      <c r="AY92" s="5" t="n">
        <f aca="false">IF(L92&lt;&gt;"",MAX(16,(L92-J92)+8),"")</f>
        <v>88</v>
      </c>
      <c r="AZ92" s="0" t="n">
        <v>-5</v>
      </c>
      <c r="BA92" s="0" t="n">
        <v>-2</v>
      </c>
      <c r="BB92" s="7" t="n">
        <f aca="false">MIN(AB92/150, 1)*30</f>
        <v>9</v>
      </c>
      <c r="BC92" s="7" t="n">
        <f aca="false">MIN(N92/4000, 1)*20</f>
        <v>0</v>
      </c>
      <c r="BD92" s="7" t="n">
        <f aca="false">MIN(Z92/400,1)*20</f>
        <v>0</v>
      </c>
      <c r="BE92" s="21" t="n">
        <f aca="false">1-(MAX(J92-1900, 0)/750)</f>
        <v>1</v>
      </c>
      <c r="BF92" s="7" t="n">
        <f aca="false">((MAX($M92,1)*MIN($AJ92/300,1)))*IF(G92="Wagon",50,10)</f>
        <v>0</v>
      </c>
      <c r="BG92" s="7" t="n">
        <f aca="false">VLOOKUP($H92,Constants!$I:$K, 2, FALSE())</f>
        <v>1</v>
      </c>
      <c r="BH92" s="7" t="n">
        <f aca="false">VLOOKUP($H92,Constants!$I:$K, 3, FALSE())*IF(AND(G92="multiple_unit",AB92&lt;110),0.75,1)</f>
        <v>0.45</v>
      </c>
      <c r="BI92" s="7" t="n">
        <f aca="false">INT(POWER(((Constants!$G$2+$BB92+$BC92+$BD92+$BF92)*$BE92)*$BH92, 1.05))+$BA92</f>
        <v>4</v>
      </c>
      <c r="BJ92" s="7" t="n">
        <f aca="false">INT(POWER((((Constants!$G$1+$BB92+$BC92+$BD92+$BF92)*($BE92))*$BG92),IF($G92="wagon",1,1.2)))+$AZ92</f>
        <v>19</v>
      </c>
      <c r="BK92" s="22" t="n">
        <f aca="false">BI92*IF($G92="wagon",62.5,781.25)</f>
        <v>250</v>
      </c>
      <c r="BL92" s="22" t="n">
        <f aca="false">BJ92*IF($G92="wagon",2.73,81.25)</f>
        <v>51.87</v>
      </c>
      <c r="BV92" s="0" t="n">
        <v>1</v>
      </c>
      <c r="BY92" s="0" t="s">
        <v>415</v>
      </c>
      <c r="BZ92" s="0" t="s">
        <v>416</v>
      </c>
      <c r="CA92" s="9" t="str">
        <f aca="false">VLOOKUP(J92,Eras!$A$2:$C$10, 2, TRUE())</f>
        <v>early</v>
      </c>
      <c r="CB92" s="0" t="s">
        <v>357</v>
      </c>
      <c r="CC92" s="9" t="str">
        <f aca="false">CONCATENATE(CA92,"_",CB92)</f>
        <v>early_Open Wagon</v>
      </c>
      <c r="CD92" s="9" t="str">
        <f aca="false">_xlfn.CONCAT(H92, "_",I92)</f>
        <v>wagon_NARROW_GAUGE</v>
      </c>
      <c r="CE92" s="23" t="str">
        <f aca="false" t="array" ref="CE92:CE92">IF(AN92&lt;&gt;"na", _xlfn.CONCAT("{BLACK}Length: {GOLD}", TEXT(ROUNDUP(IF(AQ92&lt;&gt;"",SUM(VALUE(_xlfn.TEXTSPLIT(AQ92, ","))), SUM(VALUE(_xlfn.TEXTSPLIT(AN92, ",")))*IF(M92, M92, 1))/16, 1),"#,##0.0"), " tiles{}"), "")</f>
        <v>{BLACK}Length: {GOLD}0.3 tiles{}</v>
      </c>
      <c r="CF92" s="9" t="str">
        <f aca="false">VLOOKUP($CD92, Constants!$M:$N, 2, FALSE())</f>
        <v/>
      </c>
      <c r="CG92" s="9" t="str">
        <f aca="false">IF(AND(L92&gt;1,BN92&lt;&gt;1),_xlfn.CONCAT("{BLACK}Cars: {GOLD}", L92),"")</f>
        <v/>
      </c>
      <c r="CH92" s="0" t="s">
        <v>417</v>
      </c>
      <c r="CI92" s="0" t="str">
        <f aca="false">IF($BU92="!param_no_gameplay_units","{GREEN}Included for gameplay purposes","")</f>
        <v/>
      </c>
      <c r="CJ92" s="0" t="str">
        <f aca="false">IF(BX92="buffet","{YELLOW}25% long distance bonus for consist{}",IF(BY92="DANDY","{YELLOW}Faster downhill speeds for horse-drawn trains (1 required per 2 horses){}",IF(BY92="BRAKE","{YELLOW}Speed bonus for slow wagons{}",IF(BY92="NGPassengers","{YELLOW}Preserved railway bonus: passengers pay more when hauled by old locomotives{}",IF(AND(BW92&gt;190,NOT(AND(I92="NARROW_GAUGE",BY92&lt;&gt;"PASS"))),CONCATENATE("{YELLOW}",INT((BW92-185)/1.85),"% bonus for long distance travel{}"),IF(AND(BW92&lt;180,BW92&lt;&gt;0),CONCATENATE("{YELLOW}",INT((185-BW92)/1.85),"% penalty for long distance travel{}"),""))))))</f>
        <v/>
      </c>
      <c r="CK92" s="0" t="str">
        <f aca="false">_xlfn.CONCAT(CF92,IF(CF92&lt;&gt;""," ",""),CG92,IF(OR(CG92&lt;&gt;"",CF92&lt;&gt;""),"{}",""),CE92,CJ92,"{SILVER}",CH92,IF(CI92&lt;&gt;"","{}{}",""),CI92)</f>
        <v>{BLACK}Length: {GOLD}0.3 tiles{}{SILVER}Early gravity railways sent cargo downhill with horses riding in dandy wagons. At the bottom the horses would be unloaded and used to haul the empty train back up the hill.</v>
      </c>
    </row>
  </sheetData>
  <autoFilter ref="A1:CH13"/>
  <conditionalFormatting sqref="C1:C1048576">
    <cfRule type="duplicateValues" priority="2" aboveAverage="0" equalAverage="0" bottom="0" percent="0" rank="0" text="" dxfId="13"/>
  </conditionalFormatting>
  <dataValidations count="1">
    <dataValidation allowBlank="true" errorStyle="stop" operator="between" showDropDown="false" showErrorMessage="true" showInputMessage="true" sqref="CB1 CB12:CB23 CB49 CB93:CB1092"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E1" colorId="64" zoomScale="100" zoomScaleNormal="100" zoomScalePageLayoutView="100" workbookViewId="0">
      <selection pane="topLeft" activeCell="W6" activeCellId="1" sqref="1:1 W6"/>
    </sheetView>
  </sheetViews>
  <sheetFormatPr defaultColWidth="8.6796875" defaultRowHeight="14.25" customHeight="false" zeroHeight="false" outlineLevelRow="0" outlineLevelCol="0"/>
  <cols>
    <col collapsed="false" customWidth="true" hidden="false" outlineLevel="0" max="2" min="2" style="0" width="29"/>
    <col collapsed="false" customWidth="true" hidden="false" outlineLevel="0" max="4" min="3" style="0" width="17.27"/>
    <col collapsed="false" customWidth="true" hidden="false" outlineLevel="0" max="5" min="5" style="0" width="6.54"/>
    <col collapsed="false" customWidth="true" hidden="false" outlineLevel="0" max="8" min="8" style="0" width="12"/>
    <col collapsed="false" customWidth="true" hidden="false" outlineLevel="0" max="10" min="9" style="0" width="16.18"/>
    <col collapsed="false" customWidth="true" hidden="false" outlineLevel="0" max="11" min="11" style="0" width="13.27"/>
    <col collapsed="false" customWidth="true" hidden="false" outlineLevel="0" max="13" min="13" style="0" width="14"/>
    <col collapsed="false" customWidth="true" hidden="false" outlineLevel="0" max="15" min="15" style="0" width="13.73"/>
    <col collapsed="false" customWidth="true" hidden="false" outlineLevel="0" max="16" min="16" style="0" width="3.18"/>
    <col collapsed="false" customWidth="true" hidden="false" outlineLevel="0" max="18" min="18" style="0" width="12.54"/>
    <col collapsed="false" customWidth="true" hidden="false" outlineLevel="0" max="19" min="19" style="0" width="12.45"/>
    <col collapsed="false" customWidth="true" hidden="false" outlineLevel="0" max="20" min="20" style="0" width="10.82"/>
    <col collapsed="false" customWidth="true" hidden="false" outlineLevel="0" max="21" min="21" style="0" width="4.45"/>
    <col collapsed="false" customWidth="true" hidden="false" outlineLevel="0" max="22" min="22" style="0" width="7"/>
  </cols>
  <sheetData>
    <row r="1" customFormat="false" ht="14.25" hidden="false" customHeight="false" outlineLevel="0" collapsed="false">
      <c r="C1" s="10" t="s">
        <v>418</v>
      </c>
      <c r="D1" s="10" t="s">
        <v>93</v>
      </c>
      <c r="E1" s="10" t="s">
        <v>194</v>
      </c>
      <c r="F1" s="10" t="s">
        <v>166</v>
      </c>
      <c r="G1" s="10" t="s">
        <v>224</v>
      </c>
      <c r="H1" s="10" t="s">
        <v>419</v>
      </c>
      <c r="I1" s="10" t="s">
        <v>255</v>
      </c>
      <c r="J1" s="10" t="s">
        <v>420</v>
      </c>
      <c r="K1" s="10" t="s">
        <v>421</v>
      </c>
      <c r="L1" s="10" t="s">
        <v>262</v>
      </c>
      <c r="M1" s="10" t="s">
        <v>422</v>
      </c>
      <c r="N1" s="10" t="s">
        <v>285</v>
      </c>
      <c r="O1" s="10" t="s">
        <v>423</v>
      </c>
      <c r="P1" s="10" t="s">
        <v>298</v>
      </c>
      <c r="Q1" s="10" t="s">
        <v>120</v>
      </c>
      <c r="R1" s="10" t="s">
        <v>424</v>
      </c>
      <c r="S1" s="10" t="s">
        <v>357</v>
      </c>
      <c r="T1" s="10" t="s">
        <v>425</v>
      </c>
      <c r="U1" s="10" t="s">
        <v>403</v>
      </c>
      <c r="V1" s="10" t="s">
        <v>393</v>
      </c>
      <c r="W1" s="10" t="s">
        <v>157</v>
      </c>
    </row>
    <row r="2" customFormat="false" ht="14.25" hidden="false" customHeight="false" outlineLevel="0" collapsed="false">
      <c r="A2" s="10" t="s">
        <v>426</v>
      </c>
      <c r="B2" s="10" t="s">
        <v>427</v>
      </c>
    </row>
    <row r="3" customFormat="false" ht="14.25" hidden="false" customHeight="false" outlineLevel="0" collapsed="false">
      <c r="A3" s="0" t="s">
        <v>102</v>
      </c>
      <c r="B3" s="0" t="str">
        <f aca="false">VLOOKUP(A3, Eras!$B$2:$C$10, 2, FALSE())</f>
        <v>Early (1800-1850)</v>
      </c>
      <c r="C3" s="0" t="n">
        <f aca="false">COUNTIF(Table!$CC:$CC,CONCATENATE($A3,"_",C$1))</f>
        <v>0</v>
      </c>
      <c r="D3" s="0" t="n">
        <f aca="false">COUNTIF(Table!$CC:$CC,CONCATENATE($A3,"_",D$1))</f>
        <v>2</v>
      </c>
      <c r="E3" s="0" t="n">
        <f aca="false">COUNTIF(Table!$CC:$CC,CONCATENATE($A3,"_",E$1))</f>
        <v>1</v>
      </c>
      <c r="F3" s="0" t="n">
        <f aca="false">COUNTIF(Table!$CC:$CC,CONCATENATE($A3,"_",F$1))</f>
        <v>4</v>
      </c>
      <c r="G3" s="0" t="n">
        <f aca="false">COUNTIF(Table!$CC:$CC,CONCATENATE($A3,"_",G$1))</f>
        <v>0</v>
      </c>
      <c r="H3" s="0" t="n">
        <f aca="false">COUNTIF(Table!$CC:$CC,CONCATENATE($A3,"_",H$1))</f>
        <v>0</v>
      </c>
      <c r="I3" s="0" t="n">
        <f aca="false">COUNTIF(Table!$CC:$CC,CONCATENATE($A3,"_",I$1))</f>
        <v>0</v>
      </c>
      <c r="J3" s="0" t="n">
        <f aca="false">COUNTIF(Table!$CC:$CC,CONCATENATE($A3,"_",J$1))</f>
        <v>0</v>
      </c>
      <c r="K3" s="0" t="n">
        <f aca="false">COUNTIF(Table!$CC:$CC,CONCATENATE($A3,"_",K$1))</f>
        <v>0</v>
      </c>
      <c r="L3" s="0" t="n">
        <f aca="false">COUNTIF(Table!$CC:$CC,CONCATENATE($A3,"_",L$1))</f>
        <v>0</v>
      </c>
      <c r="M3" s="0" t="n">
        <f aca="false">COUNTIF(Table!$CC:$CC,CONCATENATE($A3,"_",M$1))</f>
        <v>0</v>
      </c>
      <c r="N3" s="0" t="n">
        <f aca="false">COUNTIF(Table!$CC:$CC,CONCATENATE($A3,"_",N$1))</f>
        <v>0</v>
      </c>
      <c r="O3" s="0" t="n">
        <f aca="false">COUNTIF(Table!$CC:$CC,CONCATENATE($A3,"_",O$1))</f>
        <v>0</v>
      </c>
      <c r="P3" s="0" t="n">
        <f aca="false">COUNTIF(Table!$CC:$CC,CONCATENATE($A3,"_",P$1))</f>
        <v>0</v>
      </c>
      <c r="Q3" s="0" t="n">
        <f aca="false">COUNTIF(Table!$CC:$CC,CONCATENATE($A3,"_",Q$1))</f>
        <v>0</v>
      </c>
      <c r="R3" s="0" t="n">
        <f aca="false">COUNTIF(Table!$CC:$CC,CONCATENATE($A3,"_",R$1))</f>
        <v>0</v>
      </c>
      <c r="S3" s="0" t="n">
        <f aca="false">COUNTIF(Table!$CC:$CC,CONCATENATE($A3,"_",S$1))</f>
        <v>5</v>
      </c>
      <c r="T3" s="0" t="n">
        <f aca="false">COUNTIF(Table!$CC:$CC,CONCATENATE($A3,"_",T$1))</f>
        <v>0</v>
      </c>
      <c r="U3" s="0" t="n">
        <f aca="false">COUNTIF(Table!$CC:$CC,CONCATENATE($A3,"_",U$1))</f>
        <v>0</v>
      </c>
      <c r="V3" s="0" t="n">
        <f aca="false">COUNTIF(Table!$CC:$CC,CONCATENATE($A3,"_",V$1))</f>
        <v>0</v>
      </c>
      <c r="W3" s="0" t="n">
        <f aca="false">COUNTIF(Table!$CC:$CC,CONCATENATE($A3,"_",W$1))</f>
        <v>1</v>
      </c>
    </row>
    <row r="4" customFormat="false" ht="14.25" hidden="false" customHeight="false" outlineLevel="0" collapsed="false">
      <c r="A4" s="0" t="s">
        <v>190</v>
      </c>
      <c r="B4" s="0" t="str">
        <f aca="false">VLOOKUP(A4, Eras!$B$2:$C$10, 2, FALSE())</f>
        <v>Victorian (1850-1900)</v>
      </c>
      <c r="C4" s="0" t="n">
        <f aca="false">COUNTIF(Table!$CC:$CC,CONCATENATE($A4,"_",C$1))</f>
        <v>0</v>
      </c>
      <c r="D4" s="0" t="n">
        <f aca="false">COUNTIF(Table!$CC:$CC,CONCATENATE($A4,"_",D$1))</f>
        <v>6</v>
      </c>
      <c r="E4" s="0" t="n">
        <f aca="false">COUNTIF(Table!$CC:$CC,CONCATENATE($A4,"_",E$1))</f>
        <v>5</v>
      </c>
      <c r="F4" s="0" t="n">
        <f aca="false">COUNTIF(Table!$CC:$CC,CONCATENATE($A4,"_",F$1))</f>
        <v>4</v>
      </c>
      <c r="G4" s="0" t="n">
        <f aca="false">COUNTIF(Table!$CC:$CC,CONCATENATE($A4,"_",G$1))</f>
        <v>0</v>
      </c>
      <c r="H4" s="0" t="n">
        <f aca="false">COUNTIF(Table!$CC:$CC,CONCATENATE($A4,"_",H$1))</f>
        <v>0</v>
      </c>
      <c r="I4" s="0" t="n">
        <f aca="false">COUNTIF(Table!$CC:$CC,CONCATENATE($A4,"_",I$1))</f>
        <v>0</v>
      </c>
      <c r="J4" s="0" t="n">
        <f aca="false">COUNTIF(Table!$CC:$CC,CONCATENATE($A4,"_",J$1))</f>
        <v>0</v>
      </c>
      <c r="K4" s="0" t="n">
        <f aca="false">COUNTIF(Table!$CC:$CC,CONCATENATE($A4,"_",K$1))</f>
        <v>0</v>
      </c>
      <c r="L4" s="0" t="n">
        <f aca="false">COUNTIF(Table!$CC:$CC,CONCATENATE($A4,"_",L$1))</f>
        <v>0</v>
      </c>
      <c r="M4" s="0" t="n">
        <f aca="false">COUNTIF(Table!$CC:$CC,CONCATENATE($A4,"_",M$1))</f>
        <v>0</v>
      </c>
      <c r="N4" s="0" t="n">
        <f aca="false">COUNTIF(Table!$CC:$CC,CONCATENATE($A4,"_",N$1))</f>
        <v>1</v>
      </c>
      <c r="O4" s="0" t="n">
        <f aca="false">COUNTIF(Table!$CC:$CC,CONCATENATE($A4,"_",O$1))</f>
        <v>0</v>
      </c>
      <c r="P4" s="0" t="n">
        <f aca="false">COUNTIF(Table!$CC:$CC,CONCATENATE($A4,"_",P$1))</f>
        <v>1</v>
      </c>
      <c r="Q4" s="0" t="n">
        <f aca="false">COUNTIF(Table!$CC:$CC,CONCATENATE($A4,"_",Q$1))</f>
        <v>0</v>
      </c>
      <c r="R4" s="0" t="n">
        <f aca="false">COUNTIF(Table!$CC:$CC,CONCATENATE($A4,"_",R$1))</f>
        <v>0</v>
      </c>
      <c r="S4" s="0" t="n">
        <f aca="false">COUNTIF(Table!$CC:$CC,CONCATENATE($A4,"_",S$1))</f>
        <v>9</v>
      </c>
      <c r="T4" s="0" t="n">
        <f aca="false">COUNTIF(Table!$CC:$CC,CONCATENATE($A4,"_",T$1))</f>
        <v>0</v>
      </c>
      <c r="U4" s="0" t="n">
        <f aca="false">COUNTIF(Table!$CC:$CC,CONCATENATE($A4,"_",U$1))</f>
        <v>0</v>
      </c>
      <c r="V4" s="0" t="n">
        <f aca="false">COUNTIF(Table!$CC:$CC,CONCATENATE($A4,"_",V$1))</f>
        <v>0</v>
      </c>
      <c r="W4" s="0" t="n">
        <f aca="false">COUNTIF(Table!$CC:$CC,CONCATENATE($A4,"_",W$1))</f>
        <v>0</v>
      </c>
    </row>
    <row r="5" customFormat="false" ht="14.25" hidden="false" customHeight="false" outlineLevel="0" collapsed="false">
      <c r="A5" s="0" t="s">
        <v>204</v>
      </c>
      <c r="B5" s="0" t="str">
        <f aca="false">VLOOKUP(A5, Eras!$B$2:$C$10, 2, FALSE())</f>
        <v>Edwardian (1900-1920)</v>
      </c>
      <c r="C5" s="0" t="n">
        <f aca="false">COUNTIF(Table!$CC:$CC,CONCATENATE($A5,"_",C$1))</f>
        <v>0</v>
      </c>
      <c r="D5" s="0" t="n">
        <f aca="false">COUNTIF(Table!$CC:$CC,CONCATENATE($A5,"_",D$1))</f>
        <v>1</v>
      </c>
      <c r="E5" s="0" t="n">
        <f aca="false">COUNTIF(Table!$CC:$CC,CONCATENATE($A5,"_",E$1))</f>
        <v>3</v>
      </c>
      <c r="F5" s="0" t="n">
        <f aca="false">COUNTIF(Table!$CC:$CC,CONCATENATE($A5,"_",F$1))</f>
        <v>6</v>
      </c>
      <c r="G5" s="0" t="n">
        <f aca="false">COUNTIF(Table!$CC:$CC,CONCATENATE($A5,"_",G$1))</f>
        <v>0</v>
      </c>
      <c r="H5" s="0" t="n">
        <f aca="false">COUNTIF(Table!$CC:$CC,CONCATENATE($A5,"_",H$1))</f>
        <v>0</v>
      </c>
      <c r="I5" s="0" t="n">
        <f aca="false">COUNTIF(Table!$CC:$CC,CONCATENATE($A5,"_",I$1))</f>
        <v>0</v>
      </c>
      <c r="J5" s="0" t="n">
        <f aca="false">COUNTIF(Table!$CC:$CC,CONCATENATE($A5,"_",J$1))</f>
        <v>0</v>
      </c>
      <c r="K5" s="0" t="n">
        <f aca="false">COUNTIF(Table!$CC:$CC,CONCATENATE($A5,"_",K$1))</f>
        <v>0</v>
      </c>
      <c r="L5" s="0" t="n">
        <f aca="false">COUNTIF(Table!$CC:$CC,CONCATENATE($A5,"_",L$1))</f>
        <v>0</v>
      </c>
      <c r="M5" s="0" t="n">
        <f aca="false">COUNTIF(Table!$CC:$CC,CONCATENATE($A5,"_",M$1))</f>
        <v>0</v>
      </c>
      <c r="N5" s="0" t="n">
        <f aca="false">COUNTIF(Table!$CC:$CC,CONCATENATE($A5,"_",N$1))</f>
        <v>0</v>
      </c>
      <c r="O5" s="0" t="n">
        <f aca="false">COUNTIF(Table!$CC:$CC,CONCATENATE($A5,"_",O$1))</f>
        <v>0</v>
      </c>
      <c r="P5" s="0" t="n">
        <f aca="false">COUNTIF(Table!$CC:$CC,CONCATENATE($A5,"_",P$1))</f>
        <v>0</v>
      </c>
      <c r="Q5" s="0" t="n">
        <f aca="false">COUNTIF(Table!$CC:$CC,CONCATENATE($A5,"_",Q$1))</f>
        <v>1</v>
      </c>
      <c r="R5" s="0" t="n">
        <f aca="false">COUNTIF(Table!$CC:$CC,CONCATENATE($A5,"_",R$1))</f>
        <v>0</v>
      </c>
      <c r="S5" s="0" t="n">
        <f aca="false">COUNTIF(Table!$CC:$CC,CONCATENATE($A5,"_",S$1))</f>
        <v>2</v>
      </c>
      <c r="T5" s="0" t="n">
        <f aca="false">COUNTIF(Table!$CC:$CC,CONCATENATE($A5,"_",T$1))</f>
        <v>0</v>
      </c>
      <c r="U5" s="0" t="n">
        <f aca="false">COUNTIF(Table!$CC:$CC,CONCATENATE($A5,"_",U$1))</f>
        <v>0</v>
      </c>
      <c r="V5" s="0" t="n">
        <f aca="false">COUNTIF(Table!$CC:$CC,CONCATENATE($A5,"_",V$1))</f>
        <v>0</v>
      </c>
      <c r="W5" s="0" t="n">
        <f aca="false">COUNTIF(Table!$CC:$CC,CONCATENATE($A5,"_",W$1))</f>
        <v>0</v>
      </c>
    </row>
    <row r="6" customFormat="false" ht="14.25" hidden="false" customHeight="false" outlineLevel="0" collapsed="false">
      <c r="A6" s="0" t="s">
        <v>235</v>
      </c>
      <c r="B6" s="0" t="str">
        <f aca="false">VLOOKUP(A6, Eras!$B$2:$C$10, 2, FALSE())</f>
        <v>Big Four (1923-1948)</v>
      </c>
      <c r="C6" s="0" t="n">
        <f aca="false">COUNTIF(Table!$CC:$CC,CONCATENATE($A6,"_",C$1))</f>
        <v>0</v>
      </c>
      <c r="D6" s="0" t="n">
        <f aca="false">COUNTIF(Table!$CC:$CC,CONCATENATE($A6,"_",D$1))</f>
        <v>1</v>
      </c>
      <c r="E6" s="0" t="n">
        <f aca="false">COUNTIF(Table!$CC:$CC,CONCATENATE($A6,"_",E$1))</f>
        <v>3</v>
      </c>
      <c r="F6" s="0" t="n">
        <f aca="false">COUNTIF(Table!$CC:$CC,CONCATENATE($A6,"_",F$1))</f>
        <v>0</v>
      </c>
      <c r="G6" s="0" t="n">
        <f aca="false">COUNTIF(Table!$CC:$CC,CONCATENATE($A6,"_",G$1))</f>
        <v>2</v>
      </c>
      <c r="H6" s="0" t="n">
        <f aca="false">COUNTIF(Table!$CC:$CC,CONCATENATE($A6,"_",H$1))</f>
        <v>0</v>
      </c>
      <c r="I6" s="0" t="n">
        <f aca="false">COUNTIF(Table!$CC:$CC,CONCATENATE($A6,"_",I$1))</f>
        <v>0</v>
      </c>
      <c r="J6" s="0" t="n">
        <f aca="false">COUNTIF(Table!$CC:$CC,CONCATENATE($A6,"_",J$1))</f>
        <v>0</v>
      </c>
      <c r="K6" s="0" t="n">
        <f aca="false">COUNTIF(Table!$CC:$CC,CONCATENATE($A6,"_",K$1))</f>
        <v>0</v>
      </c>
      <c r="L6" s="0" t="n">
        <f aca="false">COUNTIF(Table!$CC:$CC,CONCATENATE($A6,"_",L$1))</f>
        <v>0</v>
      </c>
      <c r="M6" s="0" t="n">
        <f aca="false">COUNTIF(Table!$CC:$CC,CONCATENATE($A6,"_",M$1))</f>
        <v>0</v>
      </c>
      <c r="N6" s="0" t="n">
        <f aca="false">COUNTIF(Table!$CC:$CC,CONCATENATE($A6,"_",N$1))</f>
        <v>0</v>
      </c>
      <c r="O6" s="0" t="n">
        <f aca="false">COUNTIF(Table!$CC:$CC,CONCATENATE($A6,"_",O$1))</f>
        <v>0</v>
      </c>
      <c r="P6" s="0" t="n">
        <f aca="false">COUNTIF(Table!$CC:$CC,CONCATENATE($A6,"_",P$1))</f>
        <v>0</v>
      </c>
      <c r="Q6" s="0" t="n">
        <f aca="false">COUNTIF(Table!$CC:$CC,CONCATENATE($A6,"_",Q$1))</f>
        <v>0</v>
      </c>
      <c r="R6" s="0" t="n">
        <f aca="false">COUNTIF(Table!$CC:$CC,CONCATENATE($A6,"_",R$1))</f>
        <v>0</v>
      </c>
      <c r="S6" s="0" t="n">
        <f aca="false">COUNTIF(Table!$CC:$CC,CONCATENATE($A6,"_",S$1))</f>
        <v>0</v>
      </c>
      <c r="T6" s="0" t="n">
        <f aca="false">COUNTIF(Table!$CC:$CC,CONCATENATE($A6,"_",T$1))</f>
        <v>0</v>
      </c>
      <c r="U6" s="0" t="n">
        <f aca="false">COUNTIF(Table!$CC:$CC,CONCATENATE($A6,"_",U$1))</f>
        <v>0</v>
      </c>
      <c r="V6" s="0" t="n">
        <f aca="false">COUNTIF(Table!$CC:$CC,CONCATENATE($A6,"_",V$1))</f>
        <v>0</v>
      </c>
      <c r="W6" s="0" t="n">
        <f aca="false">COUNTIF(Table!$CC:$CC,CONCATENATE($A6,"_",W$1))</f>
        <v>0</v>
      </c>
    </row>
    <row r="7" customFormat="false" ht="14.25" hidden="false" customHeight="false" outlineLevel="0" collapsed="false">
      <c r="A7" s="0" t="s">
        <v>428</v>
      </c>
      <c r="B7" s="0" t="str">
        <f aca="false">VLOOKUP(A7, Eras!$B$2:$C$10, 2, FALSE())</f>
        <v>Early BR (1948-1955)</v>
      </c>
      <c r="C7" s="0" t="n">
        <f aca="false">COUNTIF(Table!$CC:$CC,CONCATENATE($A7,"_",C$1))</f>
        <v>0</v>
      </c>
      <c r="D7" s="0" t="n">
        <f aca="false">COUNTIF(Table!$CC:$CC,CONCATENATE($A7,"_",D$1))</f>
        <v>0</v>
      </c>
      <c r="E7" s="0" t="n">
        <f aca="false">COUNTIF(Table!$CC:$CC,CONCATENATE($A7,"_",E$1))</f>
        <v>2</v>
      </c>
      <c r="F7" s="0" t="n">
        <f aca="false">COUNTIF(Table!$CC:$CC,CONCATENATE($A7,"_",F$1))</f>
        <v>0</v>
      </c>
      <c r="G7" s="0" t="n">
        <f aca="false">COUNTIF(Table!$CC:$CC,CONCATENATE($A7,"_",G$1))</f>
        <v>1</v>
      </c>
      <c r="H7" s="0" t="n">
        <f aca="false">COUNTIF(Table!$CC:$CC,CONCATENATE($A7,"_",H$1))</f>
        <v>0</v>
      </c>
      <c r="I7" s="0" t="n">
        <f aca="false">COUNTIF(Table!$CC:$CC,CONCATENATE($A7,"_",I$1))</f>
        <v>0</v>
      </c>
      <c r="J7" s="0" t="n">
        <f aca="false">COUNTIF(Table!$CC:$CC,CONCATENATE($A7,"_",J$1))</f>
        <v>0</v>
      </c>
      <c r="K7" s="0" t="n">
        <f aca="false">COUNTIF(Table!$CC:$CC,CONCATENATE($A7,"_",K$1))</f>
        <v>0</v>
      </c>
      <c r="L7" s="0" t="n">
        <f aca="false">COUNTIF(Table!$CC:$CC,CONCATENATE($A7,"_",L$1))</f>
        <v>1</v>
      </c>
      <c r="M7" s="0" t="n">
        <f aca="false">COUNTIF(Table!$CC:$CC,CONCATENATE($A7,"_",M$1))</f>
        <v>0</v>
      </c>
      <c r="N7" s="0" t="n">
        <f aca="false">COUNTIF(Table!$CC:$CC,CONCATENATE($A7,"_",N$1))</f>
        <v>0</v>
      </c>
      <c r="O7" s="0" t="n">
        <f aca="false">COUNTIF(Table!$CC:$CC,CONCATENATE($A7,"_",O$1))</f>
        <v>0</v>
      </c>
      <c r="P7" s="0" t="n">
        <f aca="false">COUNTIF(Table!$CC:$CC,CONCATENATE($A7,"_",P$1))</f>
        <v>0</v>
      </c>
      <c r="Q7" s="0" t="n">
        <f aca="false">COUNTIF(Table!$CC:$CC,CONCATENATE($A7,"_",Q$1))</f>
        <v>1</v>
      </c>
      <c r="R7" s="0" t="n">
        <f aca="false">COUNTIF(Table!$CC:$CC,CONCATENATE($A7,"_",R$1))</f>
        <v>0</v>
      </c>
      <c r="S7" s="0" t="n">
        <f aca="false">COUNTIF(Table!$CC:$CC,CONCATENATE($A7,"_",S$1))</f>
        <v>0</v>
      </c>
      <c r="T7" s="0" t="n">
        <f aca="false">COUNTIF(Table!$CC:$CC,CONCATENATE($A7,"_",T$1))</f>
        <v>0</v>
      </c>
      <c r="U7" s="0" t="n">
        <f aca="false">COUNTIF(Table!$CC:$CC,CONCATENATE($A7,"_",U$1))</f>
        <v>0</v>
      </c>
      <c r="V7" s="0" t="n">
        <f aca="false">COUNTIF(Table!$CC:$CC,CONCATENATE($A7,"_",V$1))</f>
        <v>0</v>
      </c>
      <c r="W7" s="0" t="n">
        <f aca="false">COUNTIF(Table!$CC:$CC,CONCATENATE($A7,"_",W$1))</f>
        <v>0</v>
      </c>
    </row>
    <row r="8" customFormat="false" ht="14.25" hidden="false" customHeight="false" outlineLevel="0" collapsed="false">
      <c r="A8" s="0" t="s">
        <v>244</v>
      </c>
      <c r="B8" s="0" t="str">
        <f aca="false">VLOOKUP(A8, Eras!$B$2:$C$10, 2, FALSE())</f>
        <v>Dieselisation (1955-1970)</v>
      </c>
      <c r="C8" s="0" t="n">
        <f aca="false">COUNTIF(Table!$CC:$CC,CONCATENATE($A8,"_",C$1))</f>
        <v>0</v>
      </c>
      <c r="D8" s="0" t="n">
        <f aca="false">COUNTIF(Table!$CC:$CC,CONCATENATE($A8,"_",D$1))</f>
        <v>0</v>
      </c>
      <c r="E8" s="0" t="n">
        <f aca="false">COUNTIF(Table!$CC:$CC,CONCATENATE($A8,"_",E$1))</f>
        <v>1</v>
      </c>
      <c r="F8" s="0" t="n">
        <f aca="false">COUNTIF(Table!$CC:$CC,CONCATENATE($A8,"_",F$1))</f>
        <v>0</v>
      </c>
      <c r="G8" s="0" t="n">
        <f aca="false">COUNTIF(Table!$CC:$CC,CONCATENATE($A8,"_",G$1))</f>
        <v>2</v>
      </c>
      <c r="H8" s="0" t="n">
        <f aca="false">COUNTIF(Table!$CC:$CC,CONCATENATE($A8,"_",H$1))</f>
        <v>0</v>
      </c>
      <c r="I8" s="0" t="n">
        <f aca="false">COUNTIF(Table!$CC:$CC,CONCATENATE($A8,"_",I$1))</f>
        <v>0</v>
      </c>
      <c r="J8" s="0" t="n">
        <f aca="false">COUNTIF(Table!$CC:$CC,CONCATENATE($A8,"_",J$1))</f>
        <v>0</v>
      </c>
      <c r="K8" s="0" t="n">
        <f aca="false">COUNTIF(Table!$CC:$CC,CONCATENATE($A8,"_",K$1))</f>
        <v>0</v>
      </c>
      <c r="L8" s="0" t="n">
        <f aca="false">COUNTIF(Table!$CC:$CC,CONCATENATE($A8,"_",L$1))</f>
        <v>4</v>
      </c>
      <c r="M8" s="0" t="n">
        <f aca="false">COUNTIF(Table!$CC:$CC,CONCATENATE($A8,"_",M$1))</f>
        <v>0</v>
      </c>
      <c r="N8" s="0" t="n">
        <f aca="false">COUNTIF(Table!$CC:$CC,CONCATENATE($A8,"_",N$1))</f>
        <v>0</v>
      </c>
      <c r="O8" s="0" t="n">
        <f aca="false">COUNTIF(Table!$CC:$CC,CONCATENATE($A8,"_",O$1))</f>
        <v>0</v>
      </c>
      <c r="P8" s="0" t="n">
        <f aca="false">COUNTIF(Table!$CC:$CC,CONCATENATE($A8,"_",P$1))</f>
        <v>0</v>
      </c>
      <c r="Q8" s="0" t="n">
        <f aca="false">COUNTIF(Table!$CC:$CC,CONCATENATE($A8,"_",Q$1))</f>
        <v>1</v>
      </c>
      <c r="R8" s="0" t="n">
        <f aca="false">COUNTIF(Table!$CC:$CC,CONCATENATE($A8,"_",R$1))</f>
        <v>0</v>
      </c>
      <c r="S8" s="0" t="n">
        <f aca="false">COUNTIF(Table!$CC:$CC,CONCATENATE($A8,"_",S$1))</f>
        <v>0</v>
      </c>
      <c r="T8" s="0" t="n">
        <f aca="false">COUNTIF(Table!$CC:$CC,CONCATENATE($A8,"_",T$1))</f>
        <v>0</v>
      </c>
      <c r="U8" s="0" t="n">
        <f aca="false">COUNTIF(Table!$CC:$CC,CONCATENATE($A8,"_",U$1))</f>
        <v>0</v>
      </c>
      <c r="V8" s="0" t="n">
        <f aca="false">COUNTIF(Table!$CC:$CC,CONCATENATE($A8,"_",V$1))</f>
        <v>0</v>
      </c>
      <c r="W8" s="0" t="n">
        <f aca="false">COUNTIF(Table!$CC:$CC,CONCATENATE($A8,"_",W$1))</f>
        <v>1</v>
      </c>
    </row>
    <row r="9" customFormat="false" ht="14.25" hidden="false" customHeight="false" outlineLevel="0" collapsed="false">
      <c r="A9" s="0" t="s">
        <v>306</v>
      </c>
      <c r="B9" s="0" t="str">
        <f aca="false">VLOOKUP(A9, Eras!$B$2:$C$10, 2, FALSE())</f>
        <v>Late BR (1970-1995)</v>
      </c>
      <c r="C9" s="0" t="n">
        <f aca="false">COUNTIF(Table!$CC:$CC,CONCATENATE($A9,"_",C$1))</f>
        <v>0</v>
      </c>
      <c r="D9" s="0" t="n">
        <f aca="false">COUNTIF(Table!$CC:$CC,CONCATENATE($A9,"_",D$1))</f>
        <v>0</v>
      </c>
      <c r="E9" s="0" t="n">
        <f aca="false">COUNTIF(Table!$CC:$CC,CONCATENATE($A9,"_",E$1))</f>
        <v>1</v>
      </c>
      <c r="F9" s="0" t="n">
        <f aca="false">COUNTIF(Table!$CC:$CC,CONCATENATE($A9,"_",F$1))</f>
        <v>0</v>
      </c>
      <c r="G9" s="0" t="n">
        <f aca="false">COUNTIF(Table!$CC:$CC,CONCATENATE($A9,"_",G$1))</f>
        <v>0</v>
      </c>
      <c r="H9" s="0" t="n">
        <f aca="false">COUNTIF(Table!$CC:$CC,CONCATENATE($A9,"_",H$1))</f>
        <v>0</v>
      </c>
      <c r="I9" s="0" t="n">
        <f aca="false">COUNTIF(Table!$CC:$CC,CONCATENATE($A9,"_",I$1))</f>
        <v>1</v>
      </c>
      <c r="J9" s="0" t="n">
        <f aca="false">COUNTIF(Table!$CC:$CC,CONCATENATE($A9,"_",J$1))</f>
        <v>0</v>
      </c>
      <c r="K9" s="0" t="n">
        <f aca="false">COUNTIF(Table!$CC:$CC,CONCATENATE($A9,"_",K$1))</f>
        <v>0</v>
      </c>
      <c r="L9" s="0" t="n">
        <f aca="false">COUNTIF(Table!$CC:$CC,CONCATENATE($A9,"_",L$1))</f>
        <v>0</v>
      </c>
      <c r="M9" s="0" t="n">
        <f aca="false">COUNTIF(Table!$CC:$CC,CONCATENATE($A9,"_",M$1))</f>
        <v>0</v>
      </c>
      <c r="N9" s="0" t="n">
        <f aca="false">COUNTIF(Table!$CC:$CC,CONCATENATE($A9,"_",N$1))</f>
        <v>0</v>
      </c>
      <c r="O9" s="0" t="n">
        <f aca="false">COUNTIF(Table!$CC:$CC,CONCATENATE($A9,"_",O$1))</f>
        <v>0</v>
      </c>
      <c r="P9" s="0" t="n">
        <f aca="false">COUNTIF(Table!$CC:$CC,CONCATENATE($A9,"_",P$1))</f>
        <v>1</v>
      </c>
      <c r="Q9" s="0" t="n">
        <f aca="false">COUNTIF(Table!$CC:$CC,CONCATENATE($A9,"_",Q$1))</f>
        <v>6</v>
      </c>
      <c r="R9" s="0" t="n">
        <f aca="false">COUNTIF(Table!$CC:$CC,CONCATENATE($A9,"_",R$1))</f>
        <v>0</v>
      </c>
      <c r="S9" s="0" t="n">
        <f aca="false">COUNTIF(Table!$CC:$CC,CONCATENATE($A9,"_",S$1))</f>
        <v>0</v>
      </c>
      <c r="T9" s="0" t="n">
        <f aca="false">COUNTIF(Table!$CC:$CC,CONCATENATE($A9,"_",T$1))</f>
        <v>0</v>
      </c>
      <c r="U9" s="0" t="n">
        <f aca="false">COUNTIF(Table!$CC:$CC,CONCATENATE($A9,"_",U$1))</f>
        <v>0</v>
      </c>
      <c r="V9" s="0" t="n">
        <f aca="false">COUNTIF(Table!$CC:$CC,CONCATENATE($A9,"_",V$1))</f>
        <v>0</v>
      </c>
      <c r="W9" s="0" t="n">
        <f aca="false">COUNTIF(Table!$CC:$CC,CONCATENATE($A9,"_",W$1))</f>
        <v>0</v>
      </c>
    </row>
    <row r="10" customFormat="false" ht="14.25" hidden="false" customHeight="false" outlineLevel="0" collapsed="false">
      <c r="A10" s="0" t="s">
        <v>429</v>
      </c>
      <c r="B10" s="0" t="str">
        <f aca="false">VLOOKUP(A10, Eras!$B$2:$C$10, 2, FALSE())</f>
        <v>Privatisation (1995-2005)</v>
      </c>
      <c r="C10" s="0" t="n">
        <f aca="false">COUNTIF(Table!$CC:$CC,CONCATENATE($A10,"_",C$1))</f>
        <v>0</v>
      </c>
      <c r="D10" s="0" t="n">
        <f aca="false">COUNTIF(Table!$CC:$CC,CONCATENATE($A10,"_",D$1))</f>
        <v>0</v>
      </c>
      <c r="E10" s="0" t="n">
        <f aca="false">COUNTIF(Table!$CC:$CC,CONCATENATE($A10,"_",E$1))</f>
        <v>0</v>
      </c>
      <c r="F10" s="0" t="n">
        <f aca="false">COUNTIF(Table!$CC:$CC,CONCATENATE($A10,"_",F$1))</f>
        <v>0</v>
      </c>
      <c r="G10" s="0" t="n">
        <f aca="false">COUNTIF(Table!$CC:$CC,CONCATENATE($A10,"_",G$1))</f>
        <v>0</v>
      </c>
      <c r="H10" s="0" t="n">
        <f aca="false">COUNTIF(Table!$CC:$CC,CONCATENATE($A10,"_",H$1))</f>
        <v>0</v>
      </c>
      <c r="I10" s="0" t="n">
        <f aca="false">COUNTIF(Table!$CC:$CC,CONCATENATE($A10,"_",I$1))</f>
        <v>0</v>
      </c>
      <c r="J10" s="0" t="n">
        <f aca="false">COUNTIF(Table!$CC:$CC,CONCATENATE($A10,"_",J$1))</f>
        <v>0</v>
      </c>
      <c r="K10" s="0" t="n">
        <f aca="false">COUNTIF(Table!$CC:$CC,CONCATENATE($A10,"_",K$1))</f>
        <v>0</v>
      </c>
      <c r="L10" s="0" t="n">
        <f aca="false">COUNTIF(Table!$CC:$CC,CONCATENATE($A10,"_",L$1))</f>
        <v>0</v>
      </c>
      <c r="M10" s="0" t="n">
        <f aca="false">COUNTIF(Table!$CC:$CC,CONCATENATE($A10,"_",M$1))</f>
        <v>0</v>
      </c>
      <c r="N10" s="0" t="n">
        <f aca="false">COUNTIF(Table!$CC:$CC,CONCATENATE($A10,"_",N$1))</f>
        <v>0</v>
      </c>
      <c r="O10" s="0" t="n">
        <f aca="false">COUNTIF(Table!$CC:$CC,CONCATENATE($A10,"_",O$1))</f>
        <v>0</v>
      </c>
      <c r="P10" s="0" t="n">
        <f aca="false">COUNTIF(Table!$CC:$CC,CONCATENATE($A10,"_",P$1))</f>
        <v>0</v>
      </c>
      <c r="Q10" s="0" t="n">
        <f aca="false">COUNTIF(Table!$CC:$CC,CONCATENATE($A10,"_",Q$1))</f>
        <v>0</v>
      </c>
      <c r="R10" s="0" t="n">
        <f aca="false">COUNTIF(Table!$CC:$CC,CONCATENATE($A10,"_",R$1))</f>
        <v>0</v>
      </c>
      <c r="S10" s="0" t="n">
        <f aca="false">COUNTIF(Table!$CC:$CC,CONCATENATE($A10,"_",S$1))</f>
        <v>0</v>
      </c>
      <c r="T10" s="0" t="n">
        <f aca="false">COUNTIF(Table!$CC:$CC,CONCATENATE($A10,"_",T$1))</f>
        <v>0</v>
      </c>
      <c r="U10" s="0" t="n">
        <f aca="false">COUNTIF(Table!$CC:$CC,CONCATENATE($A10,"_",U$1))</f>
        <v>0</v>
      </c>
      <c r="V10" s="0" t="n">
        <f aca="false">COUNTIF(Table!$CC:$CC,CONCATENATE($A10,"_",V$1))</f>
        <v>0</v>
      </c>
      <c r="W10" s="0" t="n">
        <f aca="false">COUNTIF(Table!$CC:$CC,CONCATENATE($A10,"_",W$1))</f>
        <v>0</v>
      </c>
    </row>
    <row r="11" customFormat="false" ht="14.25" hidden="false" customHeight="false" outlineLevel="0" collapsed="false">
      <c r="A11" s="0" t="s">
        <v>430</v>
      </c>
      <c r="B11" s="0" t="str">
        <f aca="false">VLOOKUP(A11, Eras!$B$2:$C$10, 2, FALSE())</f>
        <v>Modern (2005-)</v>
      </c>
      <c r="C11" s="0" t="n">
        <f aca="false">COUNTIF(Table!$CC:$CC,CONCATENATE($A11,"_",C$1))</f>
        <v>0</v>
      </c>
      <c r="D11" s="0" t="n">
        <f aca="false">COUNTIF(Table!$CC:$CC,CONCATENATE($A11,"_",D$1))</f>
        <v>0</v>
      </c>
      <c r="E11" s="0" t="n">
        <f aca="false">COUNTIF(Table!$CC:$CC,CONCATENATE($A11,"_",E$1))</f>
        <v>0</v>
      </c>
      <c r="F11" s="0" t="n">
        <f aca="false">COUNTIF(Table!$CC:$CC,CONCATENATE($A11,"_",F$1))</f>
        <v>0</v>
      </c>
      <c r="G11" s="0" t="n">
        <f aca="false">COUNTIF(Table!$CC:$CC,CONCATENATE($A11,"_",G$1))</f>
        <v>0</v>
      </c>
      <c r="H11" s="0" t="n">
        <f aca="false">COUNTIF(Table!$CC:$CC,CONCATENATE($A11,"_",H$1))</f>
        <v>0</v>
      </c>
      <c r="I11" s="0" t="n">
        <f aca="false">COUNTIF(Table!$CC:$CC,CONCATENATE($A11,"_",I$1))</f>
        <v>1</v>
      </c>
      <c r="J11" s="0" t="n">
        <f aca="false">COUNTIF(Table!$CC:$CC,CONCATENATE($A11,"_",J$1))</f>
        <v>0</v>
      </c>
      <c r="K11" s="0" t="n">
        <f aca="false">COUNTIF(Table!$CC:$CC,CONCATENATE($A11,"_",K$1))</f>
        <v>0</v>
      </c>
      <c r="L11" s="0" t="n">
        <f aca="false">COUNTIF(Table!$CC:$CC,CONCATENATE($A11,"_",L$1))</f>
        <v>0</v>
      </c>
      <c r="M11" s="0" t="n">
        <f aca="false">COUNTIF(Table!$CC:$CC,CONCATENATE($A11,"_",M$1))</f>
        <v>0</v>
      </c>
      <c r="N11" s="0" t="n">
        <f aca="false">COUNTIF(Table!$CC:$CC,CONCATENATE($A11,"_",N$1))</f>
        <v>2</v>
      </c>
      <c r="O11" s="0" t="n">
        <f aca="false">COUNTIF(Table!$CC:$CC,CONCATENATE($A11,"_",O$1))</f>
        <v>0</v>
      </c>
      <c r="P11" s="0" t="n">
        <f aca="false">COUNTIF(Table!$CC:$CC,CONCATENATE($A11,"_",P$1))</f>
        <v>0</v>
      </c>
      <c r="Q11" s="0" t="n">
        <f aca="false">COUNTIF(Table!$CC:$CC,CONCATENATE($A11,"_",Q$1))</f>
        <v>1</v>
      </c>
      <c r="R11" s="0" t="n">
        <f aca="false">COUNTIF(Table!$CC:$CC,CONCATENATE($A11,"_",R$1))</f>
        <v>0</v>
      </c>
      <c r="S11" s="0" t="n">
        <f aca="false">COUNTIF(Table!$CC:$CC,CONCATENATE($A11,"_",S$1))</f>
        <v>0</v>
      </c>
      <c r="T11" s="0" t="n">
        <f aca="false">COUNTIF(Table!$CC:$CC,CONCATENATE($A11,"_",T$1))</f>
        <v>0</v>
      </c>
      <c r="U11" s="0" t="n">
        <f aca="false">COUNTIF(Table!$CC:$CC,CONCATENATE($A11,"_",U$1))</f>
        <v>0</v>
      </c>
      <c r="V11" s="0" t="n">
        <f aca="false">COUNTIF(Table!$CC:$CC,CONCATENATE($A11,"_",V$1))</f>
        <v>0</v>
      </c>
      <c r="W11" s="0" t="n">
        <f aca="false">COUNTIF(Table!$CC:$CC,CONCATENATE($A11,"_",W$1))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14">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15">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1" sqref="1:1 A2"/>
    </sheetView>
  </sheetViews>
  <sheetFormatPr defaultColWidth="8.6796875" defaultRowHeight="14.25" customHeight="false" zeroHeight="false" outlineLevelRow="0" outlineLevelCol="0"/>
  <cols>
    <col collapsed="false" customWidth="true" hidden="false" outlineLevel="0" max="1" min="1" style="0" width="9.54"/>
    <col collapsed="false" customWidth="true" hidden="false" outlineLevel="0" max="2" min="2" style="0" width="5.45"/>
    <col collapsed="false" customWidth="true" hidden="false" outlineLevel="0" max="3" min="3" style="0" width="29"/>
  </cols>
  <sheetData>
    <row r="1" customFormat="false" ht="14.25" hidden="false" customHeight="false" outlineLevel="0" collapsed="false">
      <c r="A1" s="10" t="s">
        <v>431</v>
      </c>
      <c r="B1" s="10" t="s">
        <v>432</v>
      </c>
      <c r="C1" s="10" t="s">
        <v>433</v>
      </c>
    </row>
    <row r="2" customFormat="false" ht="14.25" hidden="false" customHeight="false" outlineLevel="0" collapsed="false">
      <c r="A2" s="0" t="n">
        <v>1700</v>
      </c>
      <c r="B2" s="0" t="s">
        <v>102</v>
      </c>
      <c r="C2" s="0" t="s">
        <v>434</v>
      </c>
    </row>
    <row r="3" customFormat="false" ht="14.25" hidden="false" customHeight="false" outlineLevel="0" collapsed="false">
      <c r="A3" s="0" t="n">
        <v>1850</v>
      </c>
      <c r="B3" s="0" t="s">
        <v>190</v>
      </c>
      <c r="C3" s="0" t="s">
        <v>435</v>
      </c>
    </row>
    <row r="4" customFormat="false" ht="14.25" hidden="false" customHeight="false" outlineLevel="0" collapsed="false">
      <c r="A4" s="0" t="n">
        <v>1900</v>
      </c>
      <c r="B4" s="0" t="s">
        <v>204</v>
      </c>
      <c r="C4" s="0" t="s">
        <v>436</v>
      </c>
    </row>
    <row r="5" customFormat="false" ht="14.25" hidden="false" customHeight="false" outlineLevel="0" collapsed="false">
      <c r="A5" s="0" t="n">
        <v>1923</v>
      </c>
      <c r="B5" s="0" t="s">
        <v>235</v>
      </c>
      <c r="C5" s="0" t="s">
        <v>437</v>
      </c>
    </row>
    <row r="6" customFormat="false" ht="14.25" hidden="false" customHeight="false" outlineLevel="0" collapsed="false">
      <c r="A6" s="0" t="n">
        <v>1948</v>
      </c>
      <c r="B6" s="0" t="s">
        <v>428</v>
      </c>
      <c r="C6" s="0" t="s">
        <v>438</v>
      </c>
    </row>
    <row r="7" customFormat="false" ht="14.25" hidden="false" customHeight="false" outlineLevel="0" collapsed="false">
      <c r="A7" s="0" t="n">
        <v>1955</v>
      </c>
      <c r="B7" s="0" t="s">
        <v>244</v>
      </c>
      <c r="C7" s="0" t="s">
        <v>439</v>
      </c>
    </row>
    <row r="8" customFormat="false" ht="14.25" hidden="false" customHeight="false" outlineLevel="0" collapsed="false">
      <c r="A8" s="0" t="n">
        <v>1970</v>
      </c>
      <c r="B8" s="0" t="s">
        <v>306</v>
      </c>
      <c r="C8" s="0" t="s">
        <v>440</v>
      </c>
    </row>
    <row r="9" customFormat="false" ht="14.25" hidden="false" customHeight="false" outlineLevel="0" collapsed="false">
      <c r="A9" s="0" t="n">
        <v>1995</v>
      </c>
      <c r="B9" s="0" t="s">
        <v>429</v>
      </c>
      <c r="C9" s="0" t="s">
        <v>441</v>
      </c>
    </row>
    <row r="10" customFormat="false" ht="14.25" hidden="false" customHeight="false" outlineLevel="0" collapsed="false">
      <c r="A10" s="0" t="n">
        <v>2005</v>
      </c>
      <c r="B10" s="0" t="s">
        <v>430</v>
      </c>
      <c r="C10" s="0" t="s">
        <v>442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1:1"/>
    </sheetView>
  </sheetViews>
  <sheetFormatPr defaultColWidth="8.6796875" defaultRowHeight="14.25" customHeight="false" zeroHeight="false" outlineLevelRow="0" outlineLevelCol="0"/>
  <cols>
    <col collapsed="false" customWidth="true" hidden="false" outlineLevel="0" max="1" min="1" style="0" width="7"/>
    <col collapsed="false" customWidth="true" hidden="false" outlineLevel="0" max="2" min="2" style="0" width="13.27"/>
    <col collapsed="false" customWidth="true" hidden="false" outlineLevel="0" max="3" min="3" style="0" width="20.18"/>
    <col collapsed="false" customWidth="true" hidden="false" outlineLevel="0" max="6" min="6" style="0" width="27.45"/>
    <col collapsed="false" customWidth="true" hidden="false" outlineLevel="0" max="9" min="9" style="0" width="14.73"/>
    <col collapsed="false" customWidth="true" hidden="false" outlineLevel="0" max="10" min="10" style="0" width="18.18"/>
    <col collapsed="false" customWidth="true" hidden="false" outlineLevel="0" max="11" min="11" style="0" width="18.82"/>
    <col collapsed="false" customWidth="true" hidden="false" outlineLevel="0" max="13" min="13" style="0" width="19.73"/>
    <col collapsed="false" customWidth="true" hidden="false" outlineLevel="0" max="14" min="14" style="0" width="27.27"/>
    <col collapsed="false" customWidth="true" hidden="false" outlineLevel="0" max="15" min="15" style="0" width="6.73"/>
  </cols>
  <sheetData>
    <row r="1" customFormat="false" ht="14.25" hidden="false" customHeight="false" outlineLevel="0" collapsed="false">
      <c r="A1" s="10" t="s">
        <v>443</v>
      </c>
      <c r="B1" s="10" t="s">
        <v>444</v>
      </c>
      <c r="C1" s="10" t="s">
        <v>445</v>
      </c>
      <c r="F1" s="10" t="s">
        <v>446</v>
      </c>
      <c r="G1" s="0" t="n">
        <v>15</v>
      </c>
      <c r="I1" s="10" t="s">
        <v>447</v>
      </c>
      <c r="J1" s="10" t="s">
        <v>448</v>
      </c>
      <c r="K1" s="10" t="s">
        <v>449</v>
      </c>
      <c r="M1" s="10" t="s">
        <v>450</v>
      </c>
      <c r="N1" s="10" t="s">
        <v>451</v>
      </c>
      <c r="O1" s="10" t="s">
        <v>13</v>
      </c>
    </row>
    <row r="2" customFormat="false" ht="14.25" hidden="false" customHeight="false" outlineLevel="0" collapsed="false">
      <c r="A2" s="0" t="n">
        <v>0</v>
      </c>
      <c r="B2" s="0" t="s">
        <v>188</v>
      </c>
      <c r="F2" s="10" t="s">
        <v>452</v>
      </c>
      <c r="G2" s="0" t="n">
        <v>5</v>
      </c>
      <c r="I2" s="0" t="s">
        <v>243</v>
      </c>
      <c r="J2" s="0" t="n">
        <v>1</v>
      </c>
      <c r="K2" s="0" t="n">
        <v>2</v>
      </c>
      <c r="M2" s="0" t="s">
        <v>453</v>
      </c>
      <c r="N2" s="0" t="str">
        <f aca="false">IF(O2&lt;&gt;"", _xlfn.CONCAT("{BLACK}Powered by: {GOLD}",O2), "")</f>
        <v>{BLACK}Powered by: {GOLD}Diesel</v>
      </c>
      <c r="O2" s="0" t="s">
        <v>454</v>
      </c>
    </row>
    <row r="3" customFormat="false" ht="14.25" hidden="false" customHeight="false" outlineLevel="0" collapsed="false">
      <c r="A3" s="0" t="n">
        <v>3</v>
      </c>
      <c r="B3" s="0" t="s">
        <v>221</v>
      </c>
      <c r="C3" s="0" t="s">
        <v>221</v>
      </c>
      <c r="I3" s="0" t="s">
        <v>274</v>
      </c>
      <c r="J3" s="0" t="n">
        <v>0.85</v>
      </c>
      <c r="K3" s="0" t="n">
        <v>2.3</v>
      </c>
      <c r="M3" s="0" t="s">
        <v>455</v>
      </c>
      <c r="N3" s="0" t="str">
        <f aca="false">IF(O3&lt;&gt;"", _xlfn.CONCAT("{BLACK}Powered by: {GOLD}",O3), "")</f>
        <v>{BLACK}Powered by: {GOLD}Steam</v>
      </c>
      <c r="O3" s="0" t="s">
        <v>456</v>
      </c>
    </row>
    <row r="4" customFormat="false" ht="14.25" hidden="false" customHeight="false" outlineLevel="0" collapsed="false">
      <c r="A4" s="0" t="n">
        <v>4</v>
      </c>
      <c r="B4" s="0" t="s">
        <v>457</v>
      </c>
      <c r="C4" s="0" t="s">
        <v>457</v>
      </c>
      <c r="I4" s="0" t="s">
        <v>162</v>
      </c>
      <c r="J4" s="0" t="n">
        <v>1.15</v>
      </c>
      <c r="K4" s="0" t="n">
        <v>1.7</v>
      </c>
      <c r="M4" s="0" t="s">
        <v>458</v>
      </c>
      <c r="N4" s="0" t="str">
        <f aca="false">IF(O4&lt;&gt;"", _xlfn.CONCAT("{BLACK}Powered by: {GOLD}",O4), "")</f>
        <v>{BLACK}Powered by: {GOLD}25kV AC</v>
      </c>
      <c r="O4" s="0" t="s">
        <v>459</v>
      </c>
    </row>
    <row r="5" customFormat="false" ht="14.25" hidden="false" customHeight="false" outlineLevel="0" collapsed="false">
      <c r="A5" s="0" t="n">
        <v>5</v>
      </c>
      <c r="B5" s="0" t="s">
        <v>460</v>
      </c>
      <c r="C5" s="0" t="s">
        <v>460</v>
      </c>
      <c r="I5" s="0" t="s">
        <v>461</v>
      </c>
      <c r="J5" s="0" t="n">
        <v>0.9</v>
      </c>
      <c r="K5" s="0" t="n">
        <v>2.5</v>
      </c>
      <c r="M5" s="0" t="s">
        <v>462</v>
      </c>
      <c r="N5" s="0" t="str">
        <f aca="false">IF(O5&lt;&gt;"", _xlfn.CONCAT("{BLACK}Powered by: {GOLD}",O5), "")</f>
        <v>{BLACK}Powered by: {GOLD}750V DC</v>
      </c>
      <c r="O5" s="0" t="s">
        <v>463</v>
      </c>
    </row>
    <row r="6" customFormat="false" ht="14.25" hidden="false" customHeight="false" outlineLevel="0" collapsed="false">
      <c r="A6" s="0" t="n">
        <v>6</v>
      </c>
      <c r="B6" s="0" t="s">
        <v>464</v>
      </c>
      <c r="C6" s="0" t="s">
        <v>464</v>
      </c>
      <c r="I6" s="0" t="s">
        <v>465</v>
      </c>
      <c r="J6" s="0" t="n">
        <v>0.85</v>
      </c>
      <c r="K6" s="0" t="n">
        <v>2.4</v>
      </c>
      <c r="M6" s="0" t="s">
        <v>466</v>
      </c>
      <c r="N6" s="0" t="str">
        <f aca="false">IF(O6&lt;&gt;"", _xlfn.CONCAT("{BLACK}Powered by: {GOLD}",O6), "")</f>
        <v/>
      </c>
    </row>
    <row r="7" customFormat="false" ht="14.25" hidden="false" customHeight="false" outlineLevel="0" collapsed="false">
      <c r="A7" s="0" t="n">
        <v>7</v>
      </c>
      <c r="B7" s="0" t="s">
        <v>467</v>
      </c>
      <c r="C7" s="0" t="s">
        <v>467</v>
      </c>
      <c r="I7" s="0" t="s">
        <v>117</v>
      </c>
      <c r="J7" s="0" t="n">
        <v>1.2</v>
      </c>
      <c r="K7" s="0" t="n">
        <v>0.6</v>
      </c>
      <c r="M7" s="0" t="s">
        <v>468</v>
      </c>
      <c r="N7" s="0" t="str">
        <f aca="false">IF(O7&lt;&gt;"", _xlfn.CONCAT("{BLACK}Powered by: {GOLD}",O7), "")</f>
        <v/>
      </c>
    </row>
    <row r="8" customFormat="false" ht="14.25" hidden="false" customHeight="false" outlineLevel="0" collapsed="false">
      <c r="A8" s="0" t="n">
        <v>8</v>
      </c>
      <c r="B8" s="0" t="s">
        <v>469</v>
      </c>
      <c r="C8" s="0" t="s">
        <v>469</v>
      </c>
      <c r="I8" s="0" t="s">
        <v>470</v>
      </c>
      <c r="J8" s="0" t="n">
        <v>1.5</v>
      </c>
      <c r="K8" s="0" t="n">
        <v>0.7</v>
      </c>
      <c r="M8" s="0" t="s">
        <v>471</v>
      </c>
      <c r="N8" s="0" t="str">
        <f aca="false">IF(O8&lt;&gt;"", _xlfn.CONCAT("{BLACK}Powered by: {GOLD}",O8), "")</f>
        <v/>
      </c>
    </row>
    <row r="9" customFormat="false" ht="14.25" hidden="false" customHeight="false" outlineLevel="0" collapsed="false">
      <c r="A9" s="0" t="n">
        <v>9</v>
      </c>
      <c r="B9" s="0" t="s">
        <v>472</v>
      </c>
      <c r="C9" s="0" t="s">
        <v>472</v>
      </c>
      <c r="I9" s="0" t="s">
        <v>116</v>
      </c>
      <c r="J9" s="0" t="n">
        <v>1</v>
      </c>
      <c r="K9" s="0" t="n">
        <v>0.45</v>
      </c>
      <c r="M9" s="0" t="s">
        <v>473</v>
      </c>
      <c r="N9" s="0" t="str">
        <f aca="false">IF(O9&lt;&gt;"", _xlfn.CONCAT("{BLACK}Powered by: {GOLD}",O9), "")</f>
        <v/>
      </c>
    </row>
    <row r="10" customFormat="false" ht="14.25" hidden="false" customHeight="false" outlineLevel="0" collapsed="false">
      <c r="A10" s="0" t="n">
        <v>10</v>
      </c>
      <c r="B10" s="0" t="s">
        <v>474</v>
      </c>
      <c r="C10" s="0" t="s">
        <v>474</v>
      </c>
      <c r="I10" s="0" t="s">
        <v>475</v>
      </c>
      <c r="J10" s="0" t="n">
        <v>1</v>
      </c>
      <c r="K10" s="0" t="n">
        <v>0.4</v>
      </c>
      <c r="M10" s="0" t="s">
        <v>476</v>
      </c>
      <c r="N10" s="0" t="str">
        <f aca="false">IF(O10&lt;&gt;"", _xlfn.CONCAT("{BLACK}Powered by: {GOLD}",O10), "")</f>
        <v>{BLACK}Powered by: {GOLD}Steam</v>
      </c>
      <c r="O10" s="0" t="s">
        <v>456</v>
      </c>
    </row>
    <row r="11" customFormat="false" ht="14.25" hidden="false" customHeight="false" outlineLevel="0" collapsed="false">
      <c r="A11" s="0" t="n">
        <v>11</v>
      </c>
      <c r="B11" s="0" t="s">
        <v>477</v>
      </c>
      <c r="C11" s="0" t="s">
        <v>477</v>
      </c>
      <c r="I11" s="0" t="s">
        <v>295</v>
      </c>
      <c r="J11" s="0" t="n">
        <v>0.9</v>
      </c>
      <c r="K11" s="0" t="n">
        <v>1.6</v>
      </c>
      <c r="M11" s="0" t="s">
        <v>478</v>
      </c>
      <c r="N11" s="0" t="str">
        <f aca="false">IF(O11&lt;&gt;"", _xlfn.CONCAT("{BLACK}Powered by: {GOLD}",O11), "")</f>
        <v>{BLACK}Powered by: {GOLD}750V DC / Diesel</v>
      </c>
      <c r="O11" s="0" t="s">
        <v>479</v>
      </c>
    </row>
    <row r="12" customFormat="false" ht="14.25" hidden="false" customHeight="false" outlineLevel="0" collapsed="false">
      <c r="A12" s="0" t="n">
        <v>12</v>
      </c>
      <c r="B12" s="0" t="s">
        <v>480</v>
      </c>
      <c r="C12" s="0" t="s">
        <v>480</v>
      </c>
      <c r="I12" s="0" t="s">
        <v>38</v>
      </c>
      <c r="J12" s="0" t="n">
        <v>0</v>
      </c>
      <c r="K12" s="0" t="n">
        <v>0</v>
      </c>
      <c r="M12" s="0" t="s">
        <v>481</v>
      </c>
      <c r="N12" s="0" t="str">
        <f aca="false">IF(O12&lt;&gt;"", _xlfn.CONCAT("{BLACK}Powered by: {GOLD}",O12), "")</f>
        <v>{BLACK}Powered by: {GOLD}25kV AC / 750V DC</v>
      </c>
      <c r="O12" s="0" t="s">
        <v>482</v>
      </c>
    </row>
    <row r="13" customFormat="false" ht="14.25" hidden="false" customHeight="false" outlineLevel="0" collapsed="false">
      <c r="A13" s="0" t="n">
        <v>13</v>
      </c>
      <c r="B13" s="0" t="s">
        <v>483</v>
      </c>
      <c r="C13" s="0" t="s">
        <v>483</v>
      </c>
      <c r="I13" s="0" t="s">
        <v>350</v>
      </c>
      <c r="J13" s="0" t="n">
        <v>1.05</v>
      </c>
      <c r="K13" s="0" t="n">
        <v>1.9</v>
      </c>
      <c r="M13" s="0" t="s">
        <v>484</v>
      </c>
      <c r="N13" s="0" t="str">
        <f aca="false">IF(O13&lt;&gt;"", _xlfn.CONCAT("{BLACK}Powered by: {GOLD}",O13), "")</f>
        <v/>
      </c>
    </row>
    <row r="14" customFormat="false" ht="14.25" hidden="false" customHeight="false" outlineLevel="0" collapsed="false">
      <c r="A14" s="0" t="n">
        <v>14</v>
      </c>
      <c r="B14" s="0" t="s">
        <v>485</v>
      </c>
      <c r="C14" s="0" t="s">
        <v>485</v>
      </c>
      <c r="I14" s="0" t="s">
        <v>486</v>
      </c>
      <c r="J14" s="0" t="n">
        <v>0.98</v>
      </c>
      <c r="K14" s="0" t="n">
        <v>1.88</v>
      </c>
      <c r="M14" s="0" t="s">
        <v>487</v>
      </c>
      <c r="N14" s="0" t="str">
        <f aca="false">IF(O14&lt;&gt;"", _xlfn.CONCAT("{BLACK}Powered by: {GOLD}",O14), "")</f>
        <v/>
      </c>
    </row>
    <row r="15" customFormat="false" ht="14.25" hidden="false" customHeight="false" outlineLevel="0" collapsed="false">
      <c r="A15" s="0" t="n">
        <v>15</v>
      </c>
      <c r="B15" s="0" t="s">
        <v>488</v>
      </c>
      <c r="C15" s="0" t="s">
        <v>488</v>
      </c>
      <c r="I15" s="0" t="s">
        <v>311</v>
      </c>
      <c r="J15" s="0" t="n">
        <v>0.5</v>
      </c>
      <c r="K15" s="0" t="n">
        <v>0.5</v>
      </c>
      <c r="M15" s="0" t="s">
        <v>489</v>
      </c>
      <c r="N15" s="0" t="str">
        <f aca="false">IF(O15&lt;&gt;"", _xlfn.CONCAT("{BLACK}Powered by: {GOLD}",O15), "")</f>
        <v/>
      </c>
    </row>
    <row r="16" customFormat="false" ht="14.25" hidden="false" customHeight="false" outlineLevel="0" collapsed="false">
      <c r="A16" s="0" t="n">
        <v>16</v>
      </c>
      <c r="B16" s="0" t="s">
        <v>490</v>
      </c>
      <c r="C16" s="0" t="s">
        <v>490</v>
      </c>
      <c r="I16" s="0" t="s">
        <v>254</v>
      </c>
      <c r="J16" s="0" t="n">
        <v>0.85</v>
      </c>
      <c r="K16" s="0" t="n">
        <v>2.3</v>
      </c>
      <c r="M16" s="0" t="s">
        <v>491</v>
      </c>
      <c r="N16" s="0" t="str">
        <f aca="false">IF(O16&lt;&gt;"", _xlfn.CONCAT("{BLACK}Powered by: {GOLD}",O16), "")</f>
        <v>{BLACK}Powered by: {GOLD}Petrol</v>
      </c>
      <c r="O16" s="0" t="s">
        <v>492</v>
      </c>
    </row>
    <row r="17" customFormat="false" ht="14.25" hidden="false" customHeight="false" outlineLevel="0" collapsed="false">
      <c r="I17" s="0" t="s">
        <v>239</v>
      </c>
      <c r="J17" s="0" t="n">
        <v>1</v>
      </c>
      <c r="K17" s="0" t="n">
        <v>2</v>
      </c>
      <c r="M17" s="0" t="s">
        <v>493</v>
      </c>
      <c r="N17" s="0" t="str">
        <f aca="false">IF(O17&lt;&gt;"", _xlfn.CONCAT("{BLACK}Powered by: {GOLD}",O17), "")</f>
        <v>{BLACK}Powered by: {GOLD}25kV AC / Diesel</v>
      </c>
      <c r="O17" s="0" t="s">
        <v>494</v>
      </c>
    </row>
    <row r="18" customFormat="false" ht="14.25" hidden="false" customHeight="false" outlineLevel="0" collapsed="false">
      <c r="M18" s="0" t="s">
        <v>495</v>
      </c>
      <c r="N18" s="0" t="str">
        <f aca="false">IF(O18&lt;&gt;"", _xlfn.CONCAT("{BLACK}Powered by: {GOLD}",O18), "")</f>
        <v>{BLACK}Powered by: {GOLD}LPG / Flywheel</v>
      </c>
      <c r="O18" s="0" t="s">
        <v>496</v>
      </c>
    </row>
    <row r="19" customFormat="false" ht="14.25" hidden="false" customHeight="false" outlineLevel="0" collapsed="false">
      <c r="M19" s="0" t="s">
        <v>497</v>
      </c>
      <c r="N19" s="0" t="str">
        <f aca="false">IF(O19&lt;&gt;"", _xlfn.CONCAT("{BLACK}Powered by: {GOLD}",O19), "")</f>
        <v/>
      </c>
    </row>
    <row r="20" customFormat="false" ht="14.25" hidden="false" customHeight="false" outlineLevel="0" collapsed="false">
      <c r="M20" s="0" t="s">
        <v>498</v>
      </c>
      <c r="N20" s="0" t="str">
        <f aca="false">IF(O20&lt;&gt;"", _xlfn.CONCAT("{BLACK}Powered by: {GOLD}",O20), "")</f>
        <v>{BLACK}Powered by: {GOLD}Steam</v>
      </c>
      <c r="O20" s="0" t="s">
        <v>456</v>
      </c>
    </row>
    <row r="21" customFormat="false" ht="14.25" hidden="false" customHeight="false" outlineLevel="0" collapsed="false">
      <c r="M21" s="0" t="s">
        <v>499</v>
      </c>
      <c r="N21" s="0" t="str">
        <f aca="false">IF(O21&lt;&gt;"", _xlfn.CONCAT("{BLACK}Powered by: {GOLD}",O21), "")</f>
        <v/>
      </c>
    </row>
    <row r="22" customFormat="false" ht="14.25" hidden="false" customHeight="false" outlineLevel="0" collapsed="false">
      <c r="M22" s="0" t="s">
        <v>500</v>
      </c>
      <c r="N22" s="0" t="str">
        <f aca="false">IF(O22&lt;&gt;"", _xlfn.CONCAT("{BLACK}Powered by: {GOLD}",O22), "")</f>
        <v>{BLACK}Powered by: {GOLD}Grass and hay</v>
      </c>
      <c r="O22" s="0" t="s">
        <v>501</v>
      </c>
    </row>
    <row r="23" customFormat="false" ht="14.25" hidden="false" customHeight="false" outlineLevel="0" collapsed="false">
      <c r="M23" s="0" t="s">
        <v>502</v>
      </c>
      <c r="N23" s="0" t="str">
        <f aca="false">IF(O23&lt;&gt;"", _xlfn.CONCAT("{BLACK}Powered by: {GOLD}",O23), "")</f>
        <v>{BLACK}Powered by: {GOLD}630V DC</v>
      </c>
      <c r="O23" s="0" t="s">
        <v>503</v>
      </c>
    </row>
    <row r="24" customFormat="false" ht="14.25" hidden="false" customHeight="false" outlineLevel="0" collapsed="false">
      <c r="M24" s="0" t="s">
        <v>504</v>
      </c>
      <c r="N24" s="0" t="str">
        <f aca="false">IF(O24&lt;&gt;"", _xlfn.CONCAT("{BLACK}Powered by: {GOLD}",O24), "")</f>
        <v/>
      </c>
    </row>
    <row r="25" customFormat="false" ht="14.25" hidden="false" customHeight="false" outlineLevel="0" collapsed="false">
      <c r="M25" s="0" t="s">
        <v>505</v>
      </c>
      <c r="N25" s="0" t="str">
        <f aca="false">IF(O25&lt;&gt;"", _xlfn.CONCAT("{BLACK}Powered by: {GOLD}",O25), "")</f>
        <v/>
      </c>
    </row>
    <row r="26" customFormat="false" ht="14.25" hidden="false" customHeight="false" outlineLevel="0" collapsed="false">
      <c r="M26" s="0" t="s">
        <v>506</v>
      </c>
      <c r="N26" s="0" t="str">
        <f aca="false">IF(O26&lt;&gt;"", _xlfn.CONCAT("{BLACK}Powered by: {GOLD}",O26), "")</f>
        <v>{BLACK}Powered by: {GOLD}Grass and hay</v>
      </c>
      <c r="O26" s="0" t="s">
        <v>501</v>
      </c>
    </row>
    <row r="27" customFormat="false" ht="14.25" hidden="false" customHeight="false" outlineLevel="0" collapsed="false">
      <c r="M27" s="0" t="s">
        <v>507</v>
      </c>
      <c r="N27" s="0" t="str">
        <f aca="false">IF(O27&lt;&gt;"", _xlfn.CONCAT("{BLACK}Powered by: {GOLD}",O27), "")</f>
        <v/>
      </c>
    </row>
    <row r="28" customFormat="false" ht="14.25" hidden="false" customHeight="false" outlineLevel="0" collapsed="false">
      <c r="M28" s="0" t="s">
        <v>508</v>
      </c>
      <c r="N28" s="0" t="str">
        <f aca="false">IF(O28&lt;&gt;"", _xlfn.CONCAT("{BLACK}Powered by: {GOLD}",O28), "")</f>
        <v>{BLACK}Powered by: {GOLD}Diesel</v>
      </c>
      <c r="O28" s="0" t="s">
        <v>454</v>
      </c>
    </row>
    <row r="29" customFormat="false" ht="14.25" hidden="false" customHeight="false" outlineLevel="0" collapsed="false">
      <c r="M29" s="0" t="s">
        <v>509</v>
      </c>
      <c r="N29" s="0" t="str">
        <f aca="false">IF(O29&lt;&gt;"", _xlfn.CONCAT("{BLACK}Powered by: {GOLD}",O29), "")</f>
        <v/>
      </c>
      <c r="O29" s="0" t="str">
        <f aca="false">IF(P29&lt;&gt;"", _xlfn.CONCAT("{BLACK}Powered by: {GOLD}",P29), "")</f>
        <v/>
      </c>
    </row>
    <row r="30" customFormat="false" ht="14.25" hidden="false" customHeight="false" outlineLevel="0" collapsed="false">
      <c r="M30" s="0" t="s">
        <v>510</v>
      </c>
      <c r="N30" s="0" t="str">
        <f aca="false">IF(O30&lt;&gt;"", _xlfn.CONCAT("{BLACK}Powered by: {GOLD}",O30), "")</f>
        <v>{BLACK}Powered by: {GOLD}Gas Turbine</v>
      </c>
      <c r="O30" s="0" t="s">
        <v>511</v>
      </c>
    </row>
    <row r="31" customFormat="false" ht="14.25" hidden="false" customHeight="false" outlineLevel="0" collapsed="false">
      <c r="M31" s="0" t="s">
        <v>512</v>
      </c>
      <c r="N31" s="0" t="str">
        <f aca="false">IF(O31&lt;&gt;"", _xlfn.CONCAT("{BLACK}Powered by: {GOLD}",O31), "")</f>
        <v>{BLACK}Powered by: {GOLD}Petrol</v>
      </c>
      <c r="O31" s="0" t="s">
        <v>492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6" activeCellId="1" sqref="1:1 C6"/>
    </sheetView>
  </sheetViews>
  <sheetFormatPr defaultColWidth="8.6796875" defaultRowHeight="14.25" customHeight="false" zeroHeight="false" outlineLevelRow="0" outlineLevelCol="0"/>
  <cols>
    <col collapsed="false" customWidth="true" hidden="false" outlineLevel="0" max="2" min="1" style="0" width="10.73"/>
    <col collapsed="false" customWidth="true" hidden="false" outlineLevel="0" max="4" min="3" style="0" width="21.45"/>
  </cols>
  <sheetData>
    <row r="1" customFormat="false" ht="14.25" hidden="false" customHeight="false" outlineLevel="0" collapsed="false">
      <c r="A1" s="10" t="s">
        <v>513</v>
      </c>
      <c r="B1" s="10" t="s">
        <v>514</v>
      </c>
      <c r="C1" s="10" t="s">
        <v>515</v>
      </c>
      <c r="D1" s="10" t="s">
        <v>516</v>
      </c>
    </row>
    <row r="2" customFormat="false" ht="14.25" hidden="false" customHeight="false" outlineLevel="0" collapsed="false">
      <c r="A2" s="0" t="n">
        <v>0</v>
      </c>
      <c r="B2" s="0" t="n">
        <f aca="false">IF(D2,D2,C2)</f>
        <v>0</v>
      </c>
      <c r="C2" s="0" t="n">
        <f aca="false">INT(A2*(256/15))</f>
        <v>0</v>
      </c>
      <c r="D2" s="10"/>
    </row>
    <row r="3" customFormat="false" ht="14.25" hidden="false" customHeight="false" outlineLevel="0" collapsed="false">
      <c r="A3" s="0" t="n">
        <v>1</v>
      </c>
      <c r="B3" s="0" t="n">
        <f aca="false">IF(D3,D3,C3)</f>
        <v>17</v>
      </c>
      <c r="C3" s="0" t="n">
        <f aca="false">INT(A3*(256/15))</f>
        <v>17</v>
      </c>
    </row>
    <row r="4" customFormat="false" ht="14.25" hidden="false" customHeight="false" outlineLevel="0" collapsed="false">
      <c r="A4" s="0" t="n">
        <v>2</v>
      </c>
      <c r="B4" s="0" t="n">
        <f aca="false">IF(D4,D4,C4)</f>
        <v>34</v>
      </c>
      <c r="C4" s="0" t="n">
        <f aca="false">INT(A4*(256/15))</f>
        <v>34</v>
      </c>
    </row>
    <row r="5" customFormat="false" ht="14.25" hidden="false" customHeight="false" outlineLevel="0" collapsed="false">
      <c r="A5" s="0" t="n">
        <v>3</v>
      </c>
      <c r="B5" s="0" t="n">
        <f aca="false">IF(D5,D5,C5)</f>
        <v>51</v>
      </c>
      <c r="C5" s="0" t="n">
        <f aca="false">INT(A5*(256/15))</f>
        <v>51</v>
      </c>
    </row>
    <row r="6" customFormat="false" ht="14.25" hidden="false" customHeight="false" outlineLevel="0" collapsed="false">
      <c r="A6" s="0" t="n">
        <v>4</v>
      </c>
      <c r="B6" s="0" t="n">
        <f aca="false">IF(D6,D6,C6)</f>
        <v>66</v>
      </c>
      <c r="C6" s="0" t="n">
        <f aca="false">INT(A6*(256/15))</f>
        <v>68</v>
      </c>
      <c r="D6" s="0" t="n">
        <v>66</v>
      </c>
    </row>
    <row r="7" customFormat="false" ht="14.25" hidden="false" customHeight="false" outlineLevel="0" collapsed="false">
      <c r="A7" s="0" t="n">
        <v>5</v>
      </c>
      <c r="B7" s="0" t="n">
        <f aca="false">IF(D7,D7,C7)</f>
        <v>82</v>
      </c>
      <c r="C7" s="0" t="n">
        <f aca="false">INT(A7*(256/15))</f>
        <v>85</v>
      </c>
      <c r="D7" s="0" t="n">
        <v>82</v>
      </c>
    </row>
    <row r="8" customFormat="false" ht="14.25" hidden="false" customHeight="false" outlineLevel="0" collapsed="false">
      <c r="A8" s="0" t="n">
        <v>6</v>
      </c>
      <c r="B8" s="0" t="n">
        <f aca="false">IF(D8,D8,C8)</f>
        <v>102</v>
      </c>
      <c r="C8" s="0" t="n">
        <f aca="false">INT(A8*(256/15))</f>
        <v>102</v>
      </c>
      <c r="D8" s="0" t="n">
        <v>102</v>
      </c>
    </row>
    <row r="9" customFormat="false" ht="14.25" hidden="false" customHeight="false" outlineLevel="0" collapsed="false">
      <c r="A9" s="0" t="n">
        <v>7</v>
      </c>
      <c r="B9" s="0" t="n">
        <f aca="false">IF(D9,D9,C9)</f>
        <v>120</v>
      </c>
      <c r="C9" s="0" t="n">
        <f aca="false">INT(A9*(256/15))</f>
        <v>119</v>
      </c>
      <c r="D9" s="0" t="n">
        <v>120</v>
      </c>
    </row>
    <row r="10" customFormat="false" ht="14.25" hidden="false" customHeight="false" outlineLevel="0" collapsed="false">
      <c r="A10" s="0" t="n">
        <v>8</v>
      </c>
      <c r="B10" s="0" t="n">
        <f aca="false">IF(D10,D10,C10)</f>
        <v>136</v>
      </c>
      <c r="C10" s="0" t="n">
        <f aca="false">INT(A10*(256/15))</f>
        <v>136</v>
      </c>
      <c r="D10" s="0" t="n">
        <v>136</v>
      </c>
    </row>
    <row r="11" customFormat="false" ht="14.25" hidden="false" customHeight="false" outlineLevel="0" collapsed="false">
      <c r="A11" s="0" t="n">
        <v>9</v>
      </c>
      <c r="B11" s="0" t="n">
        <f aca="false">IF(D11,D11,C11)</f>
        <v>152</v>
      </c>
      <c r="C11" s="0" t="n">
        <f aca="false">INT(A11*(256/15))</f>
        <v>153</v>
      </c>
      <c r="D11" s="0" t="n">
        <v>152</v>
      </c>
    </row>
    <row r="12" customFormat="false" ht="14.25" hidden="false" customHeight="false" outlineLevel="0" collapsed="false">
      <c r="A12" s="0" t="n">
        <v>10</v>
      </c>
      <c r="B12" s="0" t="n">
        <f aca="false">IF(D12,D12,C12)</f>
        <v>164</v>
      </c>
      <c r="C12" s="0" t="n">
        <f aca="false">INT(A12*(256/15))</f>
        <v>170</v>
      </c>
      <c r="D12" s="0" t="n">
        <v>164</v>
      </c>
    </row>
    <row r="13" customFormat="false" ht="14.25" hidden="false" customHeight="false" outlineLevel="0" collapsed="false">
      <c r="A13" s="0" t="n">
        <v>11</v>
      </c>
      <c r="B13" s="0" t="n">
        <f aca="false">IF(D13,D13,C13)</f>
        <v>186</v>
      </c>
      <c r="C13" s="0" t="n">
        <f aca="false">INT(A13*(256/15))</f>
        <v>187</v>
      </c>
      <c r="D13" s="0" t="n">
        <v>186</v>
      </c>
    </row>
    <row r="14" customFormat="false" ht="14.25" hidden="false" customHeight="false" outlineLevel="0" collapsed="false">
      <c r="A14" s="0" t="n">
        <v>12</v>
      </c>
      <c r="B14" s="0" t="n">
        <f aca="false">IF(D14,D14,C14)</f>
        <v>198</v>
      </c>
      <c r="C14" s="0" t="n">
        <f aca="false">INT(A14*(256/15))</f>
        <v>204</v>
      </c>
      <c r="D14" s="0" t="n">
        <v>198</v>
      </c>
    </row>
    <row r="15" customFormat="false" ht="14.25" hidden="false" customHeight="false" outlineLevel="0" collapsed="false">
      <c r="A15" s="0" t="n">
        <v>13</v>
      </c>
      <c r="B15" s="0" t="n">
        <v>214</v>
      </c>
      <c r="C15" s="0" t="n">
        <f aca="false">INT(A15*(256/15))</f>
        <v>221</v>
      </c>
    </row>
    <row r="16" customFormat="false" ht="14.25" hidden="false" customHeight="false" outlineLevel="0" collapsed="false">
      <c r="A16" s="0" t="n">
        <v>14</v>
      </c>
      <c r="B16" s="0" t="n">
        <f aca="false">IF(D16,D16,C16)</f>
        <v>238</v>
      </c>
      <c r="C16" s="0" t="n">
        <f aca="false">INT(A16*(256/15))</f>
        <v>238</v>
      </c>
    </row>
    <row r="17" customFormat="false" ht="14.25" hidden="false" customHeight="false" outlineLevel="0" collapsed="false">
      <c r="A17" s="0" t="n">
        <v>15</v>
      </c>
      <c r="B17" s="0" t="n">
        <f aca="false">IF(D17,D17,C17)</f>
        <v>256</v>
      </c>
      <c r="C17" s="0" t="n">
        <f aca="false">INT(A17*(256/15))</f>
        <v>256</v>
      </c>
    </row>
    <row r="18" customFormat="false" ht="14.25" hidden="false" customHeight="false" outlineLevel="0" collapsed="false">
      <c r="A18" s="0" t="n">
        <v>16</v>
      </c>
      <c r="B18" s="0" t="n">
        <f aca="false">IF(D18,D18,C18)</f>
        <v>273</v>
      </c>
      <c r="C18" s="0"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52"/>
  <sheetViews>
    <sheetView showFormulas="false" showGridLines="true" showRowColHeaders="true" showZeros="true" rightToLeft="false" tabSelected="false" showOutlineSymbols="true" defaultGridColor="true" view="normal" topLeftCell="A28" colorId="64" zoomScale="100" zoomScaleNormal="100" zoomScalePageLayoutView="100" workbookViewId="0">
      <selection pane="topLeft" activeCell="B52" activeCellId="1" sqref="1:1 B52"/>
    </sheetView>
  </sheetViews>
  <sheetFormatPr defaultColWidth="8.6796875" defaultRowHeight="14.25" customHeight="false" zeroHeight="false" outlineLevelRow="0" outlineLevelCol="0"/>
  <cols>
    <col collapsed="false" customWidth="true" hidden="false" outlineLevel="0" max="1" min="1" style="0" width="11.45"/>
    <col collapsed="false" customWidth="true" hidden="false" outlineLevel="0" max="3" min="3" style="0" width="12"/>
    <col collapsed="false" customWidth="true" hidden="false" outlineLevel="0" max="9" min="8" style="0" width="10.54"/>
    <col collapsed="false" customWidth="true" hidden="false" outlineLevel="0" max="10" min="10" style="0" width="11.27"/>
  </cols>
  <sheetData>
    <row r="1" customFormat="false" ht="14.25" hidden="false" customHeight="false" outlineLevel="0" collapsed="false">
      <c r="B1" s="0" t="n">
        <v>1</v>
      </c>
      <c r="C1" s="0" t="n">
        <v>2</v>
      </c>
      <c r="D1" s="0" t="n">
        <v>3</v>
      </c>
      <c r="E1" s="0" t="n">
        <v>4</v>
      </c>
      <c r="F1" s="0" t="n">
        <v>5</v>
      </c>
      <c r="G1" s="0" t="n">
        <v>6</v>
      </c>
      <c r="H1" s="0" t="n">
        <v>7</v>
      </c>
      <c r="I1" s="0" t="n">
        <v>8</v>
      </c>
      <c r="J1" s="0" t="n">
        <v>9</v>
      </c>
      <c r="K1" s="0" t="n">
        <v>10</v>
      </c>
      <c r="L1" s="0" t="n">
        <v>11</v>
      </c>
      <c r="M1" s="0" t="n">
        <v>12</v>
      </c>
      <c r="N1" s="0" t="n">
        <v>13</v>
      </c>
      <c r="O1" s="0" t="n">
        <v>14</v>
      </c>
      <c r="P1" s="0" t="n">
        <v>15</v>
      </c>
      <c r="Q1" s="0" t="n">
        <v>16</v>
      </c>
      <c r="R1" s="0" t="n">
        <v>17</v>
      </c>
      <c r="S1" s="0" t="n">
        <v>18</v>
      </c>
      <c r="T1" s="0" t="n">
        <v>19</v>
      </c>
      <c r="U1" s="0" t="n">
        <v>20</v>
      </c>
    </row>
    <row r="2" customFormat="false" ht="14.25" hidden="false" customHeight="false" outlineLevel="0" collapsed="false">
      <c r="B2" s="0" t="s">
        <v>517</v>
      </c>
    </row>
    <row r="3" customFormat="false" ht="14.25" hidden="false" customHeight="false" outlineLevel="0" collapsed="false">
      <c r="A3" s="0" t="s">
        <v>518</v>
      </c>
      <c r="B3" s="0" t="s">
        <v>519</v>
      </c>
      <c r="C3" s="0" t="s">
        <v>520</v>
      </c>
      <c r="D3" s="0" t="s">
        <v>520</v>
      </c>
      <c r="E3" s="0" t="s">
        <v>520</v>
      </c>
      <c r="F3" s="0" t="s">
        <v>520</v>
      </c>
      <c r="G3" s="0" t="s">
        <v>521</v>
      </c>
      <c r="H3" s="0" t="s">
        <v>522</v>
      </c>
      <c r="I3" s="0" t="s">
        <v>522</v>
      </c>
      <c r="J3" s="0" t="s">
        <v>523</v>
      </c>
      <c r="K3" s="0" t="s">
        <v>520</v>
      </c>
      <c r="L3" s="0" t="s">
        <v>520</v>
      </c>
      <c r="M3" s="0" t="s">
        <v>520</v>
      </c>
      <c r="N3" s="0" t="s">
        <v>520</v>
      </c>
      <c r="O3" s="0" t="s">
        <v>524</v>
      </c>
    </row>
    <row r="4" customFormat="false" ht="14.25" hidden="false" customHeight="false" outlineLevel="0" collapsed="false">
      <c r="A4" s="0" t="s">
        <v>525</v>
      </c>
      <c r="B4" s="0" t="n">
        <v>1</v>
      </c>
      <c r="C4" s="0" t="n">
        <v>1</v>
      </c>
      <c r="D4" s="0" t="n">
        <v>0</v>
      </c>
      <c r="E4" s="0" t="n">
        <v>0</v>
      </c>
      <c r="F4" s="0" t="n">
        <v>0</v>
      </c>
      <c r="G4" s="0" t="n">
        <v>1</v>
      </c>
      <c r="H4" s="0" t="n">
        <v>1</v>
      </c>
      <c r="I4" s="0" t="n">
        <v>0</v>
      </c>
      <c r="J4" s="0" t="n">
        <v>1</v>
      </c>
      <c r="K4" s="0" t="n">
        <v>0</v>
      </c>
      <c r="L4" s="0" t="n">
        <v>0</v>
      </c>
      <c r="M4" s="0" t="n">
        <v>0</v>
      </c>
      <c r="N4" s="0" t="n">
        <v>0</v>
      </c>
      <c r="O4" s="0" t="n">
        <v>1</v>
      </c>
    </row>
    <row r="6" customFormat="false" ht="14.25" hidden="false" customHeight="true" outlineLevel="0" collapsed="false">
      <c r="B6" s="0" t="s">
        <v>526</v>
      </c>
    </row>
    <row r="7" customFormat="false" ht="14.25" hidden="false" customHeight="false" outlineLevel="0" collapsed="false">
      <c r="A7" s="0" t="s">
        <v>518</v>
      </c>
      <c r="B7" s="0" t="s">
        <v>527</v>
      </c>
      <c r="C7" s="0" t="s">
        <v>528</v>
      </c>
      <c r="D7" s="0" t="s">
        <v>529</v>
      </c>
      <c r="E7" s="0" t="s">
        <v>529</v>
      </c>
      <c r="F7" s="0" t="s">
        <v>529</v>
      </c>
      <c r="G7" s="0" t="s">
        <v>529</v>
      </c>
      <c r="H7" s="0" t="s">
        <v>530</v>
      </c>
      <c r="I7" s="0" t="s">
        <v>529</v>
      </c>
      <c r="J7" s="0" t="s">
        <v>529</v>
      </c>
      <c r="K7" s="0" t="s">
        <v>529</v>
      </c>
      <c r="L7" s="0" t="s">
        <v>529</v>
      </c>
      <c r="M7" s="0" t="s">
        <v>529</v>
      </c>
      <c r="N7" s="0" t="s">
        <v>529</v>
      </c>
      <c r="O7" s="0" t="s">
        <v>530</v>
      </c>
      <c r="P7" s="0" t="s">
        <v>529</v>
      </c>
      <c r="Q7" s="0" t="s">
        <v>529</v>
      </c>
      <c r="R7" s="0" t="s">
        <v>529</v>
      </c>
      <c r="S7" s="0" t="s">
        <v>529</v>
      </c>
      <c r="T7" s="0" t="s">
        <v>531</v>
      </c>
      <c r="U7" s="0" t="s">
        <v>532</v>
      </c>
    </row>
    <row r="8" customFormat="false" ht="14.25" hidden="false" customHeight="false" outlineLevel="0" collapsed="false">
      <c r="A8" s="0" t="s">
        <v>525</v>
      </c>
      <c r="B8" s="0" t="n">
        <v>1</v>
      </c>
      <c r="C8" s="0" t="n">
        <v>1</v>
      </c>
      <c r="D8" s="0" t="n">
        <v>1</v>
      </c>
      <c r="E8" s="0" t="n">
        <v>0</v>
      </c>
      <c r="F8" s="0" t="n">
        <v>0</v>
      </c>
      <c r="G8" s="0" t="n">
        <v>0</v>
      </c>
      <c r="H8" s="0" t="n">
        <v>1</v>
      </c>
      <c r="I8" s="0" t="n">
        <v>0</v>
      </c>
      <c r="J8" s="0" t="n">
        <v>0</v>
      </c>
      <c r="K8" s="0" t="n">
        <v>0</v>
      </c>
      <c r="L8" s="0" t="n">
        <v>0</v>
      </c>
      <c r="M8" s="0" t="n">
        <v>0</v>
      </c>
      <c r="N8" s="0" t="n">
        <v>0</v>
      </c>
      <c r="O8" s="0" t="n">
        <v>0</v>
      </c>
      <c r="P8" s="0" t="n">
        <v>0</v>
      </c>
      <c r="Q8" s="0" t="n">
        <v>0</v>
      </c>
      <c r="R8" s="0" t="n">
        <v>0</v>
      </c>
      <c r="S8" s="0" t="n">
        <v>0</v>
      </c>
      <c r="T8" s="0" t="n">
        <v>1</v>
      </c>
      <c r="U8" s="0" t="n">
        <v>1</v>
      </c>
    </row>
    <row r="9" customFormat="false" ht="14.25" hidden="false" customHeight="false" outlineLevel="0" collapsed="false">
      <c r="A9" s="0" t="s">
        <v>443</v>
      </c>
      <c r="B9" s="0" t="n">
        <v>22.15</v>
      </c>
      <c r="C9" s="0" t="n">
        <v>21.84</v>
      </c>
      <c r="D9" s="0" t="n">
        <v>18.7</v>
      </c>
      <c r="E9" s="0" t="n">
        <v>18.7</v>
      </c>
      <c r="F9" s="0" t="n">
        <v>18.7</v>
      </c>
      <c r="G9" s="0" t="n">
        <v>18.7</v>
      </c>
      <c r="H9" s="0" t="n">
        <v>18.7</v>
      </c>
      <c r="I9" s="0" t="n">
        <v>18.7</v>
      </c>
      <c r="J9" s="0" t="n">
        <v>18.7</v>
      </c>
      <c r="K9" s="0" t="n">
        <v>18.7</v>
      </c>
      <c r="L9" s="0" t="n">
        <v>18.7</v>
      </c>
      <c r="M9" s="0" t="n">
        <v>18.7</v>
      </c>
      <c r="N9" s="0" t="n">
        <v>18.7</v>
      </c>
      <c r="O9" s="0" t="n">
        <v>18.7</v>
      </c>
      <c r="P9" s="0" t="n">
        <v>18.7</v>
      </c>
      <c r="Q9" s="0" t="n">
        <v>18.7</v>
      </c>
      <c r="R9" s="0" t="n">
        <v>18.7</v>
      </c>
      <c r="S9" s="0" t="n">
        <v>18.7</v>
      </c>
      <c r="T9" s="0" t="n">
        <v>21.84</v>
      </c>
      <c r="U9" s="0" t="n">
        <v>22.15</v>
      </c>
    </row>
    <row r="10" customFormat="false" ht="14.25" hidden="false" customHeight="false" outlineLevel="0" collapsed="false">
      <c r="A10" s="0" t="s">
        <v>533</v>
      </c>
      <c r="B10" s="0" t="n">
        <f aca="false">ROUND(15*((B9*10)/256),0)</f>
        <v>13</v>
      </c>
      <c r="C10" s="0" t="n">
        <f aca="false">ROUND(15*((C9*10)/256),0)</f>
        <v>13</v>
      </c>
      <c r="D10" s="0" t="n">
        <f aca="false">ROUND(15*((D9*10)/256),0)</f>
        <v>11</v>
      </c>
      <c r="E10" s="0" t="n">
        <f aca="false">ROUND(15*((E9*10)/256),0)</f>
        <v>11</v>
      </c>
      <c r="F10" s="0" t="n">
        <f aca="false">ROUND(15*((F9*10)/256),0)</f>
        <v>11</v>
      </c>
      <c r="G10" s="0" t="n">
        <f aca="false">ROUND(15*((G9*10)/256),0)</f>
        <v>11</v>
      </c>
      <c r="H10" s="0" t="n">
        <f aca="false">ROUND(15*((H9*10)/256),0)</f>
        <v>11</v>
      </c>
      <c r="I10" s="0" t="n">
        <f aca="false">ROUND(15*((I9*10)/256),0)</f>
        <v>11</v>
      </c>
      <c r="J10" s="0" t="n">
        <f aca="false">ROUND(15*((J9*10)/256),0)</f>
        <v>11</v>
      </c>
      <c r="K10" s="0" t="n">
        <f aca="false">ROUND(15*((K9*10)/256),0)</f>
        <v>11</v>
      </c>
      <c r="L10" s="0" t="n">
        <f aca="false">ROUND(15*((L9*10)/256),0)</f>
        <v>11</v>
      </c>
      <c r="M10" s="0" t="n">
        <f aca="false">ROUND(15*((M9*10)/256),0)</f>
        <v>11</v>
      </c>
      <c r="N10" s="0" t="n">
        <f aca="false">ROUND(15*((N9*10)/256),0)</f>
        <v>11</v>
      </c>
      <c r="O10" s="0" t="n">
        <f aca="false">ROUND(15*((O9*10)/256),0)</f>
        <v>11</v>
      </c>
      <c r="P10" s="0" t="n">
        <f aca="false">ROUND(15*((P9*10)/256),0)</f>
        <v>11</v>
      </c>
      <c r="Q10" s="0" t="n">
        <f aca="false">ROUND(15*((Q9*10)/256),0)</f>
        <v>11</v>
      </c>
      <c r="R10" s="0" t="n">
        <f aca="false">ROUND(15*((R9*10)/256),0)</f>
        <v>11</v>
      </c>
      <c r="S10" s="0" t="n">
        <f aca="false">ROUND(15*((S9*10)/256),0)</f>
        <v>11</v>
      </c>
      <c r="T10" s="0" t="n">
        <f aca="false">ROUND(15*((T9*10)/256),0)</f>
        <v>13</v>
      </c>
      <c r="U10" s="0" t="n">
        <f aca="false">ROUND(15*((U9*10)/256),0)</f>
        <v>13</v>
      </c>
    </row>
    <row r="11" customFormat="false" ht="14.25" hidden="false" customHeight="false" outlineLevel="0" collapsed="false">
      <c r="A11" s="0" t="s">
        <v>534</v>
      </c>
      <c r="B11" s="0" t="str">
        <f aca="false">VLOOKUP(B10,Constants!$A$1:$B$16,2,FALSE())</f>
        <v>4,5,4</v>
      </c>
      <c r="C11" s="0" t="str">
        <f aca="false">VLOOKUP(C10,Constants!$A$1:$B$16,2,FALSE())</f>
        <v>4,5,4</v>
      </c>
      <c r="D11" s="0" t="str">
        <f aca="false">VLOOKUP(D10,Constants!$A$1:$B$16,2,FALSE())</f>
        <v>4,3,4</v>
      </c>
      <c r="E11" s="0" t="str">
        <f aca="false">VLOOKUP(E10,Constants!$A$1:$B$16,2,FALSE())</f>
        <v>4,3,4</v>
      </c>
      <c r="F11" s="0" t="str">
        <f aca="false">VLOOKUP(F10,Constants!$A$1:$B$16,2,FALSE())</f>
        <v>4,3,4</v>
      </c>
      <c r="G11" s="0" t="str">
        <f aca="false">VLOOKUP(G10,Constants!$A$1:$B$16,2,FALSE())</f>
        <v>4,3,4</v>
      </c>
      <c r="H11" s="0" t="str">
        <f aca="false">VLOOKUP(H10,Constants!$A$1:$B$16,2,FALSE())</f>
        <v>4,3,4</v>
      </c>
      <c r="I11" s="0" t="str">
        <f aca="false">VLOOKUP(I10,Constants!$A$1:$B$16,2,FALSE())</f>
        <v>4,3,4</v>
      </c>
      <c r="J11" s="0" t="str">
        <f aca="false">VLOOKUP(J10,Constants!$A$1:$B$16,2,FALSE())</f>
        <v>4,3,4</v>
      </c>
      <c r="K11" s="0" t="str">
        <f aca="false">VLOOKUP(K10,Constants!$A$1:$B$16,2,FALSE())</f>
        <v>4,3,4</v>
      </c>
      <c r="L11" s="0" t="str">
        <f aca="false">VLOOKUP(L10,Constants!$A$1:$B$16,2,FALSE())</f>
        <v>4,3,4</v>
      </c>
      <c r="M11" s="0" t="str">
        <f aca="false">VLOOKUP(M10,Constants!$A$1:$B$16,2,FALSE())</f>
        <v>4,3,4</v>
      </c>
      <c r="N11" s="0" t="str">
        <f aca="false">VLOOKUP(N10,Constants!$A$1:$B$16,2,FALSE())</f>
        <v>4,3,4</v>
      </c>
      <c r="O11" s="0" t="str">
        <f aca="false">VLOOKUP(O10,Constants!$A$1:$B$16,2,FALSE())</f>
        <v>4,3,4</v>
      </c>
      <c r="P11" s="0" t="str">
        <f aca="false">VLOOKUP(P10,Constants!$A$1:$B$16,2,FALSE())</f>
        <v>4,3,4</v>
      </c>
      <c r="Q11" s="0" t="str">
        <f aca="false">VLOOKUP(Q10,Constants!$A$1:$B$16,2,FALSE())</f>
        <v>4,3,4</v>
      </c>
      <c r="R11" s="0" t="str">
        <f aca="false">VLOOKUP(R10,Constants!$A$1:$B$16,2,FALSE())</f>
        <v>4,3,4</v>
      </c>
      <c r="S11" s="0" t="str">
        <f aca="false">VLOOKUP(S10,Constants!$A$1:$B$16,2,FALSE())</f>
        <v>4,3,4</v>
      </c>
      <c r="T11" s="0" t="str">
        <f aca="false">VLOOKUP(T10,Constants!$A$1:$B$16,2,FALSE())</f>
        <v>4,5,4</v>
      </c>
      <c r="U11" s="0" t="str">
        <f aca="false">VLOOKUP(U10,Constants!$A$1:$B$16,2,FALSE())</f>
        <v>4,5,4</v>
      </c>
    </row>
    <row r="13" customFormat="false" ht="14.25" hidden="false" customHeight="false" outlineLevel="0" collapsed="false">
      <c r="B13" s="0"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0" t="str">
        <f aca="false">_xlfn.TEXTJOIN(",",TRUE(),  B8:U8)</f>
        <v>1,1,1,0,0,0,1,0,0,0,0,0,0,0,0,0,0,0,1,1</v>
      </c>
    </row>
    <row r="15" customFormat="false" ht="14.25" hidden="false" customHeight="false" outlineLevel="0" collapsed="false">
      <c r="B15" s="0" t="str">
        <f aca="false">_xlfn.TEXTJOIN(",",TRUE(),  B11:U11)</f>
        <v>4,5,4,4,5,4,4,3,4,4,3,4,4,3,4,4,3,4,4,3,4,4,3,4,4,3,4,4,3,4,4,3,4,4,3,4,4,3,4,4,3,4,4,3,4,4,3,4,4,3,4,4,3,4,4,5,4,4,5,4</v>
      </c>
    </row>
    <row r="16" customFormat="false" ht="14.25" hidden="false" customHeight="false" outlineLevel="0" collapsed="false">
      <c r="B16" s="0" t="str">
        <f aca="false">_xlfn.TEXTJOIN(",",TRUE(),  B10:U10)</f>
        <v>13,13,11,11,11,11,11,11,11,11,11,11,11,11,11,11,11,11,13,13</v>
      </c>
    </row>
    <row r="18" customFormat="false" ht="14.25" hidden="false" customHeight="false" outlineLevel="0" collapsed="false">
      <c r="B18" s="0" t="s">
        <v>535</v>
      </c>
    </row>
    <row r="19" customFormat="false" ht="14.25" hidden="false" customHeight="false" outlineLevel="0" collapsed="false">
      <c r="A19" s="0" t="s">
        <v>518</v>
      </c>
      <c r="B19" s="0" t="s">
        <v>527</v>
      </c>
      <c r="C19" s="0" t="s">
        <v>528</v>
      </c>
      <c r="D19" s="0" t="s">
        <v>529</v>
      </c>
      <c r="E19" s="0" t="s">
        <v>530</v>
      </c>
      <c r="F19" s="0" t="s">
        <v>529</v>
      </c>
      <c r="G19" s="0" t="s">
        <v>530</v>
      </c>
      <c r="H19" s="0" t="s">
        <v>531</v>
      </c>
      <c r="I19" s="0" t="s">
        <v>532</v>
      </c>
    </row>
    <row r="20" customFormat="false" ht="14.25" hidden="false" customHeight="false" outlineLevel="0" collapsed="false">
      <c r="A20" s="0" t="s">
        <v>525</v>
      </c>
      <c r="B20" s="0" t="n">
        <v>0</v>
      </c>
      <c r="C20" s="0" t="n">
        <v>0</v>
      </c>
      <c r="D20" s="0" t="n">
        <v>0</v>
      </c>
      <c r="E20" s="0" t="n">
        <v>0</v>
      </c>
      <c r="F20" s="0" t="n">
        <v>0</v>
      </c>
      <c r="G20" s="0" t="n">
        <v>0</v>
      </c>
      <c r="H20" s="0" t="n">
        <v>0</v>
      </c>
      <c r="I20" s="0" t="n">
        <v>0</v>
      </c>
    </row>
    <row r="21" customFormat="false" ht="14.25" hidden="false" customHeight="false" outlineLevel="0" collapsed="false">
      <c r="A21" s="0" t="s">
        <v>443</v>
      </c>
      <c r="B21" s="0" t="n">
        <v>22.15</v>
      </c>
      <c r="C21" s="0" t="n">
        <v>21.84</v>
      </c>
      <c r="D21" s="0" t="n">
        <v>18.7</v>
      </c>
      <c r="E21" s="0" t="n">
        <v>18.7</v>
      </c>
      <c r="F21" s="0" t="n">
        <v>18.7</v>
      </c>
      <c r="G21" s="0" t="n">
        <v>18.7</v>
      </c>
      <c r="H21" s="0" t="n">
        <v>21.84</v>
      </c>
      <c r="I21" s="0" t="n">
        <v>22.15</v>
      </c>
    </row>
    <row r="22" customFormat="false" ht="14.25" hidden="false" customHeight="false" outlineLevel="0" collapsed="false">
      <c r="A22" s="0" t="s">
        <v>533</v>
      </c>
      <c r="B22" s="0" t="n">
        <f aca="false">ROUND(15*((B21*10)/256),0)</f>
        <v>13</v>
      </c>
      <c r="C22" s="0" t="n">
        <f aca="false">ROUND(15*((C21*10)/256),0)</f>
        <v>13</v>
      </c>
      <c r="D22" s="0" t="n">
        <f aca="false">ROUND(15*((D21*10)/256),0)</f>
        <v>11</v>
      </c>
      <c r="E22" s="0" t="n">
        <f aca="false">ROUND(15*((E21*10)/256),0)</f>
        <v>11</v>
      </c>
      <c r="F22" s="0" t="n">
        <f aca="false">ROUND(15*((F21*10)/256),0)</f>
        <v>11</v>
      </c>
      <c r="G22" s="0" t="n">
        <f aca="false">ROUND(15*((G21*10)/256),0)</f>
        <v>11</v>
      </c>
      <c r="H22" s="0" t="n">
        <f aca="false">ROUND(15*((H21*10)/256),0)</f>
        <v>13</v>
      </c>
      <c r="I22" s="0" t="n">
        <f aca="false">ROUND(15*((I21*10)/256),0)</f>
        <v>13</v>
      </c>
    </row>
    <row r="23" customFormat="false" ht="14.25" hidden="false" customHeight="false" outlineLevel="0" collapsed="false">
      <c r="A23" s="0" t="s">
        <v>534</v>
      </c>
      <c r="B23" s="0" t="str">
        <f aca="false">VLOOKUP(B22,Constants!$A$1:$B$16,2,FALSE())</f>
        <v>4,5,4</v>
      </c>
      <c r="C23" s="0" t="str">
        <f aca="false">VLOOKUP(C22,Constants!$A$1:$B$16,2,FALSE())</f>
        <v>4,5,4</v>
      </c>
      <c r="D23" s="0" t="str">
        <f aca="false">VLOOKUP(D22,Constants!$A$1:$B$16,2,FALSE())</f>
        <v>4,3,4</v>
      </c>
      <c r="E23" s="0" t="str">
        <f aca="false">VLOOKUP(E22,Constants!$A$1:$B$16,2,FALSE())</f>
        <v>4,3,4</v>
      </c>
      <c r="F23" s="0" t="str">
        <f aca="false">VLOOKUP(F22,Constants!$A$1:$B$16,2,FALSE())</f>
        <v>4,3,4</v>
      </c>
      <c r="G23" s="0" t="str">
        <f aca="false">VLOOKUP(G22,Constants!$A$1:$B$16,2,FALSE())</f>
        <v>4,3,4</v>
      </c>
      <c r="H23" s="0" t="str">
        <f aca="false">VLOOKUP(H22,Constants!$A$1:$B$16,2,FALSE())</f>
        <v>4,5,4</v>
      </c>
      <c r="I23" s="0" t="str">
        <f aca="false">VLOOKUP(I22,Constants!$A$1:$B$16,2,FALSE())</f>
        <v>4,5,4</v>
      </c>
    </row>
    <row r="25" customFormat="false" ht="14.25" hidden="false" customHeight="false" outlineLevel="0" collapsed="false">
      <c r="B25" s="0" t="str">
        <f aca="false">_xlfn.TEXTJOIN(",",TRUE(),  B19:P19)</f>
        <v>eurostar,eurostar_motor,eurostar_mid,eurostar_tbk,eurostar_mid,eurostar_tbk,eurostar_motor_rev,eurostar_rear</v>
      </c>
    </row>
    <row r="26" customFormat="false" ht="14.25" hidden="false" customHeight="false" outlineLevel="0" collapsed="false">
      <c r="B26" s="0" t="str">
        <f aca="false">_xlfn.TEXTJOIN(",",TRUE(),  B20:P20)</f>
        <v>0,0,0,0,0,0,0,0</v>
      </c>
    </row>
    <row r="27" customFormat="false" ht="14.25" hidden="false" customHeight="false" outlineLevel="0" collapsed="false">
      <c r="B27" s="0" t="str">
        <f aca="false">_xlfn.TEXTJOIN(",",TRUE(),  B23:P23)</f>
        <v>4,5,4,4,5,4,4,3,4,4,3,4,4,3,4,4,3,4,4,5,4,4,5,4</v>
      </c>
    </row>
    <row r="28" customFormat="false" ht="14.25" hidden="false" customHeight="false" outlineLevel="0" collapsed="false">
      <c r="B28" s="0" t="str">
        <f aca="false">_xlfn.TEXTJOIN(",",TRUE(),  B22:U22)</f>
        <v>13,13,11,11,11,11,13,13</v>
      </c>
    </row>
    <row r="30" customFormat="false" ht="14.25" hidden="false" customHeight="false" outlineLevel="0" collapsed="false">
      <c r="B30" s="0" t="s">
        <v>536</v>
      </c>
    </row>
    <row r="31" customFormat="false" ht="14.25" hidden="false" customHeight="false" outlineLevel="0" collapsed="false">
      <c r="A31" s="0" t="s">
        <v>518</v>
      </c>
      <c r="B31" s="0" t="s">
        <v>527</v>
      </c>
      <c r="C31" s="0" t="s">
        <v>528</v>
      </c>
      <c r="D31" s="0" t="s">
        <v>529</v>
      </c>
      <c r="E31" s="0" t="s">
        <v>531</v>
      </c>
      <c r="F31" s="0" t="s">
        <v>532</v>
      </c>
    </row>
    <row r="32" customFormat="false" ht="14.25" hidden="false" customHeight="false" outlineLevel="0" collapsed="false">
      <c r="A32" s="0" t="s">
        <v>525</v>
      </c>
      <c r="B32" s="0" t="n">
        <v>0</v>
      </c>
      <c r="C32" s="0" t="n">
        <v>0</v>
      </c>
      <c r="D32" s="0" t="n">
        <v>0</v>
      </c>
      <c r="E32" s="0" t="n">
        <v>0</v>
      </c>
      <c r="F32" s="0" t="n">
        <v>0</v>
      </c>
    </row>
    <row r="33" customFormat="false" ht="14.25" hidden="false" customHeight="false" outlineLevel="0" collapsed="false">
      <c r="A33" s="0" t="s">
        <v>443</v>
      </c>
      <c r="B33" s="0" t="n">
        <v>22.15</v>
      </c>
      <c r="C33" s="0" t="n">
        <v>21.84</v>
      </c>
      <c r="D33" s="0" t="n">
        <v>18.7</v>
      </c>
      <c r="E33" s="0" t="n">
        <v>21.84</v>
      </c>
      <c r="F33" s="0" t="n">
        <v>22.15</v>
      </c>
    </row>
    <row r="34" customFormat="false" ht="14.25" hidden="false" customHeight="false" outlineLevel="0" collapsed="false">
      <c r="A34" s="0" t="s">
        <v>533</v>
      </c>
      <c r="B34" s="0" t="n">
        <f aca="false">ROUND(15*((B33*10)/256),0)</f>
        <v>13</v>
      </c>
      <c r="C34" s="0" t="n">
        <f aca="false">ROUND(15*((C33*10)/256),0)</f>
        <v>13</v>
      </c>
      <c r="D34" s="0" t="n">
        <f aca="false">ROUND(15*((D33*10)/256),0)</f>
        <v>11</v>
      </c>
      <c r="E34" s="0" t="n">
        <f aca="false">ROUND(15*((E33*10)/256),0)</f>
        <v>13</v>
      </c>
      <c r="F34" s="0" t="n">
        <f aca="false">ROUND(15*((F33*10)/256),0)</f>
        <v>13</v>
      </c>
    </row>
    <row r="35" customFormat="false" ht="14.25" hidden="false" customHeight="false" outlineLevel="0" collapsed="false">
      <c r="A35" s="0" t="s">
        <v>534</v>
      </c>
      <c r="B35" s="0" t="str">
        <f aca="false">VLOOKUP(B34,Constants!$A$1:$B$16,2,FALSE())</f>
        <v>4,5,4</v>
      </c>
      <c r="C35" s="0" t="str">
        <f aca="false">VLOOKUP(C34,Constants!$A$1:$B$16,2,FALSE())</f>
        <v>4,5,4</v>
      </c>
      <c r="D35" s="0" t="str">
        <f aca="false">VLOOKUP(D34,Constants!$A$1:$B$16,2,FALSE())</f>
        <v>4,3,4</v>
      </c>
      <c r="E35" s="0" t="str">
        <f aca="false">VLOOKUP(E34,Constants!$A$1:$B$16,2,FALSE())</f>
        <v>4,5,4</v>
      </c>
      <c r="F35" s="0" t="str">
        <f aca="false">VLOOKUP(F34,Constants!$A$1:$B$16,2,FALSE())</f>
        <v>4,5,4</v>
      </c>
    </row>
    <row r="37" customFormat="false" ht="14.25" hidden="false" customHeight="false" outlineLevel="0" collapsed="false">
      <c r="B37" s="0" t="str">
        <f aca="false">_xlfn.TEXTJOIN(",",TRUE(),  B31:P31)</f>
        <v>eurostar,eurostar_motor,eurostar_mid,eurostar_motor_rev,eurostar_rear</v>
      </c>
    </row>
    <row r="38" customFormat="false" ht="14.25" hidden="false" customHeight="false" outlineLevel="0" collapsed="false">
      <c r="B38" s="0" t="str">
        <f aca="false">_xlfn.TEXTJOIN(",",TRUE(),  B32:P32)</f>
        <v>0,0,0,0,0</v>
      </c>
    </row>
    <row r="39" customFormat="false" ht="14.25" hidden="false" customHeight="false" outlineLevel="0" collapsed="false">
      <c r="B39" s="0" t="str">
        <f aca="false">_xlfn.TEXTJOIN(",",TRUE(),  B35:P35)</f>
        <v>4,5,4,4,5,4,4,3,4,4,5,4,4,5,4</v>
      </c>
    </row>
    <row r="40" customFormat="false" ht="14.25" hidden="false" customHeight="false" outlineLevel="0" collapsed="false">
      <c r="B40" s="0" t="str">
        <f aca="false">_xlfn.TEXTJOIN(",",TRUE(),  B34:U34)</f>
        <v>13,13,11,13,13</v>
      </c>
    </row>
    <row r="42" customFormat="false" ht="14.25" hidden="false" customHeight="false" outlineLevel="0" collapsed="false">
      <c r="B42" s="0" t="s">
        <v>537</v>
      </c>
    </row>
    <row r="43" customFormat="false" ht="14.25" hidden="false" customHeight="false" outlineLevel="0" collapsed="false">
      <c r="A43" s="0" t="s">
        <v>518</v>
      </c>
      <c r="B43" s="0" t="s">
        <v>538</v>
      </c>
      <c r="C43" s="0" t="s">
        <v>539</v>
      </c>
      <c r="D43" s="0" t="s">
        <v>540</v>
      </c>
      <c r="E43" s="0" t="s">
        <v>541</v>
      </c>
      <c r="F43" s="0" t="s">
        <v>542</v>
      </c>
    </row>
    <row r="44" customFormat="false" ht="14.25" hidden="false" customHeight="false" outlineLevel="0" collapsed="false">
      <c r="A44" s="0" t="s">
        <v>525</v>
      </c>
      <c r="B44" s="0" t="n">
        <v>1</v>
      </c>
      <c r="C44" s="0" t="n">
        <v>1</v>
      </c>
      <c r="D44" s="0" t="n">
        <v>1</v>
      </c>
      <c r="E44" s="0" t="n">
        <v>1</v>
      </c>
      <c r="F44" s="0" t="n">
        <v>1</v>
      </c>
    </row>
    <row r="45" customFormat="false" ht="14.25" hidden="false" customHeight="false" outlineLevel="0" collapsed="false">
      <c r="A45" s="0" t="s">
        <v>443</v>
      </c>
      <c r="B45" s="0" t="n">
        <v>20.2</v>
      </c>
      <c r="C45" s="0" t="n">
        <v>15.7</v>
      </c>
      <c r="D45" s="0" t="n">
        <v>10</v>
      </c>
      <c r="E45" s="0" t="n">
        <v>15.7</v>
      </c>
      <c r="F45" s="0" t="n">
        <v>20.2</v>
      </c>
    </row>
    <row r="46" customFormat="false" ht="14.25" hidden="false" customHeight="false" outlineLevel="0" collapsed="false">
      <c r="A46" s="0" t="s">
        <v>533</v>
      </c>
      <c r="B46" s="0" t="n">
        <f aca="false">ROUND(15*((B45*10)/256),0)</f>
        <v>12</v>
      </c>
      <c r="C46" s="0" t="n">
        <f aca="false">ROUND(15*((C45*10)/256),0)</f>
        <v>9</v>
      </c>
      <c r="D46" s="0" t="n">
        <f aca="false">ROUND(15*((D45*10)/256),0)</f>
        <v>6</v>
      </c>
      <c r="E46" s="0" t="n">
        <f aca="false">ROUND(15*((E45*10)/256),0)</f>
        <v>9</v>
      </c>
      <c r="F46" s="0" t="n">
        <f aca="false">ROUND(15*((F45*10)/256),0)</f>
        <v>12</v>
      </c>
    </row>
    <row r="47" customFormat="false" ht="14.25" hidden="false" customHeight="false" outlineLevel="0" collapsed="false">
      <c r="A47" s="0" t="s">
        <v>534</v>
      </c>
      <c r="B47" s="0" t="str">
        <f aca="false">VLOOKUP(B46,Constants!$A$1:$B$16,2,FALSE())</f>
        <v>4,4,4</v>
      </c>
      <c r="C47" s="0" t="str">
        <f aca="false">VLOOKUP(C46,Constants!$A$1:$B$16,2,FALSE())</f>
        <v>2,5,2</v>
      </c>
      <c r="D47" s="0" t="str">
        <f aca="false">VLOOKUP(D46,Constants!$A$1:$B$16,2,FALSE())</f>
        <v>2,2,2</v>
      </c>
      <c r="E47" s="0" t="str">
        <f aca="false">VLOOKUP(E46,Constants!$A$1:$B$16,2,FALSE())</f>
        <v>2,5,2</v>
      </c>
      <c r="F47" s="0" t="str">
        <f aca="false">VLOOKUP(F46,Constants!$A$1:$B$16,2,FALSE())</f>
        <v>4,4,4</v>
      </c>
    </row>
    <row r="49" customFormat="false" ht="14.25" hidden="false" customHeight="false" outlineLevel="0" collapsed="false">
      <c r="B49" s="0" t="str">
        <f aca="false">_xlfn.TEXTJOIN(",",TRUE(),  B43:P43)</f>
        <v>stadler_class_755,stadler_class_755_mid,stadler_class_755_motor,stadler_class_755_mid_rev,stadler_class_755_rear</v>
      </c>
    </row>
    <row r="50" customFormat="false" ht="14.25" hidden="false" customHeight="false" outlineLevel="0" collapsed="false">
      <c r="B50" s="0" t="str">
        <f aca="false">_xlfn.TEXTJOIN(",",TRUE(),  B44:P44)</f>
        <v>1,1,1,1,1</v>
      </c>
    </row>
    <row r="51" customFormat="false" ht="14.25" hidden="false" customHeight="false" outlineLevel="0" collapsed="false">
      <c r="B51" s="0" t="str">
        <f aca="false">_xlfn.TEXTJOIN(",",TRUE(),  B47:P47)</f>
        <v>4,4,4,2,5,2,2,2,2,2,5,2,4,4,4</v>
      </c>
    </row>
    <row r="52" customFormat="false" ht="14.25" hidden="false" customHeight="false" outlineLevel="0" collapsed="false">
      <c r="B52" s="0" t="str">
        <f aca="false">_xlfn.TEXTJOIN(",",TRUE(),  B46:U46)</f>
        <v>12,9,6,9,12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10</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2026-05-09T19:53:37Z</dcterms:modified>
  <cp:revision>1</cp:revision>
  <dc:subject/>
  <dc:title/>
</cp:coreProperties>
</file>

<file path=docProps/custom.xml><?xml version="1.0" encoding="utf-8"?>
<Properties xmlns="http://schemas.openxmlformats.org/officeDocument/2006/custom-properties" xmlns:vt="http://schemas.openxmlformats.org/officeDocument/2006/docPropsVTypes"/>
</file>