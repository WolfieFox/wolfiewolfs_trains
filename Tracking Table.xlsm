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Table!$A$1:$CK$414</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FIRSTGENDMU" vbProcedure="false">'MU Tables'!$B$67</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<sst xmlns="http://schemas.openxmlformats.org/spreadsheetml/2006/main" count="7228" uniqueCount="2615">
  <si>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</si>
  <si>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</si>
  <si>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</si>
  <si>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</si>
  <si>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</si>
  <si>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</si>
  <si>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</si>
  <si>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</si>
  <si>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</si>
  <si>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</si>
  <si>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</si>
  <si>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</si>
  <si>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</si>
  <si>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</si>
  <si>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</si>
  <si>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</si>
  <si>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</si>
  <si>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</si>
  <si>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</si>
  <si>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</si>
  <si>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</si>
  <si>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</si>
  <si>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</si>
  <si>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</si>
  <si>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</si>
  <si>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</si>
  <si>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</si>
  <si>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</si>
  <si>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</si>
  <si>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</si>
  <si>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</si>
  <si>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</si>
  <si>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</si>
  <si>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</si>
  <si>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</si>
  <si>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</si>
  <si>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</si>
  <si>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</si>
  <si>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</si>
  <si>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</si>
  <si>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</si>
  <si>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</si>
  <si>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</si>
  <si>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</si>
  <si>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</si>
  <si>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</si>
  <si>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</si>
  <si>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</si>
  <si>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</si>
  <si>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</si>
  <si>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</si>
  <si>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</si>
  <si>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</si>
  <si>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</si>
  <si>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</si>
  <si>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</si>
  <si>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</si>
  <si>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</si>
  <si>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</si>
  <si>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</si>
  <si>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</si>
  <si>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</si>
  <si>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</si>
  <si>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</si>
  <si>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</si>
  <si>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</si>
  <si>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</si>
  <si>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</si>
  <si>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</si>
  <si>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</si>
  <si>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</si>
  <si>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</si>
  <si>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</si>
  <si>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</si>
  <si>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</si>
  <si>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</si>
  <si>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</si>
  <si>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</si>
  <si>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</si>
  <si>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</si>
  <si>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</si>
  <si>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</si>
  <si>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</si>
  <si>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</si>
  <si>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</si>
  <si>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</si>
  <si>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</si>
  <si>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</si>
  <si>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</si>
  <si>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</si>
  <si>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</si>
  <si>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</si>
  <si>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</si>
  <si>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</si>
  <si>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</si>
  <si>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</si>
  <si>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</si>
  <si>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</si>
  <si>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</si>
  <si>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</si>
  <si>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</si>
  <si>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</si>
  <si>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</si>
  <si>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</si>
  <si>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</si>
  <si>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</si>
  <si>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</si>
  <si>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</si>
  <si>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</si>
  <si>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</si>
  <si>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</si>
  <si>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</si>
  <si>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</si>
  <si>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</si>
  <si>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</si>
  <si>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</si>
  <si>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</si>
  <si>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</si>
  <si>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</si>
  <si>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</si>
  <si>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</si>
  <si>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</si>
  <si>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</si>
  <si>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</si>
  <si>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</si>
  <si>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</si>
  <si>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</si>
  <si>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</si>
  <si>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</si>
  <si>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</si>
  <si>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</si>
  <si>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</si>
  <si>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</si>
  <si>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</si>
  <si>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</si>
  <si>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</si>
  <si>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</si>
  <si>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</si>
  <si>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</si>
  <si>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</si>
  <si>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</si>
  <si>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</si>
  <si>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</si>
  <si>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</si>
  <si>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</si>
  <si>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</si>
  <si>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</si>
  <si>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</si>
  <si>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</si>
  <si>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</si>
  <si>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</si>
  <si>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</si>
  <si>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</si>
  <si>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</si>
  <si>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</si>
  <si>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</si>
  <si>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</si>
  <si>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</si>
  <si>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</si>
  <si>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</si>
  <si>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Green</t>
  </si>
  <si>
    <t xml:space="preserve">ww_livery_brgreen</t>
  </si>
  <si>
    <t xml:space="preserve">_ww_livery/brgreen</t>
  </si>
  <si>
    <t xml:space="preserve">BR Green (Yellow Warning Panel)</t>
  </si>
  <si>
    <t xml:space="preserve">ww_livery_brgreen_yp</t>
  </si>
  <si>
    <t xml:space="preserve">_ww_livery/brgreen_yp</t>
  </si>
  <si>
    <t xml:space="preserve">BR Black</t>
  </si>
  <si>
    <t xml:space="preserve">ww_livery_brblack</t>
  </si>
  <si>
    <t xml:space="preserve">_ww_livery/brblack</t>
  </si>
  <si>
    <t xml:space="preserve">BR Blue</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</si>
  <si>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</si>
  <si>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</si>
  <si>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</si>
  <si>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</si>
  <si>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</si>
  <si>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</si>
  <si>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</si>
  <si>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</si>
  <si>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</si>
  <si>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</si>
  <si>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</si>
  <si>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</si>
  <si>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</si>
  <si>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</si>
  <si>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</si>
  <si>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</si>
  <si>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</si>
  <si>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</si>
  <si>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</si>
  <si>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</si>
  <si>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</si>
  <si>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</si>
  <si>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</si>
  <si>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</si>
  <si>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</si>
  <si>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</si>
  <si>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</si>
  <si>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</si>
  <si>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</si>
  <si>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</si>
  <si>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</si>
  <si>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</si>
  <si>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</si>
  <si>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</si>
  <si>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</si>
  <si>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</si>
  <si>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</si>
  <si>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</si>
  <si>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</si>
  <si>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</si>
  <si>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</si>
  <si>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</si>
  <si>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</si>
  <si>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</si>
  <si>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</si>
  <si>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</si>
  <si>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</si>
  <si>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</si>
  <si>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</si>
  <si>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</si>
  <si>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</si>
  <si>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</si>
  <si>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</si>
  <si>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</si>
  <si>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</si>
  <si>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</si>
  <si>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</si>
  <si>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</si>
  <si>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</si>
  <si>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</si>
  <si>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</si>
  <si>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</si>
  <si>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</si>
  <si>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</si>
  <si>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</si>
  <si>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</si>
  <si>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</si>
  <si>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</si>
  <si>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</si>
  <si>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</si>
  <si>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</si>
  <si>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</si>
  <si>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</si>
  <si>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</si>
  <si>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</si>
  <si>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</si>
  <si>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</si>
  <si>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</si>
  <si>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</si>
  <si>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</si>
  <si>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</si>
  <si>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</si>
  <si>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</si>
  <si>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</si>
  <si>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</si>
  <si>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</si>
  <si>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</si>
  <si>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</si>
  <si>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</si>
  <si>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</si>
  <si>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</si>
  <si>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</si>
  <si>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</si>
  <si>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</si>
  <si>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</si>
  <si>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</si>
  <si>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</si>
  <si>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</si>
  <si>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</si>
  <si>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</si>
  <si>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</si>
  <si>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</si>
  <si>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</si>
  <si>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</si>
  <si>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</si>
  <si>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</si>
  <si>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</si>
  <si>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</si>
  <si>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</si>
  <si>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</si>
  <si>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</si>
  <si>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</si>
  <si>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</si>
  <si>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</si>
  <si>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</si>
  <si>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</si>
  <si>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</si>
  <si>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</si>
  <si>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</si>
  <si>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</si>
  <si>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</si>
  <si>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</si>
  <si>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</si>
  <si>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</si>
  <si>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</si>
  <si>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</si>
  <si>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</si>
  <si>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</si>
  <si>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</si>
  <si>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</si>
  <si>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</si>
  <si>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</si>
  <si>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</si>
  <si>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</si>
  <si>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</si>
  <si>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</si>
  <si>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</si>
  <si>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</si>
  <si>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</si>
  <si>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</si>
  <si>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</si>
  <si>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</si>
  <si>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</si>
  <si>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</si>
  <si>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</si>
  <si>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</si>
  <si>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</si>
  <si>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</si>
  <si>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</si>
  <si>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</si>
  <si>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</si>
  <si>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</si>
  <si>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</si>
  <si>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</si>
  <si>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</si>
  <si>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</si>
  <si>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</si>
  <si>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</si>
  <si>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</si>
  <si>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</si>
  <si>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</si>
  <si>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</si>
  <si>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</si>
  <si>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</si>
  <si>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</si>
  <si>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</si>
  <si>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</si>
  <si>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</si>
  <si>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</si>
  <si>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</si>
  <si>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</si>
  <si>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</si>
  <si>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</si>
  <si>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</si>
  <si>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</si>
  <si>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</si>
  <si>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</si>
  <si>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</si>
  <si>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</si>
  <si>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</si>
  <si>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</si>
  <si>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</si>
  <si>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</si>
  <si>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</si>
  <si>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</si>
  <si>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</si>
  <si>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</si>
  <si>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</si>
  <si>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</si>
  <si>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</si>
  <si>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</si>
  <si>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</si>
  <si>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</si>
  <si>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</si>
  <si>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</si>
  <si>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</si>
  <si>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</si>
  <si>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</si>
  <si>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</si>
  <si>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</si>
  <si>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</si>
  <si>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</si>
  <si>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</si>
  <si>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</si>
  <si>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</si>
  <si>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</si>
  <si>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</si>
  <si>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</si>
  <si>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</si>
  <si>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</si>
  <si>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</si>
  <si>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</si>
  <si>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</si>
  <si>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</si>
  <si>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</si>
  <si>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</si>
  <si>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</si>
  <si>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</si>
  <si>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</si>
  <si>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</si>
  <si>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</si>
  <si>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</si>
  <si>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</si>
  <si>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</si>
  <si>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</si>
  <si>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</si>
  <si>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</si>
  <si>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</si>
  <si>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</si>
  <si>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</si>
  <si>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</si>
  <si>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</si>
  <si>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</si>
  <si>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</si>
  <si>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</si>
  <si>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</si>
  <si>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</si>
  <si>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</si>
  <si>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</si>
  <si>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</si>
  <si>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</si>
  <si>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</si>
  <si>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</si>
  <si>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</si>
  <si>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</si>
  <si>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</si>
  <si>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</si>
  <si>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</si>
  <si>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</si>
  <si>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</si>
  <si>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</si>
  <si>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</si>
  <si>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</si>
  <si>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</si>
  <si>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</si>
  <si>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</si>
  <si>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</si>
  <si>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</si>
  <si>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</si>
  <si>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</si>
  <si>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</si>
  <si>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</si>
  <si>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</si>
  <si>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</si>
  <si>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</si>
  <si>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</si>
  <si>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</si>
  <si>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</si>
  <si>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</si>
  <si>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</si>
  <si>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</si>
  <si>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</si>
  <si>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</si>
  <si>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</si>
  <si>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</si>
  <si>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</si>
  <si>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</si>
  <si>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</si>
  <si>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</si>
  <si>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</si>
  <si>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</si>
  <si>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</si>
  <si>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</si>
  <si>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</si>
  <si>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</si>
  <si>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</si>
  <si>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</si>
  <si>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</si>
  <si>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</si>
  <si>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</si>
  <si>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</si>
  <si>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</si>
  <si>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</si>
  <si>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</si>
  <si>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</si>
  <si>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</si>
  <si>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</si>
  <si>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</si>
  <si>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</si>
  <si>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</si>
  <si>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</si>
  <si>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</si>
  <si>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</si>
  <si>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</si>
  <si>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</si>
  <si>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</si>
  <si>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</si>
  <si>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</si>
  <si>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</si>
  <si>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</si>
  <si>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</si>
  <si>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</si>
  <si>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</si>
  <si>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</si>
  <si>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</si>
  <si>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</si>
  <si>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</si>
  <si>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</si>
  <si>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</si>
  <si>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</si>
  <si>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</si>
  <si>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</si>
  <si>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</si>
  <si>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</si>
  <si>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</si>
  <si>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</si>
  <si>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</si>
  <si>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</si>
  <si>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</si>
  <si>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</si>
  <si>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</si>
  <si>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</si>
  <si>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</si>
  <si>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</si>
  <si>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</si>
  <si>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</si>
  <si>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</si>
  <si>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</si>
  <si>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</si>
  <si>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</si>
  <si>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</si>
  <si>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</si>
  <si>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</si>
  <si>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</si>
  <si>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</si>
  <si>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</si>
  <si>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</si>
  <si>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</si>
  <si>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</si>
  <si>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</si>
  <si>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</si>
  <si>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</si>
  <si>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</si>
  <si>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</si>
  <si>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</si>
  <si>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</si>
  <si>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</si>
  <si>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</si>
  <si>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</si>
  <si>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</si>
  <si>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</si>
  <si>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</si>
  <si>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</si>
  <si>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</si>
  <si>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</si>
  <si>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</si>
  <si>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</si>
  <si>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</si>
  <si>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</si>
  <si>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</si>
  <si>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</si>
  <si>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</si>
  <si>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</si>
  <si>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</si>
  <si>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</si>
  <si>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</si>
  <si>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</si>
  <si>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</si>
  <si>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</si>
  <si>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</si>
  <si>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</si>
  <si>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</si>
  <si>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</si>
  <si>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</si>
  <si>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</si>
  <si>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</si>
  <si>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</si>
  <si>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</si>
  <si>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</si>
  <si>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</si>
  <si>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</si>
  <si>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</si>
  <si>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</si>
  <si>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</si>
  <si>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</si>
  <si>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</si>
  <si>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</si>
  <si>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</si>
  <si>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</si>
  <si>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</si>
  <si>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</si>
  <si>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</si>
  <si>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</si>
  <si>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</si>
  <si>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</si>
  <si>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</si>
  <si>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</si>
  <si>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</si>
  <si>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</si>
  <si>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</si>
  <si>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</si>
  <si>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</si>
  <si>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</si>
  <si>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</si>
  <si>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</si>
  <si>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</si>
  <si>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</si>
  <si>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</si>
  <si>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</si>
  <si>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</si>
  <si>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</si>
  <si>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</si>
  <si>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</si>
  <si>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</si>
  <si>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</si>
  <si>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</si>
  <si>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</si>
  <si>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</si>
  <si>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</si>
  <si>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</si>
  <si>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</si>
  <si>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</si>
  <si>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</si>
  <si>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</si>
  <si>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</si>
  <si>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</si>
  <si>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</si>
  <si>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</si>
  <si>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</si>
  <si>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</si>
  <si>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</si>
  <si>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</si>
  <si>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</si>
  <si>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</si>
  <si>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</si>
  <si>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</si>
  <si>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</si>
  <si>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</si>
  <si>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</si>
  <si>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</si>
  <si>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</si>
  <si>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</si>
  <si>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</si>
  <si>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</si>
  <si>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</si>
  <si>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</si>
  <si>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</si>
  <si>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</si>
  <si>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</si>
  <si>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</si>
  <si>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</si>
  <si>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</si>
  <si>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</si>
  <si>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</si>
  <si>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</si>
  <si>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</si>
  <si>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</si>
  <si>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</si>
  <si>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</si>
  <si>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</si>
  <si>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</si>
  <si>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</si>
  <si>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</si>
  <si>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</si>
  <si>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</si>
  <si>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</si>
  <si>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</si>
  <si>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</si>
  <si>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</si>
  <si>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</si>
  <si>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</si>
  <si>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</si>
  <si>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</si>
  <si>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</si>
  <si>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</si>
  <si>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</si>
  <si>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</si>
  <si>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</si>
  <si>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</si>
  <si>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</si>
  <si>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</si>
  <si>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</si>
  <si>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</si>
  <si>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</si>
  <si>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</si>
  <si>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</si>
  <si>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</si>
  <si>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</si>
  <si>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</si>
  <si>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</si>
  <si>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</si>
  <si>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</si>
  <si>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</si>
  <si>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</si>
  <si>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</si>
  <si>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</si>
  <si>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</si>
  <si>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</si>
  <si>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</si>
  <si>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</si>
  <si>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</si>
  <si>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</si>
  <si>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</si>
  <si>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</si>
  <si>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</si>
  <si>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</si>
  <si>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</si>
  <si>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</si>
  <si>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</si>
  <si>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</si>
  <si>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</si>
  <si>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</si>
  <si>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</si>
  <si>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</si>
  <si>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</si>
  <si>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</si>
  <si>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</si>
  <si>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</si>
  <si>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</si>
  <si>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</si>
  <si>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</si>
  <si>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</si>
  <si>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</si>
  <si>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</si>
  <si>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</si>
  <si>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</si>
  <si>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</si>
  <si>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</si>
  <si>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</si>
  <si>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</si>
  <si>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</si>
  <si>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</si>
  <si>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</si>
  <si>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</si>
  <si>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</si>
  <si>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</si>
  <si>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</si>
  <si>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</si>
  <si>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</si>
  <si>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</si>
  <si>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</si>
  <si>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</si>
  <si>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</si>
  <si>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</si>
  <si>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</si>
  <si>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</si>
  <si>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</si>
  <si>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</si>
  <si>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</si>
  <si>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</si>
  <si>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</si>
  <si>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</si>
  <si>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</si>
  <si>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</si>
  <si>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</si>
  <si>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</si>
  <si>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</si>
  <si>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</si>
  <si>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</si>
  <si>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</si>
  <si>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</si>
  <si>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</si>
  <si>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</si>
  <si>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</si>
  <si>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</si>
  <si>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</si>
  <si>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</si>
  <si>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</si>
  <si>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</si>
  <si>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</si>
  <si>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</si>
  <si>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</si>
  <si>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</si>
  <si>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</si>
  <si>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</si>
  <si>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</si>
  <si>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</si>
  <si>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</si>
  <si>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</si>
  <si>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</si>
  <si>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</si>
  <si>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</si>
  <si>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</si>
  <si>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</si>
  <si>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</si>
  <si>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</si>
  <si>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</si>
  <si>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</si>
  <si>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</si>
  <si>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</si>
  <si>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</si>
  <si>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</si>
  <si>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</si>
  <si>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</si>
  <si>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</si>
  <si>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</si>
  <si>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</si>
  <si>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</si>
  <si>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</si>
  <si>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</si>
  <si>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</si>
  <si>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</si>
  <si>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</si>
  <si>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</si>
  <si>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</si>
  <si>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</si>
  <si>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</si>
  <si>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</si>
  <si>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</si>
  <si>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</si>
  <si>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</si>
  <si>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</si>
  <si>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</si>
  <si>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</si>
  <si>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</si>
  <si>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</si>
  <si>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</si>
  <si>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</si>
  <si>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</si>
  <si>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</si>
  <si>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</si>
  <si>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</si>
  <si>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</si>
  <si>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</si>
  <si>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</si>
  <si>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</si>
  <si>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</si>
  <si>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</si>
  <si>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</si>
  <si>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</si>
  <si>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</si>
  <si>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</si>
  <si>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</si>
  <si>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</si>
  <si>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</si>
  <si>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</si>
  <si>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</si>
  <si>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</si>
  <si>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</si>
  <si>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</si>
  <si>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</si>
  <si>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</si>
  <si>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</si>
  <si>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</si>
  <si>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</si>
  <si>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</si>
  <si>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Metro-Cammell Class 101 (3 car)</t>
  </si>
  <si>
    <t xml:space="preserve">class_101_3car</t>
  </si>
  <si>
    <t xml:space="preserve">3,8</t>
  </si>
  <si>
    <t xml:space="preserve">class_101,class_101_mid,class_101_rev</t>
  </si>
  <si>
    <t xml:space="preserve">Metro-Cammell Class 101 (4 car)</t>
  </si>
  <si>
    <t xml:space="preserve">class_101_4car</t>
  </si>
  <si>
    <t xml:space="preserve">3,11</t>
  </si>
  <si>
    <t xml:space="preserve">class_101,class_101_mid,class_101_mid,class_101_rev</t>
  </si>
  <si>
    <t xml:space="preserve">0,0,0,0</t>
  </si>
  <si>
    <t xml:space="preserve">class_101_alt</t>
  </si>
  <si>
    <t xml:space="preserve">class_101_alt,class_101_alt_rev</t>
  </si>
  <si>
    <t xml:space="preserve">class_101_alt_3car</t>
  </si>
  <si>
    <t xml:space="preserve">class_101_alt,class_101_alt_mid,class_101_alt_rev</t>
  </si>
  <si>
    <t xml:space="preserve">class_101_alt_4car</t>
  </si>
  <si>
    <t xml:space="preserve">class_101_alt,class_101_alt_mid,class_101_alt_mid,class_101_alt_rev</t>
  </si>
  <si>
    <t xml:space="preserve">class_101_alt2</t>
  </si>
  <si>
    <t xml:space="preserve">class_101_alt2,class_101_alt2_rev</t>
  </si>
  <si>
    <t xml:space="preserve">class_101_alt2_3car</t>
  </si>
  <si>
    <t xml:space="preserve">class_101_alt2,class_101_alt_mid,class_101_alt2_rev</t>
  </si>
  <si>
    <t xml:space="preserve">0,0,0</t>
  </si>
  <si>
    <t xml:space="preserve">class_101_alt2_4car</t>
  </si>
  <si>
    <t xml:space="preserve">class_101_alt2,class_101_alt_mid,class_101_alt_mid,class_101_alt2_rev</t>
  </si>
  <si>
    <t xml:space="preserve">class_101_alt3</t>
  </si>
  <si>
    <t xml:space="preserve">class_101_alt3,class_101_alt3_rev</t>
  </si>
  <si>
    <t xml:space="preserve">class_101_alt3_3car</t>
  </si>
  <si>
    <t xml:space="preserve">class_101_alt3,class_101_alt_mid,class_101_alt3_rev</t>
  </si>
  <si>
    <t xml:space="preserve">class_101_alt3_4car</t>
  </si>
  <si>
    <t xml:space="preserve">class_101_alt3,class_101_alt_mid,class_101_alt_mid,class_101_alt3_rev</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</si>
  <si>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</si>
  <si>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</si>
  <si>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</si>
  <si>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</si>
  <si>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</si>
  <si>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</si>
  <si>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</si>
  <si>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</si>
  <si>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</si>
  <si>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</si>
  <si>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</si>
  <si>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</si>
  <si>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</si>
  <si>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</si>
  <si>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</si>
  <si>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</si>
  <si>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</si>
  <si>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</si>
  <si>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</si>
  <si>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</si>
  <si>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</si>
  <si>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</si>
  <si>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</si>
  <si>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</si>
  <si>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</si>
  <si>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</si>
  <si>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</si>
  <si>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</si>
  <si>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</si>
  <si>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</si>
  <si>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</si>
  <si>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</si>
  <si>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</si>
  <si>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</si>
  <si>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</si>
  <si>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</si>
  <si>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</si>
  <si>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</si>
  <si>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</si>
  <si>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</si>
  <si>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</si>
  <si>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</si>
  <si>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</si>
  <si>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</si>
  <si>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</si>
  <si>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</si>
  <si>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</si>
  <si>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</si>
  <si>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</si>
  <si>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</si>
  <si>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</si>
  <si>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</si>
  <si>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</si>
  <si>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</si>
  <si>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</si>
  <si>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</si>
  <si>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</si>
  <si>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</si>
  <si>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</si>
  <si>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</si>
  <si>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</si>
  <si>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</si>
  <si>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</si>
  <si>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</si>
  <si>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</si>
  <si>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</si>
  <si>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</si>
  <si>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</si>
  <si>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</si>
  <si>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</si>
  <si>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</si>
  <si>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</si>
  <si>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</si>
  <si>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</si>
  <si>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</si>
  <si>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</si>
  <si>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</si>
  <si>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</si>
  <si>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</si>
  <si>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</si>
  <si>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</si>
  <si>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</si>
  <si>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</si>
  <si>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</si>
  <si>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</si>
  <si>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</si>
  <si>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</si>
  <si>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</si>
  <si>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</si>
  <si>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</si>
  <si>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</si>
  <si>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</si>
  <si>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</si>
  <si>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</si>
  <si>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</si>
  <si>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</si>
  <si>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</si>
  <si>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</si>
  <si>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</si>
  <si>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</si>
  <si>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</si>
  <si>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</si>
  <si>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</si>
  <si>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</si>
  <si>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</si>
  <si>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</si>
  <si>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</si>
  <si>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</si>
  <si>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</si>
  <si>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</si>
  <si>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</si>
  <si>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</si>
  <si>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</si>
  <si>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</si>
  <si>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</si>
  <si>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</si>
  <si>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</si>
  <si>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</si>
  <si>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</si>
  <si>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</si>
  <si>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</si>
  <si>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</si>
  <si>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</si>
  <si>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</si>
  <si>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</si>
  <si>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</si>
  <si>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</si>
  <si>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</si>
  <si>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</si>
  <si>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</si>
  <si>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</si>
  <si>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</si>
  <si>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</si>
  <si>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</si>
  <si>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</si>
  <si>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</si>
  <si>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</si>
  <si>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</si>
  <si>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</si>
  <si>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</si>
  <si>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</si>
  <si>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</si>
  <si>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</si>
  <si>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</si>
  <si>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</si>
  <si>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</si>
  <si>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</si>
  <si>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</si>
  <si>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</si>
  <si>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</si>
  <si>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</si>
  <si>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</si>
  <si>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</si>
  <si>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</si>
  <si>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</si>
  <si>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</si>
  <si>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</si>
  <si>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</si>
  <si>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blue_pullman,blue_pullman_coach,blue_pullman_coach,blue_pullman_coach,blue_pullman_coach,blue_pullman_rev</t>
  </si>
  <si>
    <t xml:space="preserve">1,1,0,0,0,1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</si>
  <si>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</si>
  <si>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</si>
  <si>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</si>
  <si>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</si>
  <si>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</si>
  <si>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0,23</t>
  </si>
  <si>
    <t xml:space="preserve">blue_pullman,blue_pullman_coach,blue_pullman_coach,blue_pullman_coach,blue_pullman_coach,blue_pullman_coach,blue_pullman_coach,blue_pullman_rev</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</si>
  <si>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</si>
  <si>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</si>
  <si>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</si>
  <si>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</si>
  <si>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</si>
  <si>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class_121_bubble_car_alt</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</si>
  <si>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</si>
  <si>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</si>
  <si>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</si>
  <si>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</si>
  <si>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</si>
  <si>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</si>
  <si>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</si>
  <si>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</si>
  <si>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</si>
  <si>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</si>
  <si>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</si>
  <si>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</si>
  <si>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</si>
  <si>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</si>
  <si>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</si>
  <si>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</si>
  <si>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</si>
  <si>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</si>
  <si>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</si>
  <si>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</si>
  <si>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</si>
  <si>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</si>
  <si>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</si>
  <si>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</si>
  <si>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</si>
  <si>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</si>
  <si>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</si>
  <si>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</si>
  <si>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</si>
  <si>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</si>
  <si>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</si>
  <si>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</si>
  <si>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</si>
  <si>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</si>
  <si>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</si>
  <si>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</si>
  <si>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</si>
  <si>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</si>
  <si>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</si>
  <si>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</si>
  <si>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</si>
  <si>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cab</t>
  </si>
  <si>
    <t xml:space="preserve">apt,apt_mid,apt_mid,apt_mid,apt_mid,apt_tbf2</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</si>
  <si>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</si>
  <si>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</si>
  <si>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</si>
  <si>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</si>
  <si>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</si>
  <si>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</si>
  <si>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</si>
  <si>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</si>
  <si>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</si>
  <si>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</si>
  <si>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</si>
  <si>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</si>
  <si>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</si>
  <si>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</si>
  <si>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</si>
  <si>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</si>
  <si>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</si>
  <si>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</si>
  <si>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</si>
  <si>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</si>
  <si>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</si>
  <si>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</si>
  <si>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</si>
  <si>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</si>
  <si>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</si>
  <si>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</si>
  <si>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</si>
  <si>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</si>
  <si>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</si>
  <si>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</si>
  <si>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</si>
  <si>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</si>
  <si>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</si>
  <si>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</si>
  <si>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</si>
  <si>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</si>
  <si>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</si>
  <si>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</si>
  <si>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</si>
  <si>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</si>
  <si>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</si>
  <si>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</si>
  <si>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</si>
  <si>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</si>
  <si>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</si>
  <si>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</si>
  <si>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</si>
  <si>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</si>
  <si>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</si>
  <si>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</si>
  <si>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</si>
  <si>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</si>
  <si>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</si>
  <si>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</si>
  <si>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</si>
  <si>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</si>
  <si>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</si>
  <si>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</si>
  <si>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</si>
  <si>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</si>
  <si>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</si>
  <si>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</si>
  <si>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</si>
  <si>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</si>
  <si>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</si>
  <si>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</si>
  <si>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</si>
  <si>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</si>
  <si>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</si>
  <si>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</si>
  <si>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</si>
  <si>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</si>
  <si>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</si>
  <si>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</si>
  <si>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</si>
  <si>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</si>
  <si>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</si>
  <si>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</si>
  <si>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</si>
  <si>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</si>
  <si>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</si>
  <si>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</si>
  <si>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</si>
  <si>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</si>
  <si>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</si>
  <si>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</si>
  <si>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</si>
  <si>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</si>
  <si>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</si>
  <si>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</si>
  <si>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</si>
  <si>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</si>
  <si>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</si>
  <si>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</si>
  <si>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</si>
  <si>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</si>
  <si>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</si>
  <si>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</si>
  <si>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</si>
  <si>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</si>
  <si>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</si>
  <si>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</si>
  <si>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</si>
  <si>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</si>
  <si>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</si>
  <si>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</si>
  <si>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</si>
  <si>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</si>
  <si>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</si>
  <si>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</si>
  <si>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</si>
  <si>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</si>
  <si>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</si>
  <si>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</si>
  <si>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</si>
  <si>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</si>
  <si>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</si>
  <si>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</si>
  <si>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</si>
  <si>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</si>
  <si>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</si>
  <si>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</si>
  <si>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</si>
  <si>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</si>
  <si>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</si>
  <si>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</si>
  <si>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</si>
  <si>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</si>
  <si>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</si>
  <si>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</si>
  <si>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</si>
  <si>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</si>
  <si>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</si>
  <si>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</si>
  <si>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</si>
  <si>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</si>
  <si>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</si>
  <si>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</si>
  <si>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</si>
  <si>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</si>
  <si>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</si>
  <si>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</si>
  <si>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</si>
  <si>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</si>
  <si>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</si>
  <si>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</si>
  <si>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</si>
  <si>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</si>
  <si>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</si>
  <si>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</si>
  <si>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</si>
  <si>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</si>
  <si>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</si>
  <si>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</si>
  <si>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</si>
  <si>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</si>
  <si>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</si>
  <si>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</si>
  <si>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</si>
  <si>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</si>
  <si>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</si>
  <si>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</si>
  <si>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</si>
  <si>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</si>
  <si>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</si>
  <si>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</si>
  <si>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</si>
  <si>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</si>
  <si>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</si>
  <si>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</si>
  <si>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</si>
  <si>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</si>
  <si>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</si>
  <si>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</si>
  <si>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</si>
  <si>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</si>
  <si>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</si>
  <si>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</si>
  <si>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</si>
  <si>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</si>
  <si>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</si>
  <si>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</si>
  <si>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</si>
  <si>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</si>
  <si>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</si>
  <si>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</si>
  <si>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</si>
  <si>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</si>
  <si>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</si>
  <si>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</si>
  <si>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</si>
  <si>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</si>
  <si>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</si>
  <si>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</si>
  <si>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</si>
  <si>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</si>
  <si>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</si>
  <si>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</si>
  <si>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</si>
  <si>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</si>
  <si>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</si>
  <si>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</si>
  <si>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</si>
  <si>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</si>
  <si>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</si>
  <si>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</si>
  <si>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</si>
  <si>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</si>
  <si>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</si>
  <si>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</si>
  <si>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</si>
  <si>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</si>
  <si>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</si>
  <si>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</si>
  <si>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</si>
  <si>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</si>
  <si>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</si>
  <si>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</si>
  <si>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</si>
  <si>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</si>
  <si>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</si>
  <si>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</si>
  <si>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</si>
  <si>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</si>
  <si>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</si>
  <si>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</si>
  <si>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</si>
  <si>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</si>
  <si>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</si>
  <si>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</si>
  <si>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</si>
  <si>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</si>
  <si>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</si>
  <si>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</si>
  <si>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</si>
  <si>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</si>
  <si>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</si>
  <si>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</si>
  <si>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</si>
  <si>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</si>
  <si>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</si>
  <si>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</si>
  <si>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</si>
  <si>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</si>
  <si>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</si>
  <si>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</si>
  <si>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</si>
  <si>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</si>
  <si>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</si>
  <si>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</si>
  <si>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</si>
  <si>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</si>
  <si>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</si>
  <si>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</si>
  <si>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</si>
  <si>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</si>
  <si>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</si>
  <si>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</si>
  <si>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</si>
  <si>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</si>
  <si>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</si>
  <si>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</si>
  <si>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</si>
  <si>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</si>
  <si>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</si>
  <si>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</si>
  <si>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</si>
  <si>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</si>
  <si>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</si>
  <si>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</si>
  <si>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</si>
  <si>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</si>
  <si>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</si>
  <si>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</si>
  <si>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</si>
  <si>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</si>
  <si>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</si>
  <si>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</si>
  <si>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</si>
  <si>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</si>
  <si>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</si>
  <si>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</si>
  <si>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</si>
  <si>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</si>
  <si>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</si>
  <si>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</si>
  <si>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</si>
  <si>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</si>
  <si>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</si>
  <si>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</si>
  <si>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</si>
  <si>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</si>
  <si>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</si>
  <si>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</si>
  <si>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</si>
  <si>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</si>
  <si>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</si>
  <si>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</si>
  <si>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</si>
  <si>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</si>
  <si>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</si>
  <si>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</si>
  <si>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</si>
  <si>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</si>
  <si>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</si>
  <si>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</si>
  <si>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</si>
  <si>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</si>
  <si>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</si>
  <si>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</si>
  <si>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</si>
  <si>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</si>
  <si>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</si>
  <si>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</si>
  <si>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</si>
  <si>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</si>
  <si>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</si>
  <si>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</si>
  <si>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</si>
  <si>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</si>
  <si>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</si>
  <si>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</si>
  <si>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</si>
  <si>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</si>
  <si>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</si>
  <si>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</si>
  <si>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</si>
  <si>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</si>
  <si>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</si>
  <si>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</si>
  <si>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</si>
  <si>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</si>
  <si>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</si>
  <si>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</si>
  <si>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</si>
  <si>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</si>
  <si>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</si>
  <si>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</si>
  <si>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</si>
  <si>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</si>
  <si>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</si>
  <si>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</si>
  <si>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</si>
  <si>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</si>
  <si>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</si>
  <si>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</si>
  <si>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</si>
  <si>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</si>
  <si>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</si>
  <si>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</si>
  <si>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</si>
  <si>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</si>
  <si>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</si>
  <si>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</si>
  <si>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</si>
  <si>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</si>
  <si>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</si>
  <si>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</si>
  <si>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</si>
  <si>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</si>
  <si>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</si>
  <si>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</si>
  <si>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</si>
  <si>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</si>
  <si>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</si>
  <si>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</si>
  <si>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</si>
  <si>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</si>
  <si>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</si>
  <si>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</si>
  <si>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</si>
  <si>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</si>
  <si>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</si>
  <si>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</si>
  <si>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</si>
  <si>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</si>
  <si>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</si>
  <si>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</si>
  <si>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</si>
  <si>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</si>
  <si>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</si>
  <si>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</si>
  <si>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</si>
  <si>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</si>
  <si>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</si>
  <si>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</si>
  <si>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</si>
  <si>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</si>
  <si>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</si>
  <si>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</si>
  <si>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</si>
  <si>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</si>
  <si>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</si>
  <si>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</si>
  <si>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</si>
  <si>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</si>
  <si>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</si>
  <si>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</si>
  <si>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</si>
  <si>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</si>
  <si>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</si>
  <si>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</si>
  <si>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</si>
  <si>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</si>
  <si>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</si>
  <si>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</si>
  <si>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</si>
  <si>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</si>
  <si>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</si>
  <si>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</si>
  <si>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</si>
  <si>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</si>
  <si>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</si>
  <si>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</si>
  <si>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</si>
  <si>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</si>
  <si>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</si>
  <si>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</si>
  <si>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</si>
  <si>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</si>
  <si>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</si>
  <si>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</si>
  <si>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</si>
  <si>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</si>
  <si>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</si>
  <si>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</si>
  <si>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</si>
  <si>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</si>
  <si>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</si>
  <si>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</si>
  <si>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</si>
  <si>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</si>
  <si>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</si>
  <si>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</si>
  <si>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</si>
  <si>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</si>
  <si>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</si>
  <si>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</si>
  <si>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</si>
  <si>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</si>
  <si>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</si>
  <si>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</si>
  <si>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</si>
  <si>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</si>
  <si>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</si>
  <si>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</si>
  <si>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</si>
  <si>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</si>
  <si>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</si>
  <si>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</si>
  <si>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</si>
  <si>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</si>
  <si>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</si>
  <si>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</si>
  <si>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</si>
  <si>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</si>
  <si>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</si>
  <si>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lu_c69_stock_2car</t>
  </si>
  <si>
    <t xml:space="preserve">lu_c69_stock,lu_c69_stock_rear</t>
  </si>
  <si>
    <t xml:space="preserve">lu_c69_stock</t>
  </si>
  <si>
    <t xml:space="preserve">lu_c69_stock_2car,lu_c69_stock_4car,lu_c69_stock_6car</t>
  </si>
  <si>
    <t xml:space="preserve">The C69 stock is a larger sub-surface unit. This is a fictitious 2 car unit with cabs on both ends. In practice, each unit had a single cab and was exclusively operated in multiples of 2 or 3 to provide a cab on each end.</t>
  </si>
  <si>
    <t xml:space="preserve">lu_c69_stock_4car</t>
  </si>
  <si>
    <t xml:space="preserve">lu_c69_stock,lu_c69_carriage,lu_c69_carriage,lu_c69_stock_rear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</si>
  <si>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</si>
  <si>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lu_c69_stock_6car</t>
  </si>
  <si>
    <t xml:space="preserve">lu_c69_stock,lu_c69_carriage,lu_c69_stock,lu_c69_carriage,lu_c69_carriage,lu_c69_stock_rear</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</si>
  <si>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</si>
  <si>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</si>
  <si>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</si>
  <si>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</si>
  <si>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</si>
  <si>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lu_d78_stock_3car</t>
  </si>
  <si>
    <t xml:space="preserve">lu_d78_stock,lu_d78_carriage,lu_d78_stock_rear</t>
  </si>
  <si>
    <t xml:space="preserve">lu_d78_stock</t>
  </si>
  <si>
    <t xml:space="preserve">lu_d78_stock_3car,lu_d78_stock_6car</t>
  </si>
  <si>
    <t xml:space="preserve">The D78 stock replaced pre-war stock on the District Line. It has the longest car lengths to have been used on the Underground network, at 18.37m for a driving motor car.</t>
  </si>
  <si>
    <t xml:space="preserve">lu_d78_stock_6car</t>
  </si>
  <si>
    <t xml:space="preserve">lu_d78_stock,lu_d78_carriage,lu_d78_undm,lu_d78_undm_rev,lu_d78_carriage,lu_d78_stock_rear</t>
  </si>
  <si>
    <t xml:space="preserve">0,0,1,1,0,0</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</si>
  <si>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</si>
  <si>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</si>
  <si>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</si>
  <si>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</si>
  <si>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</si>
  <si>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</si>
  <si>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</si>
  <si>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</si>
  <si>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</si>
  <si>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</si>
  <si>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</si>
  <si>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</si>
  <si>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</si>
  <si>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</si>
  <si>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</si>
  <si>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</si>
  <si>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</si>
  <si>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</si>
  <si>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</si>
  <si>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</si>
  <si>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</si>
  <si>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</si>
  <si>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</si>
  <si>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</si>
  <si>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</si>
  <si>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</si>
  <si>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</si>
  <si>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</si>
  <si>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</si>
  <si>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</si>
  <si>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</si>
  <si>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</si>
  <si>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</si>
  <si>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</si>
  <si>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</si>
  <si>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</si>
  <si>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</si>
  <si>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</si>
  <si>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</si>
  <si>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</si>
  <si>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</si>
  <si>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</si>
  <si>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</si>
  <si>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</si>
  <si>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</si>
  <si>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</si>
  <si>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</si>
  <si>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</si>
  <si>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</si>
  <si>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</si>
  <si>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</si>
  <si>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</si>
  <si>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</si>
  <si>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</si>
  <si>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</si>
  <si>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</si>
  <si>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</si>
  <si>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</si>
  <si>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</si>
  <si>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</si>
  <si>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</si>
  <si>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</si>
  <si>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</si>
  <si>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</si>
  <si>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</si>
  <si>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</si>
  <si>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</si>
  <si>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</si>
  <si>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</si>
  <si>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</si>
  <si>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</si>
  <si>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</si>
  <si>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</si>
  <si>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</si>
  <si>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</si>
  <si>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</si>
  <si>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</si>
  <si>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</si>
  <si>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</si>
  <si>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</si>
  <si>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</si>
  <si>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</si>
  <si>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</si>
  <si>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</si>
  <si>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</si>
  <si>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</si>
  <si>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</si>
  <si>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</si>
  <si>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</si>
  <si>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</si>
  <si>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</si>
  <si>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</si>
  <si>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</si>
  <si>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</si>
  <si>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</si>
  <si>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</si>
  <si>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</si>
  <si>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</si>
  <si>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</si>
  <si>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</si>
  <si>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</si>
  <si>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</si>
  <si>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</si>
  <si>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</si>
  <si>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</si>
  <si>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</si>
  <si>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</si>
  <si>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</si>
  <si>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</si>
  <si>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</si>
  <si>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</si>
  <si>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</si>
  <si>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</si>
  <si>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</si>
  <si>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</si>
  <si>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</si>
  <si>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</si>
  <si>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</si>
  <si>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</si>
  <si>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</si>
  <si>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</si>
  <si>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</si>
  <si>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</si>
  <si>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</si>
  <si>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</si>
  <si>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</si>
  <si>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</si>
  <si>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</si>
  <si>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</si>
  <si>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</si>
  <si>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</si>
  <si>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</si>
  <si>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</si>
  <si>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</si>
  <si>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</si>
  <si>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</si>
  <si>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</si>
  <si>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</si>
  <si>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</si>
  <si>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</si>
  <si>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</si>
  <si>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</si>
  <si>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</si>
  <si>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</si>
  <si>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</si>
  <si>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</si>
  <si>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</si>
  <si>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</si>
  <si>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</si>
  <si>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</si>
  <si>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</si>
  <si>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</si>
  <si>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</si>
  <si>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</si>
  <si>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</si>
  <si>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</si>
  <si>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</si>
  <si>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</si>
  <si>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</si>
  <si>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</si>
  <si>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</si>
  <si>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</si>
  <si>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</si>
  <si>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</si>
  <si>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</si>
  <si>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</si>
  <si>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</si>
  <si>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</si>
  <si>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</si>
  <si>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</si>
  <si>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</si>
  <si>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</si>
  <si>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</si>
  <si>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</si>
  <si>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</si>
  <si>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</si>
  <si>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</si>
  <si>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</si>
  <si>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</si>
  <si>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</si>
  <si>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</si>
  <si>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</si>
  <si>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</si>
  <si>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</si>
  <si>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</si>
  <si>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</si>
  <si>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</si>
  <si>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</si>
  <si>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</si>
  <si>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</si>
  <si>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</si>
  <si>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</si>
  <si>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</si>
  <si>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</si>
  <si>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</si>
  <si>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</si>
  <si>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</si>
  <si>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</si>
  <si>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</si>
  <si>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</si>
  <si>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</si>
  <si>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</si>
  <si>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</si>
  <si>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</si>
  <si>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</si>
  <si>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</si>
  <si>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</si>
  <si>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</si>
  <si>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</si>
  <si>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</si>
  <si>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</si>
  <si>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</si>
  <si>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</si>
  <si>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</si>
  <si>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</si>
  <si>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</si>
  <si>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</si>
  <si>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</si>
  <si>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</si>
  <si>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</si>
  <si>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</si>
  <si>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</si>
  <si>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</si>
  <si>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</si>
  <si>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</si>
  <si>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</si>
  <si>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</si>
  <si>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</si>
  <si>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</si>
  <si>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</si>
  <si>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</si>
  <si>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</si>
  <si>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</si>
  <si>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</si>
  <si>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</si>
  <si>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</si>
  <si>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</si>
  <si>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</si>
  <si>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</si>
  <si>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</si>
  <si>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</si>
  <si>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</si>
  <si>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</si>
  <si>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</si>
  <si>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</si>
  <si>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</si>
  <si>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</si>
  <si>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</si>
  <si>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</si>
  <si>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</si>
  <si>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</si>
  <si>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</si>
  <si>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</si>
  <si>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</si>
  <si>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</si>
  <si>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</si>
  <si>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</si>
  <si>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</si>
  <si>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</si>
  <si>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</si>
  <si>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</si>
  <si>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</si>
  <si>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</si>
  <si>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</si>
  <si>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</si>
  <si>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</si>
  <si>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</si>
  <si>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</si>
  <si>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</si>
  <si>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</si>
  <si>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</si>
  <si>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</si>
  <si>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</si>
  <si>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</si>
  <si>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</si>
  <si>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</si>
  <si>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</si>
  <si>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</si>
  <si>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</si>
  <si>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</si>
  <si>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</si>
  <si>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</si>
  <si>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</si>
  <si>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</si>
  <si>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</si>
  <si>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</si>
  <si>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</si>
  <si>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</si>
  <si>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</si>
  <si>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</si>
  <si>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</si>
  <si>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</si>
  <si>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</si>
  <si>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</si>
  <si>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</si>
  <si>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</si>
  <si>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</si>
  <si>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</si>
  <si>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</si>
  <si>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</si>
  <si>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</si>
  <si>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</si>
  <si>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</si>
  <si>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</si>
  <si>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</si>
  <si>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</si>
  <si>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</si>
  <si>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</si>
  <si>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</si>
  <si>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</si>
  <si>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</si>
  <si>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</si>
  <si>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</si>
  <si>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</si>
  <si>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</si>
  <si>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</si>
  <si>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</si>
  <si>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</si>
  <si>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</si>
  <si>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</si>
  <si>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</si>
  <si>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</si>
  <si>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</si>
  <si>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</si>
  <si>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</si>
  <si>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</si>
  <si>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</si>
  <si>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</si>
  <si>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</si>
  <si>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</si>
  <si>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</si>
  <si>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</si>
  <si>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</si>
  <si>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</si>
  <si>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</si>
  <si>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</si>
  <si>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</si>
  <si>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</si>
  <si>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</si>
  <si>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</si>
  <si>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</si>
  <si>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</si>
  <si>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</si>
  <si>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</si>
  <si>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</si>
  <si>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</si>
  <si>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</si>
  <si>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</si>
  <si>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</si>
  <si>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</si>
  <si>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</si>
  <si>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</si>
  <si>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</si>
  <si>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</si>
  <si>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</si>
  <si>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</si>
  <si>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</si>
  <si>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</si>
  <si>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</si>
  <si>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</si>
  <si>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</si>
  <si>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</si>
  <si>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</si>
  <si>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</si>
  <si>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</si>
  <si>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</si>
  <si>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</si>
  <si>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</si>
  <si>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</si>
  <si>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</si>
  <si>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</si>
  <si>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</si>
  <si>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</si>
  <si>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</si>
  <si>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</si>
  <si>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</si>
  <si>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</si>
  <si>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</si>
  <si>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</si>
  <si>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</si>
  <si>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</si>
  <si>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SteelCovered</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</si>
  <si>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</si>
  <si>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</si>
  <si>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</si>
  <si>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</si>
  <si>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</si>
  <si>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</si>
  <si>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</si>
  <si>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</si>
  <si>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</si>
  <si>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</si>
  <si>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</si>
  <si>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</si>
  <si>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</si>
  <si>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</si>
  <si>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</si>
  <si>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</si>
  <si>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</si>
  <si>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</si>
  <si>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</si>
  <si>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</si>
  <si>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</si>
  <si>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</si>
  <si>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</si>
  <si>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</si>
  <si>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</si>
  <si>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</si>
  <si>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</si>
  <si>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</si>
  <si>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</si>
  <si>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</si>
  <si>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</si>
  <si>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</si>
  <si>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</si>
  <si>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</si>
  <si>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</si>
  <si>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</si>
  <si>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</si>
  <si>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</si>
  <si>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</si>
  <si>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</si>
  <si>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</si>
  <si>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</si>
  <si>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</si>
  <si>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</si>
  <si>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</si>
  <si>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</si>
  <si>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</si>
  <si>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</si>
  <si>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</si>
  <si>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</si>
  <si>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</si>
  <si>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</si>
  <si>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</si>
  <si>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</si>
  <si>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</si>
  <si>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</si>
  <si>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</si>
  <si>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</si>
  <si>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</si>
  <si>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</si>
  <si>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</si>
  <si>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</si>
  <si>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</si>
  <si>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</si>
  <si>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</si>
  <si>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</si>
  <si>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</si>
  <si>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</si>
  <si>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</si>
  <si>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</si>
  <si>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</si>
  <si>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</si>
  <si>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</si>
  <si>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</si>
  <si>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</si>
  <si>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</si>
  <si>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</si>
  <si>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</si>
  <si>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</si>
  <si>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</si>
  <si>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</si>
  <si>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</si>
  <si>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</si>
  <si>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</si>
  <si>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</si>
  <si>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</si>
  <si>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</si>
  <si>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</si>
  <si>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</si>
  <si>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</si>
  <si>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</si>
  <si>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</si>
  <si>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</si>
  <si>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</si>
  <si>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</si>
  <si>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</si>
  <si>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</si>
  <si>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</si>
  <si>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</si>
  <si>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</si>
  <si>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</si>
  <si>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</si>
  <si>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</si>
  <si>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</si>
  <si>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</si>
  <si>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</si>
  <si>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</si>
  <si>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</si>
  <si>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</si>
  <si>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</si>
  <si>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</si>
  <si>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</si>
  <si>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</si>
  <si>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</si>
  <si>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</si>
  <si>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</si>
  <si>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</si>
  <si>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</si>
  <si>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</si>
  <si>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</si>
  <si>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</si>
  <si>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</si>
  <si>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</si>
  <si>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</si>
  <si>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</si>
  <si>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</si>
  <si>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</si>
  <si>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</si>
  <si>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</si>
  <si>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</si>
  <si>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</si>
  <si>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</si>
  <si>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</si>
  <si>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</si>
  <si>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</si>
  <si>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</si>
  <si>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</si>
  <si>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</si>
  <si>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</si>
  <si>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</si>
  <si>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</si>
  <si>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</si>
  <si>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</si>
  <si>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</si>
  <si>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</si>
  <si>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</si>
  <si>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</si>
  <si>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</si>
  <si>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</si>
  <si>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</si>
  <si>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</si>
  <si>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</si>
  <si>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</si>
  <si>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</si>
  <si>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</si>
  <si>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</si>
  <si>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</si>
  <si>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</si>
  <si>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</si>
  <si>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</si>
  <si>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</si>
  <si>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</si>
  <si>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</si>
  <si>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</si>
  <si>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</si>
  <si>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</si>
  <si>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</si>
  <si>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</si>
  <si>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</si>
  <si>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</si>
  <si>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</si>
  <si>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</si>
  <si>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</si>
  <si>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</si>
  <si>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</si>
  <si>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</si>
  <si>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</si>
  <si>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</si>
  <si>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</si>
  <si>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</si>
  <si>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</si>
  <si>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</si>
  <si>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</si>
  <si>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</si>
  <si>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</si>
  <si>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</si>
  <si>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</si>
  <si>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</si>
  <si>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</si>
  <si>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</si>
  <si>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</si>
  <si>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</si>
  <si>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</si>
  <si>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</si>
  <si>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</si>
  <si>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</si>
  <si>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</si>
  <si>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</si>
  <si>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</si>
  <si>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</si>
  <si>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</si>
  <si>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</si>
  <si>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</si>
  <si>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</si>
  <si>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</si>
  <si>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</si>
  <si>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</si>
  <si>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</si>
  <si>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</si>
  <si>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</si>
  <si>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</si>
  <si>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</si>
  <si>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</si>
  <si>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</si>
  <si>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</si>
  <si>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</si>
  <si>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</si>
  <si>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</si>
  <si>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</si>
  <si>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</si>
  <si>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</si>
  <si>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</si>
  <si>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</si>
  <si>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</si>
  <si>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</si>
  <si>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</si>
  <si>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</si>
  <si>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</si>
  <si>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</si>
  <si>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</si>
  <si>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</si>
  <si>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</si>
  <si>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</si>
  <si>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</si>
  <si>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</si>
  <si>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</si>
  <si>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</si>
  <si>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</si>
  <si>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</si>
  <si>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</si>
  <si>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</si>
  <si>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</si>
  <si>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</si>
  <si>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</si>
  <si>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</si>
  <si>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</si>
  <si>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</si>
  <si>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</si>
  <si>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</si>
  <si>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</si>
  <si>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</si>
  <si>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</si>
  <si>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</si>
  <si>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</si>
  <si>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</si>
  <si>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</si>
  <si>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</si>
  <si>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</si>
  <si>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</si>
  <si>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</si>
  <si>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</si>
  <si>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</si>
  <si>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</si>
  <si>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</si>
  <si>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</si>
  <si>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</si>
  <si>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</si>
  <si>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</si>
  <si>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</si>
  <si>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</si>
  <si>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</si>
  <si>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</si>
  <si>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</si>
  <si>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</si>
  <si>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</si>
  <si>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</si>
  <si>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</si>
  <si>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</si>
  <si>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</si>
  <si>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</si>
  <si>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</si>
  <si>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</si>
  <si>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</si>
  <si>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</si>
  <si>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</si>
  <si>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</si>
  <si>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</si>
  <si>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</si>
  <si>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</si>
  <si>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</si>
  <si>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</si>
  <si>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</si>
  <si>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</si>
  <si>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</si>
  <si>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</si>
  <si>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</si>
  <si>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</si>
  <si>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</si>
  <si>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</si>
  <si>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</si>
  <si>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</si>
  <si>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</si>
  <si>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</si>
  <si>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</si>
  <si>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</si>
  <si>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</si>
  <si>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</si>
  <si>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</si>
  <si>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</si>
  <si>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</si>
  <si>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</si>
  <si>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</si>
  <si>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</si>
  <si>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</si>
  <si>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</si>
  <si>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</si>
  <si>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</si>
  <si>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</si>
  <si>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</si>
  <si>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</si>
  <si>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</si>
  <si>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cab_RAIL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</si>
  <si>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</si>
  <si>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</si>
  <si>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</si>
  <si>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</si>
  <si>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</si>
  <si>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</si>
  <si>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</si>
  <si>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</si>
  <si>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</si>
  <si>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</si>
  <si>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</si>
  <si>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</si>
  <si>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</si>
  <si>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</si>
  <si>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</si>
  <si>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</si>
  <si>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</si>
  <si>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</si>
  <si>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</si>
  <si>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</si>
  <si>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</si>
  <si>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</si>
  <si>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</si>
  <si>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</si>
  <si>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</si>
  <si>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</si>
  <si>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</si>
  <si>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</si>
  <si>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</si>
  <si>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</si>
  <si>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</si>
  <si>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</si>
  <si>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</si>
  <si>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</si>
  <si>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</si>
  <si>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</si>
  <si>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</si>
  <si>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</si>
  <si>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</si>
  <si>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</si>
  <si>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</si>
  <si>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</si>
  <si>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</si>
  <si>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</si>
  <si>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</si>
  <si>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</si>
  <si>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</si>
  <si>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</si>
  <si>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</si>
  <si>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</si>
  <si>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</si>
  <si>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</si>
  <si>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</si>
  <si>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</si>
  <si>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</si>
  <si>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</si>
  <si>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</si>
  <si>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</si>
  <si>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</si>
  <si>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</si>
  <si>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</si>
  <si>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</si>
  <si>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</si>
  <si>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</si>
  <si>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</si>
  <si>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</si>
  <si>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</si>
  <si>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</si>
  <si>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</si>
  <si>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</si>
  <si>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</si>
  <si>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</si>
  <si>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</si>
  <si>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</si>
  <si>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</si>
  <si>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</si>
  <si>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</si>
  <si>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</si>
  <si>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</si>
  <si>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</si>
  <si>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</si>
  <si>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</si>
  <si>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</si>
  <si>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</si>
  <si>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</si>
  <si>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</si>
  <si>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</si>
  <si>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</si>
  <si>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</si>
  <si>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</si>
  <si>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</si>
  <si>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</si>
  <si>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</si>
  <si>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</si>
  <si>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</si>
  <si>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</si>
  <si>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</si>
  <si>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r>
      <rPr>
        <sz val="11"/>
        <color theme="1"/>
        <rFont val="Calibri"/>
        <family val="2"/>
        <charset val="1"/>
      </rPr>
      <t xml:space="preserve">1</t>
    </r>
    <r>
      <rPr>
        <vertAlign val="superscript"/>
        <sz val="11"/>
        <color theme="1"/>
        <rFont val="Calibri"/>
        <family val="2"/>
        <charset val="1"/>
      </rPr>
      <t xml:space="preserve">st</t>
    </r>
    <r>
      <rPr>
        <sz val="11"/>
        <color theme="1"/>
        <rFont val="Calibri"/>
        <family val="2"/>
        <charset val="1"/>
      </rPr>
      <t xml:space="preserve"> Gen DMUs</t>
    </r>
  </si>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</sst>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9">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theme="1"/>
      <name val="Calibri"/>
      <family val="2"/>
    </font>
    <font>
      <vertAlign val="superscript"/>
      <sz val="11"/>
      <color theme="1"/>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2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2" ySplit="1" topLeftCell="AB545" activePane="bottomRight" state="frozen"/>
      <selection pane="topLeft" activeCell="A1" activeCellId="0" sqref="A1"/>
      <selection pane="topRight" activeCell="AB1" activeCellId="0" sqref="AB1"/>
      <selection pane="bottomLeft" activeCell="A545" activeCellId="0" sqref="A545"/>
      <selection pane="bottomRight" activeCell="AP570" activeCellId="0" sqref="AP570"/>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7" min="7" style="1" width="26.71"/>
    <col collapsed="false" customWidth="true" hidden="false" outlineLevel="0" max="8" min="8" style="1" width="47.42"/>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163</v>
      </c>
      <c r="B26" s="15" t="s">
        <v>164</v>
      </c>
      <c r="J26" s="1" t="s">
        <v>95</v>
      </c>
      <c r="K26" s="15" t="s">
        <v>165</v>
      </c>
      <c r="M26" s="1"/>
      <c r="BA26" s="16"/>
      <c r="BG26" s="4"/>
      <c r="BM26" s="17"/>
      <c r="BN26" s="17"/>
      <c r="CD26" s="1"/>
      <c r="CN26" s="1"/>
    </row>
    <row r="27" customFormat="false" ht="14.25" hidden="false" customHeight="false" outlineLevel="0" collapsed="false">
      <c r="A27" s="1" t="s">
        <v>166</v>
      </c>
      <c r="B27" s="15" t="s">
        <v>167</v>
      </c>
      <c r="J27" s="1" t="s">
        <v>95</v>
      </c>
      <c r="K27" s="15" t="s">
        <v>168</v>
      </c>
      <c r="M27" s="1"/>
      <c r="BA27" s="16"/>
      <c r="BG27" s="4"/>
      <c r="BM27" s="17"/>
      <c r="BN27" s="17"/>
      <c r="CD27" s="1"/>
      <c r="CN27" s="1"/>
    </row>
    <row r="28" customFormat="false" ht="14.25" hidden="false" customHeight="false" outlineLevel="0" collapsed="false">
      <c r="A28" s="1" t="s">
        <v>169</v>
      </c>
      <c r="B28" s="15" t="s">
        <v>170</v>
      </c>
      <c r="J28" s="1" t="s">
        <v>95</v>
      </c>
      <c r="K28" s="15" t="s">
        <v>171</v>
      </c>
      <c r="M28" s="1"/>
      <c r="BA28" s="16"/>
      <c r="BG28" s="4"/>
      <c r="BM28" s="17"/>
      <c r="BN28" s="17"/>
      <c r="CD28" s="1"/>
      <c r="CN28" s="1"/>
    </row>
    <row r="29" customFormat="false" ht="14.25" hidden="false" customHeight="false" outlineLevel="0" collapsed="false">
      <c r="A29" s="1" t="s">
        <v>172</v>
      </c>
      <c r="B29" s="15" t="s">
        <v>173</v>
      </c>
      <c r="J29" s="1" t="s">
        <v>95</v>
      </c>
      <c r="K29" s="15" t="s">
        <v>174</v>
      </c>
      <c r="M29" s="1"/>
      <c r="BA29" s="16"/>
      <c r="BG29" s="4"/>
      <c r="BM29" s="17"/>
      <c r="BN29" s="17"/>
      <c r="CD29" s="1"/>
      <c r="CN29" s="1"/>
    </row>
    <row r="30" customFormat="false" ht="14.25" hidden="false" customHeight="false" outlineLevel="0" collapsed="false">
      <c r="A30" s="1" t="s">
        <v>175</v>
      </c>
      <c r="B30" s="15" t="s">
        <v>176</v>
      </c>
      <c r="J30" s="1" t="s">
        <v>95</v>
      </c>
      <c r="K30" s="15" t="s">
        <v>177</v>
      </c>
      <c r="M30" s="1"/>
      <c r="BA30" s="16"/>
      <c r="BG30" s="4"/>
      <c r="BM30" s="17"/>
      <c r="BN30" s="17"/>
      <c r="CD30" s="1"/>
      <c r="CN30" s="1"/>
    </row>
    <row r="31" customFormat="false" ht="14.25" hidden="false" customHeight="false" outlineLevel="0" collapsed="false">
      <c r="A31" s="1" t="s">
        <v>178</v>
      </c>
      <c r="B31" s="15" t="s">
        <v>179</v>
      </c>
      <c r="J31" s="1" t="s">
        <v>95</v>
      </c>
      <c r="K31" s="15" t="s">
        <v>180</v>
      </c>
      <c r="M31" s="1"/>
      <c r="BA31" s="16"/>
      <c r="BG31" s="4"/>
      <c r="BM31" s="17"/>
      <c r="BN31" s="17"/>
      <c r="CD31" s="1"/>
      <c r="CN31" s="1"/>
    </row>
    <row r="32" customFormat="false" ht="14.25" hidden="false" customHeight="false" outlineLevel="0" collapsed="false">
      <c r="A32" s="1" t="s">
        <v>181</v>
      </c>
      <c r="B32" s="15" t="s">
        <v>182</v>
      </c>
      <c r="J32" s="1" t="s">
        <v>95</v>
      </c>
      <c r="K32" s="15" t="s">
        <v>183</v>
      </c>
      <c r="M32" s="1"/>
      <c r="BA32" s="16"/>
      <c r="BG32" s="4"/>
      <c r="BM32" s="17"/>
      <c r="BN32" s="17"/>
      <c r="CD32" s="1"/>
      <c r="CN32" s="1"/>
    </row>
    <row r="33" customFormat="false" ht="14.25" hidden="false" customHeight="false" outlineLevel="0" collapsed="false">
      <c r="A33" s="1" t="s">
        <v>184</v>
      </c>
      <c r="B33" s="15" t="s">
        <v>185</v>
      </c>
      <c r="J33" s="1" t="s">
        <v>95</v>
      </c>
      <c r="K33" s="15" t="s">
        <v>186</v>
      </c>
      <c r="M33" s="1"/>
      <c r="BA33" s="16"/>
      <c r="BG33" s="4"/>
      <c r="BM33" s="17"/>
      <c r="BN33" s="17"/>
      <c r="CD33" s="1"/>
      <c r="CN33" s="1"/>
    </row>
    <row r="34" customFormat="false" ht="14.25" hidden="false" customHeight="false" outlineLevel="0" collapsed="false">
      <c r="A34" s="1" t="s">
        <v>187</v>
      </c>
      <c r="B34" s="15" t="s">
        <v>188</v>
      </c>
      <c r="J34" s="1" t="s">
        <v>95</v>
      </c>
      <c r="K34" s="15" t="s">
        <v>189</v>
      </c>
      <c r="M34" s="1"/>
      <c r="BA34" s="16"/>
      <c r="BG34" s="4"/>
      <c r="BM34" s="17"/>
      <c r="BN34" s="17"/>
      <c r="CD34" s="1"/>
      <c r="CN34" s="1"/>
    </row>
    <row r="35" customFormat="false" ht="14.25" hidden="false" customHeight="false" outlineLevel="0" collapsed="false">
      <c r="A35" s="1" t="s">
        <v>190</v>
      </c>
      <c r="B35" s="15" t="s">
        <v>191</v>
      </c>
      <c r="C35" s="1" t="n">
        <v>-1</v>
      </c>
      <c r="E35" s="1" t="n">
        <v>-1</v>
      </c>
      <c r="J35" s="1" t="s">
        <v>40</v>
      </c>
      <c r="K35" s="1" t="s">
        <v>40</v>
      </c>
      <c r="L35" s="1" t="s">
        <v>192</v>
      </c>
      <c r="M35" s="1" t="n">
        <v>1900</v>
      </c>
      <c r="Z35" s="1" t="n">
        <v>42</v>
      </c>
      <c r="AD35" s="4" t="str">
        <f aca="false">IF(AND(Z35&gt;0,AC35&gt;0),(AC35/((Z35+AA35)*10)),"")</f>
        <v/>
      </c>
      <c r="AH35" s="1" t="n">
        <v>7.5</v>
      </c>
      <c r="AI35" s="1" t="n">
        <v>8</v>
      </c>
      <c r="AL35" s="5" t="n">
        <v>0</v>
      </c>
      <c r="AM35" s="1" t="str">
        <f aca="false">CONCATENATE(VLOOKUP(AN35, 'Voxel Sizes'!$A$2:$B$18,2,FALSE()),"x",INT(AJ35*15), "x", INT(AK35*15))</f>
        <v>82x0x0</v>
      </c>
      <c r="AN35" s="1" t="n">
        <f aca="false">ROUND(15*((AI35*10)/256),0)</f>
        <v>5</v>
      </c>
      <c r="AP35" s="1" t="str">
        <f aca="false">CONCATENATE(VLOOKUP(AN35,Constants!$A$2:$C$16,IF(AO35&lt;&gt;"", 3, 2), FALSE()),IF(AO35&lt;&gt;"",CONCATENATE(",",VLOOKUP(AO35,$B:$AP,41,FALSE())),""))</f>
        <v>2,1,2</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TEXT(ROUNDUP(IF(AS35&lt;&gt;"",SUM(VALUE(_xlfn.TEXTSPLIT(AS35, ","))), SUM(VALUE(_xlfn.TEXTSPLIT(AP35, ",")))*IF(P35, P35, 1))/16, 1), "#,##0.0"), " tiles{}")</f>
        <v>{BLACK}Length: {GOLD}0.4 tiles{}</v>
      </c>
      <c r="CI35" s="1" t="str">
        <f aca="false">IF(0, VLOOKUP($CG35, Constants!$M:$N, 2, FALSE()),"")</f>
        <v/>
      </c>
      <c r="CJ35" s="1" t="str">
        <f aca="false">IF(P35&gt;1,_xlfn.CONCAT("{BLACK}Cars: {GOLD}", P35),"")</f>
        <v/>
      </c>
      <c r="CL35" s="1" t="str">
        <f aca="false">IF($BX35="concept_trains","{GREEN}Concept Vehicle",IF($BX35="!param_no_gameplay_units","{GREEN}Included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193</v>
      </c>
      <c r="B36" s="15" t="s">
        <v>194</v>
      </c>
      <c r="C36" s="1" t="n">
        <v>-1</v>
      </c>
      <c r="E36" s="1" t="n">
        <v>-1</v>
      </c>
      <c r="J36" s="1" t="s">
        <v>40</v>
      </c>
      <c r="K36" s="1" t="s">
        <v>40</v>
      </c>
      <c r="L36" s="1" t="s">
        <v>192</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FALSE()),IF(AO36&lt;&gt;"",CONCATENATE(",",VLOOKUP(AO36,$B:$AP,41,FALSE())),""))</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IF(0, VLOOKUP($CG36, Constants!$M:$N, 2, FALSE()),"")</f>
        <v/>
      </c>
      <c r="CJ36" s="1" t="str">
        <f aca="false">IF(P36&gt;1,_xlfn.CONCAT("{BLACK}Cars: {GOLD}", P36),"")</f>
        <v/>
      </c>
      <c r="CL36" s="1" t="str">
        <f aca="false">IF($BX36="concept_trains","{GREEN}Concept Vehicle",IF($BX36="!param_no_gameplay_units","{GREEN}Included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{GOLD}0.3 tiles{}{SILVER}</v>
      </c>
    </row>
    <row r="37" customFormat="false" ht="14.25" hidden="false" customHeight="false" outlineLevel="0" collapsed="false">
      <c r="A37" s="1" t="s">
        <v>195</v>
      </c>
      <c r="B37" s="15" t="s">
        <v>196</v>
      </c>
      <c r="C37" s="1" t="n">
        <v>-1</v>
      </c>
      <c r="E37" s="1" t="n">
        <v>-1</v>
      </c>
      <c r="J37" s="1" t="s">
        <v>40</v>
      </c>
      <c r="K37" s="1" t="s">
        <v>40</v>
      </c>
      <c r="L37" s="1" t="s">
        <v>192</v>
      </c>
      <c r="M37" s="1" t="n">
        <v>1825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FALSE()),IF(AO37&lt;&gt;"",CONCATENATE(",",VLOOKUP(AO37,$B:$AP,41,FALSE())),""))</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IF(0, VLOOKUP($CG37, Constants!$M:$N, 2, FALSE()),"")</f>
        <v/>
      </c>
      <c r="CJ37" s="1" t="str">
        <f aca="false">IF(P37&gt;1,_xlfn.CONCAT("{BLACK}Cars: {GOLD}", P37),"")</f>
        <v/>
      </c>
      <c r="CL37" s="1" t="str">
        <f aca="false">IF($BX37="concept_trains","{GREEN}Concept Vehicle",IF($BX37="!param_no_gameplay_units","{GREEN}Included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{GOLD}0.3 tiles{}{SILVER}</v>
      </c>
    </row>
    <row r="38" customFormat="false" ht="14.25" hidden="false" customHeight="false" outlineLevel="0" collapsed="false">
      <c r="A38" s="1" t="s">
        <v>197</v>
      </c>
      <c r="B38" s="15" t="s">
        <v>198</v>
      </c>
      <c r="C38" s="1" t="n">
        <v>-1</v>
      </c>
      <c r="E38" s="1" t="n">
        <v>-1</v>
      </c>
      <c r="J38" s="1" t="s">
        <v>40</v>
      </c>
      <c r="K38" s="1" t="s">
        <v>40</v>
      </c>
      <c r="L38" s="1" t="s">
        <v>192</v>
      </c>
      <c r="M38" s="1" t="n">
        <v>1815</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FALSE()),IF(AO38&lt;&gt;"",CONCATENATE(",",VLOOKUP(AO38,$B:$AP,41,FALSE())),""))</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IF(0, VLOOKUP($CG38, Constants!$M:$N, 2, FALSE()),"")</f>
        <v/>
      </c>
      <c r="CJ38" s="1" t="str">
        <f aca="false">IF(P38&gt;1,_xlfn.CONCAT("{BLACK}Cars: {GOLD}", P38),"")</f>
        <v/>
      </c>
      <c r="CL38" s="1" t="str">
        <f aca="false">IF($BX38="concept_trains","{GREEN}Concept Vehicle",IF($BX38="!param_no_gameplay_units","{GREEN}Included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{GOLD}0.3 tiles{}{SILVER}</v>
      </c>
    </row>
    <row r="39" customFormat="false" ht="14.25" hidden="false" customHeight="false" outlineLevel="0" collapsed="false">
      <c r="A39" s="1" t="s">
        <v>199</v>
      </c>
      <c r="B39" s="15" t="s">
        <v>200</v>
      </c>
      <c r="C39" s="1" t="n">
        <v>-1</v>
      </c>
      <c r="E39" s="1" t="n">
        <v>-1</v>
      </c>
      <c r="J39" s="1" t="s">
        <v>40</v>
      </c>
      <c r="K39" s="1" t="s">
        <v>40</v>
      </c>
      <c r="L39" s="1" t="s">
        <v>192</v>
      </c>
      <c r="M39" s="1" t="n">
        <v>1815</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FALSE()),IF(AO39&lt;&gt;"",CONCATENATE(",",VLOOKUP(AO39,$B:$AP,41,FALSE())),""))</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IF(0, VLOOKUP($CG39, Constants!$M:$N, 2, FALSE()),"")</f>
        <v/>
      </c>
      <c r="CJ39" s="1" t="str">
        <f aca="false">IF(P39&gt;1,_xlfn.CONCAT("{BLACK}Cars: {GOLD}", P39),"")</f>
        <v/>
      </c>
      <c r="CL39" s="1" t="str">
        <f aca="false">IF($BX39="concept_trains","{GREEN}Concept Vehicle",IF($BX39="!param_no_gameplay_units","{GREEN}Included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{GOLD}0.3 tiles{}{SILVER}</v>
      </c>
    </row>
    <row r="40" customFormat="false" ht="14.25" hidden="false" customHeight="false" outlineLevel="0" collapsed="false">
      <c r="A40" s="1" t="s">
        <v>201</v>
      </c>
      <c r="B40" s="15" t="s">
        <v>202</v>
      </c>
      <c r="C40" s="1" t="n">
        <v>-1</v>
      </c>
      <c r="E40" s="1" t="n">
        <v>-1</v>
      </c>
      <c r="J40" s="1" t="s">
        <v>40</v>
      </c>
      <c r="K40" s="1" t="s">
        <v>40</v>
      </c>
      <c r="L40" s="1" t="s">
        <v>192</v>
      </c>
      <c r="M40" s="1" t="n">
        <v>1830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FALSE()),IF(AO40&lt;&gt;"",CONCATENATE(",",VLOOKUP(AO40,$B:$AP,41,FALSE())),""))</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early</v>
      </c>
      <c r="CF40" s="1" t="str">
        <f aca="false">CONCATENATE(CD40,"_",CE40)</f>
        <v>early_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IF(0, VLOOKUP($CG40, Constants!$M:$N, 2, FALSE()),"")</f>
        <v/>
      </c>
      <c r="CJ40" s="1" t="str">
        <f aca="false">IF(P40&gt;1,_xlfn.CONCAT("{BLACK}Cars: {GOLD}", P40),"")</f>
        <v/>
      </c>
      <c r="CL40" s="1" t="str">
        <f aca="false">IF($BX40="concept_trains","{GREEN}Concept Vehicle",IF($BX40="!param_no_gameplay_units","{GREEN}Included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{GOLD}0.3 tiles{}{SILVER}</v>
      </c>
    </row>
    <row r="41" customFormat="false" ht="14.25" hidden="false" customHeight="false" outlineLevel="0" collapsed="false">
      <c r="A41" s="1" t="s">
        <v>203</v>
      </c>
      <c r="B41" s="15" t="s">
        <v>204</v>
      </c>
      <c r="C41" s="1" t="n">
        <v>-1</v>
      </c>
      <c r="E41" s="1" t="n">
        <v>-1</v>
      </c>
      <c r="J41" s="1" t="s">
        <v>40</v>
      </c>
      <c r="K41" s="1" t="s">
        <v>40</v>
      </c>
      <c r="L41" s="1" t="s">
        <v>192</v>
      </c>
      <c r="M41" s="1" t="n">
        <v>1830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FALSE()),IF(AO41&lt;&gt;"",CONCATENATE(",",VLOOKUP(AO41,$B:$AP,41,FALSE())),""))</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early</v>
      </c>
      <c r="CF41" s="1" t="str">
        <f aca="false">CONCATENATE(CD41,"_",CE41)</f>
        <v>early_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IF(0, VLOOKUP($CG41, Constants!$M:$N, 2, FALSE()),"")</f>
        <v/>
      </c>
      <c r="CJ41" s="1" t="str">
        <f aca="false">IF(P41&gt;1,_xlfn.CONCAT("{BLACK}Cars: {GOLD}", P41),"")</f>
        <v/>
      </c>
      <c r="CL41" s="1" t="str">
        <f aca="false">IF($BX41="concept_trains","{GREEN}Concept Vehicle",IF($BX41="!param_no_gameplay_units","{GREEN}Included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{GOLD}0.3 tiles{}{SILVER}</v>
      </c>
    </row>
    <row r="42" customFormat="false" ht="14.25" hidden="false" customHeight="false" outlineLevel="0" collapsed="false">
      <c r="A42" s="1" t="s">
        <v>205</v>
      </c>
      <c r="B42" s="15" t="s">
        <v>206</v>
      </c>
      <c r="C42" s="1" t="n">
        <v>-1</v>
      </c>
      <c r="E42" s="1" t="n">
        <v>-1</v>
      </c>
      <c r="J42" s="1" t="s">
        <v>40</v>
      </c>
      <c r="K42" s="1" t="s">
        <v>40</v>
      </c>
      <c r="L42" s="1" t="s">
        <v>192</v>
      </c>
      <c r="M42" s="1" t="n">
        <v>1850</v>
      </c>
      <c r="Z42" s="1" t="n">
        <v>42</v>
      </c>
      <c r="AD42" s="4" t="str">
        <f aca="false">IF(AND(Z42&gt;0,AC42&gt;0),(AC42/((Z42+AA42)*10)),"")</f>
        <v/>
      </c>
      <c r="AH42" s="1" t="n">
        <v>7.5</v>
      </c>
      <c r="AI42" s="1" t="n">
        <v>6</v>
      </c>
      <c r="AL42" s="5" t="n">
        <v>0</v>
      </c>
      <c r="AM42" s="1" t="str">
        <f aca="false">CONCATENATE(VLOOKUP(AN42, 'Voxel Sizes'!$A$2:$B$18,2,FALSE()),"x",INT(AJ42*15), "x", INT(AK42*15))</f>
        <v>60x0x0</v>
      </c>
      <c r="AN42" s="1" t="n">
        <f aca="false">ROUND(15*((AI42*10)/256),0)</f>
        <v>4</v>
      </c>
      <c r="AP42" s="1" t="str">
        <f aca="false">CONCATENATE(VLOOKUP(AN42,Constants!$A$2:$C$16,IF(AO42&lt;&gt;"", 3, 2), FALSE()),IF(AO42&lt;&gt;"",CONCATENATE(",",VLOOKUP(AO42,$B:$AP,41,FALSE())),""))</f>
        <v>1,2,1</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{GOLD}0.3 tiles{}</v>
      </c>
      <c r="CI42" s="1" t="str">
        <f aca="false">IF(0, VLOOKUP($CG42, Constants!$M:$N, 2, FALSE()),"")</f>
        <v/>
      </c>
      <c r="CJ42" s="1" t="str">
        <f aca="false">IF(P42&gt;1,_xlfn.CONCAT("{BLACK}Cars: {GOLD}", P42),"")</f>
        <v/>
      </c>
      <c r="CL42" s="1" t="str">
        <f aca="false">IF($BX42="concept_trains","{GREEN}Concept Vehicle",IF($BX42="!param_no_gameplay_units","{GREEN}Included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207</v>
      </c>
      <c r="B43" s="15" t="s">
        <v>208</v>
      </c>
      <c r="C43" s="1" t="n">
        <v>-1</v>
      </c>
      <c r="E43" s="1" t="n">
        <v>-1</v>
      </c>
      <c r="J43" s="1" t="s">
        <v>40</v>
      </c>
      <c r="K43" s="1" t="s">
        <v>40</v>
      </c>
      <c r="L43" s="1" t="s">
        <v>192</v>
      </c>
      <c r="M43" s="1" t="n">
        <v>1850</v>
      </c>
      <c r="Z43" s="1" t="n">
        <v>42</v>
      </c>
      <c r="AD43" s="4" t="str">
        <f aca="false">IF(AND(Z43&gt;0,AC43&gt;0),(AC43/((Z43+AA43)*10)),"")</f>
        <v/>
      </c>
      <c r="AH43" s="1" t="n">
        <v>7.5</v>
      </c>
      <c r="AI43" s="1" t="n">
        <v>6</v>
      </c>
      <c r="AL43" s="5" t="n">
        <v>0</v>
      </c>
      <c r="AM43" s="1" t="str">
        <f aca="false">CONCATENATE(VLOOKUP(AN43, 'Voxel Sizes'!$A$2:$B$18,2,FALSE()),"x",INT(AJ43*15), "x", INT(AK43*15))</f>
        <v>60x0x0</v>
      </c>
      <c r="AN43" s="1" t="n">
        <f aca="false">ROUND(15*((AI43*10)/256),0)</f>
        <v>4</v>
      </c>
      <c r="AP43" s="1" t="str">
        <f aca="false">CONCATENATE(VLOOKUP(AN43,Constants!$A$2:$C$16,IF(AO43&lt;&gt;"", 3, 2), FALSE()),IF(AO43&lt;&gt;"",CONCATENATE(",",VLOOKUP(AO43,$B:$AP,41,FALSE())),""))</f>
        <v>1,2,1</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vct</v>
      </c>
      <c r="CF43" s="1" t="str">
        <f aca="false">CONCATENATE(CD43,"_",CE43)</f>
        <v>vct_</v>
      </c>
      <c r="CG43" s="1" t="str">
        <f aca="false">_xlfn.CONCAT(K43, "_",L43)</f>
        <v>tender_RAIL</v>
      </c>
      <c r="CH43" s="7" t="str">
        <f aca="false">_xlfn.CONCAT("{BLACK}Length: {GOLD}", TEXT(ROUNDUP(IF(AS43&lt;&gt;"",SUM(VALUE(_xlfn.TEXTSPLIT(AS43, ","))), SUM(VALUE(_xlfn.TEXTSPLIT(AP43, ",")))*IF(P43, P43, 1))/16, 1), "#,##0.0"), " tiles{}")</f>
        <v>{BLACK}Length: {GOLD}0.3 tiles{}</v>
      </c>
      <c r="CI43" s="1" t="str">
        <f aca="false">IF(0, VLOOKUP($CG43, Constants!$M:$N, 2, FALSE()),"")</f>
        <v/>
      </c>
      <c r="CJ43" s="1" t="str">
        <f aca="false">IF(P43&gt;1,_xlfn.CONCAT("{BLACK}Cars: {GOLD}", P43),"")</f>
        <v/>
      </c>
      <c r="CL43" s="1" t="str">
        <f aca="false">IF($BX43="concept_trains","{GREEN}Concept Vehicle",IF($BX43="!param_no_gameplay_units","{GREEN}Included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209</v>
      </c>
      <c r="B44" s="15" t="s">
        <v>210</v>
      </c>
      <c r="C44" s="1" t="n">
        <v>-1</v>
      </c>
      <c r="E44" s="1" t="n">
        <v>-1</v>
      </c>
      <c r="J44" s="1" t="s">
        <v>40</v>
      </c>
      <c r="K44" s="1" t="s">
        <v>40</v>
      </c>
      <c r="L44" s="1" t="s">
        <v>192</v>
      </c>
      <c r="M44" s="1" t="n">
        <v>1875</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FALSE()),IF(AO44&lt;&gt;"",CONCATENATE(",",VLOOKUP(AO44,$B:$AP,41,FALSE())),""))</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vct</v>
      </c>
      <c r="CF44" s="1" t="str">
        <f aca="false">CONCATENATE(CD44,"_",CE44)</f>
        <v>vct_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IF(0, VLOOKUP($CG44, Constants!$M:$N, 2, FALSE()),"")</f>
        <v/>
      </c>
      <c r="CJ44" s="1" t="str">
        <f aca="false">IF(P44&gt;1,_xlfn.CONCAT("{BLACK}Cars: {GOLD}", P44),"")</f>
        <v/>
      </c>
      <c r="CL44" s="1" t="str">
        <f aca="false">IF($BX44="concept_trains","{GREEN}Concept Vehicle",IF($BX44="!param_no_gameplay_units","{GREEN}Included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211</v>
      </c>
      <c r="B45" s="15" t="s">
        <v>212</v>
      </c>
      <c r="C45" s="1" t="n">
        <v>-1</v>
      </c>
      <c r="E45" s="1" t="n">
        <v>-1</v>
      </c>
      <c r="J45" s="1" t="s">
        <v>40</v>
      </c>
      <c r="K45" s="1" t="s">
        <v>40</v>
      </c>
      <c r="L45" s="1" t="s">
        <v>192</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FALSE()),IF(AO45&lt;&gt;"",CONCATENATE(",",VLOOKUP(AO45,$B:$AP,41,FALSE())),""))</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IF(0, VLOOKUP($CG45, Constants!$M:$N, 2, FALSE()),"")</f>
        <v/>
      </c>
      <c r="CJ45" s="1" t="str">
        <f aca="false">IF(P45&gt;1,_xlfn.CONCAT("{BLACK}Cars: {GOLD}", P45),"")</f>
        <v/>
      </c>
      <c r="CL45" s="1" t="str">
        <f aca="false">IF($BX45="concept_trains","{GREEN}Concept Vehicle",IF($BX45="!param_no_gameplay_units","{GREEN}Included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{GOLD}0.4 tiles{}{SILVER}</v>
      </c>
    </row>
    <row r="46" customFormat="false" ht="14.25" hidden="false" customHeight="false" outlineLevel="0" collapsed="false">
      <c r="A46" s="1" t="s">
        <v>213</v>
      </c>
      <c r="B46" s="15" t="s">
        <v>214</v>
      </c>
      <c r="C46" s="1" t="n">
        <v>-1</v>
      </c>
      <c r="E46" s="1" t="n">
        <v>-1</v>
      </c>
      <c r="J46" s="1" t="s">
        <v>40</v>
      </c>
      <c r="K46" s="1" t="s">
        <v>40</v>
      </c>
      <c r="L46" s="1" t="s">
        <v>192</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FALSE()),IF(AO46&lt;&gt;"",CONCATENATE(",",VLOOKUP(AO46,$B:$AP,41,FALSE())),""))</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IF(0, VLOOKUP($CG46, Constants!$M:$N, 2, FALSE()),"")</f>
        <v/>
      </c>
      <c r="CJ46" s="1" t="str">
        <f aca="false">IF(P46&gt;1,_xlfn.CONCAT("{BLACK}Cars: {GOLD}", P46),"")</f>
        <v/>
      </c>
      <c r="CL46" s="1" t="str">
        <f aca="false">IF($BX46="concept_trains","{GREEN}Concept Vehicle",IF($BX46="!param_no_gameplay_units","{GREEN}Included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{GOLD}0.4 tiles{}{SILVER}</v>
      </c>
    </row>
    <row r="47" customFormat="false" ht="14.25" hidden="false" customHeight="false" outlineLevel="0" collapsed="false">
      <c r="A47" s="1" t="s">
        <v>215</v>
      </c>
      <c r="B47" s="15" t="s">
        <v>216</v>
      </c>
      <c r="C47" s="1" t="n">
        <v>-1</v>
      </c>
      <c r="E47" s="1" t="n">
        <v>-1</v>
      </c>
      <c r="J47" s="1" t="s">
        <v>40</v>
      </c>
      <c r="K47" s="1" t="s">
        <v>40</v>
      </c>
      <c r="L47" s="1" t="s">
        <v>192</v>
      </c>
      <c r="M47" s="1" t="n">
        <v>1900</v>
      </c>
      <c r="Z47" s="1" t="n">
        <v>42</v>
      </c>
      <c r="AD47" s="4" t="str">
        <f aca="false">IF(AND(Z47&gt;0,AC47&gt;0),(AC47/((Z47+AA47)*10)),"")</f>
        <v/>
      </c>
      <c r="AH47" s="1" t="n">
        <v>7.5</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FALSE()),IF(AO47&lt;&gt;"",CONCATENATE(",",VLOOKUP(AO47,$B:$AP,41,FALSE())),""))</f>
        <v>2,1,2</v>
      </c>
      <c r="AZ47" s="1" t="n">
        <v>30</v>
      </c>
      <c r="BA47" s="16" t="str">
        <f aca="false">IF(O47&lt;&gt;"",MAX(16,(O47-M47)+8),"")</f>
        <v/>
      </c>
      <c r="BD47" s="1" t="n">
        <f aca="false">MIN(AE47/150, 1)*30</f>
        <v>0</v>
      </c>
      <c r="BE47" s="1" t="n">
        <f aca="false">MIN(Q47/4000, 1)*20</f>
        <v>0</v>
      </c>
      <c r="BF47" s="1" t="n">
        <f aca="false">MIN(AC47/400,1)*20</f>
        <v>0</v>
      </c>
      <c r="BG47" s="4" t="n">
        <f aca="false">1-(MAX(M47-1900, 0)/750)</f>
        <v>1</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IF(0, VLOOKUP($CG47, Constants!$M:$N, 2, FALSE()),"")</f>
        <v/>
      </c>
      <c r="CJ47" s="1" t="str">
        <f aca="false">IF(P47&gt;1,_xlfn.CONCAT("{BLACK}Cars: {GOLD}", P47),"")</f>
        <v/>
      </c>
      <c r="CL47" s="1" t="str">
        <f aca="false">IF($BX47="concept_trains","{GREEN}Concept Vehicle",IF($BX47="!param_no_gameplay_units","{GREEN}Included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{GOLD}0.4 tiles{}{SILVER}</v>
      </c>
    </row>
    <row r="48" customFormat="false" ht="14.25" hidden="false" customHeight="false" outlineLevel="0" collapsed="false">
      <c r="A48" s="1" t="s">
        <v>217</v>
      </c>
      <c r="B48" s="15" t="s">
        <v>218</v>
      </c>
      <c r="C48" s="1" t="n">
        <v>-1</v>
      </c>
      <c r="E48" s="1" t="n">
        <v>-1</v>
      </c>
      <c r="J48" s="1" t="s">
        <v>40</v>
      </c>
      <c r="K48" s="1" t="s">
        <v>40</v>
      </c>
      <c r="L48" s="1" t="s">
        <v>192</v>
      </c>
      <c r="M48" s="1" t="n">
        <v>1900</v>
      </c>
      <c r="Z48" s="1" t="n">
        <v>42</v>
      </c>
      <c r="AD48" s="4" t="str">
        <f aca="false">IF(AND(Z48&gt;0,AC48&gt;0),(AC48/((Z48+AA48)*10)),"")</f>
        <v/>
      </c>
      <c r="AH48" s="1" t="n">
        <v>7.5</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FALSE()),IF(AO48&lt;&gt;"",CONCATENATE(",",VLOOKUP(AO48,$B:$AP,41,FALSE())),""))</f>
        <v>2,1,2</v>
      </c>
      <c r="AZ48" s="1" t="n">
        <v>30</v>
      </c>
      <c r="BA48" s="16" t="str">
        <f aca="false">IF(O48&lt;&gt;"",MAX(16,(O48-M48)+8),"")</f>
        <v/>
      </c>
      <c r="BD48" s="1" t="n">
        <f aca="false">MIN(AE48/150, 1)*30</f>
        <v>0</v>
      </c>
      <c r="BE48" s="1" t="n">
        <f aca="false">MIN(Q48/4000, 1)*20</f>
        <v>0</v>
      </c>
      <c r="BF48" s="1" t="n">
        <f aca="false">MIN(AC48/400,1)*20</f>
        <v>0</v>
      </c>
      <c r="BG48" s="4" t="n">
        <f aca="false">1-(MAX(M48-1900, 0)/750)</f>
        <v>1</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edw</v>
      </c>
      <c r="CF48" s="1" t="str">
        <f aca="false">CONCATENATE(CD48,"_",CE48)</f>
        <v>edw_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IF(0, VLOOKUP($CG48, Constants!$M:$N, 2, FALSE()),"")</f>
        <v/>
      </c>
      <c r="CJ48" s="1" t="str">
        <f aca="false">IF(P48&gt;1,_xlfn.CONCAT("{BLACK}Cars: {GOLD}", P48),"")</f>
        <v/>
      </c>
      <c r="CL48" s="1" t="str">
        <f aca="false">IF($BX48="concept_trains","{GREEN}Concept Vehicle",IF($BX48="!param_no_gameplay_units","{GREEN}Included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{GOLD}0.4 tiles{}{SILVER}</v>
      </c>
    </row>
    <row r="49" customFormat="false" ht="14.25" hidden="false" customHeight="false" outlineLevel="0" collapsed="false">
      <c r="A49" s="1" t="s">
        <v>219</v>
      </c>
      <c r="B49" s="15" t="s">
        <v>220</v>
      </c>
      <c r="C49" s="1" t="n">
        <v>-1</v>
      </c>
      <c r="E49" s="1" t="n">
        <v>-1</v>
      </c>
      <c r="J49" s="1" t="s">
        <v>40</v>
      </c>
      <c r="K49" s="1" t="s">
        <v>40</v>
      </c>
      <c r="L49" s="1" t="s">
        <v>192</v>
      </c>
      <c r="M49" s="1" t="n">
        <v>1920</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FALSE()),IF(AO49&lt;&gt;"",CONCATENATE(",",VLOOKUP(AO49,$B:$AP,41,FALSE())),""))</f>
        <v>2,1,2</v>
      </c>
      <c r="AZ49" s="1" t="n">
        <v>30</v>
      </c>
      <c r="BA49" s="16" t="str">
        <f aca="false">IF(O49&lt;&gt;"",MAX(16,(O49-M49)+8),"")</f>
        <v/>
      </c>
      <c r="BD49" s="1" t="n">
        <f aca="false">MIN(AE49/150, 1)*30</f>
        <v>0</v>
      </c>
      <c r="BE49" s="1" t="n">
        <f aca="false">MIN(Q49/4000, 1)*20</f>
        <v>0</v>
      </c>
      <c r="BF49" s="1" t="n">
        <f aca="false">MIN(AC49/400,1)*20</f>
        <v>0</v>
      </c>
      <c r="BG49" s="4" t="n">
        <f aca="false">1-(MAX(M49-1900, 0)/750)</f>
        <v>0.973333333333333</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edw</v>
      </c>
      <c r="CF49" s="1" t="str">
        <f aca="false">CONCATENATE(CD49,"_",CE49)</f>
        <v>edw_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IF(0, VLOOKUP($CG49, Constants!$M:$N, 2, FALSE()),"")</f>
        <v/>
      </c>
      <c r="CJ49" s="1" t="str">
        <f aca="false">IF(P49&gt;1,_xlfn.CONCAT("{BLACK}Cars: {GOLD}", P49),"")</f>
        <v/>
      </c>
      <c r="CL49" s="1" t="str">
        <f aca="false">IF($BX49="concept_trains","{GREEN}Concept Vehicle",IF($BX49="!param_no_gameplay_units","{GREEN}Included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{GOLD}0.4 tiles{}{SILVER}</v>
      </c>
    </row>
    <row r="50" customFormat="false" ht="14.25" hidden="false" customHeight="false" outlineLevel="0" collapsed="false">
      <c r="A50" s="1" t="s">
        <v>221</v>
      </c>
      <c r="B50" s="15" t="s">
        <v>222</v>
      </c>
      <c r="C50" s="1" t="n">
        <v>-1</v>
      </c>
      <c r="E50" s="1" t="n">
        <v>-1</v>
      </c>
      <c r="J50" s="1" t="s">
        <v>40</v>
      </c>
      <c r="K50" s="1" t="s">
        <v>40</v>
      </c>
      <c r="L50" s="1" t="s">
        <v>192</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FALSE()),IF(AO50&lt;&gt;"",CONCATENATE(",",VLOOKUP(AO50,$B:$AP,41,FALSE())),""))</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IF(0, VLOOKUP($CG50, Constants!$M:$N, 2, FALSE()),"")</f>
        <v/>
      </c>
      <c r="CJ50" s="1" t="str">
        <f aca="false">IF(P50&gt;1,_xlfn.CONCAT("{BLACK}Cars: {GOLD}", P50),"")</f>
        <v/>
      </c>
      <c r="CL50" s="1" t="str">
        <f aca="false">IF($BX50="concept_trains","{GREEN}Concept Vehicle",IF($BX50="!param_no_gameplay_units","{GREEN}Included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v>
      </c>
    </row>
    <row r="51" customFormat="false" ht="14.25" hidden="false" customHeight="false" outlineLevel="0" collapsed="false">
      <c r="A51" s="1" t="s">
        <v>223</v>
      </c>
      <c r="B51" s="15" t="s">
        <v>224</v>
      </c>
      <c r="C51" s="1" t="n">
        <v>-1</v>
      </c>
      <c r="E51" s="1" t="n">
        <v>-1</v>
      </c>
      <c r="J51" s="1" t="s">
        <v>40</v>
      </c>
      <c r="K51" s="1" t="s">
        <v>40</v>
      </c>
      <c r="L51" s="1" t="s">
        <v>192</v>
      </c>
      <c r="M51" s="1" t="n">
        <v>1925</v>
      </c>
      <c r="Z51" s="1" t="n">
        <v>52</v>
      </c>
      <c r="AD51" s="4" t="str">
        <f aca="false">IF(AND(Z51&gt;0,AC51&gt;0),(AC51/((Z51+AA51)*10)),"")</f>
        <v/>
      </c>
      <c r="AH51" s="1" t="n">
        <v>7.64</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FALSE()),IF(AO51&lt;&gt;"",CONCATENATE(",",VLOOKUP(AO51,$B:$AP,41,FALSE())),""))</f>
        <v>2,1,2</v>
      </c>
      <c r="AZ51" s="1" t="n">
        <v>30</v>
      </c>
      <c r="BA51" s="16" t="str">
        <f aca="false">IF(O51&lt;&gt;"",MAX(16,(O51-M51)+8),"")</f>
        <v/>
      </c>
      <c r="BD51" s="1" t="n">
        <f aca="false">MIN(AE51/150, 1)*30</f>
        <v>0</v>
      </c>
      <c r="BE51" s="1" t="n">
        <f aca="false">MIN(Q51/4000, 1)*20</f>
        <v>0</v>
      </c>
      <c r="BF51" s="1" t="n">
        <f aca="false">MIN(AC51/400,1)*20</f>
        <v>0</v>
      </c>
      <c r="BG51" s="4" t="n">
        <f aca="false">1-(MAX(M51-1900, 0)/750)</f>
        <v>0.966666666666667</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IF(0, VLOOKUP($CG51, Constants!$M:$N, 2, FALSE()),"")</f>
        <v/>
      </c>
      <c r="CJ51" s="1" t="str">
        <f aca="false">IF(P51&gt;1,_xlfn.CONCAT("{BLACK}Cars: {GOLD}", P51),"")</f>
        <v/>
      </c>
      <c r="CL51" s="1" t="str">
        <f aca="false">IF($BX51="concept_trains","{GREEN}Concept Vehicle",IF($BX51="!param_no_gameplay_units","{GREEN}Included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{GOLD}0.4 tiles{}{SILVER}</v>
      </c>
    </row>
    <row r="52" customFormat="false" ht="14.25" hidden="false" customHeight="false" outlineLevel="0" collapsed="false">
      <c r="A52" s="1" t="s">
        <v>225</v>
      </c>
      <c r="B52" s="15" t="s">
        <v>226</v>
      </c>
      <c r="C52" s="1" t="n">
        <v>-1</v>
      </c>
      <c r="E52" s="1" t="n">
        <v>-1</v>
      </c>
      <c r="J52" s="1" t="s">
        <v>40</v>
      </c>
      <c r="K52" s="1" t="s">
        <v>40</v>
      </c>
      <c r="L52" s="1" t="s">
        <v>192</v>
      </c>
      <c r="M52" s="1" t="n">
        <v>1925</v>
      </c>
      <c r="Z52" s="1" t="n">
        <v>52</v>
      </c>
      <c r="AD52" s="4" t="str">
        <f aca="false">IF(AND(Z52&gt;0,AC52&gt;0),(AC52/((Z52+AA52)*10)),"")</f>
        <v/>
      </c>
      <c r="AH52" s="1" t="n">
        <v>7.64</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FALSE()),IF(AO52&lt;&gt;"",CONCATENATE(",",VLOOKUP(AO52,$B:$AP,41,FALSE())),""))</f>
        <v>2,1,2</v>
      </c>
      <c r="AZ52" s="1" t="n">
        <v>30</v>
      </c>
      <c r="BA52" s="16" t="str">
        <f aca="false">IF(O52&lt;&gt;"",MAX(16,(O52-M52)+8),"")</f>
        <v/>
      </c>
      <c r="BD52" s="1" t="n">
        <f aca="false">MIN(AE52/150, 1)*30</f>
        <v>0</v>
      </c>
      <c r="BE52" s="1" t="n">
        <f aca="false">MIN(Q52/4000, 1)*20</f>
        <v>0</v>
      </c>
      <c r="BF52" s="1" t="n">
        <f aca="false">MIN(AC52/400,1)*20</f>
        <v>0</v>
      </c>
      <c r="BG52" s="4" t="n">
        <f aca="false">1-(MAX(M52-1900, 0)/750)</f>
        <v>0.966666666666667</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IF(0, VLOOKUP($CG52, Constants!$M:$N, 2, FALSE()),"")</f>
        <v/>
      </c>
      <c r="CJ52" s="1" t="str">
        <f aca="false">IF(P52&gt;1,_xlfn.CONCAT("{BLACK}Cars: {GOLD}", P52),"")</f>
        <v/>
      </c>
      <c r="CL52" s="1" t="str">
        <f aca="false">IF($BX52="concept_trains","{GREEN}Concept Vehicle",IF($BX52="!param_no_gameplay_units","{GREEN}Included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{GOLD}0.4 tiles{}{SILVER}</v>
      </c>
    </row>
    <row r="53" customFormat="false" ht="14.25" hidden="false" customHeight="false" outlineLevel="0" collapsed="false">
      <c r="A53" s="1" t="s">
        <v>227</v>
      </c>
      <c r="B53" s="15" t="s">
        <v>228</v>
      </c>
      <c r="C53" s="1" t="n">
        <v>-1</v>
      </c>
      <c r="E53" s="1" t="n">
        <v>-1</v>
      </c>
      <c r="J53" s="1" t="s">
        <v>40</v>
      </c>
      <c r="K53" s="1" t="s">
        <v>40</v>
      </c>
      <c r="L53" s="1" t="s">
        <v>192</v>
      </c>
      <c r="M53" s="1" t="n">
        <v>1927</v>
      </c>
      <c r="Z53" s="1" t="n">
        <v>53</v>
      </c>
      <c r="AD53" s="4" t="str">
        <f aca="false">IF(AND(Z53&gt;0,AC53&gt;0),(AC53/((Z53+AA53)*10)),"")</f>
        <v/>
      </c>
      <c r="AH53" s="1" t="n">
        <v>7.5</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FALSE()),IF(AO53&lt;&gt;"",CONCATENATE(",",VLOOKUP(AO53,$B:$AP,41,FALSE())),""))</f>
        <v>2,1,2</v>
      </c>
      <c r="AZ53" s="1" t="n">
        <v>30</v>
      </c>
      <c r="BA53" s="16" t="str">
        <f aca="false">IF(O53&lt;&gt;"",MAX(16,(O53-M53)+8),"")</f>
        <v/>
      </c>
      <c r="BD53" s="1" t="n">
        <f aca="false">MIN(AE53/150, 1)*30</f>
        <v>0</v>
      </c>
      <c r="BE53" s="1" t="n">
        <f aca="false">MIN(Q53/4000, 1)*20</f>
        <v>0</v>
      </c>
      <c r="BF53" s="1" t="n">
        <f aca="false">MIN(AC53/400,1)*20</f>
        <v>0</v>
      </c>
      <c r="BG53" s="4" t="n">
        <f aca="false">1-(MAX(M53-1900, 0)/750)</f>
        <v>0.964</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IF(0, VLOOKUP($CG53, Constants!$M:$N, 2, FALSE()),"")</f>
        <v/>
      </c>
      <c r="CJ53" s="1" t="str">
        <f aca="false">IF(P53&gt;1,_xlfn.CONCAT("{BLACK}Cars: {GOLD}", P53),"")</f>
        <v/>
      </c>
      <c r="CL53" s="1" t="str">
        <f aca="false">IF($BX53="concept_trains","{GREEN}Concept Vehicle",IF($BX53="!param_no_gameplay_units","{GREEN}Included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v>
      </c>
    </row>
    <row r="54" customFormat="false" ht="14.25" hidden="false" customHeight="false" outlineLevel="0" collapsed="false">
      <c r="A54" s="1" t="s">
        <v>229</v>
      </c>
      <c r="B54" s="15" t="s">
        <v>230</v>
      </c>
      <c r="C54" s="1" t="n">
        <v>-1</v>
      </c>
      <c r="E54" s="1" t="n">
        <v>-1</v>
      </c>
      <c r="J54" s="1" t="s">
        <v>40</v>
      </c>
      <c r="K54" s="1" t="s">
        <v>40</v>
      </c>
      <c r="L54" s="1" t="s">
        <v>192</v>
      </c>
      <c r="M54" s="1" t="n">
        <v>1935</v>
      </c>
      <c r="Z54" s="1" t="n">
        <v>42</v>
      </c>
      <c r="AD54" s="4" t="str">
        <f aca="false">IF(AND(Z54&gt;0,AC54&gt;0),(AC54/((Z54+AA54)*10)),"")</f>
        <v/>
      </c>
      <c r="AH54" s="1" t="n">
        <v>7.5</v>
      </c>
      <c r="AI54" s="1" t="n">
        <v>8</v>
      </c>
      <c r="AL54" s="5" t="n">
        <v>0</v>
      </c>
      <c r="AM54" s="1" t="str">
        <f aca="false">CONCATENATE(VLOOKUP(AN54, 'Voxel Sizes'!$A$2:$B$18,2,FALSE()),"x",INT(AJ54*15), "x", INT(AK54*15))</f>
        <v>82x0x0</v>
      </c>
      <c r="AN54" s="1" t="n">
        <f aca="false">ROUND(15*((AI54*10)/256),0)</f>
        <v>5</v>
      </c>
      <c r="AP54" s="1" t="str">
        <f aca="false">CONCATENATE(VLOOKUP(AN54,Constants!$A$2:$C$16,IF(AO54&lt;&gt;"", 3, 2), FALSE()),IF(AO54&lt;&gt;"",CONCATENATE(",",VLOOKUP(AO54,$B:$AP,41,FALSE())),""))</f>
        <v>2,1,2</v>
      </c>
      <c r="AZ54" s="1" t="n">
        <v>30</v>
      </c>
      <c r="BA54" s="16" t="str">
        <f aca="false">IF(O54&lt;&gt;"",MAX(16,(O54-M54)+8),"")</f>
        <v/>
      </c>
      <c r="BD54" s="1" t="n">
        <f aca="false">MIN(AE54/150, 1)*30</f>
        <v>0</v>
      </c>
      <c r="BE54" s="1" t="n">
        <f aca="false">MIN(Q54/4000, 1)*20</f>
        <v>0</v>
      </c>
      <c r="BF54" s="1" t="n">
        <f aca="false">MIN(AC54/400,1)*20</f>
        <v>0</v>
      </c>
      <c r="BG54" s="4" t="n">
        <f aca="false">1-(MAX(M54-1900, 0)/750)</f>
        <v>0.953333333333333</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{GOLD}0.4 tiles{}</v>
      </c>
      <c r="CI54" s="1" t="str">
        <f aca="false">IF(0, VLOOKUP($CG54, Constants!$M:$N, 2, FALSE()),"")</f>
        <v/>
      </c>
      <c r="CJ54" s="1" t="str">
        <f aca="false">IF(P54&gt;1,_xlfn.CONCAT("{BLACK}Cars: {GOLD}", P54),"")</f>
        <v/>
      </c>
      <c r="CL54" s="1" t="str">
        <f aca="false">IF($BX54="concept_trains","{GREEN}Concept Vehicle",IF($BX54="!param_no_gameplay_units","{GREEN}Included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v>
      </c>
    </row>
    <row r="55" customFormat="false" ht="13.5" hidden="false" customHeight="true" outlineLevel="0" collapsed="false">
      <c r="A55" s="1" t="s">
        <v>231</v>
      </c>
      <c r="B55" s="15" t="s">
        <v>232</v>
      </c>
      <c r="C55" s="1" t="n">
        <v>-1</v>
      </c>
      <c r="E55" s="1" t="n">
        <v>-1</v>
      </c>
      <c r="J55" s="1" t="s">
        <v>40</v>
      </c>
      <c r="K55" s="1" t="s">
        <v>40</v>
      </c>
      <c r="L55" s="1" t="s">
        <v>192</v>
      </c>
      <c r="M55" s="1" t="n">
        <v>1941</v>
      </c>
      <c r="Z55" s="1" t="n">
        <v>52</v>
      </c>
      <c r="AD55" s="4" t="str">
        <f aca="false">IF(AND(Z55&gt;0,AC55&gt;0),(AC55/((Z55+AA55)*10)),"")</f>
        <v/>
      </c>
      <c r="AH55" s="1" t="n">
        <v>7.64</v>
      </c>
      <c r="AI55" s="1" t="n">
        <v>8</v>
      </c>
      <c r="AL55" s="5" t="n">
        <v>0</v>
      </c>
      <c r="AM55" s="1" t="str">
        <f aca="false">CONCATENATE(VLOOKUP(AN55, 'Voxel Sizes'!$A$2:$B$18,2,FALSE()),"x",INT(AJ55*15), "x", INT(AK55*15))</f>
        <v>82x0x0</v>
      </c>
      <c r="AN55" s="1" t="n">
        <f aca="false">ROUND(15*((AI55*10)/256),0)</f>
        <v>5</v>
      </c>
      <c r="AP55" s="1" t="str">
        <f aca="false">CONCATENATE(VLOOKUP(AN55,Constants!$A$2:$C$16,IF(AO55&lt;&gt;"", 3, 2), FALSE()),IF(AO55&lt;&gt;"",CONCATENATE(",",VLOOKUP(AO55,$B:$AP,41,FALSE())),""))</f>
        <v>2,1,2</v>
      </c>
      <c r="AZ55" s="1" t="n">
        <v>30</v>
      </c>
      <c r="BA55" s="16" t="str">
        <f aca="false">IF(O55&lt;&gt;"",MAX(16,(O55-M55)+8),"")</f>
        <v/>
      </c>
      <c r="BD55" s="1" t="n">
        <f aca="false">MIN(AE55/150, 1)*30</f>
        <v>0</v>
      </c>
      <c r="BE55" s="1" t="n">
        <f aca="false">MIN(Q55/4000, 1)*20</f>
        <v>0</v>
      </c>
      <c r="BF55" s="1" t="n">
        <f aca="false">MIN(AC55/400,1)*20</f>
        <v>0</v>
      </c>
      <c r="BG55" s="4" t="n">
        <f aca="false">1-(MAX(M55-1900, 0)/750)</f>
        <v>0.945333333333333</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{GOLD}0.4 tiles{}</v>
      </c>
      <c r="CI55" s="1" t="str">
        <f aca="false">IF(0, VLOOKUP($CG55, Constants!$M:$N, 2, FALSE()),"")</f>
        <v/>
      </c>
      <c r="CJ55" s="1" t="str">
        <f aca="false">IF(P55&gt;1,_xlfn.CONCAT("{BLACK}Cars: {GOLD}", P55),"")</f>
        <v/>
      </c>
      <c r="CL55" s="1" t="str">
        <f aca="false">IF($BX55="concept_trains","{GREEN}Concept Vehicle",IF($BX55="!param_no_gameplay_units","{GREEN}Included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{GOLD}0.4 tiles{}{SILVER}</v>
      </c>
    </row>
    <row r="56" customFormat="false" ht="14.25" hidden="false" customHeight="false" outlineLevel="0" collapsed="false">
      <c r="A56" s="1" t="s">
        <v>233</v>
      </c>
      <c r="B56" s="15" t="s">
        <v>234</v>
      </c>
      <c r="C56" s="1" t="n">
        <v>-1</v>
      </c>
      <c r="E56" s="1" t="n">
        <v>-1</v>
      </c>
      <c r="J56" s="1" t="s">
        <v>40</v>
      </c>
      <c r="K56" s="1" t="s">
        <v>40</v>
      </c>
      <c r="L56" s="1" t="s">
        <v>192</v>
      </c>
      <c r="M56" s="1" t="n">
        <v>1942</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FALSE()),IF(AO56&lt;&gt;"",CONCATENATE(",",VLOOKUP(AO56,$B:$AP,41,FALSE())),""))</f>
        <v>1,2,1</v>
      </c>
      <c r="AZ56" s="1" t="n">
        <v>30</v>
      </c>
      <c r="BA56" s="16" t="str">
        <f aca="false">IF(O56&lt;&gt;"",MAX(16,(O56-M56)+8),"")</f>
        <v/>
      </c>
      <c r="BD56" s="1" t="n">
        <f aca="false">MIN(AE56/150, 1)*30</f>
        <v>0</v>
      </c>
      <c r="BE56" s="1" t="n">
        <f aca="false">MIN(Q56/4000, 1)*20</f>
        <v>0</v>
      </c>
      <c r="BF56" s="1" t="n">
        <f aca="false">MIN(AC56/400,1)*20</f>
        <v>0</v>
      </c>
      <c r="BG56" s="4" t="n">
        <f aca="false">1-(MAX(M56-1900, 0)/750)</f>
        <v>0.944</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IF(0, VLOOKUP($CG56, Constants!$M:$N, 2, FALSE()),"")</f>
        <v/>
      </c>
      <c r="CJ56" s="1" t="str">
        <f aca="false">IF(P56&gt;1,_xlfn.CONCAT("{BLACK}Cars: {GOLD}", P56),"")</f>
        <v/>
      </c>
      <c r="CL56" s="1" t="str">
        <f aca="false">IF($BX56="concept_trains","{GREEN}Concept Vehicle",IF($BX56="!param_no_gameplay_units","{GREEN}Included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235</v>
      </c>
      <c r="B57" s="15" t="s">
        <v>236</v>
      </c>
      <c r="C57" s="1" t="n">
        <v>-1</v>
      </c>
      <c r="E57" s="1" t="n">
        <v>-1</v>
      </c>
      <c r="J57" s="1" t="s">
        <v>40</v>
      </c>
      <c r="K57" s="1" t="s">
        <v>40</v>
      </c>
      <c r="L57" s="1" t="s">
        <v>192</v>
      </c>
      <c r="M57" s="1" t="n">
        <v>1943</v>
      </c>
      <c r="Z57" s="1" t="n">
        <v>52</v>
      </c>
      <c r="AD57" s="4" t="str">
        <f aca="false">IF(AND(Z57&gt;0,AC57&gt;0),(AC57/((Z57+AA57)*10)),"")</f>
        <v/>
      </c>
      <c r="AH57" s="1" t="n">
        <v>6</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FALSE()),IF(AO57&lt;&gt;"",CONCATENATE(",",VLOOKUP(AO57,$B:$AP,41,FALSE())),""))</f>
        <v>1,2,1</v>
      </c>
      <c r="AZ57" s="1" t="n">
        <v>30</v>
      </c>
      <c r="BA57" s="16" t="str">
        <f aca="false">IF(O57&lt;&gt;"",MAX(16,(O57-M57)+8),"")</f>
        <v/>
      </c>
      <c r="BD57" s="1" t="n">
        <f aca="false">MIN(AE57/150, 1)*30</f>
        <v>0</v>
      </c>
      <c r="BE57" s="1" t="n">
        <f aca="false">MIN(Q57/4000, 1)*20</f>
        <v>0</v>
      </c>
      <c r="BF57" s="1" t="n">
        <f aca="false">MIN(AC57/400,1)*20</f>
        <v>0</v>
      </c>
      <c r="BG57" s="4" t="n">
        <f aca="false">1-(MAX(M57-1900, 0)/750)</f>
        <v>0.942666666666667</v>
      </c>
      <c r="BH57" s="1" t="n">
        <f aca="false">((MAX($P57,1)*MIN($AL57/300,1)))*IF(J57="Wagon",50,10)</f>
        <v>0</v>
      </c>
      <c r="BI57" s="1" t="n">
        <f aca="false">VLOOKUP($K57,Constants!$I:$K, 2, FALSE())</f>
        <v>0</v>
      </c>
      <c r="BJ57" s="1" t="n">
        <f aca="false">VLOOKUP($K57,Constants!$I:$K, 3, FALSE())*IF(AND(J57="multiple_unit",AE57&lt;110),0.75,1)</f>
        <v>0</v>
      </c>
      <c r="BK57" s="1" t="n">
        <f aca="false">INT(POWER(((Constants!$G$2+$BD57+$BE57+$BF57+$BH57)*$BG57)*$BJ57, 1.05))+$BC57</f>
        <v>0</v>
      </c>
      <c r="BL57" s="1" t="n">
        <f aca="false">INT(POWER((((Constants!$G$1+$BD57+$BE57+$BF57+$BH57)*($BG57))*$BI57),IF($J57="wagon",1,1.2)))+$BB57</f>
        <v>0</v>
      </c>
      <c r="BM57" s="17" t="n">
        <f aca="false">BK57*IF($J57="wagon",62.5,781.25)</f>
        <v>0</v>
      </c>
      <c r="BN57" s="17" t="n">
        <f aca="false">BL57*IF($J57="wagon",2.73,81.25)</f>
        <v>0</v>
      </c>
      <c r="BU57" s="1" t="str">
        <f aca="false">IF(J57="locomotive","1","")</f>
        <v/>
      </c>
      <c r="CD57" s="1" t="str">
        <f aca="false">VLOOKUP(M57,Eras!$A$2:$C$10, 2, TRUE())</f>
        <v>big4</v>
      </c>
      <c r="CF57" s="1" t="str">
        <f aca="false">CONCATENATE(CD57,"_",CE57)</f>
        <v>big4_</v>
      </c>
      <c r="CG57" s="1" t="str">
        <f aca="false">_xlfn.CONCAT(K57, "_",L57)</f>
        <v>tender_RAIL</v>
      </c>
      <c r="CH57" s="7" t="str">
        <f aca="false">_xlfn.CONCAT("{BLACK}Length: {GOLD}", TEXT(ROUNDUP(IF(AS57&lt;&gt;"",SUM(VALUE(_xlfn.TEXTSPLIT(AS57, ","))), SUM(VALUE(_xlfn.TEXTSPLIT(AP57, ",")))*IF(P57, P57, 1))/16, 1), "#,##0.0"), " tiles{}")</f>
        <v>{BLACK}Length: {GOLD}0.3 tiles{}</v>
      </c>
      <c r="CI57" s="1" t="str">
        <f aca="false">IF(0, VLOOKUP($CG57, Constants!$M:$N, 2, FALSE()),"")</f>
        <v/>
      </c>
      <c r="CJ57" s="1" t="str">
        <f aca="false">IF(P57&gt;1,_xlfn.CONCAT("{BLACK}Cars: {GOLD}", P57),"")</f>
        <v/>
      </c>
      <c r="CL57" s="1" t="str">
        <f aca="false">IF($BX57="concept_trains","{GREEN}Concept Vehicle",IF($BX57="!param_no_gameplay_units","{GREEN}Included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{GOLD}0.3 tiles{}{SILVER}</v>
      </c>
    </row>
    <row r="58" customFormat="false" ht="14.25" hidden="false" customHeight="false" outlineLevel="0" collapsed="false">
      <c r="A58" s="1" t="s">
        <v>237</v>
      </c>
      <c r="B58" s="15" t="s">
        <v>238</v>
      </c>
      <c r="C58" s="1" t="n">
        <v>-1</v>
      </c>
      <c r="E58" s="1" t="n">
        <v>-1</v>
      </c>
      <c r="J58" s="1" t="s">
        <v>40</v>
      </c>
      <c r="K58" s="1" t="s">
        <v>40</v>
      </c>
      <c r="L58" s="1" t="s">
        <v>192</v>
      </c>
      <c r="M58" s="1" t="n">
        <v>1946</v>
      </c>
      <c r="Z58" s="1" t="n">
        <v>52</v>
      </c>
      <c r="AD58" s="4" t="str">
        <f aca="false">IF(AND(Z58&gt;0,AC58&gt;0),(AC58/((Z58+AA58)*10)),"")</f>
        <v/>
      </c>
      <c r="AH58" s="1" t="n">
        <v>6</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FALSE()),IF(AO58&lt;&gt;"",CONCATENATE(",",VLOOKUP(AO58,$B:$AP,41,FALSE())),""))</f>
        <v>1,2,1</v>
      </c>
      <c r="AZ58" s="1" t="n">
        <v>30</v>
      </c>
      <c r="BA58" s="16" t="str">
        <f aca="false">IF(O58&lt;&gt;"",MAX(16,(O58-M58)+8),"")</f>
        <v/>
      </c>
      <c r="BD58" s="1" t="n">
        <f aca="false">MIN(AE58/150, 1)*30</f>
        <v>0</v>
      </c>
      <c r="BE58" s="1" t="n">
        <f aca="false">MIN(Q58/4000, 1)*20</f>
        <v>0</v>
      </c>
      <c r="BF58" s="1" t="n">
        <f aca="false">MIN(AC58/400,1)*20</f>
        <v>0</v>
      </c>
      <c r="BG58" s="4" t="n">
        <f aca="false">1-(MAX(M58-1900, 0)/750)</f>
        <v>0.938666666666667</v>
      </c>
      <c r="BH58" s="1" t="n">
        <f aca="false">((MAX($P58,1)*MIN($AL58/300,1)))*IF(J58="Wagon",50,10)</f>
        <v>0</v>
      </c>
      <c r="BI58" s="1" t="n">
        <f aca="false">VLOOKUP($K58,Constants!$I:$K, 2, FALSE())</f>
        <v>0</v>
      </c>
      <c r="BJ58" s="1" t="n">
        <f aca="false">VLOOKUP($K58,Constants!$I:$K, 3, FALSE())*IF(AND(J58="multiple_unit",AE58&lt;110),0.75,1)</f>
        <v>0</v>
      </c>
      <c r="BK58" s="1" t="n">
        <f aca="false">INT(POWER(((Constants!$G$2+$BD58+$BE58+$BF58+$BH58)*$BG58)*$BJ58, 1.05))+$BC58</f>
        <v>0</v>
      </c>
      <c r="BL58" s="1" t="n">
        <f aca="false">INT(POWER((((Constants!$G$1+$BD58+$BE58+$BF58+$BH58)*($BG58))*$BI58),IF($J58="wagon",1,1.2)))+$BB58</f>
        <v>0</v>
      </c>
      <c r="BM58" s="17" t="n">
        <f aca="false">BK58*IF($J58="wagon",62.5,781.25)</f>
        <v>0</v>
      </c>
      <c r="BN58" s="17" t="n">
        <f aca="false">BL58*IF($J58="wagon",2.73,81.25)</f>
        <v>0</v>
      </c>
      <c r="BU58" s="1" t="str">
        <f aca="false">IF(J58="locomotive","1","")</f>
        <v/>
      </c>
      <c r="CD58" s="1" t="str">
        <f aca="false">VLOOKUP(M58,Eras!$A$2:$C$10, 2, TRUE())</f>
        <v>big4</v>
      </c>
      <c r="CF58" s="1" t="str">
        <f aca="false">CONCATENATE(CD58,"_",CE58)</f>
        <v>big4_</v>
      </c>
      <c r="CG58" s="1" t="str">
        <f aca="false">_xlfn.CONCAT(K58, "_",L58)</f>
        <v>tender_RAIL</v>
      </c>
      <c r="CH58" s="7" t="str">
        <f aca="false">_xlfn.CONCAT("{BLACK}Length: {GOLD}", TEXT(ROUNDUP(IF(AS58&lt;&gt;"",SUM(VALUE(_xlfn.TEXTSPLIT(AS58, ","))), SUM(VALUE(_xlfn.TEXTSPLIT(AP58, ",")))*IF(P58, P58, 1))/16, 1), "#,##0.0"), " tiles{}")</f>
        <v>{BLACK}Length: {GOLD}0.3 tiles{}</v>
      </c>
      <c r="CI58" s="1" t="str">
        <f aca="false">IF(0, VLOOKUP($CG58, Constants!$M:$N, 2, FALSE()),"")</f>
        <v/>
      </c>
      <c r="CJ58" s="1" t="str">
        <f aca="false">IF(P58&gt;1,_xlfn.CONCAT("{BLACK}Cars: {GOLD}", P58),"")</f>
        <v/>
      </c>
      <c r="CL58" s="1" t="str">
        <f aca="false">IF($BX58="concept_trains","{GREEN}Concept Vehicle",IF($BX58="!param_no_gameplay_units","{GREEN}Included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{GOLD}0.3 tiles{}{SILVER}</v>
      </c>
    </row>
    <row r="59" customFormat="false" ht="14.25" hidden="false" customHeight="false" outlineLevel="0" collapsed="false">
      <c r="A59" s="1" t="s">
        <v>239</v>
      </c>
      <c r="B59" s="15" t="s">
        <v>240</v>
      </c>
      <c r="C59" s="1" t="n">
        <v>98</v>
      </c>
      <c r="E59" s="1" t="n">
        <v>1</v>
      </c>
      <c r="G59" s="1" t="str">
        <f aca="false">IF($F59&lt;&gt;"",_xlfn.CONCAT(VLOOKUP($CE59, Constants!$T:$U, 2, FALSE()),",",$F59),VLOOKUP($CE59, Constants!$T:$U, 2, FALSE()))</f>
        <v>role/mixed</v>
      </c>
      <c r="H59" s="1" t="str">
        <f aca="false">IF($G59&lt;&gt;"",_xlfn.CONCAT(VLOOKUP($CG59, Constants!$M:$P, 4, FALSE()),",",$G59),VLOOKUP($CG59, Constants!$M:$P, 4, FALSE()))</f>
        <v>flag/GB,power/animal,role/mixed</v>
      </c>
      <c r="I59" s="1" t="s">
        <v>241</v>
      </c>
      <c r="J59" s="1" t="s">
        <v>242</v>
      </c>
      <c r="K59" s="1" t="s">
        <v>242</v>
      </c>
      <c r="L59" s="1" t="s">
        <v>243</v>
      </c>
      <c r="M59" s="1" t="n">
        <v>1700</v>
      </c>
      <c r="O59" s="1" t="n">
        <v>1870</v>
      </c>
      <c r="Q59" s="1" t="n">
        <v>5</v>
      </c>
      <c r="W59" s="18"/>
      <c r="Z59" s="1" t="n">
        <v>1</v>
      </c>
      <c r="AC59" s="1" t="n">
        <v>3</v>
      </c>
      <c r="AD59" s="4" t="n">
        <f aca="false">IF(AND(Z59&gt;0,AC59&gt;0),(AC59/((Z59+AA59)*10)),"")</f>
        <v>0.3</v>
      </c>
      <c r="AE59" s="1" t="n">
        <v>18</v>
      </c>
      <c r="AF59" s="1" t="n">
        <f aca="false">ROUND(AE59*1.6, 0)</f>
        <v>29</v>
      </c>
      <c r="AI59" s="1" t="n">
        <v>6</v>
      </c>
      <c r="AL59" s="5" t="n">
        <v>0</v>
      </c>
      <c r="AM59" s="1" t="str">
        <f aca="false">CONCATENATE(VLOOKUP(AN59, 'Voxel Sizes'!$A$2:$B$18,2,FALSE()),"x",INT(AJ59*15), "x", INT(AK59*15))</f>
        <v>60x0x0</v>
      </c>
      <c r="AN59" s="1" t="n">
        <f aca="false">ROUND(15*((AI59*10)/256),0)</f>
        <v>4</v>
      </c>
      <c r="AP59" s="1" t="str">
        <f aca="false">CONCATENATE(VLOOKUP(AN59,Constants!$A$2:$C$16,IF(AO59&lt;&gt;"", 3, 2), FALSE()),IF(AO59&lt;&gt;"",CONCATENATE(",",VLOOKUP(AO59,$B:$AP,41,FALSE())),""))</f>
        <v>1,2,1</v>
      </c>
      <c r="AX59" s="1" t="n">
        <v>1</v>
      </c>
      <c r="AZ59" s="1" t="n">
        <v>12</v>
      </c>
      <c r="BA59" s="16" t="n">
        <f aca="false">IF(O59&lt;&gt;"",MAX(16,(O59-M59)+8),"")</f>
        <v>178</v>
      </c>
      <c r="BB59" s="1" t="n">
        <v>-13</v>
      </c>
      <c r="BC59" s="1" t="n">
        <v>-3</v>
      </c>
      <c r="BD59" s="1" t="n">
        <f aca="false">MIN(AE59/150, 1)*30</f>
        <v>3.6</v>
      </c>
      <c r="BE59" s="1" t="n">
        <f aca="false">MIN(Q59/4000, 1)*20</f>
        <v>0.025</v>
      </c>
      <c r="BF59" s="1" t="n">
        <f aca="false">MIN(AC59/400,1)*20</f>
        <v>0.15</v>
      </c>
      <c r="BG59" s="4" t="n">
        <f aca="false">1-(MAX(M59-1900, 0)/750)</f>
        <v>1</v>
      </c>
      <c r="BH59" s="1" t="n">
        <f aca="false">((MAX($P59,1)*MIN($AL59/300,1)))*IF(J59="Wagon",50,10)</f>
        <v>0</v>
      </c>
      <c r="BI59" s="1" t="n">
        <f aca="false">VLOOKUP($K59,Constants!$I:$K, 2, FALSE())</f>
        <v>0.5</v>
      </c>
      <c r="BJ59" s="1" t="n">
        <f aca="false">VLOOKUP($K59,Constants!$I:$K, 3, FALSE())*IF(AND(J59="multiple_unit",AE59&lt;110),0.75,1)</f>
        <v>0.5</v>
      </c>
      <c r="BK59" s="1" t="n">
        <f aca="false">INT(POWER(((Constants!$G$2+$BD59+$BE59+$BF59+$BH59)*$BG59)*$BJ59, 1.05))+$BC59</f>
        <v>1</v>
      </c>
      <c r="BL59" s="1" t="n">
        <f aca="false">INT(POWER((((Constants!$G$1+$BD59+$BE59+$BF59+$BH59)*($BG59))*$BI59),IF($J59="wagon",1,1.2)))+$BB59</f>
        <v>1</v>
      </c>
      <c r="BM59" s="17" t="n">
        <f aca="false">BK59*IF($J59="wagon",62.5,781.25)</f>
        <v>781.25</v>
      </c>
      <c r="BN59" s="17" t="n">
        <f aca="false">BL59*IF($J59="wagon",2.73,81.25)</f>
        <v>81.25</v>
      </c>
      <c r="BU59" s="1" t="str">
        <f aca="false">IF(J59="locomotive","1","")</f>
        <v/>
      </c>
      <c r="BY59" s="1" t="n">
        <v>1</v>
      </c>
      <c r="CD59" s="1" t="str">
        <f aca="false">VLOOKUP(M59,Eras!$A$2:$C$10, 2, TRUE())</f>
        <v>early</v>
      </c>
      <c r="CE59" s="1" t="s">
        <v>129</v>
      </c>
      <c r="CF59" s="1" t="str">
        <f aca="false">CONCATENATE(CD59,"_",CE59)</f>
        <v>early_Mixed Traffic</v>
      </c>
      <c r="CG59" s="1" t="str">
        <f aca="false">_xlfn.CONCAT(K59, "_",L59)</f>
        <v>horses_PLATEWAY</v>
      </c>
      <c r="CH59" s="7" t="str">
        <f aca="false">_xlfn.CONCAT("{BLACK}Length: {GOLD}", TEXT(ROUNDUP(IF(AS59&lt;&gt;"",SUM(VALUE(_xlfn.TEXTSPLIT(AS59, ","))), SUM(VALUE(_xlfn.TEXTSPLIT(AP59, ",")))*IF(P59, P59, 1))/16, 1), "#,##0.0"), " tiles{}")</f>
        <v>{BLACK}Length: {GOLD}0.3 tiles{}</v>
      </c>
      <c r="CI59" s="1" t="str">
        <f aca="false">IF(0, VLOOKUP($CG59, Constants!$M:$N, 2, FALSE()),"")</f>
        <v/>
      </c>
      <c r="CJ59" s="1" t="str">
        <f aca="false">IF(P59&gt;1,_xlfn.CONCAT("{BLACK}Cars: {GOLD}", P59),"")</f>
        <v/>
      </c>
      <c r="CK59" s="1" t="s">
        <v>244</v>
      </c>
      <c r="CL59" s="1" t="str">
        <f aca="false">IF($BX59="concept_trains","{GREEN}Concept Vehicle",IF($BX59="!param_no_gameplay_units","{GREEN}Included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tiles{}{SILVER}Most early industrial railways used two sources of power: horses and gravity. Often horses would ride downhill in dandy wagons, to save their energy for pulling the train uphill.</v>
      </c>
    </row>
    <row r="60" customFormat="false" ht="14.25" hidden="false" customHeight="false" outlineLevel="0" collapsed="false">
      <c r="A60" s="1" t="s">
        <v>245</v>
      </c>
      <c r="B60" s="15" t="s">
        <v>242</v>
      </c>
      <c r="C60" s="1" t="n">
        <v>4098</v>
      </c>
      <c r="E60" s="1" t="n">
        <v>2</v>
      </c>
      <c r="G60" s="1" t="str">
        <f aca="false">IF($F60&lt;&gt;"",_xlfn.CONCAT(VLOOKUP($CE60, Constants!$T:$U, 2, FALSE()),",",$F60),VLOOKUP($CE60, Constants!$T:$U, 2, FALSE()))</f>
        <v>role/mixed</v>
      </c>
      <c r="H60" s="1" t="str">
        <f aca="false">IF($G60&lt;&gt;"",_xlfn.CONCAT(VLOOKUP($CG60, Constants!$M:$P, 4, FALSE()),",",$G60),VLOOKUP($CG60, Constants!$M:$P, 4, FALSE()))</f>
        <v>flag/GB,power/animal,role/mixed</v>
      </c>
      <c r="I60" s="1" t="s">
        <v>241</v>
      </c>
      <c r="J60" s="1" t="s">
        <v>242</v>
      </c>
      <c r="K60" s="1" t="s">
        <v>242</v>
      </c>
      <c r="L60" s="1" t="s">
        <v>243</v>
      </c>
      <c r="M60" s="1" t="n">
        <v>1700</v>
      </c>
      <c r="O60" s="1" t="n">
        <v>1870</v>
      </c>
      <c r="Q60" s="1" t="n">
        <v>10</v>
      </c>
      <c r="W60" s="18"/>
      <c r="Z60" s="1" t="n">
        <v>2</v>
      </c>
      <c r="AC60" s="1" t="n">
        <v>6</v>
      </c>
      <c r="AD60" s="4" t="n">
        <f aca="false">IF(AND(Z60&gt;0,AC60&gt;0),(AC60/((Z60+AA60)*10)),"")</f>
        <v>0.3</v>
      </c>
      <c r="AE60" s="1" t="n">
        <v>18</v>
      </c>
      <c r="AF60" s="1" t="n">
        <f aca="false">ROUND(AE60*1.6, 0)</f>
        <v>29</v>
      </c>
      <c r="AI60" s="1" t="n">
        <v>6</v>
      </c>
      <c r="AL60" s="5" t="n">
        <v>0</v>
      </c>
      <c r="AM60" s="1" t="str">
        <f aca="false">CONCATENATE(VLOOKUP(AN60, 'Voxel Sizes'!$A$2:$B$18,2,FALSE()),"x",INT(AJ60*15), "x", INT(AK60*15))</f>
        <v>60x0x0</v>
      </c>
      <c r="AN60" s="1" t="n">
        <f aca="false">ROUND(15*((AI60*10)/256),0)</f>
        <v>4</v>
      </c>
      <c r="AP60" s="1" t="str">
        <f aca="false">CONCATENATE(VLOOKUP(AN60,Constants!$A$2:$C$16,IF(AO60&lt;&gt;"", 3, 2), FALSE()),IF(AO60&lt;&gt;"",CONCATENATE(",",VLOOKUP(AO60,$B:$AP,41,FALSE())),""))</f>
        <v>1,2,1</v>
      </c>
      <c r="AX60" s="1" t="n">
        <v>1</v>
      </c>
      <c r="AZ60" s="1" t="n">
        <v>12</v>
      </c>
      <c r="BA60" s="16" t="n">
        <f aca="false">IF(O60&lt;&gt;"",MAX(16,(O60-M60)+8),"")</f>
        <v>178</v>
      </c>
      <c r="BB60" s="1" t="n">
        <v>-12</v>
      </c>
      <c r="BC60" s="1" t="n">
        <v>-2</v>
      </c>
      <c r="BD60" s="1" t="n">
        <f aca="false">MIN(AE60/150, 1)*30</f>
        <v>3.6</v>
      </c>
      <c r="BE60" s="1" t="n">
        <f aca="false">MIN(Q60/4000, 1)*20</f>
        <v>0.05</v>
      </c>
      <c r="BF60" s="1" t="n">
        <f aca="false">MIN(AC60/400,1)*20</f>
        <v>0.3</v>
      </c>
      <c r="BG60" s="4" t="n">
        <f aca="false">1-(MAX(M60-1900, 0)/750)</f>
        <v>1</v>
      </c>
      <c r="BH60" s="1" t="n">
        <f aca="false">((MAX($P60,1)*MIN($AL60/300,1)))*IF(J60="Wagon",50,10)</f>
        <v>0</v>
      </c>
      <c r="BI60" s="1" t="n">
        <f aca="false">VLOOKUP($K60,Constants!$I:$K, 2, FALSE())</f>
        <v>0.5</v>
      </c>
      <c r="BJ60" s="1" t="n">
        <f aca="false">VLOOKUP($K60,Constants!$I:$K, 3, FALSE())*IF(AND(J60="multiple_unit",AE60&lt;110),0.75,1)</f>
        <v>0.5</v>
      </c>
      <c r="BK60" s="1" t="n">
        <f aca="false">INT(POWER(((Constants!$G$2+$BD60+$BE60+$BF60+$BH60)*$BG60)*$BJ60, 1.05))+$BC60</f>
        <v>2</v>
      </c>
      <c r="BL60" s="1" t="n">
        <f aca="false">INT(POWER((((Constants!$G$1+$BD60+$BE60+$BF60+$BH60)*($BG60))*$BI60),IF($J60="wagon",1,1.2)))+$BB60</f>
        <v>2</v>
      </c>
      <c r="BM60" s="17" t="n">
        <f aca="false">BK60*IF($J60="wagon",62.5,781.25)</f>
        <v>1562.5</v>
      </c>
      <c r="BN60" s="17" t="n">
        <f aca="false">BL60*IF($J60="wagon",2.73,81.25)</f>
        <v>162.5</v>
      </c>
      <c r="BU60" s="1" t="str">
        <f aca="false">IF(J60="locomotive","1","")</f>
        <v/>
      </c>
      <c r="BY60" s="1" t="n">
        <v>1</v>
      </c>
      <c r="CD60" s="1" t="str">
        <f aca="false">VLOOKUP(M60,Eras!$A$2:$C$10, 2, TRUE())</f>
        <v>early</v>
      </c>
      <c r="CE60" s="1" t="s">
        <v>129</v>
      </c>
      <c r="CF60" s="1" t="str">
        <f aca="false">CONCATENATE(CD60,"_",CE60)</f>
        <v>early_Mixed Traffic</v>
      </c>
      <c r="CG60" s="1" t="str">
        <f aca="false">_xlfn.CONCAT(K60, "_",L60)</f>
        <v>horses_PLATEWAY</v>
      </c>
      <c r="CH60" s="7" t="str">
        <f aca="false">_xlfn.CONCAT("{BLACK}Length: {GOLD}", TEXT(ROUNDUP(IF(AS60&lt;&gt;"",SUM(VALUE(_xlfn.TEXTSPLIT(AS60, ","))), SUM(VALUE(_xlfn.TEXTSPLIT(AP60, ",")))*IF(P60, P60, 1))/16, 1), "#,##0.0"), " tiles{}")</f>
        <v>{BLACK}Length: {GOLD}0.3 tiles{}</v>
      </c>
      <c r="CI60" s="1" t="str">
        <f aca="false">IF(0, VLOOKUP($CG60, Constants!$M:$N, 2, FALSE()),"")</f>
        <v/>
      </c>
      <c r="CJ60" s="1" t="str">
        <f aca="false">IF(P60&gt;1,_xlfn.CONCAT("{BLACK}Cars: {GOLD}", P60),"")</f>
        <v/>
      </c>
      <c r="CK60" s="1" t="s">
        <v>246</v>
      </c>
      <c r="CL60" s="1" t="str">
        <f aca="false">IF($BX60="concept_trains","{GREEN}Concept Vehicle",IF($BX60="!param_no_gameplay_units","{GREEN}Included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tiles{}{SILVER}The power of a horse-drawn train can easily be doubled by the expedient addition of a second horse.</v>
      </c>
    </row>
    <row r="61" customFormat="false" ht="14.25" hidden="false" customHeight="false" outlineLevel="0" collapsed="false">
      <c r="A61" s="1" t="s">
        <v>247</v>
      </c>
      <c r="B61" s="15" t="s">
        <v>248</v>
      </c>
      <c r="C61" s="1" t="n">
        <v>100</v>
      </c>
      <c r="E61" s="1" t="n">
        <v>3</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241</v>
      </c>
      <c r="J61" s="1" t="s">
        <v>249</v>
      </c>
      <c r="K61" s="1" t="s">
        <v>250</v>
      </c>
      <c r="L61" s="1" t="s">
        <v>243</v>
      </c>
      <c r="M61" s="1" t="n">
        <v>1813</v>
      </c>
      <c r="O61" s="1" t="n">
        <v>1862</v>
      </c>
      <c r="Q61" s="1" t="n">
        <v>15</v>
      </c>
      <c r="S61" s="3" t="n">
        <v>9</v>
      </c>
      <c r="T61" s="3" t="n">
        <v>36</v>
      </c>
      <c r="U61" s="3" t="n">
        <v>2</v>
      </c>
      <c r="V61" s="3" t="n">
        <v>50</v>
      </c>
      <c r="W61" s="18" t="n">
        <f aca="false">((($AE61/2)/60)*5280)/($X61*3.2*PI())</f>
        <v>60.7883463198211</v>
      </c>
      <c r="X61" s="3" t="n">
        <v>1.44</v>
      </c>
      <c r="Y61" s="3" t="n">
        <f aca="false">((($S61*$S61/4)*PI())*($T61/12)*$U61*$V61*$W61)/(33000*1.1)</f>
        <v>31.9602272727273</v>
      </c>
      <c r="Z61" s="1" t="n">
        <v>4</v>
      </c>
      <c r="AA61" s="2" t="n">
        <v>3</v>
      </c>
      <c r="AC61" s="1" t="n">
        <v>7</v>
      </c>
      <c r="AD61" s="4" t="n">
        <f aca="false">IF(AND(Z61&gt;0,AC61&gt;0),(AC61/((Z61+AA61)*10)),"")</f>
        <v>0.1</v>
      </c>
      <c r="AE61" s="1" t="n">
        <v>20</v>
      </c>
      <c r="AF61" s="1" t="n">
        <f aca="false">ROUND(AE61*1.6, 0)</f>
        <v>32</v>
      </c>
      <c r="AI61" s="1" t="n">
        <v>6</v>
      </c>
      <c r="AL61" s="5" t="n">
        <v>0</v>
      </c>
      <c r="AM61" s="1" t="str">
        <f aca="false">CONCATENATE(VLOOKUP(AN61, 'Voxel Sizes'!$A$2:$B$18,2,FALSE()),"x",INT(AJ61*15), "x", INT(AK61*15))</f>
        <v>60x0x0</v>
      </c>
      <c r="AN61" s="1" t="n">
        <f aca="false">ROUND(15*((AI61*10)/256),0)</f>
        <v>4</v>
      </c>
      <c r="AO61" s="1" t="s">
        <v>194</v>
      </c>
      <c r="AP61" s="1" t="str">
        <f aca="false">CONCATENATE(VLOOKUP(AN61,Constants!$A$2:$C$16,IF(AO61&lt;&gt;"", 3, 2), FALSE()),IF(AO61&lt;&gt;"",CONCATENATE(",",VLOOKUP(AO61,$B:$AP,41,FALSE())),""))</f>
        <v>1,2,1,1,2,1</v>
      </c>
      <c r="AZ61" s="1" t="n">
        <v>28</v>
      </c>
      <c r="BA61" s="16" t="n">
        <f aca="false">IF(O61&lt;&gt;"",MAX(16,(O61-M61)+8),"")</f>
        <v>57</v>
      </c>
      <c r="BB61" s="1" t="n">
        <v>-35</v>
      </c>
      <c r="BC61" s="1" t="n">
        <v>-12</v>
      </c>
      <c r="BD61" s="1" t="n">
        <f aca="false">MIN(AE61/150, 1)*30</f>
        <v>4</v>
      </c>
      <c r="BE61" s="1" t="n">
        <f aca="false">MIN(Q61/4000, 1)*20</f>
        <v>0.075</v>
      </c>
      <c r="BF61" s="1" t="n">
        <f aca="false">MIN(AC61/400,1)*20</f>
        <v>0.35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6</v>
      </c>
      <c r="BL61" s="1" t="n">
        <f aca="false">INT(POWER((((Constants!$G$1+$BD61+$BE61+$BF61+$BH61)*($BG61))*$BI61),IF($J61="wagon",1,1.2)))+$BB61</f>
        <v>6</v>
      </c>
      <c r="BM61" s="17" t="n">
        <f aca="false">BK61*IF($J61="wagon",62.5,781.25)</f>
        <v>4687.5</v>
      </c>
      <c r="BN61" s="17" t="n">
        <f aca="false">BL61*IF($J61="wagon",2.73,81.25)</f>
        <v>487.5</v>
      </c>
      <c r="BY61" s="1" t="n">
        <v>3</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{GOLD}0.5 tiles{}</v>
      </c>
      <c r="CI61" s="1" t="str">
        <f aca="false">IF(0, VLOOKUP($CG61, Constants!$M:$N, 2, FALSE()),"")</f>
        <v/>
      </c>
      <c r="CJ61" s="1" t="str">
        <f aca="false">IF(P61&gt;1,_xlfn.CONCAT("{BLACK}Cars: {GOLD}", P61),"")</f>
        <v/>
      </c>
      <c r="CK61" s="1" t="s">
        <v>251</v>
      </c>
      <c r="CL61" s="1" t="str">
        <f aca="false">IF($BX61="concept_trains","{GREEN}Concept Vehicle",IF($BX61="!param_no_gameplay_units","{GREEN}Included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{GOLD}0.5 tiles{}{SILVER}Puffing Billy was the first steam locomotive to operate by the adhesion of the wheels alone, all previous locomotives using a rack by the railside. The real version was very slow, capable only of walking speeds.</v>
      </c>
    </row>
    <row r="62" customFormat="false" ht="14.25" hidden="false" customHeight="false" outlineLevel="0" collapsed="false">
      <c r="A62" s="1" t="s">
        <v>252</v>
      </c>
      <c r="B62" s="15" t="s">
        <v>253</v>
      </c>
      <c r="C62" s="1" t="n">
        <v>101</v>
      </c>
      <c r="E62" s="1" t="n">
        <v>4</v>
      </c>
      <c r="G62" s="1" t="str">
        <f aca="false">IF($F62&lt;&gt;"",_xlfn.CONCAT(VLOOKUP($CE62, Constants!$T:$U, 2, FALSE()),",",$F62),VLOOKUP($CE62, Constants!$T:$U, 2, FALSE()))</f>
        <v>role/mixed</v>
      </c>
      <c r="H62" s="1" t="str">
        <f aca="false">IF($G62&lt;&gt;"",_xlfn.CONCAT(VLOOKUP($CG62, Constants!$M:$P, 4, FALSE()),",",$G62),VLOOKUP($CG62, Constants!$M:$P, 4, FALSE()))</f>
        <v>flag/GB,power/steam,role/mixed</v>
      </c>
      <c r="I62" s="1" t="s">
        <v>241</v>
      </c>
      <c r="J62" s="1" t="s">
        <v>249</v>
      </c>
      <c r="K62" s="1" t="s">
        <v>250</v>
      </c>
      <c r="L62" s="1" t="s">
        <v>243</v>
      </c>
      <c r="M62" s="1" t="n">
        <v>1825</v>
      </c>
      <c r="O62" s="1" t="n">
        <v>1857</v>
      </c>
      <c r="Q62" s="1" t="n">
        <v>25</v>
      </c>
      <c r="S62" s="3" t="n">
        <v>9</v>
      </c>
      <c r="T62" s="3" t="n">
        <v>24</v>
      </c>
      <c r="U62" s="3" t="n">
        <v>2</v>
      </c>
      <c r="V62" s="3" t="n">
        <v>50</v>
      </c>
      <c r="W62" s="18" t="n">
        <f aca="false">((($AE62/2)/60)*5280)/($X62*3.2*PI())</f>
        <v>53.8126344470548</v>
      </c>
      <c r="X62" s="3" t="n">
        <v>1.22</v>
      </c>
      <c r="Y62" s="3" t="n">
        <f aca="false">((($S62*$S62/4)*PI())*($T62/12)*$U62*$V62*$W62)/(33000*1.1)</f>
        <v>18.8617734724292</v>
      </c>
      <c r="Z62" s="1" t="n">
        <v>4</v>
      </c>
      <c r="AA62" s="2" t="n">
        <v>3</v>
      </c>
      <c r="AC62" s="1" t="n">
        <v>10</v>
      </c>
      <c r="AD62" s="4" t="n">
        <f aca="false">IF(AND(Z62&gt;0,AC62&gt;0),(AC62/((Z62+AA62)*10)),"")</f>
        <v>0.142857142857143</v>
      </c>
      <c r="AE62" s="1" t="n">
        <v>15</v>
      </c>
      <c r="AF62" s="1" t="n">
        <f aca="false">ROUND(AE62*1.6, 0)</f>
        <v>24</v>
      </c>
      <c r="AI62" s="1" t="n">
        <v>6</v>
      </c>
      <c r="AL62" s="5" t="n">
        <v>0</v>
      </c>
      <c r="AM62" s="1" t="str">
        <f aca="false">CONCATENATE(VLOOKUP(AN62, 'Voxel Sizes'!$A$2:$B$18,2,FALSE()),"x",INT(AJ62*15), "x", INT(AK62*15))</f>
        <v>60x0x0</v>
      </c>
      <c r="AN62" s="1" t="n">
        <f aca="false">ROUND(15*((AI62*10)/256),0)</f>
        <v>4</v>
      </c>
      <c r="AO62" s="1" t="s">
        <v>196</v>
      </c>
      <c r="AP62" s="1" t="str">
        <f aca="false">CONCATENATE(VLOOKUP(AN62,Constants!$A$2:$C$16,IF(AO62&lt;&gt;"", 3, 2), FALSE()),IF(AO62&lt;&gt;"",CONCATENATE(",",VLOOKUP(AO62,$B:$AP,41,FALSE())),""))</f>
        <v>1,2,1,1,2,1</v>
      </c>
      <c r="AX62" s="1" t="n">
        <v>1</v>
      </c>
      <c r="AZ62" s="1" t="n">
        <v>24</v>
      </c>
      <c r="BA62" s="16" t="n">
        <f aca="false">IF(O62&lt;&gt;"",MAX(16,(O62-M62)+8),"")</f>
        <v>40</v>
      </c>
      <c r="BB62" s="1" t="n">
        <v>-29</v>
      </c>
      <c r="BC62" s="1" t="n">
        <v>-8</v>
      </c>
      <c r="BD62" s="1" t="n">
        <f aca="false">MIN(AE62/150, 1)*30</f>
        <v>3</v>
      </c>
      <c r="BE62" s="1" t="n">
        <f aca="false">MIN(Q62/4000, 1)*20</f>
        <v>0.125</v>
      </c>
      <c r="BF62" s="1" t="n">
        <f aca="false">MIN(AC62/400,1)*20</f>
        <v>0.5</v>
      </c>
      <c r="BG62" s="4" t="n">
        <f aca="false">1-(MAX(M62-1900, 0)/750)</f>
        <v>1</v>
      </c>
      <c r="BH62" s="1" t="n">
        <f aca="false">((MAX($P62,1)*MIN($AL62/300,1)))*IF(J62="Wagon",50,10)</f>
        <v>0</v>
      </c>
      <c r="BI62" s="1" t="n">
        <f aca="false">VLOOKUP($K62,Constants!$I:$K, 2, FALSE())</f>
        <v>1.15</v>
      </c>
      <c r="BJ62" s="1" t="n">
        <f aca="false">VLOOKUP($K62,Constants!$I:$K, 3, FALSE())*IF(AND(J62="multiple_unit",AE62&lt;110),0.75,1)</f>
        <v>1.7</v>
      </c>
      <c r="BK62" s="1" t="n">
        <f aca="false">INT(POWER(((Constants!$G$2+$BD62+$BE62+$BF62+$BH62)*$BG62)*$BJ62, 1.05))+$BC62</f>
        <v>8</v>
      </c>
      <c r="BL62" s="1" t="n">
        <f aca="false">INT(POWER((((Constants!$G$1+$BD62+$BE62+$BF62+$BH62)*($BG62))*$BI62),IF($J62="wagon",1,1.2)))+$BB62</f>
        <v>10</v>
      </c>
      <c r="BM62" s="17" t="n">
        <f aca="false">BK62*IF($J62="wagon",62.5,781.25)</f>
        <v>6250</v>
      </c>
      <c r="BN62" s="17" t="n">
        <f aca="false">BL62*IF($J62="wagon",2.73,81.25)</f>
        <v>812.5</v>
      </c>
      <c r="BY62" s="1" t="n">
        <v>1</v>
      </c>
      <c r="CD62" s="1" t="str">
        <f aca="false">VLOOKUP(M62,Eras!$A$2:$C$10, 2, TRUE())</f>
        <v>early</v>
      </c>
      <c r="CE62" s="1" t="s">
        <v>129</v>
      </c>
      <c r="CF62" s="1" t="str">
        <f aca="false">CONCATENATE(CD62,"_",CE62)</f>
        <v>early_Mixed Traffic</v>
      </c>
      <c r="CG62" s="1" t="str">
        <f aca="false">_xlfn.CONCAT(K62, "_",L62)</f>
        <v>steam_PLATEWAY</v>
      </c>
      <c r="CH62" s="7" t="str">
        <f aca="false">_xlfn.CONCAT("{BLACK}Length: {GOLD}", TEXT(ROUNDUP(IF(AS62&lt;&gt;"",SUM(VALUE(_xlfn.TEXTSPLIT(AS62, ","))), SUM(VALUE(_xlfn.TEXTSPLIT(AP62, ",")))*IF(P62, P62, 1))/16, 1), "#,##0.0"), " tiles{}")</f>
        <v>{BLACK}Length: {GOLD}0.5 tiles{}</v>
      </c>
      <c r="CI62" s="1" t="str">
        <f aca="false">IF(0, VLOOKUP($CG62, Constants!$M:$N, 2, FALSE()),"")</f>
        <v/>
      </c>
      <c r="CJ62" s="1" t="str">
        <f aca="false">IF(P62&gt;1,_xlfn.CONCAT("{BLACK}Cars: {GOLD}", P62),"")</f>
        <v/>
      </c>
      <c r="CK62" s="1" t="s">
        <v>254</v>
      </c>
      <c r="CL62" s="1" t="str">
        <f aca="false">IF($BX62="concept_trains","{GREEN}Concept Vehicle",IF($BX62="!param_no_gameplay_units","{GREEN}Included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{GOLD}0.5 tiles{}{SILVER}Originally named "Active", the Stockton and Darlington's Locomotion No. 1 was the first steam locomotive to operate on a public railway. Unfortunately the early design was flawed and it soon became obsolete.</v>
      </c>
    </row>
    <row r="63" customFormat="false" ht="14.25" hidden="false" customHeight="false" outlineLevel="0" collapsed="false">
      <c r="A63" s="1" t="s">
        <v>255</v>
      </c>
      <c r="B63" s="15" t="s">
        <v>256</v>
      </c>
      <c r="C63" s="1" t="n">
        <v>102</v>
      </c>
      <c r="E63" s="1" t="n">
        <v>5</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241</v>
      </c>
      <c r="J63" s="1" t="s">
        <v>249</v>
      </c>
      <c r="K63" s="1" t="s">
        <v>250</v>
      </c>
      <c r="L63" s="1" t="s">
        <v>243</v>
      </c>
      <c r="M63" s="1" t="n">
        <v>1827</v>
      </c>
      <c r="O63" s="1" t="n">
        <v>1858</v>
      </c>
      <c r="Q63" s="1" t="n">
        <v>30</v>
      </c>
      <c r="S63" s="3" t="n">
        <v>9</v>
      </c>
      <c r="T63" s="3" t="n">
        <v>36</v>
      </c>
      <c r="U63" s="3" t="n">
        <v>2</v>
      </c>
      <c r="V63" s="3" t="n">
        <v>50</v>
      </c>
      <c r="W63" s="18" t="n">
        <f aca="false">((($AE63/2)/60)*5280)/($X63*3.2*PI())</f>
        <v>54.709511687839</v>
      </c>
      <c r="X63" s="3" t="n">
        <v>1.44</v>
      </c>
      <c r="Y63" s="3" t="n">
        <f aca="false">((($S63*$S63/4)*PI())*($T63/12)*$U63*$V63*$W63)/(33000*1.1)</f>
        <v>28.7642045454546</v>
      </c>
      <c r="Z63" s="1" t="n">
        <v>5</v>
      </c>
      <c r="AA63" s="2" t="n">
        <v>3</v>
      </c>
      <c r="AC63" s="1" t="n">
        <v>11</v>
      </c>
      <c r="AD63" s="4" t="n">
        <f aca="false">IF(AND(Z63&gt;0,AC63&gt;0),(AC63/((Z63+AA63)*10)),"")</f>
        <v>0.1375</v>
      </c>
      <c r="AE63" s="1" t="n">
        <v>18</v>
      </c>
      <c r="AF63" s="1" t="n">
        <f aca="false">ROUND(AE63*1.6, 0)</f>
        <v>29</v>
      </c>
      <c r="AI63" s="1" t="n">
        <v>8</v>
      </c>
      <c r="AL63" s="5" t="n">
        <v>0</v>
      </c>
      <c r="AM63" s="1" t="str">
        <f aca="false">CONCATENATE(VLOOKUP(AN63, 'Voxel Sizes'!$A$2:$B$18,2,FALSE()),"x",INT(AJ63*15), "x", INT(AK63*15))</f>
        <v>82x0x0</v>
      </c>
      <c r="AN63" s="1" t="n">
        <f aca="false">ROUND(15*((AI63*10)/256),0)</f>
        <v>5</v>
      </c>
      <c r="AO63" s="1" t="s">
        <v>196</v>
      </c>
      <c r="AP63" s="1" t="str">
        <f aca="false">CONCATENATE(VLOOKUP(AN63,Constants!$A$2:$C$16,IF(AO63&lt;&gt;"", 3, 2), FALSE()),IF(AO63&lt;&gt;"",CONCATENATE(",",VLOOKUP(AO63,$B:$AP,41,FALSE())),""))</f>
        <v>2,1,2,1,2,1</v>
      </c>
      <c r="AX63" s="1" t="n">
        <v>1</v>
      </c>
      <c r="AZ63" s="1" t="n">
        <v>26</v>
      </c>
      <c r="BA63" s="16" t="n">
        <f aca="false">IF(O63&lt;&gt;"",MAX(16,(O63-M63)+8),"")</f>
        <v>39</v>
      </c>
      <c r="BB63" s="1" t="n">
        <v>-26</v>
      </c>
      <c r="BC63" s="1" t="n">
        <v>-8</v>
      </c>
      <c r="BD63" s="1" t="n">
        <f aca="false">MIN(AE63/150, 1)*30</f>
        <v>3.6</v>
      </c>
      <c r="BE63" s="1" t="n">
        <f aca="false">MIN(Q63/4000, 1)*20</f>
        <v>0.15</v>
      </c>
      <c r="BF63" s="1" t="n">
        <f aca="false">MIN(AC63/400,1)*20</f>
        <v>0.55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15</v>
      </c>
      <c r="BM63" s="17" t="n">
        <f aca="false">BK63*IF($J63="wagon",62.5,781.25)</f>
        <v>7812.5</v>
      </c>
      <c r="BN63" s="17" t="n">
        <f aca="false">BL63*IF($J63="wagon",2.73,81.25)</f>
        <v>1218.75</v>
      </c>
      <c r="BY63" s="1" t="n">
        <v>11</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{GOLD}0.6 tiles{}</v>
      </c>
      <c r="CI63" s="1" t="str">
        <f aca="false">IF(0, VLOOKUP($CG63, Constants!$M:$N, 2, FALSE()),"")</f>
        <v/>
      </c>
      <c r="CJ63" s="1" t="str">
        <f aca="false">IF(P63&gt;1,_xlfn.CONCAT("{BLACK}Cars: {GOLD}", P63),"")</f>
        <v/>
      </c>
      <c r="CK63" s="1" t="s">
        <v>257</v>
      </c>
      <c r="CL63" s="1" t="str">
        <f aca="false">IF($BX63="concept_trains","{GREEN}Concept Vehicle",IF($BX63="!param_no_gameplay_units","{GREEN}Included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{GOLD}0.6 tiles{}{SILVER}Timothy Hackworth was an influential early locomotive engineer. The Royal George locomotive was built around the boiler from an earlier locomotive Chittaprat, and was capable of hauling heavy coal trains.</v>
      </c>
    </row>
    <row r="64" customFormat="false" ht="14.25" hidden="false" customHeight="false" outlineLevel="0" collapsed="false">
      <c r="A64" s="1" t="s">
        <v>258</v>
      </c>
      <c r="B64" s="15" t="s">
        <v>259</v>
      </c>
      <c r="C64" s="1" t="n">
        <v>103</v>
      </c>
      <c r="E64" s="1" t="n">
        <v>6</v>
      </c>
      <c r="G64" s="1" t="str">
        <f aca="false">IF($F64&lt;&gt;"",_xlfn.CONCAT(VLOOKUP($CE64, Constants!$T:$U, 2, FALSE()),",",$F64),VLOOKUP($CE64, Constants!$T:$U, 2, FALSE()))</f>
        <v>role/mixed</v>
      </c>
      <c r="H64" s="1" t="str">
        <f aca="false">IF($G64&lt;&gt;"",_xlfn.CONCAT(VLOOKUP($CG64, Constants!$M:$P, 4, FALSE()),",",$G64),VLOOKUP($CG64, Constants!$M:$P, 4, FALSE()))</f>
        <v>flag/GB,power/animal,role/mixed</v>
      </c>
      <c r="I64" s="1" t="s">
        <v>241</v>
      </c>
      <c r="J64" s="1" t="s">
        <v>259</v>
      </c>
      <c r="K64" s="1" t="s">
        <v>242</v>
      </c>
      <c r="L64" s="1" t="s">
        <v>243</v>
      </c>
      <c r="M64" s="1" t="n">
        <v>1829</v>
      </c>
      <c r="O64" s="1" t="n">
        <v>1842</v>
      </c>
      <c r="Q64" s="1" t="n">
        <v>10</v>
      </c>
      <c r="W64" s="18"/>
      <c r="Z64" s="1" t="n">
        <v>3</v>
      </c>
      <c r="AC64" s="1" t="n">
        <v>8</v>
      </c>
      <c r="AD64" s="4" t="n">
        <f aca="false">IF(AND(Z64&gt;0,AC64&gt;0),(AC64/((Z64+AA64)*10)),"")</f>
        <v>0.266666666666667</v>
      </c>
      <c r="AE64" s="1" t="n">
        <v>22</v>
      </c>
      <c r="AF64" s="1" t="n">
        <f aca="false">ROUND(AE64*1.6, 0)</f>
        <v>35</v>
      </c>
      <c r="AI64" s="1" t="n">
        <v>8</v>
      </c>
      <c r="AL64" s="5" t="n">
        <v>0</v>
      </c>
      <c r="AM64" s="1" t="str">
        <f aca="false">CONCATENATE(VLOOKUP(AN64, 'Voxel Sizes'!$A$2:$B$18,2,FALSE()),"x",INT(AJ64*15), "x", INT(AK64*15))</f>
        <v>82x0x0</v>
      </c>
      <c r="AN64" s="1" t="n">
        <f aca="false">ROUND(15*((AI64*10)/256),0)</f>
        <v>5</v>
      </c>
      <c r="AP64" s="1" t="str">
        <f aca="false">CONCATENATE(VLOOKUP(AN64,Constants!$A$2:$C$16,IF(AO64&lt;&gt;"", 3, 2), FALSE()),IF(AO64&lt;&gt;"",CONCATENATE(",",VLOOKUP(AO64,$B:$AP,41,FALSE())),""))</f>
        <v>2,1,2</v>
      </c>
      <c r="AX64" s="1" t="n">
        <v>1</v>
      </c>
      <c r="AZ64" s="1" t="n">
        <v>12</v>
      </c>
      <c r="BA64" s="16" t="n">
        <f aca="false">IF(O64&lt;&gt;"",MAX(16,(O64-M64)+8),"")</f>
        <v>21</v>
      </c>
      <c r="BB64" s="1" t="n">
        <v>-13</v>
      </c>
      <c r="BC64" s="1" t="n">
        <v>-1</v>
      </c>
      <c r="BD64" s="1" t="n">
        <f aca="false">MIN(AE64/150, 1)*30</f>
        <v>4.4</v>
      </c>
      <c r="BE64" s="1" t="n">
        <f aca="false">MIN(Q64/4000, 1)*20</f>
        <v>0.05</v>
      </c>
      <c r="BF64" s="1" t="n">
        <f aca="false">MIN(AC64/400,1)*20</f>
        <v>0.4</v>
      </c>
      <c r="BG64" s="4" t="n">
        <f aca="false">1-(MAX(M64-1900, 0)/750)</f>
        <v>1</v>
      </c>
      <c r="BH64" s="1" t="n">
        <f aca="false">((MAX($P64,1)*MIN($AL64/300,1)))*IF(J64="Wagon",50,10)</f>
        <v>0</v>
      </c>
      <c r="BI64" s="1" t="n">
        <f aca="false">VLOOKUP($K64,Constants!$I:$K, 2, FALSE())</f>
        <v>0.5</v>
      </c>
      <c r="BJ64" s="1" t="n">
        <f aca="false">VLOOKUP($K64,Constants!$I:$K, 3, FALSE())*IF(AND(J64="multiple_unit",AE64&lt;110),0.75,1)</f>
        <v>0.5</v>
      </c>
      <c r="BK64" s="1" t="n">
        <f aca="false">INT(POWER(((Constants!$G$2+$BD64+$BE64+$BF64+$BH64)*$BG64)*$BJ64, 1.05))+$BC64</f>
        <v>4</v>
      </c>
      <c r="BL64" s="1" t="n">
        <f aca="false">INT(POWER((((Constants!$G$1+$BD64+$BE64+$BF64+$BH64)*($BG64))*$BI64),IF($J64="wagon",1,1.2)))+$BB64</f>
        <v>2</v>
      </c>
      <c r="BM64" s="17" t="n">
        <f aca="false">BK64*IF($J64="wagon",62.5,781.25)</f>
        <v>3125</v>
      </c>
      <c r="BN64" s="17" t="n">
        <f aca="false">BL64*IF($J64="wagon",2.73,81.25)</f>
        <v>162.5</v>
      </c>
      <c r="BY64" s="1" t="n">
        <v>3</v>
      </c>
      <c r="CD64" s="1" t="str">
        <f aca="false">VLOOKUP(M64,Eras!$A$2:$C$10, 2, TRUE())</f>
        <v>early</v>
      </c>
      <c r="CE64" s="1" t="s">
        <v>129</v>
      </c>
      <c r="CF64" s="1" t="str">
        <f aca="false">CONCATENATE(CD64,"_",CE64)</f>
        <v>early_Mixed Traffic</v>
      </c>
      <c r="CG64" s="1" t="str">
        <f aca="false">_xlfn.CONCAT(K64, "_",L64)</f>
        <v>horses_PLATEWAY</v>
      </c>
      <c r="CH64" s="7" t="str">
        <f aca="false">_xlfn.CONCAT("{BLACK}Length: {GOLD}", TEXT(ROUNDUP(IF(AS64&lt;&gt;"",SUM(VALUE(_xlfn.TEXTSPLIT(AS64, ","))), SUM(VALUE(_xlfn.TEXTSPLIT(AP64, ",")))*IF(P64, P64, 1))/16, 1), "#,##0.0"), " tiles{}")</f>
        <v>{BLACK}Length: {GOLD}0.4 tiles{}</v>
      </c>
      <c r="CI64" s="1" t="str">
        <f aca="false">IF(0, VLOOKUP($CG64, Constants!$M:$N, 2, FALSE()),"")</f>
        <v/>
      </c>
      <c r="CJ64" s="1" t="str">
        <f aca="false">IF(P64&gt;1,_xlfn.CONCAT("{BLACK}Cars: {GOLD}", P64),"")</f>
        <v/>
      </c>
      <c r="CK64" s="1" t="s">
        <v>260</v>
      </c>
      <c r="CL64" s="1" t="str">
        <f aca="false">IF($BX64="concept_trains","{GREEN}Concept Vehicle",IF($BX64="!param_no_gameplay_units","{GREEN}Included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{GOLD}0.4 tiles{}{SILVER}Brandreth's "Cycloped" was the only entry in the Rainhill Trials not powered by steam. Unfortunately during the trials the horse burst through the floor, withdrawing it from the competition.</v>
      </c>
    </row>
    <row r="65" customFormat="false" ht="14.25" hidden="false" customHeight="false" outlineLevel="0" collapsed="false">
      <c r="A65" s="1" t="s">
        <v>261</v>
      </c>
      <c r="B65" s="15" t="s">
        <v>262</v>
      </c>
      <c r="C65" s="1" t="n">
        <v>104</v>
      </c>
      <c r="E65" s="1" t="n">
        <v>7</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241</v>
      </c>
      <c r="J65" s="1" t="s">
        <v>249</v>
      </c>
      <c r="K65" s="1" t="s">
        <v>250</v>
      </c>
      <c r="L65" s="1" t="s">
        <v>243</v>
      </c>
      <c r="M65" s="1" t="n">
        <v>1829</v>
      </c>
      <c r="O65" s="1" t="n">
        <v>1846</v>
      </c>
      <c r="Q65" s="1" t="n">
        <v>30</v>
      </c>
      <c r="S65" s="3" t="n">
        <v>8</v>
      </c>
      <c r="T65" s="3" t="n">
        <v>17</v>
      </c>
      <c r="U65" s="3" t="n">
        <v>2</v>
      </c>
      <c r="V65" s="3" t="n">
        <v>50</v>
      </c>
      <c r="W65" s="18" t="n">
        <f aca="false">((($AE65/2)/60)*5280)/($X65*3.2*PI())</f>
        <v>91.1825194797317</v>
      </c>
      <c r="X65" s="3" t="n">
        <v>1.44</v>
      </c>
      <c r="Y65" s="3" t="n">
        <f aca="false">((($S65*$S65/4)*PI())*($T65/12)*$U65*$V65*$W65)/(33000*1.1)</f>
        <v>17.8872053872054</v>
      </c>
      <c r="Z65" s="1" t="n">
        <v>4</v>
      </c>
      <c r="AA65" s="2" t="n">
        <v>3</v>
      </c>
      <c r="AC65" s="1" t="n">
        <v>8.5</v>
      </c>
      <c r="AD65" s="4" t="n">
        <f aca="false">IF(AND(Z65&gt;0,AC65&gt;0),(AC65/((Z65+AA65)*10)),"")</f>
        <v>0.121428571428571</v>
      </c>
      <c r="AE65" s="1" t="n">
        <v>30</v>
      </c>
      <c r="AF65" s="1" t="n">
        <f aca="false">ROUND(AE65*1.6, 0)</f>
        <v>48</v>
      </c>
      <c r="AI65" s="1" t="n">
        <v>6</v>
      </c>
      <c r="AL65" s="5" t="n">
        <v>0</v>
      </c>
      <c r="AM65" s="1" t="str">
        <f aca="false">CONCATENATE(VLOOKUP(AN65, 'Voxel Sizes'!$A$2:$B$18,2,FALSE()),"x",INT(AJ65*15), "x", INT(AK65*15))</f>
        <v>60x0x0</v>
      </c>
      <c r="AN65" s="1" t="n">
        <f aca="false">ROUND(15*((AI65*10)/256),0)</f>
        <v>4</v>
      </c>
      <c r="AO65" s="1" t="s">
        <v>198</v>
      </c>
      <c r="AP65" s="1" t="str">
        <f aca="false">CONCATENATE(VLOOKUP(AN65,Constants!$A$2:$C$16,IF(AO65&lt;&gt;"", 3, 2), FALSE()),IF(AO65&lt;&gt;"",CONCATENATE(",",VLOOKUP(AO65,$B:$AP,41,FALSE())),""))</f>
        <v>1,2,1,1,2,1</v>
      </c>
      <c r="AX65" s="1" t="n">
        <v>1</v>
      </c>
      <c r="AZ65" s="1" t="n">
        <v>22</v>
      </c>
      <c r="BA65" s="16" t="n">
        <f aca="false">IF(O65&lt;&gt;"",MAX(16,(O65-M65)+8),"")</f>
        <v>25</v>
      </c>
      <c r="BB65" s="1" t="n">
        <v>-28</v>
      </c>
      <c r="BC65" s="1" t="n">
        <v>-12</v>
      </c>
      <c r="BD65" s="1" t="n">
        <f aca="false">MIN(AE65/150, 1)*30</f>
        <v>6</v>
      </c>
      <c r="BE65" s="1" t="n">
        <f aca="false">MIN(Q65/4000, 1)*20</f>
        <v>0.15</v>
      </c>
      <c r="BF65" s="1" t="n">
        <f aca="false">MIN(AC65/400,1)*20</f>
        <v>0.425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10</v>
      </c>
      <c r="BL65" s="1" t="n">
        <f aca="false">INT(POWER((((Constants!$G$1+$BD65+$BE65+$BF65+$BH65)*($BG65))*$BI65),IF($J65="wagon",1,1.2)))+$BB65</f>
        <v>19</v>
      </c>
      <c r="BM65" s="17" t="n">
        <f aca="false">BK65*IF($J65="wagon",62.5,781.25)</f>
        <v>7812.5</v>
      </c>
      <c r="BN65" s="17" t="n">
        <f aca="false">BL65*IF($J65="wagon",2.73,81.25)</f>
        <v>1543.75</v>
      </c>
      <c r="BY65" s="1" t="n">
        <v>3</v>
      </c>
      <c r="CD65" s="1" t="str">
        <f aca="false">VLOOKUP(M65,Eras!$A$2:$C$10, 2, TRUE())</f>
        <v>early</v>
      </c>
      <c r="CE65" s="1" t="s">
        <v>129</v>
      </c>
      <c r="CF65" s="1" t="str">
        <f aca="false">CONCATENATE(CD65,"_",CE65)</f>
        <v>early_Mixed Traffic</v>
      </c>
      <c r="CG65" s="1" t="str">
        <f aca="false">_xlfn.CONCAT(K65, "_",L65)</f>
        <v>steam_PLATEWAY</v>
      </c>
      <c r="CH65" s="7" t="str">
        <f aca="false">_xlfn.CONCAT("{BLACK}Length: {GOLD}", TEXT(ROUNDUP(IF(AS65&lt;&gt;"",SUM(VALUE(_xlfn.TEXTSPLIT(AS65, ","))), SUM(VALUE(_xlfn.TEXTSPLIT(AP65, ",")))*IF(P65, P65, 1))/16, 1), "#,##0.0"), " tiles{}")</f>
        <v>{BLACK}Length: {GOLD}0.5 tiles{}</v>
      </c>
      <c r="CI65" s="1" t="str">
        <f aca="false">IF(0, VLOOKUP($CG65, Constants!$M:$N, 2, FALSE()),"")</f>
        <v/>
      </c>
      <c r="CJ65" s="1" t="str">
        <f aca="false">IF(P65&gt;1,_xlfn.CONCAT("{BLACK}Cars: {GOLD}", P65),"")</f>
        <v/>
      </c>
      <c r="CK65" s="1" t="s">
        <v>263</v>
      </c>
      <c r="CL65" s="1" t="str">
        <f aca="false">IF($BX65="concept_trains","{GREEN}Concept Vehicle",IF($BX65="!param_no_gameplay_units","{GREEN}Included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{GOLD}0.5 tiles{}{SILVER}Although not the first steam locomotive, Rocket's advanced design and success in the Rainhill trials made it the pivotal design for steam engines to replace horses on the railway.</v>
      </c>
    </row>
    <row r="66" customFormat="false" ht="14.25" hidden="false" customHeight="false" outlineLevel="0" collapsed="false">
      <c r="A66" s="1" t="s">
        <v>264</v>
      </c>
      <c r="B66" s="15" t="s">
        <v>265</v>
      </c>
      <c r="C66" s="1" t="n">
        <v>105</v>
      </c>
      <c r="E66" s="1" t="n">
        <v>8</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241</v>
      </c>
      <c r="J66" s="1" t="s">
        <v>249</v>
      </c>
      <c r="K66" s="1" t="s">
        <v>250</v>
      </c>
      <c r="L66" s="1" t="s">
        <v>243</v>
      </c>
      <c r="M66" s="1" t="n">
        <v>1830</v>
      </c>
      <c r="O66" s="1" t="n">
        <v>1850</v>
      </c>
      <c r="Q66" s="1" t="n">
        <v>50</v>
      </c>
      <c r="S66" s="3" t="n">
        <v>11</v>
      </c>
      <c r="T66" s="3" t="n">
        <v>16</v>
      </c>
      <c r="U66" s="3" t="n">
        <v>2</v>
      </c>
      <c r="V66" s="3" t="n">
        <v>50</v>
      </c>
      <c r="W66" s="18" t="n">
        <f aca="false">((($AE66/2)/60)*5280)/($X66*3.2*PI())</f>
        <v>100.780679424967</v>
      </c>
      <c r="X66" s="3" t="n">
        <v>1.52</v>
      </c>
      <c r="Y66" s="3" t="n">
        <f aca="false">((($S66*$S66/4)*PI())*($T66/12)*$U66*$V66*$W66)/(33000*1.1)</f>
        <v>35.1790935672515</v>
      </c>
      <c r="Z66" s="1" t="n">
        <v>4.3</v>
      </c>
      <c r="AA66" s="2" t="n">
        <v>3</v>
      </c>
      <c r="AC66" s="1" t="n">
        <v>8.5</v>
      </c>
      <c r="AD66" s="4" t="n">
        <f aca="false">IF(AND(Z66&gt;0,AC66&gt;0),(AC66/((Z66+AA66)*10)),"")</f>
        <v>0.116438356164384</v>
      </c>
      <c r="AE66" s="1" t="n">
        <v>35</v>
      </c>
      <c r="AF66" s="1" t="n">
        <f aca="false">ROUND(AE66*1.6, 0)</f>
        <v>56</v>
      </c>
      <c r="AI66" s="1" t="n">
        <v>6</v>
      </c>
      <c r="AL66" s="5" t="n">
        <v>0</v>
      </c>
      <c r="AM66" s="1" t="str">
        <f aca="false">CONCATENATE(VLOOKUP(AN66, 'Voxel Sizes'!$A$2:$B$18,2,FALSE()),"x",INT(AJ66*15), "x", INT(AK66*15))</f>
        <v>60x0x0</v>
      </c>
      <c r="AN66" s="1" t="n">
        <f aca="false">ROUND(15*((AI66*10)/256),0)</f>
        <v>4</v>
      </c>
      <c r="AO66" s="1" t="s">
        <v>200</v>
      </c>
      <c r="AP66" s="1" t="str">
        <f aca="false">CONCATENATE(VLOOKUP(AN66,Constants!$A$2:$C$16,IF(AO66&lt;&gt;"", 3, 2), FALSE()),IF(AO66&lt;&gt;"",CONCATENATE(",",VLOOKUP(AO66,$B:$AP,41,FALSE())),""))</f>
        <v>1,2,1,1,2,1</v>
      </c>
      <c r="AZ66" s="1" t="n">
        <v>26</v>
      </c>
      <c r="BA66" s="16" t="n">
        <f aca="false">IF(O66&lt;&gt;"",MAX(16,(O66-M66)+8),"")</f>
        <v>28</v>
      </c>
      <c r="BB66" s="1" t="n">
        <v>-24</v>
      </c>
      <c r="BC66" s="1" t="n">
        <v>-12</v>
      </c>
      <c r="BD66" s="1" t="n">
        <f aca="false">MIN(AE66/150, 1)*30</f>
        <v>7</v>
      </c>
      <c r="BE66" s="1" t="n">
        <f aca="false">MIN(Q66/4000, 1)*20</f>
        <v>0.25</v>
      </c>
      <c r="BF66" s="1" t="n">
        <f aca="false">MIN(AC66/400,1)*20</f>
        <v>0.425</v>
      </c>
      <c r="BG66" s="4" t="n">
        <f aca="false">1-(MAX(M66-1900, 0)/750)</f>
        <v>1</v>
      </c>
      <c r="BH66" s="1"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13</v>
      </c>
      <c r="BL66" s="1" t="n">
        <f aca="false">INT(POWER((((Constants!$G$1+$BD66+$BE66+$BF66+$BH66)*($BG66))*$BI66),IF($J66="wagon",1,1.2)))+$BB66</f>
        <v>26</v>
      </c>
      <c r="BM66" s="17" t="n">
        <f aca="false">BK66*IF($J66="wagon",62.5,781.25)</f>
        <v>10156.25</v>
      </c>
      <c r="BN66" s="17" t="n">
        <f aca="false">BL66*IF($J66="wagon",2.73,81.25)</f>
        <v>2112.5</v>
      </c>
      <c r="BY66" s="1" t="n">
        <v>9</v>
      </c>
      <c r="CD66" s="1" t="str">
        <f aca="false">VLOOKUP(M66,Eras!$A$2:$C$10, 2, TRUE())</f>
        <v>early</v>
      </c>
      <c r="CE66" s="1" t="s">
        <v>129</v>
      </c>
      <c r="CF66" s="1" t="str">
        <f aca="false">CONCATENATE(CD66,"_",CE66)</f>
        <v>early_Mixed Traffic</v>
      </c>
      <c r="CG66" s="1" t="str">
        <f aca="false">_xlfn.CONCAT(K66, "_",L66)</f>
        <v>steam_PLATEWAY</v>
      </c>
      <c r="CH66" s="7" t="str">
        <f aca="false">_xlfn.CONCAT("{BLACK}Length: {GOLD}", TEXT(ROUNDUP(IF(AS66&lt;&gt;"",SUM(VALUE(_xlfn.TEXTSPLIT(AS66, ","))), SUM(VALUE(_xlfn.TEXTSPLIT(AP66, ",")))*IF(P66, P66, 1))/16, 1), "#,##0.0"), " tiles{}")</f>
        <v>{BLACK}Length: {GOLD}0.5 tiles{}</v>
      </c>
      <c r="CI66" s="1" t="str">
        <f aca="false">IF(0, VLOOKUP($CG66, Constants!$M:$N, 2, FALSE()),"")</f>
        <v/>
      </c>
      <c r="CJ66" s="1" t="str">
        <f aca="false">IF(P66&gt;1,_xlfn.CONCAT("{BLACK}Cars: {GOLD}", P66),"")</f>
        <v/>
      </c>
      <c r="CK66" s="1" t="s">
        <v>266</v>
      </c>
      <c r="CL66" s="1" t="str">
        <f aca="false">IF($BX66="concept_trains","{GREEN}Concept Vehicle",IF($BX66="!param_no_gameplay_units","{GREEN}Included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{GOLD}0.5 tiles{}{SILVER}Stephenson's "Planet" locomotives made several improvements to the Rocket design, including being the first locomotive to feature cylinders inside the frame.</v>
      </c>
    </row>
    <row r="67" customFormat="false" ht="14.25" hidden="false" customHeight="false" outlineLevel="0" collapsed="false">
      <c r="A67" s="1" t="s">
        <v>267</v>
      </c>
      <c r="B67" s="15" t="s">
        <v>268</v>
      </c>
      <c r="C67" s="1" t="n">
        <v>106</v>
      </c>
      <c r="E67" s="1" t="n">
        <v>9</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241</v>
      </c>
      <c r="J67" s="1" t="s">
        <v>249</v>
      </c>
      <c r="K67" s="1" t="s">
        <v>250</v>
      </c>
      <c r="L67" s="1" t="s">
        <v>192</v>
      </c>
      <c r="M67" s="1" t="n">
        <v>1833</v>
      </c>
      <c r="O67" s="1" t="n">
        <v>1865</v>
      </c>
      <c r="Q67" s="1" t="n">
        <v>75</v>
      </c>
      <c r="S67" s="3" t="n">
        <v>11</v>
      </c>
      <c r="T67" s="3" t="n">
        <v>16</v>
      </c>
      <c r="U67" s="3" t="n">
        <v>2</v>
      </c>
      <c r="V67" s="3" t="n">
        <v>50</v>
      </c>
      <c r="W67" s="18" t="n">
        <f aca="false">((($AE67/2)/60)*5280)/($X67*3.2*PI())</f>
        <v>109.419023375678</v>
      </c>
      <c r="X67" s="3" t="n">
        <v>1.52</v>
      </c>
      <c r="Y67" s="3" t="n">
        <f aca="false">((($S67*$S67/4)*PI())*($T67/12)*$U67*$V67*$W67)/(33000*1.1)</f>
        <v>38.1944444444444</v>
      </c>
      <c r="Z67" s="1" t="n">
        <v>5</v>
      </c>
      <c r="AA67" s="2" t="n">
        <v>3</v>
      </c>
      <c r="AC67" s="1" t="n">
        <v>11</v>
      </c>
      <c r="AD67" s="4" t="n">
        <f aca="false">IF(AND(Z67&gt;0,AC67&gt;0),(AC67/((Z67+AA67)*10)),"")</f>
        <v>0.1375</v>
      </c>
      <c r="AE67" s="1" t="n">
        <v>38</v>
      </c>
      <c r="AF67" s="1" t="n">
        <f aca="false">ROUND(AE67*1.6, 0)</f>
        <v>61</v>
      </c>
      <c r="AI67" s="1" t="n">
        <v>8</v>
      </c>
      <c r="AL67" s="5" t="n">
        <v>0</v>
      </c>
      <c r="AM67" s="1" t="str">
        <f aca="false">CONCATENATE(VLOOKUP(AN67, 'Voxel Sizes'!$A$2:$B$18,2,FALSE()),"x",INT(AJ67*15), "x", INT(AK67*15))</f>
        <v>82x0x0</v>
      </c>
      <c r="AN67" s="1" t="n">
        <f aca="false">ROUND(15*((AI67*10)/256),0)</f>
        <v>5</v>
      </c>
      <c r="AO67" s="1" t="s">
        <v>200</v>
      </c>
      <c r="AP67" s="1" t="str">
        <f aca="false">CONCATENATE(VLOOKUP(AN67,Constants!$A$2:$C$16,IF(AO67&lt;&gt;"", 3, 2), FALSE()),IF(AO67&lt;&gt;"",CONCATENATE(",",VLOOKUP(AO67,$B:$AP,41,FALSE())),""))</f>
        <v>2,1,2,1,2,1</v>
      </c>
      <c r="AZ67" s="1" t="n">
        <v>28</v>
      </c>
      <c r="BA67" s="16" t="n">
        <f aca="false">IF(O67&lt;&gt;"",MAX(16,(O67-M67)+8),"")</f>
        <v>40</v>
      </c>
      <c r="BB67" s="1" t="n">
        <v>-16</v>
      </c>
      <c r="BC67" s="1" t="n">
        <v>-10</v>
      </c>
      <c r="BD67" s="1" t="n">
        <f aca="false">MIN(AE67/150, 1)*30</f>
        <v>7.6</v>
      </c>
      <c r="BE67" s="1" t="n">
        <f aca="false">MIN(Q67/4000, 1)*20</f>
        <v>0.375</v>
      </c>
      <c r="BF67" s="1" t="n">
        <f aca="false">MIN(AC67/400,1)*20</f>
        <v>0.55</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16</v>
      </c>
      <c r="BL67" s="1" t="n">
        <f aca="false">INT(POWER((((Constants!$G$1+$BD67+$BE67+$BF67+$BH67)*($BG67))*$BI67),IF($J67="wagon",1,1.2)))+$BB67</f>
        <v>36</v>
      </c>
      <c r="BM67" s="17" t="n">
        <f aca="false">BK67*IF($J67="wagon",62.5,781.25)</f>
        <v>12500</v>
      </c>
      <c r="BN67" s="17" t="n">
        <f aca="false">BL67*IF($J67="wagon",2.73,81.25)</f>
        <v>2925</v>
      </c>
      <c r="BY67" s="1" t="n">
        <v>9</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IF(0, VLOOKUP($CG67, Constants!$M:$N, 2, FALSE()),"")</f>
        <v/>
      </c>
      <c r="CJ67" s="1" t="str">
        <f aca="false">IF(P67&gt;1,_xlfn.CONCAT("{BLACK}Cars: {GOLD}", P67),"")</f>
        <v/>
      </c>
      <c r="CK67" s="1" t="s">
        <v>269</v>
      </c>
      <c r="CL67" s="1" t="str">
        <f aca="false">IF($BX67="concept_trains","{GREEN}Concept Vehicle",IF($BX67="!param_no_gameplay_units","{GREEN}Included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tiles{}{SILVER}The Patentee was an enlarged version of the Planet type with an additional trailing rear axle, making it more stable and allowing a larger firebox.</v>
      </c>
    </row>
    <row r="68" customFormat="false" ht="14.25" hidden="false" customHeight="false" outlineLevel="0" collapsed="false">
      <c r="A68" s="1" t="s">
        <v>270</v>
      </c>
      <c r="B68" s="19" t="s">
        <v>271</v>
      </c>
      <c r="C68" s="1" t="n">
        <v>1021</v>
      </c>
      <c r="E68" s="1" t="n">
        <v>10</v>
      </c>
      <c r="G68" s="1" t="str">
        <f aca="false">IF($F68&lt;&gt;"",_xlfn.CONCAT(VLOOKUP($CE68, Constants!$T:$U, 2, FALSE()),",",$F68),VLOOKUP($CE68, Constants!$T:$U, 2, FALSE()))</f>
        <v>role/mixed</v>
      </c>
      <c r="H68" s="1" t="str">
        <f aca="false">IF($G68&lt;&gt;"",_xlfn.CONCAT(VLOOKUP($CG68, Constants!$M:$P, 4, FALSE()),",",$G68),VLOOKUP($CG68, Constants!$M:$P, 4, FALSE()))</f>
        <v>flag/GB,power/steam,role/mixed</v>
      </c>
      <c r="I68" s="1" t="s">
        <v>241</v>
      </c>
      <c r="J68" s="1" t="s">
        <v>249</v>
      </c>
      <c r="K68" s="1" t="s">
        <v>250</v>
      </c>
      <c r="L68" s="1" t="s">
        <v>192</v>
      </c>
      <c r="M68" s="1" t="n">
        <v>1834</v>
      </c>
      <c r="O68" s="1" t="n">
        <v>1860</v>
      </c>
      <c r="Q68" s="1" t="n">
        <v>85</v>
      </c>
      <c r="S68" s="3" t="n">
        <v>11</v>
      </c>
      <c r="T68" s="3" t="n">
        <v>16</v>
      </c>
      <c r="U68" s="3" t="n">
        <v>2</v>
      </c>
      <c r="V68" s="3" t="n">
        <v>50</v>
      </c>
      <c r="W68" s="18" t="n">
        <f aca="false">((($AE68/2)/60)*5280)/($X68*3.2*PI())</f>
        <v>106.750266707979</v>
      </c>
      <c r="X68" s="3" t="n">
        <v>1.435</v>
      </c>
      <c r="Y68" s="3" t="n">
        <f aca="false">((($S68*$S68/4)*PI())*($T68/12)*$U68*$V68*$W68)/(33000*1.1)</f>
        <v>37.2628726287263</v>
      </c>
      <c r="Z68" s="1" t="n">
        <v>6</v>
      </c>
      <c r="AA68" s="2" t="n">
        <v>4</v>
      </c>
      <c r="AC68" s="1" t="n">
        <v>15</v>
      </c>
      <c r="AD68" s="4" t="n">
        <f aca="false">IF(AND(Z68&gt;0,AC68&gt;0),(AC68/((Z68+AA68)*10)),"")</f>
        <v>0.15</v>
      </c>
      <c r="AE68" s="1" t="n">
        <v>35</v>
      </c>
      <c r="AF68" s="1" t="n">
        <f aca="false">ROUND(AE68*1.6, 0)</f>
        <v>56</v>
      </c>
      <c r="AI68" s="1" t="n">
        <v>8</v>
      </c>
      <c r="AL68" s="5" t="n">
        <v>0</v>
      </c>
      <c r="AM68" s="1" t="str">
        <f aca="false">CONCATENATE(VLOOKUP(AN68, 'Voxel Sizes'!$A$2:$B$18,2,FALSE()),"x",INT(AJ68*15), "x", INT(AK68*15))</f>
        <v>82x0x0</v>
      </c>
      <c r="AN68" s="16" t="n">
        <f aca="false">ROUND(15*((AI68*10)/256),0)</f>
        <v>5</v>
      </c>
      <c r="AP68" s="1" t="str">
        <f aca="false">CONCATENATE(VLOOKUP(AN68,Constants!$A$2:$C$16,IF(AO68&lt;&gt;"", 3, 2), FALSE()),IF(AO68&lt;&gt;"",CONCATENATE(",",VLOOKUP(AO68,$B:$AP,41,FALSE())),""))</f>
        <v>2,1,2</v>
      </c>
      <c r="AX68" s="1" t="n">
        <v>1</v>
      </c>
      <c r="AZ68" s="1" t="n">
        <v>29</v>
      </c>
      <c r="BA68" s="16" t="n">
        <f aca="false">IF(O68&lt;&gt;"",MAX(16,(O68-M68)+8),"")</f>
        <v>34</v>
      </c>
      <c r="BB68" s="1" t="n">
        <v>-16</v>
      </c>
      <c r="BC68" s="1" t="n">
        <v>-8</v>
      </c>
      <c r="BD68" s="20" t="n">
        <f aca="false">MIN(AE68/150, 1)*30</f>
        <v>7</v>
      </c>
      <c r="BE68" s="20" t="n">
        <f aca="false">MIN(Q68/4000, 1)*20</f>
        <v>0.425</v>
      </c>
      <c r="BF68" s="20" t="n">
        <f aca="false">MIN(AC68/400,1)*20</f>
        <v>0.75</v>
      </c>
      <c r="BG68" s="21" t="n">
        <f aca="false">1-(MAX(M68-1900, 0)/750)</f>
        <v>1</v>
      </c>
      <c r="BH68" s="20" t="n">
        <f aca="false">((MAX($P68,1)*MIN($AL68/300,1)))*IF(J68="Wagon",50,10)</f>
        <v>0</v>
      </c>
      <c r="BI68" s="1" t="n">
        <f aca="false">VLOOKUP($K68,Constants!$I:$K, 2, FALSE())</f>
        <v>1.15</v>
      </c>
      <c r="BJ68" s="1" t="n">
        <f aca="false">VLOOKUP($K68,Constants!$I:$K, 3, FALSE())*IF(AND(J68="multiple_unit",AE68&lt;110),0.75,1)</f>
        <v>1.7</v>
      </c>
      <c r="BK68" s="1" t="n">
        <f aca="false">INT(POWER(((Constants!$G$2+$BD68+$BE68+$BF68+$BH68)*$BG68)*$BJ68, 1.05))+$BC68</f>
        <v>18</v>
      </c>
      <c r="BL68" s="1" t="n">
        <f aca="false">INT(POWER((((Constants!$G$1+$BD68+$BE68+$BF68+$BH68)*($BG68))*$BI68),IF($J68="wagon",1,1.2)))+$BB68</f>
        <v>35</v>
      </c>
      <c r="BM68" s="22" t="n">
        <f aca="false">BK68*IF($J68="wagon",62.5,781.25)</f>
        <v>14062.5</v>
      </c>
      <c r="BN68" s="22" t="n">
        <f aca="false">BL68*IF($J68="wagon",2.73,81.25)</f>
        <v>2843.75</v>
      </c>
      <c r="BY68" s="1" t="n">
        <v>5</v>
      </c>
      <c r="CD68" s="23" t="s">
        <v>272</v>
      </c>
      <c r="CE68" s="1" t="s">
        <v>129</v>
      </c>
      <c r="CF68" s="23" t="str">
        <f aca="false">CONCATENATE(CD68,"_",CE68)</f>
        <v>early_Mixed Traffic</v>
      </c>
      <c r="CG68" s="23" t="str">
        <f aca="false">_xlfn.CONCAT(K68, "_",L68)</f>
        <v>steam_RAIL</v>
      </c>
      <c r="CH68" s="7" t="str">
        <f aca="false">_xlfn.CONCAT("{BLACK}Length: {GOLD}", TEXT(ROUNDUP(IF(AS68&lt;&gt;"",SUM(VALUE(_xlfn.TEXTSPLIT(AS68, ","))), SUM(VALUE(_xlfn.TEXTSPLIT(AP68, ",")))*IF(P68, P68, 1))/16, 1), "#,##0.0"), " tiles{}")</f>
        <v>{BLACK}Length: {GOLD}0.4 tiles{}</v>
      </c>
      <c r="CI68" s="1" t="str">
        <f aca="false">IF(0, VLOOKUP($CG68, Constants!$M:$N, 2, FALSE()),"")</f>
        <v/>
      </c>
      <c r="CJ68" s="1" t="str">
        <f aca="false">IF(P68&gt;1,_xlfn.CONCAT("{BLACK}Cars: {GOLD}", P68),"")</f>
        <v/>
      </c>
      <c r="CK68" s="1" t="s">
        <v>273</v>
      </c>
      <c r="CL68" s="1" t="str">
        <f aca="false">IF($BX68="concept_trains","{GREEN}Concept Vehicle",IF($BX68="!param_no_gameplay_units","{GREEN}Included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tiles{}{SILVER}George Forrester and Company built the first passenger tank locomotive to enter service. They were supplied to multiple railways in both tank and tender forms.</v>
      </c>
    </row>
    <row r="69" customFormat="false" ht="14.25" hidden="false" customHeight="false" outlineLevel="0" collapsed="false">
      <c r="A69" s="1" t="s">
        <v>274</v>
      </c>
      <c r="B69" s="15" t="s">
        <v>275</v>
      </c>
      <c r="C69" s="1" t="n">
        <v>107</v>
      </c>
      <c r="E69" s="1" t="n">
        <v>11</v>
      </c>
      <c r="G69" s="1" t="str">
        <f aca="false">IF($F69&lt;&gt;"",_xlfn.CONCAT(VLOOKUP($CE69, Constants!$T:$U, 2, FALSE()),",",$F69),VLOOKUP($CE69, Constants!$T:$U, 2, FALSE()))</f>
        <v>role/mixed</v>
      </c>
      <c r="H69" s="1" t="str">
        <f aca="false">IF($G69&lt;&gt;"",_xlfn.CONCAT(VLOOKUP($CG69, Constants!$M:$P, 4, FALSE()),",",$G69),VLOOKUP($CG69, Constants!$M:$P, 4, FALSE()))</f>
        <v>flag/GB,power/steam,role/mixed</v>
      </c>
      <c r="I69" s="1" t="s">
        <v>241</v>
      </c>
      <c r="J69" s="1" t="s">
        <v>249</v>
      </c>
      <c r="K69" s="1" t="s">
        <v>250</v>
      </c>
      <c r="L69" s="1" t="s">
        <v>192</v>
      </c>
      <c r="M69" s="1" t="n">
        <v>1838</v>
      </c>
      <c r="O69" s="1" t="n">
        <v>1870</v>
      </c>
      <c r="Q69" s="1" t="n">
        <v>100</v>
      </c>
      <c r="S69" s="3" t="n">
        <v>14</v>
      </c>
      <c r="T69" s="3" t="n">
        <v>18</v>
      </c>
      <c r="U69" s="3" t="n">
        <v>2</v>
      </c>
      <c r="V69" s="3" t="n">
        <v>50</v>
      </c>
      <c r="W69" s="18" t="n">
        <f aca="false">((($AE69/2)/60)*5280)/($X69*3.2*PI())</f>
        <v>116.713624934057</v>
      </c>
      <c r="X69" s="3" t="n">
        <v>1.5</v>
      </c>
      <c r="Y69" s="3" t="n">
        <f aca="false">((($S69*$S69/4)*PI())*($T69/12)*$U69*$V69*$W69)/(33000*1.1)</f>
        <v>74.2424242424242</v>
      </c>
      <c r="Z69" s="1" t="n">
        <v>8</v>
      </c>
      <c r="AA69" s="2" t="n">
        <v>4</v>
      </c>
      <c r="AC69" s="1" t="n">
        <v>18</v>
      </c>
      <c r="AD69" s="4" t="n">
        <f aca="false">IF(AND(Z69&gt;0,AC69&gt;0),(AC69/((Z69+AA69)*10)),"")</f>
        <v>0.15</v>
      </c>
      <c r="AE69" s="1" t="n">
        <v>40</v>
      </c>
      <c r="AF69" s="1" t="n">
        <f aca="false">ROUND(AE69*1.6, 0)</f>
        <v>64</v>
      </c>
      <c r="AI69" s="1" t="n">
        <v>8</v>
      </c>
      <c r="AL69" s="5" t="n">
        <v>0</v>
      </c>
      <c r="AM69" s="1" t="str">
        <f aca="false">CONCATENATE(VLOOKUP(AN69, 'Voxel Sizes'!$A$2:$B$18,2,FALSE()),"x",INT(AJ69*15), "x", INT(AK69*15))</f>
        <v>82x0x0</v>
      </c>
      <c r="AN69" s="1" t="n">
        <f aca="false">ROUND(15*((AI69*10)/256),0)</f>
        <v>5</v>
      </c>
      <c r="AO69" s="1" t="s">
        <v>202</v>
      </c>
      <c r="AP69" s="1" t="str">
        <f aca="false">CONCATENATE(VLOOKUP(AN69,Constants!$A$2:$C$16,IF(AO69&lt;&gt;"", 3, 2), FALSE()),IF(AO69&lt;&gt;"",CONCATENATE(",",VLOOKUP(AO69,$B:$AP,41,FALSE())),""))</f>
        <v>2,1,2,1,2,1</v>
      </c>
      <c r="AX69" s="1" t="n">
        <v>1</v>
      </c>
      <c r="AZ69" s="1" t="n">
        <v>32</v>
      </c>
      <c r="BA69" s="16" t="n">
        <f aca="false">IF(O69&lt;&gt;"",MAX(16,(O69-M69)+8),"")</f>
        <v>40</v>
      </c>
      <c r="BB69" s="1" t="n">
        <v>-5</v>
      </c>
      <c r="BC69" s="1" t="n">
        <v>-8</v>
      </c>
      <c r="BD69" s="1" t="n">
        <f aca="false">MIN(AE69/150, 1)*30</f>
        <v>8</v>
      </c>
      <c r="BE69" s="1" t="n">
        <f aca="false">MIN(Q69/4000, 1)*20</f>
        <v>0.5</v>
      </c>
      <c r="BF69" s="1" t="n">
        <f aca="false">MIN(AC69/400,1)*20</f>
        <v>0.9</v>
      </c>
      <c r="BG69" s="4" t="n">
        <f aca="false">1-(MAX(M69-1900, 0)/750)</f>
        <v>1</v>
      </c>
      <c r="BH69" s="1"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20</v>
      </c>
      <c r="BL69" s="1" t="n">
        <f aca="false">INT(POWER((((Constants!$G$1+$BD69+$BE69+$BF69+$BH69)*($BG69))*$BI69),IF($J69="wagon",1,1.2)))+$BB69</f>
        <v>49</v>
      </c>
      <c r="BM69" s="17" t="n">
        <f aca="false">BK69*IF($J69="wagon",62.5,781.25)</f>
        <v>15625</v>
      </c>
      <c r="BN69" s="17" t="n">
        <f aca="false">BL69*IF($J69="wagon",2.73,81.25)</f>
        <v>3981.25</v>
      </c>
      <c r="BY69" s="1" t="n">
        <v>5</v>
      </c>
      <c r="CD69" s="1" t="str">
        <f aca="false">VLOOKUP(M69,Eras!$A$2:$C$10, 2, TRUE())</f>
        <v>early</v>
      </c>
      <c r="CE69" s="1" t="s">
        <v>129</v>
      </c>
      <c r="CF69" s="1" t="str">
        <f aca="false">CONCATENATE(CD69,"_",CE69)</f>
        <v>early_Mixed Traffic</v>
      </c>
      <c r="CG69" s="1" t="str">
        <f aca="false">_xlfn.CONCAT(K69, "_",L69)</f>
        <v>steam_RAIL</v>
      </c>
      <c r="CH69" s="7" t="str">
        <f aca="false">_xlfn.CONCAT("{BLACK}Length: {GOLD}", TEXT(ROUNDUP(IF(AS69&lt;&gt;"",SUM(VALUE(_xlfn.TEXTSPLIT(AS69, ","))), SUM(VALUE(_xlfn.TEXTSPLIT(AP69, ",")))*IF(P69, P69, 1))/16, 1), "#,##0.0"), " tiles{}")</f>
        <v>{BLACK}Length: {GOLD}0.6 tiles{}</v>
      </c>
      <c r="CI69" s="1" t="str">
        <f aca="false">IF(0, VLOOKUP($CG69, Constants!$M:$N, 2, FALSE()),"")</f>
        <v/>
      </c>
      <c r="CJ69" s="1" t="str">
        <f aca="false">IF(P69&gt;1,_xlfn.CONCAT("{BLACK}Cars: {GOLD}", P69),"")</f>
        <v/>
      </c>
      <c r="CK69" s="1" t="s">
        <v>276</v>
      </c>
      <c r="CL69" s="1" t="str">
        <f aca="false">IF($BX69="concept_trains","{GREEN}Concept Vehicle",IF($BX69="!param_no_gameplay_units","{GREEN}Included for gameplay purposes",""))</f>
        <v/>
      </c>
      <c r="CM69" s="1" t="str">
        <f aca="false">IF(CA69="buffet","{YELLOW}25% long distance bonus for consist{}",IF(CC69="BRAKE","{YELLOW}Speed bonus for slow wagons{}",IF(BZ69&gt;190,CONCATENATE("{YELLOW}",INT((BZ69-185)/1.85),"%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{GOLD}0.6 tiles{}{SILVER}The Liverpool and Manchester Railway's "Lion" is most famous for its appearance in the 1953 film "The Titfield Thunderbolt", in which it sustained a dent which can still be seen today.</v>
      </c>
    </row>
    <row r="70" customFormat="false" ht="14.25" hidden="false" customHeight="false" outlineLevel="0" collapsed="false">
      <c r="A70" s="1" t="s">
        <v>277</v>
      </c>
      <c r="B70" s="19" t="s">
        <v>278</v>
      </c>
      <c r="C70" s="1" t="n">
        <v>-1</v>
      </c>
      <c r="E70" s="1" t="n">
        <v>12</v>
      </c>
      <c r="G70" s="1" t="n">
        <f aca="false">IF($F70&lt;&gt;"",_xlfn.CONCAT(VLOOKUP($CE70, Constants!$T:$U, 2, FALSE()),",",$F70),VLOOKUP($CE70, Constants!$T:$U, 2, FALSE()))</f>
        <v>0</v>
      </c>
      <c r="H70" s="1" t="str">
        <f aca="false">IF($G70&lt;&gt;"",_xlfn.CONCAT(VLOOKUP($CG70, Constants!$M:$P, 4, FALSE()),",",$G70),VLOOKUP($CG70, Constants!$M:$P, 4, FALSE()))</f>
        <v>flag/GB</v>
      </c>
      <c r="J70" s="1" t="s">
        <v>40</v>
      </c>
      <c r="K70" s="1" t="s">
        <v>40</v>
      </c>
      <c r="L70" s="1" t="s">
        <v>192</v>
      </c>
      <c r="M70" s="1" t="n">
        <v>1840</v>
      </c>
      <c r="Z70" s="1" t="n">
        <v>5</v>
      </c>
      <c r="AD70" s="4" t="str">
        <f aca="false">IF(AND(Z70&gt;0,AC70&gt;0),(AC70/((Z70+AA70)*10)),"")</f>
        <v/>
      </c>
      <c r="AH70" s="1" t="n">
        <v>7.5</v>
      </c>
      <c r="AI70" s="1" t="n">
        <v>6</v>
      </c>
      <c r="AL70" s="5" t="n">
        <v>0</v>
      </c>
      <c r="AM70" s="1" t="str">
        <f aca="false">CONCATENATE(VLOOKUP(AN70, 'Voxel Sizes'!$A$2:$B$18,2,FALSE()),"x",INT(AJ70*15), "x", INT(AK70*15))</f>
        <v>60x0x0</v>
      </c>
      <c r="AN70" s="16" t="n">
        <f aca="false">ROUND(15*((AI70*10)/256),0)</f>
        <v>4</v>
      </c>
      <c r="AP70" s="1" t="str">
        <f aca="false">CONCATENATE(VLOOKUP(AN70,Constants!$A$2:$C$16,IF(AO70&lt;&gt;"", 3, 2), FALSE()),IF(AO70&lt;&gt;"",CONCATENATE(",",VLOOKUP(AO70,$B:$AP,41,FALSE())),""))</f>
        <v>1,2,1</v>
      </c>
      <c r="AZ70" s="1" t="n">
        <v>30</v>
      </c>
      <c r="BA70" s="16" t="str">
        <f aca="false">IF(O70&lt;&gt;"",MAX(16,(O70-M70)+8),"")</f>
        <v/>
      </c>
      <c r="BD70" s="20" t="n">
        <f aca="false">MIN(AE70/150, 1)*30</f>
        <v>0</v>
      </c>
      <c r="BE70" s="20" t="n">
        <f aca="false">MIN(Q70/4000, 1)*20</f>
        <v>0</v>
      </c>
      <c r="BF70" s="20" t="n">
        <f aca="false">MIN(AC70/400,1)*20</f>
        <v>0</v>
      </c>
      <c r="BG70" s="4" t="n">
        <f aca="false">1-(MAX(M70-1900, 0)/750)</f>
        <v>1</v>
      </c>
      <c r="BH70" s="20" t="n">
        <f aca="false">((MAX($P70,1)*MIN($AL70/300,1)))*IF(J70="Wagon",50,10)</f>
        <v>0</v>
      </c>
      <c r="BI70" s="1" t="n">
        <f aca="false">VLOOKUP($K70,Constants!$I:$K, 2, FALSE())</f>
        <v>0</v>
      </c>
      <c r="BJ70" s="1" t="n">
        <f aca="false">VLOOKUP($K70,Constants!$I:$K, 3, FALSE())*IF(AND(J70="multiple_unit",AE70&lt;110),0.75,1)</f>
        <v>0</v>
      </c>
      <c r="BK70" s="1" t="n">
        <f aca="false">INT(POWER(((Constants!$G$2+$BD70+$BE70+$BF70+$BH70)*$BG70)*$BJ70, 1.05))+$BC70</f>
        <v>0</v>
      </c>
      <c r="BL70" s="1" t="n">
        <f aca="false">INT(POWER((((Constants!$G$1+$BD70+$BE70+$BF70+$BH70)*($BG70))*$BI70),IF($J70="wagon",1,1.2)))+$BB70</f>
        <v>0</v>
      </c>
      <c r="BM70" s="17" t="n">
        <f aca="false">BK70*IF($J70="wagon",62.5,781.25)</f>
        <v>0</v>
      </c>
      <c r="BN70" s="17" t="n">
        <f aca="false">BL70*IF($J70="wagon",2.73,81.25)</f>
        <v>0</v>
      </c>
      <c r="BU70" s="1" t="str">
        <f aca="false">IF(J70="locomotive","1","")</f>
        <v/>
      </c>
      <c r="CD70" s="23" t="s">
        <v>272</v>
      </c>
      <c r="CE70" s="1" t="s">
        <v>279</v>
      </c>
      <c r="CF70" s="23" t="str">
        <f aca="false">CONCATENATE(CD70,"_",CE70)</f>
        <v>early_Tender</v>
      </c>
      <c r="CG70" s="23" t="str">
        <f aca="false">_xlfn.CONCAT(K70, "_",L70)</f>
        <v>tender_RAIL</v>
      </c>
      <c r="CH70" s="7" t="str">
        <f aca="false">_xlfn.CONCAT("{BLACK}Length: {GOLD}", TEXT(ROUNDUP(IF(AS70&lt;&gt;"",SUM(VALUE(_xlfn.TEXTSPLIT(AS70, ","))), SUM(VALUE(_xlfn.TEXTSPLIT(AP70, ",")))*IF(P70, P70, 1))/16, 1), "#,##0.0"), " tiles{}")</f>
        <v>{BLACK}Length: {GOLD}0.3 tiles{}</v>
      </c>
      <c r="CI70" s="1" t="str">
        <f aca="false">IF(0, VLOOKUP($CG70, Constants!$M:$N, 2, FALSE()),"")</f>
        <v/>
      </c>
      <c r="CJ70" s="1" t="str">
        <f aca="false">IF(P70&gt;1,_xlfn.CONCAT("{BLACK}Cars: {GOLD}", P70),"")</f>
        <v/>
      </c>
      <c r="CL70" s="1" t="str">
        <f aca="false">IF($BX70="concept_trains","{GREEN}Concept Vehicle",IF($BX70="!param_no_gameplay_units","{GREEN}Included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{GOLD}0.3 tiles{}{SILVER}</v>
      </c>
    </row>
    <row r="71" customFormat="false" ht="14.25" hidden="false" customHeight="false" outlineLevel="0" collapsed="false">
      <c r="A71" s="1" t="s">
        <v>280</v>
      </c>
      <c r="B71" s="19" t="s">
        <v>281</v>
      </c>
      <c r="C71" s="1" t="n">
        <v>1022</v>
      </c>
      <c r="E71" s="1" t="n">
        <v>13</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241</v>
      </c>
      <c r="J71" s="1" t="s">
        <v>249</v>
      </c>
      <c r="K71" s="1" t="s">
        <v>250</v>
      </c>
      <c r="L71" s="1" t="s">
        <v>192</v>
      </c>
      <c r="M71" s="1" t="n">
        <v>1841</v>
      </c>
      <c r="O71" s="1" t="n">
        <v>1871</v>
      </c>
      <c r="Q71" s="1" t="n">
        <v>220</v>
      </c>
      <c r="S71" s="3" t="n">
        <v>16</v>
      </c>
      <c r="T71" s="3" t="n">
        <v>16</v>
      </c>
      <c r="U71" s="3" t="n">
        <v>2</v>
      </c>
      <c r="V71" s="3" t="n">
        <v>140</v>
      </c>
      <c r="W71" s="18" t="n">
        <f aca="false">((($AE71/2)/60)*5280)/($X71*3.2*PI())</f>
        <v>104.208593691122</v>
      </c>
      <c r="X71" s="3" t="n">
        <v>2.1</v>
      </c>
      <c r="Y71" s="3" t="n">
        <f aca="false">((($S71*$S71/4)*PI())*($T71/12)*$U71*$V71*$W71)/(33000*1.1)</f>
        <v>215.488215488215</v>
      </c>
      <c r="Z71" s="1" t="n">
        <v>11</v>
      </c>
      <c r="AC71" s="1" t="n">
        <v>16</v>
      </c>
      <c r="AD71" s="4" t="n">
        <f aca="false">IF(AND(Z71&gt;0,AC71&gt;0),(AC71/((Z71+AA71)*10)),"")</f>
        <v>0.145454545454545</v>
      </c>
      <c r="AE71" s="1" t="n">
        <v>50</v>
      </c>
      <c r="AF71" s="1" t="n">
        <f aca="false">ROUND(AE71*1.6, 0)</f>
        <v>80</v>
      </c>
      <c r="AH71" s="1" t="n">
        <v>8</v>
      </c>
      <c r="AI71" s="1" t="n">
        <v>8</v>
      </c>
      <c r="AL71" s="5" t="n">
        <v>0</v>
      </c>
      <c r="AM71" s="1" t="str">
        <f aca="false">CONCATENATE(VLOOKUP(AN71, 'Voxel Sizes'!$A$2:$B$18,2,FALSE()),"x",INT(AJ71*15), "x", INT(AK71*15))</f>
        <v>82x0x0</v>
      </c>
      <c r="AN71" s="16" t="n">
        <f aca="false">ROUND(15*((AI71*10)/256),0)</f>
        <v>5</v>
      </c>
      <c r="AO71" s="1" t="s">
        <v>278</v>
      </c>
      <c r="AP71" s="1" t="str">
        <f aca="false">CONCATENATE(VLOOKUP(AN71,Constants!$A$2:$C$16,IF(AO71&lt;&gt;"", 3, 2), FALSE()),IF(AO71&lt;&gt;"",CONCATENATE(",",VLOOKUP(AO71,$B:$AP,41,FALSE())),""))</f>
        <v>2,1,2,1,2,1</v>
      </c>
      <c r="AZ71" s="1" t="n">
        <v>30</v>
      </c>
      <c r="BA71" s="16" t="n">
        <f aca="false">IF(O71&lt;&gt;"",MAX(16,(O71-M71)+8),"")</f>
        <v>38</v>
      </c>
      <c r="BD71" s="20" t="n">
        <f aca="false">MIN(AE71/150, 1)*30</f>
        <v>10</v>
      </c>
      <c r="BE71" s="20" t="n">
        <f aca="false">MIN(Q71/4000, 1)*20</f>
        <v>1.1</v>
      </c>
      <c r="BF71" s="20" t="n">
        <f aca="false">MIN(AC71/400,1)*20</f>
        <v>0.8</v>
      </c>
      <c r="BG71" s="21" t="n">
        <f aca="false">1-(MAX(M71-1900, 0)/750)</f>
        <v>1</v>
      </c>
      <c r="BH71" s="20"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33</v>
      </c>
      <c r="BL71" s="1" t="n">
        <f aca="false">INT(POWER((((Constants!$G$1+$BD71+$BE71+$BF71+$BH71)*($BG71))*$BI71),IF($J71="wagon",1,1.2)))+$BB71</f>
        <v>61</v>
      </c>
      <c r="BM71" s="22" t="n">
        <f aca="false">BK71*IF($J71="wagon",62.5,781.25)</f>
        <v>25781.25</v>
      </c>
      <c r="BN71" s="22" t="n">
        <f aca="false">BL71*IF($J71="wagon",2.73,81.25)</f>
        <v>4956.25</v>
      </c>
      <c r="BY71" s="1" t="n">
        <v>3</v>
      </c>
      <c r="CD71" s="23" t="s">
        <v>272</v>
      </c>
      <c r="CE71" s="1" t="s">
        <v>282</v>
      </c>
      <c r="CF71" s="23" t="str">
        <f aca="false">CONCATENATE(CD71,"_",CE71)</f>
        <v>early_Express</v>
      </c>
      <c r="CG71" s="23" t="str">
        <f aca="false">_xlfn.CONCAT(K71, "_",L71)</f>
        <v>steam_RAIL</v>
      </c>
      <c r="CH71" s="7" t="str">
        <f aca="false">_xlfn.CONCAT("{BLACK}Length: {GOLD}", TEXT(ROUNDUP(IF(AS71&lt;&gt;"",SUM(VALUE(_xlfn.TEXTSPLIT(AS71, ","))), SUM(VALUE(_xlfn.TEXTSPLIT(AP71, ",")))*IF(P71, P71, 1))/16, 1), "#,##0.0"), " tiles{}")</f>
        <v>{BLACK}Length: {GOLD}0.6 tiles{}</v>
      </c>
      <c r="CI71" s="1" t="str">
        <f aca="false">IF(0, VLOOKUP($CG71, Constants!$M:$N, 2, FALSE()),"")</f>
        <v/>
      </c>
      <c r="CJ71" s="1" t="str">
        <f aca="false">IF(P71&gt;1,_xlfn.CONCAT("{BLACK}Cars: {GOLD}", P71),"")</f>
        <v/>
      </c>
      <c r="CK71" s="1" t="s">
        <v>283</v>
      </c>
      <c r="CL71" s="1" t="str">
        <f aca="false">IF($BX71="concept_trains","{GREEN}Concept Vehicle",IF($BX71="!param_no_gameplay_units","{GREEN}Included for gameplay purposes",""))</f>
        <v/>
      </c>
      <c r="CM71" s="1" t="str">
        <f aca="false">IF(CA71="buffet","{YELLOW}25% long distance bonus for consist{}",IF(CB71="DANDY","{YELLOW}Faster downhill speeds for horse-drawn trains (1 required per 2 horses){}",IF(CB71="BRAKE","{YELLOW}Speed bonus for slow wagons{}",IF(CB71="NGPassengers","{YELLOW}Preserved railway bonus: passengers pay more when hauled by old locomotives{}",IF(AND(BZ71&gt;190,NOT(AND(L71="NARROW_GAUGE",CB71&lt;&gt;"PASS"))),CONCATENATE("{YELLOW}",INT((BZ71-185)/1.85),"%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{GOLD}0.6 tiles{}{SILVER}The first GWR Star class was typical of a 2-2-2 "single" passenger locomotive. They were given common names of stars, such as "Dog Star" and "Shooting Star"</v>
      </c>
    </row>
    <row r="72" customFormat="false" ht="14.25" hidden="false" customHeight="false" outlineLevel="0" collapsed="false">
      <c r="A72" s="1" t="s">
        <v>284</v>
      </c>
      <c r="B72" s="15" t="s">
        <v>285</v>
      </c>
      <c r="C72" s="1" t="n">
        <v>108</v>
      </c>
      <c r="E72" s="1" t="n">
        <v>14</v>
      </c>
      <c r="G72" s="1" t="str">
        <f aca="false">IF($F72&lt;&gt;"",_xlfn.CONCAT(VLOOKUP($CE72, Constants!$T:$U, 2, FALSE()),",",$F72),VLOOKUP($CE72, Constants!$T:$U, 2, FALSE()))</f>
        <v>role/mixed</v>
      </c>
      <c r="H72" s="1" t="str">
        <f aca="false">IF($G72&lt;&gt;"",_xlfn.CONCAT(VLOOKUP($CG72, Constants!$M:$P, 4, FALSE()),",",$G72),VLOOKUP($CG72, Constants!$M:$P, 4, FALSE()))</f>
        <v>flag/GB,power/steam,role/mixed</v>
      </c>
      <c r="I72" s="1" t="s">
        <v>241</v>
      </c>
      <c r="J72" s="1" t="s">
        <v>249</v>
      </c>
      <c r="K72" s="1" t="s">
        <v>250</v>
      </c>
      <c r="L72" s="1" t="s">
        <v>192</v>
      </c>
      <c r="M72" s="1" t="n">
        <v>1846</v>
      </c>
      <c r="O72" s="1" t="n">
        <v>1900</v>
      </c>
      <c r="Q72" s="1" t="n">
        <v>250</v>
      </c>
      <c r="S72" s="3" t="n">
        <v>14</v>
      </c>
      <c r="T72" s="3" t="n">
        <v>24</v>
      </c>
      <c r="U72" s="3" t="n">
        <v>2</v>
      </c>
      <c r="V72" s="3" t="n">
        <v>110</v>
      </c>
      <c r="W72" s="18" t="n">
        <f aca="false">((($AE72/2)/60)*5280)/($X72*3.2*PI())</f>
        <v>121.576692639642</v>
      </c>
      <c r="X72" s="3" t="n">
        <v>1.44</v>
      </c>
      <c r="Y72" s="3" t="n">
        <f aca="false">((($S72*$S72/4)*PI())*($T72/12)*$U72*$V72*$W72)/(33000*1.1)</f>
        <v>226.851851851852</v>
      </c>
      <c r="Z72" s="1" t="n">
        <v>19</v>
      </c>
      <c r="AA72" s="2" t="n">
        <v>11</v>
      </c>
      <c r="AC72" s="1" t="n">
        <v>34</v>
      </c>
      <c r="AD72" s="4" t="n">
        <f aca="false">IF(AND(Z72&gt;0,AC72&gt;0),(AC72/((Z72+AA72)*10)),"")</f>
        <v>0.113333333333333</v>
      </c>
      <c r="AE72" s="1" t="n">
        <v>40</v>
      </c>
      <c r="AF72" s="1" t="n">
        <f aca="false">ROUND(AE72*1.6, 0)</f>
        <v>64</v>
      </c>
      <c r="AI72" s="1" t="n">
        <v>8</v>
      </c>
      <c r="AL72" s="5" t="n">
        <v>0</v>
      </c>
      <c r="AM72" s="1" t="str">
        <f aca="false">CONCATENATE(VLOOKUP(AN72, 'Voxel Sizes'!$A$2:$B$18,2,FALSE()),"x",INT(AJ72*15), "x", INT(AK72*15))</f>
        <v>82x0x0</v>
      </c>
      <c r="AN72" s="1" t="n">
        <f aca="false">ROUND(15*((AI72*10)/256),0)</f>
        <v>5</v>
      </c>
      <c r="AO72" s="1" t="s">
        <v>204</v>
      </c>
      <c r="AP72" s="1" t="str">
        <f aca="false">CONCATENATE(VLOOKUP(AN72,Constants!$A$2:$C$16,IF(AO72&lt;&gt;"", 3, 2), FALSE()),IF(AO72&lt;&gt;"",CONCATENATE(",",VLOOKUP(AO72,$B:$AP,41,FALSE())),""))</f>
        <v>2,1,2,1,2,1</v>
      </c>
      <c r="AX72" s="1" t="n">
        <v>1</v>
      </c>
      <c r="AZ72" s="1" t="n">
        <v>30</v>
      </c>
      <c r="BA72" s="16" t="n">
        <f aca="false">IF(O72&lt;&gt;"",MAX(16,(O72-M72)+8),"")</f>
        <v>62</v>
      </c>
      <c r="BC72" s="1" t="n">
        <v>-5</v>
      </c>
      <c r="BD72" s="1" t="n">
        <f aca="false">MIN(AE72/150, 1)*30</f>
        <v>8</v>
      </c>
      <c r="BE72" s="1" t="n">
        <f aca="false">MIN(Q72/4000, 1)*20</f>
        <v>1.25</v>
      </c>
      <c r="BF72" s="1" t="n">
        <f aca="false">MIN(AC72/400,1)*20</f>
        <v>1.7</v>
      </c>
      <c r="BG72" s="4" t="n">
        <f aca="false">1-(MAX(M72-1900, 0)/750)</f>
        <v>1</v>
      </c>
      <c r="BH72" s="1" t="n">
        <f aca="false">((MAX($P72,1)*MIN($AL72/300,1)))*IF(J72="Wagon",50,10)</f>
        <v>0</v>
      </c>
      <c r="BI72" s="1" t="n">
        <f aca="false">VLOOKUP($K72,Constants!$I:$K, 2, FALSE())</f>
        <v>1.15</v>
      </c>
      <c r="BJ72" s="1" t="n">
        <f aca="false">VLOOKUP($K72,Constants!$I:$K, 3, FALSE())*IF(AND(J72="multiple_unit",AE72&lt;110),0.75,1)</f>
        <v>1.7</v>
      </c>
      <c r="BK72" s="1" t="n">
        <f aca="false">INT(POWER(((Constants!$G$2+$BD72+$BE72+$BF72+$BH72)*$BG72)*$BJ72, 1.05))+$BC72</f>
        <v>26</v>
      </c>
      <c r="BL72" s="1" t="n">
        <f aca="false">INT(POWER((((Constants!$G$1+$BD72+$BE72+$BF72+$BH72)*($BG72))*$BI72),IF($J72="wagon",1,1.2)))+$BB72</f>
        <v>58</v>
      </c>
      <c r="BM72" s="17" t="n">
        <f aca="false">BK72*IF($J72="wagon",62.5,781.25)</f>
        <v>20312.5</v>
      </c>
      <c r="BN72" s="17" t="n">
        <f aca="false">BL72*IF($J72="wagon",2.73,81.25)</f>
        <v>4712.5</v>
      </c>
      <c r="BY72" s="1" t="n">
        <v>7</v>
      </c>
      <c r="CD72" s="1" t="str">
        <f aca="false">VLOOKUP(M72,Eras!$A$2:$C$10, 2, TRUE())</f>
        <v>early</v>
      </c>
      <c r="CE72" s="1" t="s">
        <v>129</v>
      </c>
      <c r="CF72" s="1" t="str">
        <f aca="false">CONCATENATE(CD72,"_",CE72)</f>
        <v>early_Mixed Traffic</v>
      </c>
      <c r="CG72" s="1" t="str">
        <f aca="false">_xlfn.CONCAT(K72, "_",L72)</f>
        <v>steam_RAIL</v>
      </c>
      <c r="CH72" s="7" t="str">
        <f aca="false">_xlfn.CONCAT("{BLACK}Length: {GOLD}", TEXT(ROUNDUP(IF(AS72&lt;&gt;"",SUM(VALUE(_xlfn.TEXTSPLIT(AS72, ","))), SUM(VALUE(_xlfn.TEXTSPLIT(AP72, ",")))*IF(P72, P72, 1))/16, 1), "#,##0.0"), " tiles{}")</f>
        <v>{BLACK}Length: {GOLD}0.6 tiles{}</v>
      </c>
      <c r="CI72" s="1" t="str">
        <f aca="false">IF(0, VLOOKUP($CG72, Constants!$M:$N, 2, FALSE()),"")</f>
        <v/>
      </c>
      <c r="CJ72" s="1" t="str">
        <f aca="false">IF(P72&gt;1,_xlfn.CONCAT("{BLACK}Cars: {GOLD}", P72),"")</f>
        <v/>
      </c>
      <c r="CK72" s="1" t="s">
        <v>286</v>
      </c>
      <c r="CL72" s="1" t="str">
        <f aca="false">IF($BX72="concept_trains","{GREEN}Concept Vehicle",IF($BX72="!param_no_gameplay_units","{GREEN}Included for gameplay purposes",""))</f>
        <v/>
      </c>
      <c r="CM72" s="1" t="str">
        <f aca="false">IF(CA72="buffet","{YELLOW}25% long distance bonus for consist{}",IF(CC72="BRAKE","{YELLOW}Speed bonus for slow wagons{}",IF(BZ72&gt;190,CONCATENATE("{YELLOW}",INT((BZ72-185)/1.85),"%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{GOLD}0.6 tiles{}{SILVER}Bury's bar frame locomotives used iron frames between the wheels to reduce weight. The "Coppernob" was named for its copper-plated firebox.</v>
      </c>
    </row>
    <row r="73" customFormat="false" ht="14.25" hidden="false" customHeight="false" outlineLevel="0" collapsed="false">
      <c r="A73" s="1" t="s">
        <v>287</v>
      </c>
      <c r="B73" s="15" t="s">
        <v>288</v>
      </c>
      <c r="C73" s="1" t="n">
        <v>109</v>
      </c>
      <c r="E73" s="1" t="n">
        <v>15</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241</v>
      </c>
      <c r="J73" s="1" t="s">
        <v>249</v>
      </c>
      <c r="K73" s="1" t="s">
        <v>250</v>
      </c>
      <c r="L73" s="1" t="s">
        <v>192</v>
      </c>
      <c r="M73" s="1" t="n">
        <v>1847</v>
      </c>
      <c r="O73" s="1" t="n">
        <v>1885</v>
      </c>
      <c r="Q73" s="1" t="n">
        <v>300</v>
      </c>
      <c r="S73" s="3" t="n">
        <v>14</v>
      </c>
      <c r="T73" s="3" t="n">
        <v>24</v>
      </c>
      <c r="U73" s="3" t="n">
        <v>2</v>
      </c>
      <c r="V73" s="3" t="n">
        <v>130</v>
      </c>
      <c r="W73" s="18" t="n">
        <f aca="false">((($AE73/2)/60)*5280)/($X73*3.2*PI())</f>
        <v>131.302828050814</v>
      </c>
      <c r="X73" s="3" t="n">
        <v>2</v>
      </c>
      <c r="Y73" s="3" t="n">
        <f aca="false">((($S73*$S73/4)*PI())*($T73/12)*$U73*$V73*$W73)/(33000*1.1)</f>
        <v>289.545454545455</v>
      </c>
      <c r="Z73" s="1" t="n">
        <v>21</v>
      </c>
      <c r="AA73" s="2" t="n">
        <v>11</v>
      </c>
      <c r="AC73" s="1" t="n">
        <v>28</v>
      </c>
      <c r="AD73" s="4" t="n">
        <f aca="false">IF(AND(Z73&gt;0,AC73&gt;0),(AC73/((Z73+AA73)*10)),"")</f>
        <v>0.0875</v>
      </c>
      <c r="AE73" s="1" t="n">
        <v>60</v>
      </c>
      <c r="AF73" s="1" t="n">
        <f aca="false">ROUND(AE73*1.6, 0)</f>
        <v>96</v>
      </c>
      <c r="AH73" s="1" t="n">
        <v>8</v>
      </c>
      <c r="AI73" s="1" t="n">
        <v>8</v>
      </c>
      <c r="AL73" s="5" t="n">
        <v>0</v>
      </c>
      <c r="AM73" s="1" t="str">
        <f aca="false">CONCATENATE(VLOOKUP(AN73, 'Voxel Sizes'!$A$2:$B$18,2,FALSE()),"x",INT(AJ73*15), "x", INT(AK73*15))</f>
        <v>82x0x0</v>
      </c>
      <c r="AN73" s="1" t="n">
        <f aca="false">ROUND(15*((AI73*10)/256),0)</f>
        <v>5</v>
      </c>
      <c r="AO73" s="1" t="s">
        <v>202</v>
      </c>
      <c r="AP73" s="1" t="str">
        <f aca="false">CONCATENATE(VLOOKUP(AN73,Constants!$A$2:$C$16,IF(AO73&lt;&gt;"", 3, 2), FALSE()),IF(AO73&lt;&gt;"",CONCATENATE(",",VLOOKUP(AO73,$B:$AP,41,FALSE())),""))</f>
        <v>2,1,2,1,2,1</v>
      </c>
      <c r="AX73" s="1" t="n">
        <v>1</v>
      </c>
      <c r="AZ73" s="1" t="n">
        <v>28</v>
      </c>
      <c r="BA73" s="16" t="n">
        <f aca="false">IF(O73&lt;&gt;"",MAX(16,(O73-M73)+8),"")</f>
        <v>46</v>
      </c>
      <c r="BC73" s="1" t="n">
        <v>-5</v>
      </c>
      <c r="BD73" s="1" t="n">
        <f aca="false">MIN(AE73/150, 1)*30</f>
        <v>12</v>
      </c>
      <c r="BE73" s="1" t="n">
        <f aca="false">MIN(Q73/4000, 1)*20</f>
        <v>1.5</v>
      </c>
      <c r="BF73" s="1" t="n">
        <f aca="false">MIN(AC73/400,1)*20</f>
        <v>1.4</v>
      </c>
      <c r="BG73" s="4" t="n">
        <f aca="false">1-(MAX(M73-1900, 0)/750)</f>
        <v>1</v>
      </c>
      <c r="BH73" s="1"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35</v>
      </c>
      <c r="BL73" s="1" t="n">
        <f aca="false">INT(POWER((((Constants!$G$1+$BD73+$BE73+$BF73+$BH73)*($BG73))*$BI73),IF($J73="wagon",1,1.2)))+$BB73</f>
        <v>69</v>
      </c>
      <c r="BM73" s="17" t="n">
        <f aca="false">BK73*IF($J73="wagon",62.5,781.25)</f>
        <v>27343.75</v>
      </c>
      <c r="BN73" s="17" t="n">
        <f aca="false">BL73*IF($J73="wagon",2.73,81.25)</f>
        <v>5606.25</v>
      </c>
      <c r="BY73" s="1" t="n">
        <v>9</v>
      </c>
      <c r="CD73" s="1" t="str">
        <f aca="false">VLOOKUP(M73,Eras!$A$2:$C$10, 2, TRUE())</f>
        <v>early</v>
      </c>
      <c r="CE73" s="1" t="s">
        <v>282</v>
      </c>
      <c r="CF73" s="1" t="str">
        <f aca="false">CONCATENATE(CD73,"_",CE73)</f>
        <v>early_Express</v>
      </c>
      <c r="CG73" s="1" t="str">
        <f aca="false">_xlfn.CONCAT(K73, "_",L73)</f>
        <v>steam_RAIL</v>
      </c>
      <c r="CH73" s="7" t="str">
        <f aca="false">_xlfn.CONCAT("{BLACK}Length: {GOLD}", TEXT(ROUNDUP(IF(AS73&lt;&gt;"",SUM(VALUE(_xlfn.TEXTSPLIT(AS73, ","))), SUM(VALUE(_xlfn.TEXTSPLIT(AP73, ",")))*IF(P73, P73, 1))/16, 1), "#,##0.0"), " tiles{}")</f>
        <v>{BLACK}Length: {GOLD}0.6 tiles{}</v>
      </c>
      <c r="CI73" s="1" t="str">
        <f aca="false">IF(0, VLOOKUP($CG73, Constants!$M:$N, 2, FALSE()),"")</f>
        <v/>
      </c>
      <c r="CJ73" s="1" t="str">
        <f aca="false">IF(P73&gt;1,_xlfn.CONCAT("{BLACK}Cars: {GOLD}", P73),"")</f>
        <v/>
      </c>
      <c r="CK73" s="1" t="s">
        <v>289</v>
      </c>
      <c r="CL73" s="1" t="str">
        <f aca="false">IF($BX73="concept_trains","{GREEN}Concept Vehicle",IF($BX73="!param_no_gameplay_units","{GREEN}Included for gameplay purposes",""))</f>
        <v/>
      </c>
      <c r="CM73" s="1" t="str">
        <f aca="false">IF(CA73="buffet","{YELLOW}25% long distance bonus for consist{}",IF(CC73="BRAKE","{YELLOW}Speed bonus for slow wagons{}",IF(BZ73&gt;190,CONCATENATE("{YELLOW}",INT((BZ73-185)/1.85),"%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{GOLD}0.6 tiles{}{SILVER}Crampton locomotives were designed for a low centre of gravity, to run at higher speeds on standard gauge track. Features included large driving wheels and an oval boiler.</v>
      </c>
    </row>
    <row r="74" customFormat="false" ht="14.25" hidden="false" customHeight="false" outlineLevel="0" collapsed="false">
      <c r="A74" s="1" t="s">
        <v>290</v>
      </c>
      <c r="B74" s="19" t="s">
        <v>291</v>
      </c>
      <c r="C74" s="1" t="n">
        <v>-1</v>
      </c>
      <c r="E74" s="1" t="n">
        <v>16</v>
      </c>
      <c r="G74" s="1" t="n">
        <f aca="false">IF($F74&lt;&gt;"",_xlfn.CONCAT(VLOOKUP($CE74, Constants!$T:$U, 2, FALSE()),",",$F74),VLOOKUP($CE74, Constants!$T:$U, 2, FALSE()))</f>
        <v>0</v>
      </c>
      <c r="H74" s="1" t="str">
        <f aca="false">IF($G74&lt;&gt;"",_xlfn.CONCAT(VLOOKUP($CG74, Constants!$M:$P, 4, FALSE()),",",$G74),VLOOKUP($CG74, Constants!$M:$P, 4, FALSE()))</f>
        <v>flag/GB</v>
      </c>
      <c r="J74" s="1" t="s">
        <v>40</v>
      </c>
      <c r="K74" s="1" t="s">
        <v>40</v>
      </c>
      <c r="L74" s="1" t="s">
        <v>192</v>
      </c>
      <c r="M74" s="1" t="n">
        <v>1847</v>
      </c>
      <c r="Z74" s="1" t="n">
        <v>20</v>
      </c>
      <c r="AD74" s="4" t="str">
        <f aca="false">IF(AND(Z74&gt;0,AC74&gt;0),(AC74/((Z74+AA74)*10)),"")</f>
        <v/>
      </c>
      <c r="AH74" s="1" t="n">
        <v>7.5</v>
      </c>
      <c r="AI74" s="1" t="n">
        <v>6</v>
      </c>
      <c r="AL74" s="5" t="n">
        <v>0</v>
      </c>
      <c r="AM74" s="1" t="str">
        <f aca="false">CONCATENATE(VLOOKUP(AN74, 'Voxel Sizes'!$A$2:$B$18,2,FALSE()),"x",INT(AJ74*15), "x", INT(AK74*15))</f>
        <v>60x0x0</v>
      </c>
      <c r="AN74" s="16" t="n">
        <f aca="false">ROUND(15*((AI74*10)/256),0)</f>
        <v>4</v>
      </c>
      <c r="AP74" s="1" t="str">
        <f aca="false">CONCATENATE(VLOOKUP(AN74,Constants!$A$2:$C$16,IF(AO74&lt;&gt;"", 3, 2), FALSE()),IF(AO74&lt;&gt;"",CONCATENATE(",",VLOOKUP(AO74,$B:$AP,41,FALSE())),""))</f>
        <v>1,2,1</v>
      </c>
      <c r="AZ74" s="1" t="n">
        <v>30</v>
      </c>
      <c r="BA74" s="16" t="str">
        <f aca="false">IF(O74&lt;&gt;"",MAX(16,(O74-M74)+8),"")</f>
        <v/>
      </c>
      <c r="BD74" s="20" t="n">
        <f aca="false">MIN(AE74/150, 1)*30</f>
        <v>0</v>
      </c>
      <c r="BE74" s="20" t="n">
        <f aca="false">MIN(Q74/4000, 1)*20</f>
        <v>0</v>
      </c>
      <c r="BF74" s="20" t="n">
        <f aca="false">MIN(AC74/400,1)*20</f>
        <v>0</v>
      </c>
      <c r="BG74" s="4" t="n">
        <f aca="false">1-(MAX(M74-1900, 0)/750)</f>
        <v>1</v>
      </c>
      <c r="BH74" s="20" t="n">
        <f aca="false">((MAX($P74,1)*MIN($AL74/300,1)))*IF(J74="Wagon",50,10)</f>
        <v>0</v>
      </c>
      <c r="BI74" s="1" t="n">
        <f aca="false">VLOOKUP($K74,Constants!$I:$K, 2, FALSE())</f>
        <v>0</v>
      </c>
      <c r="BJ74" s="1" t="n">
        <f aca="false">VLOOKUP($K74,Constants!$I:$K, 3, FALSE())*IF(AND(J74="multiple_unit",AE74&lt;110),0.75,1)</f>
        <v>0</v>
      </c>
      <c r="BK74" s="1" t="n">
        <f aca="false">INT(POWER(((Constants!$G$2+$BD74+$BE74+$BF74+$BH74)*$BG74)*$BJ74, 1.05))+$BC74</f>
        <v>0</v>
      </c>
      <c r="BL74" s="1" t="n">
        <f aca="false">INT(POWER((((Constants!$G$1+$BD74+$BE74+$BF74+$BH74)*($BG74))*$BI74),IF($J74="wagon",1,1.2)))+$BB74</f>
        <v>0</v>
      </c>
      <c r="BM74" s="17" t="n">
        <f aca="false">BK74*IF($J74="wagon",62.5,781.25)</f>
        <v>0</v>
      </c>
      <c r="BN74" s="17" t="n">
        <f aca="false">BL74*IF($J74="wagon",2.73,81.25)</f>
        <v>0</v>
      </c>
      <c r="BU74" s="1" t="str">
        <f aca="false">IF(J74="locomotive","1","")</f>
        <v/>
      </c>
      <c r="CD74" s="23" t="s">
        <v>272</v>
      </c>
      <c r="CE74" s="1" t="s">
        <v>279</v>
      </c>
      <c r="CF74" s="23" t="str">
        <f aca="false">CONCATENATE(CD74,"_",CE74)</f>
        <v>early_Tender</v>
      </c>
      <c r="CG74" s="23" t="str">
        <f aca="false">_xlfn.CONCAT(K74, "_",L74)</f>
        <v>tender_RAIL</v>
      </c>
      <c r="CH74" s="7" t="str">
        <f aca="false">_xlfn.CONCAT("{BLACK}Length: {GOLD}", TEXT(ROUNDUP(IF(AS74&lt;&gt;"",SUM(VALUE(_xlfn.TEXTSPLIT(AS74, ","))), SUM(VALUE(_xlfn.TEXTSPLIT(AP74, ",")))*IF(P74, P74, 1))/16, 1), "#,##0.0"), " tiles{}")</f>
        <v>{BLACK}Length: {GOLD}0.3 tiles{}</v>
      </c>
      <c r="CI74" s="1" t="str">
        <f aca="false">IF(0, VLOOKUP($CG74, Constants!$M:$N, 2, FALSE()),"")</f>
        <v/>
      </c>
      <c r="CJ74" s="1" t="str">
        <f aca="false">IF(P74&gt;1,_xlfn.CONCAT("{BLACK}Cars: {GOLD}", P74),"")</f>
        <v/>
      </c>
      <c r="CL74" s="1" t="str">
        <f aca="false">IF($BX74="concept_trains","{GREEN}Concept Vehicle",IF($BX74="!param_no_gameplay_units","{GREEN}Included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{GOLD}0.3 tiles{}{SILVER}</v>
      </c>
    </row>
    <row r="75" customFormat="false" ht="13.5" hidden="false" customHeight="true" outlineLevel="0" collapsed="false">
      <c r="A75" s="1" t="s">
        <v>292</v>
      </c>
      <c r="B75" s="19" t="s">
        <v>293</v>
      </c>
      <c r="C75" s="1" t="n">
        <v>1023</v>
      </c>
      <c r="E75" s="1" t="n">
        <v>17</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241</v>
      </c>
      <c r="J75" s="1" t="s">
        <v>249</v>
      </c>
      <c r="K75" s="1" t="s">
        <v>250</v>
      </c>
      <c r="L75" s="1" t="s">
        <v>192</v>
      </c>
      <c r="M75" s="1" t="n">
        <v>1847</v>
      </c>
      <c r="O75" s="1" t="n">
        <v>1884</v>
      </c>
      <c r="Q75" s="1" t="n">
        <v>400</v>
      </c>
      <c r="S75" s="3" t="n">
        <v>21</v>
      </c>
      <c r="T75" s="3" t="n">
        <v>26</v>
      </c>
      <c r="U75" s="3" t="n">
        <v>2</v>
      </c>
      <c r="V75" s="3" t="n">
        <v>115</v>
      </c>
      <c r="W75" s="18" t="n">
        <f aca="false">((($AE75/2)/60)*5280)/($X75*3.2*PI())</f>
        <v>140.488622605809</v>
      </c>
      <c r="X75" s="3" t="n">
        <v>2.43</v>
      </c>
      <c r="Y75" s="3" t="n">
        <f aca="false">((($S75*$S75/4)*PI())*($T75/12)*$U75*$V75*$W75)/(33000*1.1)</f>
        <v>668.009960718294</v>
      </c>
      <c r="Z75" s="1" t="n">
        <v>42</v>
      </c>
      <c r="AC75" s="1" t="n">
        <v>35</v>
      </c>
      <c r="AD75" s="4" t="n">
        <f aca="false">IF(AND(Z75&gt;0,AC75&gt;0),(AC75/((Z75+AA75)*10)),"")</f>
        <v>0.0833333333333333</v>
      </c>
      <c r="AE75" s="1" t="n">
        <v>78</v>
      </c>
      <c r="AF75" s="1" t="n">
        <f aca="false">ROUND(AE75*1.6, 0)</f>
        <v>125</v>
      </c>
      <c r="AH75" s="1" t="n">
        <v>9</v>
      </c>
      <c r="AI75" s="1" t="n">
        <v>9</v>
      </c>
      <c r="AL75" s="5" t="n">
        <v>0</v>
      </c>
      <c r="AM75" s="1" t="str">
        <f aca="false">CONCATENATE(VLOOKUP(AN75, 'Voxel Sizes'!$A$2:$B$18,2,FALSE()),"x",INT(AJ75*15), "x", INT(AK75*15))</f>
        <v>82x0x0</v>
      </c>
      <c r="AN75" s="16" t="n">
        <f aca="false">ROUND(15*((AI75*10)/256),0)</f>
        <v>5</v>
      </c>
      <c r="AO75" s="1" t="s">
        <v>291</v>
      </c>
      <c r="AP75" s="1" t="str">
        <f aca="false">CONCATENATE(VLOOKUP(AN75,Constants!$A$2:$C$16,IF(AO75&lt;&gt;"", 3, 2), FALSE()),IF(AO75&lt;&gt;"",CONCATENATE(",",VLOOKUP(AO75,$B:$AP,41,FALSE())),""))</f>
        <v>2,1,2,1,2,1</v>
      </c>
      <c r="AZ75" s="1" t="n">
        <v>31</v>
      </c>
      <c r="BA75" s="16" t="n">
        <f aca="false">IF(O75&lt;&gt;"",MAX(16,(O75-M75)+8),"")</f>
        <v>45</v>
      </c>
      <c r="BB75" s="1" t="n">
        <v>15</v>
      </c>
      <c r="BC75" s="1" t="n">
        <v>20</v>
      </c>
      <c r="BD75" s="20" t="n">
        <f aca="false">MIN(AE75/150, 1)*30</f>
        <v>15.6</v>
      </c>
      <c r="BE75" s="20" t="n">
        <f aca="false">MIN(Q75/4000, 1)*20</f>
        <v>2</v>
      </c>
      <c r="BF75" s="20" t="n">
        <f aca="false">MIN(AC75/400,1)*20</f>
        <v>1.75</v>
      </c>
      <c r="BG75" s="21" t="n">
        <f aca="false">1-(MAX(M75-1900, 0)/750)</f>
        <v>1</v>
      </c>
      <c r="BH75" s="20"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69</v>
      </c>
      <c r="BL75" s="1" t="n">
        <f aca="false">INT(POWER((((Constants!$G$1+$BD75+$BE75+$BF75+$BH75)*($BG75))*$BI75),IF($J75="wagon",1,1.2)))+$BB75</f>
        <v>97</v>
      </c>
      <c r="BM75" s="22" t="n">
        <f aca="false">BK75*IF($J75="wagon",62.5,781.25)</f>
        <v>53906.25</v>
      </c>
      <c r="BN75" s="22" t="n">
        <f aca="false">BL75*IF($J75="wagon",2.73,81.25)</f>
        <v>7881.25</v>
      </c>
      <c r="BY75" s="1" t="n">
        <v>7</v>
      </c>
      <c r="CD75" s="23" t="s">
        <v>272</v>
      </c>
      <c r="CE75" s="1" t="s">
        <v>282</v>
      </c>
      <c r="CF75" s="23" t="str">
        <f aca="false">CONCATENATE(CD75,"_",CE75)</f>
        <v>early_Express</v>
      </c>
      <c r="CG75" s="23" t="str">
        <f aca="false">_xlfn.CONCAT(K75, "_",L75)</f>
        <v>steam_RAIL</v>
      </c>
      <c r="CH75" s="7" t="str">
        <f aca="false">_xlfn.CONCAT("{BLACK}Length: {GOLD}", TEXT(ROUNDUP(IF(AS75&lt;&gt;"",SUM(VALUE(_xlfn.TEXTSPLIT(AS75, ","))), SUM(VALUE(_xlfn.TEXTSPLIT(AP75, ",")))*IF(P75, P75, 1))/16, 1), "#,##0.0"), " tiles{}")</f>
        <v>{BLACK}Length: {GOLD}0.6 tiles{}</v>
      </c>
      <c r="CI75" s="1" t="str">
        <f aca="false">IF(0, VLOOKUP($CG75, Constants!$M:$N, 2, FALSE()),"")</f>
        <v/>
      </c>
      <c r="CJ75" s="1" t="str">
        <f aca="false">IF(P75&gt;1,_xlfn.CONCAT("{BLACK}Cars: {GOLD}", P75),"")</f>
        <v/>
      </c>
      <c r="CK75" s="1" t="s">
        <v>294</v>
      </c>
      <c r="CL75" s="1" t="str">
        <f aca="false">IF($BX75="concept_trains","{GREEN}Concept Vehicle",IF($BX75="!param_no_gameplay_units","{GREEN}Included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{GOLD}0.6 tiles{}{SILVER}The Iron Duke class was powerful and very fast for its time. Although both leading axles were rigidly mounted, the wide curves and broad gauge of the GWR's track made this less of a problem.</v>
      </c>
    </row>
    <row r="76" customFormat="false" ht="14.25" hidden="false" customHeight="false" outlineLevel="0" collapsed="false">
      <c r="A76" s="1" t="s">
        <v>295</v>
      </c>
      <c r="B76" s="15" t="s">
        <v>296</v>
      </c>
      <c r="C76" s="1" t="n">
        <v>110</v>
      </c>
      <c r="E76" s="1" t="n">
        <v>18</v>
      </c>
      <c r="G76" s="1" t="str">
        <f aca="false">IF($F76&lt;&gt;"",_xlfn.CONCAT(VLOOKUP($CE76, Constants!$T:$U, 2, FALSE()),",",$F76),VLOOKUP($CE76, Constants!$T:$U, 2, FALSE()))</f>
        <v>role/freight</v>
      </c>
      <c r="H76" s="1" t="str">
        <f aca="false">IF($G76&lt;&gt;"",_xlfn.CONCAT(VLOOKUP($CG76, Constants!$M:$P, 4, FALSE()),",",$G76),VLOOKUP($CG76, Constants!$M:$P, 4, FALSE()))</f>
        <v>flag/GB,power/steam,role/freight</v>
      </c>
      <c r="I76" s="1" t="s">
        <v>241</v>
      </c>
      <c r="J76" s="1" t="s">
        <v>249</v>
      </c>
      <c r="K76" s="1" t="s">
        <v>250</v>
      </c>
      <c r="L76" s="1" t="s">
        <v>192</v>
      </c>
      <c r="M76" s="1" t="n">
        <v>1852</v>
      </c>
      <c r="O76" s="1" t="n">
        <v>1923</v>
      </c>
      <c r="Q76" s="1" t="n">
        <v>500</v>
      </c>
      <c r="S76" s="3" t="n">
        <v>17</v>
      </c>
      <c r="T76" s="3" t="n">
        <v>26</v>
      </c>
      <c r="U76" s="3" t="n">
        <v>2</v>
      </c>
      <c r="V76" s="3" t="n">
        <v>140</v>
      </c>
      <c r="W76" s="18" t="n">
        <f aca="false">((($AE76/2)/60)*5280)/($X76*3.2*PI())</f>
        <v>145.892031167571</v>
      </c>
      <c r="X76" s="3" t="n">
        <v>1.5</v>
      </c>
      <c r="Y76" s="3" t="n">
        <f aca="false">((($S76*$S76/4)*PI())*($T76/12)*$U76*$V76*$W76)/(33000*1.1)</f>
        <v>553.430134680135</v>
      </c>
      <c r="Z76" s="1" t="n">
        <v>36</v>
      </c>
      <c r="AA76" s="2" t="n">
        <v>22.5</v>
      </c>
      <c r="AC76" s="1" t="n">
        <v>65</v>
      </c>
      <c r="AD76" s="4" t="n">
        <f aca="false">IF(AND(Z76&gt;0,AC76&gt;0),(AC76/((Z76+AA76)*10)),"")</f>
        <v>0.111111111111111</v>
      </c>
      <c r="AE76" s="1" t="n">
        <v>50</v>
      </c>
      <c r="AF76" s="1" t="n">
        <f aca="false">ROUND(AE76*1.6, 0)</f>
        <v>80</v>
      </c>
      <c r="AI76" s="1" t="n">
        <v>10</v>
      </c>
      <c r="AL76" s="5" t="n">
        <v>0</v>
      </c>
      <c r="AM76" s="1" t="str">
        <f aca="false">CONCATENATE(VLOOKUP(AN76, 'Voxel Sizes'!$A$2:$B$18,2,FALSE()),"x",INT(AJ76*15), "x", INT(AK76*15))</f>
        <v>102x0x0</v>
      </c>
      <c r="AN76" s="1" t="n">
        <f aca="false">ROUND(15*((AI76*10)/256),0)</f>
        <v>6</v>
      </c>
      <c r="AO76" s="1" t="s">
        <v>206</v>
      </c>
      <c r="AP76" s="1" t="str">
        <f aca="false">CONCATENATE(VLOOKUP(AN76,Constants!$A$2:$C$16,IF(AO76&lt;&gt;"", 3, 2), FALSE()),IF(AO76&lt;&gt;"",CONCATENATE(",",VLOOKUP(AO76,$B:$AP,41,FALSE())),""))</f>
        <v>2,2,2,1,2,1</v>
      </c>
      <c r="AX76" s="1" t="n">
        <v>1</v>
      </c>
      <c r="AZ76" s="1" t="n">
        <v>30</v>
      </c>
      <c r="BA76" s="16" t="n">
        <f aca="false">IF(O76&lt;&gt;"",MAX(16,(O76-M76)+8),"")</f>
        <v>79</v>
      </c>
      <c r="BD76" s="1" t="n">
        <f aca="false">MIN(AE76/150, 1)*30</f>
        <v>10</v>
      </c>
      <c r="BE76" s="1" t="n">
        <f aca="false">MIN(Q76/4000, 1)*20</f>
        <v>2.5</v>
      </c>
      <c r="BF76" s="1" t="n">
        <f aca="false">MIN(AC76/400,1)*20</f>
        <v>3.25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42</v>
      </c>
      <c r="BL76" s="1" t="n">
        <f aca="false">INT(POWER((((Constants!$G$1+$BD76+$BE76+$BF76+$BH76)*($BG76))*$BI76),IF($J76="wagon",1,1.2)))+$BB76</f>
        <v>72</v>
      </c>
      <c r="BM76" s="17" t="n">
        <f aca="false">BK76*IF($J76="wagon",62.5,781.25)</f>
        <v>32812.5</v>
      </c>
      <c r="BN76" s="17" t="n">
        <f aca="false">BL76*IF($J76="wagon",2.73,81.25)</f>
        <v>5850</v>
      </c>
      <c r="BY76" s="1" t="n">
        <v>10</v>
      </c>
      <c r="CD76" s="1" t="str">
        <f aca="false">VLOOKUP(M76,Eras!$A$2:$C$10, 2, TRUE())</f>
        <v>vct</v>
      </c>
      <c r="CE76" s="1" t="s">
        <v>132</v>
      </c>
      <c r="CF76" s="1" t="str">
        <f aca="false">CONCATENATE(CD76,"_",CE76)</f>
        <v>vct_Freight</v>
      </c>
      <c r="CG76" s="1" t="str">
        <f aca="false">_xlfn.CONCAT(K76, "_",L76)</f>
        <v>steam_RAIL</v>
      </c>
      <c r="CH76" s="7" t="str">
        <f aca="false">_xlfn.CONCAT("{BLACK}Length: {GOLD}", TEXT(ROUNDUP(IF(AS76&lt;&gt;"",SUM(VALUE(_xlfn.TEXTSPLIT(AS76, ","))), SUM(VALUE(_xlfn.TEXTSPLIT(AP76, ",")))*IF(P76, P76, 1))/16, 1), "#,##0.0"), " tiles{}")</f>
        <v>{BLACK}Length: {GOLD}0.7 tiles{}</v>
      </c>
      <c r="CI76" s="1" t="str">
        <f aca="false">IF(0, VLOOKUP($CG76, Constants!$M:$N, 2, FALSE()),"")</f>
        <v/>
      </c>
      <c r="CJ76" s="1" t="str">
        <f aca="false">IF(P76&gt;1,_xlfn.CONCAT("{BLACK}Cars: {GOLD}", P76),"")</f>
        <v/>
      </c>
      <c r="CK76" s="1" t="s">
        <v>297</v>
      </c>
      <c r="CL76" s="1" t="str">
        <f aca="false">IF($BX76="concept_trains","{GREEN}Concept Vehicle",IF($BX76="!param_no_gameplay_units","{GREEN}Included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tiles{}{SILVER}The NER 1001 Class is typical of a "long boiler" freight engine, with a small firebox mounted behind the rear axle.</v>
      </c>
    </row>
    <row r="77" customFormat="false" ht="14.25" hidden="false" customHeight="false" outlineLevel="0" collapsed="false">
      <c r="A77" s="1" t="s">
        <v>298</v>
      </c>
      <c r="B77" s="15" t="s">
        <v>299</v>
      </c>
      <c r="C77" s="1" t="n">
        <v>111</v>
      </c>
      <c r="E77" s="1" t="n">
        <v>19</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241</v>
      </c>
      <c r="J77" s="1" t="s">
        <v>249</v>
      </c>
      <c r="K77" s="1" t="s">
        <v>250</v>
      </c>
      <c r="L77" s="1" t="s">
        <v>192</v>
      </c>
      <c r="M77" s="1" t="n">
        <v>1858</v>
      </c>
      <c r="O77" s="1" t="n">
        <v>1930</v>
      </c>
      <c r="Q77" s="1" t="n">
        <v>450</v>
      </c>
      <c r="S77" s="3" t="n">
        <v>17</v>
      </c>
      <c r="T77" s="3" t="n">
        <v>24</v>
      </c>
      <c r="U77" s="3" t="n">
        <v>2</v>
      </c>
      <c r="V77" s="3" t="n">
        <v>120</v>
      </c>
      <c r="W77" s="18" t="n">
        <f aca="false">((($AE77/2)/60)*5280)/($X77*3.2*PI())</f>
        <v>111.15583327053</v>
      </c>
      <c r="X77" s="3" t="n">
        <v>1.575</v>
      </c>
      <c r="Y77" s="3" t="n">
        <f aca="false">((($S77*$S77/4)*PI())*($T77/12)*$U77*$V77*$W77)/(33000*1.1)</f>
        <v>333.621933621934</v>
      </c>
      <c r="Z77" s="1" t="n">
        <v>19</v>
      </c>
      <c r="AA77" s="2" t="n">
        <v>10</v>
      </c>
      <c r="AC77" s="1" t="n">
        <v>51</v>
      </c>
      <c r="AD77" s="4" t="n">
        <f aca="false">IF(AND(Z77&gt;0,AC77&gt;0),(AC77/((Z77+AA77)*10)),"")</f>
        <v>0.175862068965517</v>
      </c>
      <c r="AE77" s="1" t="n">
        <v>40</v>
      </c>
      <c r="AF77" s="1" t="n">
        <f aca="false">ROUND(AE77*1.6, 0)</f>
        <v>64</v>
      </c>
      <c r="AI77" s="1" t="n">
        <v>10</v>
      </c>
      <c r="AL77" s="5" t="n">
        <v>0</v>
      </c>
      <c r="AM77" s="1" t="str">
        <f aca="false">CONCATENATE(VLOOKUP(AN77, 'Voxel Sizes'!$A$2:$B$18,2,FALSE()),"x",INT(AJ77*15), "x", INT(AK77*15))</f>
        <v>102x0x0</v>
      </c>
      <c r="AN77" s="1" t="n">
        <f aca="false">ROUND(15*((AI77*10)/256),0)</f>
        <v>6</v>
      </c>
      <c r="AO77" s="1" t="s">
        <v>208</v>
      </c>
      <c r="AP77" s="1" t="str">
        <f aca="false">CONCATENATE(VLOOKUP(AN77,Constants!$A$2:$C$16,IF(AO77&lt;&gt;"", 3, 2), FALSE()),IF(AO77&lt;&gt;"",CONCATENATE(",",VLOOKUP(AO77,$B:$AP,41,FALSE())),""))</f>
        <v>2,2,2,1,2,1</v>
      </c>
      <c r="AX77" s="1" t="n">
        <v>1</v>
      </c>
      <c r="AZ77" s="1" t="n">
        <v>31</v>
      </c>
      <c r="BA77" s="16" t="n">
        <f aca="false">IF(O77&lt;&gt;"",MAX(16,(O77-M77)+8),"")</f>
        <v>80</v>
      </c>
      <c r="BD77" s="1" t="n">
        <f aca="false">MIN(AE77/150, 1)*30</f>
        <v>8</v>
      </c>
      <c r="BE77" s="1" t="n">
        <f aca="false">MIN(Q77/4000, 1)*20</f>
        <v>2.25</v>
      </c>
      <c r="BF77" s="1" t="n">
        <f aca="false">MIN(AC77/400,1)*20</f>
        <v>2.55</v>
      </c>
      <c r="BG77" s="4" t="n">
        <f aca="false">1-(MAX(M77-1900, 0)/750)</f>
        <v>1</v>
      </c>
      <c r="BH77" s="1" t="n">
        <f aca="false">((MAX($P77,1)*MIN($AL77/300,1)))*IF(J77="Wagon",50,10)</f>
        <v>0</v>
      </c>
      <c r="BI77" s="1" t="n">
        <f aca="false">VLOOKUP($K77,Constants!$I:$K, 2, FALSE())</f>
        <v>1.15</v>
      </c>
      <c r="BJ77" s="1" t="n">
        <f aca="false">VLOOKUP($K77,Constants!$I:$K, 3, FALSE())*IF(AND(J77="multiple_unit",AE77&lt;110),0.75,1)</f>
        <v>1.7</v>
      </c>
      <c r="BK77" s="1" t="n">
        <f aca="false">INT(POWER(((Constants!$G$2+$BD77+$BE77+$BF77+$BH77)*$BG77)*$BJ77, 1.05))+$BC77</f>
        <v>35</v>
      </c>
      <c r="BL77" s="1" t="n">
        <f aca="false">INT(POWER((((Constants!$G$1+$BD77+$BE77+$BF77+$BH77)*($BG77))*$BI77),IF($J77="wagon",1,1.2)))+$BB77</f>
        <v>63</v>
      </c>
      <c r="BM77" s="17" t="n">
        <f aca="false">BK77*IF($J77="wagon",62.5,781.25)</f>
        <v>27343.75</v>
      </c>
      <c r="BN77" s="17" t="n">
        <f aca="false">BL77*IF($J77="wagon",2.73,81.25)</f>
        <v>5118.75</v>
      </c>
      <c r="BY77" s="1" t="n">
        <v>9</v>
      </c>
      <c r="CD77" s="1" t="str">
        <f aca="false">VLOOKUP(M77,Eras!$A$2:$C$10, 2, TRUE())</f>
        <v>vct</v>
      </c>
      <c r="CE77" s="1" t="s">
        <v>282</v>
      </c>
      <c r="CF77" s="1" t="str">
        <f aca="false">CONCATENATE(CD77,"_",CE77)</f>
        <v>vct_Express</v>
      </c>
      <c r="CG77" s="1" t="str">
        <f aca="false">_xlfn.CONCAT(K77, "_",L77)</f>
        <v>steam_RAIL</v>
      </c>
      <c r="CH77" s="7" t="str">
        <f aca="false">_xlfn.CONCAT("{BLACK}Length: {GOLD}", TEXT(ROUNDUP(IF(AS77&lt;&gt;"",SUM(VALUE(_xlfn.TEXTSPLIT(AS77, ","))), SUM(VALUE(_xlfn.TEXTSPLIT(AP77, ",")))*IF(P77, P77, 1))/16, 1), "#,##0.0"), " tiles{}")</f>
        <v>{BLACK}Length: {GOLD}0.7 tiles{}</v>
      </c>
      <c r="CI77" s="1" t="str">
        <f aca="false">IF(0, VLOOKUP($CG77, Constants!$M:$N, 2, FALSE()),"")</f>
        <v/>
      </c>
      <c r="CJ77" s="1" t="str">
        <f aca="false">IF(P77&gt;1,_xlfn.CONCAT("{BLACK}Cars: {GOLD}", P77),"")</f>
        <v/>
      </c>
      <c r="CK77" s="1" t="s">
        <v>300</v>
      </c>
      <c r="CL77" s="1" t="str">
        <f aca="false">IF($BX77="concept_trains","{GREEN}Concept Vehicle",IF($BX77="!param_no_gameplay_units","{GREEN}Included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tiles{}{SILVER}More LNWR DX Goods locomotives were produced than any other steam locomotive class: 943 in total.</v>
      </c>
    </row>
    <row r="78" customFormat="false" ht="14.25" hidden="false" customHeight="false" outlineLevel="0" collapsed="false">
      <c r="A78" s="1" t="s">
        <v>301</v>
      </c>
      <c r="B78" s="15" t="s">
        <v>302</v>
      </c>
      <c r="C78" s="1" t="n">
        <v>112</v>
      </c>
      <c r="E78" s="1" t="n">
        <v>20</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241</v>
      </c>
      <c r="J78" s="1" t="s">
        <v>249</v>
      </c>
      <c r="K78" s="1" t="s">
        <v>250</v>
      </c>
      <c r="L78" s="1" t="s">
        <v>192</v>
      </c>
      <c r="M78" s="1" t="n">
        <v>1859</v>
      </c>
      <c r="O78" s="1" t="n">
        <v>1907</v>
      </c>
      <c r="Q78" s="1" t="n">
        <v>400</v>
      </c>
      <c r="S78" s="3" t="n">
        <v>16</v>
      </c>
      <c r="T78" s="3" t="n">
        <v>24</v>
      </c>
      <c r="U78" s="3" t="n">
        <v>2</v>
      </c>
      <c r="V78" s="3" t="n">
        <v>120</v>
      </c>
      <c r="W78" s="18" t="n">
        <f aca="false">((($AE78/2)/60)*5280)/($X78*3.2*PI())</f>
        <v>134.374239233289</v>
      </c>
      <c r="X78" s="3" t="n">
        <v>2.28</v>
      </c>
      <c r="Y78" s="3" t="n">
        <f aca="false">((($S78*$S78/4)*PI())*($T78/12)*$U78*$V78*$W78)/(33000*1.1)</f>
        <v>357.25677830941</v>
      </c>
      <c r="Z78" s="1" t="n">
        <v>27.4</v>
      </c>
      <c r="AA78" s="2" t="n">
        <v>15</v>
      </c>
      <c r="AC78" s="1" t="n">
        <v>31</v>
      </c>
      <c r="AD78" s="4" t="n">
        <f aca="false">IF(AND(Z78&gt;0,AC78&gt;0),(AC78/((Z78+AA78)*10)),"")</f>
        <v>0.0731132075471698</v>
      </c>
      <c r="AE78" s="1" t="n">
        <v>70</v>
      </c>
      <c r="AF78" s="1" t="n">
        <f aca="false">ROUND(AE78*1.6, 0)</f>
        <v>112</v>
      </c>
      <c r="AI78" s="1" t="n">
        <v>8</v>
      </c>
      <c r="AL78" s="5" t="n">
        <v>0</v>
      </c>
      <c r="AM78" s="1" t="str">
        <f aca="false">CONCATENATE(VLOOKUP(AN78, 'Voxel Sizes'!$A$2:$B$18,2,FALSE()),"x",INT(AJ78*15), "x", INT(AK78*15))</f>
        <v>82x0x0</v>
      </c>
      <c r="AN78" s="1" t="n">
        <f aca="false">ROUND(15*((AI78*10)/256),0)</f>
        <v>5</v>
      </c>
      <c r="AO78" s="1" t="s">
        <v>202</v>
      </c>
      <c r="AP78" s="1" t="str">
        <f aca="false">CONCATENATE(VLOOKUP(AN78,Constants!$A$2:$C$16,IF(AO78&lt;&gt;"", 3, 2), FALSE()),IF(AO78&lt;&gt;"",CONCATENATE(",",VLOOKUP(AO78,$B:$AP,41,FALSE())),""))</f>
        <v>2,1,2,1,2,1</v>
      </c>
      <c r="AX78" s="1" t="n">
        <v>1</v>
      </c>
      <c r="AZ78" s="1" t="n">
        <v>30</v>
      </c>
      <c r="BA78" s="16" t="n">
        <f aca="false">IF(O78&lt;&gt;"",MAX(16,(O78-M78)+8),"")</f>
        <v>56</v>
      </c>
      <c r="BB78" s="1" t="n">
        <v>5</v>
      </c>
      <c r="BC78" s="1" t="n">
        <v>6</v>
      </c>
      <c r="BD78" s="1" t="n">
        <f aca="false">MIN(AE78/150, 1)*30</f>
        <v>14</v>
      </c>
      <c r="BE78" s="1" t="n">
        <f aca="false">MIN(Q78/4000, 1)*20</f>
        <v>2</v>
      </c>
      <c r="BF78" s="1" t="n">
        <f aca="false">MIN(AC78/400,1)*20</f>
        <v>1.55</v>
      </c>
      <c r="BG78" s="4" t="n">
        <f aca="false">1-(MAX(M78-1900, 0)/750)</f>
        <v>1</v>
      </c>
      <c r="BH78" s="1"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52</v>
      </c>
      <c r="BL78" s="1" t="n">
        <f aca="false">INT(POWER((((Constants!$G$1+$BD78+$BE78+$BF78+$BH78)*($BG78))*$BI78),IF($J78="wagon",1,1.2)))+$BB78</f>
        <v>82</v>
      </c>
      <c r="BM78" s="17" t="n">
        <f aca="false">BK78*IF($J78="wagon",62.5,781.25)</f>
        <v>40625</v>
      </c>
      <c r="BN78" s="17" t="n">
        <f aca="false">BL78*IF($J78="wagon",2.73,81.25)</f>
        <v>6662.5</v>
      </c>
      <c r="BY78" s="1" t="n">
        <v>11</v>
      </c>
      <c r="CD78" s="1" t="str">
        <f aca="false">VLOOKUP(M78,Eras!$A$2:$C$10, 2, TRUE())</f>
        <v>vct</v>
      </c>
      <c r="CE78" s="1" t="s">
        <v>282</v>
      </c>
      <c r="CF78" s="1" t="str">
        <f aca="false">CONCATENATE(CD78,"_",CE78)</f>
        <v>vct_Express</v>
      </c>
      <c r="CG78" s="1" t="str">
        <f aca="false">_xlfn.CONCAT(K78, "_",L78)</f>
        <v>steam_RAIL</v>
      </c>
      <c r="CH78" s="7" t="str">
        <f aca="false">_xlfn.CONCAT("{BLACK}Length: {GOLD}", TEXT(ROUNDUP(IF(AS78&lt;&gt;"",SUM(VALUE(_xlfn.TEXTSPLIT(AS78, ","))), SUM(VALUE(_xlfn.TEXTSPLIT(AP78, ",")))*IF(P78, P78, 1))/16, 1), "#,##0.0"), " tiles{}")</f>
        <v>{BLACK}Length: {GOLD}0.6 tiles{}</v>
      </c>
      <c r="CI78" s="1" t="str">
        <f aca="false">IF(0, VLOOKUP($CG78, Constants!$M:$N, 2, FALSE()),"")</f>
        <v/>
      </c>
      <c r="CJ78" s="1" t="str">
        <f aca="false">IF(P78&gt;1,_xlfn.CONCAT("{BLACK}Cars: {GOLD}", P78),"")</f>
        <v/>
      </c>
      <c r="CK78" s="1" t="s">
        <v>303</v>
      </c>
      <c r="CL78" s="1" t="str">
        <f aca="false">IF($BX78="concept_trains","{GREEN}Concept Vehicle",IF($BX78="!param_no_gameplay_units","{GREEN}Included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{GOLD}0.6 tiles{}{SILVER}Cast iron coupling rods could not withstand high speeds, so early express locomotives used a large single driving wheel to reduce valve gear speeds.</v>
      </c>
    </row>
    <row r="79" customFormat="false" ht="14.25" hidden="false" customHeight="false" outlineLevel="0" collapsed="false">
      <c r="A79" s="1" t="s">
        <v>304</v>
      </c>
      <c r="B79" s="19" t="s">
        <v>305</v>
      </c>
      <c r="C79" s="1" t="n">
        <v>-1</v>
      </c>
      <c r="E79" s="1" t="n">
        <v>21</v>
      </c>
      <c r="G79" s="1" t="str">
        <f aca="false">IF($F79&lt;&gt;"",_xlfn.CONCAT(VLOOKUP($CE79, Constants!$T:$U, 2, FALSE()),",",$F79),VLOOKUP($CE79, Constants!$T:$U, 2, FALSE()))</f>
        <v>role/mixed</v>
      </c>
      <c r="H79" s="1" t="str">
        <f aca="false">IF($G79&lt;&gt;"",_xlfn.CONCAT(VLOOKUP($CG79, Constants!$M:$P, 4, FALSE()),",",$G79),VLOOKUP($CG79, Constants!$M:$P, 4, FALSE()))</f>
        <v>flag/GB,role/mixed</v>
      </c>
      <c r="J79" s="1" t="s">
        <v>40</v>
      </c>
      <c r="K79" s="1" t="s">
        <v>40</v>
      </c>
      <c r="L79" s="1" t="s">
        <v>192</v>
      </c>
      <c r="M79" s="1" t="n">
        <v>1870</v>
      </c>
      <c r="Z79" s="1" t="n">
        <v>42</v>
      </c>
      <c r="AD79" s="4" t="str">
        <f aca="false">IF(AND(Z79&gt;0,AC79&gt;0),(AC79/((Z79+AA79)*10)),"")</f>
        <v/>
      </c>
      <c r="AH79" s="1" t="n">
        <v>7.5</v>
      </c>
      <c r="AI79" s="1" t="n">
        <v>8</v>
      </c>
      <c r="AL79" s="5" t="n">
        <v>0</v>
      </c>
      <c r="AM79" s="1" t="str">
        <f aca="false">CONCATENATE(VLOOKUP(AN79, 'Voxel Sizes'!$A$2:$B$18,2,FALSE()),"x",INT(AJ79*15), "x", INT(AK79*15))</f>
        <v>82x0x0</v>
      </c>
      <c r="AN79" s="16" t="n">
        <f aca="false">ROUND(15*((AI79*10)/256),0)</f>
        <v>5</v>
      </c>
      <c r="AP79" s="1" t="str">
        <f aca="false">CONCATENATE(VLOOKUP(AN79,Constants!$A$2:$C$16,IF(AO79&lt;&gt;"", 3, 2), FALSE()),IF(AO79&lt;&gt;"",CONCATENATE(",",VLOOKUP(AO79,$B:$AP,41,FALSE())),""))</f>
        <v>2,1,2</v>
      </c>
      <c r="AZ79" s="1" t="n">
        <v>30</v>
      </c>
      <c r="BA79" s="16" t="str">
        <f aca="false">IF(O79&lt;&gt;"",MAX(16,(O79-M79)+8),"")</f>
        <v/>
      </c>
      <c r="BD79" s="20" t="n">
        <f aca="false">MIN(AE79/150, 1)*30</f>
        <v>0</v>
      </c>
      <c r="BE79" s="20" t="n">
        <f aca="false">MIN(Q79/4000, 1)*20</f>
        <v>0</v>
      </c>
      <c r="BF79" s="20" t="n">
        <f aca="false">MIN(AC79/400,1)*20</f>
        <v>0</v>
      </c>
      <c r="BG79" s="21" t="n">
        <f aca="false">1-(MAX(M79-1900, 0)/750)</f>
        <v>1</v>
      </c>
      <c r="BH79" s="20" t="n">
        <f aca="false">((MAX($P79,1)*MIN($AL79/300,1)))*IF(J79="Wagon",50,10)</f>
        <v>0</v>
      </c>
      <c r="BI79" s="1" t="n">
        <f aca="false">VLOOKUP($K79,Constants!$I:$K, 2, FALSE())</f>
        <v>0</v>
      </c>
      <c r="BJ79" s="1" t="n">
        <f aca="false">VLOOKUP($K79,Constants!$I:$K, 3, FALSE())*IF(AND(J79="multiple_unit",AE79&lt;110),0.75,1)</f>
        <v>0</v>
      </c>
      <c r="BK79" s="1" t="n">
        <f aca="false">INT(POWER(((Constants!$G$2+$BD79+$BE79+$BF79+$BH79)*$BG79)*$BJ79, 1.05))+$BC79</f>
        <v>0</v>
      </c>
      <c r="BL79" s="1" t="n">
        <f aca="false">INT(POWER((((Constants!$G$1+$BD79+$BE79+$BF79+$BH79)*($BG79))*$BI79),IF($J79="wagon",1,1.2)))+$BB79</f>
        <v>0</v>
      </c>
      <c r="BM79" s="22" t="n">
        <f aca="false">BK79*IF($J79="wagon",62.5,781.25)</f>
        <v>0</v>
      </c>
      <c r="BN79" s="22" t="n">
        <f aca="false">BL79*IF($J79="wagon",2.73,81.25)</f>
        <v>0</v>
      </c>
      <c r="BU79" s="1" t="str">
        <f aca="false">IF(J79="locomotive","1","")</f>
        <v/>
      </c>
      <c r="CD79" s="23" t="s">
        <v>306</v>
      </c>
      <c r="CE79" s="1" t="s">
        <v>129</v>
      </c>
      <c r="CF79" s="23" t="str">
        <f aca="false">CONCATENATE(CD79,"_",CE79)</f>
        <v>vct_Mixed Traffic</v>
      </c>
      <c r="CG79" s="23" t="str">
        <f aca="false">_xlfn.CONCAT(K79, "_",L79)</f>
        <v>tender_RAIL</v>
      </c>
      <c r="CH79" s="7" t="str">
        <f aca="false">_xlfn.CONCAT("{BLACK}Length: {GOLD}", TEXT(ROUNDUP(IF(AS79&lt;&gt;"",SUM(VALUE(_xlfn.TEXTSPLIT(AS79, ","))), SUM(VALUE(_xlfn.TEXTSPLIT(AP79, ",")))*IF(P79, P79, 1))/16, 1), "#,##0.0"), " tiles{}")</f>
        <v>{BLACK}Length: {GOLD}0.4 tiles{}</v>
      </c>
      <c r="CI79" s="1" t="str">
        <f aca="false">IF(0, VLOOKUP($CG79, Constants!$M:$N, 2, FALSE()),"")</f>
        <v/>
      </c>
      <c r="CJ79" s="1" t="str">
        <f aca="false">IF(P79&gt;1,_xlfn.CONCAT("{BLACK}Cars: {GOLD}", P79),"")</f>
        <v/>
      </c>
      <c r="CL79" s="1" t="str">
        <f aca="false">IF($BX79="concept_trains","{GREEN}Concept Vehicle",IF($BX79="!param_no_gameplay_units","{GREEN}Included for gameplay purposes",""))</f>
        <v/>
      </c>
      <c r="CM79" s="1" t="str">
        <f aca="false">IF(CA79="buffet","{YELLOW}25% long distance bonus for consist{}",IF(CB79="DANDY","{YELLOW}Faster downhill speeds for horse-drawn trains (1 required per 2 horses){}",IF(CB79="BRAKE","{YELLOW}Speed bonus for slow wagons{}",IF(CB79="NGPassengers","{YELLOW}Preserved railway bonus: passengers pay more when hauled by old locomotives{}",IF(AND(BZ79&gt;190,NOT(AND(L79="NARROW_GAUGE",CB79&lt;&gt;"PASS"))),CONCATENATE("{YELLOW}",INT((BZ79-185)/1.85),"%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{GOLD}0.4 tiles{}{SILVER}</v>
      </c>
    </row>
    <row r="80" customFormat="false" ht="14.25" hidden="false" customHeight="false" outlineLevel="0" collapsed="false">
      <c r="A80" s="1" t="s">
        <v>307</v>
      </c>
      <c r="B80" s="19" t="s">
        <v>308</v>
      </c>
      <c r="C80" s="1" t="n">
        <v>1025</v>
      </c>
      <c r="E80" s="1" t="n">
        <v>22</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I80" s="1" t="s">
        <v>241</v>
      </c>
      <c r="J80" s="1" t="s">
        <v>249</v>
      </c>
      <c r="K80" s="1" t="s">
        <v>250</v>
      </c>
      <c r="L80" s="1" t="s">
        <v>192</v>
      </c>
      <c r="M80" s="1" t="n">
        <v>1866</v>
      </c>
      <c r="O80" s="1" t="n">
        <v>1947</v>
      </c>
      <c r="Q80" s="1" t="n">
        <v>500</v>
      </c>
      <c r="S80" s="3" t="n">
        <v>17</v>
      </c>
      <c r="T80" s="3" t="n">
        <v>24</v>
      </c>
      <c r="U80" s="3" t="n">
        <v>2</v>
      </c>
      <c r="V80" s="3" t="n">
        <v>140</v>
      </c>
      <c r="W80" s="18" t="n">
        <f aca="false">((($AE80/2)/60)*5280)/($X80*3.2*PI())</f>
        <v>150.364408444378</v>
      </c>
      <c r="X80" s="3" t="n">
        <v>1.892</v>
      </c>
      <c r="Y80" s="3" t="n">
        <f aca="false">((($S80*$S80/4)*PI())*($T80/12)*$U80*$V80*$W80)/(33000*1.1)</f>
        <v>526.51915561535</v>
      </c>
      <c r="Z80" s="1" t="n">
        <v>38</v>
      </c>
      <c r="AA80" s="2" t="n">
        <v>30</v>
      </c>
      <c r="AB80" s="1" t="n">
        <v>5</v>
      </c>
      <c r="AC80" s="1" t="n">
        <v>50</v>
      </c>
      <c r="AD80" s="4" t="n">
        <f aca="false">IF(AND(Z80&gt;0,AC80&gt;0),(AC80/((Z80+AA80)*10)),"")</f>
        <v>0.0735294117647059</v>
      </c>
      <c r="AE80" s="1" t="n">
        <v>65</v>
      </c>
      <c r="AF80" s="1" t="n">
        <f aca="false">ROUND(AE80*1.6, 0)</f>
        <v>104</v>
      </c>
      <c r="AH80" s="1" t="n">
        <v>10</v>
      </c>
      <c r="AI80" s="1" t="n">
        <v>10</v>
      </c>
      <c r="AM80" s="1" t="str">
        <f aca="false">CONCATENATE(VLOOKUP(AN80, 'Voxel Sizes'!$A$2:$B$18,2,FALSE()),"x",INT(AJ80*15), "x", INT(AK80*15))</f>
        <v>102x0x0</v>
      </c>
      <c r="AN80" s="16" t="n">
        <f aca="false">ROUND(15*((AI80*10)/256),0)</f>
        <v>6</v>
      </c>
      <c r="AO80" s="1" t="s">
        <v>305</v>
      </c>
      <c r="AP80" s="1" t="str">
        <f aca="false">CONCATENATE(VLOOKUP(AN80,Constants!$A$2:$C$16,IF(AO80&lt;&gt;"", 3, 2), FALSE()),IF(AO80&lt;&gt;"",CONCATENATE(",",VLOOKUP(AO80,$B:$AP,41,FALSE())),""))</f>
        <v>2,2,2,2,1,2</v>
      </c>
      <c r="AX80" s="1" t="n">
        <v>1</v>
      </c>
      <c r="AZ80" s="1" t="n">
        <v>34</v>
      </c>
      <c r="BA80" s="16" t="n">
        <f aca="false">IF(O80&lt;&gt;"",MAX(16,(O80-M80)+8),"")</f>
        <v>89</v>
      </c>
      <c r="BD80" s="20" t="n">
        <f aca="false">MIN(AE80/150, 1)*30</f>
        <v>13</v>
      </c>
      <c r="BE80" s="20" t="n">
        <f aca="false">MIN(Q80/4000, 1)*20</f>
        <v>2.5</v>
      </c>
      <c r="BF80" s="20" t="n">
        <f aca="false">MIN(AC80/400,1)*20</f>
        <v>2.5</v>
      </c>
      <c r="BG80" s="21" t="n">
        <f aca="false">1-(MAX(M80-1900, 0)/750)</f>
        <v>1</v>
      </c>
      <c r="BH80" s="20"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46</v>
      </c>
      <c r="BL80" s="1" t="n">
        <f aca="false">INT(POWER((((Constants!$G$1+$BD80+$BE80+$BF80+$BH80)*($BG80))*$BI80),IF($J80="wagon",1,1.2)))+$BB80</f>
        <v>78</v>
      </c>
      <c r="BM80" s="22" t="n">
        <f aca="false">BK80*IF($J80="wagon",62.5,781.25)</f>
        <v>35937.5</v>
      </c>
      <c r="BN80" s="22" t="n">
        <f aca="false">BL80*IF($J80="wagon",2.73,81.25)</f>
        <v>6337.5</v>
      </c>
      <c r="BY80" s="1" t="n">
        <v>9</v>
      </c>
      <c r="CD80" s="23" t="s">
        <v>306</v>
      </c>
      <c r="CE80" s="1" t="s">
        <v>282</v>
      </c>
      <c r="CF80" s="23" t="str">
        <f aca="false">CONCATENATE(CD80,"_",CE80)</f>
        <v>vct_Express</v>
      </c>
      <c r="CG80" s="23" t="str">
        <f aca="false">_xlfn.CONCAT(K80, "_",L80)</f>
        <v>steam_RAIL</v>
      </c>
      <c r="CH80" s="7" t="str">
        <f aca="false">_xlfn.CONCAT("{BLACK}Length: {GOLD}", TEXT(ROUNDUP(IF(AS80&lt;&gt;"",SUM(VALUE(_xlfn.TEXTSPLIT(AS80, ","))), SUM(VALUE(_xlfn.TEXTSPLIT(AP80, ",")))*IF(P80, P80, 1))/16, 1), "#,##0.0"), " tiles{}")</f>
        <v>{BLACK}Length: {GOLD}0.7 tiles{}</v>
      </c>
      <c r="CI80" s="1" t="str">
        <f aca="false">IF(0, VLOOKUP($CG80, Constants!$M:$N, 2, FALSE()),"")</f>
        <v/>
      </c>
      <c r="CJ80" s="1" t="str">
        <f aca="false">IF(P80&gt;1,_xlfn.CONCAT("{BLACK}Cars: {GOLD}", P80),"")</f>
        <v/>
      </c>
      <c r="CK80" s="1" t="s">
        <v>309</v>
      </c>
      <c r="CL80" s="1" t="str">
        <f aca="false">IF($BX80="concept_trains","{GREEN}Concept Vehicle",IF($BX80="!param_no_gameplay_units","{GREEN}Included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tiles{}{SILVER}The Midland 156 class had a long career. It started as an express engine but as power outputs and speeds on the mainline increased it was relegated to increasingly minor duties, ending up being used on small branch lines.</v>
      </c>
    </row>
    <row r="81" customFormat="false" ht="14.25" hidden="false" customHeight="false" outlineLevel="0" collapsed="false">
      <c r="A81" s="1" t="s">
        <v>310</v>
      </c>
      <c r="B81" s="15" t="s">
        <v>311</v>
      </c>
      <c r="C81" s="1" t="n">
        <v>113</v>
      </c>
      <c r="E81" s="1" t="n">
        <v>23</v>
      </c>
      <c r="G81" s="1" t="str">
        <f aca="false">IF($F81&lt;&gt;"",_xlfn.CONCAT(VLOOKUP($CE81, Constants!$T:$U, 2, FALSE()),",",$F81),VLOOKUP($CE81, Constants!$T:$U, 2, FALSE()))</f>
        <v>role/mixed</v>
      </c>
      <c r="H81" s="1" t="str">
        <f aca="false">IF($G81&lt;&gt;"",_xlfn.CONCAT(VLOOKUP($CG81, Constants!$M:$P, 4, FALSE()),",",$G81),VLOOKUP($CG81, Constants!$M:$P, 4, FALSE()))</f>
        <v>flag/GB,power/steam,role/mixed</v>
      </c>
      <c r="I81" s="1" t="s">
        <v>241</v>
      </c>
      <c r="J81" s="1" t="s">
        <v>249</v>
      </c>
      <c r="K81" s="1" t="s">
        <v>250</v>
      </c>
      <c r="L81" s="1" t="s">
        <v>192</v>
      </c>
      <c r="M81" s="1" t="n">
        <v>1868</v>
      </c>
      <c r="O81" s="1" t="n">
        <v>1945</v>
      </c>
      <c r="Q81" s="1" t="n">
        <v>350</v>
      </c>
      <c r="S81" s="3" t="n">
        <v>15</v>
      </c>
      <c r="T81" s="3" t="n">
        <v>24</v>
      </c>
      <c r="U81" s="3" t="n">
        <v>2</v>
      </c>
      <c r="V81" s="3" t="n">
        <v>150</v>
      </c>
      <c r="W81" s="18" t="n">
        <f aca="false">((($AE81/2)/60)*5280)/($X81*3.2*PI())</f>
        <v>116.713624934057</v>
      </c>
      <c r="X81" s="3" t="n">
        <v>1.5</v>
      </c>
      <c r="Y81" s="3" t="n">
        <f aca="false">((($S81*$S81/4)*PI())*($T81/12)*$U81*$V81*$W81)/(33000*1.1)</f>
        <v>340.909090909091</v>
      </c>
      <c r="Z81" s="1" t="n">
        <v>35.8</v>
      </c>
      <c r="AC81" s="1" t="n">
        <v>65</v>
      </c>
      <c r="AD81" s="4" t="n">
        <f aca="false">IF(AND(Z81&gt;0,AC81&gt;0),(AC81/((Z81+AA81)*10)),"")</f>
        <v>0.181564245810056</v>
      </c>
      <c r="AE81" s="1" t="n">
        <v>40</v>
      </c>
      <c r="AF81" s="1" t="n">
        <f aca="false">ROUND(AE81*1.6, 0)</f>
        <v>64</v>
      </c>
      <c r="AH81" s="1" t="n">
        <v>8.65</v>
      </c>
      <c r="AI81" s="1" t="n">
        <v>8.65</v>
      </c>
      <c r="AK81" s="1" t="n">
        <v>3.7</v>
      </c>
      <c r="AL81" s="5" t="n">
        <v>0</v>
      </c>
      <c r="AM81" s="1" t="str">
        <f aca="false">CONCATENATE(VLOOKUP(AN81, 'Voxel Sizes'!$A$2:$B$18,2,FALSE()),"x",INT(AJ81*15), "x", INT(AK81*15))</f>
        <v>82x0x55</v>
      </c>
      <c r="AN81" s="1" t="n">
        <f aca="false">ROUND(15*((AI81*10)/256),0)</f>
        <v>5</v>
      </c>
      <c r="AP81" s="1" t="str">
        <f aca="false">CONCATENATE(VLOOKUP(AN81,Constants!$A$2:$C$16,IF(AO81&lt;&gt;"", 3, 2), FALSE()),IF(AO81&lt;&gt;"",CONCATENATE(",",VLOOKUP(AO81,$B:$AP,41,FALSE())),""))</f>
        <v>2,1,2</v>
      </c>
      <c r="AX81" s="1" t="n">
        <v>1</v>
      </c>
      <c r="AZ81" s="1" t="n">
        <v>30</v>
      </c>
      <c r="BA81" s="16" t="n">
        <f aca="false">IF(O81&lt;&gt;"",MAX(16,(O81-M81)+8),"")</f>
        <v>85</v>
      </c>
      <c r="BD81" s="1" t="n">
        <f aca="false">MIN(AE81/150, 1)*30</f>
        <v>8</v>
      </c>
      <c r="BE81" s="1" t="n">
        <f aca="false">MIN(Q81/4000, 1)*20</f>
        <v>1.75</v>
      </c>
      <c r="BF81" s="1" t="n">
        <f aca="false">MIN(AC81/400,1)*20</f>
        <v>3.25</v>
      </c>
      <c r="BG81" s="4" t="n">
        <f aca="false">1-(MAX(M81-1900, 0)/750)</f>
        <v>1</v>
      </c>
      <c r="BH81" s="1" t="n">
        <f aca="false">((MAX($P81,1)*MIN($AL81/300,1)))*IF(J81="Wagon",50,10)</f>
        <v>0</v>
      </c>
      <c r="BI81" s="1" t="n">
        <f aca="false">VLOOKUP($K81,Constants!$I:$K, 2, FALSE())</f>
        <v>1.15</v>
      </c>
      <c r="BJ81" s="1" t="n">
        <f aca="false">VLOOKUP($K81,Constants!$I:$K, 3, FALSE())*IF(AND(J81="multiple_unit",AE81&lt;110),0.75,1)</f>
        <v>1.7</v>
      </c>
      <c r="BK81" s="1" t="n">
        <f aca="false">INT(POWER(((Constants!$G$2+$BD81+$BE81+$BF81+$BH81)*$BG81)*$BJ81, 1.05))+$BC81</f>
        <v>36</v>
      </c>
      <c r="BL81" s="1" t="n">
        <f aca="false">INT(POWER((((Constants!$G$1+$BD81+$BE81+$BF81+$BH81)*($BG81))*$BI81),IF($J81="wagon",1,1.2)))+$BB81</f>
        <v>64</v>
      </c>
      <c r="BM81" s="17" t="n">
        <f aca="false">BK81*IF($J81="wagon",62.5,781.25)</f>
        <v>28125</v>
      </c>
      <c r="BN81" s="17" t="n">
        <f aca="false">BL81*IF($J81="wagon",2.73,81.25)</f>
        <v>5200</v>
      </c>
      <c r="BY81" s="1" t="n">
        <v>12</v>
      </c>
      <c r="CD81" s="1" t="str">
        <f aca="false">VLOOKUP(M81,Eras!$A$2:$C$10, 2, TRUE())</f>
        <v>vct</v>
      </c>
      <c r="CE81" s="1" t="s">
        <v>129</v>
      </c>
      <c r="CF81" s="1" t="str">
        <f aca="false">CONCATENATE(CD81,"_",CE81)</f>
        <v>vct_Mixed Traffic</v>
      </c>
      <c r="CG81" s="1" t="str">
        <f aca="false">_xlfn.CONCAT(K81, "_",L81)</f>
        <v>steam_RAIL</v>
      </c>
      <c r="CH81" s="7" t="str">
        <f aca="false">_xlfn.CONCAT("{BLACK}Length: {GOLD}", TEXT(ROUNDUP(IF(AS81&lt;&gt;"",SUM(VALUE(_xlfn.TEXTSPLIT(AS81, ","))), SUM(VALUE(_xlfn.TEXTSPLIT(AP81, ",")))*IF(P81, P81, 1))/16, 1), "#,##0.0"), " tiles{}")</f>
        <v>{BLACK}Length: {GOLD}0.4 tiles{}</v>
      </c>
      <c r="CI81" s="1" t="str">
        <f aca="false">IF(0, VLOOKUP($CG81, Constants!$M:$N, 2, FALSE()),"")</f>
        <v/>
      </c>
      <c r="CJ81" s="1" t="str">
        <f aca="false">IF(P81&gt;1,_xlfn.CONCAT("{BLACK}Cars: {GOLD}", P81),"")</f>
        <v/>
      </c>
      <c r="CK81" s="1" t="s">
        <v>312</v>
      </c>
      <c r="CL81" s="1" t="str">
        <f aca="false">IF($BX81="concept_trains","{GREEN}Concept Vehicle",IF($BX81="!param_no_gameplay_units","{GREEN}Included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{GOLD}0.4 tiles{}{SILVER}The GWR 517 class encompassed a variety of 0-4-2 side tank engines, some having been rebuilt from existing saddle tanks.</v>
      </c>
    </row>
    <row r="82" customFormat="false" ht="14.25" hidden="false" customHeight="false" outlineLevel="0" collapsed="false">
      <c r="A82" s="1" t="s">
        <v>313</v>
      </c>
      <c r="B82" s="15" t="s">
        <v>314</v>
      </c>
      <c r="C82" s="1" t="n">
        <v>114</v>
      </c>
      <c r="E82" s="1" t="n">
        <v>24</v>
      </c>
      <c r="G82" s="1" t="str">
        <f aca="false">IF($F82&lt;&gt;"",_xlfn.CONCAT(VLOOKUP($CE82, Constants!$T:$U, 2, FALSE()),",",$F82),VLOOKUP($CE82, Constants!$T:$U, 2, FALSE()))</f>
        <v>role/freight</v>
      </c>
      <c r="H82" s="1" t="str">
        <f aca="false">IF($G82&lt;&gt;"",_xlfn.CONCAT(VLOOKUP($CG82, Constants!$M:$P, 4, FALSE()),",",$G82),VLOOKUP($CG82, Constants!$M:$P, 4, FALSE()))</f>
        <v>flag/GB,power/steam,role/freight</v>
      </c>
      <c r="I82" s="1" t="s">
        <v>241</v>
      </c>
      <c r="J82" s="1" t="s">
        <v>249</v>
      </c>
      <c r="K82" s="1" t="s">
        <v>250</v>
      </c>
      <c r="L82" s="1" t="s">
        <v>192</v>
      </c>
      <c r="M82" s="1" t="n">
        <v>1869</v>
      </c>
      <c r="O82" s="1" t="n">
        <v>1951</v>
      </c>
      <c r="Q82" s="1" t="n">
        <v>480</v>
      </c>
      <c r="S82" s="3" t="n">
        <v>17</v>
      </c>
      <c r="T82" s="3" t="n">
        <v>24</v>
      </c>
      <c r="U82" s="3" t="n">
        <v>2</v>
      </c>
      <c r="V82" s="3" t="n">
        <v>140</v>
      </c>
      <c r="W82" s="18" t="n">
        <f aca="false">((($AE82/2)/60)*5280)/($X82*3.2*PI())</f>
        <v>138.505092880605</v>
      </c>
      <c r="X82" s="3" t="n">
        <v>1.58</v>
      </c>
      <c r="Y82" s="3" t="n">
        <f aca="false">((($S82*$S82/4)*PI())*($T82/12)*$U82*$V82*$W82)/(33000*1.1)</f>
        <v>484.992328346759</v>
      </c>
      <c r="Z82" s="1" t="n">
        <v>36.6</v>
      </c>
      <c r="AA82" s="2" t="n">
        <v>16</v>
      </c>
      <c r="AC82" s="1" t="n">
        <v>72</v>
      </c>
      <c r="AD82" s="4" t="n">
        <f aca="false">IF(AND(Z82&gt;0,AC82&gt;0),(AC82/((Z82+AA82)*10)),"")</f>
        <v>0.136882129277567</v>
      </c>
      <c r="AE82" s="1" t="n">
        <v>50</v>
      </c>
      <c r="AF82" s="1" t="n">
        <f aca="false">ROUND(AE82*1.6, 0)</f>
        <v>80</v>
      </c>
      <c r="AI82" s="1" t="n">
        <v>10</v>
      </c>
      <c r="AL82" s="5" t="n">
        <v>0</v>
      </c>
      <c r="AM82" s="1" t="str">
        <f aca="false">CONCATENATE(VLOOKUP(AN82, 'Voxel Sizes'!$A$2:$B$18,2,FALSE()),"x",INT(AJ82*15), "x", INT(AK82*15))</f>
        <v>102x0x0</v>
      </c>
      <c r="AN82" s="1" t="n">
        <f aca="false">ROUND(15*((AI82*10)/256),0)</f>
        <v>6</v>
      </c>
      <c r="AO82" s="1" t="s">
        <v>206</v>
      </c>
      <c r="AP82" s="1" t="str">
        <f aca="false">CONCATENATE(VLOOKUP(AN82,Constants!$A$2:$C$16,IF(AO82&lt;&gt;"", 3, 2), FALSE()),IF(AO82&lt;&gt;"",CONCATENATE(",",VLOOKUP(AO82,$B:$AP,41,FALSE())),""))</f>
        <v>2,2,2,1,2,1</v>
      </c>
      <c r="AX82" s="1" t="n">
        <v>1</v>
      </c>
      <c r="AZ82" s="1" t="n">
        <v>33</v>
      </c>
      <c r="BA82" s="16" t="n">
        <f aca="false">IF(O82&lt;&gt;"",MAX(16,(O82-M82)+8),"")</f>
        <v>90</v>
      </c>
      <c r="BB82" s="1" t="n">
        <v>2</v>
      </c>
      <c r="BC82" s="1" t="n">
        <v>-2</v>
      </c>
      <c r="BD82" s="1" t="n">
        <f aca="false">MIN(AE82/150, 1)*30</f>
        <v>10</v>
      </c>
      <c r="BE82" s="1" t="n">
        <f aca="false">MIN(Q82/4000, 1)*20</f>
        <v>2.4</v>
      </c>
      <c r="BF82" s="1" t="n">
        <f aca="false">MIN(AC82/400,1)*20</f>
        <v>3.6</v>
      </c>
      <c r="BG82" s="4" t="n">
        <f aca="false">1-(MAX(M82-1900, 0)/750)</f>
        <v>1</v>
      </c>
      <c r="BH82" s="1"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40</v>
      </c>
      <c r="BL82" s="1" t="n">
        <f aca="false">INT(POWER((((Constants!$G$1+$BD82+$BE82+$BF82+$BH82)*($BG82))*$BI82),IF($J82="wagon",1,1.2)))+$BB82</f>
        <v>74</v>
      </c>
      <c r="BM82" s="17" t="n">
        <f aca="false">BK82*IF($J82="wagon",62.5,781.25)</f>
        <v>31250</v>
      </c>
      <c r="BN82" s="17" t="n">
        <f aca="false">BL82*IF($J82="wagon",2.73,81.25)</f>
        <v>6012.5</v>
      </c>
      <c r="BY82" s="1" t="n">
        <v>5</v>
      </c>
      <c r="CD82" s="1" t="s">
        <v>306</v>
      </c>
      <c r="CE82" s="1" t="s">
        <v>132</v>
      </c>
      <c r="CF82" s="1" t="str">
        <f aca="false">CONCATENATE(CD82,"_",CE82)</f>
        <v>vct_Freight</v>
      </c>
      <c r="CG82" s="1" t="str">
        <f aca="false">_xlfn.CONCAT(K82, "_",L82)</f>
        <v>steam_RAIL</v>
      </c>
      <c r="CH82" s="7" t="str">
        <f aca="false">_xlfn.CONCAT("{BLACK}Length: {GOLD}", TEXT(ROUNDUP(IF(AS82&lt;&gt;"",SUM(VALUE(_xlfn.TEXTSPLIT(AS82, ","))), SUM(VALUE(_xlfn.TEXTSPLIT(AP82, ",")))*IF(P82, P82, 1))/16, 1), "#,##0.0"), " tiles{}")</f>
        <v>{BLACK}Length: {GOLD}0.7 tiles{}</v>
      </c>
      <c r="CI82" s="1" t="str">
        <f aca="false">IF(0, VLOOKUP($CG82, Constants!$M:$N, 2, FALSE()),"")</f>
        <v/>
      </c>
      <c r="CJ82" s="1" t="str">
        <f aca="false">IF(P82&gt;1,_xlfn.CONCAT("{BLACK}Cars: {GOLD}", P82),"")</f>
        <v/>
      </c>
      <c r="CK82" s="1" t="s">
        <v>315</v>
      </c>
      <c r="CL82" s="1" t="str">
        <f aca="false">IF($BX82="concept_trains","{GREEN}Concept Vehicle",IF($BX82="!param_no_gameplay_units","{GREEN}Included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tiles{}{SILVER}The 700 class was a widely-produced freight engine. In its later years a sixth of the originally produced locomotives were sold to the Italian State Railway.</v>
      </c>
    </row>
    <row r="83" customFormat="false" ht="13.5" hidden="false" customHeight="true" outlineLevel="0" collapsed="false">
      <c r="A83" s="1" t="s">
        <v>316</v>
      </c>
      <c r="B83" s="19" t="s">
        <v>317</v>
      </c>
      <c r="C83" s="1" t="n">
        <v>-1</v>
      </c>
      <c r="E83" s="1" t="n">
        <v>25</v>
      </c>
      <c r="G83" s="1" t="str">
        <f aca="false">IF($F83&lt;&gt;"",_xlfn.CONCAT(VLOOKUP($CE83, Constants!$T:$U, 2, FALSE()),",",$F83),VLOOKUP($CE83, Constants!$T:$U, 2, FALSE()))</f>
        <v>role/mixed</v>
      </c>
      <c r="H83" s="1" t="str">
        <f aca="false">IF($G83&lt;&gt;"",_xlfn.CONCAT(VLOOKUP($CG83, Constants!$M:$P, 4, FALSE()),",",$G83),VLOOKUP($CG83, Constants!$M:$P, 4, FALSE()))</f>
        <v>flag/GB,role/mixed</v>
      </c>
      <c r="J83" s="1" t="s">
        <v>40</v>
      </c>
      <c r="K83" s="1" t="s">
        <v>40</v>
      </c>
      <c r="L83" s="1" t="s">
        <v>192</v>
      </c>
      <c r="M83" s="1" t="n">
        <v>1870</v>
      </c>
      <c r="Z83" s="1" t="n">
        <v>20</v>
      </c>
      <c r="AD83" s="4" t="str">
        <f aca="false">IF(AND(Z83&gt;0,AC83&gt;0),(AC83/((Z83+AA83)*10)),"")</f>
        <v/>
      </c>
      <c r="AH83" s="1" t="n">
        <v>7.5</v>
      </c>
      <c r="AI83" s="1" t="n">
        <v>8</v>
      </c>
      <c r="AL83" s="5" t="n">
        <v>0</v>
      </c>
      <c r="AM83" s="1" t="str">
        <f aca="false">CONCATENATE(VLOOKUP(AN83, 'Voxel Sizes'!$A$2:$B$18,2,FALSE()),"x",INT(AJ83*15), "x", INT(AK83*15))</f>
        <v>82x0x0</v>
      </c>
      <c r="AN83" s="16" t="n">
        <f aca="false">ROUND(15*((AI83*10)/256),0)</f>
        <v>5</v>
      </c>
      <c r="AP83" s="1" t="str">
        <f aca="false">CONCATENATE(VLOOKUP(AN83,Constants!$A$2:$C$16,IF(AO83&lt;&gt;"", 3, 2), FALSE()),IF(AO83&lt;&gt;"",CONCATENATE(",",VLOOKUP(AO83,$B:$AP,41,FALSE())),""))</f>
        <v>2,1,2</v>
      </c>
      <c r="AZ83" s="1" t="n">
        <v>30</v>
      </c>
      <c r="BA83" s="16" t="str">
        <f aca="false">IF(O83&lt;&gt;"",MAX(16,(O83-M83)+8),"")</f>
        <v/>
      </c>
      <c r="BD83" s="20" t="n">
        <f aca="false">MIN(AE83/150, 1)*30</f>
        <v>0</v>
      </c>
      <c r="BE83" s="20" t="n">
        <f aca="false">MIN(Q83/4000, 1)*20</f>
        <v>0</v>
      </c>
      <c r="BF83" s="20" t="n">
        <f aca="false">MIN(AC83/400,1)*20</f>
        <v>0</v>
      </c>
      <c r="BG83" s="21" t="n">
        <f aca="false">1-(MAX(M83-1900, 0)/750)</f>
        <v>1</v>
      </c>
      <c r="BH83" s="20" t="n">
        <f aca="false">((MAX($P83,1)*MIN($AL83/300,1)))*IF(J83="Wagon",50,10)</f>
        <v>0</v>
      </c>
      <c r="BI83" s="1" t="n">
        <f aca="false">VLOOKUP($K83,Constants!$I:$K, 2, FALSE())</f>
        <v>0</v>
      </c>
      <c r="BJ83" s="1" t="n">
        <f aca="false">VLOOKUP($K83,Constants!$I:$K, 3, FALSE())*IF(AND(J83="multiple_unit",AE83&lt;110),0.75,1)</f>
        <v>0</v>
      </c>
      <c r="BK83" s="1" t="n">
        <f aca="false">INT(POWER(((Constants!$G$2+$BD83+$BE83+$BF83+$BH83)*$BG83)*$BJ83, 1.05))+$BC83</f>
        <v>0</v>
      </c>
      <c r="BL83" s="1" t="n">
        <f aca="false">INT(POWER((((Constants!$G$1+$BD83+$BE83+$BF83+$BH83)*($BG83))*$BI83),IF($J83="wagon",1,1.2)))+$BB83</f>
        <v>0</v>
      </c>
      <c r="BM83" s="22" t="n">
        <f aca="false">BK83*IF($J83="wagon",62.5,781.25)</f>
        <v>0</v>
      </c>
      <c r="BN83" s="22" t="n">
        <f aca="false">BL83*IF($J83="wagon",2.73,81.25)</f>
        <v>0</v>
      </c>
      <c r="BU83" s="1" t="str">
        <f aca="false">IF(J83="locomotive","1","")</f>
        <v/>
      </c>
      <c r="BV83" s="1" t="s">
        <v>318</v>
      </c>
      <c r="CD83" s="23" t="s">
        <v>306</v>
      </c>
      <c r="CE83" s="1" t="s">
        <v>129</v>
      </c>
      <c r="CF83" s="23" t="str">
        <f aca="false">CONCATENATE(CD83,"_",CE83)</f>
        <v>vct_Mixed Traffic</v>
      </c>
      <c r="CG83" s="23" t="str">
        <f aca="false">_xlfn.CONCAT(K83, "_",L83)</f>
        <v>tender_RAIL</v>
      </c>
      <c r="CH83" s="7" t="str">
        <f aca="false">_xlfn.CONCAT("{BLACK}Length: {GOLD}", TEXT(ROUNDUP(IF(AS83&lt;&gt;"",SUM(VALUE(_xlfn.TEXTSPLIT(AS83, ","))), SUM(VALUE(_xlfn.TEXTSPLIT(AP83, ",")))*IF(P83, P83, 1))/16, 1), "#,##0.0"), " tiles{}")</f>
        <v>{BLACK}Length: {GOLD}0.4 tiles{}</v>
      </c>
      <c r="CI83" s="1" t="str">
        <f aca="false">IF(0, VLOOKUP($CG83, Constants!$M:$N, 2, FALSE()),"")</f>
        <v/>
      </c>
      <c r="CJ83" s="1" t="str">
        <f aca="false">IF(P83&gt;1,_xlfn.CONCAT("{BLACK}Cars: {GOLD}", P83),"")</f>
        <v/>
      </c>
      <c r="CL83" s="1" t="str">
        <f aca="false">IF($BX83="concept_trains","{GREEN}Concept Vehicle",IF($BX83="!param_no_gameplay_units","{GREEN}Included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{GOLD}0.4 tiles{}{SILVER}</v>
      </c>
    </row>
    <row r="84" customFormat="false" ht="14.25" hidden="false" customHeight="false" outlineLevel="0" collapsed="false">
      <c r="A84" s="1" t="s">
        <v>319</v>
      </c>
      <c r="B84" s="19" t="s">
        <v>320</v>
      </c>
      <c r="C84" s="1" t="n">
        <v>1026</v>
      </c>
      <c r="E84" s="1" t="n">
        <v>26</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241</v>
      </c>
      <c r="J84" s="1" t="s">
        <v>249</v>
      </c>
      <c r="K84" s="1" t="s">
        <v>250</v>
      </c>
      <c r="L84" s="1" t="s">
        <v>192</v>
      </c>
      <c r="M84" s="1" t="n">
        <v>1870</v>
      </c>
      <c r="O84" s="1" t="n">
        <v>1916</v>
      </c>
      <c r="Q84" s="1" t="n">
        <v>650</v>
      </c>
      <c r="S84" s="3" t="n">
        <v>18</v>
      </c>
      <c r="T84" s="3" t="n">
        <v>28</v>
      </c>
      <c r="U84" s="3" t="n">
        <v>2</v>
      </c>
      <c r="V84" s="3" t="n">
        <v>140</v>
      </c>
      <c r="W84" s="18" t="n">
        <f aca="false">((($AE84/2)/60)*5280)/($X84*3.2*PI())</f>
        <v>151.22954450297</v>
      </c>
      <c r="X84" s="3" t="n">
        <v>2.46</v>
      </c>
      <c r="Y84" s="3" t="n">
        <f aca="false">((($S84*$S84/4)*PI())*($T84/12)*$U84*$V84*$W84)/(33000*1.1)</f>
        <v>692.627494456763</v>
      </c>
      <c r="Z84" s="1" t="n">
        <v>40</v>
      </c>
      <c r="AA84" s="2" t="n">
        <v>30</v>
      </c>
      <c r="AB84" s="1" t="n">
        <v>5</v>
      </c>
      <c r="AC84" s="1" t="n">
        <v>50</v>
      </c>
      <c r="AD84" s="4" t="n">
        <f aca="false">IF(AND(Z84&gt;0,AC84&gt;0),(AC84/((Z84+AA84)*10)),"")</f>
        <v>0.0714285714285714</v>
      </c>
      <c r="AE84" s="1" t="n">
        <v>85</v>
      </c>
      <c r="AF84" s="1" t="n">
        <f aca="false">ROUND(AE84*1.6, 0)</f>
        <v>136</v>
      </c>
      <c r="AH84" s="1" t="n">
        <v>15.4</v>
      </c>
      <c r="AI84" s="1" t="n">
        <v>12</v>
      </c>
      <c r="AM84" s="1" t="str">
        <f aca="false">CONCATENATE(VLOOKUP(AN84, 'Voxel Sizes'!$A$2:$B$18,2,FALSE()),"x",INT(AJ84*15), "x", INT(AK84*15))</f>
        <v>120x0x0</v>
      </c>
      <c r="AN84" s="16" t="n">
        <f aca="false">ROUND(15*((AI84*10)/256),0)</f>
        <v>7</v>
      </c>
      <c r="AO84" s="1" t="s">
        <v>317</v>
      </c>
      <c r="AP84" s="1" t="str">
        <f aca="false">CONCATENATE(VLOOKUP(AN84,Constants!$A$2:$C$16,IF(AO84&lt;&gt;"", 3, 2), FALSE()),IF(AO84&lt;&gt;"",CONCATENATE(",",VLOOKUP(AO84,$B:$AP,41,FALSE())),""))</f>
        <v>2,3,2,2,1,2</v>
      </c>
      <c r="AX84" s="1" t="n">
        <v>1</v>
      </c>
      <c r="AZ84" s="1" t="n">
        <v>31</v>
      </c>
      <c r="BA84" s="16" t="n">
        <f aca="false">IF(O84&lt;&gt;"",MAX(16,(O84-M84)+8),"")</f>
        <v>54</v>
      </c>
      <c r="BD84" s="20" t="n">
        <f aca="false">MIN(AE84/150, 1)*30</f>
        <v>17</v>
      </c>
      <c r="BE84" s="20" t="n">
        <f aca="false">MIN(Q84/4000, 1)*20</f>
        <v>3.25</v>
      </c>
      <c r="BF84" s="20" t="n">
        <f aca="false">MIN(AC84/400,1)*20</f>
        <v>2.5</v>
      </c>
      <c r="BG84" s="21" t="n">
        <f aca="false">1-(MAX(M84-1900, 0)/750)</f>
        <v>1</v>
      </c>
      <c r="BH84" s="20" t="n">
        <f aca="false">((MAX($P84,1)*MIN($AL84/300,1)))*IF(J84="Wagon",50,10)</f>
        <v>0</v>
      </c>
      <c r="BI84" s="1" t="n">
        <f aca="false">VLOOKUP($K84,Constants!$I:$K, 2, FALSE())</f>
        <v>1.15</v>
      </c>
      <c r="BJ84" s="1" t="n">
        <f aca="false">VLOOKUP($K84,Constants!$I:$K, 3, FALSE())*IF(AND(J84="multiple_unit",AE84&lt;110),0.75,1)</f>
        <v>1.7</v>
      </c>
      <c r="BK84" s="1" t="n">
        <f aca="false">INT(POWER(((Constants!$G$2+$BD84+$BE84+$BF84+$BH84)*$BG84)*$BJ84, 1.05))+$BC84</f>
        <v>57</v>
      </c>
      <c r="BL84" s="1" t="n">
        <f aca="false">INT(POWER((((Constants!$G$1+$BD84+$BE84+$BF84+$BH84)*($BG84))*$BI84),IF($J84="wagon",1,1.2)))+$BB84</f>
        <v>92</v>
      </c>
      <c r="BM84" s="22" t="n">
        <f aca="false">BK84*IF($J84="wagon",62.5,781.25)</f>
        <v>44531.25</v>
      </c>
      <c r="BN84" s="22" t="n">
        <f aca="false">BL84*IF($J84="wagon",2.73,81.25)</f>
        <v>7475</v>
      </c>
      <c r="BY84" s="1" t="n">
        <v>4</v>
      </c>
      <c r="CD84" s="23" t="s">
        <v>306</v>
      </c>
      <c r="CE84" s="1" t="s">
        <v>282</v>
      </c>
      <c r="CF84" s="23" t="str">
        <f aca="false">CONCATENATE(CD84,"_",CE84)</f>
        <v>vct_Express</v>
      </c>
      <c r="CG84" s="23" t="str">
        <f aca="false">_xlfn.CONCAT(K84, "_",L84)</f>
        <v>steam_RAIL</v>
      </c>
      <c r="CH84" s="7" t="str">
        <f aca="false">_xlfn.CONCAT("{BLACK}Length: {GOLD}", TEXT(ROUNDUP(IF(AS84&lt;&gt;"",SUM(VALUE(_xlfn.TEXTSPLIT(AS84, ","))), SUM(VALUE(_xlfn.TEXTSPLIT(AP84, ",")))*IF(P84, P84, 1))/16, 1), "#,##0.0"), " tiles{}")</f>
        <v>{BLACK}Length: {GOLD}0.8 tiles{}</v>
      </c>
      <c r="CI84" s="1" t="str">
        <f aca="false">IF(0, VLOOKUP($CG84, Constants!$M:$N, 2, FALSE()),"")</f>
        <v/>
      </c>
      <c r="CJ84" s="1" t="str">
        <f aca="false">IF(P84&gt;1,_xlfn.CONCAT("{BLACK}Cars: {GOLD}", P84),"")</f>
        <v/>
      </c>
      <c r="CK84" s="1" t="s">
        <v>321</v>
      </c>
      <c r="CL84" s="1" t="str">
        <f aca="false">IF($BX84="concept_trains","{GREEN}Concept Vehicle",IF($BX84="!param_no_gameplay_units","{GREEN}Included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{GOLD}0.8 tiles{}{SILVER}Patrick Stirling's "singles" (also known as "eight footers" due to the large driving wheels) were designed to haul heavy express trains.</v>
      </c>
    </row>
    <row r="85" customFormat="false" ht="14.25" hidden="false" customHeight="false" outlineLevel="0" collapsed="false">
      <c r="A85" s="1" t="s">
        <v>322</v>
      </c>
      <c r="B85" s="15" t="s">
        <v>323</v>
      </c>
      <c r="C85" s="1" t="n">
        <v>115</v>
      </c>
      <c r="E85" s="1" t="n">
        <v>27</v>
      </c>
      <c r="G85" s="1" t="str">
        <f aca="false">IF($F85&lt;&gt;"",_xlfn.CONCAT(VLOOKUP($CE85, Constants!$T:$U, 2, FALSE()),",",$F85),VLOOKUP($CE85, Constants!$T:$U, 2, FALSE()))</f>
        <v>role/passenger</v>
      </c>
      <c r="H85" s="1" t="str">
        <f aca="false">IF($G85&lt;&gt;"",_xlfn.CONCAT(VLOOKUP($CG85, Constants!$M:$P, 4, FALSE()),",",$G85),VLOOKUP($CG85, Constants!$M:$P, 4, FALSE()))</f>
        <v>flag/GB,power/steam,role/passenger</v>
      </c>
      <c r="I85" s="1" t="s">
        <v>241</v>
      </c>
      <c r="J85" s="1" t="s">
        <v>249</v>
      </c>
      <c r="K85" s="1" t="s">
        <v>250</v>
      </c>
      <c r="L85" s="1" t="s">
        <v>192</v>
      </c>
      <c r="M85" s="1" t="n">
        <v>1872</v>
      </c>
      <c r="N85" s="1" t="n">
        <v>1880</v>
      </c>
      <c r="O85" s="1" t="n">
        <v>1963</v>
      </c>
      <c r="Q85" s="1" t="n">
        <v>300</v>
      </c>
      <c r="S85" s="3" t="n">
        <v>12</v>
      </c>
      <c r="T85" s="3" t="n">
        <v>20</v>
      </c>
      <c r="U85" s="3" t="n">
        <v>2</v>
      </c>
      <c r="V85" s="3" t="n">
        <v>150</v>
      </c>
      <c r="W85" s="18" t="n">
        <f aca="false">((($AE85/2)/60)*5280)/($X85*3.2*PI())</f>
        <v>164.128535063517</v>
      </c>
      <c r="X85" s="3" t="n">
        <v>1.2</v>
      </c>
      <c r="Y85" s="3" t="n">
        <f aca="false">((($S85*$S85/4)*PI())*($T85/12)*$U85*$V85*$W85)/(33000*1.1)</f>
        <v>255.681818181818</v>
      </c>
      <c r="Z85" s="1" t="n">
        <v>28</v>
      </c>
      <c r="AC85" s="1" t="n">
        <v>34</v>
      </c>
      <c r="AD85" s="4" t="n">
        <f aca="false">IF(AND(Z85&gt;0,AC85&gt;0),(AC85/((Z85+AA85)*10)),"")</f>
        <v>0.121428571428571</v>
      </c>
      <c r="AE85" s="1" t="n">
        <v>45</v>
      </c>
      <c r="AF85" s="1" t="n">
        <f aca="false">ROUND(AE85*1.6, 0)</f>
        <v>72</v>
      </c>
      <c r="AH85" s="1" t="n">
        <v>7.94</v>
      </c>
      <c r="AI85" s="1" t="n">
        <v>8</v>
      </c>
      <c r="AL85" s="5" t="n">
        <v>0</v>
      </c>
      <c r="AM85" s="1" t="str">
        <f aca="false">CONCATENATE(VLOOKUP(AN85, 'Voxel Sizes'!$A$2:$B$18,2,FALSE()),"x",INT(AJ85*15), "x", INT(AK85*15))</f>
        <v>82x0x0</v>
      </c>
      <c r="AN85" s="1" t="n">
        <f aca="false">ROUND(15*((AI85*10)/256),0)</f>
        <v>5</v>
      </c>
      <c r="AP85" s="1" t="str">
        <f aca="false">CONCATENATE(VLOOKUP(AN85,Constants!$A$2:$C$16,IF(AO85&lt;&gt;"", 3, 2), FALSE()),IF(AO85&lt;&gt;"",CONCATENATE(",",VLOOKUP(AO85,$B:$AP,41,FALSE())),""))</f>
        <v>2,1,2</v>
      </c>
      <c r="AX85" s="1" t="n">
        <v>1</v>
      </c>
      <c r="AZ85" s="1" t="n">
        <v>35</v>
      </c>
      <c r="BA85" s="16" t="n">
        <f aca="false">IF(O85&lt;&gt;"",MAX(16,(O85-M85)+8),"")</f>
        <v>99</v>
      </c>
      <c r="BD85" s="1" t="n">
        <f aca="false">MIN(AE85/150, 1)*30</f>
        <v>9</v>
      </c>
      <c r="BE85" s="1" t="n">
        <f aca="false">MIN(Q85/4000, 1)*20</f>
        <v>1.5</v>
      </c>
      <c r="BF85" s="1" t="n">
        <f aca="false">MIN(AC85/400,1)*20</f>
        <v>1.7</v>
      </c>
      <c r="BG85" s="4" t="n">
        <f aca="false">1-(MAX(M85-1900, 0)/750)</f>
        <v>1</v>
      </c>
      <c r="BH85" s="1" t="n">
        <f aca="false">((MAX($P85,1)*MIN($AL85/300,1)))*IF(J85="Wagon",50,10)</f>
        <v>0</v>
      </c>
      <c r="BI85" s="1" t="n">
        <f aca="false">VLOOKUP($K85,Constants!$I:$K, 2, FALSE())</f>
        <v>1.15</v>
      </c>
      <c r="BJ85" s="1" t="n">
        <f aca="false">VLOOKUP($K85,Constants!$I:$K, 3, FALSE())*IF(AND(J85="multiple_unit",AE85&lt;110),0.75,1)</f>
        <v>1.7</v>
      </c>
      <c r="BK85" s="1" t="n">
        <f aca="false">INT(POWER(((Constants!$G$2+$BD85+$BE85+$BF85+$BH85)*$BG85)*$BJ85, 1.05))+$BC85</f>
        <v>34</v>
      </c>
      <c r="BL85" s="1" t="n">
        <f aca="false">INT(POWER((((Constants!$G$1+$BD85+$BE85+$BF85+$BH85)*($BG85))*$BI85),IF($J85="wagon",1,1.2)))+$BB85</f>
        <v>62</v>
      </c>
      <c r="BM85" s="17" t="n">
        <f aca="false">BK85*IF($J85="wagon",62.5,781.25)</f>
        <v>26562.5</v>
      </c>
      <c r="BN85" s="17" t="n">
        <f aca="false">BL85*IF($J85="wagon",2.73,81.25)</f>
        <v>5037.5</v>
      </c>
      <c r="BV85" s="1" t="str">
        <f aca="false">IF($J85="locomotive","B","")</f>
        <v>B</v>
      </c>
      <c r="BY85" s="1" t="n">
        <v>1</v>
      </c>
      <c r="CD85" s="1" t="str">
        <f aca="false">VLOOKUP(M85,Eras!$A$2:$C$10, 2, TRUE())</f>
        <v>vct</v>
      </c>
      <c r="CE85" s="1" t="s">
        <v>123</v>
      </c>
      <c r="CF85" s="1" t="str">
        <f aca="false">CONCATENATE(CD85,"_",CE85)</f>
        <v>vct_Passenger</v>
      </c>
      <c r="CG85" s="1" t="str">
        <f aca="false">_xlfn.CONCAT(K85, "_",L85)</f>
        <v>steam_RAIL</v>
      </c>
      <c r="CH85" s="7" t="str">
        <f aca="false">_xlfn.CONCAT("{BLACK}Length: {GOLD}", TEXT(ROUNDUP(IF(AS85&lt;&gt;"",SUM(VALUE(_xlfn.TEXTSPLIT(AS85, ","))), SUM(VALUE(_xlfn.TEXTSPLIT(AP85, ",")))*IF(P85, P85, 1))/16, 1), "#,##0.0"), " tiles{}")</f>
        <v>{BLACK}Length: {GOLD}0.4 tiles{}</v>
      </c>
      <c r="CI85" s="1" t="str">
        <f aca="false">IF(0, VLOOKUP($CG85, Constants!$M:$N, 2, FALSE()),"")</f>
        <v/>
      </c>
      <c r="CJ85" s="1" t="str">
        <f aca="false">IF(P85&gt;1,_xlfn.CONCAT("{BLACK}Cars: {GOLD}", P85),"")</f>
        <v/>
      </c>
      <c r="CK85" s="1" t="s">
        <v>324</v>
      </c>
      <c r="CL85" s="1" t="str">
        <f aca="false">IF($BX85="concept_trains","{GREEN}Concept Vehicle",IF($BX85="!param_no_gameplay_units","{GREEN}Included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tiles{}{SILVER}Originally designed to operate commuter services, the small A1 tank locomotives were still used into the 1960s on the Hayling Island branch line.</v>
      </c>
    </row>
    <row r="86" customFormat="false" ht="13.5" hidden="false" customHeight="true" outlineLevel="0" collapsed="false">
      <c r="A86" s="1" t="s">
        <v>325</v>
      </c>
      <c r="B86" s="19" t="s">
        <v>326</v>
      </c>
      <c r="C86" s="1" t="n">
        <v>-1</v>
      </c>
      <c r="E86" s="1" t="n">
        <v>28</v>
      </c>
      <c r="G86" s="1" t="str">
        <f aca="false">IF($F86&lt;&gt;"",_xlfn.CONCAT(VLOOKUP($CE86, Constants!$T:$U, 2, FALSE()),",",$F86),VLOOKUP($CE86, Constants!$T:$U, 2, FALSE()))</f>
        <v>role/mixed</v>
      </c>
      <c r="H86" s="1" t="str">
        <f aca="false">IF($G86&lt;&gt;"",_xlfn.CONCAT(VLOOKUP($CG86, Constants!$M:$P, 4, FALSE()),",",$G86),VLOOKUP($CG86, Constants!$M:$P, 4, FALSE()))</f>
        <v>flag/GB,role/mixed</v>
      </c>
      <c r="J86" s="1" t="s">
        <v>40</v>
      </c>
      <c r="K86" s="1" t="s">
        <v>40</v>
      </c>
      <c r="L86" s="1" t="s">
        <v>192</v>
      </c>
      <c r="M86" s="1" t="n">
        <v>1874</v>
      </c>
      <c r="Z86" s="1" t="n">
        <v>20</v>
      </c>
      <c r="AD86" s="4" t="str">
        <f aca="false">IF(AND(Z86&gt;0,AC86&gt;0),(AC86/((Z86+AA86)*10)),"")</f>
        <v/>
      </c>
      <c r="AH86" s="1" t="n">
        <v>7.5</v>
      </c>
      <c r="AI86" s="1" t="n">
        <v>8</v>
      </c>
      <c r="AL86" s="5" t="n">
        <v>0</v>
      </c>
      <c r="AM86" s="1" t="str">
        <f aca="false">CONCATENATE(VLOOKUP(AN86, 'Voxel Sizes'!$A$2:$B$18,2,FALSE()),"x",INT(AJ86*15), "x", INT(AK86*15))</f>
        <v>82x0x0</v>
      </c>
      <c r="AN86" s="16" t="n">
        <f aca="false">ROUND(15*((AI86*10)/256),0)</f>
        <v>5</v>
      </c>
      <c r="AP86" s="1" t="str">
        <f aca="false">CONCATENATE(VLOOKUP(AN86,Constants!$A$2:$C$16,IF(AO86&lt;&gt;"", 3, 2), FALSE()),IF(AO86&lt;&gt;"",CONCATENATE(",",VLOOKUP(AO86,$B:$AP,41,FALSE())),""))</f>
        <v>2,1,2</v>
      </c>
      <c r="AZ86" s="1" t="n">
        <v>30</v>
      </c>
      <c r="BA86" s="16" t="str">
        <f aca="false">IF(O86&lt;&gt;"",MAX(16,(O86-M86)+8),"")</f>
        <v/>
      </c>
      <c r="BD86" s="20" t="n">
        <f aca="false">MIN(AE86/150, 1)*30</f>
        <v>0</v>
      </c>
      <c r="BE86" s="20" t="n">
        <f aca="false">MIN(Q86/4000, 1)*20</f>
        <v>0</v>
      </c>
      <c r="BF86" s="20" t="n">
        <f aca="false">MIN(AC86/400,1)*20</f>
        <v>0</v>
      </c>
      <c r="BG86" s="21" t="n">
        <f aca="false">1-(MAX(M86-1900, 0)/750)</f>
        <v>1</v>
      </c>
      <c r="BH86" s="20" t="n">
        <f aca="false">((MAX($P86,1)*MIN($AL86/300,1)))*IF(J86="Wagon",50,10)</f>
        <v>0</v>
      </c>
      <c r="BI86" s="1" t="n">
        <f aca="false">VLOOKUP($K86,Constants!$I:$K, 2, FALSE())</f>
        <v>0</v>
      </c>
      <c r="BJ86" s="1" t="n">
        <f aca="false">VLOOKUP($K86,Constants!$I:$K, 3, FALSE())*IF(AND(J86="multiple_unit",AE86&lt;110),0.75,1)</f>
        <v>0</v>
      </c>
      <c r="BK86" s="1" t="n">
        <f aca="false">INT(POWER(((Constants!$G$2+$BD86+$BE86+$BF86+$BH86)*$BG86)*$BJ86, 1.05))+$BC86</f>
        <v>0</v>
      </c>
      <c r="BL86" s="1" t="n">
        <f aca="false">INT(POWER((((Constants!$G$1+$BD86+$BE86+$BF86+$BH86)*($BG86))*$BI86),IF($J86="wagon",1,1.2)))+$BB86</f>
        <v>0</v>
      </c>
      <c r="BM86" s="22" t="n">
        <f aca="false">BK86*IF($J86="wagon",62.5,781.25)</f>
        <v>0</v>
      </c>
      <c r="BN86" s="22" t="n">
        <f aca="false">BL86*IF($J86="wagon",2.73,81.25)</f>
        <v>0</v>
      </c>
      <c r="BU86" s="1" t="str">
        <f aca="false">IF(J86="locomotive","B","")</f>
        <v/>
      </c>
      <c r="BV86" s="1" t="s">
        <v>318</v>
      </c>
      <c r="CD86" s="23" t="s">
        <v>306</v>
      </c>
      <c r="CE86" s="1" t="s">
        <v>129</v>
      </c>
      <c r="CF86" s="23" t="str">
        <f aca="false">CONCATENATE(CD86,"_",CE86)</f>
        <v>vct_Mixed Traffic</v>
      </c>
      <c r="CG86" s="23" t="str">
        <f aca="false">_xlfn.CONCAT(K86, "_",L86)</f>
        <v>tender_RAIL</v>
      </c>
      <c r="CH86" s="7" t="str">
        <f aca="false">_xlfn.CONCAT("{BLACK}Length: {GOLD}", TEXT(ROUNDUP(IF(AS86&lt;&gt;"",SUM(VALUE(_xlfn.TEXTSPLIT(AS86, ","))), SUM(VALUE(_xlfn.TEXTSPLIT(AP86, ",")))*IF(P86, P86, 1))/16, 1), "#,##0.0"), " tiles{}")</f>
        <v>{BLACK}Length: {GOLD}0.4 tiles{}</v>
      </c>
      <c r="CI86" s="1" t="str">
        <f aca="false">IF(0, VLOOKUP($CG86, Constants!$M:$N, 2, FALSE()),"")</f>
        <v/>
      </c>
      <c r="CJ86" s="1" t="str">
        <f aca="false">IF(P86&gt;1,_xlfn.CONCAT("{BLACK}Cars: {GOLD}", P86),"")</f>
        <v/>
      </c>
      <c r="CL86" s="1" t="str">
        <f aca="false">IF($BX86="concept_trains","{GREEN}Concept Vehicle",IF($BX86="!param_no_gameplay_units","{GREEN}Included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{GOLD}0.4 tiles{}{SILVER}</v>
      </c>
    </row>
    <row r="87" customFormat="false" ht="14.25" hidden="false" customHeight="false" outlineLevel="0" collapsed="false">
      <c r="A87" s="1" t="s">
        <v>327</v>
      </c>
      <c r="B87" s="19" t="s">
        <v>328</v>
      </c>
      <c r="C87" s="1" t="n">
        <v>-1</v>
      </c>
      <c r="E87" s="1" t="n">
        <v>29</v>
      </c>
      <c r="G87" s="1" t="str">
        <f aca="false">IF($F87&lt;&gt;"",_xlfn.CONCAT(VLOOKUP($CE87, Constants!$T:$U, 2, FALSE()),",",$F87),VLOOKUP($CE87, Constants!$T:$U, 2, FALSE()))</f>
        <v>role/mixed</v>
      </c>
      <c r="H87" s="1" t="str">
        <f aca="false">IF($G87&lt;&gt;"",_xlfn.CONCAT(VLOOKUP($CG87, Constants!$M:$P, 4, FALSE()),",",$G87),VLOOKUP($CG87, Constants!$M:$P, 4, FALSE()))</f>
        <v>flag/GB,role/mixed</v>
      </c>
      <c r="J87" s="1" t="s">
        <v>40</v>
      </c>
      <c r="K87" s="1" t="s">
        <v>40</v>
      </c>
      <c r="L87" s="1" t="s">
        <v>192</v>
      </c>
      <c r="M87" s="1" t="n">
        <v>1874</v>
      </c>
      <c r="Z87" s="1" t="n">
        <v>42</v>
      </c>
      <c r="AD87" s="4" t="str">
        <f aca="false">IF(AND(Z87&gt;0,AC87&gt;0),(AC87/((Z87+AA87)*10)),"")</f>
        <v/>
      </c>
      <c r="AH87" s="1" t="n">
        <v>7.5</v>
      </c>
      <c r="AI87" s="1" t="n">
        <v>8</v>
      </c>
      <c r="AL87" s="5" t="n">
        <v>0</v>
      </c>
      <c r="AM87" s="1" t="str">
        <f aca="false">CONCATENATE(VLOOKUP(AN87, 'Voxel Sizes'!$A$2:$B$18,2,FALSE()),"x",INT(AJ87*15), "x", INT(AK87*15))</f>
        <v>82x0x0</v>
      </c>
      <c r="AN87" s="16" t="n">
        <f aca="false">ROUND(15*((AI87*10)/256),0)</f>
        <v>5</v>
      </c>
      <c r="AP87" s="1" t="str">
        <f aca="false">CONCATENATE(VLOOKUP(AN87,Constants!$A$2:$C$16,IF(AO87&lt;&gt;"", 3, 2), FALSE()),IF(AO87&lt;&gt;"",CONCATENATE(",",VLOOKUP(AO87,$B:$AP,41,FALSE())),""))</f>
        <v>2,1,2</v>
      </c>
      <c r="AZ87" s="1" t="n">
        <v>30</v>
      </c>
      <c r="BA87" s="16" t="str">
        <f aca="false">IF(O87&lt;&gt;"",MAX(16,(O87-M87)+8),"")</f>
        <v/>
      </c>
      <c r="BD87" s="20" t="n">
        <f aca="false">MIN(AE87/150, 1)*30</f>
        <v>0</v>
      </c>
      <c r="BE87" s="20" t="n">
        <f aca="false">MIN(Q87/4000, 1)*20</f>
        <v>0</v>
      </c>
      <c r="BF87" s="20" t="n">
        <f aca="false">MIN(AC87/400,1)*20</f>
        <v>0</v>
      </c>
      <c r="BG87" s="21" t="n">
        <f aca="false">1-(MAX(M87-1900, 0)/750)</f>
        <v>1</v>
      </c>
      <c r="BH87" s="20" t="n">
        <f aca="false">((MAX($P87,1)*MIN($AL87/300,1)))*IF(J87="Wagon",50,10)</f>
        <v>0</v>
      </c>
      <c r="BI87" s="1" t="n">
        <f aca="false">VLOOKUP($K87,Constants!$I:$K, 2, FALSE())</f>
        <v>0</v>
      </c>
      <c r="BJ87" s="1" t="n">
        <f aca="false">VLOOKUP($K87,Constants!$I:$K, 3, FALSE())*IF(AND(J87="multiple_unit",AE87&lt;110),0.75,1)</f>
        <v>0</v>
      </c>
      <c r="BK87" s="1" t="n">
        <f aca="false">INT(POWER(((Constants!$G$2+$BD87+$BE87+$BF87+$BH87)*$BG87)*$BJ87, 1.05))+$BC87</f>
        <v>0</v>
      </c>
      <c r="BL87" s="1" t="n">
        <f aca="false">INT(POWER((((Constants!$G$1+$BD87+$BE87+$BF87+$BH87)*($BG87))*$BI87),IF($J87="wagon",1,1.2)))+$BB87</f>
        <v>0</v>
      </c>
      <c r="BM87" s="22" t="n">
        <f aca="false">BK87*IF($J87="wagon",62.5,781.25)</f>
        <v>0</v>
      </c>
      <c r="BN87" s="22" t="n">
        <f aca="false">BL87*IF($J87="wagon",2.73,81.25)</f>
        <v>0</v>
      </c>
      <c r="BU87" s="1" t="str">
        <f aca="false">IF(J87="locomotive","B","")</f>
        <v/>
      </c>
      <c r="BV87" s="1" t="s">
        <v>318</v>
      </c>
      <c r="CD87" s="23" t="s">
        <v>306</v>
      </c>
      <c r="CE87" s="1" t="s">
        <v>129</v>
      </c>
      <c r="CF87" s="23" t="str">
        <f aca="false">CONCATENATE(CD87,"_",CE87)</f>
        <v>vct_Mixed Traffic</v>
      </c>
      <c r="CG87" s="23" t="str">
        <f aca="false">_xlfn.CONCAT(K87, "_",L87)</f>
        <v>tender_RAIL</v>
      </c>
      <c r="CH87" s="7" t="str">
        <f aca="false">_xlfn.CONCAT("{BLACK}Length: {GOLD}", TEXT(ROUNDUP(IF(AS87&lt;&gt;"",SUM(VALUE(_xlfn.TEXTSPLIT(AS87, ","))), SUM(VALUE(_xlfn.TEXTSPLIT(AP87, ",")))*IF(P87, P87, 1))/16, 1), "#,##0.0"), " tiles{}")</f>
        <v>{BLACK}Length: {GOLD}0.4 tiles{}</v>
      </c>
      <c r="CI87" s="1" t="str">
        <f aca="false">IF(0, VLOOKUP($CG87, Constants!$M:$N, 2, FALSE()),"")</f>
        <v/>
      </c>
      <c r="CJ87" s="1" t="str">
        <f aca="false">IF(P87&gt;1,_xlfn.CONCAT("{BLACK}Cars: {GOLD}", P87),"")</f>
        <v/>
      </c>
      <c r="CL87" s="1" t="str">
        <f aca="false">IF($BX87="concept_trains","{GREEN}Concept Vehicle",IF($BX87="!param_no_gameplay_units","{GREEN}Included for gameplay purposes",""))</f>
        <v/>
      </c>
      <c r="CM87" s="1" t="str">
        <f aca="false">IF(CA87="buffet","{YELLOW}25% long distance bonus for consist{}",IF(CB87="DANDY","{YELLOW}Faster downhill speeds for horse-drawn trains (1 required per 2 horses){}",IF(CB87="BRAKE","{YELLOW}Speed bonus for slow wagons{}",IF(CB87="NGPassengers","{YELLOW}Preserved railway bonus: passengers pay more when hauled by old locomotives{}",IF(AND(BZ87&gt;190,NOT(AND(L87="NARROW_GAUGE",CB87&lt;&gt;"PASS"))),CONCATENATE("{YELLOW}",INT((BZ87-185)/1.85),"%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v>
      </c>
    </row>
    <row r="88" customFormat="false" ht="13.5" hidden="false" customHeight="true" outlineLevel="0" collapsed="false">
      <c r="A88" s="1" t="s">
        <v>329</v>
      </c>
      <c r="B88" s="19" t="s">
        <v>330</v>
      </c>
      <c r="C88" s="1" t="n">
        <v>1024</v>
      </c>
      <c r="E88" s="1" t="n">
        <v>30</v>
      </c>
      <c r="G88" s="1" t="str">
        <f aca="false">IF($F88&lt;&gt;"",_xlfn.CONCAT(VLOOKUP($CE88, Constants!$T:$U, 2, FALSE()),",",$F88),VLOOKUP($CE88, Constants!$T:$U, 2, FALSE()))</f>
        <v>role/express_passenger</v>
      </c>
      <c r="H88" s="1" t="str">
        <f aca="false">IF($G88&lt;&gt;"",_xlfn.CONCAT(VLOOKUP($CG88, Constants!$M:$P, 4, FALSE()),",",$G88),VLOOKUP($CG88, Constants!$M:$P, 4, FALSE()))</f>
        <v>flag/GB,power/steam,role/express_passenger</v>
      </c>
      <c r="I88" s="1" t="s">
        <v>241</v>
      </c>
      <c r="J88" s="1" t="s">
        <v>249</v>
      </c>
      <c r="K88" s="1" t="s">
        <v>250</v>
      </c>
      <c r="L88" s="1" t="s">
        <v>192</v>
      </c>
      <c r="M88" s="1" t="n">
        <v>1874</v>
      </c>
      <c r="O88" s="1" t="n">
        <v>1923</v>
      </c>
      <c r="Q88" s="1" t="n">
        <v>550</v>
      </c>
      <c r="S88" s="3" t="n">
        <v>17</v>
      </c>
      <c r="T88" s="3" t="n">
        <v>24</v>
      </c>
      <c r="U88" s="3" t="n">
        <v>2</v>
      </c>
      <c r="V88" s="3" t="n">
        <v>140</v>
      </c>
      <c r="W88" s="18" t="n">
        <f aca="false">((($AE88/2)/60)*5280)/($X88*3.2*PI())</f>
        <v>154.65586342852</v>
      </c>
      <c r="X88" s="3" t="n">
        <v>1.981</v>
      </c>
      <c r="Y88" s="3" t="n">
        <f aca="false">((($S88*$S88/4)*PI())*($T88/12)*$U88*$V88*$W88)/(33000*1.1)</f>
        <v>541.546204090374</v>
      </c>
      <c r="Z88" s="1" t="n">
        <v>34</v>
      </c>
      <c r="AA88" s="2" t="n">
        <v>30</v>
      </c>
      <c r="AC88" s="1" t="n">
        <v>49</v>
      </c>
      <c r="AD88" s="4" t="n">
        <f aca="false">IF(AND(Z88&gt;0,AC88&gt;0),(AC88/((Z88+AA88)*10)),"")</f>
        <v>0.0765625</v>
      </c>
      <c r="AE88" s="1" t="n">
        <v>70</v>
      </c>
      <c r="AF88" s="1" t="n">
        <f aca="false">ROUND(AE88*1.6, 0)</f>
        <v>112</v>
      </c>
      <c r="AH88" s="1" t="n">
        <v>10</v>
      </c>
      <c r="AI88" s="1" t="n">
        <v>10</v>
      </c>
      <c r="AM88" s="1" t="str">
        <f aca="false">CONCATENATE(VLOOKUP(AN88, 'Voxel Sizes'!$A$2:$B$18,2,FALSE()),"x",INT(AJ88*15), "x", INT(AK88*15))</f>
        <v>102x0x0</v>
      </c>
      <c r="AN88" s="16" t="n">
        <f aca="false">ROUND(15*((AI88*10)/256),0)</f>
        <v>6</v>
      </c>
      <c r="AO88" s="1" t="s">
        <v>326</v>
      </c>
      <c r="AP88" s="1" t="str">
        <f aca="false">CONCATENATE(VLOOKUP(AN88,Constants!$A$2:$C$16,IF(AO88&lt;&gt;"", 3, 2), FALSE()),IF(AO88&lt;&gt;"",CONCATENATE(",",VLOOKUP(AO88,$B:$AP,41,FALSE())),""))</f>
        <v>2,2,2,2,1,2</v>
      </c>
      <c r="AX88" s="1" t="n">
        <v>1</v>
      </c>
      <c r="AZ88" s="1" t="n">
        <v>32</v>
      </c>
      <c r="BA88" s="16" t="n">
        <f aca="false">IF(O88&lt;&gt;"",MAX(16,(O88-M88)+8),"")</f>
        <v>57</v>
      </c>
      <c r="BD88" s="20" t="n">
        <f aca="false">MIN(AE88/150, 1)*30</f>
        <v>14</v>
      </c>
      <c r="BE88" s="20" t="n">
        <f aca="false">MIN(Q88/4000, 1)*20</f>
        <v>2.75</v>
      </c>
      <c r="BF88" s="20" t="n">
        <f aca="false">MIN(AC88/400,1)*20</f>
        <v>2.45</v>
      </c>
      <c r="BG88" s="21" t="n">
        <f aca="false">1-(MAX(M88-1900, 0)/750)</f>
        <v>1</v>
      </c>
      <c r="BH88" s="20"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49</v>
      </c>
      <c r="BL88" s="1" t="n">
        <f aca="false">INT(POWER((((Constants!$G$1+$BD88+$BE88+$BF88+$BH88)*($BG88))*$BI88),IF($J88="wagon",1,1.2)))+$BB88</f>
        <v>81</v>
      </c>
      <c r="BM88" s="22" t="n">
        <f aca="false">BK88*IF($J88="wagon",62.5,781.25)</f>
        <v>38281.25</v>
      </c>
      <c r="BN88" s="22" t="n">
        <f aca="false">BL88*IF($J88="wagon",2.73,81.25)</f>
        <v>6581.25</v>
      </c>
      <c r="BY88" s="1" t="n">
        <v>7</v>
      </c>
      <c r="CD88" s="23" t="s">
        <v>272</v>
      </c>
      <c r="CE88" s="1" t="s">
        <v>282</v>
      </c>
      <c r="CF88" s="23" t="str">
        <f aca="false">CONCATENATE(CD88,"_",CE88)</f>
        <v>early_Express</v>
      </c>
      <c r="CG88" s="23" t="str">
        <f aca="false">_xlfn.CONCAT(K88, "_",L88)</f>
        <v>steam_RAIL</v>
      </c>
      <c r="CH88" s="7" t="str">
        <f aca="false">_xlfn.CONCAT("{BLACK}Length: {GOLD}", TEXT(ROUNDUP(IF(AS88&lt;&gt;"",SUM(VALUE(_xlfn.TEXTSPLIT(AS88, ","))), SUM(VALUE(_xlfn.TEXTSPLIT(AP88, ",")))*IF(P88, P88, 1))/16, 1), "#,##0.0"), " tiles{}")</f>
        <v>{BLACK}Length: {GOLD}0.7 tiles{}</v>
      </c>
      <c r="CI88" s="1" t="str">
        <f aca="false">IF(0, VLOOKUP($CG88, Constants!$M:$N, 2, FALSE()),"")</f>
        <v/>
      </c>
      <c r="CJ88" s="1" t="str">
        <f aca="false">IF(P88&gt;1,_xlfn.CONCAT("{BLACK}Cars: {GOLD}", P88),"")</f>
        <v/>
      </c>
      <c r="CK88" s="1" t="s">
        <v>331</v>
      </c>
      <c r="CL88" s="1" t="str">
        <f aca="false">IF($BX88="concept_trains","{GREEN}Concept Vehicle",IF($BX88="!param_no_gameplay_units","{GREEN}Included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{GOLD}0.7 tiles{}{SILVER}F.W. Webb's Precedent class was an express passenger locomotive. A large part of the class was given numbers and names of previously withdrawn locomotives, giving it a fragmented numbering scheme.</v>
      </c>
    </row>
    <row r="89" customFormat="false" ht="14.25" hidden="false" customHeight="false" outlineLevel="0" collapsed="false">
      <c r="A89" s="1" t="s">
        <v>332</v>
      </c>
      <c r="B89" s="15" t="s">
        <v>333</v>
      </c>
      <c r="C89" s="1" t="n">
        <v>116</v>
      </c>
      <c r="E89" s="1" t="n">
        <v>31</v>
      </c>
      <c r="G89" s="1" t="str">
        <f aca="false">IF($F89&lt;&gt;"",_xlfn.CONCAT(VLOOKUP($CE89, Constants!$T:$U, 2, FALSE()),",",$F89),VLOOKUP($CE89, Constants!$T:$U, 2, FALSE()))</f>
        <v>role/mixed</v>
      </c>
      <c r="H89" s="1" t="str">
        <f aca="false">IF($G89&lt;&gt;"",_xlfn.CONCAT(VLOOKUP($CG89, Constants!$M:$P, 4, FALSE()),",",$G89),VLOOKUP($CG89, Constants!$M:$P, 4, FALSE()))</f>
        <v>flag/GB,power/steam,role/mixed</v>
      </c>
      <c r="I89" s="1" t="s">
        <v>241</v>
      </c>
      <c r="J89" s="1" t="s">
        <v>249</v>
      </c>
      <c r="K89" s="1" t="s">
        <v>250</v>
      </c>
      <c r="L89" s="1" t="s">
        <v>192</v>
      </c>
      <c r="M89" s="1" t="n">
        <v>1876</v>
      </c>
      <c r="O89" s="1" t="n">
        <v>1925</v>
      </c>
      <c r="Q89" s="1" t="n">
        <v>750</v>
      </c>
      <c r="S89" s="3" t="n">
        <v>18</v>
      </c>
      <c r="T89" s="3" t="n">
        <v>26</v>
      </c>
      <c r="U89" s="3" t="n">
        <v>2</v>
      </c>
      <c r="V89" s="3" t="n">
        <v>165</v>
      </c>
      <c r="W89" s="18" t="n">
        <f aca="false">((($AE89/2)/60)*5280)/($X89*3.2*PI())</f>
        <v>163.399074907679</v>
      </c>
      <c r="X89" s="3" t="n">
        <v>1.5</v>
      </c>
      <c r="Y89" s="3" t="n">
        <f aca="false">((($S89*$S89/4)*PI())*($T89/12)*$U89*$V89*$W89)/(33000*1.1)</f>
        <v>819</v>
      </c>
      <c r="Z89" s="1" t="n">
        <v>41</v>
      </c>
      <c r="AA89" s="2" t="n">
        <v>40</v>
      </c>
      <c r="AC89" s="1" t="n">
        <v>86</v>
      </c>
      <c r="AD89" s="4" t="n">
        <f aca="false">IF(AND(Z89&gt;0,AC89&gt;0),(AC89/((Z89+AA89)*10)),"")</f>
        <v>0.106172839506173</v>
      </c>
      <c r="AE89" s="1" t="n">
        <v>56</v>
      </c>
      <c r="AF89" s="1" t="n">
        <f aca="false">ROUND(AE89*1.6, 0)</f>
        <v>90</v>
      </c>
      <c r="AH89" s="1" t="n">
        <v>14.99</v>
      </c>
      <c r="AI89" s="1" t="n">
        <v>10</v>
      </c>
      <c r="AL89" s="5" t="n">
        <v>0</v>
      </c>
      <c r="AM89" s="1" t="str">
        <f aca="false">CONCATENATE(VLOOKUP(AN89, 'Voxel Sizes'!$A$2:$B$18,2,FALSE()),"x",INT(AJ89*15), "x", INT(AK89*15))</f>
        <v>102x0x0</v>
      </c>
      <c r="AN89" s="1" t="n">
        <f aca="false">ROUND(15*((AI89*10)/256),0)</f>
        <v>6</v>
      </c>
      <c r="AO89" s="1" t="s">
        <v>210</v>
      </c>
      <c r="AP89" s="1" t="str">
        <f aca="false">CONCATENATE(VLOOKUP(AN89,Constants!$A$2:$C$16,IF(AO89&lt;&gt;"", 3, 2), FALSE()),IF(AO89&lt;&gt;"",CONCATENATE(",",VLOOKUP(AO89,$B:$AP,41,FALSE())),""))</f>
        <v>2,2,2,2,1,2</v>
      </c>
      <c r="AX89" s="1" t="n">
        <v>1</v>
      </c>
      <c r="AZ89" s="1" t="n">
        <v>32</v>
      </c>
      <c r="BA89" s="16" t="n">
        <f aca="false">IF(O89&lt;&gt;"",MAX(16,(O89-M89)+8),"")</f>
        <v>57</v>
      </c>
      <c r="BD89" s="1" t="n">
        <f aca="false">MIN(AE89/150, 1)*30</f>
        <v>11.2</v>
      </c>
      <c r="BE89" s="1" t="n">
        <f aca="false">MIN(Q89/4000, 1)*20</f>
        <v>3.75</v>
      </c>
      <c r="BF89" s="1" t="n">
        <f aca="false">MIN(AC89/400,1)*20</f>
        <v>4.3</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82</v>
      </c>
      <c r="BM89" s="17" t="n">
        <f aca="false">BK89*IF($J89="wagon",62.5,781.25)</f>
        <v>38281.25</v>
      </c>
      <c r="BN89" s="17" t="n">
        <f aca="false">BL89*IF($J89="wagon",2.73,81.25)</f>
        <v>6662.5</v>
      </c>
      <c r="BY89" s="1" t="n">
        <v>4</v>
      </c>
      <c r="CD89" s="1" t="str">
        <f aca="false">VLOOKUP(M89,Eras!$A$2:$C$10, 2, TRUE())</f>
        <v>vct</v>
      </c>
      <c r="CE89" s="1" t="s">
        <v>129</v>
      </c>
      <c r="CF89" s="1" t="str">
        <f aca="false">CONCATENATE(CD89,"_",CE89)</f>
        <v>vct_Mixed Traffic</v>
      </c>
      <c r="CG89" s="1" t="str">
        <f aca="false">_xlfn.CONCAT(K89, "_",L89)</f>
        <v>steam_RAIL</v>
      </c>
      <c r="CH89" s="7" t="str">
        <f aca="false">_xlfn.CONCAT("{BLACK}Length: {GOLD}", TEXT(ROUNDUP(IF(AS89&lt;&gt;"",SUM(VALUE(_xlfn.TEXTSPLIT(AS89, ","))), SUM(VALUE(_xlfn.TEXTSPLIT(AP89, ",")))*IF(P89, P89, 1))/16, 1), "#,##0.0"), " tiles{}")</f>
        <v>{BLACK}Length: {GOLD}0.7 tiles{}</v>
      </c>
      <c r="CI89" s="1" t="str">
        <f aca="false">IF(0, VLOOKUP($CG89, Constants!$M:$N, 2, FALSE()),"")</f>
        <v/>
      </c>
      <c r="CJ89" s="1" t="str">
        <f aca="false">IF(P89&gt;1,_xlfn.CONCAT("{BLACK}Cars: {GOLD}", P89),"")</f>
        <v/>
      </c>
      <c r="CK89" s="1" t="s">
        <v>334</v>
      </c>
      <c r="CL89" s="1" t="str">
        <f aca="false">IF($BX89="concept_trains","{GREEN}Concept Vehicle",IF($BX89="!param_no_gameplay_units","{GREEN}Included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tiles{}{SILVER}Dugald Drummond's C Class used large (for the time) 18 inch cylinders. They survived into LNER ownership as class J32, although rebuilt to Holmes' later design by that point.</v>
      </c>
    </row>
    <row r="90" customFormat="false" ht="14.25" hidden="false" customHeight="false" outlineLevel="0" collapsed="false">
      <c r="A90" s="1" t="s">
        <v>335</v>
      </c>
      <c r="B90" s="15" t="s">
        <v>336</v>
      </c>
      <c r="C90" s="1" t="n">
        <v>117</v>
      </c>
      <c r="E90" s="1" t="n">
        <v>32</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241</v>
      </c>
      <c r="J90" s="1" t="s">
        <v>249</v>
      </c>
      <c r="K90" s="1" t="s">
        <v>250</v>
      </c>
      <c r="L90" s="1" t="s">
        <v>192</v>
      </c>
      <c r="M90" s="1" t="n">
        <v>1883</v>
      </c>
      <c r="O90" s="1" t="n">
        <v>1957</v>
      </c>
      <c r="Q90" s="1" t="n">
        <v>800</v>
      </c>
      <c r="S90" s="3" t="n">
        <v>17.5</v>
      </c>
      <c r="T90" s="3" t="n">
        <v>24</v>
      </c>
      <c r="U90" s="3" t="n">
        <v>2</v>
      </c>
      <c r="V90" s="3" t="n">
        <v>160</v>
      </c>
      <c r="W90" s="18" t="n">
        <f aca="false">((($AE90/2)/60)*5280)/($X90*3.2*PI())</f>
        <v>189.659640517842</v>
      </c>
      <c r="X90" s="3" t="n">
        <v>1.5</v>
      </c>
      <c r="Y90" s="3" t="n">
        <f aca="false">((($S90*$S90/4)*PI())*($T90/12)*$U90*$V90*$W90)/(33000*1.1)</f>
        <v>804.292929292929</v>
      </c>
      <c r="Z90" s="1" t="n">
        <f aca="false">41.6+34.3</f>
        <v>75.9</v>
      </c>
      <c r="AA90" s="2" t="n">
        <v>30</v>
      </c>
      <c r="AC90" s="1" t="n">
        <v>75.4</v>
      </c>
      <c r="AD90" s="4" t="n">
        <f aca="false">IF(AND(Z90&gt;0,AC90&gt;0),(AC90/((Z90+AA90)*10)),"")</f>
        <v>0.0711992445703494</v>
      </c>
      <c r="AE90" s="1" t="n">
        <v>65</v>
      </c>
      <c r="AF90" s="1" t="n">
        <f aca="false">ROUND(AE90*1.6, 0)</f>
        <v>104</v>
      </c>
      <c r="AH90" s="1" t="n">
        <v>14.4</v>
      </c>
      <c r="AI90" s="1" t="n">
        <v>10</v>
      </c>
      <c r="AL90" s="5" t="n">
        <v>0</v>
      </c>
      <c r="AM90" s="1" t="str">
        <f aca="false">CONCATENATE(VLOOKUP(AN90, 'Voxel Sizes'!$A$2:$B$18,2,FALSE()),"x",INT(AJ90*15), "x", INT(AK90*15))</f>
        <v>102x0x0</v>
      </c>
      <c r="AN90" s="1" t="n">
        <f aca="false">ROUND(15*((AI90*10)/256),0)</f>
        <v>6</v>
      </c>
      <c r="AO90" s="1" t="s">
        <v>210</v>
      </c>
      <c r="AP90" s="1" t="str">
        <f aca="false">CONCATENATE(VLOOKUP(AN90,Constants!$A$2:$C$16,IF(AO90&lt;&gt;"", 3, 2), FALSE()),IF(AO90&lt;&gt;"",CONCATENATE(",",VLOOKUP(AO90,$B:$AP,41,FALSE())),""))</f>
        <v>2,2,2,2,1,2</v>
      </c>
      <c r="AX90" s="1" t="n">
        <v>1</v>
      </c>
      <c r="AZ90" s="1" t="n">
        <v>38</v>
      </c>
      <c r="BA90" s="16" t="n">
        <f aca="false">IF(O90&lt;&gt;"",MAX(16,(O90-M90)+8),"")</f>
        <v>82</v>
      </c>
      <c r="BD90" s="1" t="n">
        <f aca="false">MIN(AE90/150, 1)*30</f>
        <v>13</v>
      </c>
      <c r="BE90" s="1" t="n">
        <f aca="false">MIN(Q90/4000, 1)*20</f>
        <v>4</v>
      </c>
      <c r="BF90" s="1" t="n">
        <f aca="false">MIN(AC90/400,1)*20</f>
        <v>3.77</v>
      </c>
      <c r="BG90" s="4" t="n">
        <f aca="false">1-(MAX(M90-1900, 0)/750)</f>
        <v>1</v>
      </c>
      <c r="BH90" s="1"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86</v>
      </c>
      <c r="BM90" s="17" t="n">
        <f aca="false">BK90*IF($J90="wagon",62.5,781.25)</f>
        <v>40625</v>
      </c>
      <c r="BN90" s="17" t="n">
        <f aca="false">BL90*IF($J90="wagon",2.73,81.25)</f>
        <v>6987.5</v>
      </c>
      <c r="BY90" s="1" t="n">
        <v>2</v>
      </c>
      <c r="CD90" s="1" t="str">
        <f aca="false">VLOOKUP(M90,Eras!$A$2:$C$10, 2, TRUE())</f>
        <v>vct</v>
      </c>
      <c r="CE90" s="1" t="s">
        <v>129</v>
      </c>
      <c r="CF90" s="1" t="str">
        <f aca="false">CONCATENATE(CD90,"_",CE90)</f>
        <v>vct_Mixed Traffic</v>
      </c>
      <c r="CG90" s="1" t="str">
        <f aca="false">_xlfn.CONCAT(K90, "_",L90)</f>
        <v>steam_RAIL</v>
      </c>
      <c r="CH90" s="7" t="str">
        <f aca="false">_xlfn.CONCAT("{BLACK}Length: {GOLD}", TEXT(ROUNDUP(IF(AS90&lt;&gt;"",SUM(VALUE(_xlfn.TEXTSPLIT(AS90, ","))), SUM(VALUE(_xlfn.TEXTSPLIT(AP90, ",")))*IF(P90, P90, 1))/16, 1), "#,##0.0"), " tiles{}")</f>
        <v>{BLACK}Length: {GOLD}0.7 tiles{}</v>
      </c>
      <c r="CI90" s="1" t="str">
        <f aca="false">IF(0, VLOOKUP($CG90, Constants!$M:$N, 2, FALSE()),"")</f>
        <v/>
      </c>
      <c r="CJ90" s="1" t="str">
        <f aca="false">IF(P90&gt;1,_xlfn.CONCAT("{BLACK}Cars: {GOLD}", P90),"")</f>
        <v/>
      </c>
      <c r="CK90" s="1" t="s">
        <v>337</v>
      </c>
      <c r="CL90" s="1" t="str">
        <f aca="false">IF($BX90="concept_trains","{GREEN}Concept Vehicle",IF($BX90="!param_no_gameplay_units","{GREEN}Included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tiles{}{SILVER}GER's Y14 was a highly successful design, being built in much the same form through to 1913. One was built by the Stratford works in under 10 hours.</v>
      </c>
    </row>
    <row r="91" customFormat="false" ht="14.25" hidden="false" customHeight="false" outlineLevel="0" collapsed="false">
      <c r="A91" s="1" t="s">
        <v>338</v>
      </c>
      <c r="B91" s="15" t="s">
        <v>339</v>
      </c>
      <c r="C91" s="1" t="n">
        <v>118</v>
      </c>
      <c r="E91" s="1" t="n">
        <v>33</v>
      </c>
      <c r="G91" s="1" t="str">
        <f aca="false">IF($F91&lt;&gt;"",_xlfn.CONCAT(VLOOKUP($CE91, Constants!$T:$U, 2, FALSE()),",",$F91),VLOOKUP($CE91, Constants!$T:$U, 2, FALSE()))</f>
        <v>role/freight</v>
      </c>
      <c r="H91" s="1" t="str">
        <f aca="false">IF($G91&lt;&gt;"",_xlfn.CONCAT(VLOOKUP($CG91, Constants!$M:$P, 4, FALSE()),",",$G91),VLOOKUP($CG91, Constants!$M:$P, 4, FALSE()))</f>
        <v>flag/GB,power/steam,role/freight</v>
      </c>
      <c r="I91" s="1" t="s">
        <v>241</v>
      </c>
      <c r="J91" s="1" t="s">
        <v>249</v>
      </c>
      <c r="K91" s="1" t="s">
        <v>250</v>
      </c>
      <c r="L91" s="1" t="s">
        <v>192</v>
      </c>
      <c r="M91" s="1" t="n">
        <v>1883</v>
      </c>
      <c r="O91" s="1" t="n">
        <v>1957</v>
      </c>
      <c r="Q91" s="1" t="n">
        <v>825</v>
      </c>
      <c r="S91" s="3" t="n">
        <v>17</v>
      </c>
      <c r="T91" s="3" t="n">
        <v>24</v>
      </c>
      <c r="U91" s="3" t="n">
        <v>2</v>
      </c>
      <c r="V91" s="3" t="n">
        <v>180</v>
      </c>
      <c r="W91" s="18" t="n">
        <f aca="false">((($AE91/2)/60)*5280)/($X91*3.2*PI())</f>
        <v>183.640318952187</v>
      </c>
      <c r="X91" s="3" t="n">
        <v>1.43</v>
      </c>
      <c r="Y91" s="3" t="n">
        <f aca="false">((($S91*$S91/4)*PI())*($T91/12)*$U91*$V91*$W91)/(33000*1.1)</f>
        <v>826.764144945963</v>
      </c>
      <c r="Z91" s="1" t="n">
        <v>41.2</v>
      </c>
      <c r="AA91" s="2" t="n">
        <v>34</v>
      </c>
      <c r="AC91" s="1" t="n">
        <v>80</v>
      </c>
      <c r="AD91" s="4" t="n">
        <f aca="false">IF(AND(Z91&gt;0,AC91&gt;0),(AC91/((Z91+AA91)*10)),"")</f>
        <v>0.106382978723404</v>
      </c>
      <c r="AE91" s="1" t="n">
        <v>60</v>
      </c>
      <c r="AF91" s="1" t="n">
        <f aca="false">ROUND(AE91*1.6, 0)</f>
        <v>96</v>
      </c>
      <c r="AH91" s="1" t="n">
        <v>14.4</v>
      </c>
      <c r="AI91" s="1" t="n">
        <v>10</v>
      </c>
      <c r="AL91" s="5" t="n">
        <v>0</v>
      </c>
      <c r="AM91" s="1" t="str">
        <f aca="false">CONCATENATE(VLOOKUP(AN91, 'Voxel Sizes'!$A$2:$B$18,2,FALSE()),"x",INT(AJ91*15), "x", INT(AK91*15))</f>
        <v>102x0x0</v>
      </c>
      <c r="AN91" s="1" t="n">
        <f aca="false">ROUND(15*((AI91*10)/256),0)</f>
        <v>6</v>
      </c>
      <c r="AO91" s="1" t="s">
        <v>214</v>
      </c>
      <c r="AP91" s="1" t="str">
        <f aca="false">CONCATENATE(VLOOKUP(AN91,Constants!$A$2:$C$16,IF(AO91&lt;&gt;"", 3, 2), FALSE()),IF(AO91&lt;&gt;"",CONCATENATE(",",VLOOKUP(AO91,$B:$AP,41,FALSE())),""))</f>
        <v>2,2,2,2,1,2</v>
      </c>
      <c r="AX91" s="1" t="n">
        <v>1</v>
      </c>
      <c r="AZ91" s="1" t="n">
        <v>34</v>
      </c>
      <c r="BA91" s="16" t="n">
        <f aca="false">IF(O91&lt;&gt;"",MAX(16,(O91-M91)+8),"")</f>
        <v>82</v>
      </c>
      <c r="BC91" s="1" t="n">
        <v>-2</v>
      </c>
      <c r="BD91" s="1" t="n">
        <f aca="false">MIN(AE91/150, 1)*30</f>
        <v>12</v>
      </c>
      <c r="BE91" s="1" t="n">
        <f aca="false">MIN(Q91/4000, 1)*20</f>
        <v>4.125</v>
      </c>
      <c r="BF91" s="1" t="n">
        <f aca="false">MIN(AC91/400,1)*20</f>
        <v>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49</v>
      </c>
      <c r="BL91" s="1" t="n">
        <f aca="false">INT(POWER((((Constants!$G$1+$BD91+$BE91+$BF91+$BH91)*($BG91))*$BI91),IF($J91="wagon",1,1.2)))+$BB91</f>
        <v>84</v>
      </c>
      <c r="BM91" s="17" t="n">
        <f aca="false">BK91*IF($J91="wagon",62.5,781.25)</f>
        <v>38281.25</v>
      </c>
      <c r="BN91" s="17" t="n">
        <f aca="false">BL91*IF($J91="wagon",2.73,81.25)</f>
        <v>6825</v>
      </c>
      <c r="BY91" s="1" t="n">
        <v>3</v>
      </c>
      <c r="CD91" s="1" t="str">
        <f aca="false">VLOOKUP(M91,Eras!$A$2:$C$10, 2, TRUE())</f>
        <v>vct</v>
      </c>
      <c r="CE91" s="1" t="s">
        <v>132</v>
      </c>
      <c r="CF91" s="1" t="str">
        <f aca="false">CONCATENATE(CD91,"_",CE91)</f>
        <v>vct_Freight</v>
      </c>
      <c r="CG91" s="1" t="str">
        <f aca="false">_xlfn.CONCAT(K91, "_",L91)</f>
        <v>steam_RAIL</v>
      </c>
      <c r="CH91" s="7" t="str">
        <f aca="false">_xlfn.CONCAT("{BLACK}Length: {GOLD}", TEXT(ROUNDUP(IF(AS91&lt;&gt;"",SUM(VALUE(_xlfn.TEXTSPLIT(AS91, ","))), SUM(VALUE(_xlfn.TEXTSPLIT(AP91, ",")))*IF(P91, P91, 1))/16, 1), "#,##0.0"), " tiles{}")</f>
        <v>{BLACK}Length: {GOLD}0.7 tiles{}</v>
      </c>
      <c r="CI91" s="1" t="str">
        <f aca="false">IF(0, VLOOKUP($CG91, Constants!$M:$N, 2, FALSE()),"")</f>
        <v/>
      </c>
      <c r="CJ91" s="1" t="str">
        <f aca="false">IF(P91&gt;1,_xlfn.CONCAT("{BLACK}Cars: {GOLD}", P91),"")</f>
        <v/>
      </c>
      <c r="CK91" s="1" t="s">
        <v>340</v>
      </c>
      <c r="CL91" s="1" t="str">
        <f aca="false">IF($BX91="concept_trains","{GREEN}Concept Vehicle",IF($BX91="!param_no_gameplay_units","{GREEN}Included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{GOLD}0.7 tiles{}{SILVER}William Dean's 2301 class was the first GWR locomotive to have no outside frame. The light weight made them suited to branch lines.</v>
      </c>
    </row>
    <row r="92" customFormat="false" ht="13.5" hidden="false" customHeight="true" outlineLevel="0" collapsed="false">
      <c r="A92" s="1" t="s">
        <v>341</v>
      </c>
      <c r="B92" s="19" t="s">
        <v>342</v>
      </c>
      <c r="C92" s="1" t="n">
        <v>1027</v>
      </c>
      <c r="E92" s="1" t="n">
        <v>34</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241</v>
      </c>
      <c r="J92" s="1" t="s">
        <v>249</v>
      </c>
      <c r="K92" s="1" t="s">
        <v>250</v>
      </c>
      <c r="L92" s="1" t="s">
        <v>192</v>
      </c>
      <c r="M92" s="1" t="n">
        <v>1887</v>
      </c>
      <c r="O92" s="1" t="n">
        <v>1934</v>
      </c>
      <c r="Q92" s="1" t="n">
        <v>620</v>
      </c>
      <c r="S92" s="3" t="n">
        <v>17</v>
      </c>
      <c r="T92" s="3" t="n">
        <v>24</v>
      </c>
      <c r="U92" s="3" t="n">
        <v>2</v>
      </c>
      <c r="V92" s="3" t="n">
        <v>150</v>
      </c>
      <c r="W92" s="18" t="n">
        <f aca="false">((($AE92/2)/60)*5280)/($X92*3.2*PI())</f>
        <v>165.702710816272</v>
      </c>
      <c r="X92" s="3" t="n">
        <v>1.981</v>
      </c>
      <c r="Y92" s="3" t="n">
        <f aca="false">((($S92*$S92/4)*PI())*($T92/12)*$U92*$V92*$W92)/(33000*1.1)</f>
        <v>621.672938369051</v>
      </c>
      <c r="Z92" s="1" t="n">
        <v>34</v>
      </c>
      <c r="AA92" s="2" t="n">
        <v>30</v>
      </c>
      <c r="AC92" s="1" t="n">
        <v>49</v>
      </c>
      <c r="AD92" s="4" t="n">
        <f aca="false">IF(AND(Z92&gt;0,AC92&gt;0),(AC92/((Z92+AA92)*10)),"")</f>
        <v>0.0765625</v>
      </c>
      <c r="AE92" s="1" t="n">
        <v>75</v>
      </c>
      <c r="AF92" s="1" t="n">
        <f aca="false">ROUND(AE92*1.6, 0)</f>
        <v>120</v>
      </c>
      <c r="AH92" s="1" t="n">
        <v>10</v>
      </c>
      <c r="AI92" s="1" t="n">
        <v>10</v>
      </c>
      <c r="AM92" s="1" t="str">
        <f aca="false">CONCATENATE(VLOOKUP(AN92, 'Voxel Sizes'!$A$2:$B$18,2,FALSE()),"x",INT(AJ92*15), "x", INT(AK92*15))</f>
        <v>102x0x0</v>
      </c>
      <c r="AN92" s="16" t="n">
        <f aca="false">ROUND(15*((AI92*10)/256),0)</f>
        <v>6</v>
      </c>
      <c r="AO92" s="1" t="s">
        <v>328</v>
      </c>
      <c r="AP92" s="1" t="str">
        <f aca="false">CONCATENATE(VLOOKUP(AN92,Constants!$A$2:$C$16,IF(AO92&lt;&gt;"", 3, 2), FALSE()),IF(AO92&lt;&gt;"",CONCATENATE(",",VLOOKUP(AO92,$B:$AP,41,FALSE())),""))</f>
        <v>2,2,2,2,1,2</v>
      </c>
      <c r="AX92" s="1" t="n">
        <v>1</v>
      </c>
      <c r="AZ92" s="1" t="n">
        <v>32</v>
      </c>
      <c r="BA92" s="16" t="n">
        <f aca="false">IF(O92&lt;&gt;"",MAX(16,(O92-M92)+8),"")</f>
        <v>55</v>
      </c>
      <c r="BD92" s="20" t="n">
        <f aca="false">MIN(AE92/150, 1)*30</f>
        <v>15</v>
      </c>
      <c r="BE92" s="20" t="n">
        <f aca="false">MIN(Q92/4000, 1)*20</f>
        <v>3.1</v>
      </c>
      <c r="BF92" s="20" t="n">
        <f aca="false">MIN(AC92/400,1)*20</f>
        <v>2.45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52</v>
      </c>
      <c r="BL92" s="1" t="n">
        <f aca="false">INT(POWER((((Constants!$G$1+$BD92+$BE92+$BF92+$BH92)*($BG92))*$BI92),IF($J92="wagon",1,1.2)))+$BB92</f>
        <v>85</v>
      </c>
      <c r="BM92" s="22" t="n">
        <f aca="false">BK92*IF($J92="wagon",62.5,781.25)</f>
        <v>40625</v>
      </c>
      <c r="BN92" s="22" t="n">
        <f aca="false">BL92*IF($J92="wagon",2.73,81.25)</f>
        <v>6906.25</v>
      </c>
      <c r="BY92" s="1" t="n">
        <v>7</v>
      </c>
      <c r="CD92" s="23" t="s">
        <v>272</v>
      </c>
      <c r="CE92" s="1" t="s">
        <v>282</v>
      </c>
      <c r="CF92" s="23" t="str">
        <f aca="false">CONCATENATE(CD92,"_",CE92)</f>
        <v>early_Express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IF(0, VLOOKUP($CG92, Constants!$M:$N, 2, FALSE()),"")</f>
        <v/>
      </c>
      <c r="CJ92" s="1" t="str">
        <f aca="false">IF(P92&gt;1,_xlfn.CONCAT("{BLACK}Cars: {GOLD}", P92),"")</f>
        <v/>
      </c>
      <c r="CK92" s="1" t="s">
        <v>343</v>
      </c>
      <c r="CL92" s="1" t="str">
        <f aca="false">IF($BX92="concept_trains","{GREEN}Concept Vehicle",IF($BX92="!param_no_gameplay_units","{GREEN}Included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3" customFormat="false" ht="14.25" hidden="false" customHeight="false" outlineLevel="0" collapsed="false">
      <c r="A93" s="1" t="s">
        <v>344</v>
      </c>
      <c r="B93" s="15" t="s">
        <v>345</v>
      </c>
      <c r="C93" s="1" t="n">
        <v>119</v>
      </c>
      <c r="E93" s="1" t="n">
        <v>35</v>
      </c>
      <c r="G93" s="1" t="str">
        <f aca="false">IF($F93&lt;&gt;"",_xlfn.CONCAT(VLOOKUP($CE93, Constants!$T:$U, 2, FALSE()),",",$F93),VLOOKUP($CE93, Constants!$T:$U, 2, FALSE()))</f>
        <v>role/mixed</v>
      </c>
      <c r="H93" s="1" t="str">
        <f aca="false">IF($G93&lt;&gt;"",_xlfn.CONCAT(VLOOKUP($CG93, Constants!$M:$P, 4, FALSE()),",",$G93),VLOOKUP($CG93, Constants!$M:$P, 4, FALSE()))</f>
        <v>flag/GB,power/steam,role/mixed</v>
      </c>
      <c r="I93" s="1" t="s">
        <v>241</v>
      </c>
      <c r="J93" s="1" t="s">
        <v>249</v>
      </c>
      <c r="K93" s="1" t="s">
        <v>250</v>
      </c>
      <c r="L93" s="1" t="s">
        <v>192</v>
      </c>
      <c r="M93" s="1" t="n">
        <v>1888</v>
      </c>
      <c r="O93" s="1" t="n">
        <v>1967</v>
      </c>
      <c r="Q93" s="1" t="n">
        <v>850</v>
      </c>
      <c r="S93" s="3" t="n">
        <v>18</v>
      </c>
      <c r="T93" s="3" t="n">
        <v>26</v>
      </c>
      <c r="U93" s="3" t="n">
        <v>2</v>
      </c>
      <c r="V93" s="3" t="n">
        <v>165</v>
      </c>
      <c r="W93" s="18" t="n">
        <f aca="false">((($AE93/2)/60)*5280)/($X93*3.2*PI())</f>
        <v>175.070437401085</v>
      </c>
      <c r="X93" s="3" t="n">
        <v>1.5</v>
      </c>
      <c r="Y93" s="3" t="n">
        <f aca="false">((($S93*$S93/4)*PI())*($T93/12)*$U93*$V93*$W93)/(33000*1.1)</f>
        <v>877.5</v>
      </c>
      <c r="Z93" s="1" t="n">
        <v>42.6</v>
      </c>
      <c r="AA93" s="2" t="n">
        <v>40</v>
      </c>
      <c r="AC93" s="1" t="n">
        <v>88</v>
      </c>
      <c r="AD93" s="4" t="n">
        <f aca="false">IF(AND(Z93&gt;0,AC93&gt;0),(AC93/((Z93+AA93)*10)),"")</f>
        <v>0.106537530266344</v>
      </c>
      <c r="AE93" s="1" t="n">
        <v>60</v>
      </c>
      <c r="AF93" s="1" t="n">
        <f aca="false">ROUND(AE93*1.6, 0)</f>
        <v>96</v>
      </c>
      <c r="AH93" s="1" t="n">
        <v>14.99</v>
      </c>
      <c r="AI93" s="1" t="n">
        <v>10</v>
      </c>
      <c r="AL93" s="5" t="n">
        <v>0</v>
      </c>
      <c r="AM93" s="1" t="str">
        <f aca="false">CONCATENATE(VLOOKUP(AN93, 'Voxel Sizes'!$A$2:$B$18,2,FALSE()),"x",INT(AJ93*15), "x", INT(AK93*15))</f>
        <v>102x0x0</v>
      </c>
      <c r="AN93" s="1" t="n">
        <f aca="false">ROUND(15*((AI93*10)/256),0)</f>
        <v>6</v>
      </c>
      <c r="AO93" s="1" t="s">
        <v>210</v>
      </c>
      <c r="AP93" s="1" t="str">
        <f aca="false">CONCATENATE(VLOOKUP(AN93,Constants!$A$2:$C$16,IF(AO93&lt;&gt;"", 3, 2), FALSE()),IF(AO93&lt;&gt;"",CONCATENATE(",",VLOOKUP(AO93,$B:$AP,41,FALSE())),""))</f>
        <v>2,2,2,2,1,2</v>
      </c>
      <c r="AX93" s="1" t="n">
        <v>1</v>
      </c>
      <c r="AZ93" s="1" t="n">
        <v>36</v>
      </c>
      <c r="BA93" s="16" t="n">
        <f aca="false">IF(O93&lt;&gt;"",MAX(16,(O93-M93)+8),"")</f>
        <v>87</v>
      </c>
      <c r="BD93" s="1" t="n">
        <f aca="false">MIN(AE93/150, 1)*30</f>
        <v>12</v>
      </c>
      <c r="BE93" s="1" t="n">
        <f aca="false">MIN(Q93/4000, 1)*20</f>
        <v>4.25</v>
      </c>
      <c r="BF93" s="1" t="n">
        <f aca="false">MIN(AC93/400,1)*20</f>
        <v>4.4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52</v>
      </c>
      <c r="BL93" s="1" t="n">
        <f aca="false">INT(POWER((((Constants!$G$1+$BD93+$BE93+$BF93+$BH93)*($BG93))*$BI93),IF($J93="wagon",1,1.2)))+$BB93</f>
        <v>86</v>
      </c>
      <c r="BM93" s="17" t="n">
        <f aca="false">BK93*IF($J93="wagon",62.5,781.25)</f>
        <v>40625</v>
      </c>
      <c r="BN93" s="17" t="n">
        <f aca="false">BL93*IF($J93="wagon",2.73,81.25)</f>
        <v>6987.5</v>
      </c>
      <c r="BY93" s="1" t="n">
        <v>4</v>
      </c>
      <c r="CD93" s="1" t="str">
        <f aca="false">VLOOKUP(M93,Eras!$A$2:$C$10, 2, TRUE())</f>
        <v>vct</v>
      </c>
      <c r="CE93" s="1" t="s">
        <v>129</v>
      </c>
      <c r="CF93" s="1" t="str">
        <f aca="false">CONCATENATE(CD93,"_",CE93)</f>
        <v>vct_Mixed Traffic</v>
      </c>
      <c r="CG93" s="1" t="str">
        <f aca="false">_xlfn.CONCAT(K93, "_",L93)</f>
        <v>steam_RAIL</v>
      </c>
      <c r="CH93" s="7" t="str">
        <f aca="false">_xlfn.CONCAT("{BLACK}Length: {GOLD}", TEXT(ROUNDUP(IF(AS93&lt;&gt;"",SUM(VALUE(_xlfn.TEXTSPLIT(AS93, ","))), SUM(VALUE(_xlfn.TEXTSPLIT(AP93, ",")))*IF(P93, P93, 1))/16, 1), "#,##0.0"), " tiles{}")</f>
        <v>{BLACK}Length: {GOLD}0.7 tiles{}</v>
      </c>
      <c r="CI93" s="1" t="str">
        <f aca="false">IF(0, VLOOKUP($CG93, Constants!$M:$N, 2, FALSE()),"")</f>
        <v/>
      </c>
      <c r="CJ93" s="1" t="str">
        <f aca="false">IF(P93&gt;1,_xlfn.CONCAT("{BLACK}Cars: {GOLD}", P93),"")</f>
        <v/>
      </c>
      <c r="CK93" s="1" t="s">
        <v>346</v>
      </c>
      <c r="CL93" s="1" t="str">
        <f aca="false">IF($BX93="concept_trains","{GREEN}Concept Vehicle",IF($BX93="!param_no_gameplay_units","{GREEN}Included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{GOLD}0.7 tiles{}{SILVER}Matthew Holmes' Class C was an evolution of Drummond's design. They had a long career, becoming LNER class J36 and surviving to the last days of steam on British railways.</v>
      </c>
    </row>
    <row r="94" customFormat="false" ht="14.25" hidden="false" customHeight="false" outlineLevel="0" collapsed="false">
      <c r="A94" s="24" t="s">
        <v>347</v>
      </c>
      <c r="B94" s="19" t="s">
        <v>348</v>
      </c>
      <c r="C94" s="1" t="n">
        <v>1029</v>
      </c>
      <c r="E94" s="1" t="n">
        <v>36</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349</v>
      </c>
      <c r="K94" s="1" t="s">
        <v>250</v>
      </c>
      <c r="L94" s="1" t="s">
        <v>192</v>
      </c>
      <c r="M94" s="1" t="n">
        <v>1891</v>
      </c>
      <c r="O94" s="1" t="n">
        <v>1915</v>
      </c>
      <c r="Q94" s="1" t="n">
        <v>800</v>
      </c>
      <c r="W94" s="18"/>
      <c r="Z94" s="1" t="n">
        <v>46</v>
      </c>
      <c r="AA94" s="2" t="n">
        <v>41</v>
      </c>
      <c r="AC94" s="1" t="n">
        <v>75</v>
      </c>
      <c r="AD94" s="4" t="n">
        <f aca="false">IF(AND(Z94&gt;0,AC94&gt;0),(AC94/((Z94+AA94)*10)),"")</f>
        <v>0.0862068965517241</v>
      </c>
      <c r="AE94" s="1" t="n">
        <v>80</v>
      </c>
      <c r="AF94" s="1" t="n">
        <f aca="false">ROUND(AE94*1.6, 0)</f>
        <v>128</v>
      </c>
      <c r="AH94" s="1" t="n">
        <v>11</v>
      </c>
      <c r="AI94" s="1" t="n">
        <v>11</v>
      </c>
      <c r="AL94" s="5" t="n">
        <v>0</v>
      </c>
      <c r="AM94" s="1" t="str">
        <f aca="false">CONCATENATE(VLOOKUP(AN94, 'Voxel Sizes'!$A$2:$B$18,2,FALSE()),"x",INT(AJ94*15), "x", INT(AK94*15))</f>
        <v>102x0x0</v>
      </c>
      <c r="AN94" s="16" t="n">
        <f aca="false">ROUND(15*((AI94*10)/256),0)</f>
        <v>6</v>
      </c>
      <c r="AO94" s="1" t="s">
        <v>214</v>
      </c>
      <c r="AP94" s="1" t="str">
        <f aca="false">CONCATENATE(VLOOKUP(AN94,Constants!$A$2:$C$16,IF(AO94&lt;&gt;"", 3, 2), FALSE()),IF(AO94&lt;&gt;"",CONCATENATE(",",VLOOKUP(AO94,$B:$AP,41,FALSE())),""))</f>
        <v>2,2,2,2,1,2</v>
      </c>
      <c r="AZ94" s="1" t="n">
        <v>24</v>
      </c>
      <c r="BA94" s="16" t="n">
        <f aca="false">IF(O94&lt;&gt;"",MAX(16,(O94-M94)+8),"")</f>
        <v>32</v>
      </c>
      <c r="BD94" s="20" t="n">
        <f aca="false">MIN(AE94/150, 1)*30</f>
        <v>16</v>
      </c>
      <c r="BE94" s="20" t="n">
        <f aca="false">MIN(Q94/4000, 1)*20</f>
        <v>4</v>
      </c>
      <c r="BF94" s="20" t="n">
        <f aca="false">MIN(AC94/400,1)*20</f>
        <v>3.75</v>
      </c>
      <c r="BG94" s="21" t="n">
        <f aca="false">1-(MAX(M94-1900, 0)/750)</f>
        <v>1</v>
      </c>
      <c r="BH94" s="20"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59</v>
      </c>
      <c r="BL94" s="1" t="n">
        <f aca="false">INT(POWER((((Constants!$G$1+$BD94+$BE94+$BF94+$BH94)*($BG94))*$BI94),IF($J94="wagon",1,1.2)))+$BB94</f>
        <v>95</v>
      </c>
      <c r="BM94" s="22" t="n">
        <f aca="false">BK94*IF($J94="wagon",62.5,781.25)</f>
        <v>46093.75</v>
      </c>
      <c r="BN94" s="22" t="n">
        <f aca="false">BL94*IF($J94="wagon",2.73,81.25)</f>
        <v>7718.75</v>
      </c>
      <c r="BU94" s="1" t="str">
        <f aca="false">IF(J94="locomotive","B","")</f>
        <v/>
      </c>
      <c r="BV94" s="1" t="str">
        <f aca="false">IF($J94="locomotive","B","")</f>
        <v/>
      </c>
      <c r="BY94" s="1" t="n">
        <v>5</v>
      </c>
      <c r="CD94" s="23" t="s">
        <v>306</v>
      </c>
      <c r="CE94" s="1" t="s">
        <v>282</v>
      </c>
      <c r="CF94" s="23" t="str">
        <f aca="false">CONCATENATE(CD94,"_",CE94)</f>
        <v>vct_Express</v>
      </c>
      <c r="CG94" s="23" t="str">
        <f aca="false">_xlfn.CONCAT(K94, "_",L94)</f>
        <v>steam_RAIL</v>
      </c>
      <c r="CH94" s="7" t="str">
        <f aca="false">_xlfn.CONCAT("{BLACK}Length: {GOLD}", TEXT(ROUNDUP(IF(AS94&lt;&gt;"",SUM(VALUE(_xlfn.TEXTSPLIT(AS94, ","))), SUM(VALUE(_xlfn.TEXTSPLIT(AP94, ",")))*IF(P94, P94, 1))/16, 1), "#,##0.0"), " tiles{}")</f>
        <v>{BLACK}Length: {GOLD}0.7 tiles{}</v>
      </c>
      <c r="CI94" s="1" t="str">
        <f aca="false">IF(0, VLOOKUP($CG94, Constants!$M:$N, 2, FALSE()),"")</f>
        <v/>
      </c>
      <c r="CJ94" s="1" t="str">
        <f aca="false">IF(P94&gt;1,_xlfn.CONCAT("{BLACK}Cars: {GOLD}", P94),"")</f>
        <v/>
      </c>
      <c r="CK94" s="1" t="s">
        <v>350</v>
      </c>
      <c r="CL94" s="1" t="str">
        <f aca="false">IF($BX94="concept_trains","{GREEN}Concept Vehicle",IF($BX94="!param_no_gameplay_units","{GREEN}Included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{GOLD}0.7 tiles{}{SILVER}William Dean's 3001 class was the last of the GWR's 2-2-2 singles. They were rebuilt early on with a 4-2-2 layout to prevent derailments caused by the heavy front axle load.</v>
      </c>
    </row>
    <row r="95" customFormat="false" ht="14.25" hidden="false" customHeight="false" outlineLevel="0" collapsed="false">
      <c r="A95" s="1" t="s">
        <v>351</v>
      </c>
      <c r="B95" s="15" t="s">
        <v>352</v>
      </c>
      <c r="C95" s="1" t="n">
        <v>120</v>
      </c>
      <c r="E95" s="1" t="n">
        <v>37</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241</v>
      </c>
      <c r="J95" s="1" t="s">
        <v>249</v>
      </c>
      <c r="K95" s="1" t="s">
        <v>250</v>
      </c>
      <c r="L95" s="1" t="s">
        <v>192</v>
      </c>
      <c r="M95" s="1" t="n">
        <v>1896</v>
      </c>
      <c r="O95" s="1" t="n">
        <v>1928</v>
      </c>
      <c r="Q95" s="1" t="n">
        <v>850</v>
      </c>
      <c r="S95" s="3" t="n">
        <v>19.5</v>
      </c>
      <c r="T95" s="3" t="n">
        <v>26</v>
      </c>
      <c r="U95" s="3" t="n">
        <v>2</v>
      </c>
      <c r="V95" s="3" t="n">
        <v>170</v>
      </c>
      <c r="W95" s="18" t="n">
        <f aca="false">((($AE95/2)/60)*5280)/($X95*3.2*PI())</f>
        <v>166.206111456726</v>
      </c>
      <c r="X95" s="3" t="n">
        <v>2.37</v>
      </c>
      <c r="Y95" s="3" t="n">
        <f aca="false">((($S95*$S95/4)*PI())*($T95/12)*$U95*$V95*$W95)/(33000*1.1)</f>
        <v>1007.32702819333</v>
      </c>
      <c r="Z95" s="1" t="n">
        <v>48</v>
      </c>
      <c r="AA95" s="2" t="n">
        <v>42</v>
      </c>
      <c r="AC95" s="1" t="n">
        <v>68</v>
      </c>
      <c r="AD95" s="4" t="n">
        <f aca="false">IF(AND(Z95&gt;0,AC95&gt;0),(AC95/((Z95+AA95)*10)),"")</f>
        <v>0.0755555555555556</v>
      </c>
      <c r="AE95" s="1" t="n">
        <v>90</v>
      </c>
      <c r="AF95" s="1" t="n">
        <f aca="false">ROUND(AE95*1.6, 0)</f>
        <v>144</v>
      </c>
      <c r="AH95" s="1" t="n">
        <v>11</v>
      </c>
      <c r="AI95" s="1" t="n">
        <v>11</v>
      </c>
      <c r="AL95" s="5" t="n">
        <v>0</v>
      </c>
      <c r="AM95" s="1" t="str">
        <f aca="false">CONCATENATE(VLOOKUP(AN95, 'Voxel Sizes'!$A$2:$B$18,2,FALSE()),"x",INT(AJ95*15), "x", INT(AK95*15))</f>
        <v>102x0x0</v>
      </c>
      <c r="AN95" s="1" t="n">
        <f aca="false">ROUND(15*((AI95*10)/256),0)</f>
        <v>6</v>
      </c>
      <c r="AO95" s="1" t="s">
        <v>212</v>
      </c>
      <c r="AP95" s="1" t="str">
        <f aca="false">CONCATENATE(VLOOKUP(AN95,Constants!$A$2:$C$16,IF(AO95&lt;&gt;"", 3, 2), FALSE()),IF(AO95&lt;&gt;"",CONCATENATE(",",VLOOKUP(AO95,$B:$AP,41,FALSE())),""))</f>
        <v>2,2,2,2,1,2</v>
      </c>
      <c r="AZ95" s="1" t="n">
        <v>30</v>
      </c>
      <c r="BA95" s="16" t="n">
        <f aca="false">IF(O95&lt;&gt;"",MAX(16,(O95-M95)+8),"")</f>
        <v>40</v>
      </c>
      <c r="BD95" s="1" t="n">
        <f aca="false">MIN(AE95/150, 1)*30</f>
        <v>18</v>
      </c>
      <c r="BE95" s="1" t="n">
        <f aca="false">MIN(Q95/4000, 1)*20</f>
        <v>4.25</v>
      </c>
      <c r="BF95" s="1" t="n">
        <f aca="false">MIN(AC95/400,1)*20</f>
        <v>3.4</v>
      </c>
      <c r="BG95" s="4" t="n">
        <f aca="false">1-(MAX(M95-1900, 0)/750)</f>
        <v>1</v>
      </c>
      <c r="BH95" s="1"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63</v>
      </c>
      <c r="BL95" s="1" t="n">
        <f aca="false">INT(POWER((((Constants!$G$1+$BD95+$BE95+$BF95+$BH95)*($BG95))*$BI95),IF($J95="wagon",1,1.2)))+$BB95</f>
        <v>100</v>
      </c>
      <c r="BM95" s="17" t="n">
        <f aca="false">BK95*IF($J95="wagon",62.5,781.25)</f>
        <v>49218.75</v>
      </c>
      <c r="BN95" s="17" t="n">
        <f aca="false">BL95*IF($J95="wagon",2.73,81.25)</f>
        <v>8125</v>
      </c>
      <c r="BY95" s="1" t="n">
        <v>6</v>
      </c>
      <c r="CD95" s="1" t="str">
        <f aca="false">VLOOKUP(M95,Eras!$A$2:$C$10, 2, TRUE())</f>
        <v>vct</v>
      </c>
      <c r="CE95" s="1" t="s">
        <v>282</v>
      </c>
      <c r="CF95" s="1" t="str">
        <f aca="false">CONCATENATE(CD95,"_",CE95)</f>
        <v>vct_Express</v>
      </c>
      <c r="CG95" s="1" t="str">
        <f aca="false">_xlfn.CONCAT(K95, "_",L95)</f>
        <v>steam_RAIL</v>
      </c>
      <c r="CH95" s="7" t="str">
        <f aca="false">_xlfn.CONCAT("{BLACK}Length: {GOLD}", TEXT(ROUNDUP(IF(AS95&lt;&gt;"",SUM(VALUE(_xlfn.TEXTSPLIT(AS95, ","))), SUM(VALUE(_xlfn.TEXTSPLIT(AP95, ",")))*IF(P95, P95, 1))/16, 1), "#,##0.0"), " tiles{}")</f>
        <v>{BLACK}Length: {GOLD}0.7 tiles{}</v>
      </c>
      <c r="CI95" s="1" t="str">
        <f aca="false">IF(0, VLOOKUP($CG95, Constants!$M:$N, 2, FALSE()),"")</f>
        <v/>
      </c>
      <c r="CJ95" s="1" t="str">
        <f aca="false">IF(P95&gt;1,_xlfn.CONCAT("{BLACK}Cars: {GOLD}", P95),"")</f>
        <v/>
      </c>
      <c r="CK95" s="1" t="s">
        <v>353</v>
      </c>
      <c r="CL95" s="1" t="str">
        <f aca="false">IF($BX95="concept_trains","{GREEN}Concept Vehicle",IF($BX95="!param_no_gameplay_units","{GREEN}Included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{GOLD}0.7 tiles{}{SILVER}The Midland 115 class gained the nickname "Spinner" due to the large single driving wheel. The Midland Railway compensated for the low tractive effort of the 4-2-2 layout by double-heading the trains on heavy loads.</v>
      </c>
    </row>
    <row r="96" customFormat="false" ht="14.25" hidden="false" customHeight="false" outlineLevel="0" collapsed="false">
      <c r="A96" s="1" t="s">
        <v>354</v>
      </c>
      <c r="B96" s="15" t="s">
        <v>355</v>
      </c>
      <c r="C96" s="1" t="n">
        <v>121</v>
      </c>
      <c r="E96" s="1" t="n">
        <v>38</v>
      </c>
      <c r="G96" s="1" t="str">
        <f aca="false">IF($F96&lt;&gt;"",_xlfn.CONCAT(VLOOKUP($CE96, Constants!$T:$U, 2, FALSE()),",",$F96),VLOOKUP($CE96, Constants!$T:$U, 2, FALSE()))</f>
        <v>role/mixed</v>
      </c>
      <c r="H96" s="1" t="str">
        <f aca="false">IF($G96&lt;&gt;"",_xlfn.CONCAT(VLOOKUP($CG96, Constants!$M:$P, 4, FALSE()),",",$G96),VLOOKUP($CG96, Constants!$M:$P, 4, FALSE()))</f>
        <v>flag/GB,power/steam,role/mixed</v>
      </c>
      <c r="I96" s="1" t="s">
        <v>241</v>
      </c>
      <c r="J96" s="1" t="s">
        <v>249</v>
      </c>
      <c r="K96" s="1" t="s">
        <v>250</v>
      </c>
      <c r="L96" s="1" t="s">
        <v>192</v>
      </c>
      <c r="M96" s="1" t="n">
        <v>1897</v>
      </c>
      <c r="N96" s="1" t="n">
        <v>1911</v>
      </c>
      <c r="O96" s="1" t="n">
        <v>1957</v>
      </c>
      <c r="Q96" s="1" t="n">
        <v>500</v>
      </c>
      <c r="S96" s="3" t="n">
        <v>18.5</v>
      </c>
      <c r="T96" s="3" t="n">
        <v>26</v>
      </c>
      <c r="U96" s="3" t="n">
        <v>2</v>
      </c>
      <c r="V96" s="3" t="n">
        <v>175</v>
      </c>
      <c r="W96" s="18" t="n">
        <f aca="false">((($AE96/2)/60)*5280)/($X96*3.2*PI())</f>
        <v>90.1097839564407</v>
      </c>
      <c r="X96" s="3" t="n">
        <v>1.7</v>
      </c>
      <c r="Y96" s="3" t="n">
        <f aca="false">((($S96*$S96/4)*PI())*($T96/12)*$U96*$V96*$W96)/(33000*1.1)</f>
        <v>506.009660019311</v>
      </c>
      <c r="Z96" s="1" t="n">
        <v>61.2</v>
      </c>
      <c r="AC96" s="1" t="n">
        <v>87</v>
      </c>
      <c r="AD96" s="4" t="n">
        <f aca="false">IF(AND(Z96&gt;0,AC96&gt;0),(AC96/((Z96+AA96)*10)),"")</f>
        <v>0.142156862745098</v>
      </c>
      <c r="AE96" s="1" t="n">
        <v>35</v>
      </c>
      <c r="AF96" s="1" t="n">
        <f aca="false">ROUND(AE96*1.6, 0)</f>
        <v>56</v>
      </c>
      <c r="AH96" s="1" t="n">
        <v>10.5</v>
      </c>
      <c r="AI96" s="1" t="n">
        <v>10.5</v>
      </c>
      <c r="AL96" s="5" t="n">
        <v>0</v>
      </c>
      <c r="AM96" s="1" t="str">
        <f aca="false">CONCATENATE(VLOOKUP(AN96, 'Voxel Sizes'!$A$2:$B$18,2,FALSE()),"x",INT(AJ96*15), "x", INT(AK96*15))</f>
        <v>102x0x0</v>
      </c>
      <c r="AN96" s="1" t="n">
        <f aca="false">ROUND(15*((AI96*10)/256),0)</f>
        <v>6</v>
      </c>
      <c r="AP96" s="1" t="str">
        <f aca="false">CONCATENATE(VLOOKUP(AN96,Constants!$A$2:$C$16,IF(AO96&lt;&gt;"", 3, 2), FALSE()),IF(AO96&lt;&gt;"",CONCATENATE(",",VLOOKUP(AO96,$B:$AP,41,FALSE())),""))</f>
        <v>2,2,2</v>
      </c>
      <c r="AX96" s="1" t="n">
        <v>1</v>
      </c>
      <c r="AZ96" s="1" t="n">
        <v>34</v>
      </c>
      <c r="BA96" s="16" t="n">
        <f aca="false">IF(O96&lt;&gt;"",MAX(16,(O96-M96)+8),"")</f>
        <v>68</v>
      </c>
      <c r="BD96" s="1" t="n">
        <f aca="false">MIN(AE96/150, 1)*30</f>
        <v>7</v>
      </c>
      <c r="BE96" s="1" t="n">
        <f aca="false">MIN(Q96/4000, 1)*20</f>
        <v>2.5</v>
      </c>
      <c r="BF96" s="1" t="n">
        <f aca="false">MIN(AC96/400,1)*20</f>
        <v>4.35</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38</v>
      </c>
      <c r="BL96" s="1" t="n">
        <f aca="false">INT(POWER((((Constants!$G$1+$BD96+$BE96+$BF96+$BH96)*($BG96))*$BI96),IF($J96="wagon",1,1.2)))+$BB96</f>
        <v>66</v>
      </c>
      <c r="BM96" s="17" t="n">
        <f aca="false">BK96*IF($J96="wagon",62.5,781.25)</f>
        <v>29687.5</v>
      </c>
      <c r="BN96" s="17" t="n">
        <f aca="false">BL96*IF($J96="wagon",2.73,81.25)</f>
        <v>5362.5</v>
      </c>
      <c r="BY96" s="1" t="n">
        <v>7</v>
      </c>
      <c r="CD96" s="1" t="str">
        <f aca="false">VLOOKUP(M96,Eras!$A$2:$C$10, 2, TRUE())</f>
        <v>vct</v>
      </c>
      <c r="CE96" s="1" t="s">
        <v>356</v>
      </c>
      <c r="CF96" s="1" t="str">
        <f aca="false">CONCATENATE(CD96,"_",CE96)</f>
        <v>vct_Cheap</v>
      </c>
      <c r="CG96" s="1" t="str">
        <f aca="false">_xlfn.CONCAT(K96, "_",L96)</f>
        <v>steam_RAIL</v>
      </c>
      <c r="CH96" s="7" t="str">
        <f aca="false">_xlfn.CONCAT("{BLACK}Length: {GOLD}", TEXT(ROUNDUP(IF(AS96&lt;&gt;"",SUM(VALUE(_xlfn.TEXTSPLIT(AS96, ","))), SUM(VALUE(_xlfn.TEXTSPLIT(AP96, ",")))*IF(P96, P96, 1))/16, 1), "#,##0.0"), " tiles{}")</f>
        <v>{BLACK}Length: {GOLD}0.4 tiles{}</v>
      </c>
      <c r="CI96" s="1" t="str">
        <f aca="false">IF(0, VLOOKUP($CG96, Constants!$M:$N, 2, FALSE()),"")</f>
        <v/>
      </c>
      <c r="CJ96" s="1" t="str">
        <f aca="false">IF(P96&gt;1,_xlfn.CONCAT("{BLACK}Cars: {GOLD}", P96),"")</f>
        <v/>
      </c>
      <c r="CK96" s="1" t="s">
        <v>357</v>
      </c>
      <c r="CL96" s="1" t="str">
        <f aca="false">IF($BX96="concept_trains","{GREEN}Concept Vehicle",IF($BX96="!param_no_gameplay_units","{GREEN}Included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Drummond M7 was built for the London &amp; South Western railway. Its usefulness saw it survive in operation until well into the BR era.</v>
      </c>
    </row>
    <row r="97" customFormat="false" ht="14.25" hidden="false" customHeight="false" outlineLevel="0" collapsed="false">
      <c r="A97" s="1" t="s">
        <v>358</v>
      </c>
      <c r="B97" s="19" t="s">
        <v>359</v>
      </c>
      <c r="C97" s="1" t="n">
        <v>1028</v>
      </c>
      <c r="E97" s="1" t="n">
        <v>39</v>
      </c>
      <c r="G97" s="1" t="str">
        <f aca="false">IF($F97&lt;&gt;"",_xlfn.CONCAT(VLOOKUP($CE97, Constants!$T:$U, 2, FALSE()),",",$F97),VLOOKUP($CE97, Constants!$T:$U, 2, FALSE()))</f>
        <v>role/express_passenger</v>
      </c>
      <c r="H97" s="1" t="str">
        <f aca="false">IF($G97&lt;&gt;"",_xlfn.CONCAT(VLOOKUP($CG97, Constants!$M:$P, 4, FALSE()),",",$G97),VLOOKUP($CG97, Constants!$M:$P, 4, FALSE()))</f>
        <v>flag/GB,power/steam,role/express_passenger</v>
      </c>
      <c r="I97" s="1" t="s">
        <v>241</v>
      </c>
      <c r="J97" s="1" t="s">
        <v>249</v>
      </c>
      <c r="K97" s="1" t="s">
        <v>250</v>
      </c>
      <c r="L97" s="1" t="s">
        <v>192</v>
      </c>
      <c r="M97" s="1" t="n">
        <v>1898</v>
      </c>
      <c r="O97" s="1" t="n">
        <v>1946</v>
      </c>
      <c r="Q97" s="1" t="n">
        <v>950</v>
      </c>
      <c r="S97" s="3" t="n">
        <v>18.75</v>
      </c>
      <c r="T97" s="3" t="n">
        <v>24</v>
      </c>
      <c r="U97" s="3" t="n">
        <v>2</v>
      </c>
      <c r="V97" s="3" t="n">
        <v>170</v>
      </c>
      <c r="W97" s="18" t="n">
        <f aca="false">((($AE97/2)/60)*5280)/($X97*3.2*PI())</f>
        <v>196.95424207622</v>
      </c>
      <c r="X97" s="3" t="n">
        <v>2</v>
      </c>
      <c r="Y97" s="3" t="n">
        <f aca="false">((($S97*$S97/4)*PI())*($T97/12)*$U97*$V97*$W97)/(33000*1.1)</f>
        <v>1018.73224431818</v>
      </c>
      <c r="Z97" s="1" t="n">
        <v>60</v>
      </c>
      <c r="AA97" s="2" t="n">
        <v>30</v>
      </c>
      <c r="AB97" s="1" t="n">
        <v>5</v>
      </c>
      <c r="AC97" s="1" t="n">
        <v>68</v>
      </c>
      <c r="AD97" s="4" t="n">
        <f aca="false">IF(AND(Z97&gt;0,AC97&gt;0),(AC97/((Z97+AA97)*10)),"")</f>
        <v>0.0755555555555556</v>
      </c>
      <c r="AE97" s="1" t="n">
        <v>90</v>
      </c>
      <c r="AF97" s="1" t="n">
        <f aca="false">ROUND(AE97*1.6, 0)</f>
        <v>144</v>
      </c>
      <c r="AH97" s="1" t="n">
        <v>15.4</v>
      </c>
      <c r="AI97" s="1" t="n">
        <v>12</v>
      </c>
      <c r="AM97" s="1" t="str">
        <f aca="false">CONCATENATE(VLOOKUP(AN97, 'Voxel Sizes'!$A$2:$B$18,2,FALSE()),"x",INT(AJ97*15), "x", INT(AK97*15))</f>
        <v>120x0x0</v>
      </c>
      <c r="AN97" s="16" t="n">
        <f aca="false">ROUND(15*((AI97*10)/256),0)</f>
        <v>7</v>
      </c>
      <c r="AO97" s="1" t="s">
        <v>317</v>
      </c>
      <c r="AP97" s="1" t="str">
        <f aca="false">CONCATENATE(VLOOKUP(AN97,Constants!$A$2:$C$16,IF(AO97&lt;&gt;"", 3, 2), FALSE()),IF(AO97&lt;&gt;"",CONCATENATE(",",VLOOKUP(AO97,$B:$AP,41,FALSE())),""))</f>
        <v>2,3,2,2,1,2</v>
      </c>
      <c r="AX97" s="1" t="n">
        <v>1</v>
      </c>
      <c r="AZ97" s="1" t="n">
        <v>29</v>
      </c>
      <c r="BA97" s="16" t="n">
        <f aca="false">IF(O97&lt;&gt;"",MAX(16,(O97-M97)+8),"")</f>
        <v>56</v>
      </c>
      <c r="BD97" s="20" t="n">
        <f aca="false">MIN(AE97/150, 1)*30</f>
        <v>18</v>
      </c>
      <c r="BE97" s="20" t="n">
        <f aca="false">MIN(Q97/4000, 1)*20</f>
        <v>4.75</v>
      </c>
      <c r="BF97" s="20" t="n">
        <f aca="false">MIN(AC97/400,1)*20</f>
        <v>3.4</v>
      </c>
      <c r="BG97" s="21" t="n">
        <f aca="false">1-(MAX(M97-1900, 0)/750)</f>
        <v>1</v>
      </c>
      <c r="BH97" s="20" t="n">
        <f aca="false">((MAX($P97,1)*MIN($AL97/300,1)))*IF(J97="Wagon",50,10)</f>
        <v>0</v>
      </c>
      <c r="BI97" s="1" t="n">
        <f aca="false">VLOOKUP($K97,Constants!$I:$K, 2, FALSE())</f>
        <v>1.15</v>
      </c>
      <c r="BJ97" s="1" t="n">
        <f aca="false">VLOOKUP($K97,Constants!$I:$K, 3, FALSE())*IF(AND(J97="multiple_unit",AE97&lt;110),0.75,1)</f>
        <v>1.7</v>
      </c>
      <c r="BK97" s="1" t="n">
        <f aca="false">INT(POWER(((Constants!$G$2+$BD97+$BE97+$BF97+$BH97)*$BG97)*$BJ97, 1.05))+$BC97</f>
        <v>64</v>
      </c>
      <c r="BL97" s="1" t="n">
        <f aca="false">INT(POWER((((Constants!$G$1+$BD97+$BE97+$BF97+$BH97)*($BG97))*$BI97),IF($J97="wagon",1,1.2)))+$BB97</f>
        <v>102</v>
      </c>
      <c r="BM97" s="22" t="n">
        <f aca="false">BK97*IF($J97="wagon",62.5,781.25)</f>
        <v>50000</v>
      </c>
      <c r="BN97" s="22" t="n">
        <f aca="false">BL97*IF($J97="wagon",2.73,81.25)</f>
        <v>8287.5</v>
      </c>
      <c r="BY97" s="1" t="n">
        <v>3</v>
      </c>
      <c r="CD97" s="23" t="s">
        <v>306</v>
      </c>
      <c r="CE97" s="1" t="s">
        <v>282</v>
      </c>
      <c r="CF97" s="23" t="str">
        <f aca="false">CONCATENATE(CD97,"_",CE97)</f>
        <v>vct_Express</v>
      </c>
      <c r="CG97" s="23" t="str">
        <f aca="false">_xlfn.CONCAT(K97, "_",L97)</f>
        <v>steam_RAIL</v>
      </c>
      <c r="CH97" s="7" t="str">
        <f aca="false">_xlfn.CONCAT("{BLACK}Length: {GOLD}", TEXT(ROUNDUP(IF(AS97&lt;&gt;"",SUM(VALUE(_xlfn.TEXTSPLIT(AS97, ","))), SUM(VALUE(_xlfn.TEXTSPLIT(AP97, ",")))*IF(P97, P97, 1))/16, 1), "#,##0.0"), " tiles{}")</f>
        <v>{BLACK}Length: {GOLD}0.8 tiles{}</v>
      </c>
      <c r="CI97" s="1" t="str">
        <f aca="false">IF(0, VLOOKUP($CG97, Constants!$M:$N, 2, FALSE()),"")</f>
        <v/>
      </c>
      <c r="CJ97" s="1" t="str">
        <f aca="false">IF(P97&gt;1,_xlfn.CONCAT("{BLACK}Cars: {GOLD}", P97),"")</f>
        <v/>
      </c>
      <c r="CK97" s="1" t="s">
        <v>360</v>
      </c>
      <c r="CL97" s="1" t="str">
        <f aca="false">IF($BX97="concept_trains","{GREEN}Concept Vehicle",IF($BX97="!param_no_gameplay_units","{GREEN}Included for gameplay purposes",""))</f>
        <v/>
      </c>
      <c r="CM97" s="1" t="str">
        <f aca="false">IF(CA97="buffet","{YELLOW}25% long distance bonus for consist{}",IF(CB97="DANDY","{YELLOW}Faster downhill speeds for horse-drawn trains (1 required per 2 horses){}",IF(CB97="BRAKE","{YELLOW}Speed bonus for slow wagons{}",IF(CB97="NGPassengers","{YELLOW}Preserved railway bonus: passengers pay more when hauled by old locomotives{}",IF(AND(BZ97&gt;190,NOT(AND(L97="NARROW_GAUGE",CB97&lt;&gt;"PASS"))),CONCATENATE("{YELLOW}",INT((BZ97-185)/1.85),"%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{GOLD}0.8 tiles{}{SILVER}Henry Ivatt introduced the 4-4-2 Atlantic type to the UK with this design, nicknamed "Klondyke" after the peak of the Klondike Gold Rush of the previous year.</v>
      </c>
    </row>
    <row r="98" customFormat="false" ht="14.25" hidden="false" customHeight="false" outlineLevel="0" collapsed="false">
      <c r="A98" s="1" t="s">
        <v>361</v>
      </c>
      <c r="B98" s="15" t="s">
        <v>362</v>
      </c>
      <c r="C98" s="1" t="n">
        <v>122</v>
      </c>
      <c r="E98" s="1" t="n">
        <v>40</v>
      </c>
      <c r="G98" s="1" t="str">
        <f aca="false">IF($F98&lt;&gt;"",_xlfn.CONCAT(VLOOKUP($CE98, Constants!$T:$U, 2, FALSE()),",",$F98),VLOOKUP($CE98, Constants!$T:$U, 2, FALSE()))</f>
        <v>role/mixed</v>
      </c>
      <c r="H98" s="1" t="str">
        <f aca="false">IF($G98&lt;&gt;"",_xlfn.CONCAT(VLOOKUP($CG98, Constants!$M:$P, 4, FALSE()),",",$G98),VLOOKUP($CG98, Constants!$M:$P, 4, FALSE()))</f>
        <v>flag/GB,power/steam,role/mixed</v>
      </c>
      <c r="I98" s="1" t="s">
        <v>241</v>
      </c>
      <c r="J98" s="1" t="s">
        <v>249</v>
      </c>
      <c r="K98" s="1" t="s">
        <v>250</v>
      </c>
      <c r="L98" s="1" t="s">
        <v>192</v>
      </c>
      <c r="M98" s="1" t="n">
        <v>1899</v>
      </c>
      <c r="N98" s="1" t="n">
        <v>1902</v>
      </c>
      <c r="O98" s="1" t="n">
        <v>1954</v>
      </c>
      <c r="Q98" s="1" t="n">
        <v>600</v>
      </c>
      <c r="S98" s="3" t="n">
        <v>18</v>
      </c>
      <c r="T98" s="3" t="n">
        <v>26</v>
      </c>
      <c r="U98" s="3" t="n">
        <v>2</v>
      </c>
      <c r="V98" s="3" t="n">
        <v>160</v>
      </c>
      <c r="W98" s="18" t="n">
        <f aca="false">((($AE98/2)/60)*5280)/($X98*3.2*PI())</f>
        <v>125.050312429346</v>
      </c>
      <c r="X98" s="3" t="n">
        <v>1.4</v>
      </c>
      <c r="Y98" s="3" t="n">
        <f aca="false">((($S98*$S98/4)*PI())*($T98/12)*$U98*$V98*$W98)/(33000*1.1)</f>
        <v>607.792207792208</v>
      </c>
      <c r="Z98" s="1" t="n">
        <v>49.5</v>
      </c>
      <c r="AC98" s="1" t="n">
        <v>92</v>
      </c>
      <c r="AD98" s="4" t="n">
        <f aca="false">IF(AND(Z98&gt;0,AC98&gt;0),(AC98/((Z98+AA98)*10)),"")</f>
        <v>0.185858585858586</v>
      </c>
      <c r="AE98" s="1" t="n">
        <v>40</v>
      </c>
      <c r="AF98" s="1" t="n">
        <f aca="false">ROUND(AE98*1.6, 0)</f>
        <v>64</v>
      </c>
      <c r="AH98" s="1" t="n">
        <v>9.57</v>
      </c>
      <c r="AI98" s="1" t="n">
        <v>9.57</v>
      </c>
      <c r="AL98" s="5" t="n">
        <v>0</v>
      </c>
      <c r="AM98" s="1" t="str">
        <f aca="false">CONCATENATE(VLOOKUP(AN98, 'Voxel Sizes'!$A$2:$B$18,2,FALSE()),"x",INT(AJ98*15), "x", INT(AK98*15))</f>
        <v>102x0x0</v>
      </c>
      <c r="AN98" s="1" t="n">
        <f aca="false">ROUND(15*((AI98*10)/256),0)</f>
        <v>6</v>
      </c>
      <c r="AP98" s="1" t="str">
        <f aca="false">CONCATENATE(VLOOKUP(AN98,Constants!$A$2:$C$16,IF(AO98&lt;&gt;"", 3, 2), FALSE()),IF(AO98&lt;&gt;"",CONCATENATE(",",VLOOKUP(AO98,$B:$AP,41,FALSE())),""))</f>
        <v>2,2,2</v>
      </c>
      <c r="AX98" s="1" t="n">
        <v>1</v>
      </c>
      <c r="AZ98" s="1" t="n">
        <v>30</v>
      </c>
      <c r="BA98" s="16" t="n">
        <f aca="false">IF(O98&lt;&gt;"",MAX(16,(O98-M98)+8),"")</f>
        <v>63</v>
      </c>
      <c r="BD98" s="1" t="n">
        <f aca="false">MIN(AE98/150, 1)*30</f>
        <v>8</v>
      </c>
      <c r="BE98" s="1" t="n">
        <f aca="false">MIN(Q98/4000, 1)*20</f>
        <v>3</v>
      </c>
      <c r="BF98" s="1" t="n">
        <f aca="false">MIN(AC98/400,1)*20</f>
        <v>4.6</v>
      </c>
      <c r="BG98" s="4" t="n">
        <f aca="false">1-(MAX(M98-1900, 0)/750)</f>
        <v>1</v>
      </c>
      <c r="BH98" s="1"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41</v>
      </c>
      <c r="BL98" s="1" t="n">
        <f aca="false">INT(POWER((((Constants!$G$1+$BD98+$BE98+$BF98+$BH98)*($BG98))*$BI98),IF($J98="wagon",1,1.2)))+$BB98</f>
        <v>71</v>
      </c>
      <c r="BM98" s="17" t="n">
        <f aca="false">BK98*IF($J98="wagon",62.5,781.25)</f>
        <v>32031.25</v>
      </c>
      <c r="BN98" s="17" t="n">
        <f aca="false">BL98*IF($J98="wagon",2.73,81.25)</f>
        <v>5768.75</v>
      </c>
      <c r="BY98" s="1" t="n">
        <v>9</v>
      </c>
      <c r="CD98" s="1" t="str">
        <f aca="false">VLOOKUP(M98,Eras!$A$2:$C$10, 2, TRUE())</f>
        <v>vct</v>
      </c>
      <c r="CE98" s="1" t="s">
        <v>356</v>
      </c>
      <c r="CF98" s="1" t="str">
        <f aca="false">CONCATENATE(CD98,"_",CE98)</f>
        <v>vct_Cheap</v>
      </c>
      <c r="CG98" s="1" t="str">
        <f aca="false">_xlfn.CONCAT(K98, "_",L98)</f>
        <v>steam_RAIL</v>
      </c>
      <c r="CH98" s="7" t="str">
        <f aca="false">_xlfn.CONCAT("{BLACK}Length: {GOLD}", TEXT(ROUNDUP(IF(AS98&lt;&gt;"",SUM(VALUE(_xlfn.TEXTSPLIT(AS98, ","))), SUM(VALUE(_xlfn.TEXTSPLIT(AP98, ",")))*IF(P98, P98, 1))/16, 1), "#,##0.0"), " tiles{}")</f>
        <v>{BLACK}Length: {GOLD}0.4 tiles{}</v>
      </c>
      <c r="CI98" s="1" t="str">
        <f aca="false">IF(0, VLOOKUP($CG98, Constants!$M:$N, 2, FALSE()),"")</f>
        <v/>
      </c>
      <c r="CJ98" s="1" t="str">
        <f aca="false">IF(P98&gt;1,_xlfn.CONCAT("{BLACK}Cars: {GOLD}", P98),"")</f>
        <v/>
      </c>
      <c r="CK98" s="1" t="s">
        <v>363</v>
      </c>
      <c r="CL98" s="1" t="str">
        <f aca="false">IF($BX98="concept_trains","{GREEN}Concept Vehicle",IF($BX98="!param_no_gameplay_units","{GREEN}Included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{GOLD}0.4 tiles{}{SILVER}Samuel Johnson's tank engine design were rebuilt later in life by Henry Fowler, providing the inspiration for Fowler's own 3F "Jinty" design.</v>
      </c>
    </row>
    <row r="99" customFormat="false" ht="14.25" hidden="false" customHeight="false" outlineLevel="0" collapsed="false">
      <c r="A99" s="1" t="s">
        <v>364</v>
      </c>
      <c r="B99" s="19" t="s">
        <v>365</v>
      </c>
      <c r="C99" s="1" t="n">
        <v>1030</v>
      </c>
      <c r="E99" s="1" t="n">
        <v>41</v>
      </c>
      <c r="F99" s="1" t="s">
        <v>143</v>
      </c>
      <c r="G99" s="1" t="str">
        <f aca="false">IF($F99&lt;&gt;"",_xlfn.CONCAT(VLOOKUP($CE99, Constants!$T:$U, 2, FALSE()),",",$F99),VLOOKUP($CE99, Constants!$T:$U, 2, FALSE()))</f>
        <v>role/mixed,role/prototype</v>
      </c>
      <c r="H99" s="1" t="str">
        <f aca="false">IF($G99&lt;&gt;"",_xlfn.CONCAT(VLOOKUP($CG99, Constants!$M:$P, 4, FALSE()),",",$G99),VLOOKUP($CG99, Constants!$M:$P, 4, FALSE()))</f>
        <v>flag/GB,power/steam,role/mixed,role/prototype</v>
      </c>
      <c r="I99" s="1" t="s">
        <v>241</v>
      </c>
      <c r="J99" s="1" t="s">
        <v>249</v>
      </c>
      <c r="K99" s="1" t="s">
        <v>250</v>
      </c>
      <c r="L99" s="1" t="s">
        <v>192</v>
      </c>
      <c r="M99" s="1" t="n">
        <v>1899</v>
      </c>
      <c r="O99" s="1" t="n">
        <v>1933</v>
      </c>
      <c r="Q99" s="1" t="n">
        <v>180</v>
      </c>
      <c r="S99" s="3" t="n">
        <v>11.5</v>
      </c>
      <c r="T99" s="3" t="n">
        <v>18</v>
      </c>
      <c r="U99" s="3" t="n">
        <v>2</v>
      </c>
      <c r="V99" s="3" t="n">
        <v>175</v>
      </c>
      <c r="W99" s="18" t="n">
        <f aca="false">((($AE99/2)/60)*5280)/($X99*3.2*PI())</f>
        <v>128.728262794915</v>
      </c>
      <c r="X99" s="3" t="n">
        <v>1.7</v>
      </c>
      <c r="Y99" s="3" t="n">
        <f aca="false">((($S99*$S99/4)*PI())*($T99/12)*$U99*$V99*$W99)/(33000*1.1)</f>
        <v>193.380264037433</v>
      </c>
      <c r="Z99" s="1" t="n">
        <v>38</v>
      </c>
      <c r="AB99" s="1" t="n">
        <v>5</v>
      </c>
      <c r="AC99" s="1" t="n">
        <v>24</v>
      </c>
      <c r="AD99" s="4" t="n">
        <f aca="false">IF(AND(Z99&gt;0,AC99&gt;0),(AC99/((Z99+AA99)*10)),"")</f>
        <v>0.0631578947368421</v>
      </c>
      <c r="AE99" s="1" t="n">
        <v>50</v>
      </c>
      <c r="AF99" s="1" t="n">
        <f aca="false">ROUND(AE99*1.6, 0)</f>
        <v>80</v>
      </c>
      <c r="AH99" s="1" t="n">
        <v>10.9</v>
      </c>
      <c r="AI99" s="1" t="n">
        <v>12</v>
      </c>
      <c r="AL99" s="5" t="n">
        <v>12</v>
      </c>
      <c r="AM99" s="1" t="str">
        <f aca="false">CONCATENATE(VLOOKUP(AN99, 'Voxel Sizes'!$A$2:$B$18,2,FALSE()),"x",INT(AJ99*15), "x", INT(AK99*15))</f>
        <v>120x0x0</v>
      </c>
      <c r="AN99" s="16" t="n">
        <f aca="false">ROUND(15*((AI99*10)/256),0)</f>
        <v>7</v>
      </c>
      <c r="AP99" s="1" t="str">
        <f aca="false">CONCATENATE(VLOOKUP(AN99,Constants!$A$2:$C$16,IF(AO99&lt;&gt;"", 3, 2), FALSE()),IF(AO99&lt;&gt;"",CONCATENATE(",",VLOOKUP(AO99,$B:$AP,41,FALSE())),""))</f>
        <v>2,3,2</v>
      </c>
      <c r="AX99" s="1" t="n">
        <v>1</v>
      </c>
      <c r="AZ99" s="1" t="n">
        <v>26</v>
      </c>
      <c r="BA99" s="16" t="n">
        <f aca="false">IF(O99&lt;&gt;"",MAX(16,(O99-M99)+8),"")</f>
        <v>42</v>
      </c>
      <c r="BB99" s="1" t="n">
        <v>-14</v>
      </c>
      <c r="BC99" s="1" t="n">
        <v>-4</v>
      </c>
      <c r="BD99" s="20" t="n">
        <f aca="false">MIN(AE99/150, 1)*30</f>
        <v>10</v>
      </c>
      <c r="BE99" s="20" t="n">
        <f aca="false">MIN(Q99/4000, 1)*20</f>
        <v>0.9</v>
      </c>
      <c r="BF99" s="20" t="n">
        <f aca="false">MIN(AC99/400,1)*20</f>
        <v>1.2</v>
      </c>
      <c r="BG99" s="21" t="n">
        <f aca="false">1-(MAX(M99-1900, 0)/750)</f>
        <v>1</v>
      </c>
      <c r="BH99" s="20" t="n">
        <f aca="false">((MAX($P99,1)*MIN($AL99/300,1)))*IF(J99="Wagon",50,10)</f>
        <v>0.4</v>
      </c>
      <c r="BI99" s="1" t="n">
        <f aca="false">VLOOKUP($K99,Constants!$I:$K, 2, FALSE())</f>
        <v>1.15</v>
      </c>
      <c r="BJ99" s="1" t="n">
        <f aca="false">VLOOKUP($K99,Constants!$I:$K, 3, FALSE())*IF(AND(J99="multiple_unit",AE99&lt;110),0.75,1)</f>
        <v>1.7</v>
      </c>
      <c r="BK99" s="1" t="n">
        <f aca="false">INT(POWER(((Constants!$G$2+$BD99+$BE99+$BF99+$BH99)*$BG99)*$BJ99, 1.05))+$BC99</f>
        <v>31</v>
      </c>
      <c r="BL99" s="1" t="n">
        <f aca="false">INT(POWER((((Constants!$G$1+$BD99+$BE99+$BF99+$BH99)*($BG99))*$BI99),IF($J99="wagon",1,1.2)))+$BB99</f>
        <v>49</v>
      </c>
      <c r="BM99" s="22" t="n">
        <f aca="false">BK99*IF($J99="wagon",62.5,781.25)</f>
        <v>24218.75</v>
      </c>
      <c r="BN99" s="22" t="n">
        <f aca="false">BL99*IF($J99="wagon",2.73,81.25)</f>
        <v>3981.25</v>
      </c>
      <c r="BY99" s="1" t="n">
        <v>4</v>
      </c>
      <c r="CB99" s="1" t="s">
        <v>366</v>
      </c>
      <c r="CC99" s="1" t="s">
        <v>367</v>
      </c>
      <c r="CD99" s="23" t="s">
        <v>306</v>
      </c>
      <c r="CE99" s="1" t="s">
        <v>356</v>
      </c>
      <c r="CF99" s="23" t="str">
        <f aca="false">CONCATENATE(CD99,"_",CE99)</f>
        <v>vct_Cheap</v>
      </c>
      <c r="CG99" s="23" t="str">
        <f aca="false">_xlfn.CONCAT(K99, "_",L99)</f>
        <v>steam_RAIL</v>
      </c>
      <c r="CH99" s="7" t="str">
        <f aca="false">_xlfn.CONCAT("{BLACK}Length: {GOLD}", TEXT(ROUNDUP(IF(AS99&lt;&gt;"",SUM(VALUE(_xlfn.TEXTSPLIT(AS99, ","))), SUM(VALUE(_xlfn.TEXTSPLIT(AP99, ",")))*IF(P99, P99, 1))/16, 1), "#,##0.0"), " tiles{}")</f>
        <v>{BLACK}Length: {GOLD}0.5 tiles{}</v>
      </c>
      <c r="CI99" s="1" t="str">
        <f aca="false">IF(0, VLOOKUP($CG99, Constants!$M:$N, 2, FALSE()),"")</f>
        <v/>
      </c>
      <c r="CJ99" s="1" t="str">
        <f aca="false">IF(P99&gt;1,_xlfn.CONCAT("{BLACK}Cars: {GOLD}", P99),"")</f>
        <v/>
      </c>
      <c r="CK99" s="1" t="s">
        <v>368</v>
      </c>
      <c r="CL99" s="1" t="str">
        <f aca="false">IF($BX99="concept_trains","{GREEN}Concept Vehicle",IF($BX99="!param_no_gameplay_units","{GREEN}Included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{GOLD}0.5 tiles{}{SILVER}The F9 was Dugald Drummond's personal locomotive, allowing him to travel across the LSWR for inspections. After Drummond it only saw occasional use at Southampton Docks.</v>
      </c>
    </row>
    <row r="100" customFormat="false" ht="14.25" hidden="false" customHeight="false" outlineLevel="0" collapsed="false">
      <c r="A100" s="24" t="s">
        <v>369</v>
      </c>
      <c r="B100" s="19" t="s">
        <v>370</v>
      </c>
      <c r="C100" s="1" t="n">
        <v>1031</v>
      </c>
      <c r="E100" s="1" t="n">
        <v>42</v>
      </c>
      <c r="G100" s="1" t="str">
        <f aca="false">IF($F100&lt;&gt;"",_xlfn.CONCAT(VLOOKUP($CE100, Constants!$T:$U, 2, FALSE()),",",$F100),VLOOKUP($CE100, Constants!$T:$U, 2, FALSE()))</f>
        <v>role/mixed</v>
      </c>
      <c r="H100" s="1" t="str">
        <f aca="false">IF($G100&lt;&gt;"",_xlfn.CONCAT(VLOOKUP($CG100, Constants!$M:$P, 4, FALSE()),",",$G100),VLOOKUP($CG100, Constants!$M:$P, 4, FALSE()))</f>
        <v>flag/GB,power/steam,role/mixed</v>
      </c>
      <c r="J100" s="1" t="s">
        <v>349</v>
      </c>
      <c r="K100" s="1" t="s">
        <v>250</v>
      </c>
      <c r="L100" s="1" t="s">
        <v>192</v>
      </c>
      <c r="M100" s="1" t="n">
        <v>1899</v>
      </c>
      <c r="AD100" s="4" t="str">
        <f aca="false">IF(AND(Z100&gt;0,AC100&gt;0),(AC100/((Z100+AA100)*10)),"")</f>
        <v/>
      </c>
      <c r="AF100" s="1" t="n">
        <f aca="false">ROUND(AE100*1.6, 0)</f>
        <v>0</v>
      </c>
      <c r="AL100" s="5" t="n">
        <v>0</v>
      </c>
      <c r="AM100" s="1" t="str">
        <f aca="false">CONCATENATE(VLOOKUP(AN100, 'Voxel Sizes'!$A$2:$B$18,2,FALSE()),"x",INT(AJ100*15), "x", INT(AK100*15))</f>
        <v>0x0x0</v>
      </c>
      <c r="AN100" s="16" t="n">
        <f aca="false">ROUND(15*((AI100*10)/256),0)</f>
        <v>0</v>
      </c>
      <c r="AP100" s="1" t="str">
        <f aca="false">CONCATENATE(VLOOKUP(AN100,Constants!$A$2:$C$16,IF(AO100&lt;&gt;"", 3, 2), FALSE()),IF(AO100&lt;&gt;"",CONCATENATE(",",VLOOKUP(AO100,$B:$AP,41,FALSE())),""))</f>
        <v>na</v>
      </c>
      <c r="AZ100" s="1" t="n">
        <v>30</v>
      </c>
      <c r="BA100" s="16" t="str">
        <f aca="false">IF(O100&lt;&gt;"",MAX(16,(O100-M100)+8),"")</f>
        <v/>
      </c>
      <c r="BD100" s="20" t="n">
        <f aca="false">MIN(AE100/150, 1)*30</f>
        <v>0</v>
      </c>
      <c r="BE100" s="20" t="n">
        <f aca="false">MIN(Q100/4000, 1)*20</f>
        <v>0</v>
      </c>
      <c r="BF100" s="20" t="n">
        <f aca="false">MIN(AC100/400,1)*20</f>
        <v>0</v>
      </c>
      <c r="BG100" s="21" t="n">
        <f aca="false">1-(MAX(M100-1900, 0)/750)</f>
        <v>1</v>
      </c>
      <c r="BH100" s="20" t="n">
        <f aca="false">((MAX($P100,1)*MIN($AL100/300,1)))*IF(J100="Wagon",50,10)</f>
        <v>0</v>
      </c>
      <c r="BI100" s="1" t="n">
        <f aca="false">VLOOKUP($K100,Constants!$I:$K, 2, FALSE())</f>
        <v>1.15</v>
      </c>
      <c r="BJ100" s="1" t="n">
        <f aca="false">VLOOKUP($K100,Constants!$I:$K, 3, FALSE())*IF(AND(J100="multiple_unit",AE100&lt;110),0.75,1)</f>
        <v>1.7</v>
      </c>
      <c r="BK100" s="1" t="n">
        <f aca="false">INT(POWER(((Constants!$G$2+$BD100+$BE100+$BF100+$BH100)*$BG100)*$BJ100, 1.05))+$BC100</f>
        <v>9</v>
      </c>
      <c r="BL100" s="1" t="n">
        <f aca="false">INT(POWER((((Constants!$G$1+$BD100+$BE100+$BF100+$BH100)*($BG100))*$BI100),IF($J100="wagon",1,1.2)))+$BB100</f>
        <v>30</v>
      </c>
      <c r="BM100" s="22" t="n">
        <f aca="false">BK100*IF($J100="wagon",62.5,781.25)</f>
        <v>7031.25</v>
      </c>
      <c r="BN100" s="22" t="n">
        <f aca="false">BL100*IF($J100="wagon",2.73,81.25)</f>
        <v>2437.5</v>
      </c>
      <c r="BU100" s="1" t="str">
        <f aca="false">IF(J100="locomotive","B","")</f>
        <v/>
      </c>
      <c r="BV100" s="1" t="str">
        <f aca="false">IF($J100="locomotive","B","")</f>
        <v/>
      </c>
      <c r="BY100" s="1" t="n">
        <v>8</v>
      </c>
      <c r="CD100" s="23" t="s">
        <v>306</v>
      </c>
      <c r="CE100" s="1" t="s">
        <v>356</v>
      </c>
      <c r="CF100" s="23" t="str">
        <f aca="false">CONCATENATE(CD100,"_",CE100)</f>
        <v>vct_Cheap</v>
      </c>
      <c r="CG100" s="23" t="str">
        <f aca="false">_xlfn.CONCAT(K100, "_",L100)</f>
        <v>steam_RAIL</v>
      </c>
      <c r="CH100" s="7" t="e">
        <f aca="false">_xlfn.CONCAT("{BLACK}Length: {GOLD}", TEXT(ROUNDUP(IF(AS100&lt;&gt;"",SUM(VALUE(_xlfn.TEXTSPLIT(AS100, ","))), SUM(VALUE(_xlfn.TEXTSPLIT(AP100, ",")))*IF(P100, P100, 1))/16, 1), "#,##0.0"), " tiles{}")</f>
        <v>#VALUE!</v>
      </c>
      <c r="CI100" s="1" t="str">
        <f aca="false">IF(0, VLOOKUP($CG100, Constants!$M:$N, 2, FALSE()),"")</f>
        <v/>
      </c>
      <c r="CJ100" s="1" t="str">
        <f aca="false">IF(P100&gt;1,_xlfn.CONCAT("{BLACK}Cars: {GOLD}", P100),"")</f>
        <v/>
      </c>
      <c r="CL100" s="1" t="str">
        <f aca="false">IF($BX100="concept_trains","{GREEN}Concept Vehicle",IF($BX100="!param_no_gameplay_units","{GREEN}Included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e">
        <f aca="false">_xlfn.CONCAT(CI100,IF(CI100&lt;&gt;""," ",""),CJ100,IF(OR(CJ100&lt;&gt;"",CI100&lt;&gt;""),"{}",""),CH100,CM100,"{SILVER}",CK100,IF(CL100&lt;&gt;"","{}{}",""),CL100)</f>
        <v>#VALUE!</v>
      </c>
    </row>
    <row r="101" customFormat="false" ht="14.25" hidden="false" customHeight="false" outlineLevel="0" collapsed="false">
      <c r="A101" s="1" t="s">
        <v>371</v>
      </c>
      <c r="B101" s="15" t="s">
        <v>372</v>
      </c>
      <c r="C101" s="1" t="n">
        <v>123</v>
      </c>
      <c r="E101" s="1" t="n">
        <v>43</v>
      </c>
      <c r="G101" s="1" t="str">
        <f aca="false">IF($F101&lt;&gt;"",_xlfn.CONCAT(VLOOKUP($CE101, Constants!$T:$U, 2, FALSE()),",",$F101),VLOOKUP($CE101, Constants!$T:$U, 2, FALSE()))</f>
        <v>role/mixed</v>
      </c>
      <c r="H101" s="1" t="str">
        <f aca="false">IF($G101&lt;&gt;"",_xlfn.CONCAT(VLOOKUP($CG101, Constants!$M:$P, 4, FALSE()),",",$G101),VLOOKUP($CG101, Constants!$M:$P, 4, FALSE()))</f>
        <v>flag/GB,power/steam,role/mixed</v>
      </c>
      <c r="I101" s="1" t="s">
        <v>241</v>
      </c>
      <c r="J101" s="1" t="s">
        <v>249</v>
      </c>
      <c r="K101" s="1" t="s">
        <v>250</v>
      </c>
      <c r="L101" s="1" t="s">
        <v>192</v>
      </c>
      <c r="M101" s="1" t="n">
        <v>1900</v>
      </c>
      <c r="O101" s="1" t="n">
        <v>1954</v>
      </c>
      <c r="Q101" s="1" t="n">
        <v>1100</v>
      </c>
      <c r="S101" s="3" t="n">
        <v>19</v>
      </c>
      <c r="T101" s="3" t="n">
        <v>26</v>
      </c>
      <c r="U101" s="3" t="n">
        <v>2</v>
      </c>
      <c r="V101" s="3" t="n">
        <v>180</v>
      </c>
      <c r="W101" s="18" t="n">
        <f aca="false">((($AE101/2)/60)*5280)/($X101*3.2*PI())</f>
        <v>175.070437401085</v>
      </c>
      <c r="X101" s="3" t="n">
        <v>1.5</v>
      </c>
      <c r="Y101" s="3" t="n">
        <f aca="false">((($S101*$S101/4)*PI())*($T101/12)*$U101*$V101*$W101)/(33000*1.1)</f>
        <v>1066.59090909091</v>
      </c>
      <c r="Z101" s="1" t="n">
        <v>45.3</v>
      </c>
      <c r="AA101" s="2" t="n">
        <v>38.9</v>
      </c>
      <c r="AC101" s="1" t="n">
        <v>109</v>
      </c>
      <c r="AD101" s="4" t="n">
        <f aca="false">IF(AND(Z101&gt;0,AC101&gt;0),(AC101/((Z101+AA101)*10)),"")</f>
        <v>0.129453681710214</v>
      </c>
      <c r="AE101" s="1" t="n">
        <v>60</v>
      </c>
      <c r="AF101" s="1" t="n">
        <f aca="false">ROUND(AE101*1.6, 0)</f>
        <v>96</v>
      </c>
      <c r="AH101" s="1" t="n">
        <v>14.4</v>
      </c>
      <c r="AI101" s="1" t="n">
        <v>10</v>
      </c>
      <c r="AL101" s="5" t="n">
        <v>0</v>
      </c>
      <c r="AM101" s="1" t="str">
        <f aca="false">CONCATENATE(VLOOKUP(AN101, 'Voxel Sizes'!$A$2:$B$18,2,FALSE()),"x",INT(AJ101*15), "x", INT(AK101*15))</f>
        <v>102x0x0</v>
      </c>
      <c r="AN101" s="1" t="n">
        <f aca="false">ROUND(15*((AI101*10)/256),0)</f>
        <v>6</v>
      </c>
      <c r="AO101" s="1" t="s">
        <v>210</v>
      </c>
      <c r="AP101" s="1" t="str">
        <f aca="false">CONCATENATE(VLOOKUP(AN101,Constants!$A$2:$C$16,IF(AO101&lt;&gt;"", 3, 2), FALSE()),IF(AO101&lt;&gt;"",CONCATENATE(",",VLOOKUP(AO101,$B:$AP,41,FALSE())),""))</f>
        <v>2,2,2,2,1,2</v>
      </c>
      <c r="AX101" s="1" t="n">
        <v>1</v>
      </c>
      <c r="AZ101" s="1" t="n">
        <v>32</v>
      </c>
      <c r="BA101" s="16" t="n">
        <f aca="false">IF(O101&lt;&gt;"",MAX(16,(O101-M101)+8),"")</f>
        <v>62</v>
      </c>
      <c r="BB101" s="1" t="n">
        <v>2</v>
      </c>
      <c r="BC101" s="1" t="n">
        <v>2</v>
      </c>
      <c r="BD101" s="1" t="n">
        <f aca="false">MIN(AE101/150, 1)*30</f>
        <v>12</v>
      </c>
      <c r="BE101" s="1" t="n">
        <f aca="false">MIN(Q101/4000, 1)*20</f>
        <v>5.5</v>
      </c>
      <c r="BF101" s="1" t="n">
        <f aca="false">MIN(AC101/400,1)*20</f>
        <v>5.45</v>
      </c>
      <c r="BG101" s="4" t="n">
        <f aca="false">1-(MAX(M101-1900, 0)/750)</f>
        <v>1</v>
      </c>
      <c r="BH101" s="1"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59</v>
      </c>
      <c r="BL101" s="1" t="n">
        <f aca="false">INT(POWER((((Constants!$G$1+$BD101+$BE101+$BF101+$BH101)*($BG101))*$BI101),IF($J101="wagon",1,1.2)))+$BB101</f>
        <v>94</v>
      </c>
      <c r="BM101" s="17" t="n">
        <f aca="false">BK101*IF($J101="wagon",62.5,781.25)</f>
        <v>46093.75</v>
      </c>
      <c r="BN101" s="17" t="n">
        <f aca="false">BL101*IF($J101="wagon",2.73,81.25)</f>
        <v>7637.5</v>
      </c>
      <c r="BY101" s="1" t="n">
        <v>2</v>
      </c>
      <c r="CD101" s="1" t="str">
        <f aca="false">VLOOKUP(M101,Eras!$A$2:$C$10, 2, TRUE())</f>
        <v>edw</v>
      </c>
      <c r="CE101" s="1" t="s">
        <v>129</v>
      </c>
      <c r="CF101" s="1" t="str">
        <f aca="false">CONCATENATE(CD101,"_",CE101)</f>
        <v>edw_Mixed Traffic</v>
      </c>
      <c r="CG101" s="1" t="str">
        <f aca="false">_xlfn.CONCAT(K101, "_",L101)</f>
        <v>steam_RAIL</v>
      </c>
      <c r="CH101" s="7" t="str">
        <f aca="false">_xlfn.CONCAT("{BLACK}Length: {GOLD}", TEXT(ROUNDUP(IF(AS101&lt;&gt;"",SUM(VALUE(_xlfn.TEXTSPLIT(AS101, ","))), SUM(VALUE(_xlfn.TEXTSPLIT(AP101, ",")))*IF(P101, P101, 1))/16, 1), "#,##0.0"), " tiles{}")</f>
        <v>{BLACK}Length: {GOLD}0.7 tiles{}</v>
      </c>
      <c r="CI101" s="1" t="str">
        <f aca="false">IF(0, VLOOKUP($CG101, Constants!$M:$N, 2, FALSE()),"")</f>
        <v/>
      </c>
      <c r="CJ101" s="1" t="str">
        <f aca="false">IF(P101&gt;1,_xlfn.CONCAT("{BLACK}Cars: {GOLD}", P101),"")</f>
        <v/>
      </c>
      <c r="CK101" s="1" t="s">
        <v>373</v>
      </c>
      <c r="CL101" s="1" t="str">
        <f aca="false">IF($BX101="concept_trains","{GREEN}Concept Vehicle",IF($BX101="!param_no_gameplay_units","{GREEN}Included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{GOLD}0.7 tiles{}{SILVER}On introduction the GER F48 was nominally the most powerful 0-6-0 tender locomotive in Britain. Numerous variations of firebox were tried over the production run.</v>
      </c>
    </row>
    <row r="102" customFormat="false" ht="14.25" hidden="false" customHeight="false" outlineLevel="0" collapsed="false">
      <c r="A102" s="1" t="s">
        <v>374</v>
      </c>
      <c r="B102" s="15" t="s">
        <v>375</v>
      </c>
      <c r="C102" s="1" t="n">
        <v>124</v>
      </c>
      <c r="E102" s="1" t="n">
        <v>44</v>
      </c>
      <c r="G102" s="1" t="str">
        <f aca="false">IF($F102&lt;&gt;"",_xlfn.CONCAT(VLOOKUP($CE102, Constants!$T:$U, 2, FALSE()),",",$F102),VLOOKUP($CE102, Constants!$T:$U, 2, FALSE()))</f>
        <v>role/mixed</v>
      </c>
      <c r="H102" s="1" t="str">
        <f aca="false">IF($G102&lt;&gt;"",_xlfn.CONCAT(VLOOKUP($CG102, Constants!$M:$P, 4, FALSE()),",",$G102),VLOOKUP($CG102, Constants!$M:$P, 4, FALSE()))</f>
        <v>flag/GB,power/steam,role/mixed</v>
      </c>
      <c r="I102" s="1" t="s">
        <v>241</v>
      </c>
      <c r="J102" s="1" t="s">
        <v>249</v>
      </c>
      <c r="K102" s="1" t="s">
        <v>250</v>
      </c>
      <c r="L102" s="1" t="s">
        <v>192</v>
      </c>
      <c r="M102" s="1" t="n">
        <v>1901</v>
      </c>
      <c r="N102" s="1" t="n">
        <v>1914</v>
      </c>
      <c r="O102" s="1" t="n">
        <v>1955</v>
      </c>
      <c r="Q102" s="1" t="n">
        <v>350</v>
      </c>
      <c r="S102" s="3" t="n">
        <v>14</v>
      </c>
      <c r="T102" s="3" t="n">
        <v>20</v>
      </c>
      <c r="U102" s="3" t="n">
        <v>2</v>
      </c>
      <c r="V102" s="3" t="n">
        <v>160</v>
      </c>
      <c r="W102" s="18" t="n">
        <f aca="false">((($AE102/2)/60)*5280)/($X102*3.2*PI())</f>
        <v>145.892031167571</v>
      </c>
      <c r="X102" s="3" t="n">
        <v>0.9</v>
      </c>
      <c r="Y102" s="3" t="n">
        <f aca="false">((($S102*$S102/4)*PI())*($T102/12)*$U102*$V102*$W102)/(33000*1.1)</f>
        <v>329.96632996633</v>
      </c>
      <c r="Z102" s="1" t="n">
        <v>23</v>
      </c>
      <c r="AC102" s="1" t="n">
        <v>49</v>
      </c>
      <c r="AD102" s="4" t="n">
        <f aca="false">IF(AND(Z102&gt;0,AC102&gt;0),(AC102/((Z102+AA102)*10)),"")</f>
        <v>0.21304347826087</v>
      </c>
      <c r="AE102" s="1" t="n">
        <v>30</v>
      </c>
      <c r="AF102" s="1" t="n">
        <f aca="false">ROUND(AE102*1.6, 0)</f>
        <v>48</v>
      </c>
      <c r="AH102" s="1" t="n">
        <v>6.12</v>
      </c>
      <c r="AI102" s="1" t="n">
        <v>6.12</v>
      </c>
      <c r="AL102" s="5" t="n">
        <v>0</v>
      </c>
      <c r="AM102" s="1" t="str">
        <f aca="false">CONCATENATE(VLOOKUP(AN102, 'Voxel Sizes'!$A$2:$B$18,2,FALSE()),"x",INT(AJ102*15), "x", INT(AK102*15))</f>
        <v>60x0x0</v>
      </c>
      <c r="AN102" s="1" t="n">
        <f aca="false">ROUND(15*((AI102*10)/256),0)</f>
        <v>4</v>
      </c>
      <c r="AP102" s="1" t="str">
        <f aca="false">CONCATENATE(VLOOKUP(AN102,Constants!$A$2:$C$16,IF(AO102&lt;&gt;"", 3, 2), FALSE()),IF(AO102&lt;&gt;"",CONCATENATE(",",VLOOKUP(AO102,$B:$AP,41,FALSE())),""))</f>
        <v>1,2,1</v>
      </c>
      <c r="AX102" s="1" t="n">
        <v>1</v>
      </c>
      <c r="AZ102" s="1" t="n">
        <v>30</v>
      </c>
      <c r="BA102" s="16" t="n">
        <f aca="false">IF(O102&lt;&gt;"",MAX(16,(O102-M102)+8),"")</f>
        <v>62</v>
      </c>
      <c r="BD102" s="1" t="n">
        <f aca="false">MIN(AE102/150, 1)*30</f>
        <v>6</v>
      </c>
      <c r="BE102" s="1" t="n">
        <f aca="false">MIN(Q102/4000, 1)*20</f>
        <v>1.75</v>
      </c>
      <c r="BF102" s="1" t="n">
        <f aca="false">MIN(AC102/400,1)*20</f>
        <v>2.45</v>
      </c>
      <c r="BG102" s="4" t="n">
        <f aca="false">1-(MAX(M102-1900, 0)/750)</f>
        <v>0.998666666666667</v>
      </c>
      <c r="BH102" s="1"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30</v>
      </c>
      <c r="BL102" s="1" t="n">
        <f aca="false">INT(POWER((((Constants!$G$1+$BD102+$BE102+$BF102+$BH102)*($BG102))*$BI102),IF($J102="wagon",1,1.2)))+$BB102</f>
        <v>56</v>
      </c>
      <c r="BM102" s="17" t="n">
        <f aca="false">BK102*IF($J102="wagon",62.5,781.25)</f>
        <v>23437.5</v>
      </c>
      <c r="BN102" s="17" t="n">
        <f aca="false">BL102*IF($J102="wagon",2.73,81.25)</f>
        <v>4550</v>
      </c>
      <c r="BY102" s="1" t="n">
        <v>10</v>
      </c>
      <c r="CD102" s="1" t="str">
        <f aca="false">VLOOKUP(M102,Eras!$A$2:$C$10, 2, TRUE())</f>
        <v>edw</v>
      </c>
      <c r="CE102" s="1" t="s">
        <v>356</v>
      </c>
      <c r="CF102" s="1" t="str">
        <f aca="false">CONCATENATE(CD102,"_",CE102)</f>
        <v>edw_Cheap</v>
      </c>
      <c r="CG102" s="1" t="str">
        <f aca="false">_xlfn.CONCAT(K102, "_",L102)</f>
        <v>steam_RAIL</v>
      </c>
      <c r="CH102" s="7" t="str">
        <f aca="false">_xlfn.CONCAT("{BLACK}Length: {GOLD}", TEXT(ROUNDUP(IF(AS102&lt;&gt;"",SUM(VALUE(_xlfn.TEXTSPLIT(AS102, ","))), SUM(VALUE(_xlfn.TEXTSPLIT(AP102, ",")))*IF(P102, P102, 1))/16, 1), "#,##0.0"), " tiles{}")</f>
        <v>{BLACK}Length: {GOLD}0.3 tiles{}</v>
      </c>
      <c r="CI102" s="1" t="str">
        <f aca="false">IF(0, VLOOKUP($CG102, Constants!$M:$N, 2, FALSE()),"")</f>
        <v/>
      </c>
      <c r="CJ102" s="1" t="str">
        <f aca="false">IF(P102&gt;1,_xlfn.CONCAT("{BLACK}Cars: {GOLD}", P102),"")</f>
        <v/>
      </c>
      <c r="CK102" s="1" t="s">
        <v>376</v>
      </c>
      <c r="CL102" s="1" t="str">
        <f aca="false">IF($BX102="concept_trains","{GREEN}Concept Vehicle",IF($BX102="!param_no_gameplay_units","{GREEN}Included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{GOLD}0.3 tiles{}{SILVER}This 0-4-0 saddle tank engine is typical of the many acquired by the GWR from smaller railways during the 1923 grouping of railway companies into the Big Four.</v>
      </c>
    </row>
    <row r="103" customFormat="false" ht="14.25" hidden="false" customHeight="false" outlineLevel="0" collapsed="false">
      <c r="A103" s="1" t="s">
        <v>377</v>
      </c>
      <c r="B103" s="15" t="s">
        <v>378</v>
      </c>
      <c r="C103" s="1" t="n">
        <v>125</v>
      </c>
      <c r="E103" s="1" t="n">
        <v>45</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241</v>
      </c>
      <c r="J103" s="1" t="s">
        <v>249</v>
      </c>
      <c r="K103" s="1" t="s">
        <v>250</v>
      </c>
      <c r="L103" s="1" t="s">
        <v>192</v>
      </c>
      <c r="M103" s="1" t="n">
        <v>1902</v>
      </c>
      <c r="O103" s="1" t="n">
        <v>1935</v>
      </c>
      <c r="Q103" s="1" t="n">
        <v>950</v>
      </c>
      <c r="S103" s="3" t="n">
        <v>20.3</v>
      </c>
      <c r="T103" s="3" t="n">
        <v>26</v>
      </c>
      <c r="U103" s="3" t="n">
        <v>3</v>
      </c>
      <c r="V103" s="3" t="n">
        <f aca="false">220*0.5</f>
        <v>110</v>
      </c>
      <c r="W103" s="18" t="n">
        <f aca="false">((($AE103/2)/60)*5280)/($X103*3.2*PI())</f>
        <v>166.733749905795</v>
      </c>
      <c r="X103" s="3" t="n">
        <v>2.1</v>
      </c>
      <c r="Y103" s="3" t="n">
        <f aca="false">((($S103*$S103/4)*PI())*($T103/12)*$U103*$V103*$W103)/(33000*1.1)</f>
        <v>1062.93055555556</v>
      </c>
      <c r="Z103" s="1" t="n">
        <v>62</v>
      </c>
      <c r="AA103" s="2" t="n">
        <v>42</v>
      </c>
      <c r="AC103" s="1" t="n">
        <v>97</v>
      </c>
      <c r="AD103" s="4" t="n">
        <f aca="false">IF(AND(Z103&gt;0,AC103&gt;0),(AC103/((Z103+AA103)*10)),"")</f>
        <v>0.0932692307692308</v>
      </c>
      <c r="AE103" s="1" t="n">
        <v>80</v>
      </c>
      <c r="AF103" s="1" t="n">
        <f aca="false">ROUND(AE103*1.6, 0)</f>
        <v>128</v>
      </c>
      <c r="AH103" s="1" t="n">
        <v>17.269</v>
      </c>
      <c r="AI103" s="1" t="n">
        <f aca="false">AH103-7.5</f>
        <v>9.769</v>
      </c>
      <c r="AL103" s="5" t="n">
        <v>0</v>
      </c>
      <c r="AM103" s="1" t="str">
        <f aca="false">CONCATENATE(VLOOKUP(AN103, 'Voxel Sizes'!$A$2:$B$18,2,FALSE()),"x",INT(AJ103*15), "x", INT(AK103*15))</f>
        <v>102x0x0</v>
      </c>
      <c r="AN103" s="1" t="n">
        <f aca="false">ROUND(15*((AI103*10)/256),0)</f>
        <v>6</v>
      </c>
      <c r="AO103" s="1" t="s">
        <v>212</v>
      </c>
      <c r="AP103" s="1" t="str">
        <f aca="false">CONCATENATE(VLOOKUP(AN103,Constants!$A$2:$C$16,IF(AO103&lt;&gt;"", 3, 2), FALSE()),IF(AO103&lt;&gt;"",CONCATENATE(",",VLOOKUP(AO103,$B:$AP,41,FALSE())),""))</f>
        <v>2,2,2,2,1,2</v>
      </c>
      <c r="AX103" s="1" t="n">
        <v>1</v>
      </c>
      <c r="AZ103" s="1" t="n">
        <v>30</v>
      </c>
      <c r="BA103" s="16" t="n">
        <f aca="false">IF(O103&lt;&gt;"",MAX(16,(O103-M103)+8),"")</f>
        <v>41</v>
      </c>
      <c r="BD103" s="1" t="n">
        <f aca="false">MIN(AE103/150, 1)*30</f>
        <v>16</v>
      </c>
      <c r="BE103" s="1" t="n">
        <f aca="false">MIN(Q103/4000, 1)*20</f>
        <v>4.75</v>
      </c>
      <c r="BF103" s="1" t="n">
        <f aca="false">MIN(AC103/400,1)*20</f>
        <v>4.85</v>
      </c>
      <c r="BG103" s="4" t="n">
        <f aca="false">1-(MAX(M103-1900, 0)/750)</f>
        <v>0.997333333333333</v>
      </c>
      <c r="BH103" s="1"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63</v>
      </c>
      <c r="BL103" s="1" t="n">
        <f aca="false">INT(POWER((((Constants!$G$1+$BD103+$BE103+$BF103+$BH103)*($BG103))*$BI103),IF($J103="wagon",1,1.2)))+$BB103</f>
        <v>100</v>
      </c>
      <c r="BM103" s="17" t="n">
        <f aca="false">BK103*IF($J103="wagon",62.5,781.25)</f>
        <v>49218.75</v>
      </c>
      <c r="BN103" s="17" t="n">
        <f aca="false">BL103*IF($J103="wagon",2.73,81.25)</f>
        <v>8125</v>
      </c>
      <c r="BY103" s="1" t="n">
        <v>11</v>
      </c>
      <c r="CD103" s="1" t="str">
        <f aca="false">VLOOKUP(M103,Eras!$A$2:$C$10, 2, TRUE())</f>
        <v>edw</v>
      </c>
      <c r="CE103" s="1" t="s">
        <v>282</v>
      </c>
      <c r="CF103" s="1" t="str">
        <f aca="false">CONCATENATE(CD103,"_",CE103)</f>
        <v>edw_Express</v>
      </c>
      <c r="CG103" s="1" t="str">
        <f aca="false">_xlfn.CONCAT(K103, "_",L103)</f>
        <v>steam_RAIL</v>
      </c>
      <c r="CH103" s="7" t="str">
        <f aca="false">_xlfn.CONCAT("{BLACK}Length: {GOLD}", TEXT(ROUNDUP(IF(AS103&lt;&gt;"",SUM(VALUE(_xlfn.TEXTSPLIT(AS103, ","))), SUM(VALUE(_xlfn.TEXTSPLIT(AP103, ",")))*IF(P103, P103, 1))/16, 1), "#,##0.0"), " tiles{}")</f>
        <v>{BLACK}Length: {GOLD}0.7 tiles{}</v>
      </c>
      <c r="CI103" s="1" t="str">
        <f aca="false">IF(0, VLOOKUP($CG103, Constants!$M:$N, 2, FALSE()),"")</f>
        <v/>
      </c>
      <c r="CJ103" s="1" t="str">
        <f aca="false">IF(P103&gt;1,_xlfn.CONCAT("{BLACK}Cars: {GOLD}", P103),"")</f>
        <v/>
      </c>
      <c r="CK103" s="1" t="s">
        <v>379</v>
      </c>
      <c r="CL103" s="1" t="str">
        <f aca="false">IF($BX103="concept_trains","{GREEN}Concept Vehicle",IF($BX103="!param_no_gameplay_units","{GREEN}Included for gameplay purposes",""))</f>
        <v/>
      </c>
      <c r="CM103" s="1" t="str">
        <f aca="false">IF(CA103="buffet","{YELLOW}25% long distance bonus for consist{}",IF(CC103="BRAKE","{YELLOW}Speed bonus for slow wagons{}",IF(BZ103&gt;190,CONCATENATE("{YELLOW}",INT((BZ103-185)/1.85),"%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{GOLD}0.7 tiles{}{SILVER}The 1000 class is an express locomotive with a three-cylinder arrangement, using a high pressure cylinder inside the frame and two low pressure cylinders on the outside.</v>
      </c>
    </row>
    <row r="104" customFormat="false" ht="14.25" hidden="false" customHeight="false" outlineLevel="0" collapsed="false">
      <c r="A104" s="1" t="s">
        <v>380</v>
      </c>
      <c r="B104" s="19" t="s">
        <v>381</v>
      </c>
      <c r="C104" s="1" t="n">
        <v>1032</v>
      </c>
      <c r="E104" s="1" t="n">
        <v>46</v>
      </c>
      <c r="G104" s="1" t="str">
        <f aca="false">IF($F104&lt;&gt;"",_xlfn.CONCAT(VLOOKUP($CE104, Constants!$T:$U, 2, FALSE()),",",$F104),VLOOKUP($CE104, Constants!$T:$U, 2, FALSE()))</f>
        <v>role/express_passenger</v>
      </c>
      <c r="H104" s="1" t="str">
        <f aca="false">IF($G104&lt;&gt;"",_xlfn.CONCAT(VLOOKUP($CG104, Constants!$M:$P, 4, FALSE()),",",$G104),VLOOKUP($CG104, Constants!$M:$P, 4, FALSE()))</f>
        <v>flag/GB,power/steam,role/express_passenger</v>
      </c>
      <c r="I104" s="1" t="s">
        <v>241</v>
      </c>
      <c r="J104" s="1" t="s">
        <v>249</v>
      </c>
      <c r="K104" s="1" t="s">
        <v>250</v>
      </c>
      <c r="L104" s="1" t="s">
        <v>192</v>
      </c>
      <c r="M104" s="1" t="n">
        <v>1902</v>
      </c>
      <c r="O104" s="1" t="n">
        <v>1924</v>
      </c>
      <c r="Q104" s="1" t="n">
        <v>1000</v>
      </c>
      <c r="S104" s="3" t="n">
        <v>18.5</v>
      </c>
      <c r="T104" s="3" t="n">
        <v>24</v>
      </c>
      <c r="U104" s="3" t="n">
        <v>3</v>
      </c>
      <c r="V104" s="3" t="n">
        <v>200</v>
      </c>
      <c r="W104" s="18" t="n">
        <f aca="false">((($AE104/2)/60)*5280)/($X104*3.2*PI())</f>
        <v>111.815060383905</v>
      </c>
      <c r="X104" s="3" t="n">
        <v>1.37</v>
      </c>
      <c r="Y104" s="3" t="n">
        <f aca="false">((($S104*$S104/4)*PI())*($T104/12)*$U104*$V104*$W104)/(33000*1.1)</f>
        <v>993.592402123424</v>
      </c>
      <c r="Z104" s="1" t="n">
        <v>81</v>
      </c>
      <c r="AB104" s="1" t="n">
        <v>5</v>
      </c>
      <c r="AC104" s="1" t="n">
        <v>173</v>
      </c>
      <c r="AD104" s="4" t="n">
        <f aca="false">IF(AND(Z104&gt;0,AC104&gt;0),(AC104/((Z104+AA104)*10)),"")</f>
        <v>0.21358024691358</v>
      </c>
      <c r="AE104" s="1" t="n">
        <v>35</v>
      </c>
      <c r="AF104" s="1" t="n">
        <f aca="false">ROUND(AE104*1.6, 0)</f>
        <v>56</v>
      </c>
      <c r="AH104" s="1" t="n">
        <v>12</v>
      </c>
      <c r="AI104" s="1" t="n">
        <v>12</v>
      </c>
      <c r="AM104" s="1" t="str">
        <f aca="false">CONCATENATE(VLOOKUP(AN104, 'Voxel Sizes'!$A$2:$B$18,2,FALSE()),"x",INT(AJ104*15), "x", INT(AK104*15))</f>
        <v>120x0x0</v>
      </c>
      <c r="AN104" s="16" t="n">
        <f aca="false">ROUND(15*((AI104*10)/256),0)</f>
        <v>7</v>
      </c>
      <c r="AP104" s="1" t="str">
        <f aca="false">CONCATENATE(VLOOKUP(AN104,Constants!$A$2:$C$16,IF(AO104&lt;&gt;"", 3, 2), FALSE()),IF(AO104&lt;&gt;"",CONCATENATE(",",VLOOKUP(AO104,$B:$AP,41,FALSE())),""))</f>
        <v>2,3,2</v>
      </c>
      <c r="AX104" s="1" t="n">
        <v>1</v>
      </c>
      <c r="AZ104" s="1" t="n">
        <v>18</v>
      </c>
      <c r="BA104" s="16" t="n">
        <f aca="false">IF(O104&lt;&gt;"",MAX(16,(O104-M104)+8),"")</f>
        <v>30</v>
      </c>
      <c r="BB104" s="1" t="n">
        <v>4</v>
      </c>
      <c r="BD104" s="20" t="n">
        <f aca="false">MIN(AE104/150, 1)*30</f>
        <v>7</v>
      </c>
      <c r="BE104" s="20" t="n">
        <f aca="false">MIN(Q104/4000, 1)*20</f>
        <v>5</v>
      </c>
      <c r="BF104" s="20" t="n">
        <f aca="false">MIN(AC104/400,1)*20</f>
        <v>8.65</v>
      </c>
      <c r="BG104" s="21" t="n">
        <f aca="false">1-(MAX(M104-1900, 0)/750)</f>
        <v>0.997333333333333</v>
      </c>
      <c r="BH104" s="20" t="n">
        <f aca="false">((MAX($P104,1)*MIN($AL104/300,1)))*IF(J104="Wagon",50,10)</f>
        <v>0</v>
      </c>
      <c r="BI104" s="1" t="n">
        <f aca="false">VLOOKUP($K104,Constants!$I:$K, 2, FALSE())</f>
        <v>1.15</v>
      </c>
      <c r="BJ104" s="1" t="n">
        <f aca="false">VLOOKUP($K104,Constants!$I:$K, 3, FALSE())*IF(AND(J104="multiple_unit",AE104&lt;110),0.75,1)</f>
        <v>1.7</v>
      </c>
      <c r="BK104" s="1" t="n">
        <f aca="false">INT(POWER(((Constants!$G$2+$BD104+$BE104+$BF104+$BH104)*$BG104)*$BJ104, 1.05))+$BC104</f>
        <v>52</v>
      </c>
      <c r="BL104" s="1" t="n">
        <f aca="false">INT(POWER((((Constants!$G$1+$BD104+$BE104+$BF104+$BH104)*($BG104))*$BI104),IF($J104="wagon",1,1.2)))+$BB104</f>
        <v>89</v>
      </c>
      <c r="BM104" s="22" t="n">
        <f aca="false">BK104*IF($J104="wagon",62.5,781.25)</f>
        <v>40625</v>
      </c>
      <c r="BN104" s="22" t="n">
        <f aca="false">BL104*IF($J104="wagon",2.73,81.25)</f>
        <v>7231.25</v>
      </c>
      <c r="BY104" s="1" t="n">
        <v>3</v>
      </c>
      <c r="CD104" s="23" t="s">
        <v>382</v>
      </c>
      <c r="CE104" s="1" t="s">
        <v>282</v>
      </c>
      <c r="CF104" s="23" t="str">
        <f aca="false">CONCATENATE(CD104,"_",CE104)</f>
        <v>edw_Express</v>
      </c>
      <c r="CG104" s="23" t="str">
        <f aca="false">_xlfn.CONCAT(K104, "_",L104)</f>
        <v>steam_RAIL</v>
      </c>
      <c r="CH104" s="7" t="str">
        <f aca="false">_xlfn.CONCAT("{BLACK}Length: {GOLD}", TEXT(ROUNDUP(IF(AS104&lt;&gt;"",SUM(VALUE(_xlfn.TEXTSPLIT(AS104, ","))), SUM(VALUE(_xlfn.TEXTSPLIT(AP104, ",")))*IF(P104, P104, 1))/16, 1), "#,##0.0"), " tiles{}")</f>
        <v>{BLACK}Length: {GOLD}0.5 tiles{}</v>
      </c>
      <c r="CI104" s="1" t="str">
        <f aca="false">IF(0, VLOOKUP($CG104, Constants!$M:$N, 2, FALSE()),"")</f>
        <v/>
      </c>
      <c r="CJ104" s="1" t="str">
        <f aca="false">IF(P104&gt;1,_xlfn.CONCAT("{BLACK}Cars: {GOLD}", P104),"")</f>
        <v/>
      </c>
      <c r="CK104" s="1" t="s">
        <v>383</v>
      </c>
      <c r="CL104" s="1" t="str">
        <f aca="false">IF($BX104="concept_trains","{GREEN}Concept Vehicle",IF($BX104="!param_no_gameplay_units","{GREEN}Included for gameplay purposes",""))</f>
        <v/>
      </c>
      <c r="CM104" s="1" t="str">
        <f aca="false">IF(CA104="buffet","{YELLOW}25% long distance bonus for consist{}",IF(CB104="DANDY","{YELLOW}Faster downhill speeds for horse-drawn trains (1 required per 2 horses){}",IF(CB104="BRAKE","{YELLOW}Speed bonus for slow wagons{}",IF(CB104="NGPassengers","{YELLOW}Preserved railway bonus: passengers pay more when hauled by old locomotives{}",IF(AND(BZ104&gt;190,NOT(AND(L104="NARROW_GAUGE",CB104&lt;&gt;"PASS"))),CONCATENATE("{YELLOW}",INT((BZ104-185)/1.85),"%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tiles{}{SILVER}GER's prototype Decapod was built to outperform low speed acceleration of electric locomotives, to prevent a rival electric railway being approved by Parliament.</v>
      </c>
    </row>
    <row r="105" customFormat="false" ht="14.25" hidden="false" customHeight="false" outlineLevel="0" collapsed="false">
      <c r="A105" s="24" t="s">
        <v>384</v>
      </c>
      <c r="B105" s="19" t="s">
        <v>385</v>
      </c>
      <c r="C105" s="1" t="n">
        <v>1033</v>
      </c>
      <c r="E105" s="1" t="n">
        <v>47</v>
      </c>
      <c r="G105" s="1" t="str">
        <f aca="false">IF($F105&lt;&gt;"",_xlfn.CONCAT(VLOOKUP($CE105, Constants!$T:$U, 2, FALSE()),",",$F105),VLOOKUP($CE105, Constants!$T:$U, 2, FALSE()))</f>
        <v>role/express_passenger</v>
      </c>
      <c r="H105" s="1" t="str">
        <f aca="false">IF($G105&lt;&gt;"",_xlfn.CONCAT(VLOOKUP($CG105, Constants!$M:$P, 4, FALSE()),",",$G105),VLOOKUP($CG105, Constants!$M:$P, 4, FALSE()))</f>
        <v>flag/GB,power/steam,role/express_passenger</v>
      </c>
      <c r="J105" s="1" t="s">
        <v>349</v>
      </c>
      <c r="K105" s="1" t="s">
        <v>250</v>
      </c>
      <c r="L105" s="1" t="s">
        <v>192</v>
      </c>
      <c r="W105" s="18"/>
      <c r="AM105" s="1" t="e">
        <f aca="false">CONCATENATE(VLOOKUP(AN105, 'Voxel Sizes'!$A$2:$B$18,2,FALSE()),"x",INT(AJ105*15), "x", INT(AK105*15))</f>
        <v>#N/A</v>
      </c>
      <c r="AN105" s="16"/>
      <c r="AP105" s="1" t="e">
        <f aca="false">CONCATENATE(VLOOKUP(AN105,Constants!$A$2:$C$16,IF(AO105&lt;&gt;"", 3, 2), FALSE()),IF(AO105&lt;&gt;"",CONCATENATE(",",VLOOKUP(AO105,$B:$AP,41,FALSE())),""))</f>
        <v>#N/A</v>
      </c>
      <c r="BA105" s="16"/>
      <c r="BD105" s="20"/>
      <c r="BE105" s="20"/>
      <c r="BF105" s="20"/>
      <c r="BG105" s="21"/>
      <c r="BH105" s="20"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0</v>
      </c>
      <c r="BL105" s="1" t="n">
        <f aca="false">INT(POWER((((Constants!$G$1+$BD105+$BE105+$BF105+$BH105)*($BG105))*$BI105),IF($J105="wagon",1,1.2)))+$BB105</f>
        <v>0</v>
      </c>
      <c r="BM105" s="22"/>
      <c r="BN105" s="22"/>
      <c r="BU105" s="1" t="str">
        <f aca="false">IF(J105="locomotive","B","")</f>
        <v/>
      </c>
      <c r="BV105" s="1" t="str">
        <f aca="false">IF($J105="locomotive","B","")</f>
        <v/>
      </c>
      <c r="CD105" s="23" t="s">
        <v>382</v>
      </c>
      <c r="CE105" s="1" t="s">
        <v>282</v>
      </c>
      <c r="CF105" s="23" t="str">
        <f aca="false">CONCATENATE(CD105,"_",CE105)</f>
        <v>edw_Express</v>
      </c>
      <c r="CG105" s="23" t="str">
        <f aca="false">_xlfn.CONCAT(K105, "_",L105)</f>
        <v>steam_RAIL</v>
      </c>
      <c r="CH105" s="7" t="str">
        <f aca="false">_xlfn.CONCAT("{BLACK}Length: {GOLD}", TEXT(ROUNDUP(IF(AS105&lt;&gt;"",SUM(VALUE(_xlfn.TEXTSPLIT(AS105, ","))), SUM(VALUE(_xlfn.TEXTSPLIT(AP105, ",")))*IF(P105, P105, 1))/16, 1), "#,##0.0"), " tiles{}")</f>
        <v>{BLACK}Length: {GOLD}0.0 tiles{}</v>
      </c>
      <c r="CI105" s="1" t="str">
        <f aca="false">IF(0, VLOOKUP($CG105, Constants!$M:$N, 2, FALSE()),"")</f>
        <v/>
      </c>
      <c r="CJ105" s="1" t="str">
        <f aca="false">IF(P105&gt;1,_xlfn.CONCAT("{BLACK}Cars: {GOLD}", P105),"")</f>
        <v/>
      </c>
      <c r="CL105" s="1" t="str">
        <f aca="false">IF($BX105="concept_trains","{GREEN}Concept Vehicle",IF($BX105="!param_no_gameplay_units","{GREEN}Included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{GOLD}0.0 tiles{}{SILVER}</v>
      </c>
    </row>
    <row r="106" customFormat="false" ht="14.25" hidden="false" customHeight="false" outlineLevel="0" collapsed="false">
      <c r="A106" s="1" t="s">
        <v>386</v>
      </c>
      <c r="B106" s="15" t="s">
        <v>387</v>
      </c>
      <c r="C106" s="1" t="n">
        <v>126</v>
      </c>
      <c r="E106" s="1" t="n">
        <v>48</v>
      </c>
      <c r="G106" s="1" t="str">
        <f aca="false">IF($F106&lt;&gt;"",_xlfn.CONCAT(VLOOKUP($CE106, Constants!$T:$U, 2, FALSE()),",",$F106),VLOOKUP($CE106, Constants!$T:$U, 2, FALSE()))</f>
        <v>role/freight</v>
      </c>
      <c r="H106" s="1" t="str">
        <f aca="false">IF($G106&lt;&gt;"",_xlfn.CONCAT(VLOOKUP($CG106, Constants!$M:$P, 4, FALSE()),",",$G106),VLOOKUP($CG106, Constants!$M:$P, 4, FALSE()))</f>
        <v>flag/GB,power/electric,role/freight</v>
      </c>
      <c r="I106" s="1" t="s">
        <v>241</v>
      </c>
      <c r="J106" s="1" t="s">
        <v>249</v>
      </c>
      <c r="K106" s="1" t="s">
        <v>388</v>
      </c>
      <c r="L106" s="1" t="s">
        <v>389</v>
      </c>
      <c r="M106" s="1" t="n">
        <v>1903</v>
      </c>
      <c r="N106" s="1" t="n">
        <v>1904</v>
      </c>
      <c r="O106" s="1" t="n">
        <v>1927</v>
      </c>
      <c r="Q106" s="1" t="n">
        <v>640</v>
      </c>
      <c r="Z106" s="1" t="n">
        <v>57</v>
      </c>
      <c r="AC106" s="1" t="n">
        <v>111</v>
      </c>
      <c r="AD106" s="4" t="n">
        <f aca="false">IF(AND(Z106&gt;0,AC106&gt;0),(AC106/((Z106+AA106)*10)),"")</f>
        <v>0.194736842105263</v>
      </c>
      <c r="AE106" s="1" t="n">
        <v>27</v>
      </c>
      <c r="AF106" s="1" t="n">
        <f aca="false">ROUND(AE106*1.6, 0)</f>
        <v>43</v>
      </c>
      <c r="AH106" s="1" t="n">
        <v>11.56</v>
      </c>
      <c r="AI106" s="1" t="n">
        <v>11.56</v>
      </c>
      <c r="AK106" s="1" t="n">
        <v>3.93</v>
      </c>
      <c r="AL106" s="5" t="n">
        <v>0</v>
      </c>
      <c r="AM106" s="1" t="str">
        <f aca="false">CONCATENATE(VLOOKUP(AN106, 'Voxel Sizes'!$A$2:$B$18,2,FALSE()),"x",INT(AJ106*15), "x", INT(AK106*15))</f>
        <v>120x0x58</v>
      </c>
      <c r="AN106" s="1" t="n">
        <f aca="false">ROUND(15*((AI106*10)/256),0)</f>
        <v>7</v>
      </c>
      <c r="AP106" s="1" t="str">
        <f aca="false">CONCATENATE(VLOOKUP(AN106,Constants!$A$2:$C$16,IF(AO106&lt;&gt;"", 3, 2), FALSE()),IF(AO106&lt;&gt;"",CONCATENATE(",",VLOOKUP(AO106,$B:$AP,41,FALSE())),""))</f>
        <v>2,3,2</v>
      </c>
      <c r="AZ106" s="1" t="n">
        <v>30</v>
      </c>
      <c r="BA106" s="16" t="n">
        <f aca="false">IF(O106&lt;&gt;"",MAX(16,(O106-M106)+8),"")</f>
        <v>32</v>
      </c>
      <c r="BD106" s="1" t="n">
        <f aca="false">MIN(AE106/150, 1)*30</f>
        <v>5.4</v>
      </c>
      <c r="BE106" s="1" t="n">
        <f aca="false">MIN(Q106/4000, 1)*20</f>
        <v>3.2</v>
      </c>
      <c r="BF106" s="1" t="n">
        <f aca="false">MIN(AC106/400,1)*20</f>
        <v>5.55</v>
      </c>
      <c r="BG106" s="4" t="n">
        <f aca="false">1-(MAX(M106-1900, 0)/750)</f>
        <v>0.996</v>
      </c>
      <c r="BH106" s="1" t="n">
        <f aca="false">((MAX($P106,1)*MIN($AL106/300,1)))*IF(J106="Wagon",50,10)</f>
        <v>0</v>
      </c>
      <c r="BI106" s="1" t="n">
        <f aca="false">VLOOKUP($K106,Constants!$I:$K, 2, FALSE())</f>
        <v>0.85</v>
      </c>
      <c r="BJ106" s="1" t="n">
        <f aca="false">VLOOKUP($K106,Constants!$I:$K, 3, FALSE())*IF(AND(J106="multiple_unit",AE106&lt;110),0.75,1)</f>
        <v>2.3</v>
      </c>
      <c r="BK106" s="1" t="n">
        <f aca="false">INT(POWER(((Constants!$G$2+$BD106+$BE106+$BF106+$BH106)*$BG106)*$BJ106, 1.05))+$BC106</f>
        <v>52</v>
      </c>
      <c r="BL106" s="1" t="n">
        <f aca="false">INT(POWER((((Constants!$G$1+$BD106+$BE106+$BF106+$BH106)*($BG106))*$BI106),IF($J106="wagon",1,1.2)))+$BB106</f>
        <v>46</v>
      </c>
      <c r="BM106" s="17" t="n">
        <f aca="false">BK106*IF($J106="wagon",62.5,781.25)</f>
        <v>40625</v>
      </c>
      <c r="BN106" s="17" t="n">
        <f aca="false">BL106*IF($J106="wagon",2.73,81.25)</f>
        <v>3737.5</v>
      </c>
      <c r="BU106" s="1" t="str">
        <f aca="false">IF(J106="locomotive","B","")</f>
        <v>B</v>
      </c>
      <c r="BV106" s="1" t="str">
        <f aca="false">IF($J106="locomotive","B","")</f>
        <v>B</v>
      </c>
      <c r="BY106" s="1" t="n">
        <v>12</v>
      </c>
      <c r="CD106" s="1" t="str">
        <f aca="false">VLOOKUP(M106,Eras!$A$2:$C$10, 2, TRUE())</f>
        <v>edw</v>
      </c>
      <c r="CE106" s="1" t="s">
        <v>390</v>
      </c>
      <c r="CF106" s="1" t="str">
        <f aca="false">CONCATENATE(CD106,"_",CE106)</f>
        <v>edw_Freight (Electric)</v>
      </c>
      <c r="CG106" s="1" t="str">
        <f aca="false">_xlfn.CONCAT(K106, "_",L106)</f>
        <v>electric_ELRL</v>
      </c>
      <c r="CH106" s="7" t="str">
        <f aca="false">_xlfn.CONCAT("{BLACK}Length: {GOLD}", TEXT(ROUNDUP(IF(AS106&lt;&gt;"",SUM(VALUE(_xlfn.TEXTSPLIT(AS106, ","))), SUM(VALUE(_xlfn.TEXTSPLIT(AP106, ",")))*IF(P106, P106, 1))/16, 1), "#,##0.0"), " tiles{}")</f>
        <v>{BLACK}Length: {GOLD}0.5 tiles{}</v>
      </c>
      <c r="CI106" s="1" t="str">
        <f aca="false">IF(0, VLOOKUP($CG106, Constants!$M:$N, 2, FALSE()),"")</f>
        <v/>
      </c>
      <c r="CJ106" s="1" t="str">
        <f aca="false">IF(P106&gt;1,_xlfn.CONCAT("{BLACK}Cars: {GOLD}", P106),"")</f>
        <v/>
      </c>
      <c r="CK106" s="1" t="s">
        <v>391</v>
      </c>
      <c r="CL106" s="1" t="str">
        <f aca="false">IF($BX106="concept_trains","{GREEN}Concept Vehicle",IF($BX106="!param_no_gameplay_units","{GREEN}Included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{GOLD}0.5 tiles{}{SILVER}The LNER ES1 (ES for Electric Shunter) is designed for hauling heavy freight trains on steep inclines.</v>
      </c>
    </row>
    <row r="107" customFormat="false" ht="14.25" hidden="false" customHeight="true" outlineLevel="0" collapsed="false">
      <c r="A107" s="1" t="s">
        <v>392</v>
      </c>
      <c r="B107" s="15" t="s">
        <v>393</v>
      </c>
      <c r="C107" s="1" t="n">
        <v>127</v>
      </c>
      <c r="E107" s="1" t="n">
        <v>49</v>
      </c>
      <c r="G107" s="1" t="str">
        <f aca="false">IF($F107&lt;&gt;"",_xlfn.CONCAT(VLOOKUP($CE107, Constants!$T:$U, 2, FALSE()),",",$F107),VLOOKUP($CE107, Constants!$T:$U, 2, FALSE()))</f>
        <v>role/passenger</v>
      </c>
      <c r="H107" s="1" t="str">
        <f aca="false">IF($G107&lt;&gt;"",_xlfn.CONCAT(VLOOKUP($CG107, Constants!$M:$P, 4, FALSE()),",",$G107),VLOOKUP($CG107, Constants!$M:$P, 4, FALSE()))</f>
        <v>flag/GB,power/steam,role/passenger</v>
      </c>
      <c r="I107" s="1" t="s">
        <v>241</v>
      </c>
      <c r="J107" s="1" t="s">
        <v>249</v>
      </c>
      <c r="K107" s="1" t="s">
        <v>250</v>
      </c>
      <c r="L107" s="1" t="s">
        <v>192</v>
      </c>
      <c r="M107" s="1" t="n">
        <v>1904</v>
      </c>
      <c r="O107" s="1" t="n">
        <v>1962</v>
      </c>
      <c r="Q107" s="1" t="n">
        <v>730</v>
      </c>
      <c r="S107" s="3" t="n">
        <v>18</v>
      </c>
      <c r="T107" s="3" t="n">
        <v>26</v>
      </c>
      <c r="U107" s="3" t="n">
        <v>2</v>
      </c>
      <c r="V107" s="3" t="n">
        <v>160</v>
      </c>
      <c r="W107" s="18" t="n">
        <f aca="false">((($AE107/2)/60)*5280)/($X107*3.2*PI())</f>
        <v>150.451157141557</v>
      </c>
      <c r="X107" s="3" t="n">
        <v>1.6</v>
      </c>
      <c r="Y107" s="3" t="n">
        <f aca="false">((($S107*$S107/4)*PI())*($T107/12)*$U107*$V107*$W107)/(33000*1.1)</f>
        <v>731.25</v>
      </c>
      <c r="Z107" s="1" t="n">
        <v>55</v>
      </c>
      <c r="AC107" s="1" t="n">
        <v>77</v>
      </c>
      <c r="AD107" s="4" t="n">
        <f aca="false">IF(AND(Z107&gt;0,AC107&gt;0),(AC107/((Z107+AA107)*10)),"")</f>
        <v>0.14</v>
      </c>
      <c r="AE107" s="1" t="n">
        <v>55</v>
      </c>
      <c r="AF107" s="1" t="n">
        <f aca="false">ROUND(AE107*1.6, 0)</f>
        <v>88</v>
      </c>
      <c r="AH107" s="1" t="n">
        <v>10.02</v>
      </c>
      <c r="AI107" s="1" t="n">
        <v>10.02</v>
      </c>
      <c r="AL107" s="5" t="n">
        <v>0</v>
      </c>
      <c r="AM107" s="1" t="str">
        <f aca="false">CONCATENATE(VLOOKUP(AN107, 'Voxel Sizes'!$A$2:$B$18,2,FALSE()),"x",INT(AJ107*15), "x", INT(AK107*15))</f>
        <v>102x0x0</v>
      </c>
      <c r="AN107" s="1" t="n">
        <f aca="false">ROUND(15*((AI107*10)/256),0)</f>
        <v>6</v>
      </c>
      <c r="AP107" s="1" t="str">
        <f aca="false">CONCATENATE(VLOOKUP(AN107,Constants!$A$2:$C$16,IF(AO107&lt;&gt;"", 3, 2), FALSE()),IF(AO107&lt;&gt;"",CONCATENATE(",",VLOOKUP(AO107,$B:$AP,41,FALSE())),""))</f>
        <v>2,2,2</v>
      </c>
      <c r="AX107" s="1" t="n">
        <v>1</v>
      </c>
      <c r="AZ107" s="1" t="n">
        <v>30</v>
      </c>
      <c r="BA107" s="16" t="n">
        <f aca="false">IF(O107&lt;&gt;"",MAX(16,(O107-M107)+8),"")</f>
        <v>66</v>
      </c>
      <c r="BD107" s="1" t="n">
        <f aca="false">MIN(AE107/150, 1)*30</f>
        <v>11</v>
      </c>
      <c r="BE107" s="1" t="n">
        <f aca="false">MIN(Q107/4000, 1)*20</f>
        <v>3.65</v>
      </c>
      <c r="BF107" s="1" t="n">
        <f aca="false">MIN(AC107/400,1)*20</f>
        <v>3.85</v>
      </c>
      <c r="BG107" s="4" t="n">
        <f aca="false">1-(MAX(M107-1900, 0)/750)</f>
        <v>0.994666666666667</v>
      </c>
      <c r="BH107" s="1" t="n">
        <f aca="false">((MAX($P107,1)*MIN($AL107/300,1)))*IF(J107="Wagon",50,10)</f>
        <v>0</v>
      </c>
      <c r="BI107" s="1" t="n">
        <f aca="false">VLOOKUP($K107,Constants!$I:$K, 2, FALSE())</f>
        <v>1.15</v>
      </c>
      <c r="BJ107" s="1" t="n">
        <f aca="false">VLOOKUP($K107,Constants!$I:$K, 3, FALSE())*IF(AND(J107="multiple_unit",AE107&lt;110),0.75,1)</f>
        <v>1.7</v>
      </c>
      <c r="BK107" s="1" t="n">
        <f aca="false">INT(POWER(((Constants!$G$2+$BD107+$BE107+$BF107+$BH107)*$BG107)*$BJ107, 1.05))+$BC107</f>
        <v>47</v>
      </c>
      <c r="BL107" s="1" t="n">
        <f aca="false">INT(POWER((((Constants!$G$1+$BD107+$BE107+$BF107+$BH107)*($BG107))*$BI107),IF($J107="wagon",1,1.2)))+$BB107</f>
        <v>79</v>
      </c>
      <c r="BM107" s="17" t="n">
        <f aca="false">BK107*IF($J107="wagon",62.5,781.25)</f>
        <v>36718.75</v>
      </c>
      <c r="BN107" s="17" t="n">
        <f aca="false">BL107*IF($J107="wagon",2.73,81.25)</f>
        <v>6418.75</v>
      </c>
      <c r="BY107" s="1" t="n">
        <v>1</v>
      </c>
      <c r="CD107" s="1" t="str">
        <f aca="false">VLOOKUP(M107,Eras!$A$2:$C$10, 2, TRUE())</f>
        <v>edw</v>
      </c>
      <c r="CE107" s="1" t="s">
        <v>123</v>
      </c>
      <c r="CF107" s="1" t="str">
        <f aca="false">CONCATENATE(CD107,"_",CE107)</f>
        <v>edw_Passenger</v>
      </c>
      <c r="CG107" s="1" t="str">
        <f aca="false">_xlfn.CONCAT(K107, "_",L107)</f>
        <v>steam_RAIL</v>
      </c>
      <c r="CH107" s="7" t="str">
        <f aca="false">_xlfn.CONCAT("{BLACK}Length: {GOLD}", TEXT(ROUNDUP(IF(AS107&lt;&gt;"",SUM(VALUE(_xlfn.TEXTSPLIT(AS107, ","))), SUM(VALUE(_xlfn.TEXTSPLIT(AP107, ",")))*IF(P107, P107, 1))/16, 1), "#,##0.0"), " tiles{}")</f>
        <v>{BLACK}Length: {GOLD}0.4 tiles{}</v>
      </c>
      <c r="CI107" s="1" t="str">
        <f aca="false">IF(0, VLOOKUP($CG107, Constants!$M:$N, 2, FALSE()),"")</f>
        <v/>
      </c>
      <c r="CJ107" s="1" t="str">
        <f aca="false">IF(P107&gt;1,_xlfn.CONCAT("{BLACK}Cars: {GOLD}", P107),"")</f>
        <v/>
      </c>
      <c r="CK107" s="1" t="s">
        <v>394</v>
      </c>
      <c r="CL107" s="1" t="str">
        <f aca="false">IF($BX107="concept_trains","{GREEN}Concept Vehicle",IF($BX107="!param_no_gameplay_units","{GREEN}Included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{GOLD}0.4 tiles{}{SILVER}The South Eastern and Chatham Railway H Class is an 0-4-4T tank engine designed for suburban passenger routes. It was in use until the 1960s.</v>
      </c>
    </row>
    <row r="108" customFormat="false" ht="14.25" hidden="false" customHeight="true" outlineLevel="0" collapsed="false">
      <c r="A108" s="1" t="s">
        <v>395</v>
      </c>
      <c r="B108" s="15" t="s">
        <v>396</v>
      </c>
      <c r="C108" s="1" t="n">
        <v>128</v>
      </c>
      <c r="E108" s="1" t="n">
        <v>50</v>
      </c>
      <c r="G108" s="1" t="str">
        <f aca="false">IF($F108&lt;&gt;"",_xlfn.CONCAT(VLOOKUP($CE108, Constants!$T:$U, 2, FALSE()),",",$F108),VLOOKUP($CE108, Constants!$T:$U, 2, FALSE()))</f>
        <v>role/mixed</v>
      </c>
      <c r="H108" s="1" t="str">
        <f aca="false">IF($G108&lt;&gt;"",_xlfn.CONCAT(VLOOKUP($CG108, Constants!$M:$P, 4, FALSE()),",",$G108),VLOOKUP($CG108, Constants!$M:$P, 4, FALSE()))</f>
        <v>flag/GB,power/steam,role/mixed</v>
      </c>
      <c r="I108" s="1" t="s">
        <v>241</v>
      </c>
      <c r="J108" s="1" t="s">
        <v>249</v>
      </c>
      <c r="K108" s="1" t="s">
        <v>250</v>
      </c>
      <c r="L108" s="1" t="s">
        <v>192</v>
      </c>
      <c r="M108" s="1" t="n">
        <v>1904</v>
      </c>
      <c r="N108" s="1" t="n">
        <v>1914</v>
      </c>
      <c r="O108" s="1" t="n">
        <v>1955</v>
      </c>
      <c r="Q108" s="1" t="n">
        <v>850</v>
      </c>
      <c r="S108" s="3" t="n">
        <v>17</v>
      </c>
      <c r="T108" s="3" t="n">
        <v>24</v>
      </c>
      <c r="U108" s="3" t="n">
        <v>2</v>
      </c>
      <c r="V108" s="3" t="n">
        <v>180</v>
      </c>
      <c r="W108" s="18" t="n">
        <f aca="false">((($AE108/2)/60)*5280)/($X108*3.2*PI())</f>
        <v>192.577481141193</v>
      </c>
      <c r="X108" s="3" t="n">
        <v>1.25</v>
      </c>
      <c r="Y108" s="3" t="n">
        <f aca="false">((($S108*$S108/4)*PI())*($T108/12)*$U108*$V108*$W108)/(33000*1.1)</f>
        <v>867</v>
      </c>
      <c r="Z108" s="1" t="n">
        <v>63.4</v>
      </c>
      <c r="AC108" s="1" t="n">
        <v>95</v>
      </c>
      <c r="AD108" s="4" t="n">
        <f aca="false">IF(AND(Z108&gt;0,AC108&gt;0),(AC108/((Z108+AA108)*10)),"")</f>
        <v>0.149842271293375</v>
      </c>
      <c r="AE108" s="1" t="n">
        <v>55</v>
      </c>
      <c r="AF108" s="1" t="n">
        <f aca="false">ROUND(AE108*1.6, 0)</f>
        <v>88</v>
      </c>
      <c r="AH108" s="1" t="n">
        <v>11.5</v>
      </c>
      <c r="AI108" s="1" t="n">
        <v>11.5</v>
      </c>
      <c r="AL108" s="5" t="n">
        <v>0</v>
      </c>
      <c r="AM108" s="1" t="str">
        <f aca="false">CONCATENATE(VLOOKUP(AN108, 'Voxel Sizes'!$A$2:$B$18,2,FALSE()),"x",INT(AJ108*15), "x", INT(AK108*15))</f>
        <v>120x0x0</v>
      </c>
      <c r="AN108" s="1" t="n">
        <f aca="false">ROUND(15*((AI108*10)/256),0)</f>
        <v>7</v>
      </c>
      <c r="AP108" s="1" t="str">
        <f aca="false">CONCATENATE(VLOOKUP(AN108,Constants!$A$2:$C$16,IF(AO108&lt;&gt;"", 3, 2), FALSE()),IF(AO108&lt;&gt;"",CONCATENATE(",",VLOOKUP(AO108,$B:$AP,41,FALSE())),""))</f>
        <v>2,3,2</v>
      </c>
      <c r="AX108" s="1" t="n">
        <v>1</v>
      </c>
      <c r="AZ108" s="1" t="n">
        <v>38</v>
      </c>
      <c r="BA108" s="16" t="n">
        <f aca="false">IF(O108&lt;&gt;"",MAX(16,(O108-M108)+8),"")</f>
        <v>59</v>
      </c>
      <c r="BD108" s="1" t="n">
        <f aca="false">MIN(AE108/150, 1)*30</f>
        <v>11</v>
      </c>
      <c r="BE108" s="1" t="n">
        <f aca="false">MIN(Q108/4000, 1)*20</f>
        <v>4.25</v>
      </c>
      <c r="BF108" s="1" t="n">
        <f aca="false">MIN(AC108/400,1)*20</f>
        <v>4.75</v>
      </c>
      <c r="BG108" s="4" t="n">
        <f aca="false">1-(MAX(M108-1900, 0)/750)</f>
        <v>0.994666666666667</v>
      </c>
      <c r="BH108" s="1"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50</v>
      </c>
      <c r="BL108" s="1" t="n">
        <f aca="false">INT(POWER((((Constants!$G$1+$BD108+$BE108+$BF108+$BH108)*($BG108))*$BI108),IF($J108="wagon",1,1.2)))+$BB108</f>
        <v>83</v>
      </c>
      <c r="BM108" s="17" t="n">
        <f aca="false">BK108*IF($J108="wagon",62.5,781.25)</f>
        <v>39062.5</v>
      </c>
      <c r="BN108" s="17" t="n">
        <f aca="false">BL108*IF($J108="wagon",2.73,81.25)</f>
        <v>6743.75</v>
      </c>
      <c r="BY108" s="1" t="n">
        <v>2</v>
      </c>
      <c r="CD108" s="1" t="str">
        <f aca="false">VLOOKUP(M108,Eras!$A$2:$C$10, 2, TRUE())</f>
        <v>edw</v>
      </c>
      <c r="CE108" s="1" t="s">
        <v>129</v>
      </c>
      <c r="CF108" s="1" t="str">
        <f aca="false">CONCATENATE(CD108,"_",CE108)</f>
        <v>edw_Mixed Traffic</v>
      </c>
      <c r="CG108" s="1" t="str">
        <f aca="false">_xlfn.CONCAT(K108, "_",L108)</f>
        <v>steam_RAIL</v>
      </c>
      <c r="CH108" s="7" t="str">
        <f aca="false">_xlfn.CONCAT("{BLACK}Length: {GOLD}", TEXT(ROUNDUP(IF(AS108&lt;&gt;"",SUM(VALUE(_xlfn.TEXTSPLIT(AS108, ","))), SUM(VALUE(_xlfn.TEXTSPLIT(AP108, ",")))*IF(P108, P108, 1))/16, 1), "#,##0.0"), " tiles{}")</f>
        <v>{BLACK}Length: {GOLD}0.5 tiles{}</v>
      </c>
      <c r="CI108" s="1" t="str">
        <f aca="false">IF(0, VLOOKUP($CG108, Constants!$M:$N, 2, FALSE()),"")</f>
        <v/>
      </c>
      <c r="CJ108" s="1" t="str">
        <f aca="false">IF(P108&gt;1,_xlfn.CONCAT("{BLACK}Cars: {GOLD}", P108),"")</f>
        <v/>
      </c>
      <c r="CK108" s="1" t="s">
        <v>397</v>
      </c>
      <c r="CL108" s="1" t="str">
        <f aca="false">IF($BX108="concept_trains","{GREEN}Concept Vehicle",IF($BX108="!param_no_gameplay_units","{GREEN}Included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{GOLD}0.5 tiles{}{SILVER}The GWR "Small Prairie" tank engines were designed for operating branch lines.</v>
      </c>
    </row>
    <row r="109" customFormat="false" ht="14.25" hidden="false" customHeight="false" outlineLevel="0" collapsed="false">
      <c r="A109" s="1" t="s">
        <v>398</v>
      </c>
      <c r="B109" s="15" t="s">
        <v>399</v>
      </c>
      <c r="C109" s="1" t="n">
        <v>129</v>
      </c>
      <c r="E109" s="1" t="n">
        <v>51</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241</v>
      </c>
      <c r="J109" s="1" t="s">
        <v>249</v>
      </c>
      <c r="K109" s="1" t="s">
        <v>250</v>
      </c>
      <c r="L109" s="1" t="s">
        <v>192</v>
      </c>
      <c r="M109" s="1" t="n">
        <v>1906</v>
      </c>
      <c r="N109" s="1" t="n">
        <v>1923</v>
      </c>
      <c r="O109" s="1" t="n">
        <v>1957</v>
      </c>
      <c r="Q109" s="1" t="n">
        <v>1200</v>
      </c>
      <c r="S109" s="3" t="n">
        <v>14.25</v>
      </c>
      <c r="T109" s="3" t="n">
        <v>26</v>
      </c>
      <c r="U109" s="3" t="n">
        <v>4</v>
      </c>
      <c r="V109" s="3" t="n">
        <v>225</v>
      </c>
      <c r="W109" s="18" t="n">
        <f aca="false">((($AE109/2)/60)*5280)/($X109*3.2*PI())</f>
        <v>181.475453403564</v>
      </c>
      <c r="X109" s="3" t="n">
        <v>2.05</v>
      </c>
      <c r="Y109" s="3" t="n">
        <f aca="false">((($S109*$S109/4)*PI())*($T109/12)*$U109*$V109*$W109)/(33000*1.1)</f>
        <v>1554.76761710089</v>
      </c>
      <c r="Z109" s="1" t="n">
        <v>77</v>
      </c>
      <c r="AA109" s="2" t="n">
        <v>40</v>
      </c>
      <c r="AC109" s="1" t="n">
        <v>111</v>
      </c>
      <c r="AD109" s="4" t="n">
        <f aca="false">IF(AND(Z109&gt;0,AC109&gt;0),(AC109/((Z109+AA109)*10)),"")</f>
        <v>0.0948717948717949</v>
      </c>
      <c r="AE109" s="1" t="n">
        <v>85</v>
      </c>
      <c r="AF109" s="1" t="n">
        <f aca="false">ROUND(AE109*1.6, 0)</f>
        <v>136</v>
      </c>
      <c r="AI109" s="1" t="n">
        <v>12</v>
      </c>
      <c r="AL109" s="5" t="n">
        <v>0</v>
      </c>
      <c r="AM109" s="1" t="str">
        <f aca="false">CONCATENATE(VLOOKUP(AN109, 'Voxel Sizes'!$A$2:$B$18,2,FALSE()),"x",INT(AJ109*15), "x", INT(AK109*15))</f>
        <v>120x0x0</v>
      </c>
      <c r="AN109" s="1" t="n">
        <f aca="false">ROUND(15*((AI109*10)/256),0)</f>
        <v>7</v>
      </c>
      <c r="AO109" s="1" t="s">
        <v>214</v>
      </c>
      <c r="AP109" s="1" t="str">
        <f aca="false">CONCATENATE(VLOOKUP(AN109,Constants!$A$2:$C$16,IF(AO109&lt;&gt;"", 3, 2), FALSE()),IF(AO109&lt;&gt;"",CONCATENATE(",",VLOOKUP(AO109,$B:$AP,41,FALSE())),""))</f>
        <v>2,3,2,2,1,2</v>
      </c>
      <c r="AX109" s="1" t="n">
        <v>1</v>
      </c>
      <c r="AZ109" s="1" t="n">
        <v>29</v>
      </c>
      <c r="BA109" s="16" t="n">
        <f aca="false">IF(O109&lt;&gt;"",MAX(16,(O109-M109)+8),"")</f>
        <v>59</v>
      </c>
      <c r="BB109" s="1" t="n">
        <v>12</v>
      </c>
      <c r="BC109" s="1" t="n">
        <v>10</v>
      </c>
      <c r="BD109" s="1" t="n">
        <f aca="false">MIN(AE109/150, 1)*30</f>
        <v>17</v>
      </c>
      <c r="BE109" s="1" t="n">
        <f aca="false">MIN(Q109/4000, 1)*20</f>
        <v>6</v>
      </c>
      <c r="BF109" s="1" t="n">
        <f aca="false">MIN(AC109/400,1)*20</f>
        <v>5.55</v>
      </c>
      <c r="BG109" s="4" t="n">
        <f aca="false">1-(MAX(M109-1900, 0)/750)</f>
        <v>0.992</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79</v>
      </c>
      <c r="BL109" s="1" t="n">
        <f aca="false">INT(POWER((((Constants!$G$1+$BD109+$BE109+$BF109+$BH109)*($BG109))*$BI109),IF($J109="wagon",1,1.2)))+$BB109</f>
        <v>120</v>
      </c>
      <c r="BM109" s="17" t="n">
        <f aca="false">BK109*IF($J109="wagon",62.5,781.25)</f>
        <v>61718.75</v>
      </c>
      <c r="BN109" s="17" t="n">
        <f aca="false">BL109*IF($J109="wagon",2.73,81.25)</f>
        <v>9750</v>
      </c>
      <c r="BY109" s="1" t="n">
        <v>1</v>
      </c>
      <c r="CD109" s="1" t="str">
        <f aca="false">VLOOKUP(M109,Eras!$A$2:$C$10, 2, TRUE())</f>
        <v>edw</v>
      </c>
      <c r="CE109" s="1" t="s">
        <v>282</v>
      </c>
      <c r="CF109" s="1" t="str">
        <f aca="false">CONCATENATE(CD109,"_",CE109)</f>
        <v>edw_Express</v>
      </c>
      <c r="CG109" s="1" t="str">
        <f aca="false">_xlfn.CONCAT(K109, "_",L109)</f>
        <v>steam_RAIL</v>
      </c>
      <c r="CH109" s="7" t="str">
        <f aca="false">_xlfn.CONCAT("{BLACK}Length: {GOLD}", TEXT(ROUNDUP(IF(AS109&lt;&gt;"",SUM(VALUE(_xlfn.TEXTSPLIT(AS109, ","))), SUM(VALUE(_xlfn.TEXTSPLIT(AP109, ",")))*IF(P109, P109, 1))/16, 1), "#,##0.0"), " tiles{}")</f>
        <v>{BLACK}Length: {GOLD}0.8 tiles{}</v>
      </c>
      <c r="CI109" s="1" t="str">
        <f aca="false">IF(0, VLOOKUP($CG109, Constants!$M:$N, 2, FALSE()),"")</f>
        <v/>
      </c>
      <c r="CJ109" s="1" t="str">
        <f aca="false">IF(P109&gt;1,_xlfn.CONCAT("{BLACK}Cars: {GOLD}", P109),"")</f>
        <v/>
      </c>
      <c r="CK109" s="1" t="s">
        <v>400</v>
      </c>
      <c r="CL109" s="1" t="str">
        <f aca="false">IF($BX109="concept_trains","{GREEN}Concept Vehicle",IF($BX109="!param_no_gameplay_units","{GREEN}Included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Star class was the first in a string of successful four cylinder express locomotives built by the GWR.</v>
      </c>
    </row>
    <row r="110" customFormat="false" ht="14.25" hidden="false" customHeight="false" outlineLevel="0" collapsed="false">
      <c r="A110" s="1" t="s">
        <v>401</v>
      </c>
      <c r="B110" s="19" t="s">
        <v>402</v>
      </c>
      <c r="C110" s="1" t="n">
        <v>1034</v>
      </c>
      <c r="E110" s="1" t="n">
        <v>52</v>
      </c>
      <c r="G110" s="1" t="str">
        <f aca="false">IF($F110&lt;&gt;"",_xlfn.CONCAT(VLOOKUP($CE110, Constants!$T:$U, 2, FALSE()),",",$F110),VLOOKUP($CE110, Constants!$T:$U, 2, FALSE()))</f>
        <v>role/express_passenger</v>
      </c>
      <c r="H110" s="1" t="str">
        <f aca="false">IF($G110&lt;&gt;"",_xlfn.CONCAT(VLOOKUP($CG110, Constants!$M:$P, 4, FALSE()),",",$G110),VLOOKUP($CG110, Constants!$M:$P, 4, FALSE()))</f>
        <v>flag/GB,power/steam,role/express_passenger</v>
      </c>
      <c r="I110" s="1" t="s">
        <v>241</v>
      </c>
      <c r="J110" s="1" t="s">
        <v>249</v>
      </c>
      <c r="K110" s="1" t="s">
        <v>250</v>
      </c>
      <c r="L110" s="1" t="s">
        <v>192</v>
      </c>
      <c r="M110" s="1" t="n">
        <v>1908</v>
      </c>
      <c r="O110" s="1" t="n">
        <v>1953</v>
      </c>
      <c r="Q110" s="1" t="n">
        <v>1975</v>
      </c>
      <c r="S110" s="3" t="n">
        <v>15</v>
      </c>
      <c r="T110" s="3" t="n">
        <v>26</v>
      </c>
      <c r="U110" s="3" t="n">
        <v>4</v>
      </c>
      <c r="V110" s="3" t="n">
        <v>225</v>
      </c>
      <c r="W110" s="18" t="n">
        <f aca="false">((($AE110/2)/60)*5280)/($X110*3.2*PI())</f>
        <v>207.656540712966</v>
      </c>
      <c r="X110" s="3" t="n">
        <v>1.37</v>
      </c>
      <c r="Y110" s="3" t="n">
        <f aca="false">((($S110*$S110/4)*PI())*($T110/12)*$U110*$V110*$W110)/(33000*1.1)</f>
        <v>1971.26949236894</v>
      </c>
      <c r="Z110" s="1" t="n">
        <v>99</v>
      </c>
      <c r="AA110" s="2" t="n">
        <v>46</v>
      </c>
      <c r="AC110" s="1" t="n">
        <v>124</v>
      </c>
      <c r="AD110" s="4" t="n">
        <f aca="false">IF(AND(Z110&gt;0,AC110&gt;0),(AC110/((Z110+AA110)*10)),"")</f>
        <v>0.0855172413793103</v>
      </c>
      <c r="AE110" s="1" t="n">
        <v>65</v>
      </c>
      <c r="AF110" s="1" t="n">
        <f aca="false">ROUND(AE110*1.6, 0)</f>
        <v>104</v>
      </c>
      <c r="AH110" s="1" t="n">
        <v>23</v>
      </c>
      <c r="AI110" s="1" t="n">
        <v>14</v>
      </c>
      <c r="AM110" s="1" t="str">
        <f aca="false">CONCATENATE(VLOOKUP(AN110, 'Voxel Sizes'!$A$2:$B$18,2,FALSE()),"x",INT(AJ110*15), "x", INT(AK110*15))</f>
        <v>136x0x0</v>
      </c>
      <c r="AN110" s="16" t="n">
        <f aca="false">ROUND(15*((AI110*10)/256),0)</f>
        <v>8</v>
      </c>
      <c r="AO110" s="1" t="s">
        <v>214</v>
      </c>
      <c r="AP110" s="1" t="str">
        <f aca="false">CONCATENATE(VLOOKUP(AN110,Constants!$A$2:$C$16,IF(AO110&lt;&gt;"", 3, 2), FALSE()),IF(AO110&lt;&gt;"",CONCATENATE(",",VLOOKUP(AO110,$B:$AP,41,FALSE())),""))</f>
        <v>2,4,2,2,1,2</v>
      </c>
      <c r="AX110" s="1" t="n">
        <v>1</v>
      </c>
      <c r="AZ110" s="1" t="n">
        <v>26</v>
      </c>
      <c r="BA110" s="16" t="n">
        <f aca="false">IF(O110&lt;&gt;"",MAX(16,(O110-M110)+8),"")</f>
        <v>53</v>
      </c>
      <c r="BB110" s="1" t="n">
        <v>10</v>
      </c>
      <c r="BC110" s="1" t="n">
        <v>10</v>
      </c>
      <c r="BD110" s="20" t="n">
        <f aca="false">MIN(AE110/150, 1)*30</f>
        <v>13</v>
      </c>
      <c r="BE110" s="20" t="n">
        <f aca="false">MIN(Q110/4000, 1)*20</f>
        <v>9.875</v>
      </c>
      <c r="BF110" s="20" t="n">
        <f aca="false">MIN(AC110/400,1)*20</f>
        <v>6.2</v>
      </c>
      <c r="BG110" s="21" t="n">
        <f aca="false">1-(MAX(M110-1900, 0)/750)</f>
        <v>0.989333333333333</v>
      </c>
      <c r="BH110" s="20"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80</v>
      </c>
      <c r="BL110" s="1" t="n">
        <f aca="false">INT(POWER((((Constants!$G$1+$BD110+$BE110+$BF110+$BH110)*($BG110))*$BI110),IF($J110="wagon",1,1.2)))+$BB110</f>
        <v>119</v>
      </c>
      <c r="BM110" s="22" t="n">
        <f aca="false">BK110*IF($J110="wagon",62.5,781.25)</f>
        <v>62500</v>
      </c>
      <c r="BN110" s="22" t="n">
        <f aca="false">BL110*IF($J110="wagon",2.73,81.25)</f>
        <v>9668.75</v>
      </c>
      <c r="BY110" s="1" t="n">
        <v>2</v>
      </c>
      <c r="CD110" s="23" t="s">
        <v>382</v>
      </c>
      <c r="CE110" s="1" t="s">
        <v>282</v>
      </c>
      <c r="CF110" s="23" t="str">
        <f aca="false">CONCATENATE(CD110,"_",CE110)</f>
        <v>edw_Express</v>
      </c>
      <c r="CG110" s="23" t="str">
        <f aca="false">_xlfn.CONCAT(K110, "_",L110)</f>
        <v>steam_RAIL</v>
      </c>
      <c r="CH110" s="7" t="str">
        <f aca="false">_xlfn.CONCAT("{BLACK}Length: {GOLD}", TEXT(ROUNDUP(IF(AS110&lt;&gt;"",SUM(VALUE(_xlfn.TEXTSPLIT(AS110, ","))), SUM(VALUE(_xlfn.TEXTSPLIT(AP110, ",")))*IF(P110, P110, 1))/16, 1), "#,##0.0"), " tiles{}")</f>
        <v>{BLACK}Length: {GOLD}0.9 tiles{}</v>
      </c>
      <c r="CI110" s="1" t="str">
        <f aca="false">IF(0, VLOOKUP($CG110, Constants!$M:$N, 2, FALSE()),"")</f>
        <v/>
      </c>
      <c r="CJ110" s="1" t="str">
        <f aca="false">IF(P110&gt;1,_xlfn.CONCAT("{BLACK}Cars: {GOLD}", P110),"")</f>
        <v/>
      </c>
      <c r="CK110" s="1" t="s">
        <v>403</v>
      </c>
      <c r="CL110" s="1" t="str">
        <f aca="false">IF($BX110="concept_trains","{GREEN}Concept Vehicle",IF($BX110="!param_no_gameplay_units","{GREEN}Included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{GOLD}0.9 tiles{}{SILVER}The Great Bear was a single locomotive, the first 4-6-2 "Pacific" type built in the UK, which served as the GWR's flagship until 1922 despite disappointing performance and low route availability.</v>
      </c>
    </row>
    <row r="111" customFormat="false" ht="14.25" hidden="false" customHeight="false" outlineLevel="0" collapsed="false">
      <c r="A111" s="1" t="s">
        <v>404</v>
      </c>
      <c r="B111" s="15" t="s">
        <v>405</v>
      </c>
      <c r="C111" s="1" t="n">
        <v>130</v>
      </c>
      <c r="E111" s="1" t="n">
        <v>53</v>
      </c>
      <c r="G111" s="1" t="str">
        <f aca="false">IF($F111&lt;&gt;"",_xlfn.CONCAT(VLOOKUP($CE111, Constants!$T:$U, 2, FALSE()),",",$F111),VLOOKUP($CE111, Constants!$T:$U, 2, FALSE()))</f>
        <v>role/passenger</v>
      </c>
      <c r="H111" s="1" t="str">
        <f aca="false">IF($G111&lt;&gt;"",_xlfn.CONCAT(VLOOKUP($CG111, Constants!$M:$P, 4, FALSE()),",",$G111),VLOOKUP($CG111, Constants!$M:$P, 4, FALSE()))</f>
        <v>flag/GB,power/steam,role/passenger</v>
      </c>
      <c r="I111" s="1" t="s">
        <v>241</v>
      </c>
      <c r="J111" s="1" t="s">
        <v>249</v>
      </c>
      <c r="K111" s="1" t="s">
        <v>250</v>
      </c>
      <c r="L111" s="1" t="s">
        <v>192</v>
      </c>
      <c r="M111" s="1" t="n">
        <v>1911</v>
      </c>
      <c r="N111" s="1" t="n">
        <v>1926</v>
      </c>
      <c r="O111" s="1" t="n">
        <v>1960</v>
      </c>
      <c r="Q111" s="1" t="n">
        <v>850</v>
      </c>
      <c r="S111" s="3" t="n">
        <v>20</v>
      </c>
      <c r="T111" s="3" t="n">
        <v>26</v>
      </c>
      <c r="U111" s="3" t="n">
        <v>2</v>
      </c>
      <c r="V111" s="3" t="n">
        <v>180</v>
      </c>
      <c r="W111" s="18" t="n">
        <f aca="false">((($AE111/2)/60)*5280)/($X111*3.2*PI())</f>
        <v>128.728262794915</v>
      </c>
      <c r="X111" s="3" t="n">
        <v>1.7</v>
      </c>
      <c r="Y111" s="3" t="n">
        <f aca="false">((($S111*$S111/4)*PI())*($T111/12)*$U111*$V111*$W111)/(33000*1.1)</f>
        <v>868.983957219251</v>
      </c>
      <c r="Z111" s="1" t="n">
        <v>87</v>
      </c>
      <c r="AC111" s="1" t="n">
        <v>106</v>
      </c>
      <c r="AD111" s="4" t="n">
        <f aca="false">IF(AND(Z111&gt;0,AC111&gt;0),(AC111/((Z111+AA111)*10)),"")</f>
        <v>0.12183908045977</v>
      </c>
      <c r="AE111" s="1" t="n">
        <v>50</v>
      </c>
      <c r="AF111" s="1" t="n">
        <f aca="false">ROUND(AE111*1.6, 0)</f>
        <v>80</v>
      </c>
      <c r="AH111" s="1" t="n">
        <v>13.1</v>
      </c>
      <c r="AI111" s="1" t="n">
        <v>13.1</v>
      </c>
      <c r="AL111" s="5" t="n">
        <v>0</v>
      </c>
      <c r="AM111" s="1" t="str">
        <f aca="false">CONCATENATE(VLOOKUP(AN111, 'Voxel Sizes'!$A$2:$B$18,2,FALSE()),"x",INT(AJ111*15), "x", INT(AK111*15))</f>
        <v>136x0x0</v>
      </c>
      <c r="AN111" s="1" t="n">
        <f aca="false">ROUND(15*((AI111*10)/256),0)</f>
        <v>8</v>
      </c>
      <c r="AP111" s="1" t="str">
        <f aca="false">CONCATENATE(VLOOKUP(AN111,Constants!$A$2:$C$16,IF(AO111&lt;&gt;"", 3, 2), FALSE()),IF(AO111&lt;&gt;"",CONCATENATE(",",VLOOKUP(AO111,$B:$AP,41,FALSE())),""))</f>
        <v>2,4,2</v>
      </c>
      <c r="AX111" s="1" t="n">
        <v>1</v>
      </c>
      <c r="AZ111" s="1" t="n">
        <v>32</v>
      </c>
      <c r="BA111" s="16" t="n">
        <f aca="false">IF(O111&lt;&gt;"",MAX(16,(O111-M111)+8),"")</f>
        <v>57</v>
      </c>
      <c r="BD111" s="1" t="n">
        <f aca="false">MIN(AE111/150, 1)*30</f>
        <v>10</v>
      </c>
      <c r="BE111" s="1" t="n">
        <f aca="false">MIN(Q111/4000, 1)*20</f>
        <v>4.25</v>
      </c>
      <c r="BF111" s="1" t="n">
        <f aca="false">MIN(AC111/400,1)*20</f>
        <v>5.3</v>
      </c>
      <c r="BG111" s="4" t="n">
        <f aca="false">1-(MAX(M111-1900, 0)/750)</f>
        <v>0.985333333333333</v>
      </c>
      <c r="BH111" s="1"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49</v>
      </c>
      <c r="BL111" s="1" t="n">
        <f aca="false">INT(POWER((((Constants!$G$1+$BD111+$BE111+$BF111+$BH111)*($BG111))*$BI111),IF($J111="wagon",1,1.2)))+$BB111</f>
        <v>81</v>
      </c>
      <c r="BM111" s="17" t="n">
        <f aca="false">BK111*IF($J111="wagon",62.5,781.25)</f>
        <v>38281.25</v>
      </c>
      <c r="BN111" s="17" t="n">
        <f aca="false">BL111*IF($J111="wagon",2.73,81.25)</f>
        <v>6581.25</v>
      </c>
      <c r="BY111" s="1" t="n">
        <v>3</v>
      </c>
      <c r="CD111" s="1" t="str">
        <f aca="false">VLOOKUP(M111,Eras!$A$2:$C$10, 2, TRUE())</f>
        <v>edw</v>
      </c>
      <c r="CE111" s="1" t="s">
        <v>123</v>
      </c>
      <c r="CF111" s="1" t="str">
        <f aca="false">CONCATENATE(CD111,"_",CE111)</f>
        <v>edw_Passenger</v>
      </c>
      <c r="CG111" s="1" t="str">
        <f aca="false">_xlfn.CONCAT(K111, "_",L111)</f>
        <v>steam_RAIL</v>
      </c>
      <c r="CH111" s="7" t="str">
        <f aca="false">_xlfn.CONCAT("{BLACK}Length: {GOLD}", TEXT(ROUNDUP(IF(AS111&lt;&gt;"",SUM(VALUE(_xlfn.TEXTSPLIT(AS111, ","))), SUM(VALUE(_xlfn.TEXTSPLIT(AP111, ",")))*IF(P111, P111, 1))/16, 1), "#,##0.0"), " tiles{}")</f>
        <v>{BLACK}Length: {GOLD}0.5 tiles{}</v>
      </c>
      <c r="CI111" s="1" t="str">
        <f aca="false">IF(0, VLOOKUP($CG111, Constants!$M:$N, 2, FALSE()),"")</f>
        <v/>
      </c>
      <c r="CJ111" s="1" t="str">
        <f aca="false">IF(P111&gt;1,_xlfn.CONCAT("{BLACK}Cars: {GOLD}", P111),"")</f>
        <v/>
      </c>
      <c r="CK111" s="1" t="s">
        <v>406</v>
      </c>
      <c r="CL111" s="1" t="str">
        <f aca="false">IF($BX111="concept_trains","{GREEN}Concept Vehicle",IF($BX111="!param_no_gameplay_units","{GREEN}Included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{GOLD}0.5 tiles{}{SILVER}The GCR 9N (later LNER A5) is a 4-6-2 tank locomotive designed for suburban passenger services.</v>
      </c>
    </row>
    <row r="112" customFormat="false" ht="14.25" hidden="false" customHeight="false" outlineLevel="0" collapsed="false">
      <c r="A112" s="1" t="s">
        <v>407</v>
      </c>
      <c r="B112" s="15" t="s">
        <v>408</v>
      </c>
      <c r="C112" s="1" t="n">
        <v>131</v>
      </c>
      <c r="E112" s="1" t="n">
        <v>54</v>
      </c>
      <c r="G112" s="1" t="str">
        <f aca="false">IF($F112&lt;&gt;"",_xlfn.CONCAT(VLOOKUP($CE112, Constants!$T:$U, 2, FALSE()),",",$F112),VLOOKUP($CE112, Constants!$T:$U, 2, FALSE()))</f>
        <v>role/freight</v>
      </c>
      <c r="H112" s="1" t="str">
        <f aca="false">IF($G112&lt;&gt;"",_xlfn.CONCAT(VLOOKUP($CG112, Constants!$M:$P, 4, FALSE()),",",$G112),VLOOKUP($CG112, Constants!$M:$P, 4, FALSE()))</f>
        <v>flag/GB,power/steam,role/freight</v>
      </c>
      <c r="I112" s="1" t="s">
        <v>241</v>
      </c>
      <c r="J112" s="1" t="s">
        <v>249</v>
      </c>
      <c r="K112" s="1" t="s">
        <v>250</v>
      </c>
      <c r="L112" s="1" t="s">
        <v>192</v>
      </c>
      <c r="M112" s="1" t="n">
        <v>1911</v>
      </c>
      <c r="N112" s="1" t="n">
        <v>1914</v>
      </c>
      <c r="O112" s="1" t="n">
        <v>1966</v>
      </c>
      <c r="Q112" s="1" t="n">
        <v>1250</v>
      </c>
      <c r="S112" s="3" t="n">
        <v>21</v>
      </c>
      <c r="T112" s="3" t="n">
        <v>26</v>
      </c>
      <c r="U112" s="3" t="n">
        <v>2</v>
      </c>
      <c r="V112" s="3" t="n">
        <v>180</v>
      </c>
      <c r="W112" s="18" t="n">
        <f aca="false">((($AE112/2)/60)*5280)/($X112*3.2*PI())</f>
        <v>123.289040423299</v>
      </c>
      <c r="X112" s="3" t="n">
        <v>1.42</v>
      </c>
      <c r="Y112" s="3" t="n">
        <f aca="false">((($S112*$S112/4)*PI())*($T112/12)*$U112*$V112*$W112)/(33000*1.1)</f>
        <v>917.573623559539</v>
      </c>
      <c r="Z112" s="1" t="n">
        <v>75</v>
      </c>
      <c r="AA112" s="2" t="n">
        <v>42</v>
      </c>
      <c r="AC112" s="1" t="n">
        <v>139</v>
      </c>
      <c r="AD112" s="4" t="n">
        <f aca="false">IF(AND(Z112&gt;0,AC112&gt;0),(AC112/((Z112+AA112)*10)),"")</f>
        <v>0.118803418803419</v>
      </c>
      <c r="AE112" s="1" t="n">
        <v>40</v>
      </c>
      <c r="AF112" s="1" t="n">
        <f aca="false">ROUND(AE112*1.6, 0)</f>
        <v>64</v>
      </c>
      <c r="AH112" s="1" t="n">
        <v>18.81</v>
      </c>
      <c r="AI112" s="1" t="n">
        <v>11.31</v>
      </c>
      <c r="AL112" s="5" t="n">
        <v>0</v>
      </c>
      <c r="AM112" s="1" t="str">
        <f aca="false">CONCATENATE(VLOOKUP(AN112, 'Voxel Sizes'!$A$2:$B$18,2,FALSE()),"x",INT(AJ112*15), "x", INT(AK112*15))</f>
        <v>120x0x0</v>
      </c>
      <c r="AN112" s="1" t="n">
        <f aca="false">ROUND(15*((AI112*10)/256),0)</f>
        <v>7</v>
      </c>
      <c r="AO112" s="1" t="s">
        <v>212</v>
      </c>
      <c r="AP112" s="1" t="str">
        <f aca="false">CONCATENATE(VLOOKUP(AN112,Constants!$A$2:$C$16,IF(AO112&lt;&gt;"", 3, 2), FALSE()),IF(AO112&lt;&gt;"",CONCATENATE(",",VLOOKUP(AO112,$B:$AP,41,FALSE())),""))</f>
        <v>2,3,2,2,1,2</v>
      </c>
      <c r="AX112" s="1" t="n">
        <v>1</v>
      </c>
      <c r="AZ112" s="1" t="n">
        <v>34</v>
      </c>
      <c r="BA112" s="16" t="n">
        <f aca="false">IF(O112&lt;&gt;"",MAX(16,(O112-M112)+8),"")</f>
        <v>63</v>
      </c>
      <c r="BD112" s="1" t="n">
        <f aca="false">MIN(AE112/150, 1)*30</f>
        <v>8</v>
      </c>
      <c r="BE112" s="1" t="n">
        <f aca="false">MIN(Q112/4000, 1)*20</f>
        <v>6.25</v>
      </c>
      <c r="BF112" s="1" t="n">
        <f aca="false">MIN(AC112/400,1)*20</f>
        <v>6.95</v>
      </c>
      <c r="BG112" s="4" t="n">
        <f aca="false">1-(MAX(M112-1900, 0)/750)</f>
        <v>0.985333333333333</v>
      </c>
      <c r="BH112" s="1"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53</v>
      </c>
      <c r="BL112" s="1" t="n">
        <f aca="false">INT(POWER((((Constants!$G$1+$BD112+$BE112+$BF112+$BH112)*($BG112))*$BI112),IF($J112="wagon",1,1.2)))+$BB112</f>
        <v>86</v>
      </c>
      <c r="BM112" s="17" t="n">
        <f aca="false">BK112*IF($J112="wagon",62.5,781.25)</f>
        <v>41406.25</v>
      </c>
      <c r="BN112" s="17" t="n">
        <f aca="false">BL112*IF($J112="wagon",2.73,81.25)</f>
        <v>6987.5</v>
      </c>
      <c r="BY112" s="1" t="n">
        <v>4</v>
      </c>
      <c r="CD112" s="1" t="str">
        <f aca="false">VLOOKUP(M112,Eras!$A$2:$C$10, 2, TRUE())</f>
        <v>edw</v>
      </c>
      <c r="CE112" s="1" t="s">
        <v>132</v>
      </c>
      <c r="CF112" s="1" t="str">
        <f aca="false">CONCATENATE(CD112,"_",CE112)</f>
        <v>edw_Freight</v>
      </c>
      <c r="CG112" s="1" t="str">
        <f aca="false">_xlfn.CONCAT(K112, "_",L112)</f>
        <v>steam_RAIL</v>
      </c>
      <c r="CH112" s="7" t="str">
        <f aca="false">_xlfn.CONCAT("{BLACK}Length: {GOLD}", TEXT(ROUNDUP(IF(AS112&lt;&gt;"",SUM(VALUE(_xlfn.TEXTSPLIT(AS112, ","))), SUM(VALUE(_xlfn.TEXTSPLIT(AP112, ",")))*IF(P112, P112, 1))/16, 1), "#,##0.0"), " tiles{}")</f>
        <v>{BLACK}Length: {GOLD}0.8 tiles{}</v>
      </c>
      <c r="CI112" s="1" t="str">
        <f aca="false">IF(0, VLOOKUP($CG112, Constants!$M:$N, 2, FALSE()),"")</f>
        <v/>
      </c>
      <c r="CJ112" s="1" t="str">
        <f aca="false">IF(P112&gt;1,_xlfn.CONCAT("{BLACK}Cars: {GOLD}", P112),"")</f>
        <v/>
      </c>
      <c r="CK112" s="1" t="s">
        <v>409</v>
      </c>
      <c r="CL112" s="1" t="str">
        <f aca="false">IF($BX112="concept_trains","{GREEN}Concept Vehicle",IF($BX112="!param_no_gameplay_units","{GREEN}Included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Robinson 8K is a heavy freight engine based on earlier 0-8-0 designs, with a front pony truck to improve the ride and axle loads at the front of the locomotive.</v>
      </c>
    </row>
    <row r="113" customFormat="false" ht="14.25" hidden="false" customHeight="false" outlineLevel="0" collapsed="false">
      <c r="A113" s="1" t="s">
        <v>410</v>
      </c>
      <c r="B113" s="15" t="s">
        <v>411</v>
      </c>
      <c r="C113" s="1" t="n">
        <v>133</v>
      </c>
      <c r="E113" s="1" t="n">
        <v>55</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241</v>
      </c>
      <c r="J113" s="1" t="s">
        <v>249</v>
      </c>
      <c r="K113" s="1" t="s">
        <v>250</v>
      </c>
      <c r="L113" s="1" t="s">
        <v>192</v>
      </c>
      <c r="M113" s="1" t="n">
        <v>1912</v>
      </c>
      <c r="O113" s="1" t="n">
        <v>1962</v>
      </c>
      <c r="Q113" s="1" t="n">
        <v>1050</v>
      </c>
      <c r="S113" s="3" t="n">
        <v>20</v>
      </c>
      <c r="T113" s="3" t="n">
        <v>26</v>
      </c>
      <c r="U113" s="3" t="n">
        <v>2</v>
      </c>
      <c r="V113" s="3" t="n">
        <v>180</v>
      </c>
      <c r="W113" s="18" t="n">
        <f aca="false">((($AE113/2)/60)*5280)/($X113*3.2*PI())</f>
        <v>141.601089074407</v>
      </c>
      <c r="X113" s="3" t="n">
        <v>1.7</v>
      </c>
      <c r="Y113" s="3" t="n">
        <f aca="false">((($S113*$S113/4)*PI())*($T113/12)*$U113*$V113*$W113)/(33000*1.1)</f>
        <v>955.882352941177</v>
      </c>
      <c r="Z113" s="1" t="n">
        <v>61</v>
      </c>
      <c r="AC113" s="1" t="n">
        <v>104</v>
      </c>
      <c r="AD113" s="4" t="n">
        <f aca="false">IF(AND(Z113&gt;0,AC113&gt;0),(AC113/((Z113+AA113)*10)),"")</f>
        <v>0.170491803278689</v>
      </c>
      <c r="AE113" s="1" t="n">
        <v>55</v>
      </c>
      <c r="AF113" s="1" t="n">
        <f aca="false">ROUND(AE113*1.6, 0)</f>
        <v>88</v>
      </c>
      <c r="AH113" s="1" t="n">
        <v>14.4</v>
      </c>
      <c r="AI113" s="1" t="n">
        <v>10</v>
      </c>
      <c r="AL113" s="5" t="n">
        <v>0</v>
      </c>
      <c r="AM113" s="1" t="str">
        <f aca="false">CONCATENATE(VLOOKUP(AN113, 'Voxel Sizes'!$A$2:$B$18,2,FALSE()),"x",INT(AJ113*15), "x", INT(AK113*15))</f>
        <v>102x0x0</v>
      </c>
      <c r="AN113" s="1" t="n">
        <f aca="false">ROUND(15*((AI113*10)/256),0)</f>
        <v>6</v>
      </c>
      <c r="AO113" s="1" t="s">
        <v>218</v>
      </c>
      <c r="AP113" s="1" t="str">
        <f aca="false">CONCATENATE(VLOOKUP(AN113,Constants!$A$2:$C$16,IF(AO113&lt;&gt;"", 3, 2), FALSE()),IF(AO113&lt;&gt;"",CONCATENATE(",",VLOOKUP(AO113,$B:$AP,41,FALSE())),""))</f>
        <v>2,2,2,2,1,2</v>
      </c>
      <c r="AX113" s="1" t="n">
        <v>1</v>
      </c>
      <c r="AZ113" s="1" t="n">
        <v>30</v>
      </c>
      <c r="BA113" s="16" t="n">
        <f aca="false">IF(O113&lt;&gt;"",MAX(16,(O113-M113)+8),"")</f>
        <v>58</v>
      </c>
      <c r="BB113" s="1" t="n">
        <v>5</v>
      </c>
      <c r="BD113" s="1" t="n">
        <f aca="false">MIN(AE113/150, 1)*30</f>
        <v>11</v>
      </c>
      <c r="BE113" s="1" t="n">
        <f aca="false">MIN(Q113/4000, 1)*20</f>
        <v>5.25</v>
      </c>
      <c r="BF113" s="1" t="n">
        <f aca="false">MIN(AC113/400,1)*20</f>
        <v>5.2</v>
      </c>
      <c r="BG113" s="4" t="n">
        <f aca="false">1-(MAX(M113-1900, 0)/750)</f>
        <v>0.984</v>
      </c>
      <c r="BH113" s="1" t="n">
        <f aca="false">((MAX($P113,1)*MIN($AL113/300,1)))*IF(J113="Wagon",50,10)</f>
        <v>0</v>
      </c>
      <c r="BI113" s="1" t="n">
        <f aca="false">VLOOKUP($K113,Constants!$I:$K, 2, FALSE())</f>
        <v>1.15</v>
      </c>
      <c r="BJ113" s="1" t="n">
        <f aca="false">VLOOKUP($K113,Constants!$I:$K, 3, FALSE())*IF(AND(J113="multiple_unit",AE113&lt;110),0.75,1)</f>
        <v>1.7</v>
      </c>
      <c r="BK113" s="1" t="n">
        <f aca="false">INT(POWER(((Constants!$G$2+$BD113+$BE113+$BF113+$BH113)*$BG113)*$BJ113, 1.05))+$BC113</f>
        <v>53</v>
      </c>
      <c r="BL113" s="1" t="n">
        <f aca="false">INT(POWER((((Constants!$G$1+$BD113+$BE113+$BF113+$BH113)*($BG113))*$BI113),IF($J113="wagon",1,1.2)))+$BB113</f>
        <v>91</v>
      </c>
      <c r="BM113" s="17" t="n">
        <f aca="false">BK113*IF($J113="wagon",62.5,781.25)</f>
        <v>41406.25</v>
      </c>
      <c r="BN113" s="17" t="n">
        <f aca="false">BL113*IF($J113="wagon",2.73,81.25)</f>
        <v>7393.75</v>
      </c>
      <c r="BY113" s="1" t="n">
        <v>5</v>
      </c>
      <c r="CD113" s="1" t="str">
        <f aca="false">VLOOKUP(M113,Eras!$A$2:$C$10, 2, TRUE())</f>
        <v>edw</v>
      </c>
      <c r="CE113" s="1" t="s">
        <v>132</v>
      </c>
      <c r="CF113" s="1" t="str">
        <f aca="false">CONCATENATE(CD113,"_",CE113)</f>
        <v>edw_Freight</v>
      </c>
      <c r="CG113" s="1" t="str">
        <f aca="false">_xlfn.CONCAT(K113, "_",L113)</f>
        <v>steam_RAIL</v>
      </c>
      <c r="CH113" s="7" t="str">
        <f aca="false">_xlfn.CONCAT("{BLACK}Length: {GOLD}", TEXT(ROUNDUP(IF(AS113&lt;&gt;"",SUM(VALUE(_xlfn.TEXTSPLIT(AS113, ","))), SUM(VALUE(_xlfn.TEXTSPLIT(AP113, ",")))*IF(P113, P113, 1))/16, 1), "#,##0.0"), " tiles{}")</f>
        <v>{BLACK}Length: {GOLD}0.7 tiles{}</v>
      </c>
      <c r="CI113" s="1" t="str">
        <f aca="false">IF(0, VLOOKUP($CG113, Constants!$M:$N, 2, FALSE()),"")</f>
        <v/>
      </c>
      <c r="CJ113" s="1" t="str">
        <f aca="false">IF(P113&gt;1,_xlfn.CONCAT("{BLACK}Cars: {GOLD}", P113),"")</f>
        <v/>
      </c>
      <c r="CK113" s="1" t="s">
        <v>412</v>
      </c>
      <c r="CL113" s="1" t="str">
        <f aca="false">IF($BX113="concept_trains","{GREEN}Concept Vehicle",IF($BX113="!param_no_gameplay_units","{GREEN}Included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{GOLD}0.7 tiles{}{SILVER}The Gresley K2 is a freight engine, designed for the GNR which had been using passenger engines to haul goods trains.</v>
      </c>
    </row>
    <row r="114" customFormat="false" ht="14.25" hidden="false" customHeight="false" outlineLevel="0" collapsed="false">
      <c r="A114" s="1" t="s">
        <v>413</v>
      </c>
      <c r="B114" s="19" t="s">
        <v>414</v>
      </c>
      <c r="C114" s="1" t="n">
        <v>1035</v>
      </c>
      <c r="E114" s="1" t="n">
        <v>56</v>
      </c>
      <c r="G114" s="1" t="str">
        <f aca="false">IF($F114&lt;&gt;"",_xlfn.CONCAT(VLOOKUP($CE114, Constants!$T:$U, 2, FALSE()),",",$F114),VLOOKUP($CE114, Constants!$T:$U, 2, FALSE()))</f>
        <v>role/express_passenger</v>
      </c>
      <c r="H114" s="1" t="str">
        <f aca="false">IF($G114&lt;&gt;"",_xlfn.CONCAT(VLOOKUP($CG114, Constants!$M:$P, 4, FALSE()),",",$G114),VLOOKUP($CG114, Constants!$M:$P, 4, FALSE()))</f>
        <v>flag/GB,power/steam,role/express_passenger</v>
      </c>
      <c r="I114" s="1" t="s">
        <v>241</v>
      </c>
      <c r="J114" s="1" t="s">
        <v>249</v>
      </c>
      <c r="K114" s="1" t="s">
        <v>250</v>
      </c>
      <c r="L114" s="1" t="s">
        <v>192</v>
      </c>
      <c r="M114" s="1" t="n">
        <v>1913</v>
      </c>
      <c r="O114" s="1" t="n">
        <v>1949</v>
      </c>
      <c r="Q114" s="1" t="n">
        <v>1600</v>
      </c>
      <c r="S114" s="3" t="n">
        <v>15.75</v>
      </c>
      <c r="T114" s="3" t="n">
        <v>26</v>
      </c>
      <c r="U114" s="3" t="n">
        <v>4</v>
      </c>
      <c r="V114" s="3" t="n">
        <v>175</v>
      </c>
      <c r="W114" s="18" t="n">
        <f aca="false">((($AE114/2)/60)*5280)/($X114*3.2*PI())</f>
        <v>177.205442735244</v>
      </c>
      <c r="X114" s="3" t="n">
        <v>2.05</v>
      </c>
      <c r="Y114" s="3" t="n">
        <f aca="false">((($S114*$S114/4)*PI())*($T114/12)*$U114*$V114*$W114)/(33000*1.1)</f>
        <v>1442.48588206763</v>
      </c>
      <c r="Z114" s="1" t="n">
        <v>79</v>
      </c>
      <c r="AA114" s="2" t="n">
        <v>35</v>
      </c>
      <c r="AB114" s="1" t="n">
        <v>5</v>
      </c>
      <c r="AC114" s="1" t="n">
        <v>120</v>
      </c>
      <c r="AD114" s="4" t="n">
        <f aca="false">IF(AND(Z114&gt;0,AC114&gt;0),(AC114/((Z114+AA114)*10)),"")</f>
        <v>0.105263157894737</v>
      </c>
      <c r="AE114" s="1" t="n">
        <v>83</v>
      </c>
      <c r="AF114" s="1" t="n">
        <f aca="false">ROUND(AE114*1.6, 0)</f>
        <v>133</v>
      </c>
      <c r="AH114" s="1" t="n">
        <v>12</v>
      </c>
      <c r="AI114" s="1" t="n">
        <v>12</v>
      </c>
      <c r="AM114" s="1" t="str">
        <f aca="false">CONCATENATE(VLOOKUP(AN114, 'Voxel Sizes'!$A$2:$B$18,2,FALSE()),"x",INT(AJ114*15), "x", INT(AK114*15))</f>
        <v>120x0x0</v>
      </c>
      <c r="AN114" s="16" t="n">
        <f aca="false">ROUND(15*((AI114*10)/256),0)</f>
        <v>7</v>
      </c>
      <c r="AO114" s="1" t="s">
        <v>328</v>
      </c>
      <c r="AP114" s="1" t="str">
        <f aca="false">CONCATENATE(VLOOKUP(AN114,Constants!$A$2:$C$16,IF(AO114&lt;&gt;"", 3, 2), FALSE()),IF(AO114&lt;&gt;"",CONCATENATE(",",VLOOKUP(AO114,$B:$AP,41,FALSE())),""))</f>
        <v>2,3,2,2,1,2</v>
      </c>
      <c r="AX114" s="1" t="n">
        <v>1</v>
      </c>
      <c r="AZ114" s="1" t="n">
        <v>26</v>
      </c>
      <c r="BA114" s="16" t="n">
        <f aca="false">IF(O114&lt;&gt;"",MAX(16,(O114-M114)+8),"")</f>
        <v>44</v>
      </c>
      <c r="BB114" s="1" t="n">
        <v>3</v>
      </c>
      <c r="BD114" s="20" t="n">
        <f aca="false">MIN(AE114/150, 1)*30</f>
        <v>16.6</v>
      </c>
      <c r="BE114" s="20" t="n">
        <f aca="false">MIN(Q114/4000, 1)*20</f>
        <v>8</v>
      </c>
      <c r="BF114" s="20" t="n">
        <f aca="false">MIN(AC114/400,1)*20</f>
        <v>6</v>
      </c>
      <c r="BG114" s="21" t="n">
        <f aca="false">1-(MAX(M114-1900, 0)/750)</f>
        <v>0.982666666666667</v>
      </c>
      <c r="BH114" s="20" t="n">
        <f aca="false">((MAX($P114,1)*MIN($AL114/300,1)))*IF(J114="Wagon",50,10)</f>
        <v>0</v>
      </c>
      <c r="BI114" s="1" t="n">
        <f aca="false">VLOOKUP($K114,Constants!$I:$K, 2, FALSE())</f>
        <v>1.15</v>
      </c>
      <c r="BJ114" s="1" t="n">
        <f aca="false">VLOOKUP($K114,Constants!$I:$K, 3, FALSE())*IF(AND(J114="multiple_unit",AE114&lt;110),0.75,1)</f>
        <v>1.7</v>
      </c>
      <c r="BK114" s="1" t="n">
        <f aca="false">INT(POWER(((Constants!$G$2+$BD114+$BE114+$BF114+$BH114)*$BG114)*$BJ114, 1.05))+$BC114</f>
        <v>72</v>
      </c>
      <c r="BL114" s="1" t="n">
        <f aca="false">INT(POWER((((Constants!$G$1+$BD114+$BE114+$BF114+$BH114)*($BG114))*$BI114),IF($J114="wagon",1,1.2)))+$BB114</f>
        <v>116</v>
      </c>
      <c r="BM114" s="22" t="n">
        <f aca="false">BK114*IF($J114="wagon",62.5,781.25)</f>
        <v>56250</v>
      </c>
      <c r="BN114" s="22" t="n">
        <f aca="false">BL114*IF($J114="wagon",2.73,81.25)</f>
        <v>9425</v>
      </c>
      <c r="BY114" s="1" t="n">
        <v>3</v>
      </c>
      <c r="CD114" s="23" t="s">
        <v>382</v>
      </c>
      <c r="CE114" s="1" t="s">
        <v>282</v>
      </c>
      <c r="CF114" s="23" t="str">
        <f aca="false">CONCATENATE(CD114,"_",CE114)</f>
        <v>edw_Express</v>
      </c>
      <c r="CG114" s="23" t="str">
        <f aca="false">_xlfn.CONCAT(K114, "_",L114)</f>
        <v>steam_RAIL</v>
      </c>
      <c r="CH114" s="7" t="str">
        <f aca="false">_xlfn.CONCAT("{BLACK}Length: {GOLD}", TEXT(ROUNDUP(IF(AS114&lt;&gt;"",SUM(VALUE(_xlfn.TEXTSPLIT(AS114, ","))), SUM(VALUE(_xlfn.TEXTSPLIT(AP114, ",")))*IF(P114, P114, 1))/16, 1), "#,##0.0"), " tiles{}")</f>
        <v>{BLACK}Length: {GOLD}0.8 tiles{}</v>
      </c>
      <c r="CI114" s="1" t="str">
        <f aca="false">IF(0, VLOOKUP($CG114, Constants!$M:$N, 2, FALSE()),"")</f>
        <v/>
      </c>
      <c r="CJ114" s="1" t="str">
        <f aca="false">IF(P114&gt;1,_xlfn.CONCAT("{BLACK}Cars: {GOLD}", P114),"")</f>
        <v/>
      </c>
      <c r="CK114" s="1" t="s">
        <v>415</v>
      </c>
      <c r="CL114" s="1" t="str">
        <f aca="false">IF($BX114="concept_trains","{GREEN}Concept Vehicle",IF($BX114="!param_no_gameplay_units","{GREEN}Included for gameplay purposes",""))</f>
        <v/>
      </c>
      <c r="CM114" s="1" t="str">
        <f aca="false">IF(CA114="buffet","{YELLOW}25% long distance bonus for consist{}",IF(CB114="DANDY","{YELLOW}Faster downhill speeds for horse-drawn trains (1 required per 2 horses){}",IF(CB114="BRAKE","{YELLOW}Speed bonus for slow wagons{}",IF(CB114="NGPassengers","{YELLOW}Preserved railway bonus: passengers pay more when hauled by old locomotives{}",IF(AND(BZ114&gt;190,NOT(AND(L114="NARROW_GAUGE",CB114&lt;&gt;"PASS"))),CONCATENATE("{YELLOW}",INT((BZ114-185)/1.85),"%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{GOLD}0.8 tiles{}{SILVER}The Claughton Class, named after the LNWR's chairman at the time, was unfortunately compromised by the Crewe works being unable to build a large boiler.</v>
      </c>
    </row>
    <row r="115" customFormat="false" ht="14.25" hidden="false" customHeight="false" outlineLevel="0" collapsed="false">
      <c r="A115" s="1" t="s">
        <v>416</v>
      </c>
      <c r="B115" s="15" t="s">
        <v>417</v>
      </c>
      <c r="C115" s="1" t="n">
        <v>135</v>
      </c>
      <c r="E115" s="1" t="n">
        <v>57</v>
      </c>
      <c r="G115" s="1" t="str">
        <f aca="false">IF($F115&lt;&gt;"",_xlfn.CONCAT(VLOOKUP($CE115, Constants!$T:$U, 2, FALSE()),",",$F115),VLOOKUP($CE115, Constants!$T:$U, 2, FALSE()))</f>
        <v>role/freight</v>
      </c>
      <c r="H115" s="1" t="str">
        <f aca="false">IF($G115&lt;&gt;"",_xlfn.CONCAT(VLOOKUP($CG115, Constants!$M:$P, 4, FALSE()),",",$G115),VLOOKUP($CG115, Constants!$M:$P, 4, FALSE()))</f>
        <v>flag/GB,power/electric,role/freight</v>
      </c>
      <c r="I115" s="1" t="s">
        <v>241</v>
      </c>
      <c r="J115" s="1" t="s">
        <v>249</v>
      </c>
      <c r="K115" s="1" t="s">
        <v>388</v>
      </c>
      <c r="L115" s="1" t="s">
        <v>389</v>
      </c>
      <c r="M115" s="1" t="n">
        <v>1914</v>
      </c>
      <c r="N115" s="1" t="n">
        <v>1919</v>
      </c>
      <c r="O115" s="1" t="n">
        <v>1950</v>
      </c>
      <c r="Q115" s="1" t="n">
        <v>1100</v>
      </c>
      <c r="Z115" s="1" t="n">
        <v>76</v>
      </c>
      <c r="AC115" s="1" t="n">
        <v>140</v>
      </c>
      <c r="AD115" s="4" t="n">
        <f aca="false">IF(AND(Z115&gt;0,AC115&gt;0),(AC115/((Z115+AA115)*10)),"")</f>
        <v>0.184210526315789</v>
      </c>
      <c r="AE115" s="1" t="n">
        <v>35</v>
      </c>
      <c r="AF115" s="1" t="n">
        <f aca="false">ROUND(AE115*1.6, 0)</f>
        <v>56</v>
      </c>
      <c r="AH115" s="1" t="n">
        <v>12</v>
      </c>
      <c r="AI115" s="1" t="n">
        <v>12</v>
      </c>
      <c r="AL115" s="5" t="n">
        <v>0</v>
      </c>
      <c r="AM115" s="1" t="str">
        <f aca="false">CONCATENATE(VLOOKUP(AN115, 'Voxel Sizes'!$A$2:$B$18,2,FALSE()),"x",INT(AJ115*15), "x", INT(AK115*15))</f>
        <v>120x0x0</v>
      </c>
      <c r="AN115" s="1" t="n">
        <f aca="false">ROUND(15*((AI115*10)/256),0)</f>
        <v>7</v>
      </c>
      <c r="AP115" s="1" t="str">
        <f aca="false">CONCATENATE(VLOOKUP(AN115,Constants!$A$2:$C$16,IF(AO115&lt;&gt;"", 3, 2), FALSE()),IF(AO115&lt;&gt;"",CONCATENATE(",",VLOOKUP(AO115,$B:$AP,41,FALSE())),""))</f>
        <v>2,3,2</v>
      </c>
      <c r="AZ115" s="1" t="n">
        <v>16</v>
      </c>
      <c r="BA115" s="16" t="n">
        <f aca="false">IF(O115&lt;&gt;"",MAX(16,(O115-M115)+8),"")</f>
        <v>44</v>
      </c>
      <c r="BC115" s="1" t="n">
        <v>8</v>
      </c>
      <c r="BD115" s="1" t="n">
        <f aca="false">MIN(AE115/150, 1)*30</f>
        <v>7</v>
      </c>
      <c r="BE115" s="1" t="n">
        <f aca="false">MIN(Q115/4000, 1)*20</f>
        <v>5.5</v>
      </c>
      <c r="BF115" s="1" t="n">
        <f aca="false">MIN(AC115/400,1)*20</f>
        <v>7</v>
      </c>
      <c r="BG115" s="4" t="n">
        <f aca="false">1-(MAX(M115-1900, 0)/750)</f>
        <v>0.981333333333333</v>
      </c>
      <c r="BH115" s="1" t="n">
        <f aca="false">((MAX($P115,1)*MIN($AL115/300,1)))*IF(J115="Wagon",50,10)</f>
        <v>0</v>
      </c>
      <c r="BI115" s="1" t="n">
        <f aca="false">VLOOKUP($K115,Constants!$I:$K, 2, FALSE())</f>
        <v>0.85</v>
      </c>
      <c r="BJ115" s="1" t="n">
        <f aca="false">VLOOKUP($K115,Constants!$I:$K, 3, FALSE())*IF(AND(J115="multiple_unit",AE115&lt;110),0.75,1)</f>
        <v>2.3</v>
      </c>
      <c r="BK115" s="1" t="n">
        <f aca="false">INT(POWER(((Constants!$G$2+$BD115+$BE115+$BF115+$BH115)*$BG115)*$BJ115, 1.05))+$BC115</f>
        <v>75</v>
      </c>
      <c r="BL115" s="1" t="n">
        <f aca="false">INT(POWER((((Constants!$G$1+$BD115+$BE115+$BF115+$BH115)*($BG115))*$BI115),IF($J115="wagon",1,1.2)))+$BB115</f>
        <v>56</v>
      </c>
      <c r="BM115" s="17" t="n">
        <f aca="false">BK115*IF($J115="wagon",62.5,781.25)</f>
        <v>58593.75</v>
      </c>
      <c r="BN115" s="17" t="n">
        <f aca="false">BL115*IF($J115="wagon",2.73,81.25)</f>
        <v>4550</v>
      </c>
      <c r="BU115" s="1" t="str">
        <f aca="false">IF(J115="locomotive","B","")</f>
        <v>B</v>
      </c>
      <c r="BV115" s="1" t="str">
        <f aca="false">IF($J115="locomotive","B","")</f>
        <v>B</v>
      </c>
      <c r="BY115" s="1" t="n">
        <v>6</v>
      </c>
      <c r="CD115" s="1" t="str">
        <f aca="false">VLOOKUP(M115,Eras!$A$2:$C$10, 2, TRUE())</f>
        <v>edw</v>
      </c>
      <c r="CE115" s="1" t="s">
        <v>390</v>
      </c>
      <c r="CF115" s="1" t="str">
        <f aca="false">CONCATENATE(CD115,"_",CE115)</f>
        <v>edw_Freight (Electric)</v>
      </c>
      <c r="CG115" s="1" t="str">
        <f aca="false">_xlfn.CONCAT(K115, "_",L115)</f>
        <v>electric_ELRL</v>
      </c>
      <c r="CH115" s="7" t="str">
        <f aca="false">_xlfn.CONCAT("{BLACK}Length: {GOLD}", TEXT(ROUNDUP(IF(AS115&lt;&gt;"",SUM(VALUE(_xlfn.TEXTSPLIT(AS115, ","))), SUM(VALUE(_xlfn.TEXTSPLIT(AP115, ",")))*IF(P115, P115, 1))/16, 1), "#,##0.0"), " tiles{}")</f>
        <v>{BLACK}Length: {GOLD}0.5 tiles{}</v>
      </c>
      <c r="CI115" s="1" t="str">
        <f aca="false">IF(0, VLOOKUP($CG115, Constants!$M:$N, 2, FALSE()),"")</f>
        <v/>
      </c>
      <c r="CJ115" s="1" t="str">
        <f aca="false">IF(P115&gt;1,_xlfn.CONCAT("{BLACK}Cars: {GOLD}", P115),"")</f>
        <v/>
      </c>
      <c r="CK115" s="1" t="s">
        <v>418</v>
      </c>
      <c r="CL115" s="1" t="str">
        <f aca="false">IF($BX115="concept_trains","{GREEN}Concept Vehicle",IF($BX115="!param_no_gameplay_units","{GREEN}Included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{GOLD}0.5 tiles{}{SILVER}The LNER EF1 is an early electric freight engine designed for hauling heavy coal trains.</v>
      </c>
    </row>
    <row r="116" customFormat="false" ht="14.25" hidden="false" customHeight="false" outlineLevel="0" collapsed="false">
      <c r="A116" s="1" t="s">
        <v>419</v>
      </c>
      <c r="B116" s="19" t="s">
        <v>420</v>
      </c>
      <c r="C116" s="1" t="n">
        <v>-1</v>
      </c>
      <c r="E116" s="1" t="n">
        <v>58</v>
      </c>
      <c r="G116" s="1" t="str">
        <f aca="false">IF($F116&lt;&gt;"",_xlfn.CONCAT(VLOOKUP($CE116, Constants!$T:$U, 2, FALSE()),",",$F116),VLOOKUP($CE116, Constants!$T:$U, 2, FALSE()))</f>
        <v>role/mixed</v>
      </c>
      <c r="H116" s="1" t="str">
        <f aca="false">IF($G116&lt;&gt;"",_xlfn.CONCAT(VLOOKUP($CG116, Constants!$M:$P, 4, FALSE()),",",$G116),VLOOKUP($CG116, Constants!$M:$P, 4, FALSE()))</f>
        <v>flag/GB,role/mixed</v>
      </c>
      <c r="J116" s="1" t="s">
        <v>40</v>
      </c>
      <c r="K116" s="1" t="s">
        <v>40</v>
      </c>
      <c r="L116" s="1" t="s">
        <v>192</v>
      </c>
      <c r="M116" s="1" t="n">
        <v>1870</v>
      </c>
      <c r="Z116" s="1" t="n">
        <v>42</v>
      </c>
      <c r="AD116" s="4" t="str">
        <f aca="false">IF(AND(Z116&gt;0,AC116&gt;0),(AC116/((Z116+AA116)*10)),"")</f>
        <v/>
      </c>
      <c r="AH116" s="1" t="n">
        <v>7.5</v>
      </c>
      <c r="AI116" s="1" t="n">
        <v>8</v>
      </c>
      <c r="AL116" s="5" t="n">
        <v>0</v>
      </c>
      <c r="AM116" s="1" t="str">
        <f aca="false">CONCATENATE(VLOOKUP(AN116, 'Voxel Sizes'!$A$2:$B$18,2,FALSE()),"x",INT(AJ116*15), "x", INT(AK116*15))</f>
        <v>82x0x0</v>
      </c>
      <c r="AN116" s="16" t="n">
        <f aca="false">ROUND(15*((AI116*10)/256),0)</f>
        <v>5</v>
      </c>
      <c r="AP116" s="1" t="str">
        <f aca="false">CONCATENATE(VLOOKUP(AN116,Constants!$A$2:$C$16,IF(AO116&lt;&gt;"", 3, 2), FALSE()),IF(AO116&lt;&gt;"",CONCATENATE(",",VLOOKUP(AO116,$B:$AP,41,FALSE())),""))</f>
        <v>2,1,2</v>
      </c>
      <c r="AZ116" s="1" t="n">
        <v>30</v>
      </c>
      <c r="BA116" s="16" t="str">
        <f aca="false">IF(O116&lt;&gt;"",MAX(16,(O116-M116)+8),"")</f>
        <v/>
      </c>
      <c r="BD116" s="20" t="n">
        <f aca="false">MIN(AE116/150, 1)*30</f>
        <v>0</v>
      </c>
      <c r="BE116" s="20" t="n">
        <f aca="false">MIN(Q116/4000, 1)*20</f>
        <v>0</v>
      </c>
      <c r="BF116" s="20" t="n">
        <f aca="false">MIN(AC116/400,1)*20</f>
        <v>0</v>
      </c>
      <c r="BG116" s="21" t="n">
        <f aca="false">1-(MAX(M116-1900, 0)/750)</f>
        <v>1</v>
      </c>
      <c r="BH116" s="20" t="n">
        <f aca="false">((MAX($P116,1)*MIN($AL116/300,1)))*IF(J116="Wagon",50,10)</f>
        <v>0</v>
      </c>
      <c r="BI116" s="1" t="n">
        <f aca="false">VLOOKUP($K116,Constants!$I:$K, 2, FALSE())</f>
        <v>0</v>
      </c>
      <c r="BJ116" s="1" t="n">
        <f aca="false">VLOOKUP($K116,Constants!$I:$K, 3, FALSE())*IF(AND(J116="multiple_unit",AE116&lt;110),0.75,1)</f>
        <v>0</v>
      </c>
      <c r="BK116" s="1" t="n">
        <f aca="false">INT(POWER(((Constants!$G$2+$BD116+$BE116+$BF116+$BH116)*$BG116)*$BJ116, 1.05))+$BC116</f>
        <v>0</v>
      </c>
      <c r="BL116" s="1" t="n">
        <f aca="false">INT(POWER((((Constants!$G$1+$BD116+$BE116+$BF116+$BH116)*($BG116))*$BI116),IF($J116="wagon",1,1.2)))+$BB116</f>
        <v>0</v>
      </c>
      <c r="BM116" s="22" t="n">
        <f aca="false">BK116*IF($J116="wagon",62.5,781.25)</f>
        <v>0</v>
      </c>
      <c r="BN116" s="22" t="n">
        <f aca="false">BL116*IF($J116="wagon",2.73,81.25)</f>
        <v>0</v>
      </c>
      <c r="BU116" s="1" t="str">
        <f aca="false">IF(J116="locomotive","B","")</f>
        <v/>
      </c>
      <c r="BV116" s="1" t="s">
        <v>318</v>
      </c>
      <c r="CD116" s="23" t="s">
        <v>306</v>
      </c>
      <c r="CE116" s="1" t="s">
        <v>129</v>
      </c>
      <c r="CF116" s="23" t="str">
        <f aca="false">CONCATENATE(CD116,"_",CE116)</f>
        <v>vct_Mixed Traffic</v>
      </c>
      <c r="CG116" s="23" t="str">
        <f aca="false">_xlfn.CONCAT(K116, "_",L116)</f>
        <v>tender_RAIL</v>
      </c>
      <c r="CH116" s="7" t="str">
        <f aca="false">_xlfn.CONCAT("{BLACK}Length: {GOLD}", TEXT(ROUNDUP(IF(AS116&lt;&gt;"",SUM(VALUE(_xlfn.TEXTSPLIT(AS116, ","))), SUM(VALUE(_xlfn.TEXTSPLIT(AP116, ",")))*IF(P116, P116, 1))/16, 1), "#,##0.0"), " tiles{}")</f>
        <v>{BLACK}Length: {GOLD}0.4 tiles{}</v>
      </c>
      <c r="CI116" s="1" t="str">
        <f aca="false">IF(0, VLOOKUP($CG116, Constants!$M:$N, 2, FALSE()),"")</f>
        <v/>
      </c>
      <c r="CJ116" s="1" t="str">
        <f aca="false">IF(P116&gt;1,_xlfn.CONCAT("{BLACK}Cars: {GOLD}", P116),"")</f>
        <v/>
      </c>
      <c r="CL116" s="1" t="str">
        <f aca="false">IF($BX116="concept_trains","{GREEN}Concept Vehicle",IF($BX116="!param_no_gameplay_units","{GREEN}Included for gameplay purposes",""))</f>
        <v/>
      </c>
      <c r="CM116" s="1" t="str">
        <f aca="false">IF(CA116="buffet","{YELLOW}25% long distance bonus for consist{}",IF(CB116="DANDY","{YELLOW}Faster downhill speeds for horse-drawn trains (1 required per 2 horses){}",IF(CB116="BRAKE","{YELLOW}Speed bonus for slow wagons{}",IF(CB116="NGPassengers","{YELLOW}Preserved railway bonus: passengers pay more when hauled by old locomotives{}",IF(AND(BZ116&gt;190,NOT(AND(L116="NARROW_GAUGE",CB116&lt;&gt;"PASS"))),CONCATENATE("{YELLOW}",INT((BZ116-185)/1.85),"%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{GOLD}0.4 tiles{}{SILVER}</v>
      </c>
    </row>
    <row r="117" customFormat="false" ht="14.25" hidden="false" customHeight="false" outlineLevel="0" collapsed="false">
      <c r="A117" s="1" t="s">
        <v>421</v>
      </c>
      <c r="B117" s="19" t="s">
        <v>422</v>
      </c>
      <c r="C117" s="1" t="n">
        <v>1036</v>
      </c>
      <c r="E117" s="1" t="n">
        <v>59</v>
      </c>
      <c r="G117" s="1" t="str">
        <f aca="false">IF($F117&lt;&gt;"",_xlfn.CONCAT(VLOOKUP($CE117, Constants!$T:$U, 2, FALSE()),",",$F117),VLOOKUP($CE117, Constants!$T:$U, 2, FALSE()))</f>
        <v>role/express_passenger</v>
      </c>
      <c r="H117" s="1" t="str">
        <f aca="false">IF($G117&lt;&gt;"",_xlfn.CONCAT(VLOOKUP($CG117, Constants!$M:$P, 4, FALSE()),",",$G117),VLOOKUP($CG117, Constants!$M:$P, 4, FALSE()))</f>
        <v>flag/GB,power/steam,role/express_passenger</v>
      </c>
      <c r="I117" s="1" t="s">
        <v>241</v>
      </c>
      <c r="J117" s="1" t="s">
        <v>249</v>
      </c>
      <c r="K117" s="1" t="s">
        <v>250</v>
      </c>
      <c r="L117" s="1" t="s">
        <v>192</v>
      </c>
      <c r="M117" s="1" t="n">
        <v>1917</v>
      </c>
      <c r="O117" s="1" t="n">
        <v>1949</v>
      </c>
      <c r="Q117" s="1" t="n">
        <v>1650</v>
      </c>
      <c r="S117" s="3" t="n">
        <v>16</v>
      </c>
      <c r="T117" s="3" t="n">
        <v>26</v>
      </c>
      <c r="U117" s="3" t="n">
        <v>4</v>
      </c>
      <c r="V117" s="3" t="n">
        <v>180</v>
      </c>
      <c r="W117" s="18" t="n">
        <f aca="false">((($AE117/2)/60)*5280)/($X117*3.2*PI())</f>
        <v>191.217710753612</v>
      </c>
      <c r="X117" s="3" t="n">
        <v>2.06</v>
      </c>
      <c r="Y117" s="3" t="n">
        <f aca="false">((($S117*$S117/4)*PI())*($T117/12)*$U117*$V117*$W117)/(33000*1.1)</f>
        <v>1652.2506619594</v>
      </c>
      <c r="Z117" s="1" t="n">
        <v>86</v>
      </c>
      <c r="AA117" s="2" t="n">
        <v>35</v>
      </c>
      <c r="AB117" s="1" t="n">
        <v>5</v>
      </c>
      <c r="AC117" s="1" t="n">
        <v>112</v>
      </c>
      <c r="AD117" s="4" t="n">
        <f aca="false">IF(AND(Z117&gt;0,AC117&gt;0),(AC117/((Z117+AA117)*10)),"")</f>
        <v>0.0925619834710744</v>
      </c>
      <c r="AE117" s="1" t="n">
        <v>90</v>
      </c>
      <c r="AF117" s="1" t="n">
        <f aca="false">ROUND(AE117*1.6, 0)</f>
        <v>144</v>
      </c>
      <c r="AH117" s="1" t="n">
        <v>12</v>
      </c>
      <c r="AI117" s="1" t="n">
        <v>12</v>
      </c>
      <c r="AM117" s="1" t="str">
        <f aca="false">CONCATENATE(VLOOKUP(AN117, 'Voxel Sizes'!$A$2:$B$18,2,FALSE()),"x",INT(AJ117*15), "x", INT(AK117*15))</f>
        <v>120x0x0</v>
      </c>
      <c r="AN117" s="16" t="n">
        <f aca="false">ROUND(15*((AI117*10)/256),0)</f>
        <v>7</v>
      </c>
      <c r="AO117" s="1" t="s">
        <v>420</v>
      </c>
      <c r="AP117" s="1" t="str">
        <f aca="false">CONCATENATE(VLOOKUP(AN117,Constants!$A$2:$C$16,IF(AO117&lt;&gt;"", 3, 2), FALSE()),IF(AO117&lt;&gt;"",CONCATENATE(",",VLOOKUP(AO117,$B:$AP,41,FALSE())),""))</f>
        <v>2,3,2,2,1,2</v>
      </c>
      <c r="AX117" s="1" t="n">
        <v>1</v>
      </c>
      <c r="AZ117" s="1" t="n">
        <v>27</v>
      </c>
      <c r="BA117" s="16" t="n">
        <f aca="false">IF(O117&lt;&gt;"",MAX(16,(O117-M117)+8),"")</f>
        <v>40</v>
      </c>
      <c r="BB117" s="1" t="n">
        <v>7</v>
      </c>
      <c r="BC117" s="1" t="n">
        <v>4</v>
      </c>
      <c r="BD117" s="20" t="n">
        <f aca="false">MIN(AE117/150, 1)*30</f>
        <v>18</v>
      </c>
      <c r="BE117" s="20" t="n">
        <f aca="false">MIN(Q117/4000, 1)*20</f>
        <v>8.25</v>
      </c>
      <c r="BF117" s="20" t="n">
        <f aca="false">MIN(AC117/400,1)*20</f>
        <v>5.6</v>
      </c>
      <c r="BG117" s="21" t="n">
        <f aca="false">1-(MAX(M117-1900, 0)/750)</f>
        <v>0.977333333333333</v>
      </c>
      <c r="BH117" s="20" t="n">
        <f aca="false">((MAX($P117,1)*MIN($AL117/300,1)))*IF(J117="Wagon",50,10)</f>
        <v>0</v>
      </c>
      <c r="BI117" s="1" t="n">
        <f aca="false">VLOOKUP($K117,Constants!$I:$K, 2, FALSE())</f>
        <v>1.15</v>
      </c>
      <c r="BJ117" s="1" t="n">
        <f aca="false">VLOOKUP($K117,Constants!$I:$K, 3, FALSE())*IF(AND(J117="multiple_unit",AE117&lt;110),0.75,1)</f>
        <v>1.7</v>
      </c>
      <c r="BK117" s="1" t="n">
        <f aca="false">INT(POWER(((Constants!$G$2+$BD117+$BE117+$BF117+$BH117)*$BG117)*$BJ117, 1.05))+$BC117</f>
        <v>79</v>
      </c>
      <c r="BL117" s="1" t="n">
        <f aca="false">INT(POWER((((Constants!$G$1+$BD117+$BE117+$BF117+$BH117)*($BG117))*$BI117),IF($J117="wagon",1,1.2)))+$BB117</f>
        <v>123</v>
      </c>
      <c r="BM117" s="22" t="n">
        <f aca="false">BK117*IF($J117="wagon",62.5,781.25)</f>
        <v>61718.75</v>
      </c>
      <c r="BN117" s="22" t="n">
        <f aca="false">BL117*IF($J117="wagon",2.73,81.25)</f>
        <v>9993.75</v>
      </c>
      <c r="BY117" s="1" t="n">
        <v>3</v>
      </c>
      <c r="CD117" s="23" t="s">
        <v>382</v>
      </c>
      <c r="CE117" s="1" t="s">
        <v>282</v>
      </c>
      <c r="CF117" s="23" t="str">
        <f aca="false">CONCATENATE(CD117,"_",CE117)</f>
        <v>edw_Express</v>
      </c>
      <c r="CG117" s="23" t="str">
        <f aca="false">_xlfn.CONCAT(K117, "_",L117)</f>
        <v>steam_RAIL</v>
      </c>
      <c r="CH117" s="7" t="str">
        <f aca="false">_xlfn.CONCAT("{BLACK}Length: {GOLD}", TEXT(ROUNDUP(IF(AS117&lt;&gt;"",SUM(VALUE(_xlfn.TEXTSPLIT(AS117, ","))), SUM(VALUE(_xlfn.TEXTSPLIT(AP117, ",")))*IF(P117, P117, 1))/16, 1), "#,##0.0"), " tiles{}")</f>
        <v>{BLACK}Length: {GOLD}0.8 tiles{}</v>
      </c>
      <c r="CI117" s="1" t="str">
        <f aca="false">IF(0, VLOOKUP($CG117, Constants!$M:$N, 2, FALSE()),"")</f>
        <v/>
      </c>
      <c r="CJ117" s="1" t="str">
        <f aca="false">IF(P117&gt;1,_xlfn.CONCAT("{BLACK}Cars: {GOLD}", P117),"")</f>
        <v/>
      </c>
      <c r="CK117" s="1" t="s">
        <v>423</v>
      </c>
      <c r="CL117" s="1" t="str">
        <f aca="false">IF($BX117="concept_trains","{GREEN}Concept Vehicle",IF($BX117="!param_no_gameplay_units","{GREEN}Included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{GOLD}0.8 tiles{}{SILVER}Robinson's 9P was a four-cylinder express locotive introduced toward the end of his time at the GCR. Early versions suffered from high coal consumption due to narrow steam passages.</v>
      </c>
    </row>
    <row r="118" customFormat="false" ht="14.25" hidden="false" customHeight="false" outlineLevel="0" collapsed="false">
      <c r="A118" s="1" t="s">
        <v>424</v>
      </c>
      <c r="B118" s="15" t="s">
        <v>425</v>
      </c>
      <c r="C118" s="1" t="n">
        <v>132</v>
      </c>
      <c r="E118" s="1" t="n">
        <v>60</v>
      </c>
      <c r="G118" s="1" t="str">
        <f aca="false">IF($F118&lt;&gt;"",_xlfn.CONCAT(VLOOKUP($CE118, Constants!$T:$U, 2, FALSE()),",",$F118),VLOOKUP($CE118, Constants!$T:$U, 2, FALSE()))</f>
        <v>role/freight</v>
      </c>
      <c r="H118" s="1" t="str">
        <f aca="false">IF($G118&lt;&gt;"",_xlfn.CONCAT(VLOOKUP($CG118, Constants!$M:$P, 4, FALSE()),",",$G118),VLOOKUP($CG118, Constants!$M:$P, 4, FALSE()))</f>
        <v>flag/GB,power/steam,role/freight</v>
      </c>
      <c r="I118" s="1" t="s">
        <v>241</v>
      </c>
      <c r="J118" s="1" t="s">
        <v>249</v>
      </c>
      <c r="K118" s="1" t="s">
        <v>250</v>
      </c>
      <c r="L118" s="1" t="s">
        <v>192</v>
      </c>
      <c r="M118" s="1" t="n">
        <v>1919</v>
      </c>
      <c r="O118" s="1" t="n">
        <v>1956</v>
      </c>
      <c r="Q118" s="1" t="n">
        <v>1400</v>
      </c>
      <c r="S118" s="3" t="n">
        <v>16.75</v>
      </c>
      <c r="T118" s="3" t="n">
        <v>28</v>
      </c>
      <c r="U118" s="3" t="n">
        <v>4</v>
      </c>
      <c r="V118" s="3" t="n">
        <v>180</v>
      </c>
      <c r="W118" s="18" t="n">
        <f aca="false">((($AE118/2)/60)*5280)/($X118*3.2*PI())</f>
        <v>125.050312429346</v>
      </c>
      <c r="X118" s="3" t="n">
        <v>1.4</v>
      </c>
      <c r="Y118" s="3" t="n">
        <f aca="false">((($S118*$S118/4)*PI())*($T118/12)*$U118*$V118*$W118)/(33000*1.1)</f>
        <v>1275.28409090909</v>
      </c>
      <c r="Z118" s="1" t="n">
        <v>74.8</v>
      </c>
      <c r="AA118" s="2" t="n">
        <f aca="false">106.7-74.8</f>
        <v>31.9</v>
      </c>
      <c r="AC118" s="1" t="n">
        <v>193</v>
      </c>
      <c r="AD118" s="4" t="n">
        <f aca="false">IF(AND(Z118&gt;0,AC118&gt;0),(AC118/((Z118+AA118)*10)),"")</f>
        <v>0.180880974695408</v>
      </c>
      <c r="AE118" s="1" t="n">
        <v>40</v>
      </c>
      <c r="AF118" s="1" t="n">
        <f aca="false">ROUND(AE118*1.6, 0)</f>
        <v>64</v>
      </c>
      <c r="AI118" s="1" t="n">
        <v>13</v>
      </c>
      <c r="AL118" s="5" t="n">
        <v>0</v>
      </c>
      <c r="AM118" s="1" t="str">
        <f aca="false">CONCATENATE(VLOOKUP(AN118, 'Voxel Sizes'!$A$2:$B$18,2,FALSE()),"x",INT(AJ118*15), "x", INT(AK118*15))</f>
        <v>136x0x0</v>
      </c>
      <c r="AN118" s="1" t="n">
        <f aca="false">ROUND(15*((AI118*10)/256),0)</f>
        <v>8</v>
      </c>
      <c r="AO118" s="1" t="s">
        <v>216</v>
      </c>
      <c r="AP118" s="1" t="str">
        <f aca="false">CONCATENATE(VLOOKUP(AN118,Constants!$A$2:$C$16,IF(AO118&lt;&gt;"", 3, 2), FALSE()),IF(AO118&lt;&gt;"",CONCATENATE(",",VLOOKUP(AO118,$B:$AP,41,FALSE())),""))</f>
        <v>2,4,2,2,1,2</v>
      </c>
      <c r="AX118" s="1" t="n">
        <v>1</v>
      </c>
      <c r="AZ118" s="1" t="n">
        <v>31</v>
      </c>
      <c r="BA118" s="16" t="n">
        <f aca="false">IF(O118&lt;&gt;"",MAX(16,(O118-M118)+8),"")</f>
        <v>45</v>
      </c>
      <c r="BC118" s="1" t="n">
        <v>4</v>
      </c>
      <c r="BD118" s="1" t="n">
        <f aca="false">MIN(AE118/150, 1)*30</f>
        <v>8</v>
      </c>
      <c r="BE118" s="1" t="n">
        <f aca="false">MIN(Q118/4000, 1)*20</f>
        <v>7</v>
      </c>
      <c r="BF118" s="1" t="n">
        <f aca="false">MIN(AC118/400,1)*20</f>
        <v>9.65</v>
      </c>
      <c r="BG118" s="4" t="n">
        <f aca="false">1-(MAX(M118-1900, 0)/750)</f>
        <v>0.974666666666667</v>
      </c>
      <c r="BH118" s="1"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63</v>
      </c>
      <c r="BL118" s="1" t="n">
        <f aca="false">INT(POWER((((Constants!$G$1+$BD118+$BE118+$BF118+$BH118)*($BG118))*$BI118),IF($J118="wagon",1,1.2)))+$BB118</f>
        <v>94</v>
      </c>
      <c r="BM118" s="17" t="n">
        <f aca="false">BK118*IF($J118="wagon",62.5,781.25)</f>
        <v>49218.75</v>
      </c>
      <c r="BN118" s="17" t="n">
        <f aca="false">BL118*IF($J118="wagon",2.73,81.25)</f>
        <v>7637.5</v>
      </c>
      <c r="BU118" s="1" t="s">
        <v>426</v>
      </c>
      <c r="BY118" s="1" t="n">
        <v>3</v>
      </c>
      <c r="CD118" s="1" t="str">
        <f aca="false">VLOOKUP(M118,Eras!$A$2:$C$10, 2, TRUE())</f>
        <v>edw</v>
      </c>
      <c r="CE118" s="1" t="s">
        <v>132</v>
      </c>
      <c r="CF118" s="1" t="str">
        <f aca="false">CONCATENATE(CD118,"_",CE118)</f>
        <v>edw_Freight</v>
      </c>
      <c r="CG118" s="1" t="str">
        <f aca="false">_xlfn.CONCAT(K118, "_",L118)</f>
        <v>steam_RAIL</v>
      </c>
      <c r="CH118" s="7" t="str">
        <f aca="false">_xlfn.CONCAT("{BLACK}Length: {GOLD}", TEXT(ROUNDUP(IF(AS118&lt;&gt;"",SUM(VALUE(_xlfn.TEXTSPLIT(AS118, ","))), SUM(VALUE(_xlfn.TEXTSPLIT(AP118, ",")))*IF(P118, P118, 1))/16, 1), "#,##0.0"), " tiles{}")</f>
        <v>{BLACK}Length: {GOLD}0.9 tiles{}</v>
      </c>
      <c r="CI118" s="1" t="str">
        <f aca="false">IF(0, VLOOKUP($CG118, Constants!$M:$N, 2, FALSE()),"")</f>
        <v/>
      </c>
      <c r="CJ118" s="1" t="str">
        <f aca="false">IF(P118&gt;1,_xlfn.CONCAT("{BLACK}Cars: {GOLD}", P118),"")</f>
        <v/>
      </c>
      <c r="CK118" s="1" t="s">
        <v>427</v>
      </c>
      <c r="CL118" s="1" t="str">
        <f aca="false">IF($BX118="concept_trains","{GREEN}Concept Vehicle",IF($BX118="!param_no_gameplay_units","{GREEN}Included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{GOLD}0.9 tiles{}{SILVER}The "Lickey Banker" was a single 0-10-0 engine built to help add power and tractive effort to trains climbing the 1 in 37 Lickey Incline.</v>
      </c>
    </row>
    <row r="119" customFormat="false" ht="14.25" hidden="false" customHeight="false" outlineLevel="0" collapsed="false">
      <c r="A119" s="1" t="s">
        <v>428</v>
      </c>
      <c r="B119" s="15" t="s">
        <v>429</v>
      </c>
      <c r="C119" s="1" t="n">
        <v>134</v>
      </c>
      <c r="E119" s="1" t="n">
        <v>61</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241</v>
      </c>
      <c r="J119" s="1" t="s">
        <v>249</v>
      </c>
      <c r="K119" s="1" t="s">
        <v>250</v>
      </c>
      <c r="L119" s="1" t="s">
        <v>192</v>
      </c>
      <c r="M119" s="1" t="n">
        <v>1920</v>
      </c>
      <c r="O119" s="1" t="n">
        <v>1960</v>
      </c>
      <c r="Q119" s="1" t="n">
        <v>1250</v>
      </c>
      <c r="S119" s="3" t="n">
        <v>20</v>
      </c>
      <c r="T119" s="3" t="n">
        <v>28</v>
      </c>
      <c r="U119" s="3" t="n">
        <v>2</v>
      </c>
      <c r="V119" s="3" t="n">
        <v>180</v>
      </c>
      <c r="W119" s="18" t="n">
        <f aca="false">((($AE119/2)/60)*5280)/($X119*3.2*PI())</f>
        <v>175.070437401085</v>
      </c>
      <c r="X119" s="3" t="n">
        <v>1.5</v>
      </c>
      <c r="Y119" s="3" t="n">
        <f aca="false">((($S119*$S119/4)*PI())*($T119/12)*$U119*$V119*$W119)/(33000*1.1)</f>
        <v>1272.72727272727</v>
      </c>
      <c r="Z119" s="1" t="n">
        <v>55.6</v>
      </c>
      <c r="AA119" s="2" t="n">
        <v>32</v>
      </c>
      <c r="AC119" s="1" t="n">
        <v>129</v>
      </c>
      <c r="AD119" s="4" t="n">
        <f aca="false">IF(AND(Z119&gt;0,AC119&gt;0),(AC119/((Z119+AA119)*10)),"")</f>
        <v>0.147260273972603</v>
      </c>
      <c r="AE119" s="1" t="n">
        <v>60</v>
      </c>
      <c r="AF119" s="1" t="n">
        <f aca="false">ROUND(AE119*1.6, 0)</f>
        <v>96</v>
      </c>
      <c r="AH119" s="1" t="n">
        <v>16.61</v>
      </c>
      <c r="AI119" s="1" t="n">
        <v>10</v>
      </c>
      <c r="AL119" s="5" t="n">
        <v>0</v>
      </c>
      <c r="AM119" s="1" t="str">
        <f aca="false">CONCATENATE(VLOOKUP(AN119, 'Voxel Sizes'!$A$2:$B$18,2,FALSE()),"x",INT(AJ119*15), "x", INT(AK119*15))</f>
        <v>102x0x0</v>
      </c>
      <c r="AN119" s="1" t="n">
        <f aca="false">ROUND(15*((AI119*10)/256),0)</f>
        <v>6</v>
      </c>
      <c r="AO119" s="1" t="s">
        <v>218</v>
      </c>
      <c r="AP119" s="1" t="str">
        <f aca="false">CONCATENATE(VLOOKUP(AN119,Constants!$A$2:$C$16,IF(AO119&lt;&gt;"", 3, 2), FALSE()),IF(AO119&lt;&gt;"",CONCATENATE(",",VLOOKUP(AO119,$B:$AP,41,FALSE())),""))</f>
        <v>2,2,2,2,1,2</v>
      </c>
      <c r="AX119" s="1" t="n">
        <v>1</v>
      </c>
      <c r="AZ119" s="1" t="n">
        <v>30</v>
      </c>
      <c r="BA119" s="16" t="n">
        <f aca="false">IF(O119&lt;&gt;"",MAX(16,(O119-M119)+8),"")</f>
        <v>48</v>
      </c>
      <c r="BD119" s="1" t="n">
        <f aca="false">MIN(AE119/150, 1)*30</f>
        <v>12</v>
      </c>
      <c r="BE119" s="1" t="n">
        <f aca="false">MIN(Q119/4000, 1)*20</f>
        <v>6.25</v>
      </c>
      <c r="BF119" s="1" t="n">
        <f aca="false">MIN(AC119/400,1)*20</f>
        <v>6.45</v>
      </c>
      <c r="BG119" s="4" t="n">
        <f aca="false">1-(MAX(M119-1900, 0)/750)</f>
        <v>0.973333333333333</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59</v>
      </c>
      <c r="BL119" s="1" t="n">
        <f aca="false">INT(POWER((((Constants!$G$1+$BD119+$BE119+$BF119+$BH119)*($BG119))*$BI119),IF($J119="wagon",1,1.2)))+$BB119</f>
        <v>94</v>
      </c>
      <c r="BM119" s="17" t="n">
        <f aca="false">BK119*IF($J119="wagon",62.5,781.25)</f>
        <v>46093.75</v>
      </c>
      <c r="BN119" s="17" t="n">
        <f aca="false">BL119*IF($J119="wagon",2.73,81.25)</f>
        <v>7637.5</v>
      </c>
      <c r="BY119" s="1" t="n">
        <v>4</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{GOLD}0.7 tiles{}</v>
      </c>
      <c r="CI119" s="1" t="str">
        <f aca="false">IF(0, VLOOKUP($CG119, Constants!$M:$N, 2, FALSE()),"")</f>
        <v/>
      </c>
      <c r="CJ119" s="1" t="str">
        <f aca="false">IF(P119&gt;1,_xlfn.CONCAT("{BLACK}Cars: {GOLD}", P119),"")</f>
        <v/>
      </c>
      <c r="CK119" s="1" t="s">
        <v>430</v>
      </c>
      <c r="CL119" s="1" t="str">
        <f aca="false">IF($BX119="concept_trains","{GREEN}Concept Vehicle",IF($BX119="!param_no_gameplay_units","{GREEN}Included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D81 (later LNER J20 Class) continued the GER's habit of building powerful 0-6-0s, and remained the most powerful British 0-6-0 tender locomotive for over twenty years.</v>
      </c>
    </row>
    <row r="120" customFormat="false" ht="14.25" hidden="false" customHeight="false" outlineLevel="0" collapsed="false">
      <c r="A120" s="1" t="s">
        <v>431</v>
      </c>
      <c r="B120" s="15" t="s">
        <v>432</v>
      </c>
      <c r="C120" s="1" t="n">
        <v>137</v>
      </c>
      <c r="E120" s="1" t="n">
        <v>62</v>
      </c>
      <c r="G120" s="1" t="str">
        <f aca="false">IF($F120&lt;&gt;"",_xlfn.CONCAT(VLOOKUP($CE120, Constants!$T:$U, 2, FALSE()),",",$F120),VLOOKUP($CE120, Constants!$T:$U, 2, FALSE()))</f>
        <v>role/mixed</v>
      </c>
      <c r="H120" s="1" t="str">
        <f aca="false">IF($G120&lt;&gt;"",_xlfn.CONCAT(VLOOKUP($CG120, Constants!$M:$P, 4, FALSE()),",",$G120),VLOOKUP($CG120, Constants!$M:$P, 4, FALSE()))</f>
        <v>flag/GB,power/steam,role/mixed</v>
      </c>
      <c r="I120" s="1" t="s">
        <v>241</v>
      </c>
      <c r="J120" s="1" t="s">
        <v>249</v>
      </c>
      <c r="K120" s="1" t="s">
        <v>250</v>
      </c>
      <c r="L120" s="1" t="s">
        <v>192</v>
      </c>
      <c r="M120" s="1" t="n">
        <v>1921</v>
      </c>
      <c r="O120" s="1" t="n">
        <v>1962</v>
      </c>
      <c r="Q120" s="1" t="n">
        <v>450</v>
      </c>
      <c r="S120" s="3" t="n">
        <v>15</v>
      </c>
      <c r="T120" s="3" t="n">
        <v>22</v>
      </c>
      <c r="U120" s="3" t="n">
        <v>2</v>
      </c>
      <c r="V120" s="3" t="n">
        <v>160</v>
      </c>
      <c r="W120" s="18" t="n">
        <f aca="false">((($AE120/2)/60)*5280)/($X120*3.2*PI())</f>
        <v>159.154943091895</v>
      </c>
      <c r="X120" s="3" t="n">
        <v>1.1</v>
      </c>
      <c r="Y120" s="3" t="n">
        <f aca="false">((($S120*$S120/4)*PI())*($T120/12)*$U120*$V120*$W120)/(33000*1.1)</f>
        <v>454.545454545454</v>
      </c>
      <c r="Z120" s="1" t="n">
        <v>33.3</v>
      </c>
      <c r="AC120" s="1" t="n">
        <v>65</v>
      </c>
      <c r="AD120" s="4" t="n">
        <f aca="false">IF(AND(Z120&gt;0,AC120&gt;0),(AC120/((Z120+AA120)*10)),"")</f>
        <v>0.195195195195195</v>
      </c>
      <c r="AE120" s="1" t="n">
        <v>40</v>
      </c>
      <c r="AF120" s="1" t="n">
        <f aca="false">ROUND(AE120*1.6, 0)</f>
        <v>64</v>
      </c>
      <c r="AI120" s="1" t="n">
        <v>8</v>
      </c>
      <c r="AL120" s="5" t="n">
        <v>0</v>
      </c>
      <c r="AM120" s="1" t="str">
        <f aca="false">CONCATENATE(VLOOKUP(AN120, 'Voxel Sizes'!$A$2:$B$18,2,FALSE()),"x",INT(AJ120*15), "x", INT(AK120*15))</f>
        <v>82x0x0</v>
      </c>
      <c r="AN120" s="1" t="n">
        <f aca="false">ROUND(15*((AI120*10)/256),0)</f>
        <v>5</v>
      </c>
      <c r="AP120" s="1" t="str">
        <f aca="false">CONCATENATE(VLOOKUP(AN120,Constants!$A$2:$C$16,IF(AO120&lt;&gt;"", 3, 2), FALSE()),IF(AO120&lt;&gt;"",CONCATENATE(",",VLOOKUP(AO120,$B:$AP,41,FALSE())),""))</f>
        <v>2,1,2</v>
      </c>
      <c r="AX120" s="1" t="n">
        <v>1</v>
      </c>
      <c r="AZ120" s="1" t="n">
        <v>33</v>
      </c>
      <c r="BA120" s="16" t="n">
        <f aca="false">IF(O120&lt;&gt;"",MAX(16,(O120-M120)+8),"")</f>
        <v>49</v>
      </c>
      <c r="BB120" s="1" t="n">
        <v>-15</v>
      </c>
      <c r="BC120" s="1" t="n">
        <v>-9</v>
      </c>
      <c r="BD120" s="1" t="n">
        <f aca="false">MIN(AE120/150, 1)*30</f>
        <v>8</v>
      </c>
      <c r="BE120" s="1" t="n">
        <f aca="false">MIN(Q120/4000, 1)*20</f>
        <v>2.25</v>
      </c>
      <c r="BF120" s="1" t="n">
        <f aca="false">MIN(AC120/400,1)*20</f>
        <v>3.25</v>
      </c>
      <c r="BG120" s="4" t="n">
        <f aca="false">1-(MAX(M120-1900, 0)/750)</f>
        <v>0.972</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27</v>
      </c>
      <c r="BL120" s="1" t="n">
        <f aca="false">INT(POWER((((Constants!$G$1+$BD120+$BE120+$BF120+$BH120)*($BG120))*$BI120),IF($J120="wagon",1,1.2)))+$BB120</f>
        <v>48</v>
      </c>
      <c r="BM120" s="17" t="n">
        <f aca="false">BK120*IF($J120="wagon",62.5,781.25)</f>
        <v>21093.75</v>
      </c>
      <c r="BN120" s="17" t="n">
        <f aca="false">BL120*IF($J120="wagon",2.73,81.25)</f>
        <v>3900</v>
      </c>
      <c r="BY120" s="1" t="n">
        <v>6</v>
      </c>
      <c r="CD120" s="1" t="str">
        <f aca="false">VLOOKUP(M120,Eras!$A$2:$C$10, 2, TRUE())</f>
        <v>edw</v>
      </c>
      <c r="CE120" s="1" t="s">
        <v>356</v>
      </c>
      <c r="CF120" s="1" t="str">
        <f aca="false">CONCATENATE(CD120,"_",CE120)</f>
        <v>edw_Cheap</v>
      </c>
      <c r="CG120" s="1" t="str">
        <f aca="false">_xlfn.CONCAT(K120, "_",L120)</f>
        <v>steam_RAIL</v>
      </c>
      <c r="CH120" s="7" t="str">
        <f aca="false">_xlfn.CONCAT("{BLACK}Length: {GOLD}", TEXT(ROUNDUP(IF(AS120&lt;&gt;"",SUM(VALUE(_xlfn.TEXTSPLIT(AS120, ","))), SUM(VALUE(_xlfn.TEXTSPLIT(AP120, ",")))*IF(P120, P120, 1))/16, 1), "#,##0.0"), " tiles{}")</f>
        <v>{BLACK}Length: {GOLD}0.4 tiles{}</v>
      </c>
      <c r="CI120" s="1" t="str">
        <f aca="false">IF(0, VLOOKUP($CG120, Constants!$M:$N, 2, FALSE()),"")</f>
        <v/>
      </c>
      <c r="CJ120" s="1" t="str">
        <f aca="false">IF(P120&gt;1,_xlfn.CONCAT("{BLACK}Cars: {GOLD}", P120),"")</f>
        <v/>
      </c>
      <c r="CK120" s="1" t="s">
        <v>433</v>
      </c>
      <c r="CL120" s="1" t="str">
        <f aca="false">IF($BX120="concept_trains","{GREEN}Concept Vehicle",IF($BX120="!param_no_gameplay_units","{GREEN}Included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{GOLD}0.4 tiles{}{SILVER}The 1528 class is a small 0-4-0 tank engine. Designed for shunting, it was built in two batches, the first in 1907 and the second (as here) with minor detail changes in 1921</v>
      </c>
    </row>
    <row r="121" customFormat="false" ht="14.25" hidden="false" customHeight="false" outlineLevel="0" collapsed="false">
      <c r="A121" s="1" t="s">
        <v>434</v>
      </c>
      <c r="B121" s="15" t="s">
        <v>435</v>
      </c>
      <c r="C121" s="1" t="n">
        <v>139</v>
      </c>
      <c r="E121" s="1" t="n">
        <v>63</v>
      </c>
      <c r="G121" s="1" t="str">
        <f aca="false">IF($F121&lt;&gt;"",_xlfn.CONCAT(VLOOKUP($CE121, Constants!$T:$U, 2, FALSE()),",",$F121),VLOOKUP($CE121, Constants!$T:$U, 2, FALSE()))</f>
        <v>role/freight</v>
      </c>
      <c r="H121" s="1" t="str">
        <f aca="false">IF($G121&lt;&gt;"",_xlfn.CONCAT(VLOOKUP($CG121, Constants!$M:$P, 4, FALSE()),",",$G121),VLOOKUP($CG121, Constants!$M:$P, 4, FALSE()))</f>
        <v>flag/GB,power/steam,role/freight</v>
      </c>
      <c r="I121" s="1" t="s">
        <v>241</v>
      </c>
      <c r="J121" s="1" t="s">
        <v>249</v>
      </c>
      <c r="K121" s="1" t="s">
        <v>250</v>
      </c>
      <c r="L121" s="1" t="s">
        <v>192</v>
      </c>
      <c r="M121" s="1" t="n">
        <v>1921</v>
      </c>
      <c r="N121" s="1" t="n">
        <v>1922</v>
      </c>
      <c r="O121" s="1" t="n">
        <v>1964</v>
      </c>
      <c r="Q121" s="1" t="n">
        <v>1000</v>
      </c>
      <c r="S121" s="3" t="n">
        <v>20.5</v>
      </c>
      <c r="T121" s="3" t="n">
        <v>24</v>
      </c>
      <c r="U121" s="3" t="n">
        <v>2</v>
      </c>
      <c r="V121" s="3" t="n">
        <v>175</v>
      </c>
      <c r="W121" s="18" t="n">
        <f aca="false">((($AE121/2)/60)*5280)/($X121*3.2*PI())</f>
        <v>157.437443706012</v>
      </c>
      <c r="X121" s="3" t="n">
        <v>1.39</v>
      </c>
      <c r="Y121" s="3" t="n">
        <f aca="false">((($S121*$S121/4)*PI())*($T121/12)*$U121*$V121*$W121)/(33000*1.1)</f>
        <v>1002.06766405058</v>
      </c>
      <c r="Z121" s="1" t="n">
        <v>63</v>
      </c>
      <c r="AA121" s="2" t="n">
        <f aca="false">104.4-63</f>
        <v>41.4</v>
      </c>
      <c r="AC121" s="1" t="n">
        <v>125</v>
      </c>
      <c r="AD121" s="4" t="n">
        <f aca="false">IF(AND(Z121&gt;0,AC121&gt;0),(AC121/((Z121+AA121)*10)),"")</f>
        <v>0.119731800766284</v>
      </c>
      <c r="AE121" s="1" t="n">
        <v>50</v>
      </c>
      <c r="AF121" s="1" t="n">
        <f aca="false">ROUND(AE121*1.6, 0)</f>
        <v>80</v>
      </c>
      <c r="AI121" s="1" t="n">
        <v>10</v>
      </c>
      <c r="AL121" s="5" t="n">
        <v>0</v>
      </c>
      <c r="AM121" s="1" t="str">
        <f aca="false">CONCATENATE(VLOOKUP(AN121, 'Voxel Sizes'!$A$2:$B$18,2,FALSE()),"x",INT(AJ121*15), "x", INT(AK121*15))</f>
        <v>102x0x0</v>
      </c>
      <c r="AN121" s="1" t="n">
        <f aca="false">ROUND(15*((AI121*10)/256),0)</f>
        <v>6</v>
      </c>
      <c r="AO121" s="1" t="s">
        <v>220</v>
      </c>
      <c r="AP121" s="1" t="str">
        <f aca="false">CONCATENATE(VLOOKUP(AN121,Constants!$A$2:$C$16,IF(AO121&lt;&gt;"", 3, 2), FALSE()),IF(AO121&lt;&gt;"",CONCATENATE(",",VLOOKUP(AO121,$B:$AP,41,FALSE())),""))</f>
        <v>2,2,2,2,1,2</v>
      </c>
      <c r="AX121" s="1" t="n">
        <v>1</v>
      </c>
      <c r="AZ121" s="1" t="n">
        <v>30</v>
      </c>
      <c r="BA121" s="16" t="n">
        <f aca="false">IF(O121&lt;&gt;"",MAX(16,(O121-M121)+8),"")</f>
        <v>51</v>
      </c>
      <c r="BD121" s="1" t="n">
        <f aca="false">MIN(AE121/150, 1)*30</f>
        <v>10</v>
      </c>
      <c r="BE121" s="1" t="n">
        <f aca="false">MIN(Q121/4000, 1)*20</f>
        <v>5</v>
      </c>
      <c r="BF121" s="1" t="n">
        <f aca="false">MIN(AC121/400,1)*20</f>
        <v>6.25</v>
      </c>
      <c r="BG121" s="4" t="n">
        <f aca="false">1-(MAX(M121-1900, 0)/750)</f>
        <v>0.972</v>
      </c>
      <c r="BH121" s="1"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52</v>
      </c>
      <c r="BL121" s="1" t="n">
        <f aca="false">INT(POWER((((Constants!$G$1+$BD121+$BE121+$BF121+$BH121)*($BG121))*$BI121),IF($J121="wagon",1,1.2)))+$BB121</f>
        <v>84</v>
      </c>
      <c r="BM121" s="17" t="n">
        <f aca="false">BK121*IF($J121="wagon",62.5,781.25)</f>
        <v>40625</v>
      </c>
      <c r="BN121" s="17" t="n">
        <f aca="false">BL121*IF($J121="wagon",2.73,81.25)</f>
        <v>6825</v>
      </c>
      <c r="BY121" s="1" t="n">
        <v>7</v>
      </c>
      <c r="CD121" s="1" t="str">
        <f aca="false">VLOOKUP(M121,Eras!$A$2:$C$10, 2, TRUE())</f>
        <v>edw</v>
      </c>
      <c r="CE121" s="1" t="s">
        <v>132</v>
      </c>
      <c r="CF121" s="1" t="str">
        <f aca="false">CONCATENATE(CD121,"_",CE121)</f>
        <v>edw_Freight</v>
      </c>
      <c r="CG121" s="1" t="str">
        <f aca="false">_xlfn.CONCAT(K121, "_",L121)</f>
        <v>steam_RAIL</v>
      </c>
      <c r="CH121" s="7" t="str">
        <f aca="false">_xlfn.CONCAT("{BLACK}Length: {GOLD}", TEXT(ROUNDUP(IF(AS121&lt;&gt;"",SUM(VALUE(_xlfn.TEXTSPLIT(AS121, ","))), SUM(VALUE(_xlfn.TEXTSPLIT(AP121, ",")))*IF(P121, P121, 1))/16, 1), "#,##0.0"), " tiles{}")</f>
        <v>{BLACK}Length: {GOLD}0.7 tiles{}</v>
      </c>
      <c r="CI121" s="1" t="str">
        <f aca="false">IF(0, VLOOKUP($CG121, Constants!$M:$N, 2, FALSE()),"")</f>
        <v/>
      </c>
      <c r="CJ121" s="1" t="str">
        <f aca="false">IF(P121&gt;1,_xlfn.CONCAT("{BLACK}Cars: {GOLD}", P121),"")</f>
        <v/>
      </c>
      <c r="CK121" s="1" t="s">
        <v>436</v>
      </c>
      <c r="CL121" s="1" t="str">
        <f aca="false">IF($BX121="concept_trains","{GREEN}Concept Vehicle",IF($BX121="!param_no_gameplay_units","{GREEN}Included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LNWR G2 is an 0-8-0 freight locomotive, built from scratch as a new class and never rebuilt instead of the usual LNWR practice of rebuilding existing 8-coupled locomotives.</v>
      </c>
    </row>
    <row r="122" customFormat="false" ht="14.25" hidden="false" customHeight="false" outlineLevel="0" collapsed="false">
      <c r="A122" s="1" t="s">
        <v>437</v>
      </c>
      <c r="B122" s="15" t="s">
        <v>438</v>
      </c>
      <c r="C122" s="1" t="n">
        <v>141</v>
      </c>
      <c r="E122" s="1" t="n">
        <v>64</v>
      </c>
      <c r="G122" s="1" t="str">
        <f aca="false">IF($F122&lt;&gt;"",_xlfn.CONCAT(VLOOKUP($CE122, Constants!$T:$U, 2, FALSE()),",",$F122),VLOOKUP($CE122, Constants!$T:$U, 2, FALSE()))</f>
        <v>role/express_passenger</v>
      </c>
      <c r="H122" s="1" t="str">
        <f aca="false">IF($G122&lt;&gt;"",_xlfn.CONCAT(VLOOKUP($CG122, Constants!$M:$P, 4, FALSE()),",",$G122),VLOOKUP($CG122, Constants!$M:$P, 4, FALSE()))</f>
        <v>flag/GB,power/steam,role/express_passenger</v>
      </c>
      <c r="I122" s="1" t="s">
        <v>241</v>
      </c>
      <c r="J122" s="1" t="s">
        <v>249</v>
      </c>
      <c r="K122" s="1" t="s">
        <v>250</v>
      </c>
      <c r="L122" s="1" t="s">
        <v>192</v>
      </c>
      <c r="M122" s="1" t="n">
        <v>1921</v>
      </c>
      <c r="N122" s="1" t="n">
        <v>1922</v>
      </c>
      <c r="O122" s="1" t="n">
        <v>1959</v>
      </c>
      <c r="Q122" s="1" t="n">
        <v>1350</v>
      </c>
      <c r="S122" s="3" t="n">
        <v>20.5</v>
      </c>
      <c r="T122" s="3" t="n">
        <v>26</v>
      </c>
      <c r="U122" s="3" t="n">
        <v>2</v>
      </c>
      <c r="V122" s="3" t="n">
        <v>180</v>
      </c>
      <c r="W122" s="18" t="n">
        <f aca="false">((($AE122/2)/60)*5280)/($X122*3.2*PI())</f>
        <v>195.802462882792</v>
      </c>
      <c r="X122" s="3" t="n">
        <v>1.9</v>
      </c>
      <c r="Y122" s="3" t="n">
        <f aca="false">((($S122*$S122/4)*PI())*($T122/12)*$U122*$V122*$W122)/(33000*1.1)</f>
        <v>1388.68495813397</v>
      </c>
      <c r="Z122" s="1" t="n">
        <v>62.2</v>
      </c>
      <c r="AA122" s="2" t="n">
        <v>40</v>
      </c>
      <c r="AC122" s="1" t="n">
        <v>95</v>
      </c>
      <c r="AD122" s="4" t="n">
        <f aca="false">IF(AND(Z122&gt;0,AC122&gt;0),(AC122/((Z122+AA122)*10)),"")</f>
        <v>0.0929549902152642</v>
      </c>
      <c r="AE122" s="1" t="n">
        <v>85</v>
      </c>
      <c r="AF122" s="1" t="n">
        <f aca="false">ROUND(AE122*1.6, 0)</f>
        <v>136</v>
      </c>
      <c r="AI122" s="1" t="n">
        <v>10</v>
      </c>
      <c r="AL122" s="5" t="n">
        <v>0</v>
      </c>
      <c r="AM122" s="1" t="str">
        <f aca="false">CONCATENATE(VLOOKUP(AN122, 'Voxel Sizes'!$A$2:$B$18,2,FALSE()),"x",INT(AJ122*15), "x", INT(AK122*15))</f>
        <v>102x0x0</v>
      </c>
      <c r="AN122" s="1" t="n">
        <f aca="false">ROUND(15*((AI122*10)/256),0)</f>
        <v>6</v>
      </c>
      <c r="AO122" s="1" t="s">
        <v>220</v>
      </c>
      <c r="AP122" s="1" t="str">
        <f aca="false">CONCATENATE(VLOOKUP(AN122,Constants!$A$2:$C$16,IF(AO122&lt;&gt;"", 3, 2), FALSE()),IF(AO122&lt;&gt;"",CONCATENATE(",",VLOOKUP(AO122,$B:$AP,41,FALSE())),""))</f>
        <v>2,2,2,2,1,2</v>
      </c>
      <c r="AZ122" s="1" t="n">
        <v>31</v>
      </c>
      <c r="BA122" s="16" t="n">
        <f aca="false">IF(O122&lt;&gt;"",MAX(16,(O122-M122)+8),"")</f>
        <v>46</v>
      </c>
      <c r="BD122" s="1" t="n">
        <f aca="false">MIN(AE122/150, 1)*30</f>
        <v>17</v>
      </c>
      <c r="BE122" s="1" t="n">
        <f aca="false">MIN(Q122/4000, 1)*20</f>
        <v>6.75</v>
      </c>
      <c r="BF122" s="1" t="n">
        <f aca="false">MIN(AC122/400,1)*20</f>
        <v>4.75</v>
      </c>
      <c r="BG122" s="4" t="n">
        <f aca="false">1-(MAX(M122-1900, 0)/750)</f>
        <v>0.972</v>
      </c>
      <c r="BH122" s="1"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67</v>
      </c>
      <c r="BL122" s="1" t="n">
        <f aca="false">INT(POWER((((Constants!$G$1+$BD122+$BE122+$BF122+$BH122)*($BG122))*$BI122),IF($J122="wagon",1,1.2)))+$BB122</f>
        <v>105</v>
      </c>
      <c r="BM122" s="17" t="n">
        <f aca="false">BK122*IF($J122="wagon",62.5,781.25)</f>
        <v>52343.75</v>
      </c>
      <c r="BN122" s="17" t="n">
        <f aca="false">BL122*IF($J122="wagon",2.73,81.25)</f>
        <v>8531.25</v>
      </c>
      <c r="BY122" s="1" t="n">
        <v>8</v>
      </c>
      <c r="CD122" s="1" t="str">
        <f aca="false">VLOOKUP(M122,Eras!$A$2:$C$10, 2, TRUE())</f>
        <v>edw</v>
      </c>
      <c r="CE122" s="1" t="s">
        <v>282</v>
      </c>
      <c r="CF122" s="1" t="str">
        <f aca="false">CONCATENATE(CD122,"_",CE122)</f>
        <v>edw_Express</v>
      </c>
      <c r="CG122" s="1" t="str">
        <f aca="false">_xlfn.CONCAT(K122, "_",L122)</f>
        <v>steam_RAIL</v>
      </c>
      <c r="CH122" s="7" t="str">
        <f aca="false">_xlfn.CONCAT("{BLACK}Length: {GOLD}", TEXT(ROUNDUP(IF(AS122&lt;&gt;"",SUM(VALUE(_xlfn.TEXTSPLIT(AS122, ","))), SUM(VALUE(_xlfn.TEXTSPLIT(AP122, ",")))*IF(P122, P122, 1))/16, 1), "#,##0.0"), " tiles{}")</f>
        <v>{BLACK}Length: {GOLD}0.7 tiles{}</v>
      </c>
      <c r="CI122" s="1" t="str">
        <f aca="false">IF(0, VLOOKUP($CG122, Constants!$M:$N, 2, FALSE()),"")</f>
        <v/>
      </c>
      <c r="CJ122" s="1" t="str">
        <f aca="false">IF(P122&gt;1,_xlfn.CONCAT("{BLACK}Cars: {GOLD}", P122),"")</f>
        <v/>
      </c>
      <c r="CK122" s="1" t="s">
        <v>439</v>
      </c>
      <c r="CL122" s="1" t="str">
        <f aca="false">IF($BX122="concept_trains","{GREEN}Concept Vehicle",IF($BX122="!param_no_gameplay_units","{GREEN}Included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Caledonian 72 class was a 4-4-0 express locomotive, later inherited by the LMS after grouping.</v>
      </c>
    </row>
    <row r="123" customFormat="false" ht="14.25" hidden="false" customHeight="false" outlineLevel="0" collapsed="false">
      <c r="A123" s="1" t="s">
        <v>440</v>
      </c>
      <c r="B123" s="19" t="s">
        <v>441</v>
      </c>
      <c r="C123" s="1" t="n">
        <v>1037</v>
      </c>
      <c r="E123" s="1" t="n">
        <v>65</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241</v>
      </c>
      <c r="J123" s="1" t="s">
        <v>249</v>
      </c>
      <c r="K123" s="1" t="s">
        <v>250</v>
      </c>
      <c r="L123" s="1" t="s">
        <v>192</v>
      </c>
      <c r="M123" s="1" t="n">
        <v>1921</v>
      </c>
      <c r="O123" s="1" t="n">
        <v>1950</v>
      </c>
      <c r="Q123" s="1" t="n">
        <v>1650</v>
      </c>
      <c r="S123" s="3" t="n">
        <v>16</v>
      </c>
      <c r="T123" s="3" t="n">
        <v>26</v>
      </c>
      <c r="U123" s="3" t="n">
        <v>4</v>
      </c>
      <c r="V123" s="3" t="n">
        <v>180</v>
      </c>
      <c r="W123" s="18" t="n">
        <f aca="false">((($AE123/2)/60)*5280)/($X123*3.2*PI())</f>
        <v>165.400849288816</v>
      </c>
      <c r="X123" s="3" t="n">
        <v>1.72</v>
      </c>
      <c r="Y123" s="3" t="n">
        <f aca="false">((($S123*$S123/4)*PI())*($T123/12)*$U123*$V123*$W123)/(33000*1.1)</f>
        <v>1429.1754756871</v>
      </c>
      <c r="Z123" s="1" t="n">
        <v>94</v>
      </c>
      <c r="AA123" s="2" t="n">
        <v>35</v>
      </c>
      <c r="AB123" s="1" t="n">
        <v>5</v>
      </c>
      <c r="AC123" s="1" t="n">
        <v>133</v>
      </c>
      <c r="AD123" s="4" t="n">
        <f aca="false">IF(AND(Z123&gt;0,AC123&gt;0),(AC123/((Z123+AA123)*10)),"")</f>
        <v>0.103100775193798</v>
      </c>
      <c r="AE123" s="1" t="n">
        <v>65</v>
      </c>
      <c r="AF123" s="1" t="n">
        <f aca="false">ROUND(AE123*1.6, 0)</f>
        <v>104</v>
      </c>
      <c r="AH123" s="1" t="n">
        <v>12</v>
      </c>
      <c r="AI123" s="1" t="n">
        <v>12</v>
      </c>
      <c r="AM123" s="1" t="str">
        <f aca="false">CONCATENATE(VLOOKUP(AN123, 'Voxel Sizes'!$A$2:$B$18,2,FALSE()),"x",INT(AJ123*15), "x", INT(AK123*15))</f>
        <v>120x0x0</v>
      </c>
      <c r="AN123" s="16" t="n">
        <f aca="false">ROUND(15*((AI123*10)/256),0)</f>
        <v>7</v>
      </c>
      <c r="AO123" s="1" t="s">
        <v>420</v>
      </c>
      <c r="AP123" s="1" t="str">
        <f aca="false">CONCATENATE(VLOOKUP(AN123,Constants!$A$2:$C$16,IF(AO123&lt;&gt;"", 3, 2), FALSE()),IF(AO123&lt;&gt;"",CONCATENATE(",",VLOOKUP(AO123,$B:$AP,41,FALSE())),""))</f>
        <v>2,3,2,2,1,2</v>
      </c>
      <c r="AX123" s="1" t="n">
        <v>1</v>
      </c>
      <c r="AZ123" s="1" t="n">
        <v>26</v>
      </c>
      <c r="BA123" s="16" t="n">
        <f aca="false">IF(O123&lt;&gt;"",MAX(16,(O123-M123)+8),"")</f>
        <v>37</v>
      </c>
      <c r="BB123" s="1" t="n">
        <v>14</v>
      </c>
      <c r="BC123" s="1" t="n">
        <v>11</v>
      </c>
      <c r="BD123" s="20" t="n">
        <f aca="false">MIN(AE123/150, 1)*30</f>
        <v>13</v>
      </c>
      <c r="BE123" s="20" t="n">
        <f aca="false">MIN(Q123/4000, 1)*20</f>
        <v>8.25</v>
      </c>
      <c r="BF123" s="20" t="n">
        <f aca="false">MIN(AC123/400,1)*20</f>
        <v>6.65</v>
      </c>
      <c r="BG123" s="21" t="n">
        <f aca="false">1-(MAX(M123-1900, 0)/750)</f>
        <v>0.972</v>
      </c>
      <c r="BH123" s="20" t="n">
        <f aca="false">((MAX($P123,1)*MIN($AL123/300,1)))*IF(J123="Wagon",50,10)</f>
        <v>0</v>
      </c>
      <c r="BI123" s="1" t="n">
        <f aca="false">VLOOKUP($K123,Constants!$I:$K, 2, FALSE())</f>
        <v>1.15</v>
      </c>
      <c r="BJ123" s="1" t="n">
        <f aca="false">VLOOKUP($K123,Constants!$I:$K, 3, FALSE())*IF(AND(J123="multiple_unit",AE123&lt;110),0.75,1)</f>
        <v>1.7</v>
      </c>
      <c r="BK123" s="1" t="n">
        <f aca="false">INT(POWER(((Constants!$G$2+$BD123+$BE123+$BF123+$BH123)*$BG123)*$BJ123, 1.05))+$BC123</f>
        <v>77</v>
      </c>
      <c r="BL123" s="1" t="n">
        <f aca="false">INT(POWER((((Constants!$G$1+$BD123+$BE123+$BF123+$BH123)*($BG123))*$BI123),IF($J123="wagon",1,1.2)))+$BB123</f>
        <v>117</v>
      </c>
      <c r="BM123" s="22" t="n">
        <f aca="false">BK123*IF($J123="wagon",62.5,781.25)</f>
        <v>60156.25</v>
      </c>
      <c r="BN123" s="22" t="n">
        <f aca="false">BL123*IF($J123="wagon",2.73,81.25)</f>
        <v>9506.25</v>
      </c>
      <c r="BY123" s="1" t="n">
        <v>3</v>
      </c>
      <c r="CD123" s="23" t="s">
        <v>382</v>
      </c>
      <c r="CE123" s="1" t="s">
        <v>282</v>
      </c>
      <c r="CF123" s="23" t="str">
        <f aca="false">CONCATENATE(CD123,"_",CE123)</f>
        <v>edw_Express</v>
      </c>
      <c r="CG123" s="23" t="str">
        <f aca="false">_xlfn.CONCAT(K123, "_",L123)</f>
        <v>steam_RAIL</v>
      </c>
      <c r="CH123" s="7" t="str">
        <f aca="false">_xlfn.CONCAT("{BLACK}Length: {GOLD}", TEXT(ROUNDUP(IF(AS123&lt;&gt;"",SUM(VALUE(_xlfn.TEXTSPLIT(AS123, ","))), SUM(VALUE(_xlfn.TEXTSPLIT(AP123, ",")))*IF(P123, P123, 1))/16, 1), "#,##0.0"), " tiles{}")</f>
        <v>{BLACK}Length: {GOLD}0.8 tiles{}</v>
      </c>
      <c r="CI123" s="1" t="str">
        <f aca="false">IF(0, VLOOKUP($CG123, Constants!$M:$N, 2, FALSE()),"")</f>
        <v/>
      </c>
      <c r="CJ123" s="1" t="str">
        <f aca="false">IF(P123&gt;1,_xlfn.CONCAT("{BLACK}Cars: {GOLD}", P123),"")</f>
        <v/>
      </c>
      <c r="CK123" s="1" t="s">
        <v>442</v>
      </c>
      <c r="CL123" s="1" t="str">
        <f aca="false">IF($BX123="concept_trains","{GREEN}Concept Vehicle",IF($BX123="!param_no_gameplay_units","{GREEN}Included for gameplay purposes",""))</f>
        <v/>
      </c>
      <c r="CM123" s="1" t="str">
        <f aca="false">IF(CA123="buffet","{YELLOW}25% long distance bonus for consist{}",IF(CB123="DANDY","{YELLOW}Faster downhill speeds for horse-drawn trains (1 required per 2 horses){}",IF(CB123="BRAKE","{YELLOW}Speed bonus for slow wagons{}",IF(CB123="NGPassengers","{YELLOW}Preserved railway bonus: passengers pay more when hauled by old locomotives{}",IF(AND(BZ123&gt;190,NOT(AND(L123="NARROW_GAUGE",CB123&lt;&gt;"PASS"))),CONCATENATE("{YELLOW}",INT((BZ123-185)/1.85),"%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{GOLD}0.8 tiles{}{SILVER}The 9Q is a freight adaptation of the 9P, which had an exceptional turn of speed for a high tractive effort engine. It earnt the name "Black Pig" for its heavy coal consumption.</v>
      </c>
    </row>
    <row r="124" customFormat="false" ht="14.25" hidden="false" customHeight="false" outlineLevel="0" collapsed="false">
      <c r="A124" s="24" t="s">
        <v>443</v>
      </c>
      <c r="B124" s="19" t="s">
        <v>444</v>
      </c>
      <c r="C124" s="1" t="n">
        <v>1040</v>
      </c>
      <c r="E124" s="1" t="n">
        <v>66</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J124" s="1" t="s">
        <v>349</v>
      </c>
      <c r="K124" s="1" t="s">
        <v>250</v>
      </c>
      <c r="L124" s="1" t="s">
        <v>192</v>
      </c>
      <c r="M124" s="1" t="n">
        <v>1922</v>
      </c>
      <c r="N124" s="1" t="n">
        <v>1924</v>
      </c>
      <c r="AC124" s="1" t="n">
        <v>119</v>
      </c>
      <c r="AD124" s="4" t="str">
        <f aca="false">IF(AND(Z124&gt;0,AC124&gt;0),(AC124/((Z124+AA124)*10)),"")</f>
        <v/>
      </c>
      <c r="AF124" s="1" t="n">
        <f aca="false">ROUND(AE124*1.6, 0)</f>
        <v>0</v>
      </c>
      <c r="AM124" s="1" t="str">
        <f aca="false">CONCATENATE(VLOOKUP(AN124, 'Voxel Sizes'!$A$2:$B$18,2,FALSE()),"x",INT(AJ124*15), "x", INT(AK124*15))</f>
        <v>0x0x0</v>
      </c>
      <c r="AN124" s="16" t="n">
        <f aca="false">ROUND(15*((AI124*10)/256),0)</f>
        <v>0</v>
      </c>
      <c r="AP124" s="1" t="str">
        <f aca="false">CONCATENATE(VLOOKUP(AN124,Constants!$A$2:$C$16,IF(AO124&lt;&gt;"", 3, 2), FALSE()),IF(AO124&lt;&gt;"",CONCATENATE(",",VLOOKUP(AO124,$B:$AP,41,FALSE())),""))</f>
        <v>na</v>
      </c>
      <c r="AX124" s="1" t="n">
        <v>1</v>
      </c>
      <c r="AZ124" s="1" t="n">
        <v>30</v>
      </c>
      <c r="BA124" s="16" t="str">
        <f aca="false">IF(O124&lt;&gt;"",MAX(16,(O124-M124)+8),"")</f>
        <v/>
      </c>
      <c r="BD124" s="20" t="n">
        <f aca="false">MIN(AE124/150, 1)*30</f>
        <v>0</v>
      </c>
      <c r="BE124" s="20" t="n">
        <f aca="false">MIN(Q124/4000, 1)*20</f>
        <v>0</v>
      </c>
      <c r="BF124" s="20" t="n">
        <f aca="false">MIN(AC124/400,1)*20</f>
        <v>5.95</v>
      </c>
      <c r="BG124" s="4" t="n">
        <f aca="false">1-(MAX(M124-1900, 0)/750)</f>
        <v>0.970666666666667</v>
      </c>
      <c r="BH124" s="20"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20</v>
      </c>
      <c r="BL124" s="1" t="n">
        <f aca="false">INT(POWER((((Constants!$G$1+$BD124+$BE124+$BF124+$BH124)*($BG124))*$BI124),IF($J124="wagon",1,1.2)))+$BB124</f>
        <v>43</v>
      </c>
      <c r="BM124" s="22" t="n">
        <f aca="false">BK124*IF($J124="wagon",62.5,781.25)</f>
        <v>15625</v>
      </c>
      <c r="BN124" s="22" t="n">
        <f aca="false">BL124*IF($J124="wagon",2.73,81.25)</f>
        <v>3493.75</v>
      </c>
      <c r="BU124" s="1" t="str">
        <f aca="false">IF(J124="locomotive","B","")</f>
        <v/>
      </c>
      <c r="BV124" s="1" t="str">
        <f aca="false">IF($J124="locomotive","B","")</f>
        <v/>
      </c>
      <c r="BY124" s="1" t="n">
        <v>8</v>
      </c>
      <c r="CD124" s="23" t="s">
        <v>382</v>
      </c>
      <c r="CE124" s="1" t="s">
        <v>129</v>
      </c>
      <c r="CF124" s="23" t="str">
        <f aca="false">CONCATENATE(CD124,"_",CE124)</f>
        <v>edw_Mixed Traffic</v>
      </c>
      <c r="CG124" s="23" t="str">
        <f aca="false">_xlfn.CONCAT(K124, "_",L124)</f>
        <v>steam_RAIL</v>
      </c>
      <c r="CH124" s="7" t="e">
        <f aca="false">_xlfn.CONCAT("{BLACK}Length: {GOLD}", TEXT(ROUNDUP(IF(AS124&lt;&gt;"",SUM(VALUE(_xlfn.TEXTSPLIT(AS124, ","))), SUM(VALUE(_xlfn.TEXTSPLIT(AP124, ",")))*IF(P124, P124, 1))/16, 1), "#,##0.0"), " tiles{}")</f>
        <v>#VALUE!</v>
      </c>
      <c r="CI124" s="1" t="str">
        <f aca="false">IF(0, VLOOKUP($CG124, Constants!$M:$N, 2, FALSE()),"")</f>
        <v/>
      </c>
      <c r="CJ124" s="1" t="str">
        <f aca="false">IF(P124&gt;1,_xlfn.CONCAT("{BLACK}Cars: {GOLD}", P124),"")</f>
        <v/>
      </c>
      <c r="CL124" s="1" t="str">
        <f aca="false">IF($BX124="concept_trains","{GREEN}Concept Vehicle",IF($BX124="!param_no_gameplay_units","{GREEN}Included for gameplay purposes",""))</f>
        <v/>
      </c>
      <c r="CM124" s="1" t="str">
        <f aca="false">IF(CA124="buffet","{YELLOW}25% long distance bonus for consist{}",IF(CB124="DANDY","{YELLOW}Faster downhill speeds for horse-drawn trains (1 required per 2 horses){}",IF(CB124="BRAKE","{YELLOW}Speed bonus for slow wagons{}",IF(CB124="NGPassengers","{YELLOW}Preserved railway bonus: passengers pay more when hauled by old locomotives{}",IF(AND(BZ124&gt;190,NOT(AND(L124="NARROW_GAUGE",CB124&lt;&gt;"PASS"))),CONCATENATE("{YELLOW}",INT((BZ124-185)/1.85),"% bonus for long distance travel{}"),IF(AND(BZ124&lt;180,BZ124&lt;&gt;0),CONCATENATE("{YELLOW}",INT((185-BZ124)/1.85),"% penalty for long distance travel{}"),""))))))</f>
        <v/>
      </c>
      <c r="CN124" s="1" t="e">
        <f aca="false">_xlfn.CONCAT(CI124,IF(CI124&lt;&gt;""," ",""),CJ124,IF(OR(CJ124&lt;&gt;"",CI124&lt;&gt;""),"{}",""),CH124,CM124,"{SILVER}",CK124,IF(CL124&lt;&gt;"","{}{}",""),CL124)</f>
        <v>#VALUE!</v>
      </c>
    </row>
    <row r="125" customFormat="false" ht="14.25" hidden="false" customHeight="false" outlineLevel="0" collapsed="false">
      <c r="A125" s="1" t="s">
        <v>445</v>
      </c>
      <c r="B125" s="25" t="s">
        <v>446</v>
      </c>
      <c r="C125" s="1" t="n">
        <v>4135</v>
      </c>
      <c r="E125" s="1" t="n">
        <v>67</v>
      </c>
      <c r="F125" s="1" t="s">
        <v>143</v>
      </c>
      <c r="G125" s="1" t="str">
        <f aca="false">IF($F125&lt;&gt;"",_xlfn.CONCAT(VLOOKUP($CE125, Constants!$T:$U, 2, FALSE()),",",$F125),VLOOKUP($CE125, Constants!$T:$U, 2, FALSE()))</f>
        <v>role/express_passenger,role/prototype</v>
      </c>
      <c r="H125" s="1" t="str">
        <f aca="false">IF($G125&lt;&gt;"",_xlfn.CONCAT(VLOOKUP($CG125, Constants!$M:$P, 4, FALSE()),",",$G125),VLOOKUP($CG125, Constants!$M:$P, 4, FALSE()))</f>
        <v>flag/GB,power/electric,role/express_passenger,role/prototype</v>
      </c>
      <c r="I125" s="1" t="s">
        <v>241</v>
      </c>
      <c r="J125" s="1" t="s">
        <v>249</v>
      </c>
      <c r="K125" s="1" t="s">
        <v>388</v>
      </c>
      <c r="L125" s="1" t="s">
        <v>389</v>
      </c>
      <c r="M125" s="1" t="n">
        <v>1922</v>
      </c>
      <c r="N125" s="1" t="n">
        <v>1933</v>
      </c>
      <c r="O125" s="1" t="n">
        <v>1955</v>
      </c>
      <c r="Q125" s="1" t="n">
        <v>1800</v>
      </c>
      <c r="Z125" s="1" t="n">
        <v>112</v>
      </c>
      <c r="AC125" s="1" t="n">
        <v>125</v>
      </c>
      <c r="AD125" s="4" t="n">
        <f aca="false">IF(AND(Z125&gt;0,AC125&gt;0),(AC125/((Z125+AA125)*10)),"")</f>
        <v>0.111607142857143</v>
      </c>
      <c r="AE125" s="1" t="n">
        <v>90</v>
      </c>
      <c r="AF125" s="1" t="n">
        <f aca="false">ROUND(AE125*1.6, 0)</f>
        <v>144</v>
      </c>
      <c r="AH125" s="1" t="n">
        <v>16.7</v>
      </c>
      <c r="AI125" s="1" t="n">
        <v>16.7</v>
      </c>
      <c r="AJ125" s="1" t="n">
        <v>2.7</v>
      </c>
      <c r="AK125" s="1" t="n">
        <v>4</v>
      </c>
      <c r="AL125" s="5" t="n">
        <v>0</v>
      </c>
      <c r="AM125" s="1" t="str">
        <f aca="false">CONCATENATE(VLOOKUP(AN125, 'Voxel Sizes'!$A$2:$B$18,2,FALSE()),"x",INT(AJ125*15), "x", INT(AK125*15))</f>
        <v>164x40x60</v>
      </c>
      <c r="AN125" s="1" t="n">
        <f aca="false">ROUND(15*((AI125*10)/256),0)</f>
        <v>10</v>
      </c>
      <c r="AP125" s="1" t="str">
        <f aca="false">CONCATENATE(VLOOKUP(AN125,Constants!$A$2:$C$16,IF(AO125&lt;&gt;"", 3, 2), FALSE()),IF(AO125&lt;&gt;"",CONCATENATE(",",VLOOKUP(AO125,$B:$AP,41,FALSE())),""))</f>
        <v>4,2,4</v>
      </c>
      <c r="AZ125" s="1" t="n">
        <v>16</v>
      </c>
      <c r="BA125" s="16" t="n">
        <f aca="false">IF(O125&lt;&gt;"",MAX(16,(O125-M125)+8),"")</f>
        <v>41</v>
      </c>
      <c r="BC125" s="1" t="n">
        <v>8</v>
      </c>
      <c r="BD125" s="1" t="n">
        <f aca="false">MIN(AE125/150, 1)*30</f>
        <v>18</v>
      </c>
      <c r="BE125" s="1" t="n">
        <f aca="false">MIN(Q125/4000, 1)*20</f>
        <v>9</v>
      </c>
      <c r="BF125" s="1" t="n">
        <f aca="false">MIN(AC125/400,1)*20</f>
        <v>6.25</v>
      </c>
      <c r="BG125" s="4" t="n">
        <f aca="false">1-(MAX(M125-1900, 0)/750)</f>
        <v>0.970666666666667</v>
      </c>
      <c r="BH125" s="1" t="n">
        <f aca="false">((MAX($P125,1)*MIN($AL125/300,1)))*IF(J125="Wagon",50,10)</f>
        <v>0</v>
      </c>
      <c r="BI125" s="1" t="n">
        <f aca="false">VLOOKUP($K125,Constants!$I:$K, 2, FALSE())</f>
        <v>0.85</v>
      </c>
      <c r="BJ125" s="1" t="n">
        <f aca="false">VLOOKUP($K125,Constants!$I:$K, 3, FALSE())*IF(AND(J125="multiple_unit",AE125&lt;110),0.75,1)</f>
        <v>2.3</v>
      </c>
      <c r="BK125" s="1" t="n">
        <f aca="false">INT(POWER(((Constants!$G$2+$BD125+$BE125+$BF125+$BH125)*$BG125)*$BJ125, 1.05))+$BC125</f>
        <v>114</v>
      </c>
      <c r="BL125" s="1" t="n">
        <f aca="false">INT(POWER((((Constants!$G$1+$BD125+$BE125+$BF125+$BH125)*($BG125))*$BI125),IF($J125="wagon",1,1.2)))+$BB125</f>
        <v>83</v>
      </c>
      <c r="BM125" s="17" t="n">
        <f aca="false">BK125*IF($J125="wagon",62.5,781.25)</f>
        <v>89062.5</v>
      </c>
      <c r="BN125" s="17" t="n">
        <f aca="false">BL125*IF($J125="wagon",2.73,81.25)</f>
        <v>6743.75</v>
      </c>
      <c r="BU125" s="1" t="str">
        <f aca="false">IF(J125="locomotive","B","")</f>
        <v>B</v>
      </c>
      <c r="BV125" s="1" t="str">
        <f aca="false">IF($J125="locomotive","B","")</f>
        <v>B</v>
      </c>
      <c r="BY125" s="1" t="n">
        <v>6</v>
      </c>
      <c r="CD125" s="1" t="str">
        <f aca="false">VLOOKUP(M125,Eras!$A$2:$C$10, 2, TRUE())</f>
        <v>edw</v>
      </c>
      <c r="CE125" s="1" t="s">
        <v>447</v>
      </c>
      <c r="CF125" s="1" t="str">
        <f aca="false">CONCATENATE(CD125,"_",CE125)</f>
        <v>edw_Express (Electric)</v>
      </c>
      <c r="CG125" s="1" t="str">
        <f aca="false">_xlfn.CONCAT(K125, "_",L125)</f>
        <v>electric_ELRL</v>
      </c>
      <c r="CH125" s="7" t="str">
        <f aca="false">_xlfn.CONCAT("{BLACK}Length: {GOLD}", TEXT(ROUNDUP(IF(AS125&lt;&gt;"",SUM(VALUE(_xlfn.TEXTSPLIT(AS125, ","))), SUM(VALUE(_xlfn.TEXTSPLIT(AP125, ",")))*IF(P125, P125, 1))/16, 1), "#,##0.0"), " tiles{}")</f>
        <v>{BLACK}Length: {GOLD}0.7 tiles{}</v>
      </c>
      <c r="CI125" s="1" t="str">
        <f aca="false">IF(0, VLOOKUP($CG125, Constants!$M:$N, 2, FALSE()),"")</f>
        <v/>
      </c>
      <c r="CJ125" s="1" t="str">
        <f aca="false">IF(P125&gt;1,_xlfn.CONCAT("{BLACK}Cars: {GOLD}", P125),"")</f>
        <v/>
      </c>
      <c r="CK125" s="1" t="s">
        <v>448</v>
      </c>
      <c r="CL125" s="1" t="str">
        <f aca="false">IF($BX125="concept_trains","{GREEN}Concept Vehicle",IF($BX125="!param_no_gameplay_units","{GREEN}Included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6" customFormat="false" ht="14.25" hidden="false" customHeight="false" outlineLevel="0" collapsed="false">
      <c r="A126" s="1" t="s">
        <v>449</v>
      </c>
      <c r="B126" s="15" t="s">
        <v>450</v>
      </c>
      <c r="C126" s="1" t="n">
        <v>136</v>
      </c>
      <c r="E126" s="1" t="n">
        <v>68</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241</v>
      </c>
      <c r="J126" s="1" t="s">
        <v>249</v>
      </c>
      <c r="K126" s="1" t="s">
        <v>250</v>
      </c>
      <c r="L126" s="1" t="s">
        <v>192</v>
      </c>
      <c r="M126" s="1" t="n">
        <v>1923</v>
      </c>
      <c r="O126" s="1" t="n">
        <v>1966</v>
      </c>
      <c r="Q126" s="1" t="n">
        <v>950</v>
      </c>
      <c r="S126" s="3" t="n">
        <v>20</v>
      </c>
      <c r="T126" s="3" t="n">
        <v>26</v>
      </c>
      <c r="U126" s="3" t="n">
        <v>2</v>
      </c>
      <c r="V126" s="3" t="n">
        <v>175</v>
      </c>
      <c r="W126" s="18" t="n">
        <f aca="false">((($AE126/2)/60)*5280)/($X126*3.2*PI())</f>
        <v>150.451157141557</v>
      </c>
      <c r="X126" s="3" t="n">
        <v>1.6</v>
      </c>
      <c r="Y126" s="3" t="n">
        <f aca="false">((($S126*$S126/4)*PI())*($T126/12)*$U126*$V126*$W126)/(33000*1.1)</f>
        <v>987.413194444445</v>
      </c>
      <c r="Z126" s="1" t="n">
        <f aca="false">49.5+41.8</f>
        <v>91.3</v>
      </c>
      <c r="AC126" s="1" t="n">
        <v>109</v>
      </c>
      <c r="AD126" s="4" t="n">
        <f aca="false">IF(AND(Z126&gt;0,AC126&gt;0),(AC126/((Z126+AA126)*10)),"")</f>
        <v>0.119386637458927</v>
      </c>
      <c r="AE126" s="1" t="n">
        <v>55</v>
      </c>
      <c r="AF126" s="1" t="n">
        <f aca="false">ROUND(AE126*1.6, 0)</f>
        <v>88</v>
      </c>
      <c r="AH126" s="1" t="n">
        <v>15.8</v>
      </c>
      <c r="AI126" s="1" t="n">
        <v>10</v>
      </c>
      <c r="AL126" s="5" t="n">
        <v>0</v>
      </c>
      <c r="AM126" s="1" t="str">
        <f aca="false">CONCATENATE(VLOOKUP(AN126, 'Voxel Sizes'!$A$2:$B$18,2,FALSE()),"x",INT(AJ126*15), "x", INT(AK126*15))</f>
        <v>102x0x0</v>
      </c>
      <c r="AN126" s="1" t="n">
        <f aca="false">ROUND(15*((AI126*10)/256),0)</f>
        <v>6</v>
      </c>
      <c r="AO126" s="1" t="s">
        <v>212</v>
      </c>
      <c r="AP126" s="1" t="str">
        <f aca="false">CONCATENATE(VLOOKUP(AN126,Constants!$A$2:$C$16,IF(AO126&lt;&gt;"", 3, 2), FALSE()),IF(AO126&lt;&gt;"",CONCATENATE(",",VLOOKUP(AO126,$B:$AP,41,FALSE())),""))</f>
        <v>2,2,2,2,1,2</v>
      </c>
      <c r="AX126" s="1" t="n">
        <v>1</v>
      </c>
      <c r="AZ126" s="1" t="n">
        <v>36</v>
      </c>
      <c r="BA126" s="16" t="n">
        <f aca="false">IF(O126&lt;&gt;"",MAX(16,(O126-M126)+8),"")</f>
        <v>51</v>
      </c>
      <c r="BD126" s="1" t="n">
        <f aca="false">MIN(AE126/150, 1)*30</f>
        <v>11</v>
      </c>
      <c r="BE126" s="1" t="n">
        <f aca="false">MIN(Q126/4000, 1)*20</f>
        <v>4.75</v>
      </c>
      <c r="BF126" s="1" t="n">
        <f aca="false">MIN(AC126/400,1)*20</f>
        <v>5.45</v>
      </c>
      <c r="BG126" s="4" t="n">
        <f aca="false">1-(MAX(M126-1900, 0)/750)</f>
        <v>0.969333333333333</v>
      </c>
      <c r="BH126" s="1" t="n">
        <f aca="false">((MAX($P126,1)*MIN($AL126/300,1)))*IF(J126="Wagon",50,10)</f>
        <v>0</v>
      </c>
      <c r="BI126" s="1" t="n">
        <f aca="false">VLOOKUP($K126,Constants!$I:$K, 2, FALSE())</f>
        <v>1.15</v>
      </c>
      <c r="BJ126" s="1" t="n">
        <f aca="false">VLOOKUP($K126,Constants!$I:$K, 3, FALSE())*IF(AND(J126="multiple_unit",AE126&lt;110),0.75,1)</f>
        <v>1.7</v>
      </c>
      <c r="BK126" s="1" t="n">
        <f aca="false">INT(POWER(((Constants!$G$2+$BD126+$BE126+$BF126+$BH126)*$BG126)*$BJ126, 1.05))+$BC126</f>
        <v>52</v>
      </c>
      <c r="BL126" s="1" t="n">
        <f aca="false">INT(POWER((((Constants!$G$1+$BD126+$BE126+$BF126+$BH126)*($BG126))*$BI126),IF($J126="wagon",1,1.2)))+$BB126</f>
        <v>84</v>
      </c>
      <c r="BM126" s="17" t="n">
        <f aca="false">BK126*IF($J126="wagon",62.5,781.25)</f>
        <v>40625</v>
      </c>
      <c r="BN126" s="17" t="n">
        <f aca="false">BL126*IF($J126="wagon",2.73,81.25)</f>
        <v>6825</v>
      </c>
      <c r="BY126" s="1" t="n">
        <v>9</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TEXT(ROUNDUP(IF(AS126&lt;&gt;"",SUM(VALUE(_xlfn.TEXTSPLIT(AS126, ","))), SUM(VALUE(_xlfn.TEXTSPLIT(AP126, ",")))*IF(P126, P126, 1))/16, 1), "#,##0.0"), " tiles{}")</f>
        <v>{BLACK}Length: {GOLD}0.7 tiles{}</v>
      </c>
      <c r="CI126" s="1" t="str">
        <f aca="false">IF(0, VLOOKUP($CG126, Constants!$M:$N, 2, FALSE()),"")</f>
        <v/>
      </c>
      <c r="CJ126" s="1" t="str">
        <f aca="false">IF(P126&gt;1,_xlfn.CONCAT("{BLACK}Cars: {GOLD}", P126),"")</f>
        <v/>
      </c>
      <c r="CK126" s="1" t="s">
        <v>451</v>
      </c>
      <c r="CL126" s="1" t="str">
        <f aca="false">IF($BX126="concept_trains","{GREEN}Concept Vehicle",IF($BX126="!param_no_gameplay_units","{GREEN}Included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Fowler 4F is a development of the earlier Midland 3835 class.</v>
      </c>
    </row>
    <row r="127" customFormat="false" ht="14.25" hidden="false" customHeight="false" outlineLevel="0" collapsed="false">
      <c r="A127" s="1" t="s">
        <v>452</v>
      </c>
      <c r="B127" s="15" t="s">
        <v>453</v>
      </c>
      <c r="C127" s="1" t="n">
        <v>138</v>
      </c>
      <c r="E127" s="1" t="n">
        <v>69</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241</v>
      </c>
      <c r="J127" s="1" t="s">
        <v>249</v>
      </c>
      <c r="K127" s="1" t="s">
        <v>250</v>
      </c>
      <c r="L127" s="1" t="s">
        <v>192</v>
      </c>
      <c r="M127" s="1" t="n">
        <v>1923</v>
      </c>
      <c r="N127" s="1" t="n">
        <v>1950</v>
      </c>
      <c r="O127" s="1" t="n">
        <v>1950</v>
      </c>
      <c r="Q127" s="1" t="n">
        <v>1900</v>
      </c>
      <c r="S127" s="3" t="n">
        <v>16</v>
      </c>
      <c r="T127" s="3" t="n">
        <v>26</v>
      </c>
      <c r="U127" s="3" t="n">
        <v>4</v>
      </c>
      <c r="V127" s="3" t="n">
        <v>225</v>
      </c>
      <c r="W127" s="18" t="n">
        <f aca="false">((($AE127/2)/60)*5280)/($X127*3.2*PI())</f>
        <v>223.214807686383</v>
      </c>
      <c r="X127" s="3" t="n">
        <v>2</v>
      </c>
      <c r="Y127" s="3" t="n">
        <f aca="false">((($S127*$S127/4)*PI())*($T127/12)*$U127*$V127*$W127)/(33000*1.1)</f>
        <v>2410.90909090909</v>
      </c>
      <c r="Z127" s="1" t="n">
        <v>81.1</v>
      </c>
      <c r="AA127" s="2" t="n">
        <v>48</v>
      </c>
      <c r="AC127" s="1" t="n">
        <v>141</v>
      </c>
      <c r="AD127" s="4" t="n">
        <f aca="false">IF(AND(Z127&gt;0,AC127&gt;0),(AC127/((Z127+AA127)*10)),"")</f>
        <v>0.109217660728118</v>
      </c>
      <c r="AE127" s="1" t="n">
        <v>102</v>
      </c>
      <c r="AF127" s="1" t="n">
        <f aca="false">ROUND(AE127*1.6, 0)</f>
        <v>163</v>
      </c>
      <c r="AH127" s="1" t="n">
        <v>19.86</v>
      </c>
      <c r="AI127" s="1" t="n">
        <f aca="false">AH127-7.64</f>
        <v>12.22</v>
      </c>
      <c r="AK127" s="1" t="n">
        <v>4.07</v>
      </c>
      <c r="AL127" s="5" t="n">
        <v>0</v>
      </c>
      <c r="AM127" s="1" t="str">
        <f aca="false">CONCATENATE(VLOOKUP(AN127, 'Voxel Sizes'!$A$2:$B$18,2,FALSE()),"x",INT(AJ127*15), "x", INT(AK127*15))</f>
        <v>120x0x61</v>
      </c>
      <c r="AN127" s="1" t="n">
        <f aca="false">ROUND(15*((AI127*10)/256),0)</f>
        <v>7</v>
      </c>
      <c r="AO127" s="1" t="s">
        <v>191</v>
      </c>
      <c r="AP127" s="1" t="str">
        <f aca="false">CONCATENATE(VLOOKUP(AN127,Constants!$A$2:$C$16,IF(AO127&lt;&gt;"", 3, 2), FALSE()),IF(AO127&lt;&gt;"",CONCATENATE(",",VLOOKUP(AO127,$B:$AP,41,FALSE())),""))</f>
        <v>2,3,2,2,1,2</v>
      </c>
      <c r="AX127" s="1" t="n">
        <v>1</v>
      </c>
      <c r="AZ127" s="1" t="n">
        <v>30</v>
      </c>
      <c r="BA127" s="16" t="n">
        <f aca="false">IF(O127&lt;&gt;"",MAX(16,(O127-M127)+8),"")</f>
        <v>35</v>
      </c>
      <c r="BD127" s="1" t="n">
        <f aca="false">MIN(AE127/150, 1)*30</f>
        <v>20.4</v>
      </c>
      <c r="BE127" s="1" t="n">
        <f aca="false">MIN(Q127/4000, 1)*20</f>
        <v>9.5</v>
      </c>
      <c r="BF127" s="1" t="n">
        <f aca="false">MIN(AC127/400,1)*20</f>
        <v>7.05</v>
      </c>
      <c r="BG127" s="4" t="n">
        <f aca="false">1-(MAX(M127-1900, 0)/750)</f>
        <v>0.969333333333333</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85</v>
      </c>
      <c r="BL127" s="1" t="n">
        <f aca="false">INT(POWER((((Constants!$G$1+$BD127+$BE127+$BF127+$BH127)*($BG127))*$BI127),IF($J127="wagon",1,1.2)))+$BB127</f>
        <v>130</v>
      </c>
      <c r="BM127" s="17" t="n">
        <f aca="false">BK127*IF($J127="wagon",62.5,781.25)</f>
        <v>66406.25</v>
      </c>
      <c r="BN127" s="17" t="n">
        <f aca="false">BL127*IF($J127="wagon",2.73,81.25)</f>
        <v>10562.5</v>
      </c>
      <c r="BY127" s="1" t="n">
        <v>10</v>
      </c>
      <c r="CD127" s="1" t="str">
        <f aca="false">VLOOKUP(M127,Eras!$A$2:$C$10, 2, TRUE())</f>
        <v>big4</v>
      </c>
      <c r="CE127" s="1" t="s">
        <v>282</v>
      </c>
      <c r="CF127" s="1" t="str">
        <f aca="false">CONCATENATE(CD127,"_",CE127)</f>
        <v>big4_Express</v>
      </c>
      <c r="CG127" s="1" t="str">
        <f aca="false">_xlfn.CONCAT(K127, "_",L127)</f>
        <v>steam_RAIL</v>
      </c>
      <c r="CH127" s="7" t="str">
        <f aca="false">_xlfn.CONCAT("{BLACK}Length: {GOLD}", TEXT(ROUNDUP(IF(AS127&lt;&gt;"",SUM(VALUE(_xlfn.TEXTSPLIT(AS127, ","))), SUM(VALUE(_xlfn.TEXTSPLIT(AP127, ",")))*IF(P127, P127, 1))/16, 1), "#,##0.0"), " tiles{}")</f>
        <v>{BLACK}Length: {GOLD}0.8 tiles{}</v>
      </c>
      <c r="CI127" s="1" t="str">
        <f aca="false">IF(0, VLOOKUP($CG127, Constants!$M:$N, 2, FALSE()),"")</f>
        <v/>
      </c>
      <c r="CJ127" s="1" t="str">
        <f aca="false">IF(P127&gt;1,_xlfn.CONCAT("{BLACK}Cars: {GOLD}", P127),"")</f>
        <v/>
      </c>
      <c r="CK127" s="1" t="s">
        <v>454</v>
      </c>
      <c r="CL127" s="1" t="str">
        <f aca="false">IF($BX127="concept_trains","{GREEN}Concept Vehicle",IF($BX127="!param_no_gameplay_units","{GREEN}Included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{GOLD}0.8 tiles{}{SILVER}The Castle Class is a large, powerful express locomotive designed by GWR Chief Mechanical Engineer Charles Collett</v>
      </c>
    </row>
    <row r="128" customFormat="false" ht="14.25" hidden="false" customHeight="false" outlineLevel="0" collapsed="false">
      <c r="A128" s="1" t="s">
        <v>455</v>
      </c>
      <c r="B128" s="15" t="s">
        <v>456</v>
      </c>
      <c r="C128" s="1" t="n">
        <v>143</v>
      </c>
      <c r="E128" s="1" t="n">
        <v>70</v>
      </c>
      <c r="G128" s="1" t="str">
        <f aca="false">IF($F128&lt;&gt;"",_xlfn.CONCAT(VLOOKUP($CE128, Constants!$T:$U, 2, FALSE()),",",$F128),VLOOKUP($CE128, Constants!$T:$U, 2, FALSE()))</f>
        <v>role/freight</v>
      </c>
      <c r="H128" s="1" t="str">
        <f aca="false">IF($G128&lt;&gt;"",_xlfn.CONCAT(VLOOKUP($CG128, Constants!$M:$P, 4, FALSE()),",",$G128),VLOOKUP($CG128, Constants!$M:$P, 4, FALSE()))</f>
        <v>flag/GB,power/steam,role/freight</v>
      </c>
      <c r="I128" s="1" t="s">
        <v>241</v>
      </c>
      <c r="J128" s="1" t="s">
        <v>249</v>
      </c>
      <c r="K128" s="1" t="s">
        <v>250</v>
      </c>
      <c r="L128" s="1" t="s">
        <v>192</v>
      </c>
      <c r="M128" s="1" t="n">
        <v>1923</v>
      </c>
      <c r="O128" s="1" t="n">
        <v>1951</v>
      </c>
      <c r="Q128" s="1" t="n">
        <v>1000</v>
      </c>
      <c r="S128" s="3" t="n">
        <v>20</v>
      </c>
      <c r="T128" s="3" t="n">
        <v>26</v>
      </c>
      <c r="U128" s="3" t="n">
        <v>2</v>
      </c>
      <c r="V128" s="3" t="n">
        <v>185</v>
      </c>
      <c r="W128" s="18" t="n">
        <f aca="false">((($AE128/2)/60)*5280)/($X128*3.2*PI())</f>
        <v>144.81929564428</v>
      </c>
      <c r="X128" s="3" t="n">
        <v>1.36</v>
      </c>
      <c r="Y128" s="3" t="n">
        <f aca="false">((($S128*$S128/4)*PI())*($T128/12)*$U128*$V128*$W128)/(33000*1.1)</f>
        <v>1004.76270053476</v>
      </c>
      <c r="Z128" s="1" t="n">
        <v>61</v>
      </c>
      <c r="AC128" s="1" t="n">
        <v>133</v>
      </c>
      <c r="AD128" s="4" t="n">
        <f aca="false">IF(AND(Z128&gt;0,AC128&gt;0),(AC128/((Z128+AA128)*10)),"")</f>
        <v>0.218032786885246</v>
      </c>
      <c r="AE128" s="1" t="n">
        <v>45</v>
      </c>
      <c r="AF128" s="1" t="n">
        <f aca="false">ROUND(AE128*1.6, 0)</f>
        <v>72</v>
      </c>
      <c r="AI128" s="1" t="n">
        <v>14</v>
      </c>
      <c r="AL128" s="5" t="n">
        <v>0</v>
      </c>
      <c r="AM128" s="1" t="str">
        <f aca="false">CONCATENATE(VLOOKUP(AN128, 'Voxel Sizes'!$A$2:$B$18,2,FALSE()),"x",INT(AJ128*15), "x", INT(AK128*15))</f>
        <v>136x0x0</v>
      </c>
      <c r="AN128" s="1" t="n">
        <f aca="false">ROUND(15*((AI128*10)/256),0)</f>
        <v>8</v>
      </c>
      <c r="AP128" s="1" t="str">
        <f aca="false">CONCATENATE(VLOOKUP(AN128,Constants!$A$2:$C$16,IF(AO128&lt;&gt;"", 3, 2), FALSE()),IF(AO128&lt;&gt;"",CONCATENATE(",",VLOOKUP(AO128,$B:$AP,41,FALSE())),""))</f>
        <v>2,4,2</v>
      </c>
      <c r="AX128" s="1" t="n">
        <v>1</v>
      </c>
      <c r="AZ128" s="1" t="n">
        <v>30</v>
      </c>
      <c r="BA128" s="16" t="n">
        <f aca="false">IF(O128&lt;&gt;"",MAX(16,(O128-M128)+8),"")</f>
        <v>36</v>
      </c>
      <c r="BD128" s="1" t="n">
        <f aca="false">MIN(AE128/150, 1)*30</f>
        <v>9</v>
      </c>
      <c r="BE128" s="1" t="n">
        <f aca="false">MIN(Q128/4000, 1)*20</f>
        <v>5</v>
      </c>
      <c r="BF128" s="1" t="n">
        <f aca="false">MIN(AC128/400,1)*20</f>
        <v>6.65</v>
      </c>
      <c r="BG128" s="4" t="n">
        <f aca="false">1-(MAX(M128-1900, 0)/750)</f>
        <v>0.969333333333333</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50</v>
      </c>
      <c r="BL128" s="1" t="n">
        <f aca="false">INT(POWER((((Constants!$G$1+$BD128+$BE128+$BF128+$BH128)*($BG128))*$BI128),IF($J128="wagon",1,1.2)))+$BB128</f>
        <v>82</v>
      </c>
      <c r="BM128" s="17" t="n">
        <f aca="false">BK128*IF($J128="wagon",62.5,781.25)</f>
        <v>39062.5</v>
      </c>
      <c r="BN128" s="17" t="n">
        <f aca="false">BL128*IF($J128="wagon",2.73,81.25)</f>
        <v>6662.5</v>
      </c>
      <c r="BY128" s="1" t="n">
        <v>5</v>
      </c>
      <c r="CD128" s="1" t="str">
        <f aca="false">VLOOKUP(M128,Eras!$A$2:$C$10, 2, TRUE())</f>
        <v>big4</v>
      </c>
      <c r="CE128" s="1" t="s">
        <v>132</v>
      </c>
      <c r="CF128" s="1" t="str">
        <f aca="false">CONCATENATE(CD128,"_",CE128)</f>
        <v>big4_Freight</v>
      </c>
      <c r="CG128" s="1" t="str">
        <f aca="false">_xlfn.CONCAT(K128, "_",L128)</f>
        <v>steam_RAIL</v>
      </c>
      <c r="CH128" s="7" t="str">
        <f aca="false">_xlfn.CONCAT("{BLACK}Length: {GOLD}", TEXT(ROUNDUP(IF(AS128&lt;&gt;"",SUM(VALUE(_xlfn.TEXTSPLIT(AS128, ","))), SUM(VALUE(_xlfn.TEXTSPLIT(AP128, ",")))*IF(P128, P128, 1))/16, 1), "#,##0.0"), " tiles{}")</f>
        <v>{BLACK}Length: {GOLD}0.5 tiles{}</v>
      </c>
      <c r="CI128" s="1" t="str">
        <f aca="false">IF(0, VLOOKUP($CG128, Constants!$M:$N, 2, FALSE()),"")</f>
        <v/>
      </c>
      <c r="CJ128" s="1" t="str">
        <f aca="false">IF(P128&gt;1,_xlfn.CONCAT("{BLACK}Cars: {GOLD}", P128),"")</f>
        <v/>
      </c>
      <c r="CK128" s="1" t="s">
        <v>457</v>
      </c>
      <c r="CL128" s="1" t="str">
        <f aca="false">IF($BX128="concept_trains","{GREEN}Concept Vehicle",IF($BX128="!param_no_gameplay_units","{GREEN}Included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{GOLD}0.5 tiles{}{SILVER}The LNWR 380 class is a large tank locomotive with an 0-8-4T chassis. It was derived from the LNWR's 0-8-0 tender engines and similar 0-8-2T tanks.</v>
      </c>
    </row>
    <row r="129" customFormat="false" ht="14.25" hidden="false" customHeight="false" outlineLevel="0" collapsed="false">
      <c r="A129" s="1" t="s">
        <v>458</v>
      </c>
      <c r="B129" s="15" t="s">
        <v>459</v>
      </c>
      <c r="C129" s="1" t="n">
        <v>142</v>
      </c>
      <c r="E129" s="1" t="n">
        <v>71</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241</v>
      </c>
      <c r="J129" s="1" t="s">
        <v>249</v>
      </c>
      <c r="K129" s="1" t="s">
        <v>250</v>
      </c>
      <c r="L129" s="1" t="s">
        <v>192</v>
      </c>
      <c r="M129" s="1" t="n">
        <v>1924</v>
      </c>
      <c r="N129" s="1" t="n">
        <v>1928</v>
      </c>
      <c r="O129" s="1" t="n">
        <v>1965</v>
      </c>
      <c r="Q129" s="1" t="n">
        <v>900</v>
      </c>
      <c r="Z129" s="1" t="n">
        <v>62</v>
      </c>
      <c r="AC129" s="1" t="n">
        <v>115</v>
      </c>
      <c r="AD129" s="4" t="n">
        <f aca="false">IF(AND(Z129&gt;0,AC129&gt;0),(AC129/((Z129+AA129)*10)),"")</f>
        <v>0.185483870967742</v>
      </c>
      <c r="AE129" s="1" t="n">
        <v>50</v>
      </c>
      <c r="AF129" s="1" t="n">
        <f aca="false">ROUND(AE129*1.6, 0)</f>
        <v>80</v>
      </c>
      <c r="AH129" s="1" t="n">
        <v>11.43</v>
      </c>
      <c r="AI129" s="1" t="n">
        <v>11.43</v>
      </c>
      <c r="AL129" s="5" t="n">
        <v>0</v>
      </c>
      <c r="AM129" s="1" t="str">
        <f aca="false">CONCATENATE(VLOOKUP(AN129, 'Voxel Sizes'!$A$2:$B$18,2,FALSE()),"x",INT(AJ129*15), "x", INT(AK129*15))</f>
        <v>120x0x0</v>
      </c>
      <c r="AN129" s="1" t="n">
        <f aca="false">ROUND(15*((AI129*10)/256),0)</f>
        <v>7</v>
      </c>
      <c r="AP129" s="1" t="str">
        <f aca="false">CONCATENATE(VLOOKUP(AN129,Constants!$A$2:$C$16,IF(AO129&lt;&gt;"", 3, 2), FALSE()),IF(AO129&lt;&gt;"",CONCATENATE(",",VLOOKUP(AO129,$B:$AP,41,FALSE())),""))</f>
        <v>2,3,2</v>
      </c>
      <c r="AX129" s="1" t="n">
        <v>1</v>
      </c>
      <c r="AZ129" s="1" t="n">
        <v>33</v>
      </c>
      <c r="BA129" s="16" t="n">
        <f aca="false">IF(O129&lt;&gt;"",MAX(16,(O129-M129)+8),"")</f>
        <v>49</v>
      </c>
      <c r="BD129" s="1" t="n">
        <f aca="false">MIN(AE129/150, 1)*30</f>
        <v>10</v>
      </c>
      <c r="BE129" s="1" t="n">
        <f aca="false">MIN(Q129/4000, 1)*20</f>
        <v>4.5</v>
      </c>
      <c r="BF129" s="1" t="n">
        <f aca="false">MIN(AC129/400,1)*20</f>
        <v>5.75</v>
      </c>
      <c r="BG129" s="4" t="n">
        <f aca="false">1-(MAX(M129-1900, 0)/750)</f>
        <v>0.968</v>
      </c>
      <c r="BH129" s="1" t="n">
        <f aca="false">((MAX($P129,1)*MIN($AL129/300,1)))*IF(J129="Wagon",50,10)</f>
        <v>0</v>
      </c>
      <c r="BI129" s="1" t="n">
        <f aca="false">VLOOKUP($K129,Constants!$I:$K, 2, FALSE())</f>
        <v>1.15</v>
      </c>
      <c r="BJ129" s="1" t="n">
        <f aca="false">VLOOKUP($K129,Constants!$I:$K, 3, FALSE())*IF(AND(J129="multiple_unit",AE129&lt;110),0.75,1)</f>
        <v>1.7</v>
      </c>
      <c r="BK129" s="1" t="n">
        <f aca="false">INT(POWER(((Constants!$G$2+$BD129+$BE129+$BF129+$BH129)*$BG129)*$BJ129, 1.05))+$BC129</f>
        <v>50</v>
      </c>
      <c r="BL129" s="1" t="n">
        <f aca="false">INT(POWER((((Constants!$G$1+$BD129+$BE129+$BF129+$BH129)*($BG129))*$BI129),IF($J129="wagon",1,1.2)))+$BB129</f>
        <v>81</v>
      </c>
      <c r="BM129" s="17" t="n">
        <f aca="false">BK129*IF($J129="wagon",62.5,781.25)</f>
        <v>39062.5</v>
      </c>
      <c r="BN129" s="17" t="n">
        <f aca="false">BL129*IF($J129="wagon",2.73,81.25)</f>
        <v>6581.25</v>
      </c>
      <c r="BV129" s="1" t="str">
        <f aca="false">IF($J129="locomotive","B","")</f>
        <v>B</v>
      </c>
      <c r="BY129" s="1" t="n">
        <v>12</v>
      </c>
      <c r="CD129" s="1" t="str">
        <f aca="false">VLOOKUP(M129,Eras!$A$2:$C$10, 2, TRUE())</f>
        <v>big4</v>
      </c>
      <c r="CE129" s="1" t="s">
        <v>129</v>
      </c>
      <c r="CF129" s="1" t="str">
        <f aca="false">CONCATENATE(CD129,"_",CE129)</f>
        <v>big4_Mixed Traffic</v>
      </c>
      <c r="CG129" s="1" t="str">
        <f aca="false">_xlfn.CONCAT(K129, "_",L129)</f>
        <v>steam_RAIL</v>
      </c>
      <c r="CH129" s="7" t="str">
        <f aca="false">_xlfn.CONCAT("{BLACK}Length: {GOLD}", TEXT(ROUNDUP(IF(AS129&lt;&gt;"",SUM(VALUE(_xlfn.TEXTSPLIT(AS129, ","))), SUM(VALUE(_xlfn.TEXTSPLIT(AP129, ",")))*IF(P129, P129, 1))/16, 1), "#,##0.0"), " tiles{}")</f>
        <v>{BLACK}Length: {GOLD}0.5 tiles{}</v>
      </c>
      <c r="CI129" s="1" t="str">
        <f aca="false">IF(0, VLOOKUP($CG129, Constants!$M:$N, 2, FALSE()),"")</f>
        <v/>
      </c>
      <c r="CJ129" s="1" t="str">
        <f aca="false">IF(P129&gt;1,_xlfn.CONCAT("{BLACK}Cars: {GOLD}", P129),"")</f>
        <v/>
      </c>
      <c r="CK129" s="1" t="s">
        <v>460</v>
      </c>
      <c r="CL129" s="1" t="str">
        <f aca="false">IF($BX129="concept_trains","{GREEN}Concept Vehicle",IF($BX129="!param_no_gameplay_units","{GREEN}Included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{GOLD}0.5 tiles{}{SILVER}The 5600 Class is a large tank engine that offers more power and tractive effort than smaller 0-6-0 tank engines, at the expense of greater weight and higher running costs.</v>
      </c>
    </row>
    <row r="130" customFormat="false" ht="14.25" hidden="false" customHeight="false" outlineLevel="0" collapsed="false">
      <c r="A130" s="1" t="s">
        <v>461</v>
      </c>
      <c r="B130" s="15" t="s">
        <v>462</v>
      </c>
      <c r="C130" s="1" t="n">
        <v>140</v>
      </c>
      <c r="E130" s="1" t="n">
        <v>72</v>
      </c>
      <c r="G130" s="1" t="str">
        <f aca="false">IF($F130&lt;&gt;"",_xlfn.CONCAT(VLOOKUP($CE130, Constants!$T:$U, 2, FALSE()),",",$F130),VLOOKUP($CE130, Constants!$T:$U, 2, FALSE()))</f>
        <v>role/mixed</v>
      </c>
      <c r="H130" s="1" t="str">
        <f aca="false">IF($G130&lt;&gt;"",_xlfn.CONCAT(VLOOKUP($CG130, Constants!$M:$P, 4, FALSE()),",",$G130),VLOOKUP($CG130, Constants!$M:$P, 4, FALSE()))</f>
        <v>flag/GB,power/steam,role/mixed</v>
      </c>
      <c r="I130" s="1" t="s">
        <v>241</v>
      </c>
      <c r="J130" s="1" t="s">
        <v>249</v>
      </c>
      <c r="K130" s="1" t="s">
        <v>250</v>
      </c>
      <c r="L130" s="1" t="s">
        <v>192</v>
      </c>
      <c r="M130" s="1" t="n">
        <v>1924</v>
      </c>
      <c r="O130" s="1" t="n">
        <v>1967</v>
      </c>
      <c r="Q130" s="1" t="n">
        <v>650</v>
      </c>
      <c r="S130" s="3" t="n">
        <v>18</v>
      </c>
      <c r="T130" s="3" t="n">
        <v>26</v>
      </c>
      <c r="U130" s="3" t="n">
        <v>2</v>
      </c>
      <c r="V130" s="3" t="n">
        <v>160</v>
      </c>
      <c r="W130" s="18" t="n">
        <f aca="false">((($AE130/2)/60)*5280)/($X130*3.2*PI())</f>
        <v>140.681601483015</v>
      </c>
      <c r="X130" s="3" t="n">
        <v>1.4</v>
      </c>
      <c r="Y130" s="3" t="n">
        <f aca="false">((($S130*$S130/4)*PI())*($T130/12)*$U130*$V130*$W130)/(33000*1.1)</f>
        <v>683.766233766234</v>
      </c>
      <c r="Z130" s="1" t="n">
        <v>50.2</v>
      </c>
      <c r="AC130" s="1" t="n">
        <v>93</v>
      </c>
      <c r="AD130" s="4" t="n">
        <f aca="false">IF(AND(Z130&gt;0,AC130&gt;0),(AC130/((Z130+AA130)*10)),"")</f>
        <v>0.185258964143426</v>
      </c>
      <c r="AE130" s="1" t="n">
        <v>45</v>
      </c>
      <c r="AF130" s="1" t="n">
        <f aca="false">ROUND(AE130*1.6, 0)</f>
        <v>72</v>
      </c>
      <c r="AH130" s="1" t="n">
        <v>9.57</v>
      </c>
      <c r="AI130" s="1" t="n">
        <v>9.57</v>
      </c>
      <c r="AL130" s="5" t="n">
        <v>0</v>
      </c>
      <c r="AM130" s="1" t="str">
        <f aca="false">CONCATENATE(VLOOKUP(AN130, 'Voxel Sizes'!$A$2:$B$18,2,FALSE()),"x",INT(AJ130*15), "x", INT(AK130*15))</f>
        <v>102x0x0</v>
      </c>
      <c r="AN130" s="1" t="n">
        <f aca="false">ROUND(15*((AI130*10)/256),0)</f>
        <v>6</v>
      </c>
      <c r="AP130" s="1" t="str">
        <f aca="false">CONCATENATE(VLOOKUP(AN130,Constants!$A$2:$C$16,IF(AO130&lt;&gt;"", 3, 2), FALSE()),IF(AO130&lt;&gt;"",CONCATENATE(",",VLOOKUP(AO130,$B:$AP,41,FALSE())),""))</f>
        <v>2,2,2</v>
      </c>
      <c r="AX130" s="1" t="n">
        <v>1</v>
      </c>
      <c r="AZ130" s="1" t="n">
        <v>48</v>
      </c>
      <c r="BA130" s="16" t="n">
        <f aca="false">IF(O130&lt;&gt;"",MAX(16,(O130-M130)+8),"")</f>
        <v>51</v>
      </c>
      <c r="BD130" s="1" t="n">
        <f aca="false">MIN(AE130/150, 1)*30</f>
        <v>9</v>
      </c>
      <c r="BE130" s="1" t="n">
        <f aca="false">MIN(Q130/4000, 1)*20</f>
        <v>3.25</v>
      </c>
      <c r="BF130" s="1" t="n">
        <f aca="false">MIN(AC130/400,1)*20</f>
        <v>4.65</v>
      </c>
      <c r="BG130" s="4" t="n">
        <f aca="false">1-(MAX(M130-1900, 0)/750)</f>
        <v>0.968</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43</v>
      </c>
      <c r="BL130" s="1" t="n">
        <f aca="false">INT(POWER((((Constants!$G$1+$BD130+$BE130+$BF130+$BH130)*($BG130))*$BI130),IF($J130="wagon",1,1.2)))+$BB130</f>
        <v>72</v>
      </c>
      <c r="BM130" s="17" t="n">
        <f aca="false">BK130*IF($J130="wagon",62.5,781.25)</f>
        <v>33593.75</v>
      </c>
      <c r="BN130" s="17" t="n">
        <f aca="false">BL130*IF($J130="wagon",2.73,81.25)</f>
        <v>5850</v>
      </c>
      <c r="BV130" s="1" t="str">
        <f aca="false">IF($J130="locomotive","B","")</f>
        <v>B</v>
      </c>
      <c r="BY130" s="1" t="n">
        <v>11</v>
      </c>
      <c r="CD130" s="1" t="str">
        <f aca="false">VLOOKUP(M130,Eras!$A$2:$C$10, 2, TRUE())</f>
        <v>big4</v>
      </c>
      <c r="CE130" s="1" t="s">
        <v>356</v>
      </c>
      <c r="CF130" s="1" t="str">
        <f aca="false">CONCATENATE(CD130,"_",CE130)</f>
        <v>big4_Cheap</v>
      </c>
      <c r="CG130" s="1" t="str">
        <f aca="false">_xlfn.CONCAT(K130, "_",L130)</f>
        <v>steam_RAIL</v>
      </c>
      <c r="CH130" s="7" t="str">
        <f aca="false">_xlfn.CONCAT("{BLACK}Length: {GOLD}", TEXT(ROUNDUP(IF(AS130&lt;&gt;"",SUM(VALUE(_xlfn.TEXTSPLIT(AS130, ","))), SUM(VALUE(_xlfn.TEXTSPLIT(AP130, ",")))*IF(P130, P130, 1))/16, 1), "#,##0.0"), " tiles{}")</f>
        <v>{BLACK}Length: {GOLD}0.4 tiles{}</v>
      </c>
      <c r="CI130" s="1" t="str">
        <f aca="false">IF(0, VLOOKUP($CG130, Constants!$M:$N, 2, FALSE()),"")</f>
        <v/>
      </c>
      <c r="CJ130" s="1" t="str">
        <f aca="false">IF(P130&gt;1,_xlfn.CONCAT("{BLACK}Cars: {GOLD}", P130),"")</f>
        <v/>
      </c>
      <c r="CK130" s="1" t="s">
        <v>463</v>
      </c>
      <c r="CL130" s="1" t="str">
        <f aca="false">IF($BX130="concept_trains","{GREEN}Concept Vehicle",IF($BX130="!param_no_gameplay_units","{GREEN}Included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{GOLD}0.4 tiles{}{SILVER}The Jinty is a popular tank engine that was built in large quantities. Although small and low powered it is reliable and cheap to run. Jinties were sometimes run in pairs (or more) for working on steep inclines.</v>
      </c>
    </row>
    <row r="131" customFormat="false" ht="14.25" hidden="false" customHeight="false" outlineLevel="0" collapsed="false">
      <c r="A131" s="1" t="s">
        <v>464</v>
      </c>
      <c r="B131" s="19" t="s">
        <v>465</v>
      </c>
      <c r="C131" s="1" t="n">
        <v>1038</v>
      </c>
      <c r="E131" s="1" t="n">
        <v>73</v>
      </c>
      <c r="G131" s="1" t="str">
        <f aca="false">IF($F131&lt;&gt;"",_xlfn.CONCAT(VLOOKUP($CE131, Constants!$T:$U, 2, FALSE()),",",$F131),VLOOKUP($CE131, Constants!$T:$U, 2, FALSE()))</f>
        <v>role/freight</v>
      </c>
      <c r="H131" s="1" t="str">
        <f aca="false">IF($G131&lt;&gt;"",_xlfn.CONCAT(VLOOKUP($CG131, Constants!$M:$P, 4, FALSE()),",",$G131),VLOOKUP($CG131, Constants!$M:$P, 4, FALSE()))</f>
        <v>flag/GB,power/steam,role/freight</v>
      </c>
      <c r="I131" s="1" t="s">
        <v>241</v>
      </c>
      <c r="J131" s="1" t="s">
        <v>466</v>
      </c>
      <c r="K131" s="1" t="s">
        <v>250</v>
      </c>
      <c r="L131" s="1" t="s">
        <v>192</v>
      </c>
      <c r="M131" s="1" t="n">
        <v>1925</v>
      </c>
      <c r="O131" s="1" t="n">
        <v>1955</v>
      </c>
      <c r="P131" s="1" t="n">
        <v>3</v>
      </c>
      <c r="Q131" s="1" t="n">
        <v>2500</v>
      </c>
      <c r="S131" s="3" t="n">
        <v>18.5</v>
      </c>
      <c r="T131" s="3" t="n">
        <v>26</v>
      </c>
      <c r="U131" s="3" t="n">
        <v>6</v>
      </c>
      <c r="V131" s="3" t="n">
        <v>190</v>
      </c>
      <c r="W131" s="18" t="n">
        <f aca="false">((($AE131/2)/60)*5280)/($X131*3.2*PI())</f>
        <v>138.505092880605</v>
      </c>
      <c r="X131" s="3" t="n">
        <v>1.422</v>
      </c>
      <c r="Y131" s="3" t="n">
        <f aca="false">((($S131*$S131/4)*PI())*($T131/12)*$U131*$V131*$W131)/(33000*1.1)</f>
        <v>2533.31625191791</v>
      </c>
      <c r="Z131" s="1" t="n">
        <v>181</v>
      </c>
      <c r="AB131" s="1" t="n">
        <v>5</v>
      </c>
      <c r="AC131" s="1" t="n">
        <v>324</v>
      </c>
      <c r="AD131" s="4" t="n">
        <f aca="false">IF(AND(Z131&gt;0,AC131&gt;0),(AC131/((Z131+AA131)*10)),"")</f>
        <v>0.179005524861878</v>
      </c>
      <c r="AE131" s="1" t="n">
        <v>45</v>
      </c>
      <c r="AF131" s="1" t="n">
        <f aca="false">ROUND(AE131*1.6, 0)</f>
        <v>72</v>
      </c>
      <c r="AH131" s="1" t="n">
        <v>12</v>
      </c>
      <c r="AI131" s="1" t="n">
        <v>12</v>
      </c>
      <c r="AM131" s="1" t="str">
        <f aca="false">CONCATENATE(VLOOKUP(AN131, 'Voxel Sizes'!$A$2:$B$18,2,FALSE()),"x",INT(AJ131*15), "x", INT(AK131*15))</f>
        <v>120x0x0</v>
      </c>
      <c r="AN131" s="16" t="n">
        <f aca="false">ROUND(15*((AI131*10)/256),0)</f>
        <v>7</v>
      </c>
      <c r="AP131" s="1" t="str">
        <f aca="false">CONCATENATE(VLOOKUP(AN131,Constants!$A$2:$C$16,IF(AO131&lt;&gt;"", 3, 2), FALSE()),IF(AO131&lt;&gt;"",CONCATENATE(",",VLOOKUP(AO131,$B:$AP,41,FALSE())),""))</f>
        <v>2,3,2</v>
      </c>
      <c r="AT131" s="1" t="s">
        <v>467</v>
      </c>
      <c r="AV131" s="1" t="s">
        <v>468</v>
      </c>
      <c r="AX131" s="1" t="s">
        <v>469</v>
      </c>
      <c r="AZ131" s="1" t="n">
        <v>24</v>
      </c>
      <c r="BA131" s="16" t="n">
        <f aca="false">IF(O131&lt;&gt;"",MAX(16,(O131-M131)+8),"")</f>
        <v>38</v>
      </c>
      <c r="BD131" s="20" t="n">
        <f aca="false">MIN(AE131/150, 1)*30</f>
        <v>9</v>
      </c>
      <c r="BE131" s="20" t="n">
        <f aca="false">MIN(Q131/4000, 1)*20</f>
        <v>12.5</v>
      </c>
      <c r="BF131" s="20" t="n">
        <f aca="false">MIN(AC131/400,1)*20</f>
        <v>16.2</v>
      </c>
      <c r="BG131" s="21" t="n">
        <f aca="false">1-(MAX(M131-1900, 0)/750)</f>
        <v>0.966666666666667</v>
      </c>
      <c r="BH131" s="20" t="n">
        <f aca="false">((MAX($P131,1)*MIN($AL131/300,1)))*IF(J131="Wagon",50,10)</f>
        <v>0</v>
      </c>
      <c r="BI131" s="1" t="n">
        <f aca="false">VLOOKUP($K131,Constants!$I:$K, 2, FALSE())</f>
        <v>1.15</v>
      </c>
      <c r="BJ131" s="1" t="n">
        <f aca="false">VLOOKUP($K131,Constants!$I:$K, 3, FALSE())*IF(AND(J131="multiple_unit",AE131&lt;110),0.75,1)</f>
        <v>1.275</v>
      </c>
      <c r="BK131" s="1" t="n">
        <f aca="false">INT(POWER(((Constants!$G$2+$BD131+$BE131+$BF131+$BH131)*$BG131)*$BJ131, 1.05))+$BC131</f>
        <v>64</v>
      </c>
      <c r="BL131" s="1" t="n">
        <f aca="false">INT(POWER((((Constants!$G$1+$BD131+$BE131+$BF131+$BH131)*($BG131))*$BI131),IF($J131="wagon",1,1.2)))+$BB131</f>
        <v>132</v>
      </c>
      <c r="BM131" s="22" t="n">
        <f aca="false">BK131*IF($J131="wagon",62.5,781.25)</f>
        <v>50000</v>
      </c>
      <c r="BN131" s="22" t="n">
        <f aca="false">BL131*IF($J131="wagon",2.73,81.25)</f>
        <v>10725</v>
      </c>
      <c r="BQ131" s="1" t="n">
        <v>1</v>
      </c>
      <c r="BU131" s="1" t="str">
        <f aca="false">IF(J131="locomotive","B","")</f>
        <v/>
      </c>
      <c r="BV131" s="1" t="str">
        <f aca="false">IF($J131="locomotive","B","")</f>
        <v/>
      </c>
      <c r="BW131" s="1" t="s">
        <v>470</v>
      </c>
      <c r="BY131" s="1" t="n">
        <v>5</v>
      </c>
      <c r="CD131" s="23" t="s">
        <v>471</v>
      </c>
      <c r="CE131" s="1" t="s">
        <v>132</v>
      </c>
      <c r="CF131" s="23" t="str">
        <f aca="false">CONCATENATE(CD131,"_",CE131)</f>
        <v>big4_Freight</v>
      </c>
      <c r="CG131" s="23" t="str">
        <f aca="false">_xlfn.CONCAT(K131, "_",L131)</f>
        <v>steam_RAIL</v>
      </c>
      <c r="CH131" s="7" t="str">
        <f aca="false">_xlfn.CONCAT("{BLACK}Length: {GOLD}", TEXT(ROUNDUP(IF(AS131&lt;&gt;"",SUM(VALUE(_xlfn.TEXTSPLIT(AS131, ","))), SUM(VALUE(_xlfn.TEXTSPLIT(AP131, ",")))*IF(P131, P131, 1))/16, 1), "#,##0.0"), " tiles{}")</f>
        <v>{BLACK}Length: {GOLD}1.4 tiles{}</v>
      </c>
      <c r="CI131" s="1" t="str">
        <f aca="false">IF(0, VLOOKUP($CG131, Constants!$M:$N, 2, FALSE()),"")</f>
        <v/>
      </c>
      <c r="CJ131" s="1" t="str">
        <f aca="false">IF(P131&gt;1,_xlfn.CONCAT("{BLACK}Cars: {GOLD}", P131),"")</f>
        <v>{BLACK}Cars: {GOLD}3</v>
      </c>
      <c r="CK131" s="1" t="s">
        <v>472</v>
      </c>
      <c r="CL131" s="1" t="str">
        <f aca="false">IF($BX131="concept_trains","{GREEN}Concept Vehicle",IF($BX131="!param_no_gameplay_units","{GREEN}Included for gameplay purposes",""))</f>
        <v/>
      </c>
      <c r="CM131" s="1" t="str">
        <f aca="false">IF(CA131="buffet","{YELLOW}25% long distance bonus for consist{}",IF(CB131="DANDY","{YELLOW}Faster downhill speeds for horse-drawn trains (1 required per 2 horses){}",IF(CB131="BRAKE","{YELLOW}Speed bonus for slow wagons{}",IF(CB131="NGPassengers","{YELLOW}Preserved railway bonus: passengers pay more when hauled by old locomotives{}",IF(AND(BZ131&gt;190,NOT(AND(L131="NARROW_GAUGE",CB131&lt;&gt;"PASS"))),CONCATENATE("{YELLOW}",INT((BZ131-185)/1.85),"%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2" customFormat="false" ht="14.25" hidden="false" customHeight="false" outlineLevel="0" collapsed="false">
      <c r="A132" s="1" t="s">
        <v>473</v>
      </c>
      <c r="B132" s="15" t="s">
        <v>474</v>
      </c>
      <c r="C132" s="1" t="n">
        <v>144</v>
      </c>
      <c r="E132" s="1" t="n">
        <v>74</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241</v>
      </c>
      <c r="J132" s="1" t="s">
        <v>249</v>
      </c>
      <c r="K132" s="1" t="s">
        <v>250</v>
      </c>
      <c r="L132" s="1" t="s">
        <v>192</v>
      </c>
      <c r="M132" s="1" t="n">
        <v>1926</v>
      </c>
      <c r="N132" s="1" t="n">
        <v>1932</v>
      </c>
      <c r="O132" s="1" t="n">
        <v>1967</v>
      </c>
      <c r="Q132" s="1" t="n">
        <v>1400</v>
      </c>
      <c r="S132" s="3" t="n">
        <v>21</v>
      </c>
      <c r="T132" s="3" t="n">
        <v>26</v>
      </c>
      <c r="U132" s="3" t="n">
        <v>2</v>
      </c>
      <c r="V132" s="3" t="n">
        <v>180</v>
      </c>
      <c r="W132" s="18" t="n">
        <f aca="false">((($AE132/2)/60)*5280)/($X132*3.2*PI())</f>
        <v>191.483290907437</v>
      </c>
      <c r="X132" s="3" t="n">
        <v>1.6</v>
      </c>
      <c r="Y132" s="3" t="n">
        <f aca="false">((($S132*$S132/4)*PI())*($T132/12)*$U132*$V132*$W132)/(33000*1.1)</f>
        <v>1425.10653409091</v>
      </c>
      <c r="Z132" s="1" t="n">
        <v>67</v>
      </c>
      <c r="AA132" s="2" t="n">
        <v>46</v>
      </c>
      <c r="AC132" s="1" t="n">
        <v>118</v>
      </c>
      <c r="AD132" s="4" t="n">
        <f aca="false">IF(AND(Z132&gt;0,AC132&gt;0),(AC132/((Z132+AA132)*10)),"")</f>
        <v>0.104424778761062</v>
      </c>
      <c r="AE132" s="1" t="n">
        <v>70</v>
      </c>
      <c r="AF132" s="1" t="n">
        <f aca="false">ROUND(AE132*1.6, 0)</f>
        <v>112</v>
      </c>
      <c r="AH132" s="1" t="n">
        <v>10.44</v>
      </c>
      <c r="AI132" s="1" t="n">
        <v>10.44</v>
      </c>
      <c r="AL132" s="5" t="n">
        <v>0</v>
      </c>
      <c r="AM132" s="1" t="str">
        <f aca="false">CONCATENATE(VLOOKUP(AN132, 'Voxel Sizes'!$A$2:$B$18,2,FALSE()),"x",INT(AJ132*15), "x", INT(AK132*15))</f>
        <v>102x0x0</v>
      </c>
      <c r="AN132" s="1" t="n">
        <f aca="false">ROUND(15*((AI132*10)/256),0)</f>
        <v>6</v>
      </c>
      <c r="AO132" s="1" t="s">
        <v>224</v>
      </c>
      <c r="AP132" s="1" t="str">
        <f aca="false">CONCATENATE(VLOOKUP(AN132,Constants!$A$2:$C$16,IF(AO132&lt;&gt;"", 3, 2), FALSE()),IF(AO132&lt;&gt;"",CONCATENATE(",",VLOOKUP(AO132,$B:$AP,41,FALSE())),""))</f>
        <v>2,2,2,2,1,2</v>
      </c>
      <c r="AX132" s="1" t="n">
        <v>1</v>
      </c>
      <c r="AZ132" s="1" t="n">
        <v>28</v>
      </c>
      <c r="BA132" s="16" t="n">
        <f aca="false">IF(O132&lt;&gt;"",MAX(16,(O132-M132)+8),"")</f>
        <v>49</v>
      </c>
      <c r="BD132" s="1" t="n">
        <f aca="false">MIN(AE132/150, 1)*30</f>
        <v>14</v>
      </c>
      <c r="BE132" s="1" t="n">
        <f aca="false">MIN(Q132/4000, 1)*20</f>
        <v>7</v>
      </c>
      <c r="BF132" s="1" t="n">
        <f aca="false">MIN(AC132/400,1)*20</f>
        <v>5.9</v>
      </c>
      <c r="BG132" s="4" t="n">
        <f aca="false">1-(MAX(M132-1900, 0)/750)</f>
        <v>0.965333333333333</v>
      </c>
      <c r="BH132" s="1" t="n">
        <f aca="false">((MAX($P132,1)*MIN($AL132/300,1)))*IF(J132="Wagon",50,10)</f>
        <v>0</v>
      </c>
      <c r="BI132" s="1" t="n">
        <f aca="false">VLOOKUP($K132,Constants!$I:$K, 2, FALSE())</f>
        <v>1.15</v>
      </c>
      <c r="BJ132" s="1" t="n">
        <f aca="false">VLOOKUP($K132,Constants!$I:$K, 3, FALSE())*IF(AND(J132="multiple_unit",AE132&lt;110),0.75,1)</f>
        <v>1.7</v>
      </c>
      <c r="BK132" s="1" t="n">
        <f aca="false">INT(POWER(((Constants!$G$2+$BD132+$BE132+$BF132+$BH132)*$BG132)*$BJ132, 1.05))+$BC132</f>
        <v>63</v>
      </c>
      <c r="BL132" s="1" t="n">
        <f aca="false">INT(POWER((((Constants!$G$1+$BD132+$BE132+$BF132+$BH132)*($BG132))*$BI132),IF($J132="wagon",1,1.2)))+$BB132</f>
        <v>100</v>
      </c>
      <c r="BM132" s="17" t="n">
        <f aca="false">BK132*IF($J132="wagon",62.5,781.25)</f>
        <v>49218.75</v>
      </c>
      <c r="BN132" s="17" t="n">
        <f aca="false">BL132*IF($J132="wagon",2.73,81.25)</f>
        <v>8125</v>
      </c>
      <c r="BV132" s="1" t="s">
        <v>426</v>
      </c>
      <c r="BY132" s="1" t="n">
        <v>1</v>
      </c>
      <c r="CD132" s="1" t="str">
        <f aca="false">VLOOKUP(M132,Eras!$A$2:$C$10, 2, TRUE())</f>
        <v>big4</v>
      </c>
      <c r="CE132" s="1" t="s">
        <v>282</v>
      </c>
      <c r="CF132" s="1" t="str">
        <f aca="false">CONCATENATE(CD132,"_",CE132)</f>
        <v>big4_Express</v>
      </c>
      <c r="CG132" s="1" t="str">
        <f aca="false">_xlfn.CONCAT(K132, "_",L132)</f>
        <v>steam_RAIL</v>
      </c>
      <c r="CH132" s="7" t="str">
        <f aca="false">_xlfn.CONCAT("{BLACK}Length: {GOLD}", TEXT(ROUNDUP(IF(AS132&lt;&gt;"",SUM(VALUE(_xlfn.TEXTSPLIT(AS132, ","))), SUM(VALUE(_xlfn.TEXTSPLIT(AP132, ",")))*IF(P132, P132, 1))/16, 1), "#,##0.0"), " tiles{}")</f>
        <v>{BLACK}Length: {GOLD}0.7 tiles{}</v>
      </c>
      <c r="CI132" s="1" t="str">
        <f aca="false">IF(0, VLOOKUP($CG132, Constants!$M:$N, 2, FALSE()),"")</f>
        <v/>
      </c>
      <c r="CJ132" s="1" t="str">
        <f aca="false">IF(P132&gt;1,_xlfn.CONCAT("{BLACK}Cars: {GOLD}", P132),"")</f>
        <v/>
      </c>
      <c r="CK132" s="1" t="s">
        <v>475</v>
      </c>
      <c r="CL132" s="1" t="str">
        <f aca="false">IF($BX132="concept_trains","{GREEN}Concept Vehicle",IF($BX132="!param_no_gameplay_units","{GREEN}Included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{GOLD}0.7 tiles{}{SILVER}The Hughes Crab was named for its distinctive "scuttling" motion, caused by the inclined cylinders.</v>
      </c>
    </row>
    <row r="133" customFormat="false" ht="14.25" hidden="false" customHeight="false" outlineLevel="0" collapsed="false">
      <c r="A133" s="1" t="s">
        <v>476</v>
      </c>
      <c r="B133" s="15" t="s">
        <v>477</v>
      </c>
      <c r="C133" s="1" t="n">
        <v>145</v>
      </c>
      <c r="E133" s="1" t="n">
        <v>75</v>
      </c>
      <c r="G133" s="1" t="str">
        <f aca="false">IF($F133&lt;&gt;"",_xlfn.CONCAT(VLOOKUP($CE133, Constants!$T:$U, 2, FALSE()),",",$F133),VLOOKUP($CE133, Constants!$T:$U, 2, FALSE()))</f>
        <v>role/passenger</v>
      </c>
      <c r="H133" s="1" t="str">
        <f aca="false">IF($G133&lt;&gt;"",_xlfn.CONCAT(VLOOKUP($CG133, Constants!$M:$P, 4, FALSE()),",",$G133),VLOOKUP($CG133, Constants!$M:$P, 4, FALSE()))</f>
        <v>flag/GB,power/steam,role/passenger</v>
      </c>
      <c r="I133" s="1" t="s">
        <v>241</v>
      </c>
      <c r="J133" s="1" t="s">
        <v>249</v>
      </c>
      <c r="K133" s="1" t="s">
        <v>250</v>
      </c>
      <c r="L133" s="1" t="s">
        <v>192</v>
      </c>
      <c r="M133" s="1" t="n">
        <v>1927</v>
      </c>
      <c r="O133" s="1" t="n">
        <v>1961</v>
      </c>
      <c r="Q133" s="1" t="n">
        <v>1200</v>
      </c>
      <c r="S133" s="3" t="n">
        <v>17</v>
      </c>
      <c r="T133" s="3" t="n">
        <v>26</v>
      </c>
      <c r="U133" s="3" t="n">
        <v>3</v>
      </c>
      <c r="V133" s="3" t="n">
        <v>180</v>
      </c>
      <c r="W133" s="18" t="n">
        <f aca="false">((($AE133/2)/60)*5280)/($X133*3.2*PI())</f>
        <v>164.128535063517</v>
      </c>
      <c r="X133" s="3" t="n">
        <v>2</v>
      </c>
      <c r="Y133" s="3" t="n">
        <f aca="false">((($S133*$S133/4)*PI())*($T133/12)*$U133*$V133*$W133)/(33000*1.1)</f>
        <v>1200.74573863636</v>
      </c>
      <c r="Z133" s="1" t="n">
        <v>66</v>
      </c>
      <c r="AA133" s="2" t="n">
        <v>53</v>
      </c>
      <c r="AC133" s="1" t="n">
        <v>96</v>
      </c>
      <c r="AD133" s="4" t="n">
        <f aca="false">IF(AND(Z133&gt;0,AC133&gt;0),(AC133/((Z133+AA133)*10)),"")</f>
        <v>0.080672268907563</v>
      </c>
      <c r="AE133" s="1" t="n">
        <v>75</v>
      </c>
      <c r="AF133" s="1" t="n">
        <f aca="false">ROUND(AE133*1.6, 0)</f>
        <v>120</v>
      </c>
      <c r="AH133" s="1" t="n">
        <v>17.9</v>
      </c>
      <c r="AI133" s="1" t="n">
        <f aca="false">AH133-7.5</f>
        <v>10.4</v>
      </c>
      <c r="AL133" s="5" t="n">
        <v>0</v>
      </c>
      <c r="AM133" s="1" t="str">
        <f aca="false">CONCATENATE(VLOOKUP(AN133, 'Voxel Sizes'!$A$2:$B$18,2,FALSE()),"x",INT(AJ133*15), "x", INT(AK133*15))</f>
        <v>102x0x0</v>
      </c>
      <c r="AN133" s="1" t="n">
        <f aca="false">ROUND(15*((AI133*10)/256),0)</f>
        <v>6</v>
      </c>
      <c r="AO133" s="1" t="s">
        <v>218</v>
      </c>
      <c r="AP133" s="1" t="str">
        <f aca="false">CONCATENATE(VLOOKUP(AN133,Constants!$A$2:$C$16,IF(AO133&lt;&gt;"", 3, 2), FALSE()),IF(AO133&lt;&gt;"",CONCATENATE(",",VLOOKUP(AO133,$B:$AP,41,FALSE())),""))</f>
        <v>2,2,2,2,1,2</v>
      </c>
      <c r="AX133" s="1" t="n">
        <v>1</v>
      </c>
      <c r="AZ133" s="1" t="n">
        <v>30</v>
      </c>
      <c r="BA133" s="16" t="n">
        <f aca="false">IF(O133&lt;&gt;"",MAX(16,(O133-M133)+8),"")</f>
        <v>42</v>
      </c>
      <c r="BD133" s="1" t="n">
        <f aca="false">MIN(AE133/150, 1)*30</f>
        <v>15</v>
      </c>
      <c r="BE133" s="1" t="n">
        <f aca="false">MIN(Q133/4000, 1)*20</f>
        <v>6</v>
      </c>
      <c r="BF133" s="1" t="n">
        <f aca="false">MIN(AC133/400,1)*20</f>
        <v>4.8</v>
      </c>
      <c r="BG133" s="4" t="n">
        <f aca="false">1-(MAX(M133-1900, 0)/750)</f>
        <v>0.964</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61</v>
      </c>
      <c r="BL133" s="1" t="n">
        <f aca="false">INT(POWER((((Constants!$G$1+$BD133+$BE133+$BF133+$BH133)*($BG133))*$BI133),IF($J133="wagon",1,1.2)))+$BB133</f>
        <v>96</v>
      </c>
      <c r="BM133" s="17" t="n">
        <f aca="false">BK133*IF($J133="wagon",62.5,781.25)</f>
        <v>47656.25</v>
      </c>
      <c r="BN133" s="17" t="n">
        <f aca="false">BL133*IF($J133="wagon",2.73,81.25)</f>
        <v>7800</v>
      </c>
      <c r="BY133" s="1" t="n">
        <v>2</v>
      </c>
      <c r="CD133" s="1" t="str">
        <f aca="false">VLOOKUP(M133,Eras!$A$2:$C$10, 2, TRUE())</f>
        <v>big4</v>
      </c>
      <c r="CE133" s="1" t="s">
        <v>123</v>
      </c>
      <c r="CF133" s="1" t="str">
        <f aca="false">CONCATENATE(CD133,"_",CE133)</f>
        <v>big4_Passenger</v>
      </c>
      <c r="CG133" s="1" t="str">
        <f aca="false">_xlfn.CONCAT(K133, "_",L133)</f>
        <v>steam_RAIL</v>
      </c>
      <c r="CH133" s="7" t="str">
        <f aca="false">_xlfn.CONCAT("{BLACK}Length: {GOLD}", TEXT(ROUNDUP(IF(AS133&lt;&gt;"",SUM(VALUE(_xlfn.TEXTSPLIT(AS133, ","))), SUM(VALUE(_xlfn.TEXTSPLIT(AP133, ",")))*IF(P133, P133, 1))/16, 1), "#,##0.0"), " tiles{}")</f>
        <v>{BLACK}Length: {GOLD}0.7 tiles{}</v>
      </c>
      <c r="CI133" s="1" t="str">
        <f aca="false">IF(0, VLOOKUP($CG133, Constants!$M:$N, 2, FALSE()),"")</f>
        <v/>
      </c>
      <c r="CJ133" s="1" t="str">
        <f aca="false">IF(P133&gt;1,_xlfn.CONCAT("{BLACK}Cars: {GOLD}", P133),"")</f>
        <v/>
      </c>
      <c r="CK133" s="1" t="s">
        <v>478</v>
      </c>
      <c r="CL133" s="1" t="str">
        <f aca="false">IF($BX133="concept_trains","{GREEN}Concept Vehicle",IF($BX133="!param_no_gameplay_units","{GREEN}Included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{GOLD}0.7 tiles{}{SILVER}The D49 is a Nigel Gresley designed 4-4-0 locomotive for passenger traffic.</v>
      </c>
    </row>
    <row r="134" customFormat="false" ht="14.25" hidden="false" customHeight="false" outlineLevel="0" collapsed="false">
      <c r="A134" s="1" t="s">
        <v>479</v>
      </c>
      <c r="B134" s="15" t="s">
        <v>480</v>
      </c>
      <c r="C134" s="1" t="n">
        <v>146</v>
      </c>
      <c r="E134" s="1" t="n">
        <v>76</v>
      </c>
      <c r="G134" s="1" t="str">
        <f aca="false">IF($F134&lt;&gt;"",_xlfn.CONCAT(VLOOKUP($CE134, Constants!$T:$U, 2, FALSE()),",",$F134),VLOOKUP($CE134, Constants!$T:$U, 2, FALSE()))</f>
        <v>role/express_passenger</v>
      </c>
      <c r="H134" s="1" t="str">
        <f aca="false">IF($G134&lt;&gt;"",_xlfn.CONCAT(VLOOKUP($CG134, Constants!$M:$P, 4, FALSE()),",",$G134),VLOOKUP($CG134, Constants!$M:$P, 4, FALSE()))</f>
        <v>flag/GB,power/steam,role/express_passenger</v>
      </c>
      <c r="I134" s="1" t="s">
        <v>241</v>
      </c>
      <c r="J134" s="1" t="s">
        <v>249</v>
      </c>
      <c r="K134" s="1" t="s">
        <v>250</v>
      </c>
      <c r="L134" s="1" t="s">
        <v>192</v>
      </c>
      <c r="M134" s="1" t="n">
        <v>1927</v>
      </c>
      <c r="N134" s="1" t="n">
        <v>1936</v>
      </c>
      <c r="O134" s="1" t="n">
        <v>1962</v>
      </c>
      <c r="Q134" s="1" t="n">
        <v>2300</v>
      </c>
      <c r="S134" s="3" t="n">
        <v>16.25</v>
      </c>
      <c r="T134" s="3" t="n">
        <v>28</v>
      </c>
      <c r="U134" s="3" t="n">
        <v>4</v>
      </c>
      <c r="V134" s="3" t="n">
        <v>250</v>
      </c>
      <c r="W134" s="18" t="n">
        <f aca="false">((($AE134/2)/60)*5280)/($X134*3.2*PI())</f>
        <v>232.100958675681</v>
      </c>
      <c r="X134" s="3" t="n">
        <v>1.98</v>
      </c>
      <c r="Y134" s="3" t="n">
        <f aca="false">((($S134*$S134/4)*PI())*($T134/12)*$U134*$V134*$W134)/(33000*1.1)</f>
        <v>3094.16669058004</v>
      </c>
      <c r="Z134" s="1" t="n">
        <v>90.4</v>
      </c>
      <c r="AA134" s="2" t="n">
        <v>47</v>
      </c>
      <c r="AC134" s="1" t="n">
        <v>179</v>
      </c>
      <c r="AD134" s="4" t="n">
        <f aca="false">IF(AND(Z134&gt;0,AC134&gt;0),(AC134/((Z134+AA134)*10)),"")</f>
        <v>0.130276564774381</v>
      </c>
      <c r="AE134" s="1" t="n">
        <v>105</v>
      </c>
      <c r="AF134" s="1" t="n">
        <f aca="false">ROUND(AE134*1.6, 0)</f>
        <v>168</v>
      </c>
      <c r="AH134" s="1" t="n">
        <v>20.78</v>
      </c>
      <c r="AI134" s="1" t="n">
        <f aca="false">AH134-7.5</f>
        <v>13.28</v>
      </c>
      <c r="AK134" s="1" t="n">
        <v>4.08</v>
      </c>
      <c r="AL134" s="5" t="n">
        <v>0</v>
      </c>
      <c r="AM134" s="1" t="str">
        <f aca="false">CONCATENATE(VLOOKUP(AN134, 'Voxel Sizes'!$A$2:$B$18,2,FALSE()),"x",INT(AJ134*15), "x", INT(AK134*15))</f>
        <v>136x0x61</v>
      </c>
      <c r="AN134" s="1" t="n">
        <f aca="false">ROUND(15*((AI134*10)/256),0)</f>
        <v>8</v>
      </c>
      <c r="AO134" s="1" t="s">
        <v>191</v>
      </c>
      <c r="AP134" s="1" t="str">
        <f aca="false">CONCATENATE(VLOOKUP(AN134,Constants!$A$2:$C$16,IF(AO134&lt;&gt;"", 3, 2), FALSE()),IF(AO134&lt;&gt;"",CONCATENATE(",",VLOOKUP(AO134,$B:$AP,41,FALSE())),""))</f>
        <v>2,4,2,2,1,2</v>
      </c>
      <c r="AX134" s="1" t="n">
        <v>1</v>
      </c>
      <c r="AZ134" s="1" t="n">
        <v>30</v>
      </c>
      <c r="BA134" s="16" t="n">
        <f aca="false">IF(O134&lt;&gt;"",MAX(16,(O134-M134)+8),"")</f>
        <v>43</v>
      </c>
      <c r="BD134" s="1" t="n">
        <f aca="false">MIN(AE134/150, 1)*30</f>
        <v>21</v>
      </c>
      <c r="BE134" s="1" t="n">
        <f aca="false">MIN(Q134/4000, 1)*20</f>
        <v>11.5</v>
      </c>
      <c r="BF134" s="1" t="n">
        <f aca="false">MIN(AC134/400,1)*20</f>
        <v>8.95</v>
      </c>
      <c r="BG134" s="4" t="n">
        <f aca="false">1-(MAX(M134-1900, 0)/750)</f>
        <v>0.964</v>
      </c>
      <c r="BH134" s="1" t="n">
        <f aca="false">((MAX($P134,1)*MIN($AL134/300,1)))*IF(J134="Wagon",50,10)</f>
        <v>0</v>
      </c>
      <c r="BI134" s="1" t="n">
        <f aca="false">VLOOKUP($K134,Constants!$I:$K, 2, FALSE())</f>
        <v>1.15</v>
      </c>
      <c r="BJ134" s="1" t="n">
        <f aca="false">VLOOKUP($K134,Constants!$I:$K, 3, FALSE())*IF(AND(J134="multiple_unit",AE134&lt;110),0.75,1)</f>
        <v>1.7</v>
      </c>
      <c r="BK134" s="1" t="n">
        <f aca="false">INT(POWER(((Constants!$G$2+$BD134+$BE134+$BF134+$BH134)*$BG134)*$BJ134, 1.05))+$BC134</f>
        <v>94</v>
      </c>
      <c r="BL134" s="1" t="n">
        <f aca="false">INT(POWER((((Constants!$G$1+$BD134+$BE134+$BF134+$BH134)*($BG134))*$BI134),IF($J134="wagon",1,1.2)))+$BB134</f>
        <v>143</v>
      </c>
      <c r="BM134" s="17" t="n">
        <f aca="false">BK134*IF($J134="wagon",62.5,781.25)</f>
        <v>73437.5</v>
      </c>
      <c r="BN134" s="17" t="n">
        <f aca="false">BL134*IF($J134="wagon",2.73,81.25)</f>
        <v>11618.75</v>
      </c>
      <c r="BY134" s="1" t="n">
        <v>3</v>
      </c>
      <c r="CD134" s="1" t="str">
        <f aca="false">VLOOKUP(M134,Eras!$A$2:$C$10, 2, TRUE())</f>
        <v>big4</v>
      </c>
      <c r="CE134" s="1" t="s">
        <v>282</v>
      </c>
      <c r="CF134" s="1" t="str">
        <f aca="false">CONCATENATE(CD134,"_",CE134)</f>
        <v>big4_Express</v>
      </c>
      <c r="CG134" s="1" t="str">
        <f aca="false">_xlfn.CONCAT(K134, "_",L134)</f>
        <v>steam_RAIL</v>
      </c>
      <c r="CH134" s="7" t="str">
        <f aca="false">_xlfn.CONCAT("{BLACK}Length: {GOLD}", TEXT(ROUNDUP(IF(AS134&lt;&gt;"",SUM(VALUE(_xlfn.TEXTSPLIT(AS134, ","))), SUM(VALUE(_xlfn.TEXTSPLIT(AP134, ",")))*IF(P134, P134, 1))/16, 1), "#,##0.0"), " tiles{}")</f>
        <v>{BLACK}Length: {GOLD}0.9 tiles{}</v>
      </c>
      <c r="CI134" s="1" t="str">
        <f aca="false">IF(0, VLOOKUP($CG134, Constants!$M:$N, 2, FALSE()),"")</f>
        <v/>
      </c>
      <c r="CJ134" s="1" t="str">
        <f aca="false">IF(P134&gt;1,_xlfn.CONCAT("{BLACK}Cars: {GOLD}", P134),"")</f>
        <v/>
      </c>
      <c r="CK134" s="1" t="s">
        <v>481</v>
      </c>
      <c r="CL134" s="1" t="str">
        <f aca="false">IF($BX134="concept_trains","{GREEN}Concept Vehicle",IF($BX134="!param_no_gameplay_units","{GREEN}Included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{GOLD}0.9 tiles{}{SILVER}The King Class is a larger and more powerful development of the Castle Class, designed for even higher sustained speeds.</v>
      </c>
    </row>
    <row r="135" customFormat="false" ht="14.25" hidden="false" customHeight="false" outlineLevel="0" collapsed="false">
      <c r="A135" s="1" t="s">
        <v>482</v>
      </c>
      <c r="B135" s="15" t="s">
        <v>483</v>
      </c>
      <c r="C135" s="1" t="n">
        <v>147</v>
      </c>
      <c r="E135" s="1" t="n">
        <v>77</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241</v>
      </c>
      <c r="J135" s="1" t="s">
        <v>249</v>
      </c>
      <c r="K135" s="1" t="s">
        <v>250</v>
      </c>
      <c r="L135" s="1" t="s">
        <v>192</v>
      </c>
      <c r="M135" s="1" t="n">
        <v>1927</v>
      </c>
      <c r="N135" s="1" t="n">
        <v>1934</v>
      </c>
      <c r="O135" s="1" t="n">
        <v>1966</v>
      </c>
      <c r="Q135" s="1" t="n">
        <v>950</v>
      </c>
      <c r="S135" s="3" t="n">
        <v>19</v>
      </c>
      <c r="T135" s="3" t="n">
        <v>26</v>
      </c>
      <c r="U135" s="3" t="n">
        <v>2</v>
      </c>
      <c r="V135" s="3" t="n">
        <v>200</v>
      </c>
      <c r="W135" s="18" t="n">
        <f aca="false">((($AE135/2)/60)*5280)/($X135*3.2*PI())</f>
        <v>205.965220471865</v>
      </c>
      <c r="X135" s="3" t="n">
        <v>1.7</v>
      </c>
      <c r="Y135" s="3" t="n">
        <f aca="false">((($S135*$S135/4)*PI())*($T135/12)*$U135*$V135*$W135)/(33000*1.1)</f>
        <v>1394.23648247178</v>
      </c>
      <c r="Z135" s="1" t="n">
        <v>87.6</v>
      </c>
      <c r="AC135" s="1" t="n">
        <v>102</v>
      </c>
      <c r="AD135" s="4" t="n">
        <f aca="false">IF(AND(Z135&gt;0,AC135&gt;0),(AC135/((Z135+AA135)*10)),"")</f>
        <v>0.116438356164384</v>
      </c>
      <c r="AE135" s="1" t="n">
        <v>80</v>
      </c>
      <c r="AF135" s="1" t="n">
        <f aca="false">ROUND(AE135*1.6, 0)</f>
        <v>128</v>
      </c>
      <c r="AH135" s="1" t="n">
        <v>14.4</v>
      </c>
      <c r="AI135" s="1" t="n">
        <v>14.4</v>
      </c>
      <c r="AL135" s="5" t="n">
        <v>0</v>
      </c>
      <c r="AM135" s="1" t="str">
        <f aca="false">CONCATENATE(VLOOKUP(AN135, 'Voxel Sizes'!$A$2:$B$18,2,FALSE()),"x",INT(AJ135*15), "x", INT(AK135*15))</f>
        <v>136x0x0</v>
      </c>
      <c r="AN135" s="1" t="n">
        <f aca="false">ROUND(15*((AI135*10)/256),0)</f>
        <v>8</v>
      </c>
      <c r="AP135" s="1" t="str">
        <f aca="false">CONCATENATE(VLOOKUP(AN135,Constants!$A$2:$C$16,IF(AO135&lt;&gt;"", 3, 2), FALSE()),IF(AO135&lt;&gt;"",CONCATENATE(",",VLOOKUP(AO135,$B:$AP,41,FALSE())),""))</f>
        <v>2,4,2</v>
      </c>
      <c r="AX135" s="1" t="n">
        <v>1</v>
      </c>
      <c r="AZ135" s="1" t="n">
        <v>30</v>
      </c>
      <c r="BA135" s="16" t="n">
        <f aca="false">IF(O135&lt;&gt;"",MAX(16,(O135-M135)+8),"")</f>
        <v>47</v>
      </c>
      <c r="BD135" s="1" t="n">
        <f aca="false">MIN(AE135/150, 1)*30</f>
        <v>16</v>
      </c>
      <c r="BE135" s="1" t="n">
        <f aca="false">MIN(Q135/4000, 1)*20</f>
        <v>4.75</v>
      </c>
      <c r="BF135" s="1" t="n">
        <f aca="false">MIN(AC135/400,1)*20</f>
        <v>5.1</v>
      </c>
      <c r="BG135" s="4" t="n">
        <f aca="false">1-(MAX(M135-1900, 0)/750)</f>
        <v>0.964</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61</v>
      </c>
      <c r="BL135" s="1" t="n">
        <f aca="false">INT(POWER((((Constants!$G$1+$BD135+$BE135+$BF135+$BH135)*($BG135))*$BI135),IF($J135="wagon",1,1.2)))+$BB135</f>
        <v>97</v>
      </c>
      <c r="BM135" s="17" t="n">
        <f aca="false">BK135*IF($J135="wagon",62.5,781.25)</f>
        <v>47656.25</v>
      </c>
      <c r="BN135" s="17" t="n">
        <f aca="false">BL135*IF($J135="wagon",2.73,81.25)</f>
        <v>7881.25</v>
      </c>
      <c r="BV135" s="1" t="str">
        <f aca="false">IF($J135="locomotive","B","")</f>
        <v>B</v>
      </c>
      <c r="BY135" s="1" t="n">
        <v>4</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TEXT(ROUNDUP(IF(AS135&lt;&gt;"",SUM(VALUE(_xlfn.TEXTSPLIT(AS135, ","))), SUM(VALUE(_xlfn.TEXTSPLIT(AP135, ",")))*IF(P135, P135, 1))/16, 1), "#,##0.0"), " tiles{}")</f>
        <v>{BLACK}Length: {GOLD}0.5 tiles{}</v>
      </c>
      <c r="CI135" s="1" t="str">
        <f aca="false">IF(0, VLOOKUP($CG135, Constants!$M:$N, 2, FALSE()),"")</f>
        <v/>
      </c>
      <c r="CJ135" s="1" t="str">
        <f aca="false">IF(P135&gt;1,_xlfn.CONCAT("{BLACK}Cars: {GOLD}", P135),"")</f>
        <v/>
      </c>
      <c r="CK135" s="1" t="s">
        <v>484</v>
      </c>
      <c r="CL135" s="1" t="str">
        <f aca="false">IF($BX135="concept_trains","{GREEN}Concept Vehicle",IF($BX135="!param_no_gameplay_units","{GREEN}Included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{GOLD}0.5 tiles{}{SILVER}Fowler's 2-6-4T achieved high speeds for a tank engine, and was typically used on longer distance services.</v>
      </c>
    </row>
    <row r="136" customFormat="false" ht="14.25" hidden="false" customHeight="false" outlineLevel="0" collapsed="false">
      <c r="A136" s="1" t="s">
        <v>485</v>
      </c>
      <c r="B136" s="19" t="s">
        <v>486</v>
      </c>
      <c r="C136" s="1" t="n">
        <v>1039</v>
      </c>
      <c r="E136" s="1" t="n">
        <v>78</v>
      </c>
      <c r="G136" s="1" t="str">
        <f aca="false">IF($F136&lt;&gt;"",_xlfn.CONCAT(VLOOKUP($CE136, Constants!$T:$U, 2, FALSE()),",",$F136),VLOOKUP($CE136, Constants!$T:$U, 2, FALSE()))</f>
        <v>role/freight</v>
      </c>
      <c r="H136" s="1" t="str">
        <f aca="false">IF($G136&lt;&gt;"",_xlfn.CONCAT(VLOOKUP($CG136, Constants!$M:$P, 4, FALSE()),",",$G136),VLOOKUP($CG136, Constants!$M:$P, 4, FALSE()))</f>
        <v>flag/GB,power/steam,role/freight</v>
      </c>
      <c r="I136" s="1" t="s">
        <v>241</v>
      </c>
      <c r="J136" s="1" t="s">
        <v>466</v>
      </c>
      <c r="K136" s="1" t="s">
        <v>250</v>
      </c>
      <c r="L136" s="1" t="s">
        <v>192</v>
      </c>
      <c r="M136" s="1" t="n">
        <v>1927</v>
      </c>
      <c r="O136" s="1" t="n">
        <v>1958</v>
      </c>
      <c r="P136" s="1" t="n">
        <v>3</v>
      </c>
      <c r="Q136" s="1" t="n">
        <v>2000</v>
      </c>
      <c r="S136" s="3" t="n">
        <v>18.5</v>
      </c>
      <c r="T136" s="3" t="n">
        <v>26</v>
      </c>
      <c r="U136" s="3" t="n">
        <v>4</v>
      </c>
      <c r="V136" s="3" t="n">
        <v>190</v>
      </c>
      <c r="W136" s="18" t="n">
        <f aca="false">((($AE136/2)/60)*5280)/($X136*3.2*PI())</f>
        <v>127.231422529858</v>
      </c>
      <c r="X136" s="3" t="n">
        <v>1.72</v>
      </c>
      <c r="Y136" s="3" t="n">
        <f aca="false">((($S136*$S136/4)*PI())*($T136/12)*$U136*$V136*$W136)/(33000*1.1)</f>
        <v>1551.41072791872</v>
      </c>
      <c r="Z136" s="1" t="n">
        <v>148</v>
      </c>
      <c r="AB136" s="1" t="n">
        <v>5</v>
      </c>
      <c r="AC136" s="1" t="n">
        <v>203</v>
      </c>
      <c r="AD136" s="4" t="n">
        <f aca="false">IF(AND(Z136&gt;0,AC136&gt;0),(AC136/((Z136+AA136)*10)),"")</f>
        <v>0.137162162162162</v>
      </c>
      <c r="AE136" s="1" t="n">
        <v>50</v>
      </c>
      <c r="AF136" s="1" t="n">
        <f aca="false">ROUND(AE136*1.6, 0)</f>
        <v>80</v>
      </c>
      <c r="AH136" s="1" t="n">
        <v>10</v>
      </c>
      <c r="AI136" s="1" t="n">
        <v>10</v>
      </c>
      <c r="AM136" s="1" t="str">
        <f aca="false">CONCATENATE(VLOOKUP(AN136, 'Voxel Sizes'!$A$2:$B$18,2,FALSE()),"x",INT(AJ136*15), "x", INT(AK136*15))</f>
        <v>102x0x0</v>
      </c>
      <c r="AN136" s="16" t="n">
        <f aca="false">ROUND(15*((AI136*10)/256),0)</f>
        <v>6</v>
      </c>
      <c r="AP136" s="1" t="str">
        <f aca="false">CONCATENATE(VLOOKUP(AN136,Constants!$A$2:$C$16,IF(AO136&lt;&gt;"", 3, 2), FALSE()),IF(AO136&lt;&gt;"",CONCATENATE(",",VLOOKUP(AO136,$B:$AP,41,FALSE())),""))</f>
        <v>2,2,2</v>
      </c>
      <c r="AT136" s="1" t="s">
        <v>487</v>
      </c>
      <c r="AV136" s="1" t="s">
        <v>468</v>
      </c>
      <c r="AX136" s="1" t="s">
        <v>469</v>
      </c>
      <c r="AZ136" s="1" t="n">
        <v>26</v>
      </c>
      <c r="BA136" s="16" t="n">
        <f aca="false">IF(O136&lt;&gt;"",MAX(16,(O136-M136)+8),"")</f>
        <v>39</v>
      </c>
      <c r="BD136" s="20" t="n">
        <f aca="false">MIN(AE136/150, 1)*30</f>
        <v>10</v>
      </c>
      <c r="BE136" s="20" t="n">
        <f aca="false">MIN(Q136/4000, 1)*20</f>
        <v>10</v>
      </c>
      <c r="BF136" s="20" t="n">
        <f aca="false">MIN(AC136/400,1)*20</f>
        <v>10.15</v>
      </c>
      <c r="BG136" s="21" t="n">
        <f aca="false">1-(MAX(M136-1900, 0)/750)</f>
        <v>0.964</v>
      </c>
      <c r="BH136" s="20" t="n">
        <f aca="false">((MAX($P136,1)*MIN($AL136/300,1)))*IF(J136="Wagon",50,10)</f>
        <v>0</v>
      </c>
      <c r="BI136" s="1" t="n">
        <f aca="false">VLOOKUP($K136,Constants!$I:$K, 2, FALSE())</f>
        <v>1.15</v>
      </c>
      <c r="BJ136" s="1" t="n">
        <f aca="false">VLOOKUP($K136,Constants!$I:$K, 3, FALSE())*IF(AND(J136="multiple_unit",AE136&lt;110),0.75,1)</f>
        <v>1.275</v>
      </c>
      <c r="BK136" s="1" t="n">
        <f aca="false">INT(POWER(((Constants!$G$2+$BD136+$BE136+$BF136+$BH136)*$BG136)*$BJ136, 1.05))+$BC136</f>
        <v>52</v>
      </c>
      <c r="BL136" s="1" t="n">
        <f aca="false">INT(POWER((((Constants!$G$1+$BD136+$BE136+$BF136+$BH136)*($BG136))*$BI136),IF($J136="wagon",1,1.2)))+$BB136</f>
        <v>109</v>
      </c>
      <c r="BM136" s="22" t="n">
        <f aca="false">BK136*IF($J136="wagon",62.5,781.25)</f>
        <v>40625</v>
      </c>
      <c r="BN136" s="22" t="n">
        <f aca="false">BL136*IF($J136="wagon",2.73,81.25)</f>
        <v>8856.25</v>
      </c>
      <c r="BQ136" s="1" t="n">
        <v>1</v>
      </c>
      <c r="BU136" s="1" t="str">
        <f aca="false">IF(J136="locomotive","B","")</f>
        <v/>
      </c>
      <c r="BV136" s="1" t="str">
        <f aca="false">IF($J136="locomotive","B","")</f>
        <v/>
      </c>
      <c r="BW136" s="1" t="s">
        <v>488</v>
      </c>
      <c r="BY136" s="1" t="n">
        <v>5</v>
      </c>
      <c r="CD136" s="23" t="s">
        <v>471</v>
      </c>
      <c r="CE136" s="1" t="s">
        <v>132</v>
      </c>
      <c r="CF136" s="23" t="str">
        <f aca="false">CONCATENATE(CD136,"_",CE136)</f>
        <v>big4_Freight</v>
      </c>
      <c r="CG136" s="23" t="str">
        <f aca="false">_xlfn.CONCAT(K136, "_",L136)</f>
        <v>steam_RAIL</v>
      </c>
      <c r="CH136" s="7" t="str">
        <f aca="false">_xlfn.CONCAT("{BLACK}Length: {GOLD}", TEXT(ROUNDUP(IF(AS136&lt;&gt;"",SUM(VALUE(_xlfn.TEXTSPLIT(AS136, ","))), SUM(VALUE(_xlfn.TEXTSPLIT(AP136, ",")))*IF(P136, P136, 1))/16, 1), "#,##0.0"), " tiles{}")</f>
        <v>{BLACK}Length: {GOLD}1.2 tiles{}</v>
      </c>
      <c r="CI136" s="1" t="str">
        <f aca="false">IF(0, VLOOKUP($CG136, Constants!$M:$N, 2, FALSE()),"")</f>
        <v/>
      </c>
      <c r="CJ136" s="1" t="str">
        <f aca="false">IF(P136&gt;1,_xlfn.CONCAT("{BLACK}Cars: {GOLD}", P136),"")</f>
        <v>{BLACK}Cars: {GOLD}3</v>
      </c>
      <c r="CK136" s="1" t="s">
        <v>489</v>
      </c>
      <c r="CL136" s="1" t="str">
        <f aca="false">IF($BX136="concept_trains","{GREEN}Concept Vehicle",IF($BX136="!param_no_gameplay_units","{GREEN}Included for gameplay purposes",""))</f>
        <v/>
      </c>
      <c r="CM136" s="1" t="str">
        <f aca="false">IF(CA136="buffet","{YELLOW}25% long distance bonus for consist{}",IF(CB136="DANDY","{YELLOW}Faster downhill speeds for horse-drawn trains (1 required per 2 horses){}",IF(CB136="BRAKE","{YELLOW}Speed bonus for slow wagons{}",IF(CB136="NGPassengers","{YELLOW}Preserved railway bonus: passengers pay more when hauled by old locomotives{}",IF(AND(BZ136&gt;190,NOT(AND(L136="NARROW_GAUGE",CB136&lt;&gt;"PASS"))),CONCATENATE("{YELLOW}",INT((BZ136-185)/1.85),"%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7" customFormat="false" ht="14.25" hidden="false" customHeight="false" outlineLevel="0" collapsed="false">
      <c r="A137" s="1" t="s">
        <v>490</v>
      </c>
      <c r="B137" s="15" t="s">
        <v>491</v>
      </c>
      <c r="C137" s="1" t="n">
        <v>148</v>
      </c>
      <c r="E137" s="1" t="n">
        <v>79</v>
      </c>
      <c r="G137" s="1" t="str">
        <f aca="false">IF($F137&lt;&gt;"",_xlfn.CONCAT(VLOOKUP($CE137, Constants!$T:$U, 2, FALSE()),",",$F137),VLOOKUP($CE137, Constants!$T:$U, 2, FALSE()))</f>
        <v>role/mixed</v>
      </c>
      <c r="H137" s="1" t="str">
        <f aca="false">IF($G137&lt;&gt;"",_xlfn.CONCAT(VLOOKUP($CG137, Constants!$M:$P, 4, FALSE()),",",$G137),VLOOKUP($CG137, Constants!$M:$P, 4, FALSE()))</f>
        <v>flag/GB,power/steam,role/mixed</v>
      </c>
      <c r="I137" s="1" t="s">
        <v>241</v>
      </c>
      <c r="J137" s="1" t="s">
        <v>249</v>
      </c>
      <c r="K137" s="1" t="s">
        <v>250</v>
      </c>
      <c r="L137" s="1" t="s">
        <v>192</v>
      </c>
      <c r="M137" s="1" t="n">
        <v>1928</v>
      </c>
      <c r="N137" s="1" t="n">
        <v>1943</v>
      </c>
      <c r="O137" s="1" t="n">
        <v>1965</v>
      </c>
      <c r="Q137" s="1" t="n">
        <v>1600</v>
      </c>
      <c r="S137" s="3" t="n">
        <v>18.5</v>
      </c>
      <c r="T137" s="3" t="n">
        <v>30</v>
      </c>
      <c r="U137" s="3" t="n">
        <v>2</v>
      </c>
      <c r="V137" s="3" t="n">
        <v>225</v>
      </c>
      <c r="W137" s="18" t="n">
        <f aca="false">((($AE137/2)/60)*5280)/($X137*3.2*PI())</f>
        <v>194.522708223428</v>
      </c>
      <c r="X137" s="3" t="n">
        <v>1.8</v>
      </c>
      <c r="Y137" s="3" t="n">
        <f aca="false">((($S137*$S137/4)*PI())*($T137/12)*$U137*$V137*$W137)/(33000*1.1)</f>
        <v>1620.50189393939</v>
      </c>
      <c r="Z137" s="1" t="n">
        <v>76.2</v>
      </c>
      <c r="AA137" s="2" t="n">
        <v>47</v>
      </c>
      <c r="AC137" s="1" t="n">
        <v>121</v>
      </c>
      <c r="AD137" s="4" t="n">
        <f aca="false">IF(AND(Z137&gt;0,AC137&gt;0),(AC137/((Z137+AA137)*10)),"")</f>
        <v>0.0982142857142857</v>
      </c>
      <c r="AE137" s="1" t="n">
        <v>80</v>
      </c>
      <c r="AF137" s="1" t="n">
        <f aca="false">ROUND(AE137*1.6, 0)</f>
        <v>128</v>
      </c>
      <c r="AH137" s="1" t="n">
        <v>19.2</v>
      </c>
      <c r="AI137" s="1" t="n">
        <f aca="false">AH137-7.5</f>
        <v>11.7</v>
      </c>
      <c r="AK137" s="1" t="n">
        <v>4.04</v>
      </c>
      <c r="AL137" s="5" t="n">
        <v>0</v>
      </c>
      <c r="AM137" s="1" t="str">
        <f aca="false">CONCATENATE(VLOOKUP(AN137, 'Voxel Sizes'!$A$2:$B$18,2,FALSE()),"x",INT(AJ137*15), "x", INT(AK137*15))</f>
        <v>120x0x60</v>
      </c>
      <c r="AN137" s="1" t="n">
        <f aca="false">ROUND(15*((AI137*10)/256),0)</f>
        <v>7</v>
      </c>
      <c r="AO137" s="1" t="s">
        <v>191</v>
      </c>
      <c r="AP137" s="1" t="str">
        <f aca="false">CONCATENATE(VLOOKUP(AN137,Constants!$A$2:$C$16,IF(AO137&lt;&gt;"", 3, 2), FALSE()),IF(AO137&lt;&gt;"",CONCATENATE(",",VLOOKUP(AO137,$B:$AP,41,FALSE())),""))</f>
        <v>2,3,2,2,1,2</v>
      </c>
      <c r="AX137" s="1" t="n">
        <v>1</v>
      </c>
      <c r="AZ137" s="1" t="n">
        <v>30</v>
      </c>
      <c r="BA137" s="16" t="n">
        <f aca="false">IF(O137&lt;&gt;"",MAX(16,(O137-M137)+8),"")</f>
        <v>45</v>
      </c>
      <c r="BD137" s="1" t="n">
        <f aca="false">MIN(AE137/150, 1)*30</f>
        <v>16</v>
      </c>
      <c r="BE137" s="1" t="n">
        <f aca="false">MIN(Q137/4000, 1)*20</f>
        <v>8</v>
      </c>
      <c r="BF137" s="1" t="n">
        <f aca="false">MIN(AC137/400,1)*20</f>
        <v>6.05</v>
      </c>
      <c r="BG137" s="4" t="n">
        <f aca="false">1-(MAX(M137-1900, 0)/750)</f>
        <v>0.962666666666667</v>
      </c>
      <c r="BH137" s="1" t="n">
        <f aca="false">((MAX($P137,1)*MIN($AL137/300,1)))*IF(J137="Wagon",50,10)</f>
        <v>0</v>
      </c>
      <c r="BI137" s="1" t="n">
        <f aca="false">VLOOKUP($K137,Constants!$I:$K, 2, FALSE())</f>
        <v>1.15</v>
      </c>
      <c r="BJ137" s="1" t="n">
        <f aca="false">VLOOKUP($K137,Constants!$I:$K, 3, FALSE())*IF(AND(J137="multiple_unit",AE137&lt;110),0.75,1)</f>
        <v>1.7</v>
      </c>
      <c r="BK137" s="1" t="n">
        <f aca="false">INT(POWER(((Constants!$G$2+$BD137+$BE137+$BF137+$BH137)*$BG137)*$BJ137, 1.05))+$BC137</f>
        <v>70</v>
      </c>
      <c r="BL137" s="1" t="n">
        <f aca="false">INT(POWER((((Constants!$G$1+$BD137+$BE137+$BF137+$BH137)*($BG137))*$BI137),IF($J137="wagon",1,1.2)))+$BB137</f>
        <v>109</v>
      </c>
      <c r="BM137" s="17" t="n">
        <f aca="false">BK137*IF($J137="wagon",62.5,781.25)</f>
        <v>54687.5</v>
      </c>
      <c r="BN137" s="17" t="n">
        <f aca="false">BL137*IF($J137="wagon",2.73,81.25)</f>
        <v>8856.25</v>
      </c>
      <c r="BY137" s="1" t="n">
        <v>5</v>
      </c>
      <c r="CD137" s="1" t="str">
        <f aca="false">VLOOKUP(M137,Eras!$A$2:$C$10, 2, TRUE())</f>
        <v>big4</v>
      </c>
      <c r="CE137" s="1" t="s">
        <v>129</v>
      </c>
      <c r="CF137" s="1" t="str">
        <f aca="false">CONCATENATE(CD137,"_",CE137)</f>
        <v>big4_Mixed Traffic</v>
      </c>
      <c r="CG137" s="1" t="str">
        <f aca="false">_xlfn.CONCAT(K137, "_",L137)</f>
        <v>steam_RAIL</v>
      </c>
      <c r="CH137" s="7" t="str">
        <f aca="false">_xlfn.CONCAT("{BLACK}Length: {GOLD}", TEXT(ROUNDUP(IF(AS137&lt;&gt;"",SUM(VALUE(_xlfn.TEXTSPLIT(AS137, ","))), SUM(VALUE(_xlfn.TEXTSPLIT(AP137, ",")))*IF(P137, P137, 1))/16, 1), "#,##0.0"), " tiles{}")</f>
        <v>{BLACK}Length: {GOLD}0.8 tiles{}</v>
      </c>
      <c r="CI137" s="1" t="str">
        <f aca="false">IF(0, VLOOKUP($CG137, Constants!$M:$N, 2, FALSE()),"")</f>
        <v/>
      </c>
      <c r="CJ137" s="1" t="str">
        <f aca="false">IF(P137&gt;1,_xlfn.CONCAT("{BLACK}Cars: {GOLD}", P137),"")</f>
        <v/>
      </c>
      <c r="CK137" s="1" t="s">
        <v>492</v>
      </c>
      <c r="CL137" s="1" t="str">
        <f aca="false">IF($BX137="concept_trains","{GREEN}Concept Vehicle",IF($BX137="!param_no_gameplay_units","{GREEN}Included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{GOLD}0.8 tiles{}{SILVER}The GWR 4900 Hall Class set the template for the 4-6-0 mixed traffic locomotive, fast enough for express passenger services with enough tractive effort for freight.</v>
      </c>
    </row>
    <row r="138" customFormat="false" ht="14.25" hidden="false" customHeight="false" outlineLevel="0" collapsed="false">
      <c r="A138" s="1" t="s">
        <v>493</v>
      </c>
      <c r="B138" s="15" t="s">
        <v>494</v>
      </c>
      <c r="C138" s="1" t="n">
        <v>149</v>
      </c>
      <c r="E138" s="1" t="n">
        <v>80</v>
      </c>
      <c r="G138" s="1" t="str">
        <f aca="false">IF($F138&lt;&gt;"",_xlfn.CONCAT(VLOOKUP($CE138, Constants!$T:$U, 2, FALSE()),",",$F138),VLOOKUP($CE138, Constants!$T:$U, 2, FALSE()))</f>
        <v>role/express_passenger</v>
      </c>
      <c r="H138" s="1" t="str">
        <f aca="false">IF($G138&lt;&gt;"",_xlfn.CONCAT(VLOOKUP($CG138, Constants!$M:$P, 4, FALSE()),",",$G138),VLOOKUP($CG138, Constants!$M:$P, 4, FALSE()))</f>
        <v>flag/GB,power/steam,role/express_passenger</v>
      </c>
      <c r="I138" s="1" t="s">
        <v>241</v>
      </c>
      <c r="J138" s="1" t="s">
        <v>249</v>
      </c>
      <c r="K138" s="1" t="s">
        <v>250</v>
      </c>
      <c r="L138" s="1" t="s">
        <v>192</v>
      </c>
      <c r="M138" s="1" t="n">
        <v>1928</v>
      </c>
      <c r="N138" s="1" t="n">
        <v>1935</v>
      </c>
      <c r="O138" s="1" t="n">
        <v>1966</v>
      </c>
      <c r="Q138" s="1" t="n">
        <v>2100</v>
      </c>
      <c r="S138" s="3" t="n">
        <v>19</v>
      </c>
      <c r="T138" s="3" t="n">
        <v>26</v>
      </c>
      <c r="U138" s="3" t="n">
        <v>3</v>
      </c>
      <c r="V138" s="3" t="n">
        <v>220</v>
      </c>
      <c r="W138" s="18" t="n">
        <f aca="false">((($AE138/2)/60)*5280)/($X138*3.2*PI())</f>
        <v>236.345090491465</v>
      </c>
      <c r="X138" s="3" t="n">
        <v>2</v>
      </c>
      <c r="Y138" s="3" t="n">
        <f aca="false">((($S138*$S138/4)*PI())*($T138/12)*$U138*$V138*$W138)/(33000*1.1)</f>
        <v>2639.8125</v>
      </c>
      <c r="Z138" s="1" t="n">
        <v>92.8</v>
      </c>
      <c r="AA138" s="2" t="n">
        <v>54</v>
      </c>
      <c r="AC138" s="1" t="n">
        <v>146</v>
      </c>
      <c r="AD138" s="4" t="n">
        <f aca="false">IF(AND(Z138&gt;0,AC138&gt;0),(AC138/((Z138+AA138)*10)),"")</f>
        <v>0.0994550408719346</v>
      </c>
      <c r="AE138" s="1" t="n">
        <v>108</v>
      </c>
      <c r="AF138" s="1" t="n">
        <f aca="false">ROUND(AE138*1.6, 0)</f>
        <v>173</v>
      </c>
      <c r="AH138" s="1" t="n">
        <v>21.46</v>
      </c>
      <c r="AI138" s="1" t="n">
        <f aca="false">AH138-7.5</f>
        <v>13.96</v>
      </c>
      <c r="AL138" s="5" t="n">
        <v>0</v>
      </c>
      <c r="AM138" s="1" t="str">
        <f aca="false">CONCATENATE(VLOOKUP(AN138, 'Voxel Sizes'!$A$2:$B$18,2,FALSE()),"x",INT(AJ138*15), "x", INT(AK138*15))</f>
        <v>136x0x0</v>
      </c>
      <c r="AN138" s="1" t="n">
        <f aca="false">ROUND(15*((AI138*10)/256),0)</f>
        <v>8</v>
      </c>
      <c r="AO138" s="1" t="s">
        <v>228</v>
      </c>
      <c r="AP138" s="1" t="str">
        <f aca="false">CONCATENATE(VLOOKUP(AN138,Constants!$A$2:$C$16,IF(AO138&lt;&gt;"", 3, 2), FALSE()),IF(AO138&lt;&gt;"",CONCATENATE(",",VLOOKUP(AO138,$B:$AP,41,FALSE())),""))</f>
        <v>2,4,2,2,1,2</v>
      </c>
      <c r="AX138" s="1" t="n">
        <v>1</v>
      </c>
      <c r="AZ138" s="1" t="n">
        <v>32</v>
      </c>
      <c r="BA138" s="16" t="n">
        <f aca="false">IF(O138&lt;&gt;"",MAX(16,(O138-M138)+8),"")</f>
        <v>46</v>
      </c>
      <c r="BD138" s="1" t="n">
        <f aca="false">MIN(AE138/150, 1)*30</f>
        <v>21.6</v>
      </c>
      <c r="BE138" s="1" t="n">
        <f aca="false">MIN(Q138/4000, 1)*20</f>
        <v>10.5</v>
      </c>
      <c r="BF138" s="1" t="n">
        <f aca="false">MIN(AC138/400,1)*20</f>
        <v>7.3</v>
      </c>
      <c r="BG138" s="4" t="n">
        <f aca="false">1-(MAX(M138-1900, 0)/750)</f>
        <v>0.962666666666667</v>
      </c>
      <c r="BH138" s="1" t="n">
        <f aca="false">((MAX($P138,1)*MIN($AL138/300,1)))*IF(J138="Wagon",50,10)</f>
        <v>0</v>
      </c>
      <c r="BI138" s="1" t="n">
        <f aca="false">VLOOKUP($K138,Constants!$I:$K, 2, FALSE())</f>
        <v>1.15</v>
      </c>
      <c r="BJ138" s="1" t="n">
        <f aca="false">VLOOKUP($K138,Constants!$I:$K, 3, FALSE())*IF(AND(J138="multiple_unit",AE138&lt;110),0.75,1)</f>
        <v>1.7</v>
      </c>
      <c r="BK138" s="1" t="n">
        <f aca="false">INT(POWER(((Constants!$G$2+$BD138+$BE138+$BF138+$BH138)*$BG138)*$BJ138, 1.05))+$BC138</f>
        <v>90</v>
      </c>
      <c r="BL138" s="1" t="n">
        <f aca="false">INT(POWER((((Constants!$G$1+$BD138+$BE138+$BF138+$BH138)*($BG138))*$BI138),IF($J138="wagon",1,1.2)))+$BB138</f>
        <v>136</v>
      </c>
      <c r="BM138" s="17" t="n">
        <f aca="false">BK138*IF($J138="wagon",62.5,781.25)</f>
        <v>70312.5</v>
      </c>
      <c r="BN138" s="17" t="n">
        <f aca="false">BL138*IF($J138="wagon",2.73,81.25)</f>
        <v>11050</v>
      </c>
      <c r="BY138" s="1" t="n">
        <v>6</v>
      </c>
      <c r="CD138" s="1" t="str">
        <f aca="false">VLOOKUP(M138,Eras!$A$2:$C$10, 2, TRUE())</f>
        <v>big4</v>
      </c>
      <c r="CE138" s="1" t="s">
        <v>282</v>
      </c>
      <c r="CF138" s="1" t="str">
        <f aca="false">CONCATENATE(CD138,"_",CE138)</f>
        <v>big4_Express</v>
      </c>
      <c r="CG138" s="1" t="str">
        <f aca="false">_xlfn.CONCAT(K138, "_",L138)</f>
        <v>steam_RAIL</v>
      </c>
      <c r="CH138" s="7" t="str">
        <f aca="false">_xlfn.CONCAT("{BLACK}Length: {GOLD}", TEXT(ROUNDUP(IF(AS138&lt;&gt;"",SUM(VALUE(_xlfn.TEXTSPLIT(AS138, ","))), SUM(VALUE(_xlfn.TEXTSPLIT(AP138, ",")))*IF(P138, P138, 1))/16, 1), "#,##0.0"), " tiles{}")</f>
        <v>{BLACK}Length: {GOLD}0.9 tiles{}</v>
      </c>
      <c r="CI138" s="1" t="str">
        <f aca="false">IF(0, VLOOKUP($CG138, Constants!$M:$N, 2, FALSE()),"")</f>
        <v/>
      </c>
      <c r="CJ138" s="1" t="str">
        <f aca="false">IF(P138&gt;1,_xlfn.CONCAT("{BLACK}Cars: {GOLD}", P138),"")</f>
        <v/>
      </c>
      <c r="CK138" s="1" t="s">
        <v>495</v>
      </c>
      <c r="CL138" s="1" t="str">
        <f aca="false">IF($BX138="concept_trains","{GREEN}Concept Vehicle",IF($BX138="!param_no_gameplay_units","{GREEN}Included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{GOLD}0.9 tiles{}{SILVER}The Gresley A3 is a Pacific (4-6-2) locomotive famed for its 100mph+ performance hauling LNER's Flying Scotsman service.</v>
      </c>
    </row>
    <row r="139" customFormat="false" ht="14.25" hidden="false" customHeight="false" outlineLevel="0" collapsed="false">
      <c r="A139" s="1" t="s">
        <v>496</v>
      </c>
      <c r="B139" s="15" t="s">
        <v>497</v>
      </c>
      <c r="C139" s="1" t="n">
        <v>150</v>
      </c>
      <c r="E139" s="1" t="n">
        <v>81</v>
      </c>
      <c r="G139" s="1" t="str">
        <f aca="false">IF($F139&lt;&gt;"",_xlfn.CONCAT(VLOOKUP($CE139, Constants!$T:$U, 2, FALSE()),",",$F139),VLOOKUP($CE139, Constants!$T:$U, 2, FALSE()))</f>
        <v>role/express_passenger</v>
      </c>
      <c r="H139" s="1" t="str">
        <f aca="false">IF($G139&lt;&gt;"",_xlfn.CONCAT(VLOOKUP($CG139, Constants!$M:$P, 4, FALSE()),",",$G139),VLOOKUP($CG139, Constants!$M:$P, 4, FALSE()))</f>
        <v>flag/GB,power/steam,role/express_passenger</v>
      </c>
      <c r="I139" s="1" t="s">
        <v>241</v>
      </c>
      <c r="J139" s="1" t="s">
        <v>249</v>
      </c>
      <c r="K139" s="1" t="s">
        <v>250</v>
      </c>
      <c r="L139" s="1" t="s">
        <v>192</v>
      </c>
      <c r="M139" s="1" t="n">
        <v>1930</v>
      </c>
      <c r="N139" s="1" t="n">
        <v>1934</v>
      </c>
      <c r="O139" s="1" t="n">
        <v>1965</v>
      </c>
      <c r="Q139" s="1" t="n">
        <v>1200</v>
      </c>
      <c r="Z139" s="1" t="n">
        <v>82</v>
      </c>
      <c r="AA139" s="2" t="n">
        <v>44</v>
      </c>
      <c r="AC139" s="1" t="n">
        <v>118</v>
      </c>
      <c r="AD139" s="4" t="n">
        <f aca="false">IF(AND(Z139&gt;0,AC139&gt;0),(AC139/((Z139+AA139)*10)),"")</f>
        <v>0.0936507936507937</v>
      </c>
      <c r="AE139" s="1" t="n">
        <v>90</v>
      </c>
      <c r="AF139" s="1" t="n">
        <f aca="false">ROUND(AE139*1.6, 0)</f>
        <v>144</v>
      </c>
      <c r="AH139" s="1" t="n">
        <v>11.76</v>
      </c>
      <c r="AI139" s="1" t="n">
        <v>11.76</v>
      </c>
      <c r="AL139" s="5" t="n">
        <v>0</v>
      </c>
      <c r="AM139" s="1" t="str">
        <f aca="false">CONCATENATE(VLOOKUP(AN139, 'Voxel Sizes'!$A$2:$B$18,2,FALSE()),"x",INT(AJ139*15), "x", INT(AK139*15))</f>
        <v>120x0x0</v>
      </c>
      <c r="AN139" s="1" t="n">
        <f aca="false">ROUND(15*((AI139*10)/256),0)</f>
        <v>7</v>
      </c>
      <c r="AO139" s="1" t="s">
        <v>224</v>
      </c>
      <c r="AP139" s="1" t="str">
        <f aca="false">CONCATENATE(VLOOKUP(AN139,Constants!$A$2:$C$16,IF(AO139&lt;&gt;"", 3, 2), FALSE()),IF(AO139&lt;&gt;"",CONCATENATE(",",VLOOKUP(AO139,$B:$AP,41,FALSE())),""))</f>
        <v>2,3,2,2,1,2</v>
      </c>
      <c r="AX139" s="1" t="n">
        <v>1</v>
      </c>
      <c r="AZ139" s="1" t="n">
        <v>34</v>
      </c>
      <c r="BA139" s="16" t="n">
        <f aca="false">IF(O139&lt;&gt;"",MAX(16,(O139-M139)+8),"")</f>
        <v>43</v>
      </c>
      <c r="BD139" s="1" t="n">
        <f aca="false">MIN(AE139/150, 1)*30</f>
        <v>18</v>
      </c>
      <c r="BE139" s="1" t="n">
        <f aca="false">MIN(Q139/4000, 1)*20</f>
        <v>6</v>
      </c>
      <c r="BF139" s="1" t="n">
        <f aca="false">MIN(AC139/400,1)*20</f>
        <v>5.9</v>
      </c>
      <c r="BG139" s="4" t="n">
        <f aca="false">1-(MAX(M139-1900, 0)/750)</f>
        <v>0.96</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69</v>
      </c>
      <c r="BL139" s="1" t="n">
        <f aca="false">INT(POWER((((Constants!$G$1+$BD139+$BE139+$BF139+$BH139)*($BG139))*$BI139),IF($J139="wagon",1,1.2)))+$BB139</f>
        <v>108</v>
      </c>
      <c r="BM139" s="17" t="n">
        <f aca="false">BK139*IF($J139="wagon",62.5,781.25)</f>
        <v>53906.25</v>
      </c>
      <c r="BN139" s="17" t="n">
        <f aca="false">BL139*IF($J139="wagon",2.73,81.25)</f>
        <v>8775</v>
      </c>
      <c r="BV139" s="1" t="s">
        <v>426</v>
      </c>
      <c r="BY139" s="1" t="n">
        <v>11</v>
      </c>
      <c r="CD139" s="1" t="str">
        <f aca="false">VLOOKUP(M139,Eras!$A$2:$C$10, 2, TRUE())</f>
        <v>big4</v>
      </c>
      <c r="CE139" s="1" t="s">
        <v>282</v>
      </c>
      <c r="CF139" s="1" t="str">
        <f aca="false">CONCATENATE(CD139,"_",CE139)</f>
        <v>big4_Express</v>
      </c>
      <c r="CG139" s="1" t="str">
        <f aca="false">_xlfn.CONCAT(K139, "_",L139)</f>
        <v>steam_RAIL</v>
      </c>
      <c r="CH139" s="7" t="str">
        <f aca="false">_xlfn.CONCAT("{BLACK}Length: {GOLD}", TEXT(ROUNDUP(IF(AS139&lt;&gt;"",SUM(VALUE(_xlfn.TEXTSPLIT(AS139, ","))), SUM(VALUE(_xlfn.TEXTSPLIT(AP139, ",")))*IF(P139, P139, 1))/16, 1), "#,##0.0"), " tiles{}")</f>
        <v>{BLACK}Length: {GOLD}0.8 tiles{}</v>
      </c>
      <c r="CI139" s="1" t="str">
        <f aca="false">IF(0, VLOOKUP($CG139, Constants!$M:$N, 2, FALSE()),"")</f>
        <v/>
      </c>
      <c r="CJ139" s="1" t="str">
        <f aca="false">IF(P139&gt;1,_xlfn.CONCAT("{BLACK}Cars: {GOLD}", P139),"")</f>
        <v/>
      </c>
      <c r="CK139" s="1" t="s">
        <v>498</v>
      </c>
      <c r="CL139" s="1" t="str">
        <f aca="false">IF($BX139="concept_trains","{GREEN}Concept Vehicle",IF($BX139="!param_no_gameplay_units","{GREEN}Included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Patriot class combined the Royal Scot chassis with boilers from the LNWR's Large Claughton class. Although none were preserved, there is a project to build a new Patriot-class locomotive.</v>
      </c>
    </row>
    <row r="140" customFormat="false" ht="14.25" hidden="false" customHeight="false" outlineLevel="0" collapsed="false">
      <c r="A140" s="1" t="s">
        <v>499</v>
      </c>
      <c r="B140" s="15" t="s">
        <v>500</v>
      </c>
      <c r="C140" s="1" t="n">
        <v>151</v>
      </c>
      <c r="E140" s="1" t="n">
        <v>82</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241</v>
      </c>
      <c r="J140" s="1" t="s">
        <v>249</v>
      </c>
      <c r="K140" s="1" t="s">
        <v>250</v>
      </c>
      <c r="L140" s="1" t="s">
        <v>192</v>
      </c>
      <c r="M140" s="1" t="n">
        <v>1929</v>
      </c>
      <c r="N140" s="1" t="n">
        <v>1950</v>
      </c>
      <c r="O140" s="1" t="n">
        <v>1971</v>
      </c>
      <c r="Q140" s="1" t="n">
        <v>750</v>
      </c>
      <c r="S140" s="3" t="n">
        <v>17.5</v>
      </c>
      <c r="T140" s="3" t="n">
        <v>24</v>
      </c>
      <c r="U140" s="3" t="n">
        <v>2</v>
      </c>
      <c r="V140" s="3" t="n">
        <v>200</v>
      </c>
      <c r="W140" s="18" t="n">
        <f aca="false">((($AE140/2)/60)*5280)/($X140*3.2*PI())</f>
        <v>187.57546864402</v>
      </c>
      <c r="X140" s="3" t="n">
        <v>1.4</v>
      </c>
      <c r="Y140" s="3" t="n">
        <f aca="false">((($S140*$S140/4)*PI())*($T140/12)*$U140*$V140*$W140)/(33000*1.1)</f>
        <v>994.318181818182</v>
      </c>
      <c r="Z140" s="1" t="n">
        <v>48.3</v>
      </c>
      <c r="AC140" s="1" t="n">
        <v>100</v>
      </c>
      <c r="AD140" s="4" t="n">
        <f aca="false">IF(AND(Z140&gt;0,AC140&gt;0),(AC140/((Z140+AA140)*10)),"")</f>
        <v>0.20703933747412</v>
      </c>
      <c r="AE140" s="1" t="n">
        <v>60</v>
      </c>
      <c r="AF140" s="1" t="n">
        <f aca="false">ROUND(AE140*1.6, 0)</f>
        <v>96</v>
      </c>
      <c r="AH140" s="1" t="n">
        <v>9.5</v>
      </c>
      <c r="AI140" s="1" t="n">
        <v>9.5</v>
      </c>
      <c r="AK140" s="1" t="n">
        <v>3.735</v>
      </c>
      <c r="AL140" s="5" t="n">
        <v>0</v>
      </c>
      <c r="AM140" s="1" t="str">
        <f aca="false">CONCATENATE(VLOOKUP(AN140, 'Voxel Sizes'!$A$2:$B$18,2,FALSE()),"x",INT(AJ140*15), "x", INT(AK140*15))</f>
        <v>102x0x56</v>
      </c>
      <c r="AN140" s="1" t="n">
        <f aca="false">ROUND(15*((AI140*10)/256),0)</f>
        <v>6</v>
      </c>
      <c r="AP140" s="1" t="str">
        <f aca="false">CONCATENATE(VLOOKUP(AN140,Constants!$A$2:$C$16,IF(AO140&lt;&gt;"", 3, 2), FALSE()),IF(AO140&lt;&gt;"",CONCATENATE(",",VLOOKUP(AO140,$B:$AP,41,FALSE())),""))</f>
        <v>2,2,2</v>
      </c>
      <c r="AX140" s="1" t="n">
        <v>1</v>
      </c>
      <c r="AZ140" s="1" t="n">
        <v>37</v>
      </c>
      <c r="BA140" s="16" t="n">
        <f aca="false">IF(O140&lt;&gt;"",MAX(16,(O140-M140)+8),"")</f>
        <v>50</v>
      </c>
      <c r="BD140" s="1" t="n">
        <f aca="false">MIN(AE140/150, 1)*30</f>
        <v>12</v>
      </c>
      <c r="BE140" s="1" t="n">
        <f aca="false">MIN(Q140/4000, 1)*20</f>
        <v>3.75</v>
      </c>
      <c r="BF140" s="1" t="n">
        <f aca="false">MIN(AC140/400,1)*20</f>
        <v>5</v>
      </c>
      <c r="BG140" s="4" t="n">
        <f aca="false">1-(MAX(M140-1900, 0)/750)</f>
        <v>0.961333333333333</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50</v>
      </c>
      <c r="BL140" s="1" t="n">
        <f aca="false">INT(POWER((((Constants!$G$1+$BD140+$BE140+$BF140+$BH140)*($BG140))*$BI140),IF($J140="wagon",1,1.2)))+$BB140</f>
        <v>82</v>
      </c>
      <c r="BM140" s="17" t="n">
        <f aca="false">BK140*IF($J140="wagon",62.5,781.25)</f>
        <v>39062.5</v>
      </c>
      <c r="BN140" s="17" t="n">
        <f aca="false">BL140*IF($J140="wagon",2.73,81.25)</f>
        <v>6662.5</v>
      </c>
      <c r="BV140" s="1" t="str">
        <f aca="false">IF($J140="locomotive","B","")</f>
        <v>B</v>
      </c>
      <c r="BY140" s="1" t="n">
        <v>7</v>
      </c>
      <c r="CD140" s="1" t="str">
        <f aca="false">VLOOKUP(M140,Eras!$A$2:$C$10, 2, TRUE())</f>
        <v>big4</v>
      </c>
      <c r="CE140" s="1" t="s">
        <v>356</v>
      </c>
      <c r="CF140" s="1" t="str">
        <f aca="false">CONCATENATE(CD140,"_",CE140)</f>
        <v>big4_Cheap</v>
      </c>
      <c r="CG140" s="1" t="str">
        <f aca="false">_xlfn.CONCAT(K140, "_",L140)</f>
        <v>steam_RAIL</v>
      </c>
      <c r="CH140" s="7" t="str">
        <f aca="false">_xlfn.CONCAT("{BLACK}Length: {GOLD}", TEXT(ROUNDUP(IF(AS140&lt;&gt;"",SUM(VALUE(_xlfn.TEXTSPLIT(AS140, ","))), SUM(VALUE(_xlfn.TEXTSPLIT(AP140, ",")))*IF(P140, P140, 1))/16, 1), "#,##0.0"), " tiles{}")</f>
        <v>{BLACK}Length: {GOLD}0.4 tiles{}</v>
      </c>
      <c r="CI140" s="1" t="str">
        <f aca="false">IF(0, VLOOKUP($CG140, Constants!$M:$N, 2, FALSE()),"")</f>
        <v/>
      </c>
      <c r="CJ140" s="1" t="str">
        <f aca="false">IF(P140&gt;1,_xlfn.CONCAT("{BLACK}Cars: {GOLD}", P140),"")</f>
        <v/>
      </c>
      <c r="CK140" s="1" t="s">
        <v>501</v>
      </c>
      <c r="CL140" s="1" t="str">
        <f aca="false">IF($BX140="concept_trains","{GREEN}Concept Vehicle",IF($BX140="!param_no_gameplay_units","{GREEN}Included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{GOLD}0.4 tiles{}{SILVER}The 5700 class numbered 863 locomotives, and was ubiquitous across the GWR network.</v>
      </c>
    </row>
    <row r="141" customFormat="false" ht="14.25" hidden="false" customHeight="true" outlineLevel="0" collapsed="false">
      <c r="A141" s="1" t="s">
        <v>502</v>
      </c>
      <c r="B141" s="15" t="s">
        <v>503</v>
      </c>
      <c r="C141" s="1" t="n">
        <v>152</v>
      </c>
      <c r="E141" s="1" t="n">
        <v>83</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241</v>
      </c>
      <c r="J141" s="1" t="s">
        <v>249</v>
      </c>
      <c r="K141" s="1" t="s">
        <v>250</v>
      </c>
      <c r="L141" s="1" t="s">
        <v>192</v>
      </c>
      <c r="M141" s="1" t="n">
        <v>1930</v>
      </c>
      <c r="N141" s="1" t="n">
        <v>1935</v>
      </c>
      <c r="O141" s="1" t="n">
        <v>1961</v>
      </c>
      <c r="Q141" s="1" t="n">
        <v>1750</v>
      </c>
      <c r="S141" s="3" t="n">
        <v>16.5</v>
      </c>
      <c r="T141" s="3" t="n">
        <v>26</v>
      </c>
      <c r="U141" s="3" t="n">
        <v>3</v>
      </c>
      <c r="V141" s="3" t="n">
        <v>220</v>
      </c>
      <c r="W141" s="18" t="n">
        <f aca="false">((($AE141/2)/60)*5280)/($X141*3.2*PI())</f>
        <v>207.896144413788</v>
      </c>
      <c r="X141" s="3" t="n">
        <v>2</v>
      </c>
      <c r="Y141" s="3" t="n">
        <f aca="false">((($S141*$S141/4)*PI())*($T141/12)*$U141*$V141*$W141)/(33000*1.1)</f>
        <v>1751.19140625</v>
      </c>
      <c r="Z141" s="1" t="n">
        <v>68.2</v>
      </c>
      <c r="AA141" s="2" t="n">
        <v>43.1</v>
      </c>
      <c r="AC141" s="1" t="n">
        <v>111</v>
      </c>
      <c r="AD141" s="4" t="n">
        <f aca="false">IF(AND(Z141&gt;0,AC141&gt;0),(AC141/((Z141+AA141)*10)),"")</f>
        <v>0.0997304582210243</v>
      </c>
      <c r="AE141" s="1" t="n">
        <v>95</v>
      </c>
      <c r="AF141" s="1" t="n">
        <f aca="false">ROUND(AE141*1.6, 0)</f>
        <v>152</v>
      </c>
      <c r="AH141" s="1" t="n">
        <v>17.93</v>
      </c>
      <c r="AI141" s="1" t="n">
        <f aca="false">AH141-7.5</f>
        <v>10.43</v>
      </c>
      <c r="AK141" s="1" t="n">
        <v>3.96</v>
      </c>
      <c r="AL141" s="5" t="n">
        <v>0</v>
      </c>
      <c r="AM141" s="1" t="str">
        <f aca="false">CONCATENATE(VLOOKUP(AN141, 'Voxel Sizes'!$A$2:$B$18,2,FALSE()),"x",INT(AJ141*15), "x", INT(AK141*15))</f>
        <v>102x0x59</v>
      </c>
      <c r="AN141" s="1" t="n">
        <f aca="false">ROUND(15*((AI141*10)/256),0)</f>
        <v>6</v>
      </c>
      <c r="AO141" s="1" t="s">
        <v>222</v>
      </c>
      <c r="AP141" s="1" t="str">
        <f aca="false">CONCATENATE(VLOOKUP(AN141,Constants!$A$2:$C$16,IF(AO141&lt;&gt;"", 3, 2), FALSE()),IF(AO141&lt;&gt;"",CONCATENATE(",",VLOOKUP(AO141,$B:$AP,41,FALSE())),""))</f>
        <v>2,2,2,2,1,2</v>
      </c>
      <c r="AX141" s="1" t="n">
        <v>1</v>
      </c>
      <c r="AZ141" s="1" t="n">
        <v>29</v>
      </c>
      <c r="BA141" s="16" t="n">
        <f aca="false">IF(O141&lt;&gt;"",MAX(16,(O141-M141)+8),"")</f>
        <v>39</v>
      </c>
      <c r="BD141" s="1" t="n">
        <f aca="false">MIN(AE141/150, 1)*30</f>
        <v>19</v>
      </c>
      <c r="BE141" s="1" t="n">
        <f aca="false">MIN(Q141/4000, 1)*20</f>
        <v>8.75</v>
      </c>
      <c r="BF141" s="1" t="n">
        <f aca="false">MIN(AC141/400,1)*20</f>
        <v>5.55</v>
      </c>
      <c r="BG141" s="4" t="n">
        <f aca="false">1-(MAX(M141-1900, 0)/750)</f>
        <v>0.96</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76</v>
      </c>
      <c r="BL141" s="1" t="n">
        <f aca="false">INT(POWER((((Constants!$G$1+$BD141+$BE141+$BF141+$BH141)*($BG141))*$BI141),IF($J141="wagon",1,1.2)))+$BB141</f>
        <v>118</v>
      </c>
      <c r="BM141" s="17" t="n">
        <f aca="false">BK141*IF($J141="wagon",62.5,781.25)</f>
        <v>59375</v>
      </c>
      <c r="BN141" s="17" t="n">
        <f aca="false">BL141*IF($J141="wagon",2.73,81.25)</f>
        <v>9587.5</v>
      </c>
      <c r="BU141" s="1" t="str">
        <f aca="false">IF(J141="locomotive","B","")</f>
        <v>B</v>
      </c>
      <c r="BV141" s="1" t="str">
        <f aca="false">IF($J141="locomotive","B","")</f>
        <v>B</v>
      </c>
      <c r="BY141" s="1" t="n">
        <v>8</v>
      </c>
      <c r="CD141" s="1" t="str">
        <f aca="false">VLOOKUP(M141,Eras!$A$2:$C$10, 2, TRUE())</f>
        <v>big4</v>
      </c>
      <c r="CE141" s="1" t="s">
        <v>282</v>
      </c>
      <c r="CF141" s="1" t="str">
        <f aca="false">CONCATENATE(CD141,"_",CE141)</f>
        <v>big4_Express</v>
      </c>
      <c r="CG141" s="1" t="str">
        <f aca="false">_xlfn.CONCAT(K141, "_",L141)</f>
        <v>steam_RAIL</v>
      </c>
      <c r="CH141" s="7" t="str">
        <f aca="false">_xlfn.CONCAT("{BLACK}Length: {GOLD}", TEXT(ROUNDUP(IF(AS141&lt;&gt;"",SUM(VALUE(_xlfn.TEXTSPLIT(AS141, ","))), SUM(VALUE(_xlfn.TEXTSPLIT(AP141, ",")))*IF(P141, P141, 1))/16, 1), "#,##0.0"), " tiles{}")</f>
        <v>{BLACK}Length: {GOLD}0.7 tiles{}</v>
      </c>
      <c r="CI141" s="1" t="str">
        <f aca="false">IF(0, VLOOKUP($CG141, Constants!$M:$N, 2, FALSE()),"")</f>
        <v/>
      </c>
      <c r="CJ141" s="1" t="str">
        <f aca="false">IF(P141&gt;1,_xlfn.CONCAT("{BLACK}Cars: {GOLD}", P141),"")</f>
        <v/>
      </c>
      <c r="CK141" s="1" t="s">
        <v>504</v>
      </c>
      <c r="CL141" s="1" t="str">
        <f aca="false">IF($BX141="concept_trains","{GREEN}Concept Vehicle",IF($BX141="!param_no_gameplay_units","{GREEN}Included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{GOLD}0.7 tiles{}{SILVER}The Schools class was the most powerful 4-4-0 locomotive produced in  Europe, and the last British locomotive with such a wheel layout.</v>
      </c>
    </row>
    <row r="142" customFormat="false" ht="14.25" hidden="false" customHeight="false" outlineLevel="0" collapsed="false">
      <c r="A142" s="1" t="s">
        <v>505</v>
      </c>
      <c r="B142" s="15" t="s">
        <v>506</v>
      </c>
      <c r="C142" s="1" t="n">
        <v>153</v>
      </c>
      <c r="E142" s="1" t="n">
        <v>84</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241</v>
      </c>
      <c r="J142" s="1" t="s">
        <v>249</v>
      </c>
      <c r="K142" s="1" t="s">
        <v>250</v>
      </c>
      <c r="L142" s="1" t="s">
        <v>192</v>
      </c>
      <c r="M142" s="1" t="n">
        <v>1932</v>
      </c>
      <c r="N142" s="1" t="n">
        <v>1936</v>
      </c>
      <c r="O142" s="1" t="n">
        <v>1965</v>
      </c>
      <c r="Q142" s="1" t="n">
        <v>600</v>
      </c>
      <c r="S142" s="3" t="n">
        <v>16</v>
      </c>
      <c r="T142" s="3" t="n">
        <v>24</v>
      </c>
      <c r="U142" s="3" t="n">
        <v>2</v>
      </c>
      <c r="V142" s="3" t="n">
        <v>165</v>
      </c>
      <c r="W142" s="18" t="n">
        <f aca="false">((($AE142/2)/60)*5280)/($X142*3.2*PI())</f>
        <v>218.838046751356</v>
      </c>
      <c r="X142" s="3" t="n">
        <v>1.6</v>
      </c>
      <c r="Y142" s="3" t="n">
        <f aca="false">((($S142*$S142/4)*PI())*($T142/12)*$U142*$V142*$W142)/(33000*1.1)</f>
        <v>800</v>
      </c>
      <c r="Z142" s="1" t="n">
        <v>43</v>
      </c>
      <c r="AC142" s="1" t="n">
        <v>62</v>
      </c>
      <c r="AD142" s="4" t="n">
        <f aca="false">IF(AND(Z142&gt;0,AC142&gt;0),(AC142/((Z142+AA142)*10)),"")</f>
        <v>0.144186046511628</v>
      </c>
      <c r="AE142" s="1" t="n">
        <v>80</v>
      </c>
      <c r="AF142" s="1" t="n">
        <f aca="false">ROUND(AE142*1.6, 0)</f>
        <v>128</v>
      </c>
      <c r="AH142" s="1" t="n">
        <v>9.12</v>
      </c>
      <c r="AI142" s="1" t="n">
        <v>9.12</v>
      </c>
      <c r="AK142" s="1" t="n">
        <v>3.82</v>
      </c>
      <c r="AL142" s="5" t="n">
        <v>0</v>
      </c>
      <c r="AM142" s="1" t="str">
        <f aca="false">CONCATENATE(VLOOKUP(AN142, 'Voxel Sizes'!$A$2:$B$18,2,FALSE()),"x",INT(AJ142*15), "x", INT(AK142*15))</f>
        <v>82x0x57</v>
      </c>
      <c r="AN142" s="1" t="n">
        <f aca="false">ROUND(15*((AI142*10)/256),0)</f>
        <v>5</v>
      </c>
      <c r="AP142" s="1" t="str">
        <f aca="false">CONCATENATE(VLOOKUP(AN142,Constants!$A$2:$C$16,IF(AO142&lt;&gt;"", 3, 2), FALSE()),IF(AO142&lt;&gt;"",CONCATENATE(",",VLOOKUP(AO142,$B:$AP,41,FALSE())),""))</f>
        <v>2,1,2</v>
      </c>
      <c r="AX142" s="1" t="n">
        <v>1</v>
      </c>
      <c r="AZ142" s="1" t="n">
        <v>36</v>
      </c>
      <c r="BA142" s="16" t="n">
        <f aca="false">IF(O142&lt;&gt;"",MAX(16,(O142-M142)+8),"")</f>
        <v>41</v>
      </c>
      <c r="BD142" s="1" t="n">
        <f aca="false">MIN(AE142/150, 1)*30</f>
        <v>16</v>
      </c>
      <c r="BE142" s="1" t="n">
        <f aca="false">MIN(Q142/4000, 1)*20</f>
        <v>3</v>
      </c>
      <c r="BF142" s="1" t="n">
        <f aca="false">MIN(AC142/400,1)*20</f>
        <v>3.1</v>
      </c>
      <c r="BG142" s="4" t="n">
        <f aca="false">1-(MAX(M142-1900, 0)/750)</f>
        <v>0.957333333333333</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53</v>
      </c>
      <c r="BL142" s="1" t="n">
        <f aca="false">INT(POWER((((Constants!$G$1+$BD142+$BE142+$BF142+$BH142)*($BG142))*$BI142),IF($J142="wagon",1,1.2)))+$BB142</f>
        <v>85</v>
      </c>
      <c r="BM142" s="17" t="n">
        <f aca="false">BK142*IF($J142="wagon",62.5,781.25)</f>
        <v>41406.25</v>
      </c>
      <c r="BN142" s="17" t="n">
        <f aca="false">BL142*IF($J142="wagon",2.73,81.25)</f>
        <v>6906.25</v>
      </c>
      <c r="BU142" s="1" t="str">
        <f aca="false">IF(J142="locomotive","B","")</f>
        <v>B</v>
      </c>
      <c r="BV142" s="1" t="str">
        <f aca="false">IF($J142="locomotive","B","")</f>
        <v>B</v>
      </c>
      <c r="BY142" s="1" t="n">
        <v>10</v>
      </c>
      <c r="CD142" s="1" t="str">
        <f aca="false">VLOOKUP(M142,Eras!$A$2:$C$10, 2, TRUE())</f>
        <v>big4</v>
      </c>
      <c r="CE142" s="1" t="s">
        <v>356</v>
      </c>
      <c r="CF142" s="1" t="str">
        <f aca="false">CONCATENATE(CD142,"_",CE142)</f>
        <v>big4_Cheap</v>
      </c>
      <c r="CG142" s="1" t="str">
        <f aca="false">_xlfn.CONCAT(K142, "_",L142)</f>
        <v>steam_RAIL</v>
      </c>
      <c r="CH142" s="7" t="str">
        <f aca="false">_xlfn.CONCAT("{BLACK}Length: {GOLD}", TEXT(ROUNDUP(IF(AS142&lt;&gt;"",SUM(VALUE(_xlfn.TEXTSPLIT(AS142, ","))), SUM(VALUE(_xlfn.TEXTSPLIT(AP142, ",")))*IF(P142, P142, 1))/16, 1), "#,##0.0"), " tiles{}")</f>
        <v>{BLACK}Length: {GOLD}0.4 tiles{}</v>
      </c>
      <c r="CI142" s="1" t="str">
        <f aca="false">IF(0, VLOOKUP($CG142, Constants!$M:$N, 2, FALSE()),"")</f>
        <v/>
      </c>
      <c r="CJ142" s="1" t="str">
        <f aca="false">IF(P142&gt;1,_xlfn.CONCAT("{BLACK}Cars: {GOLD}", P142),"")</f>
        <v/>
      </c>
      <c r="CK142" s="1" t="s">
        <v>507</v>
      </c>
      <c r="CL142" s="1" t="str">
        <f aca="false">IF($BX142="concept_trains","{GREEN}Concept Vehicle",IF($BX142="!param_no_gameplay_units","{GREEN}Included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tiles{}{SILVER}The 1400 class (originally the 4800 class) is an update of an 1868 design with more modern features. Although small, it is capable of high speed.</v>
      </c>
    </row>
    <row r="143" customFormat="false" ht="14.25" hidden="false" customHeight="false" outlineLevel="0" collapsed="false">
      <c r="A143" s="1" t="s">
        <v>508</v>
      </c>
      <c r="B143" s="15" t="s">
        <v>509</v>
      </c>
      <c r="C143" s="1" t="n">
        <v>154</v>
      </c>
      <c r="E143" s="1" t="n">
        <v>85</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241</v>
      </c>
      <c r="J143" s="1" t="s">
        <v>249</v>
      </c>
      <c r="K143" s="1" t="s">
        <v>250</v>
      </c>
      <c r="L143" s="1" t="s">
        <v>192</v>
      </c>
      <c r="M143" s="1" t="n">
        <v>1934</v>
      </c>
      <c r="N143" s="1" t="n">
        <v>1951</v>
      </c>
      <c r="O143" s="1" t="n">
        <v>1967</v>
      </c>
      <c r="Q143" s="1" t="n">
        <v>1250</v>
      </c>
      <c r="Z143" s="1" t="n">
        <v>73.4</v>
      </c>
      <c r="AA143" s="2" t="n">
        <v>46</v>
      </c>
      <c r="AC143" s="1" t="n">
        <v>113</v>
      </c>
      <c r="AD143" s="4" t="n">
        <f aca="false">IF(AND(Z143&gt;0,AC143&gt;0),(AC143/((Z143+AA143)*10)),"")</f>
        <v>0.0946398659966499</v>
      </c>
      <c r="AE143" s="1" t="n">
        <v>92</v>
      </c>
      <c r="AF143" s="1" t="n">
        <f aca="false">ROUND(AE143*1.6, 0)</f>
        <v>147</v>
      </c>
      <c r="AH143" s="1" t="n">
        <v>11.76</v>
      </c>
      <c r="AI143" s="1" t="n">
        <v>11.76</v>
      </c>
      <c r="AL143" s="5" t="n">
        <v>0</v>
      </c>
      <c r="AM143" s="1" t="str">
        <f aca="false">CONCATENATE(VLOOKUP(AN143, 'Voxel Sizes'!$A$2:$B$18,2,FALSE()),"x",INT(AJ143*15), "x", INT(AK143*15))</f>
        <v>120x0x0</v>
      </c>
      <c r="AN143" s="1" t="n">
        <f aca="false">ROUND(15*((AI143*10)/256),0)</f>
        <v>7</v>
      </c>
      <c r="AO143" s="1" t="s">
        <v>226</v>
      </c>
      <c r="AP143" s="1" t="str">
        <f aca="false">CONCATENATE(VLOOKUP(AN143,Constants!$A$2:$C$16,IF(AO143&lt;&gt;"", 3, 2), FALSE()),IF(AO143&lt;&gt;"",CONCATENATE(",",VLOOKUP(AO143,$B:$AP,41,FALSE())),""))</f>
        <v>2,3,2,2,1,2</v>
      </c>
      <c r="AX143" s="1" t="n">
        <v>1</v>
      </c>
      <c r="AZ143" s="1" t="n">
        <v>34</v>
      </c>
      <c r="BA143" s="16" t="n">
        <f aca="false">IF(O143&lt;&gt;"",MAX(16,(O143-M143)+8),"")</f>
        <v>41</v>
      </c>
      <c r="BD143" s="1" t="n">
        <f aca="false">MIN(AE143/150, 1)*30</f>
        <v>18.4</v>
      </c>
      <c r="BE143" s="1" t="n">
        <f aca="false">MIN(Q143/4000, 1)*20</f>
        <v>6.25</v>
      </c>
      <c r="BF143" s="1" t="n">
        <f aca="false">MIN(AC143/400,1)*20</f>
        <v>5.65</v>
      </c>
      <c r="BG143" s="4" t="n">
        <f aca="false">1-(MAX(M143-1900, 0)/750)</f>
        <v>0.954666666666667</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70</v>
      </c>
      <c r="BL143" s="1" t="n">
        <f aca="false">INT(POWER((((Constants!$G$1+$BD143+$BE143+$BF143+$BH143)*($BG143))*$BI143),IF($J143="wagon",1,1.2)))+$BB143</f>
        <v>108</v>
      </c>
      <c r="BM143" s="17" t="n">
        <f aca="false">BK143*IF($J143="wagon",62.5,781.25)</f>
        <v>54687.5</v>
      </c>
      <c r="BN143" s="17" t="n">
        <f aca="false">BL143*IF($J143="wagon",2.73,81.25)</f>
        <v>8775</v>
      </c>
      <c r="BU143" s="1" t="str">
        <f aca="false">IF(J143="locomotive","B","")</f>
        <v>B</v>
      </c>
      <c r="BV143" s="1" t="str">
        <f aca="false">IF($J143="locomotive","B","")</f>
        <v>B</v>
      </c>
      <c r="BY143" s="1" t="n">
        <v>11</v>
      </c>
      <c r="CD143" s="1" t="str">
        <f aca="false">VLOOKUP(M143,Eras!$A$2:$C$10, 2, TRUE())</f>
        <v>big4</v>
      </c>
      <c r="CE143" s="1" t="s">
        <v>129</v>
      </c>
      <c r="CF143" s="1" t="str">
        <f aca="false">CONCATENATE(CD143,"_",CE143)</f>
        <v>big4_Mixed Traffic</v>
      </c>
      <c r="CG143" s="1" t="str">
        <f aca="false">_xlfn.CONCAT(K143, "_",L143)</f>
        <v>steam_RAIL</v>
      </c>
      <c r="CH143" s="7" t="str">
        <f aca="false">_xlfn.CONCAT("{BLACK}Length: {GOLD}", TEXT(ROUNDUP(IF(AS143&lt;&gt;"",SUM(VALUE(_xlfn.TEXTSPLIT(AS143, ","))), SUM(VALUE(_xlfn.TEXTSPLIT(AP143, ",")))*IF(P143, P143, 1))/16, 1), "#,##0.0"), " tiles{}")</f>
        <v>{BLACK}Length: {GOLD}0.8 tiles{}</v>
      </c>
      <c r="CI143" s="1" t="str">
        <f aca="false">IF(0, VLOOKUP($CG143, Constants!$M:$N, 2, FALSE()),"")</f>
        <v/>
      </c>
      <c r="CJ143" s="1" t="str">
        <f aca="false">IF(P143&gt;1,_xlfn.CONCAT("{BLACK}Cars: {GOLD}", P143),"")</f>
        <v/>
      </c>
      <c r="CK143" s="1" t="s">
        <v>510</v>
      </c>
      <c r="CL143" s="1" t="str">
        <f aca="false">IF($BX143="concept_trains","{GREEN}Concept Vehicle",IF($BX143="!param_no_gameplay_units","{GREEN}Included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tiles{}{SILVER}The Stanier Class 5, commonly known as the "Black 5", was a workhorse for the LMS and into the British Rail era. Although intended as a mixed traffic locomotive it was capable of high top speeds.</v>
      </c>
    </row>
    <row r="144" customFormat="false" ht="14.25" hidden="false" customHeight="false" outlineLevel="0" collapsed="false">
      <c r="A144" s="1" t="s">
        <v>511</v>
      </c>
      <c r="B144" s="15" t="s">
        <v>512</v>
      </c>
      <c r="C144" s="1" t="n">
        <v>155</v>
      </c>
      <c r="E144" s="1" t="n">
        <v>86</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241</v>
      </c>
      <c r="J144" s="1" t="s">
        <v>249</v>
      </c>
      <c r="K144" s="1" t="s">
        <v>250</v>
      </c>
      <c r="L144" s="1" t="s">
        <v>192</v>
      </c>
      <c r="M144" s="1" t="n">
        <v>1934</v>
      </c>
      <c r="N144" s="1" t="n">
        <v>1936</v>
      </c>
      <c r="O144" s="1" t="n">
        <v>1967</v>
      </c>
      <c r="Q144" s="1" t="n">
        <v>1375</v>
      </c>
      <c r="Z144" s="1" t="n">
        <v>80.8</v>
      </c>
      <c r="AA144" s="2" t="n">
        <v>52</v>
      </c>
      <c r="AC144" s="1" t="n">
        <v>118</v>
      </c>
      <c r="AD144" s="4" t="n">
        <f aca="false">IF(AND(Z144&gt;0,AC144&gt;0),(AC144/((Z144+AA144)*10)),"")</f>
        <v>0.088855421686747</v>
      </c>
      <c r="AE144" s="1" t="n">
        <v>95</v>
      </c>
      <c r="AF144" s="1" t="n">
        <f aca="false">ROUND(AE144*1.6, 0)</f>
        <v>152</v>
      </c>
      <c r="AH144" s="1" t="n">
        <v>12.09</v>
      </c>
      <c r="AI144" s="1" t="n">
        <v>12.09</v>
      </c>
      <c r="AL144" s="5" t="n">
        <v>0</v>
      </c>
      <c r="AM144" s="1" t="str">
        <f aca="false">CONCATENATE(VLOOKUP(AN144, 'Voxel Sizes'!$A$2:$B$18,2,FALSE()),"x",INT(AJ144*15), "x", INT(AK144*15))</f>
        <v>120x0x0</v>
      </c>
      <c r="AN144" s="1" t="n">
        <f aca="false">ROUND(15*((AI144*10)/256),0)</f>
        <v>7</v>
      </c>
      <c r="AO144" s="1" t="s">
        <v>224</v>
      </c>
      <c r="AP144" s="1" t="str">
        <f aca="false">CONCATENATE(VLOOKUP(AN144,Constants!$A$2:$C$16,IF(AO144&lt;&gt;"", 3, 2), FALSE()),IF(AO144&lt;&gt;"",CONCATENATE(",",VLOOKUP(AO144,$B:$AP,41,FALSE())),""))</f>
        <v>2,3,2,2,1,2</v>
      </c>
      <c r="AX144" s="1" t="n">
        <v>1</v>
      </c>
      <c r="AZ144" s="1" t="n">
        <v>34</v>
      </c>
      <c r="BA144" s="16" t="n">
        <f aca="false">IF(O144&lt;&gt;"",MAX(16,(O144-M144)+8),"")</f>
        <v>41</v>
      </c>
      <c r="BD144" s="1" t="n">
        <f aca="false">MIN(AE144/150, 1)*30</f>
        <v>19</v>
      </c>
      <c r="BE144" s="1" t="n">
        <f aca="false">MIN(Q144/4000, 1)*20</f>
        <v>6.875</v>
      </c>
      <c r="BF144" s="1" t="n">
        <f aca="false">MIN(AC144/400,1)*20</f>
        <v>5.9</v>
      </c>
      <c r="BG144" s="4" t="n">
        <f aca="false">1-(MAX(M144-1900, 0)/750)</f>
        <v>0.954666666666667</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73</v>
      </c>
      <c r="BL144" s="1" t="n">
        <f aca="false">INT(POWER((((Constants!$G$1+$BD144+$BE144+$BF144+$BH144)*($BG144))*$BI144),IF($J144="wagon",1,1.2)))+$BB144</f>
        <v>112</v>
      </c>
      <c r="BM144" s="17" t="n">
        <f aca="false">BK144*IF($J144="wagon",62.5,781.25)</f>
        <v>57031.25</v>
      </c>
      <c r="BN144" s="17" t="n">
        <f aca="false">BL144*IF($J144="wagon",2.73,81.25)</f>
        <v>9100</v>
      </c>
      <c r="BU144" s="1" t="str">
        <f aca="false">IF(J144="locomotive","B","")</f>
        <v>B</v>
      </c>
      <c r="BV144" s="1" t="str">
        <f aca="false">IF($J144="locomotive","B","")</f>
        <v>B</v>
      </c>
      <c r="BY144" s="1" t="n">
        <v>12</v>
      </c>
      <c r="CD144" s="1" t="str">
        <f aca="false">VLOOKUP(M144,Eras!$A$2:$C$10, 2, TRUE())</f>
        <v>big4</v>
      </c>
      <c r="CE144" s="1" t="s">
        <v>282</v>
      </c>
      <c r="CF144" s="1" t="str">
        <f aca="false">CONCATENATE(CD144,"_",CE144)</f>
        <v>big4_Express</v>
      </c>
      <c r="CG144" s="1" t="str">
        <f aca="false">_xlfn.CONCAT(K144, "_",L144)</f>
        <v>steam_RAIL</v>
      </c>
      <c r="CH144" s="7" t="str">
        <f aca="false">_xlfn.CONCAT("{BLACK}Length: {GOLD}", TEXT(ROUNDUP(IF(AS144&lt;&gt;"",SUM(VALUE(_xlfn.TEXTSPLIT(AS144, ","))), SUM(VALUE(_xlfn.TEXTSPLIT(AP144, ",")))*IF(P144, P144, 1))/16, 1), "#,##0.0"), " tiles{}")</f>
        <v>{BLACK}Length: {GOLD}0.8 tiles{}</v>
      </c>
      <c r="CI144" s="1" t="str">
        <f aca="false">IF(0, VLOOKUP($CG144, Constants!$M:$N, 2, FALSE()),"")</f>
        <v/>
      </c>
      <c r="CJ144" s="1" t="str">
        <f aca="false">IF(P144&gt;1,_xlfn.CONCAT("{BLACK}Cars: {GOLD}", P144),"")</f>
        <v/>
      </c>
      <c r="CK144" s="1" t="s">
        <v>513</v>
      </c>
      <c r="CL144" s="1" t="str">
        <f aca="false">IF($BX144="concept_trains","{GREEN}Concept Vehicle",IF($BX144="!param_no_gameplay_units","{GREEN}Included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tiles{}{SILVER}The Jubilee is the counterpart to the Class 5, often called the "Red Stanier" due to its red LMS livery. It was intended for passenger work, with slightly larger diameter driving wheels giving a higher top speed.</v>
      </c>
    </row>
    <row r="145" customFormat="false" ht="14.25" hidden="false" customHeight="false" outlineLevel="0" collapsed="false">
      <c r="A145" s="1" t="s">
        <v>514</v>
      </c>
      <c r="B145" s="15" t="s">
        <v>515</v>
      </c>
      <c r="C145" s="1" t="n">
        <v>156</v>
      </c>
      <c r="E145" s="1" t="n">
        <v>87</v>
      </c>
      <c r="G145" s="1" t="str">
        <f aca="false">IF($F145&lt;&gt;"",_xlfn.CONCAT(VLOOKUP($CE145, Constants!$T:$U, 2, FALSE()),",",$F145),VLOOKUP($CE145, Constants!$T:$U, 2, FALSE()))</f>
        <v>role/freight</v>
      </c>
      <c r="H145" s="1" t="str">
        <f aca="false">IF($G145&lt;&gt;"",_xlfn.CONCAT(VLOOKUP($CG145, Constants!$M:$P, 4, FALSE()),",",$G145),VLOOKUP($CG145, Constants!$M:$P, 4, FALSE()))</f>
        <v>flag/GB,power/steam,role/freight</v>
      </c>
      <c r="I145" s="1" t="s">
        <v>241</v>
      </c>
      <c r="J145" s="1" t="s">
        <v>249</v>
      </c>
      <c r="K145" s="1" t="s">
        <v>250</v>
      </c>
      <c r="L145" s="1" t="s">
        <v>192</v>
      </c>
      <c r="M145" s="1" t="n">
        <v>1935</v>
      </c>
      <c r="O145" s="1" t="n">
        <v>1968</v>
      </c>
      <c r="Q145" s="1" t="n">
        <v>1300</v>
      </c>
      <c r="Z145" s="1" t="n">
        <v>73</v>
      </c>
      <c r="AA145" s="2" t="n">
        <v>46</v>
      </c>
      <c r="AC145" s="1" t="n">
        <v>144</v>
      </c>
      <c r="AD145" s="4" t="n">
        <f aca="false">IF(AND(Z145&gt;0,AC145&gt;0),(AC145/((Z145+AA145)*10)),"")</f>
        <v>0.121008403361345</v>
      </c>
      <c r="AE145" s="1" t="n">
        <v>70</v>
      </c>
      <c r="AF145" s="1" t="n">
        <f aca="false">ROUND(AE145*1.6, 0)</f>
        <v>112</v>
      </c>
      <c r="AH145" s="1" t="n">
        <v>19.22</v>
      </c>
      <c r="AI145" s="1" t="n">
        <f aca="false">19.22-7.46</f>
        <v>11.76</v>
      </c>
      <c r="AL145" s="5" t="n">
        <v>0</v>
      </c>
      <c r="AM145" s="1" t="str">
        <f aca="false">CONCATENATE(VLOOKUP(AN145, 'Voxel Sizes'!$A$2:$B$18,2,FALSE()),"x",INT(AJ145*15), "x", INT(AK145*15))</f>
        <v>120x0x0</v>
      </c>
      <c r="AN145" s="1" t="n">
        <f aca="false">ROUND(15*((AI145*10)/256),0)</f>
        <v>7</v>
      </c>
      <c r="AO145" s="1" t="s">
        <v>226</v>
      </c>
      <c r="AP145" s="1" t="str">
        <f aca="false">CONCATENATE(VLOOKUP(AN145,Constants!$A$2:$C$16,IF(AO145&lt;&gt;"", 3, 2), FALSE()),IF(AO145&lt;&gt;"",CONCATENATE(",",VLOOKUP(AO145,$B:$AP,41,FALSE())),""))</f>
        <v>2,3,2,2,1,2</v>
      </c>
      <c r="AX145" s="1" t="n">
        <v>1</v>
      </c>
      <c r="AZ145" s="1" t="n">
        <v>34</v>
      </c>
      <c r="BA145" s="16" t="n">
        <f aca="false">IF(O145&lt;&gt;"",MAX(16,(O145-M145)+8),"")</f>
        <v>41</v>
      </c>
      <c r="BD145" s="1" t="n">
        <f aca="false">MIN(AE145/150, 1)*30</f>
        <v>14</v>
      </c>
      <c r="BE145" s="1" t="n">
        <f aca="false">MIN(Q145/4000, 1)*20</f>
        <v>6.5</v>
      </c>
      <c r="BF145" s="1" t="n">
        <f aca="false">MIN(AC145/400,1)*20</f>
        <v>7.2</v>
      </c>
      <c r="BG145" s="4" t="n">
        <f aca="false">1-(MAX(M145-1900, 0)/750)</f>
        <v>0.953333333333333</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64</v>
      </c>
      <c r="BL145" s="1" t="n">
        <f aca="false">INT(POWER((((Constants!$G$1+$BD145+$BE145+$BF145+$BH145)*($BG145))*$BI145),IF($J145="wagon",1,1.2)))+$BB145</f>
        <v>101</v>
      </c>
      <c r="BM145" s="17" t="n">
        <f aca="false">BK145*IF($J145="wagon",62.5,781.25)</f>
        <v>50000</v>
      </c>
      <c r="BN145" s="17" t="n">
        <f aca="false">BL145*IF($J145="wagon",2.73,81.25)</f>
        <v>8206.25</v>
      </c>
      <c r="BU145" s="1" t="str">
        <f aca="false">IF(J145="locomotive","B","")</f>
        <v>B</v>
      </c>
      <c r="BV145" s="1" t="str">
        <f aca="false">IF($J145="locomotive","B","")</f>
        <v>B</v>
      </c>
      <c r="BY145" s="1" t="n">
        <v>1</v>
      </c>
      <c r="CD145" s="1" t="str">
        <f aca="false">VLOOKUP(M145,Eras!$A$2:$C$10, 2, TRUE())</f>
        <v>big4</v>
      </c>
      <c r="CE145" s="1" t="s">
        <v>132</v>
      </c>
      <c r="CF145" s="1" t="str">
        <f aca="false">CONCATENATE(CD145,"_",CE145)</f>
        <v>big4_Freight</v>
      </c>
      <c r="CG145" s="1" t="str">
        <f aca="false">_xlfn.CONCAT(K145, "_",L145)</f>
        <v>steam_RAIL</v>
      </c>
      <c r="CH145" s="7" t="str">
        <f aca="false">_xlfn.CONCAT("{BLACK}Length: {GOLD}", TEXT(ROUNDUP(IF(AS145&lt;&gt;"",SUM(VALUE(_xlfn.TEXTSPLIT(AS145, ","))), SUM(VALUE(_xlfn.TEXTSPLIT(AP145, ",")))*IF(P145, P145, 1))/16, 1), "#,##0.0"), " tiles{}")</f>
        <v>{BLACK}Length: {GOLD}0.8 tiles{}</v>
      </c>
      <c r="CI145" s="1" t="str">
        <f aca="false">IF(0, VLOOKUP($CG145, Constants!$M:$N, 2, FALSE()),"")</f>
        <v/>
      </c>
      <c r="CJ145" s="1" t="str">
        <f aca="false">IF(P145&gt;1,_xlfn.CONCAT("{BLACK}Cars: {GOLD}", P145),"")</f>
        <v/>
      </c>
      <c r="CK145" s="1" t="s">
        <v>516</v>
      </c>
      <c r="CL145" s="1" t="str">
        <f aca="false">IF($BX145="concept_trains","{GREEN}Concept Vehicle",IF($BX145="!param_no_gameplay_units","{GREEN}Included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Stanier 8F is a further development of the Class 5, specialised for freight traffic with a 2-8-0 layout.</v>
      </c>
    </row>
    <row r="146" customFormat="false" ht="14.25" hidden="false" customHeight="false" outlineLevel="0" collapsed="false">
      <c r="A146" s="1" t="s">
        <v>517</v>
      </c>
      <c r="B146" s="15" t="s">
        <v>518</v>
      </c>
      <c r="C146" s="1" t="n">
        <v>157</v>
      </c>
      <c r="E146" s="1" t="n">
        <v>88</v>
      </c>
      <c r="G146" s="1" t="str">
        <f aca="false">IF($F146&lt;&gt;"",_xlfn.CONCAT(VLOOKUP($CE146, Constants!$T:$U, 2, FALSE()),",",$F146),VLOOKUP($CE146, Constants!$T:$U, 2, FALSE()))</f>
        <v>role/express_passenger</v>
      </c>
      <c r="H146" s="1" t="str">
        <f aca="false">IF($G146&lt;&gt;"",_xlfn.CONCAT(VLOOKUP($CG146, Constants!$M:$P, 4, FALSE()),",",$G146),VLOOKUP($CG146, Constants!$M:$P, 4, FALSE()))</f>
        <v>flag/GB,power/steam,role/express_passenger</v>
      </c>
      <c r="I146" s="1" t="s">
        <v>241</v>
      </c>
      <c r="J146" s="1" t="s">
        <v>249</v>
      </c>
      <c r="K146" s="1" t="s">
        <v>250</v>
      </c>
      <c r="L146" s="1" t="s">
        <v>192</v>
      </c>
      <c r="M146" s="1" t="n">
        <v>1935</v>
      </c>
      <c r="N146" s="1" t="n">
        <v>1938</v>
      </c>
      <c r="O146" s="1" t="n">
        <v>1966</v>
      </c>
      <c r="Q146" s="1" t="n">
        <v>2450</v>
      </c>
      <c r="Z146" s="1" t="n">
        <v>104.6</v>
      </c>
      <c r="AA146" s="2" t="n">
        <v>64</v>
      </c>
      <c r="AC146" s="1" t="n">
        <v>157</v>
      </c>
      <c r="AD146" s="4" t="n">
        <f aca="false">IF(AND(Z146&gt;0,AC146&gt;0),(AC146/((Z146+AA146)*10)),"")</f>
        <v>0.0931198102016607</v>
      </c>
      <c r="AE146" s="1" t="n">
        <v>126</v>
      </c>
      <c r="AF146" s="1" t="n">
        <f aca="false">ROUND(AE146*1.6, 0)</f>
        <v>202</v>
      </c>
      <c r="AH146" s="1" t="n">
        <v>21.65</v>
      </c>
      <c r="AI146" s="1" t="n">
        <f aca="false">AH146-7.5</f>
        <v>14.15</v>
      </c>
      <c r="AK146" s="1" t="n">
        <v>3.99</v>
      </c>
      <c r="AL146" s="5" t="n">
        <v>0</v>
      </c>
      <c r="AM146" s="1" t="str">
        <f aca="false">CONCATENATE(VLOOKUP(AN146, 'Voxel Sizes'!$A$2:$B$18,2,FALSE()),"x",INT(AJ146*15), "x", INT(AK146*15))</f>
        <v>136x0x59</v>
      </c>
      <c r="AN146" s="1" t="n">
        <f aca="false">ROUND(15*((AI146*10)/256),0)</f>
        <v>8</v>
      </c>
      <c r="AO146" s="1" t="s">
        <v>228</v>
      </c>
      <c r="AP146" s="1" t="str">
        <f aca="false">CONCATENATE(VLOOKUP(AN146,Constants!$A$2:$C$16,IF(AO146&lt;&gt;"", 3, 2), FALSE()),IF(AO146&lt;&gt;"",CONCATENATE(",",VLOOKUP(AO146,$B:$AP,41,FALSE())),""))</f>
        <v>2,4,2,2,1,2</v>
      </c>
      <c r="AX146" s="1" t="n">
        <v>1</v>
      </c>
      <c r="AZ146" s="1" t="n">
        <v>28</v>
      </c>
      <c r="BA146" s="16" t="n">
        <f aca="false">IF(O146&lt;&gt;"",MAX(16,(O146-M146)+8),"")</f>
        <v>39</v>
      </c>
      <c r="BD146" s="1" t="n">
        <f aca="false">MIN(AE146/150, 1)*30</f>
        <v>25.2</v>
      </c>
      <c r="BE146" s="1" t="n">
        <f aca="false">MIN(Q146/4000, 1)*20</f>
        <v>12.25</v>
      </c>
      <c r="BF146" s="1" t="n">
        <f aca="false">MIN(AC146/400,1)*20</f>
        <v>7.85</v>
      </c>
      <c r="BG146" s="4" t="n">
        <f aca="false">1-(MAX(M146-1900, 0)/750)</f>
        <v>0.953333333333333</v>
      </c>
      <c r="BH146" s="1" t="n">
        <f aca="false">((MAX($P146,1)*MIN($AL146/300,1)))*IF(J146="Wagon",50,10)</f>
        <v>0</v>
      </c>
      <c r="BI146" s="1" t="n">
        <f aca="false">VLOOKUP($K146,Constants!$I:$K, 2, FALSE())</f>
        <v>1.15</v>
      </c>
      <c r="BJ146" s="1" t="n">
        <f aca="false">VLOOKUP($K146,Constants!$I:$K, 3, FALSE())*IF(AND(J146="multiple_unit",AE146&lt;110),0.75,1)</f>
        <v>1.7</v>
      </c>
      <c r="BK146" s="1" t="n">
        <f aca="false">INT(POWER(((Constants!$G$2+$BD146+$BE146+$BF146+$BH146)*$BG146)*$BJ146, 1.05))+$BC146</f>
        <v>101</v>
      </c>
      <c r="BL146" s="1" t="n">
        <f aca="false">INT(POWER((((Constants!$G$1+$BD146+$BE146+$BF146+$BH146)*($BG146))*$BI146),IF($J146="wagon",1,1.2)))+$BB146</f>
        <v>152</v>
      </c>
      <c r="BM146" s="17" t="n">
        <f aca="false">BK146*IF($J146="wagon",62.5,781.25)</f>
        <v>78906.25</v>
      </c>
      <c r="BN146" s="17" t="n">
        <f aca="false">BL146*IF($J146="wagon",2.73,81.25)</f>
        <v>12350</v>
      </c>
      <c r="BU146" s="1" t="str">
        <f aca="false">IF(J146="locomotive","B","")</f>
        <v>B</v>
      </c>
      <c r="BV146" s="1" t="str">
        <f aca="false">IF($J146="locomotive","B","")</f>
        <v>B</v>
      </c>
      <c r="BY146" s="1" t="n">
        <v>2</v>
      </c>
      <c r="CD146" s="1" t="str">
        <f aca="false">VLOOKUP(M146,Eras!$A$2:$C$10, 2, TRUE())</f>
        <v>big4</v>
      </c>
      <c r="CE146" s="1" t="s">
        <v>282</v>
      </c>
      <c r="CF146" s="1" t="str">
        <f aca="false">CONCATENATE(CD146,"_",CE146)</f>
        <v>big4_Express</v>
      </c>
      <c r="CG146" s="1" t="str">
        <f aca="false">_xlfn.CONCAT(K146, "_",L146)</f>
        <v>steam_RAIL</v>
      </c>
      <c r="CH146" s="7" t="str">
        <f aca="false">_xlfn.CONCAT("{BLACK}Length: {GOLD}", TEXT(ROUNDUP(IF(AS146&lt;&gt;"",SUM(VALUE(_xlfn.TEXTSPLIT(AS146, ","))), SUM(VALUE(_xlfn.TEXTSPLIT(AP146, ",")))*IF(P146, P146, 1))/16, 1), "#,##0.0"), " tiles{}")</f>
        <v>{BLACK}Length: {GOLD}0.9 tiles{}</v>
      </c>
      <c r="CI146" s="1" t="str">
        <f aca="false">IF(0, VLOOKUP($CG146, Constants!$M:$N, 2, FALSE()),"")</f>
        <v/>
      </c>
      <c r="CJ146" s="1" t="str">
        <f aca="false">IF(P146&gt;1,_xlfn.CONCAT("{BLACK}Cars: {GOLD}", P146),"")</f>
        <v/>
      </c>
      <c r="CK146" s="1" t="s">
        <v>519</v>
      </c>
      <c r="CL146" s="1" t="str">
        <f aca="false">IF($BX146="concept_trains","{GREEN}Concept Vehicle",IF($BX146="!param_no_gameplay_units","{GREEN}Included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{GOLD}0.9 tiles{}{SILVER}The Gresley A4 is the iconic pinnacle of high-speed British steam, holding numerous speed and power records.</v>
      </c>
    </row>
    <row r="147" customFormat="false" ht="14.25" hidden="false" customHeight="false" outlineLevel="0" collapsed="false">
      <c r="A147" s="1" t="s">
        <v>520</v>
      </c>
      <c r="B147" s="15" t="s">
        <v>521</v>
      </c>
      <c r="C147" s="1" t="n">
        <v>158</v>
      </c>
      <c r="E147" s="1" t="n">
        <v>89</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241</v>
      </c>
      <c r="J147" s="1" t="s">
        <v>249</v>
      </c>
      <c r="K147" s="1" t="s">
        <v>250</v>
      </c>
      <c r="L147" s="1" t="s">
        <v>192</v>
      </c>
      <c r="M147" s="1" t="n">
        <v>1936</v>
      </c>
      <c r="N147" s="1" t="n">
        <v>1944</v>
      </c>
      <c r="O147" s="1" t="n">
        <v>1966</v>
      </c>
      <c r="Q147" s="1" t="n">
        <v>1900</v>
      </c>
      <c r="S147" s="3" t="n">
        <v>18.5</v>
      </c>
      <c r="T147" s="3" t="n">
        <v>26</v>
      </c>
      <c r="U147" s="3" t="n">
        <v>3</v>
      </c>
      <c r="V147" s="3" t="n">
        <v>220</v>
      </c>
      <c r="W147" s="18" t="n">
        <f aca="false">((($AE147/2)/60)*5280)/($X147*3.2*PI())</f>
        <v>216.509982424214</v>
      </c>
      <c r="X147" s="3" t="n">
        <v>1.88</v>
      </c>
      <c r="Y147" s="3" t="n">
        <f aca="false">((($S147*$S147/4)*PI())*($T147/12)*$U147*$V147*$W147)/(33000*1.1)</f>
        <v>2292.66539228723</v>
      </c>
      <c r="Z147" s="1" t="n">
        <v>91</v>
      </c>
      <c r="AA147" s="2" t="n">
        <v>54</v>
      </c>
      <c r="AC147" s="1" t="n">
        <v>150</v>
      </c>
      <c r="AD147" s="4" t="n">
        <f aca="false">IF(AND(Z147&gt;0,AC147&gt;0),(AC147/((Z147+AA147)*10)),"")</f>
        <v>0.103448275862069</v>
      </c>
      <c r="AE147" s="1" t="n">
        <v>93</v>
      </c>
      <c r="AF147" s="1" t="n">
        <f aca="false">ROUND(AE147*1.6, 0)</f>
        <v>149</v>
      </c>
      <c r="AH147" s="1" t="n">
        <v>20.24</v>
      </c>
      <c r="AI147" s="1" t="n">
        <f aca="false">AH147-7.5</f>
        <v>12.74</v>
      </c>
      <c r="AL147" s="5" t="n">
        <v>0</v>
      </c>
      <c r="AM147" s="1" t="str">
        <f aca="false">CONCATENATE(VLOOKUP(AN147, 'Voxel Sizes'!$A$2:$B$18,2,FALSE()),"x",INT(AJ147*15), "x", INT(AK147*15))</f>
        <v>120x0x0</v>
      </c>
      <c r="AN147" s="1" t="n">
        <f aca="false">ROUND(15*((AI147*10)/256),0)</f>
        <v>7</v>
      </c>
      <c r="AO147" s="1" t="s">
        <v>228</v>
      </c>
      <c r="AP147" s="1" t="str">
        <f aca="false">CONCATENATE(VLOOKUP(AN147,Constants!$A$2:$C$16,IF(AO147&lt;&gt;"", 3, 2), FALSE()),IF(AO147&lt;&gt;"",CONCATENATE(",",VLOOKUP(AO147,$B:$AP,41,FALSE())),""))</f>
        <v>2,3,2,2,1,2</v>
      </c>
      <c r="AX147" s="1" t="n">
        <v>1</v>
      </c>
      <c r="AZ147" s="1" t="n">
        <v>32</v>
      </c>
      <c r="BA147" s="16" t="n">
        <f aca="false">IF(O147&lt;&gt;"",MAX(16,(O147-M147)+8),"")</f>
        <v>38</v>
      </c>
      <c r="BD147" s="1" t="n">
        <f aca="false">MIN(AE147/150, 1)*30</f>
        <v>18.6</v>
      </c>
      <c r="BE147" s="1" t="n">
        <f aca="false">MIN(Q147/4000, 1)*20</f>
        <v>9.5</v>
      </c>
      <c r="BF147" s="1" t="n">
        <f aca="false">MIN(AC147/400,1)*20</f>
        <v>7.5</v>
      </c>
      <c r="BG147" s="4" t="n">
        <f aca="false">1-(MAX(M147-1900, 0)/750)</f>
        <v>0.952</v>
      </c>
      <c r="BH147" s="1" t="n">
        <f aca="false">((MAX($P147,1)*MIN($AL147/300,1)))*IF(J147="Wagon",50,10)</f>
        <v>0</v>
      </c>
      <c r="BI147" s="1" t="n">
        <f aca="false">VLOOKUP($K147,Constants!$I:$K, 2, FALSE())</f>
        <v>1.15</v>
      </c>
      <c r="BJ147" s="1" t="n">
        <f aca="false">VLOOKUP($K147,Constants!$I:$K, 3, FALSE())*IF(AND(J147="multiple_unit",AE147&lt;110),0.75,1)</f>
        <v>1.7</v>
      </c>
      <c r="BK147" s="1" t="n">
        <f aca="false">INT(POWER(((Constants!$G$2+$BD147+$BE147+$BF147+$BH147)*$BG147)*$BJ147, 1.05))+$BC147</f>
        <v>81</v>
      </c>
      <c r="BL147" s="1" t="n">
        <f aca="false">INT(POWER((((Constants!$G$1+$BD147+$BE147+$BF147+$BH147)*($BG147))*$BI147),IF($J147="wagon",1,1.2)))+$BB147</f>
        <v>123</v>
      </c>
      <c r="BM147" s="17" t="n">
        <f aca="false">BK147*IF($J147="wagon",62.5,781.25)</f>
        <v>63281.25</v>
      </c>
      <c r="BN147" s="17" t="n">
        <f aca="false">BL147*IF($J147="wagon",2.73,81.25)</f>
        <v>9993.75</v>
      </c>
      <c r="BU147" s="1" t="str">
        <f aca="false">IF(J147="locomotive","B","")</f>
        <v>B</v>
      </c>
      <c r="BV147" s="1" t="str">
        <f aca="false">IF($J147="locomotive","B","")</f>
        <v>B</v>
      </c>
      <c r="BY147" s="1" t="n">
        <v>3</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TEXT(ROUNDUP(IF(AS147&lt;&gt;"",SUM(VALUE(_xlfn.TEXTSPLIT(AS147, ","))), SUM(VALUE(_xlfn.TEXTSPLIT(AP147, ",")))*IF(P147, P147, 1))/16, 1), "#,##0.0"), " tiles{}")</f>
        <v>{BLACK}Length: {GOLD}0.8 tiles{}</v>
      </c>
      <c r="CI147" s="1" t="str">
        <f aca="false">IF(0, VLOOKUP($CG147, Constants!$M:$N, 2, FALSE()),"")</f>
        <v/>
      </c>
      <c r="CJ147" s="1" t="str">
        <f aca="false">IF(P147&gt;1,_xlfn.CONCAT("{BLACK}Cars: {GOLD}", P147),"")</f>
        <v/>
      </c>
      <c r="CK147" s="1" t="s">
        <v>522</v>
      </c>
      <c r="CL147" s="1" t="str">
        <f aca="false">IF($BX147="concept_trains","{GREEN}Concept Vehicle",IF($BX147="!param_no_gameplay_units","{GREEN}Included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Gresley V2 is derived from the A3 type, adapted to mixed traffic with a shorter boiler, smaller driving wheels and a 2-6-2 layout.</v>
      </c>
    </row>
    <row r="148" s="26" customFormat="true" ht="14.25" hidden="false" customHeight="false" outlineLevel="0" collapsed="false">
      <c r="A148" s="26" t="s">
        <v>523</v>
      </c>
      <c r="B148" s="27" t="s">
        <v>524</v>
      </c>
      <c r="C148" s="1" t="n">
        <v>3020</v>
      </c>
      <c r="E148" s="1" t="n">
        <v>90</v>
      </c>
      <c r="F148" s="26" t="s">
        <v>140</v>
      </c>
      <c r="G148" s="1" t="str">
        <f aca="false">IF($F148&lt;&gt;"",_xlfn.CONCAT(VLOOKUP($CE148, Constants!$T:$U, 2, FALSE()),",",$F148),VLOOKUP($CE148, Constants!$T:$U, 2, FALSE()))</f>
        <v>role/mixed,role/shunting</v>
      </c>
      <c r="H148" s="1" t="str">
        <f aca="false">IF($G148&lt;&gt;"",_xlfn.CONCAT(VLOOKUP($CG148, Constants!$M:$P, 4, FALSE()),",",$G148),VLOOKUP($CG148, Constants!$M:$P, 4, FALSE()))</f>
        <v>flag/GB,power/diesel,role/mixed,role/shunting</v>
      </c>
      <c r="I148" s="26" t="s">
        <v>241</v>
      </c>
      <c r="J148" s="26" t="s">
        <v>249</v>
      </c>
      <c r="K148" s="26" t="s">
        <v>525</v>
      </c>
      <c r="L148" s="26" t="s">
        <v>192</v>
      </c>
      <c r="M148" s="26" t="n">
        <v>1936</v>
      </c>
      <c r="N148" s="26" t="n">
        <v>1960</v>
      </c>
      <c r="O148" s="26" t="n">
        <v>1985</v>
      </c>
      <c r="Q148" s="26" t="n">
        <v>45</v>
      </c>
      <c r="R148" s="2"/>
      <c r="S148" s="3"/>
      <c r="T148" s="3"/>
      <c r="U148" s="3"/>
      <c r="V148" s="3"/>
      <c r="W148" s="18"/>
      <c r="X148" s="3"/>
      <c r="Y148" s="3"/>
      <c r="Z148" s="26" t="n">
        <v>7</v>
      </c>
      <c r="AA148" s="2"/>
      <c r="AB148" s="26" t="n">
        <v>5</v>
      </c>
      <c r="AC148" s="26" t="n">
        <v>15</v>
      </c>
      <c r="AD148" s="4" t="n">
        <f aca="false">IF(AND(Z148&gt;0,AC148&gt;0),(AC148/((Z148+AA148)*10)),"")</f>
        <v>0.214285714285714</v>
      </c>
      <c r="AE148" s="26" t="n">
        <v>12</v>
      </c>
      <c r="AF148" s="26" t="n">
        <f aca="false">ROUND(AE148*1.6, 0)</f>
        <v>19</v>
      </c>
      <c r="AH148" s="26" t="n">
        <v>5.5</v>
      </c>
      <c r="AI148" s="26" t="n">
        <v>6</v>
      </c>
      <c r="AJ148" s="26" t="n">
        <v>2.4</v>
      </c>
      <c r="AK148" s="26" t="n">
        <v>3.32</v>
      </c>
      <c r="AL148" s="5" t="n">
        <v>0</v>
      </c>
      <c r="AM148" s="1" t="str">
        <f aca="false">CONCATENATE(VLOOKUP(AN148, 'Voxel Sizes'!$A$2:$B$18,2,FALSE()),"x",INT(AJ148*15), "x", INT(AK148*15))</f>
        <v>60x36x49</v>
      </c>
      <c r="AN148" s="26" t="n">
        <f aca="false">ROUND(15*((AI148*10)/256),0)</f>
        <v>4</v>
      </c>
      <c r="AP148" s="1" t="str">
        <f aca="false">CONCATENATE(VLOOKUP(AN148,Constants!$A$2:$C$16,IF(AO148&lt;&gt;"", 3, 2), FALSE()),IF(AO148&lt;&gt;"",CONCATENATE(",",VLOOKUP(AO148,$B:$AP,41,FALSE())),""))</f>
        <v>1,2,1</v>
      </c>
      <c r="AR148" s="6"/>
      <c r="AS148" s="6"/>
      <c r="AZ148" s="26" t="n">
        <v>60</v>
      </c>
      <c r="BA148" s="16" t="n">
        <f aca="false">IF(O148&lt;&gt;"",MAX(16,(O148-M148)+8),"")</f>
        <v>57</v>
      </c>
      <c r="BB148" s="26" t="n">
        <v>-11</v>
      </c>
      <c r="BC148" s="26" t="n">
        <v>-14</v>
      </c>
      <c r="BD148" s="20" t="n">
        <f aca="false">MIN(AE148/150, 1)*30</f>
        <v>2.4</v>
      </c>
      <c r="BE148" s="20" t="n">
        <f aca="false">MIN(Q148/4000, 1)*20</f>
        <v>0.225</v>
      </c>
      <c r="BF148" s="20" t="n">
        <f aca="false">MIN(AC148/400,1)*20</f>
        <v>0.75</v>
      </c>
      <c r="BG148" s="21" t="n">
        <f aca="false">1-(MAX(M148-1900, 0)/750)</f>
        <v>0.952</v>
      </c>
      <c r="BH148" s="20" t="n">
        <f aca="false">((MAX($P148,1)*MIN($AL148/300,1)))*IF(J148="Wagon",50,10)</f>
        <v>0</v>
      </c>
      <c r="BI148" s="1" t="n">
        <f aca="false">VLOOKUP($K148,Constants!$I:$K, 2, FALSE())</f>
        <v>1</v>
      </c>
      <c r="BJ148" s="1" t="n">
        <f aca="false">VLOOKUP($K148,Constants!$I:$K, 3, FALSE())*IF(AND(J148="multiple_unit",AE148&lt;110),0.75,1)</f>
        <v>2</v>
      </c>
      <c r="BK148" s="1" t="n">
        <f aca="false">INT(POWER(((Constants!$G$2+$BD148+$BE148+$BF148+$BH148)*$BG148)*$BJ148, 1.05))+$BC148</f>
        <v>4</v>
      </c>
      <c r="BL148" s="1" t="n">
        <f aca="false">INT(POWER((((Constants!$G$1+$BD148+$BE148+$BF148+$BH148)*($BG148))*$BI148),IF($J148="wagon",1,1.2)))+$BB148</f>
        <v>20</v>
      </c>
      <c r="BM148" s="22" t="n">
        <f aca="false">BK148*IF($J148="wagon",62.5,781.25)</f>
        <v>3125</v>
      </c>
      <c r="BN148" s="22" t="n">
        <f aca="false">BL148*IF($J148="wagon",2.73,81.25)</f>
        <v>1625</v>
      </c>
      <c r="BU148" s="1" t="str">
        <f aca="false">IF(J148="locomotive","B","")</f>
        <v>B</v>
      </c>
      <c r="BV148" s="1" t="str">
        <f aca="false">IF($J148="locomotive","B","")</f>
        <v>B</v>
      </c>
      <c r="BY148" s="26" t="n">
        <v>5</v>
      </c>
      <c r="CD148" s="26" t="str">
        <f aca="false">VLOOKUP(M148,[1]Eras!$A$2:$C$10, 2, TRUE())</f>
        <v>big4</v>
      </c>
      <c r="CE148" s="26" t="s">
        <v>356</v>
      </c>
      <c r="CF148" s="28" t="str">
        <f aca="false">CONCATENATE(CD148,"_",CE148)</f>
        <v>big4_Cheap</v>
      </c>
      <c r="CG148" s="28" t="str">
        <f aca="false">_xlfn.CONCAT(K148, "_",L148)</f>
        <v>diesel_RAIL</v>
      </c>
      <c r="CH148" s="7" t="str">
        <f aca="false">_xlfn.CONCAT("{BLACK}Length: {GOLD}", TEXT(ROUNDUP(IF(AS148&lt;&gt;"",SUM(VALUE(_xlfn.TEXTSPLIT(AS148, ","))), SUM(VALUE(_xlfn.TEXTSPLIT(AP148, ",")))*IF(P148, P148, 1))/16, 1), "#,##0.0"), " tiles{}")</f>
        <v>{BLACK}Length: {GOLD}0.3 tiles{}</v>
      </c>
      <c r="CI148" s="1" t="str">
        <f aca="false">IF(0, VLOOKUP($CG148, Constants!$M:$N, 2, FALSE()),"")</f>
        <v/>
      </c>
      <c r="CJ148" s="1" t="str">
        <f aca="false">IF(P148&gt;1,_xlfn.CONCAT("{BLACK}Cars: {GOLD}", P148),"")</f>
        <v/>
      </c>
      <c r="CK148" s="26" t="s">
        <v>526</v>
      </c>
      <c r="CL148" s="1" t="str">
        <f aca="false">IF($BX148="concept_trains","{GREEN}Concept Vehicle",IF($BX148="!param_no_gameplay_units","{GREEN}Included for gameplay purposes",""))</f>
        <v/>
      </c>
      <c r="CM148" s="26" t="str">
        <f aca="false">IF(CA148="buffet","{YELLOW}25% long distance bonus for consist{}",IF(CD148="BRAKE","{YELLOW}Speed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{GOLD}0.3 tiles{}{SILVER}A “Really Useless Engine” – these small, simple industrial locomotives saw service in many industrial yards but were almost never seen on the boader network.</v>
      </c>
      <c r="XFD148" s="1"/>
    </row>
    <row r="149" s="26" customFormat="true" ht="14.25" hidden="false" customHeight="false" outlineLevel="0" collapsed="false">
      <c r="A149" s="26" t="s">
        <v>527</v>
      </c>
      <c r="B149" s="27" t="s">
        <v>528</v>
      </c>
      <c r="C149" s="1" t="n">
        <v>3021</v>
      </c>
      <c r="E149" s="1" t="n">
        <v>91</v>
      </c>
      <c r="F149" s="26" t="s">
        <v>140</v>
      </c>
      <c r="G149" s="1" t="str">
        <f aca="false">IF($F149&lt;&gt;"",_xlfn.CONCAT(VLOOKUP($CE149, Constants!$T:$U, 2, FALSE()),",",$F149),VLOOKUP($CE149, Constants!$T:$U, 2, FALSE()))</f>
        <v>role/mixed,role/shunting</v>
      </c>
      <c r="H149" s="1" t="str">
        <f aca="false">IF($G149&lt;&gt;"",_xlfn.CONCAT(VLOOKUP($CG149, Constants!$M:$P, 4, FALSE()),",",$G149),VLOOKUP($CG149, Constants!$M:$P, 4, FALSE()))</f>
        <v>flag/GB,power/diesel,role/mixed,role/shunting</v>
      </c>
      <c r="I149" s="26" t="s">
        <v>241</v>
      </c>
      <c r="J149" s="26" t="s">
        <v>249</v>
      </c>
      <c r="K149" s="26" t="s">
        <v>525</v>
      </c>
      <c r="L149" s="26" t="s">
        <v>192</v>
      </c>
      <c r="M149" s="26" t="n">
        <v>1938</v>
      </c>
      <c r="N149" s="26" t="n">
        <v>1966</v>
      </c>
      <c r="O149" s="26" t="n">
        <v>1991</v>
      </c>
      <c r="Q149" s="26" t="n">
        <v>84</v>
      </c>
      <c r="R149" s="2"/>
      <c r="S149" s="3"/>
      <c r="T149" s="3"/>
      <c r="U149" s="3"/>
      <c r="V149" s="3"/>
      <c r="W149" s="18"/>
      <c r="X149" s="3"/>
      <c r="Y149" s="3"/>
      <c r="Z149" s="26" t="n">
        <v>17</v>
      </c>
      <c r="AA149" s="2"/>
      <c r="AB149" s="26" t="n">
        <v>5</v>
      </c>
      <c r="AC149" s="26" t="n">
        <v>60</v>
      </c>
      <c r="AD149" s="4" t="n">
        <f aca="false">IF(AND(Z149&gt;0,AC149&gt;0),(AC149/((Z149+AA149)*10)),"")</f>
        <v>0.352941176470588</v>
      </c>
      <c r="AE149" s="26" t="n">
        <v>18</v>
      </c>
      <c r="AF149" s="26" t="n">
        <f aca="false">ROUND(AE149*1.6, 0)</f>
        <v>29</v>
      </c>
      <c r="AH149" s="26" t="n">
        <v>6.2</v>
      </c>
      <c r="AI149" s="26" t="n">
        <v>8</v>
      </c>
      <c r="AJ149" s="26" t="n">
        <v>2.4</v>
      </c>
      <c r="AK149" s="26" t="n">
        <v>3.32</v>
      </c>
      <c r="AL149" s="5" t="n">
        <v>0</v>
      </c>
      <c r="AM149" s="1" t="str">
        <f aca="false">CONCATENATE(VLOOKUP(AN149, 'Voxel Sizes'!$A$2:$B$18,2,FALSE()),"x",INT(AJ149*15), "x", INT(AK149*15))</f>
        <v>82x36x49</v>
      </c>
      <c r="AN149" s="26" t="n">
        <f aca="false">ROUND(15*((AI149*10)/256),0)</f>
        <v>5</v>
      </c>
      <c r="AP149" s="1" t="str">
        <f aca="false">CONCATENATE(VLOOKUP(AN149,Constants!$A$2:$C$16,IF(AO149&lt;&gt;"", 3, 2), FALSE()),IF(AO149&lt;&gt;"",CONCATENATE(",",VLOOKUP(AO149,$B:$AP,41,FALSE())),""))</f>
        <v>2,1,2</v>
      </c>
      <c r="AR149" s="6"/>
      <c r="AS149" s="6"/>
      <c r="AZ149" s="26" t="n">
        <v>60</v>
      </c>
      <c r="BA149" s="16" t="n">
        <f aca="false">IF(O149&lt;&gt;"",MAX(16,(O149-M149)+8),"")</f>
        <v>61</v>
      </c>
      <c r="BB149" s="26" t="n">
        <v>-11</v>
      </c>
      <c r="BC149" s="26" t="n">
        <v>-14</v>
      </c>
      <c r="BD149" s="20" t="n">
        <f aca="false">MIN(AE149/150, 1)*30</f>
        <v>3.6</v>
      </c>
      <c r="BE149" s="20" t="n">
        <f aca="false">MIN(Q149/4000, 1)*20</f>
        <v>0.42</v>
      </c>
      <c r="BF149" s="20" t="n">
        <f aca="false">MIN(AC149/400,1)*20</f>
        <v>3</v>
      </c>
      <c r="BG149" s="21" t="n">
        <f aca="false">1-(MAX(M149-1900, 0)/750)</f>
        <v>0.949333333333333</v>
      </c>
      <c r="BH149" s="20" t="n">
        <f aca="false">((MAX($P149,1)*MIN($AL149/300,1)))*IF(J149="Wagon",50,10)</f>
        <v>0</v>
      </c>
      <c r="BI149" s="1" t="n">
        <f aca="false">VLOOKUP($K149,Constants!$I:$K, 2, FALSE())</f>
        <v>1</v>
      </c>
      <c r="BJ149" s="1" t="n">
        <f aca="false">VLOOKUP($K149,Constants!$I:$K, 3, FALSE())*IF(AND(J149="multiple_unit",AE149&lt;110),0.75,1)</f>
        <v>2</v>
      </c>
      <c r="BK149" s="1" t="n">
        <f aca="false">INT(POWER(((Constants!$G$2+$BD149+$BE149+$BF149+$BH149)*$BG149)*$BJ149, 1.05))+$BC149</f>
        <v>12</v>
      </c>
      <c r="BL149" s="1" t="n">
        <f aca="false">INT(POWER((((Constants!$G$1+$BD149+$BE149+$BF149+$BH149)*($BG149))*$BI149),IF($J149="wagon",1,1.2)))+$BB149</f>
        <v>27</v>
      </c>
      <c r="BM149" s="22" t="n">
        <f aca="false">BK149*IF($J149="wagon",62.5,781.25)</f>
        <v>9375</v>
      </c>
      <c r="BN149" s="22" t="n">
        <f aca="false">BL149*IF($J149="wagon",2.73,81.25)</f>
        <v>2193.75</v>
      </c>
      <c r="BU149" s="1" t="str">
        <f aca="false">IF(J149="locomotive","B","")</f>
        <v>B</v>
      </c>
      <c r="BV149" s="1" t="str">
        <f aca="false">IF($J149="locomotive","B","")</f>
        <v>B</v>
      </c>
      <c r="BY149" s="26" t="n">
        <v>5</v>
      </c>
      <c r="CD149" s="26" t="str">
        <f aca="false">VLOOKUP(M149,[1]Eras!$A$2:$C$10, 2, TRUE())</f>
        <v>big4</v>
      </c>
      <c r="CE149" s="26" t="s">
        <v>356</v>
      </c>
      <c r="CF149" s="28" t="str">
        <f aca="false">CONCATENATE(CD149,"_",CE149)</f>
        <v>big4_Cheap</v>
      </c>
      <c r="CG149" s="28" t="str">
        <f aca="false">_xlfn.CONCAT(K149, "_",L149)</f>
        <v>diesel_RAIL</v>
      </c>
      <c r="CH149" s="7" t="str">
        <f aca="false">_xlfn.CONCAT("{BLACK}Length: {GOLD}", TEXT(ROUNDUP(IF(AS149&lt;&gt;"",SUM(VALUE(_xlfn.TEXTSPLIT(AS149, ","))), SUM(VALUE(_xlfn.TEXTSPLIT(AP149, ",")))*IF(P149, P149, 1))/16, 1), "#,##0.0"), " tiles{}")</f>
        <v>{BLACK}Length: {GOLD}0.4 tiles{}</v>
      </c>
      <c r="CI149" s="1" t="str">
        <f aca="false">IF(0, VLOOKUP($CG149, Constants!$M:$N, 2, FALSE()),"")</f>
        <v/>
      </c>
      <c r="CJ149" s="1" t="str">
        <f aca="false">IF(P149&gt;1,_xlfn.CONCAT("{BLACK}Cars: {GOLD}", P149),"")</f>
        <v/>
      </c>
      <c r="CK149" s="26" t="s">
        <v>529</v>
      </c>
      <c r="CL149" s="1" t="str">
        <f aca="false">IF($BX149="concept_trains","{GREEN}Concept Vehicle",IF($BX149="!param_no_gameplay_units","{GREEN}Included for gameplay purposes",""))</f>
        <v/>
      </c>
      <c r="CM149" s="26" t="str">
        <f aca="false">IF(CA149="buffet","{YELLOW}25% long distance bonus for consist{}",IF(CD149="BRAKE","{YELLOW}Speed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{GOLD}0.4 tiles{}{SILVER}A mild upgrade in power made the Ruston 88 significantly more effective than it’s little brother, without vastly increasing cost.</v>
      </c>
      <c r="XFD149" s="1"/>
    </row>
    <row r="150" customFormat="false" ht="14.25" hidden="false" customHeight="false" outlineLevel="0" collapsed="false">
      <c r="A150" s="1" t="s">
        <v>530</v>
      </c>
      <c r="B150" s="15" t="s">
        <v>531</v>
      </c>
      <c r="C150" s="1" t="n">
        <v>159</v>
      </c>
      <c r="E150" s="1" t="n">
        <v>92</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241</v>
      </c>
      <c r="J150" s="1" t="s">
        <v>249</v>
      </c>
      <c r="K150" s="1" t="s">
        <v>250</v>
      </c>
      <c r="L150" s="1" t="s">
        <v>192</v>
      </c>
      <c r="M150" s="1" t="n">
        <v>1936</v>
      </c>
      <c r="N150" s="1" t="n">
        <v>1939</v>
      </c>
      <c r="O150" s="1" t="n">
        <v>1965</v>
      </c>
      <c r="Q150" s="1" t="n">
        <v>1600</v>
      </c>
      <c r="S150" s="3" t="n">
        <v>18.5</v>
      </c>
      <c r="T150" s="3" t="n">
        <v>30</v>
      </c>
      <c r="U150" s="3" t="n">
        <v>2</v>
      </c>
      <c r="V150" s="3" t="n">
        <v>225</v>
      </c>
      <c r="W150" s="18" t="n">
        <f aca="false">((($AE150/2)/60)*5280)/($X150*3.2*PI())</f>
        <v>193.092394192373</v>
      </c>
      <c r="X150" s="3" t="n">
        <v>1.7</v>
      </c>
      <c r="Y150" s="3" t="n">
        <f aca="false">((($S150*$S150/4)*PI())*($T150/12)*$U150*$V150*$W150)/(33000*1.1)</f>
        <v>1608.5864388369</v>
      </c>
      <c r="Z150" s="1" t="n">
        <v>75.2</v>
      </c>
      <c r="AA150" s="2" t="n">
        <v>48</v>
      </c>
      <c r="AC150" s="1" t="n">
        <v>128</v>
      </c>
      <c r="AD150" s="4" t="n">
        <f aca="false">IF(AND(Z150&gt;0,AC150&gt;0),(AC150/((Z150+AA150)*10)),"")</f>
        <v>0.103896103896104</v>
      </c>
      <c r="AE150" s="1" t="n">
        <v>75</v>
      </c>
      <c r="AF150" s="1" t="n">
        <f aca="false">ROUND(AE150*1.6, 0)</f>
        <v>120</v>
      </c>
      <c r="AH150" s="1" t="n">
        <v>19.21</v>
      </c>
      <c r="AI150" s="1" t="n">
        <f aca="false">AH150-7.5</f>
        <v>11.71</v>
      </c>
      <c r="AK150" s="1" t="n">
        <v>3.96</v>
      </c>
      <c r="AL150" s="5" t="n">
        <v>0</v>
      </c>
      <c r="AM150" s="1" t="str">
        <f aca="false">CONCATENATE(VLOOKUP(AN150, 'Voxel Sizes'!$A$2:$B$18,2,FALSE()),"x",INT(AJ150*15), "x", INT(AK150*15))</f>
        <v>120x0x59</v>
      </c>
      <c r="AN150" s="1" t="n">
        <f aca="false">ROUND(15*((AI150*10)/256),0)</f>
        <v>7</v>
      </c>
      <c r="AO150" s="1" t="s">
        <v>191</v>
      </c>
      <c r="AP150" s="1" t="str">
        <f aca="false">CONCATENATE(VLOOKUP(AN150,Constants!$A$2:$C$16,IF(AO150&lt;&gt;"", 3, 2), FALSE()),IF(AO150&lt;&gt;"",CONCATENATE(",",VLOOKUP(AO150,$B:$AP,41,FALSE())),""))</f>
        <v>2,3,2,2,1,2</v>
      </c>
      <c r="AX150" s="1" t="n">
        <v>1</v>
      </c>
      <c r="AZ150" s="1" t="n">
        <v>30</v>
      </c>
      <c r="BA150" s="16" t="n">
        <f aca="false">IF(O150&lt;&gt;"",MAX(16,(O150-M150)+8),"")</f>
        <v>37</v>
      </c>
      <c r="BD150" s="1" t="n">
        <f aca="false">MIN(AE150/150, 1)*30</f>
        <v>15</v>
      </c>
      <c r="BE150" s="1" t="n">
        <f aca="false">MIN(Q150/4000, 1)*20</f>
        <v>8</v>
      </c>
      <c r="BF150" s="1" t="n">
        <f aca="false">MIN(AC150/400,1)*20</f>
        <v>6.4</v>
      </c>
      <c r="BG150" s="4" t="n">
        <f aca="false">1-(MAX(M150-1900, 0)/750)</f>
        <v>0.952</v>
      </c>
      <c r="BH150" s="1" t="n">
        <f aca="false">((MAX($P150,1)*MIN($AL150/300,1)))*IF(J150="Wagon",50,10)</f>
        <v>0</v>
      </c>
      <c r="BI150" s="1" t="n">
        <f aca="false">VLOOKUP($K150,Constants!$I:$K, 2, FALSE())</f>
        <v>1.15</v>
      </c>
      <c r="BJ150" s="1" t="n">
        <f aca="false">VLOOKUP($K150,Constants!$I:$K, 3, FALSE())*IF(AND(J150="multiple_unit",AE150&lt;110),0.75,1)</f>
        <v>1.7</v>
      </c>
      <c r="BK150" s="1" t="n">
        <f aca="false">INT(POWER(((Constants!$G$2+$BD150+$BE150+$BF150+$BH150)*$BG150)*$BJ150, 1.05))+$BC150</f>
        <v>68</v>
      </c>
      <c r="BL150" s="1" t="n">
        <f aca="false">INT(POWER((((Constants!$G$1+$BD150+$BE150+$BF150+$BH150)*($BG150))*$BI150),IF($J150="wagon",1,1.2)))+$BB150</f>
        <v>105</v>
      </c>
      <c r="BM150" s="17" t="n">
        <f aca="false">BK150*IF($J150="wagon",62.5,781.25)</f>
        <v>53125</v>
      </c>
      <c r="BN150" s="17" t="n">
        <f aca="false">BL150*IF($J150="wagon",2.73,81.25)</f>
        <v>8531.25</v>
      </c>
      <c r="BU150" s="1" t="str">
        <f aca="false">IF(J150="locomotive","B","")</f>
        <v>B</v>
      </c>
      <c r="BV150" s="1" t="str">
        <f aca="false">IF($J150="locomotive","B","")</f>
        <v>B</v>
      </c>
      <c r="BY150" s="1" t="n">
        <v>4</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TEXT(ROUNDUP(IF(AS150&lt;&gt;"",SUM(VALUE(_xlfn.TEXTSPLIT(AS150, ","))), SUM(VALUE(_xlfn.TEXTSPLIT(AP150, ",")))*IF(P150, P150, 1))/16, 1), "#,##0.0"), " tiles{}")</f>
        <v>{BLACK}Length: {GOLD}0.8 tiles{}</v>
      </c>
      <c r="CI150" s="1" t="str">
        <f aca="false">IF(0, VLOOKUP($CG150, Constants!$M:$N, 2, FALSE()),"")</f>
        <v/>
      </c>
      <c r="CJ150" s="1" t="str">
        <f aca="false">IF(P150&gt;1,_xlfn.CONCAT("{BLACK}Cars: {GOLD}", P150),"")</f>
        <v/>
      </c>
      <c r="CK150" s="1" t="s">
        <v>532</v>
      </c>
      <c r="CL150" s="1" t="str">
        <f aca="false">IF($BX150="concept_trains","{GREEN}Concept Vehicle",IF($BX150="!param_no_gameplay_units","{GREEN}Included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Grange class is a conservative design similar to the Hall class with smaller driving wheels, but proved to be reliable in service.</v>
      </c>
    </row>
    <row r="151" customFormat="false" ht="14.25" hidden="false" customHeight="false" outlineLevel="0" collapsed="false">
      <c r="A151" s="1" t="s">
        <v>533</v>
      </c>
      <c r="B151" s="15" t="s">
        <v>534</v>
      </c>
      <c r="C151" s="1" t="n">
        <v>160</v>
      </c>
      <c r="E151" s="1" t="n">
        <v>93</v>
      </c>
      <c r="G151" s="1" t="str">
        <f aca="false">IF($F151&lt;&gt;"",_xlfn.CONCAT(VLOOKUP($CE151, Constants!$T:$U, 2, FALSE()),",",$F151),VLOOKUP($CE151, Constants!$T:$U, 2, FALSE()))</f>
        <v>role/express_passenger</v>
      </c>
      <c r="H151" s="1" t="str">
        <f aca="false">IF($G151&lt;&gt;"",_xlfn.CONCAT(VLOOKUP($CG151, Constants!$M:$P, 4, FALSE()),",",$G151),VLOOKUP($CG151, Constants!$M:$P, 4, FALSE()))</f>
        <v>flag/GB,power/steam,role/express_passenger</v>
      </c>
      <c r="I151" s="1" t="s">
        <v>241</v>
      </c>
      <c r="J151" s="1" t="s">
        <v>249</v>
      </c>
      <c r="K151" s="1" t="s">
        <v>250</v>
      </c>
      <c r="L151" s="1" t="s">
        <v>192</v>
      </c>
      <c r="M151" s="1" t="n">
        <v>1937</v>
      </c>
      <c r="N151" s="1" t="n">
        <v>1948</v>
      </c>
      <c r="O151" s="1" t="n">
        <v>1964</v>
      </c>
      <c r="Q151" s="1" t="n">
        <v>2500</v>
      </c>
      <c r="Z151" s="1" t="n">
        <v>110</v>
      </c>
      <c r="AA151" s="2" t="n">
        <v>57</v>
      </c>
      <c r="AC151" s="1" t="n">
        <v>180</v>
      </c>
      <c r="AD151" s="4" t="n">
        <f aca="false">IF(AND(Z151&gt;0,AC151&gt;0),(AC151/((Z151+AA151)*10)),"")</f>
        <v>0.107784431137725</v>
      </c>
      <c r="AE151" s="1" t="n">
        <v>115</v>
      </c>
      <c r="AF151" s="1" t="n">
        <f aca="false">ROUND(AE151*1.6, 0)</f>
        <v>184</v>
      </c>
      <c r="AH151" s="1" t="n">
        <v>22.49</v>
      </c>
      <c r="AI151" s="1" t="n">
        <f aca="false">AH151-7.5</f>
        <v>14.99</v>
      </c>
      <c r="AK151" s="1" t="n">
        <v>4.039</v>
      </c>
      <c r="AL151" s="5" t="n">
        <v>0</v>
      </c>
      <c r="AM151" s="1" t="str">
        <f aca="false">CONCATENATE(VLOOKUP(AN151, 'Voxel Sizes'!$A$2:$B$18,2,FALSE()),"x",INT(AJ151*15), "x", INT(AK151*15))</f>
        <v>152x0x60</v>
      </c>
      <c r="AN151" s="1" t="n">
        <f aca="false">ROUND(15*((AI151*10)/256),0)</f>
        <v>9</v>
      </c>
      <c r="AO151" s="1" t="s">
        <v>230</v>
      </c>
      <c r="AP151" s="1" t="str">
        <f aca="false">CONCATENATE(VLOOKUP(AN151,Constants!$A$2:$C$16,IF(AO151&lt;&gt;"", 3, 2), FALSE()),IF(AO151&lt;&gt;"",CONCATENATE(",",VLOOKUP(AO151,$B:$AP,41,FALSE())),""))</f>
        <v>2,5,2,2,1,2</v>
      </c>
      <c r="AX151" s="1" t="n">
        <v>1</v>
      </c>
      <c r="AZ151" s="1" t="n">
        <v>35</v>
      </c>
      <c r="BA151" s="16" t="n">
        <f aca="false">IF(O151&lt;&gt;"",MAX(16,(O151-M151)+8),"")</f>
        <v>35</v>
      </c>
      <c r="BD151" s="1" t="n">
        <f aca="false">MIN(AE151/150, 1)*30</f>
        <v>23</v>
      </c>
      <c r="BE151" s="1" t="n">
        <f aca="false">MIN(Q151/4000, 1)*20</f>
        <v>12.5</v>
      </c>
      <c r="BF151" s="1" t="n">
        <f aca="false">MIN(AC151/400,1)*20</f>
        <v>9</v>
      </c>
      <c r="BG151" s="4" t="n">
        <f aca="false">1-(MAX(M151-1900, 0)/750)</f>
        <v>0.950666666666667</v>
      </c>
      <c r="BH151" s="1" t="n">
        <f aca="false">((MAX($P151,1)*MIN($AL151/300,1)))*IF(J151="Wagon",50,10)</f>
        <v>0</v>
      </c>
      <c r="BI151" s="1" t="n">
        <f aca="false">VLOOKUP($K151,Constants!$I:$K, 2, FALSE())</f>
        <v>1.15</v>
      </c>
      <c r="BJ151" s="1" t="n">
        <f aca="false">VLOOKUP($K151,Constants!$I:$K, 3, FALSE())*IF(AND(J151="multiple_unit",AE151&lt;110),0.75,1)</f>
        <v>1.7</v>
      </c>
      <c r="BK151" s="1" t="n">
        <f aca="false">INT(POWER(((Constants!$G$2+$BD151+$BE151+$BF151+$BH151)*$BG151)*$BJ151, 1.05))+$BC151</f>
        <v>99</v>
      </c>
      <c r="BL151" s="1" t="n">
        <f aca="false">INT(POWER((((Constants!$G$1+$BD151+$BE151+$BF151+$BH151)*($BG151))*$BI151),IF($J151="wagon",1,1.2)))+$BB151</f>
        <v>149</v>
      </c>
      <c r="BM151" s="17" t="n">
        <f aca="false">BK151*IF($J151="wagon",62.5,781.25)</f>
        <v>77343.75</v>
      </c>
      <c r="BN151" s="17" t="n">
        <f aca="false">BL151*IF($J151="wagon",2.73,81.25)</f>
        <v>12106.25</v>
      </c>
      <c r="BU151" s="1" t="str">
        <f aca="false">IF(J151="locomotive","B","")</f>
        <v>B</v>
      </c>
      <c r="BV151" s="1" t="str">
        <f aca="false">IF($J151="locomotive","B","")</f>
        <v>B</v>
      </c>
      <c r="BY151" s="1" t="n">
        <v>5</v>
      </c>
      <c r="CD151" s="1" t="str">
        <f aca="false">VLOOKUP(M151,Eras!$A$2:$C$10, 2, TRUE())</f>
        <v>big4</v>
      </c>
      <c r="CE151" s="1" t="s">
        <v>282</v>
      </c>
      <c r="CF151" s="1" t="str">
        <f aca="false">CONCATENATE(CD151,"_",CE151)</f>
        <v>big4_Express</v>
      </c>
      <c r="CG151" s="1" t="str">
        <f aca="false">_xlfn.CONCAT(K151, "_",L151)</f>
        <v>steam_RAIL</v>
      </c>
      <c r="CH151" s="7" t="str">
        <f aca="false">_xlfn.CONCAT("{BLACK}Length: {GOLD}", TEXT(ROUNDUP(IF(AS151&lt;&gt;"",SUM(VALUE(_xlfn.TEXTSPLIT(AS151, ","))), SUM(VALUE(_xlfn.TEXTSPLIT(AP151, ",")))*IF(P151, P151, 1))/16, 1), "#,##0.0"), " tiles{}")</f>
        <v>{BLACK}Length: {GOLD}0.9 tiles{}</v>
      </c>
      <c r="CI151" s="1" t="str">
        <f aca="false">IF(0, VLOOKUP($CG151, Constants!$M:$N, 2, FALSE()),"")</f>
        <v/>
      </c>
      <c r="CJ151" s="1" t="str">
        <f aca="false">IF(P151&gt;1,_xlfn.CONCAT("{BLACK}Cars: {GOLD}", P151),"")</f>
        <v/>
      </c>
      <c r="CK151" s="1" t="s">
        <v>535</v>
      </c>
      <c r="CL151" s="1" t="str">
        <f aca="false">IF($BX151="concept_trains","{GREEN}Concept Vehicle",IF($BX151="!param_no_gameplay_units","{GREEN}Included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{GOLD}0.9 tiles{}{SILVER}The Stanier Coronation briefly held the British speed record for a steam locomotive. In real life, the streamlined casing was only fitted to early examples.</v>
      </c>
    </row>
    <row r="152" customFormat="false" ht="14.25" hidden="false" customHeight="false" outlineLevel="0" collapsed="false">
      <c r="A152" s="1" t="s">
        <v>536</v>
      </c>
      <c r="B152" s="15" t="s">
        <v>537</v>
      </c>
      <c r="C152" s="1" t="n">
        <v>161</v>
      </c>
      <c r="E152" s="1" t="n">
        <v>94</v>
      </c>
      <c r="G152" s="1" t="str">
        <f aca="false">IF($F152&lt;&gt;"",_xlfn.CONCAT(VLOOKUP($CE152, Constants!$T:$U, 2, FALSE()),",",$F152),VLOOKUP($CE152, Constants!$T:$U, 2, FALSE()))</f>
        <v>role/express_passenger</v>
      </c>
      <c r="H152" s="1" t="str">
        <f aca="false">IF($G152&lt;&gt;"",_xlfn.CONCAT(VLOOKUP($CG152, Constants!$M:$P, 4, FALSE()),",",$G152),VLOOKUP($CG152, Constants!$M:$P, 4, FALSE()))</f>
        <v>flag/GB,power/steam,role/express_passenger</v>
      </c>
      <c r="I152" s="1" t="s">
        <v>241</v>
      </c>
      <c r="J152" s="1" t="s">
        <v>249</v>
      </c>
      <c r="K152" s="1" t="s">
        <v>250</v>
      </c>
      <c r="L152" s="1" t="s">
        <v>192</v>
      </c>
      <c r="M152" s="1" t="n">
        <v>1941</v>
      </c>
      <c r="N152" s="1" t="n">
        <v>1949</v>
      </c>
      <c r="O152" s="1" t="n">
        <v>1967</v>
      </c>
      <c r="Q152" s="1" t="n">
        <v>2100</v>
      </c>
      <c r="S152" s="3" t="n">
        <v>18</v>
      </c>
      <c r="T152" s="3" t="n">
        <v>24</v>
      </c>
      <c r="U152" s="3" t="n">
        <v>3</v>
      </c>
      <c r="V152" s="3" t="n">
        <v>250</v>
      </c>
      <c r="W152" s="18" t="n">
        <f aca="false">((($AE152/2)/60)*5280)/($X152*3.2*PI())</f>
        <v>241.87363061992</v>
      </c>
      <c r="X152" s="3" t="n">
        <v>1.9</v>
      </c>
      <c r="Y152" s="3" t="n">
        <f aca="false">((($S152*$S152/4)*PI())*($T152/12)*$U152*$V152*$W152)/(33000*1.1)</f>
        <v>2543.36124401914</v>
      </c>
      <c r="Z152" s="1" t="n">
        <v>96.3</v>
      </c>
      <c r="AA152" s="2" t="n">
        <v>52</v>
      </c>
      <c r="AC152" s="1" t="n">
        <v>167</v>
      </c>
      <c r="AD152" s="4" t="n">
        <f aca="false">IF(AND(Z152&gt;0,AC152&gt;0),(AC152/((Z152+AA152)*10)),"")</f>
        <v>0.112609575185435</v>
      </c>
      <c r="AE152" s="1" t="n">
        <v>105</v>
      </c>
      <c r="AF152" s="1" t="n">
        <f aca="false">ROUND(AE152*1.6, 0)</f>
        <v>168</v>
      </c>
      <c r="AH152" s="1" t="n">
        <v>21.23</v>
      </c>
      <c r="AI152" s="1" t="n">
        <f aca="false">AH152-7.5</f>
        <v>13.73</v>
      </c>
      <c r="AL152" s="5" t="n">
        <v>0</v>
      </c>
      <c r="AM152" s="1" t="str">
        <f aca="false">CONCATENATE(VLOOKUP(AN152, 'Voxel Sizes'!$A$2:$B$18,2,FALSE()),"x",INT(AJ152*15), "x", INT(AK152*15))</f>
        <v>136x0x0</v>
      </c>
      <c r="AN152" s="1" t="n">
        <f aca="false">ROUND(15*((AI152*10)/256),0)</f>
        <v>8</v>
      </c>
      <c r="AO152" s="1" t="s">
        <v>232</v>
      </c>
      <c r="AP152" s="1" t="str">
        <f aca="false">CONCATENATE(VLOOKUP(AN152,Constants!$A$2:$C$16,IF(AO152&lt;&gt;"", 3, 2), FALSE()),IF(AO152&lt;&gt;"",CONCATENATE(",",VLOOKUP(AO152,$B:$AP,41,FALSE())),""))</f>
        <v>2,4,2,2,1,2</v>
      </c>
      <c r="AX152" s="1" t="n">
        <v>1</v>
      </c>
      <c r="AZ152" s="1" t="n">
        <v>32</v>
      </c>
      <c r="BA152" s="16" t="n">
        <f aca="false">IF(O152&lt;&gt;"",MAX(16,(O152-M152)+8),"")</f>
        <v>34</v>
      </c>
      <c r="BD152" s="1" t="n">
        <f aca="false">MIN(AE152/150, 1)*30</f>
        <v>21</v>
      </c>
      <c r="BE152" s="1" t="n">
        <f aca="false">MIN(Q152/4000, 1)*20</f>
        <v>10.5</v>
      </c>
      <c r="BF152" s="1" t="n">
        <f aca="false">MIN(AC152/400,1)*20</f>
        <v>8.35</v>
      </c>
      <c r="BG152" s="4" t="n">
        <f aca="false">1-(MAX(M152-1900, 0)/750)</f>
        <v>0.945333333333333</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89</v>
      </c>
      <c r="BL152" s="1" t="n">
        <f aca="false">INT(POWER((((Constants!$G$1+$BD152+$BE152+$BF152+$BH152)*($BG152))*$BI152),IF($J152="wagon",1,1.2)))+$BB152</f>
        <v>135</v>
      </c>
      <c r="BM152" s="17" t="n">
        <f aca="false">BK152*IF($J152="wagon",62.5,781.25)</f>
        <v>69531.25</v>
      </c>
      <c r="BN152" s="17" t="n">
        <f aca="false">BL152*IF($J152="wagon",2.73,81.25)</f>
        <v>10968.75</v>
      </c>
      <c r="BU152" s="1" t="str">
        <f aca="false">IF(J152="locomotive","B","")</f>
        <v>B</v>
      </c>
      <c r="BV152" s="1" t="str">
        <f aca="false">IF($J152="locomotive","B","")</f>
        <v>B</v>
      </c>
      <c r="BY152" s="1" t="n">
        <v>6</v>
      </c>
      <c r="CD152" s="1" t="str">
        <f aca="false">VLOOKUP(M152,Eras!$A$2:$C$10, 2, TRUE())</f>
        <v>big4</v>
      </c>
      <c r="CE152" s="1" t="s">
        <v>282</v>
      </c>
      <c r="CF152" s="1" t="str">
        <f aca="false">CONCATENATE(CD152,"_",CE152)</f>
        <v>big4_Express</v>
      </c>
      <c r="CG152" s="1" t="str">
        <f aca="false">_xlfn.CONCAT(K152, "_",L152)</f>
        <v>steam_RAIL</v>
      </c>
      <c r="CH152" s="7" t="str">
        <f aca="false">_xlfn.CONCAT("{BLACK}Length: {GOLD}", TEXT(ROUNDUP(IF(AS152&lt;&gt;"",SUM(VALUE(_xlfn.TEXTSPLIT(AS152, ","))), SUM(VALUE(_xlfn.TEXTSPLIT(AP152, ",")))*IF(P152, P152, 1))/16, 1), "#,##0.0"), " tiles{}")</f>
        <v>{BLACK}Length: {GOLD}0.9 tiles{}</v>
      </c>
      <c r="CI152" s="1" t="str">
        <f aca="false">IF(0, VLOOKUP($CG152, Constants!$M:$N, 2, FALSE()),"")</f>
        <v/>
      </c>
      <c r="CJ152" s="1" t="str">
        <f aca="false">IF(P152&gt;1,_xlfn.CONCAT("{BLACK}Cars: {GOLD}", P152),"")</f>
        <v/>
      </c>
      <c r="CK152" s="1" t="s">
        <v>538</v>
      </c>
      <c r="CL152" s="1" t="str">
        <f aca="false">IF($BX152="concept_trains","{GREEN}Concept Vehicle",IF($BX152="!param_no_gameplay_units","{GREEN}Included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{GOLD}0.9 tiles{}{SILVER}The SR Merchant Navy is a large, powerful locomotive with an air-smoothed casing. Bulleid's novel design features proved to be troublesome, and the class was later rebuilt.</v>
      </c>
    </row>
    <row r="153" customFormat="false" ht="14.25" hidden="false" customHeight="false" outlineLevel="0" collapsed="false">
      <c r="A153" s="1" t="s">
        <v>539</v>
      </c>
      <c r="B153" s="15" t="s">
        <v>540</v>
      </c>
      <c r="C153" s="1" t="n">
        <v>162</v>
      </c>
      <c r="E153" s="1" t="n">
        <v>95</v>
      </c>
      <c r="G153" s="1" t="str">
        <f aca="false">IF($F153&lt;&gt;"",_xlfn.CONCAT(VLOOKUP($CE153, Constants!$T:$U, 2, FALSE()),",",$F153),VLOOKUP($CE153, Constants!$T:$U, 2, FALSE()))</f>
        <v>role/mixed</v>
      </c>
      <c r="H153" s="1" t="str">
        <f aca="false">IF($G153&lt;&gt;"",_xlfn.CONCAT(VLOOKUP($CG153, Constants!$M:$P, 4, FALSE()),",",$G153),VLOOKUP($CG153, Constants!$M:$P, 4, FALSE()))</f>
        <v>flag/GB,power/electric,role/mixed</v>
      </c>
      <c r="I153" s="1" t="s">
        <v>241</v>
      </c>
      <c r="J153" s="1" t="s">
        <v>249</v>
      </c>
      <c r="K153" s="1" t="s">
        <v>388</v>
      </c>
      <c r="L153" s="1" t="s">
        <v>541</v>
      </c>
      <c r="M153" s="1" t="n">
        <v>1941</v>
      </c>
      <c r="N153" s="1" t="n">
        <v>1948</v>
      </c>
      <c r="O153" s="1" t="n">
        <v>1968</v>
      </c>
      <c r="Q153" s="1" t="n">
        <v>1470</v>
      </c>
      <c r="Z153" s="1" t="n">
        <v>101</v>
      </c>
      <c r="AC153" s="1" t="n">
        <v>178</v>
      </c>
      <c r="AD153" s="4" t="n">
        <f aca="false">IF(AND(Z153&gt;0,AC153&gt;0),(AC153/((Z153+AA153)*10)),"")</f>
        <v>0.176237623762376</v>
      </c>
      <c r="AE153" s="1" t="n">
        <v>75</v>
      </c>
      <c r="AF153" s="1" t="n">
        <f aca="false">ROUND(AE153*1.6, 0)</f>
        <v>120</v>
      </c>
      <c r="AH153" s="1" t="n">
        <v>17</v>
      </c>
      <c r="AI153" s="1" t="n">
        <v>17</v>
      </c>
      <c r="AL153" s="5" t="n">
        <v>0</v>
      </c>
      <c r="AM153" s="1" t="str">
        <f aca="false">CONCATENATE(VLOOKUP(AN153, 'Voxel Sizes'!$A$2:$B$18,2,FALSE()),"x",INT(AJ153*15), "x", INT(AK153*15))</f>
        <v>164x0x0</v>
      </c>
      <c r="AN153" s="1" t="n">
        <f aca="false">ROUND(15*((AI153*10)/256),0)</f>
        <v>10</v>
      </c>
      <c r="AP153" s="1" t="str">
        <f aca="false">CONCATENATE(VLOOKUP(AN153,Constants!$A$2:$C$16,IF(AO153&lt;&gt;"", 3, 2), FALSE()),IF(AO153&lt;&gt;"",CONCATENATE(",",VLOOKUP(AO153,$B:$AP,41,FALSE())),""))</f>
        <v>4,2,4</v>
      </c>
      <c r="AZ153" s="1" t="n">
        <v>31</v>
      </c>
      <c r="BA153" s="16" t="n">
        <f aca="false">IF(O153&lt;&gt;"",MAX(16,(O153-M153)+8),"")</f>
        <v>35</v>
      </c>
      <c r="BD153" s="1" t="n">
        <f aca="false">MIN(AE153/150, 1)*30</f>
        <v>15</v>
      </c>
      <c r="BE153" s="1" t="n">
        <f aca="false">MIN(Q153/4000, 1)*20</f>
        <v>7.35</v>
      </c>
      <c r="BF153" s="1" t="n">
        <f aca="false">MIN(AC153/400,1)*20</f>
        <v>8.9</v>
      </c>
      <c r="BG153" s="4" t="n">
        <f aca="false">1-(MAX(M153-1900, 0)/750)</f>
        <v>0.945333333333333</v>
      </c>
      <c r="BH153" s="1" t="n">
        <f aca="false">((MAX($P153,1)*MIN($AL153/300,1)))*IF(J153="Wagon",50,10)</f>
        <v>0</v>
      </c>
      <c r="BI153" s="1" t="n">
        <f aca="false">VLOOKUP($K153,Constants!$I:$K, 2, FALSE())</f>
        <v>0.85</v>
      </c>
      <c r="BJ153" s="1" t="n">
        <f aca="false">VLOOKUP($K153,Constants!$I:$K, 3, FALSE())*IF(AND(J153="multiple_unit",AE153&lt;110),0.75,1)</f>
        <v>2.3</v>
      </c>
      <c r="BK153" s="1" t="n">
        <f aca="false">INT(POWER(((Constants!$G$2+$BD153+$BE153+$BF153+$BH153)*$BG153)*$BJ153, 1.05))+$BC153</f>
        <v>98</v>
      </c>
      <c r="BL153" s="1" t="n">
        <f aca="false">INT(POWER((((Constants!$G$1+$BD153+$BE153+$BF153+$BH153)*($BG153))*$BI153),IF($J153="wagon",1,1.2)))+$BB153</f>
        <v>76</v>
      </c>
      <c r="BM153" s="17" t="n">
        <f aca="false">BK153*IF($J153="wagon",62.5,781.25)</f>
        <v>76562.5</v>
      </c>
      <c r="BN153" s="17" t="n">
        <f aca="false">BL153*IF($J153="wagon",2.73,81.25)</f>
        <v>6175</v>
      </c>
      <c r="BU153" s="1" t="str">
        <f aca="false">IF(J153="locomotive","B","")</f>
        <v>B</v>
      </c>
      <c r="BV153" s="1" t="str">
        <f aca="false">IF($J153="locomotive","B","")</f>
        <v>B</v>
      </c>
      <c r="BY153" s="1" t="n">
        <v>8</v>
      </c>
      <c r="CD153" s="1" t="str">
        <f aca="false">VLOOKUP(M153,Eras!$A$2:$C$10, 2, TRUE())</f>
        <v>big4</v>
      </c>
      <c r="CE153" s="1" t="s">
        <v>542</v>
      </c>
      <c r="CF153" s="1" t="str">
        <f aca="false">CONCATENATE(CD153,"_",CE153)</f>
        <v>big4_MT (Electric)</v>
      </c>
      <c r="CG153" s="1" t="str">
        <f aca="false">_xlfn.CONCAT(K153, "_",L153)</f>
        <v>electric_THIRD_RAIL</v>
      </c>
      <c r="CH153" s="7" t="str">
        <f aca="false">_xlfn.CONCAT("{BLACK}Length: {GOLD}", TEXT(ROUNDUP(IF(AS153&lt;&gt;"",SUM(VALUE(_xlfn.TEXTSPLIT(AS153, ","))), SUM(VALUE(_xlfn.TEXTSPLIT(AP153, ",")))*IF(P153, P153, 1))/16, 1), "#,##0.0"), " tiles{}")</f>
        <v>{BLACK}Length: {GOLD}0.7 tiles{}</v>
      </c>
      <c r="CI153" s="1" t="str">
        <f aca="false">IF(0, VLOOKUP($CG153, Constants!$M:$N, 2, FALSE()),"")</f>
        <v/>
      </c>
      <c r="CJ153" s="1" t="str">
        <f aca="false">IF(P153&gt;1,_xlfn.CONCAT("{BLACK}Cars: {GOLD}", P153),"")</f>
        <v/>
      </c>
      <c r="CK153" s="1" t="s">
        <v>543</v>
      </c>
      <c r="CL153" s="1" t="str">
        <f aca="false">IF($BX153="concept_trains","{GREEN}Concept Vehicle",IF($BX153="!param_no_gameplay_units","{GREEN}Included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{GOLD}0.7 tiles{}{SILVER}With six traction motors, the CC is adept at handling both heavy freight and long passenger trains.</v>
      </c>
    </row>
    <row r="154" customFormat="false" ht="14.25" hidden="false" customHeight="false" outlineLevel="0" collapsed="false">
      <c r="A154" s="1" t="s">
        <v>544</v>
      </c>
      <c r="B154" s="15" t="s">
        <v>545</v>
      </c>
      <c r="C154" s="1" t="n">
        <v>163</v>
      </c>
      <c r="E154" s="1" t="n">
        <v>96</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241</v>
      </c>
      <c r="J154" s="1" t="s">
        <v>249</v>
      </c>
      <c r="K154" s="1" t="s">
        <v>250</v>
      </c>
      <c r="L154" s="1" t="s">
        <v>192</v>
      </c>
      <c r="M154" s="1" t="n">
        <v>1942</v>
      </c>
      <c r="N154" s="1" t="n">
        <v>1942</v>
      </c>
      <c r="O154" s="1" t="n">
        <v>1966</v>
      </c>
      <c r="Q154" s="1" t="n">
        <v>1600</v>
      </c>
      <c r="S154" s="3" t="n">
        <v>19</v>
      </c>
      <c r="T154" s="3" t="n">
        <v>26</v>
      </c>
      <c r="U154" s="3" t="n">
        <v>2</v>
      </c>
      <c r="V154" s="3" t="n">
        <v>230</v>
      </c>
      <c r="W154" s="18" t="n">
        <f aca="false">((($AE154/2)/60)*5280)/($X154*3.2*PI())</f>
        <v>218.838046751356</v>
      </c>
      <c r="X154" s="3" t="n">
        <v>1.5</v>
      </c>
      <c r="Y154" s="3" t="n">
        <f aca="false">((($S154*$S154/4)*PI())*($T154/12)*$U154*$V154*$W154)/(33000*1.1)</f>
        <v>1703.5827020202</v>
      </c>
      <c r="Z154" s="1" t="n">
        <v>50.3</v>
      </c>
      <c r="AA154" s="2" t="n">
        <f aca="false">90.7-Z154</f>
        <v>40.4</v>
      </c>
      <c r="AC154" s="1" t="n">
        <v>134</v>
      </c>
      <c r="AD154" s="4" t="n">
        <f aca="false">IF(AND(Z154&gt;0,AC154&gt;0),(AC154/((Z154+AA154)*10)),"")</f>
        <v>0.14773980154355</v>
      </c>
      <c r="AE154" s="1" t="n">
        <v>75</v>
      </c>
      <c r="AF154" s="1" t="n">
        <f aca="false">ROUND(AE154*1.6, 0)</f>
        <v>120</v>
      </c>
      <c r="AH154" s="1" t="n">
        <v>16.73</v>
      </c>
      <c r="AI154" s="1" t="n">
        <v>10</v>
      </c>
      <c r="AL154" s="5" t="n">
        <v>0</v>
      </c>
      <c r="AM154" s="1" t="str">
        <f aca="false">CONCATENATE(VLOOKUP(AN154, 'Voxel Sizes'!$A$2:$B$18,2,FALSE()),"x",INT(AJ154*15), "x", INT(AK154*15))</f>
        <v>102x0x0</v>
      </c>
      <c r="AN154" s="1" t="n">
        <f aca="false">ROUND(15*((AI154*10)/256),0)</f>
        <v>6</v>
      </c>
      <c r="AO154" s="1" t="s">
        <v>234</v>
      </c>
      <c r="AP154" s="1" t="str">
        <f aca="false">CONCATENATE(VLOOKUP(AN154,Constants!$A$2:$C$16,IF(AO154&lt;&gt;"", 3, 2), FALSE()),IF(AO154&lt;&gt;"",CONCATENATE(",",VLOOKUP(AO154,$B:$AP,41,FALSE())),""))</f>
        <v>2,2,2,1,2,1</v>
      </c>
      <c r="AX154" s="1" t="n">
        <v>1</v>
      </c>
      <c r="AZ154" s="1" t="n">
        <v>25</v>
      </c>
      <c r="BA154" s="16" t="n">
        <f aca="false">IF(O154&lt;&gt;"",MAX(16,(O154-M154)+8),"")</f>
        <v>32</v>
      </c>
      <c r="BD154" s="1" t="n">
        <f aca="false">MIN(AE154/150, 1)*30</f>
        <v>15</v>
      </c>
      <c r="BE154" s="1" t="n">
        <f aca="false">MIN(Q154/4000, 1)*20</f>
        <v>8</v>
      </c>
      <c r="BF154" s="1" t="n">
        <f aca="false">MIN(AC154/400,1)*20</f>
        <v>6.7</v>
      </c>
      <c r="BG154" s="4" t="n">
        <f aca="false">1-(MAX(M154-1900, 0)/750)</f>
        <v>0.944</v>
      </c>
      <c r="BH154" s="1" t="n">
        <f aca="false">((MAX($P154,1)*MIN($AL154/300,1)))*IF(J154="Wagon",50,10)</f>
        <v>0</v>
      </c>
      <c r="BI154" s="1" t="n">
        <f aca="false">VLOOKUP($K154,Constants!$I:$K, 2, FALSE())</f>
        <v>1.15</v>
      </c>
      <c r="BJ154" s="1" t="n">
        <f aca="false">VLOOKUP($K154,Constants!$I:$K, 3, FALSE())*IF(AND(J154="multiple_unit",AE154&lt;110),0.75,1)</f>
        <v>1.7</v>
      </c>
      <c r="BK154" s="1" t="n">
        <f aca="false">INT(POWER(((Constants!$G$2+$BD154+$BE154+$BF154+$BH154)*$BG154)*$BJ154, 1.05))+$BC154</f>
        <v>68</v>
      </c>
      <c r="BL154" s="1" t="n">
        <f aca="false">INT(POWER((((Constants!$G$1+$BD154+$BE154+$BF154+$BH154)*($BG154))*$BI154),IF($J154="wagon",1,1.2)))+$BB154</f>
        <v>105</v>
      </c>
      <c r="BM154" s="17" t="n">
        <f aca="false">BK154*IF($J154="wagon",62.5,781.25)</f>
        <v>53125</v>
      </c>
      <c r="BN154" s="17" t="n">
        <f aca="false">BL154*IF($J154="wagon",2.73,81.25)</f>
        <v>8531.25</v>
      </c>
      <c r="BU154" s="1" t="str">
        <f aca="false">IF(J154="locomotive","B","")</f>
        <v>B</v>
      </c>
      <c r="BV154" s="1" t="str">
        <f aca="false">IF($J154="locomotive","B","")</f>
        <v>B</v>
      </c>
      <c r="BY154" s="1" t="n">
        <v>9</v>
      </c>
      <c r="CD154" s="1" t="str">
        <f aca="false">VLOOKUP(M154,Eras!$A$2:$C$10, 2, TRUE())</f>
        <v>big4</v>
      </c>
      <c r="CE154" s="1" t="s">
        <v>356</v>
      </c>
      <c r="CF154" s="1" t="str">
        <f aca="false">CONCATENATE(CD154,"_",CE154)</f>
        <v>big4_Cheap</v>
      </c>
      <c r="CG154" s="1" t="str">
        <f aca="false">_xlfn.CONCAT(K154, "_",L154)</f>
        <v>steam_RAIL</v>
      </c>
      <c r="CH154" s="7" t="str">
        <f aca="false">_xlfn.CONCAT("{BLACK}Length: {GOLD}", TEXT(ROUNDUP(IF(AS154&lt;&gt;"",SUM(VALUE(_xlfn.TEXTSPLIT(AS154, ","))), SUM(VALUE(_xlfn.TEXTSPLIT(AP154, ",")))*IF(P154, P154, 1))/16, 1), "#,##0.0"), " tiles{}")</f>
        <v>{BLACK}Length: {GOLD}0.7 tiles{}</v>
      </c>
      <c r="CI154" s="1" t="str">
        <f aca="false">IF(0, VLOOKUP($CG154, Constants!$M:$N, 2, FALSE()),"")</f>
        <v/>
      </c>
      <c r="CJ154" s="1" t="str">
        <f aca="false">IF(P154&gt;1,_xlfn.CONCAT("{BLACK}Cars: {GOLD}", P154),"")</f>
        <v/>
      </c>
      <c r="CK154" s="1" t="s">
        <v>546</v>
      </c>
      <c r="CL154" s="1" t="str">
        <f aca="false">IF($BX154="concept_trains","{GREEN}Concept Vehicle",IF($BX154="!param_no_gameplay_units","{GREEN}Included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tiles{}{SILVER}The Q1 was designed for function over form and the most efficient possible use of materials.</v>
      </c>
    </row>
    <row r="155" customFormat="false" ht="14.25" hidden="false" customHeight="false" outlineLevel="0" collapsed="false">
      <c r="A155" s="1" t="s">
        <v>547</v>
      </c>
      <c r="B155" s="19" t="s">
        <v>548</v>
      </c>
      <c r="C155" s="1" t="n">
        <v>1041</v>
      </c>
      <c r="E155" s="1" t="n">
        <v>97</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241</v>
      </c>
      <c r="J155" s="1" t="s">
        <v>249</v>
      </c>
      <c r="K155" s="1" t="s">
        <v>250</v>
      </c>
      <c r="L155" s="1" t="s">
        <v>192</v>
      </c>
      <c r="M155" s="1" t="n">
        <v>1942</v>
      </c>
      <c r="O155" s="1" t="n">
        <v>1967</v>
      </c>
      <c r="Q155" s="1" t="n">
        <v>1700</v>
      </c>
      <c r="S155" s="3" t="n">
        <v>20</v>
      </c>
      <c r="T155" s="3" t="n">
        <v>26</v>
      </c>
      <c r="U155" s="3" t="n">
        <v>2</v>
      </c>
      <c r="V155" s="3" t="n">
        <v>225</v>
      </c>
      <c r="W155" s="18" t="n">
        <f aca="false">((($AE155/2)/60)*5280)/($X155*3.2*PI())</f>
        <v>197.885467807077</v>
      </c>
      <c r="X155" s="3" t="n">
        <v>1.88</v>
      </c>
      <c r="Y155" s="3" t="n">
        <f aca="false">((($S155*$S155/4)*PI())*($T155/12)*$U155*$V155*$W155)/(33000*1.1)</f>
        <v>1669.78965183752</v>
      </c>
      <c r="Z155" s="1" t="n">
        <v>72</v>
      </c>
      <c r="AC155" s="1" t="n">
        <v>119</v>
      </c>
      <c r="AD155" s="4" t="n">
        <f aca="false">IF(AND(Z155&gt;0,AC155&gt;0),(AC155/((Z155+AA155)*10)),"")</f>
        <v>0.165277777777778</v>
      </c>
      <c r="AE155" s="1" t="n">
        <v>85</v>
      </c>
      <c r="AF155" s="1" t="n">
        <f aca="false">ROUND(AE155*1.6, 0)</f>
        <v>136</v>
      </c>
      <c r="AH155" s="1" t="n">
        <v>18.7</v>
      </c>
      <c r="AI155" s="1" t="n">
        <v>14</v>
      </c>
      <c r="AM155" s="1" t="str">
        <f aca="false">CONCATENATE(VLOOKUP(AN155, 'Voxel Sizes'!$A$2:$B$18,2,FALSE()),"x",INT(AJ155*15), "x", INT(AK155*15))</f>
        <v>136x0x0</v>
      </c>
      <c r="AN155" s="16" t="n">
        <f aca="false">ROUND(15*((AI155*10)/256),0)</f>
        <v>8</v>
      </c>
      <c r="AO155" s="1" t="s">
        <v>420</v>
      </c>
      <c r="AP155" s="1" t="str">
        <f aca="false">CONCATENATE(VLOOKUP(AN155,Constants!$A$2:$C$16,IF(AO155&lt;&gt;"", 3, 2), FALSE()),IF(AO155&lt;&gt;"",CONCATENATE(",",VLOOKUP(AO155,$B:$AP,41,FALSE())),""))</f>
        <v>2,4,2,2,1,2</v>
      </c>
      <c r="AX155" s="1" t="n">
        <v>1</v>
      </c>
      <c r="AZ155" s="1" t="n">
        <v>31</v>
      </c>
      <c r="BA155" s="16" t="n">
        <f aca="false">IF(O155&lt;&gt;"",MAX(16,(O155-M155)+8),"")</f>
        <v>33</v>
      </c>
      <c r="BD155" s="20" t="n">
        <f aca="false">MIN(AE155/150, 1)*30</f>
        <v>17</v>
      </c>
      <c r="BE155" s="20" t="n">
        <f aca="false">MIN(Q155/4000, 1)*20</f>
        <v>8.5</v>
      </c>
      <c r="BF155" s="20" t="n">
        <f aca="false">MIN(AC155/400,1)*20</f>
        <v>5.95</v>
      </c>
      <c r="BG155" s="4" t="n">
        <f aca="false">1-(MAX(M155-1900, 0)/750)</f>
        <v>0.944</v>
      </c>
      <c r="BH155" s="20" t="n">
        <f aca="false">((MAX($P155,1)*MIN($AL155/300,1)))*IF(J155="Wagon",50,10)</f>
        <v>0</v>
      </c>
      <c r="BI155" s="1" t="n">
        <f aca="false">VLOOKUP($K155,Constants!$I:$K, 2, FALSE())</f>
        <v>1.15</v>
      </c>
      <c r="BJ155" s="1" t="n">
        <f aca="false">VLOOKUP($K155,Constants!$I:$K, 3, FALSE())*IF(AND(J155="multiple_unit",AE155&lt;110),0.75,1)</f>
        <v>1.7</v>
      </c>
      <c r="BK155" s="1" t="n">
        <f aca="false">INT(POWER(((Constants!$G$2+$BD155+$BE155+$BF155+$BH155)*$BG155)*$BJ155, 1.05))+$BC155</f>
        <v>71</v>
      </c>
      <c r="BL155" s="1" t="n">
        <f aca="false">INT(POWER((((Constants!$G$1+$BD155+$BE155+$BF155+$BH155)*($BG155))*$BI155),IF($J155="wagon",1,1.2)))+$BB155</f>
        <v>110</v>
      </c>
      <c r="BM155" s="22" t="n">
        <f aca="false">BK155*IF($J155="wagon",62.5,781.25)</f>
        <v>55468.75</v>
      </c>
      <c r="BN155" s="22" t="n">
        <f aca="false">BL155*IF($J155="wagon",2.73,81.25)</f>
        <v>8937.5</v>
      </c>
      <c r="BU155" s="1" t="str">
        <f aca="false">IF(J155="locomotive","B","")</f>
        <v>B</v>
      </c>
      <c r="BV155" s="1" t="str">
        <f aca="false">IF($J155="locomotive","B","")</f>
        <v>B</v>
      </c>
      <c r="BY155" s="1" t="n">
        <v>7</v>
      </c>
      <c r="CD155" s="23" t="s">
        <v>471</v>
      </c>
      <c r="CE155" s="1" t="s">
        <v>129</v>
      </c>
      <c r="CF155" s="23" t="str">
        <f aca="false">CONCATENATE(CD155,"_",CE155)</f>
        <v>big4_Mixed Traffic</v>
      </c>
      <c r="CG155" s="23" t="str">
        <f aca="false">_xlfn.CONCAT(K155, "_",L155)</f>
        <v>steam_RAIL</v>
      </c>
      <c r="CH155" s="7" t="str">
        <f aca="false">_xlfn.CONCAT("{BLACK}Length: {GOLD}", TEXT(ROUNDUP(IF(AS155&lt;&gt;"",SUM(VALUE(_xlfn.TEXTSPLIT(AS155, ","))), SUM(VALUE(_xlfn.TEXTSPLIT(AP155, ",")))*IF(P155, P155, 1))/16, 1), "#,##0.0"), " tiles{}")</f>
        <v>{BLACK}Length: {GOLD}0.9 tiles{}</v>
      </c>
      <c r="CI155" s="1" t="str">
        <f aca="false">IF(0, VLOOKUP($CG155, Constants!$M:$N, 2, FALSE()),"")</f>
        <v/>
      </c>
      <c r="CJ155" s="1" t="str">
        <f aca="false">IF(P155&gt;1,_xlfn.CONCAT("{BLACK}Cars: {GOLD}", P155),"")</f>
        <v/>
      </c>
      <c r="CK155" s="1" t="s">
        <v>549</v>
      </c>
      <c r="CL155" s="1" t="str">
        <f aca="false">IF($BX155="concept_trains","{GREEN}Concept Vehicle",IF($BX155="!param_no_gameplay_units","{GREEN}Included for gameplay purposes",""))</f>
        <v/>
      </c>
      <c r="CM155" s="1" t="str">
        <f aca="false">IF(CA155="buffet","{YELLOW}25% long distance bonus for consist{}",IF(CB155="DANDY","{YELLOW}Faster downhill speeds for horse-drawn trains (1 required per 2 horses){}",IF(CB155="BRAKE","{YELLOW}Speed bonus for slow wagons{}",IF(CB155="NGPassengers","{YELLOW}Preserved railway bonus: passengers pay more when hauled by old locomotives{}",IF(AND(BZ155&gt;190,NOT(AND(L155="NARROW_GAUGE",CB155&lt;&gt;"PASS"))),CONCATENATE("{YELLOW}",INT((BZ155-185)/1.85),"%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{GOLD}0.9 tiles{}{SILVER}LNER's B2 was a mixed traffic locomotive, the early examples of which were named after breeds of antelope, with 61018 "Gnu" having the record for shortest name given to a British locomotive. </v>
      </c>
    </row>
    <row r="156" customFormat="false" ht="14.25" hidden="false" customHeight="false" outlineLevel="0" collapsed="false">
      <c r="A156" s="1" t="s">
        <v>550</v>
      </c>
      <c r="B156" s="15" t="s">
        <v>551</v>
      </c>
      <c r="C156" s="1" t="n">
        <v>164</v>
      </c>
      <c r="E156" s="1" t="n">
        <v>98</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241</v>
      </c>
      <c r="J156" s="1" t="s">
        <v>249</v>
      </c>
      <c r="K156" s="1" t="s">
        <v>250</v>
      </c>
      <c r="L156" s="1" t="s">
        <v>192</v>
      </c>
      <c r="M156" s="1" t="n">
        <v>1943</v>
      </c>
      <c r="N156" s="1" t="n">
        <v>1964</v>
      </c>
      <c r="O156" s="1" t="n">
        <v>1967</v>
      </c>
      <c r="Q156" s="1" t="n">
        <v>500</v>
      </c>
      <c r="S156" s="3" t="n">
        <v>18</v>
      </c>
      <c r="T156" s="3" t="n">
        <v>26</v>
      </c>
      <c r="U156" s="3" t="n">
        <v>2</v>
      </c>
      <c r="V156" s="3" t="n">
        <v>170</v>
      </c>
      <c r="W156" s="18" t="n">
        <f aca="false">((($AE156/2)/60)*5280)/($X156*3.2*PI())</f>
        <v>94.2686970621226</v>
      </c>
      <c r="X156" s="3" t="n">
        <v>1.3</v>
      </c>
      <c r="Y156" s="3" t="n">
        <f aca="false">((($S156*$S156/4)*PI())*($T156/12)*$U156*$V156*$W156)/(33000*1.1)</f>
        <v>486.818181818182</v>
      </c>
      <c r="Z156" s="1" t="n">
        <v>49</v>
      </c>
      <c r="AC156" s="1" t="n">
        <v>106</v>
      </c>
      <c r="AD156" s="4" t="n">
        <f aca="false">IF(AND(Z156&gt;0,AC156&gt;0),(AC156/((Z156+AA156)*10)),"")</f>
        <v>0.216326530612245</v>
      </c>
      <c r="AE156" s="1" t="n">
        <v>28</v>
      </c>
      <c r="AF156" s="1" t="n">
        <f aca="false">ROUND(AE156*1.6, 0)</f>
        <v>45</v>
      </c>
      <c r="AH156" s="1" t="n">
        <v>9.25</v>
      </c>
      <c r="AI156" s="1" t="n">
        <v>9.25</v>
      </c>
      <c r="AL156" s="5" t="n">
        <v>0</v>
      </c>
      <c r="AM156" s="1" t="str">
        <f aca="false">CONCATENATE(VLOOKUP(AN156, 'Voxel Sizes'!$A$2:$B$18,2,FALSE()),"x",INT(AJ156*15), "x", INT(AK156*15))</f>
        <v>82x0x0</v>
      </c>
      <c r="AN156" s="1" t="n">
        <f aca="false">ROUND(15*((AI156*10)/256),0)</f>
        <v>5</v>
      </c>
      <c r="AP156" s="1" t="str">
        <f aca="false">CONCATENATE(VLOOKUP(AN156,Constants!$A$2:$C$16,IF(AO156&lt;&gt;"", 3, 2), FALSE()),IF(AO156&lt;&gt;"",CONCATENATE(",",VLOOKUP(AO156,$B:$AP,41,FALSE())),""))</f>
        <v>2,1,2</v>
      </c>
      <c r="AX156" s="1" t="n">
        <v>1</v>
      </c>
      <c r="AZ156" s="1" t="n">
        <v>23</v>
      </c>
      <c r="BA156" s="16" t="n">
        <f aca="false">IF(O156&lt;&gt;"",MAX(16,(O156-M156)+8),"")</f>
        <v>32</v>
      </c>
      <c r="BD156" s="1" t="n">
        <f aca="false">MIN(AE156/150, 1)*30</f>
        <v>5.6</v>
      </c>
      <c r="BE156" s="1" t="n">
        <f aca="false">MIN(Q156/4000, 1)*20</f>
        <v>2.5</v>
      </c>
      <c r="BF156" s="1" t="n">
        <f aca="false">MIN(AC156/400,1)*20</f>
        <v>5.3</v>
      </c>
      <c r="BG156" s="4" t="n">
        <f aca="false">1-(MAX(M156-1900, 0)/750)</f>
        <v>0.942666666666667</v>
      </c>
      <c r="BH156" s="1"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34</v>
      </c>
      <c r="BL156" s="1" t="n">
        <f aca="false">INT(POWER((((Constants!$G$1+$BD156+$BE156+$BF156+$BH156)*($BG156))*$BI156),IF($J156="wagon",1,1.2)))+$BB156</f>
        <v>61</v>
      </c>
      <c r="BM156" s="17" t="n">
        <f aca="false">BK156*IF($J156="wagon",62.5,781.25)</f>
        <v>26562.5</v>
      </c>
      <c r="BN156" s="17" t="n">
        <f aca="false">BL156*IF($J156="wagon",2.73,81.25)</f>
        <v>4956.25</v>
      </c>
      <c r="BU156" s="1" t="str">
        <f aca="false">IF(J156="locomotive","B","")</f>
        <v>B</v>
      </c>
      <c r="BV156" s="1" t="str">
        <f aca="false">IF($J156="locomotive","B","")</f>
        <v>B</v>
      </c>
      <c r="BY156" s="1" t="n">
        <v>10</v>
      </c>
      <c r="CD156" s="1" t="str">
        <f aca="false">VLOOKUP(M156,Eras!$A$2:$C$10, 2, TRUE())</f>
        <v>big4</v>
      </c>
      <c r="CE156" s="1" t="s">
        <v>356</v>
      </c>
      <c r="CF156" s="1" t="str">
        <f aca="false">CONCATENATE(CD156,"_",CE156)</f>
        <v>big4_Cheap</v>
      </c>
      <c r="CG156" s="1" t="str">
        <f aca="false">_xlfn.CONCAT(K156, "_",L156)</f>
        <v>steam_RAIL</v>
      </c>
      <c r="CH156" s="7" t="str">
        <f aca="false">_xlfn.CONCAT("{BLACK}Length: {GOLD}", TEXT(ROUNDUP(IF(AS156&lt;&gt;"",SUM(VALUE(_xlfn.TEXTSPLIT(AS156, ","))), SUM(VALUE(_xlfn.TEXTSPLIT(AP156, ",")))*IF(P156, P156, 1))/16, 1), "#,##0.0"), " tiles{}")</f>
        <v>{BLACK}Length: {GOLD}0.4 tiles{}</v>
      </c>
      <c r="CI156" s="1" t="str">
        <f aca="false">IF(0, VLOOKUP($CG156, Constants!$M:$N, 2, FALSE()),"")</f>
        <v/>
      </c>
      <c r="CJ156" s="1" t="str">
        <f aca="false">IF(P156&gt;1,_xlfn.CONCAT("{BLACK}Cars: {GOLD}", P156),"")</f>
        <v/>
      </c>
      <c r="CK156" s="1" t="s">
        <v>552</v>
      </c>
      <c r="CL156" s="1" t="str">
        <f aca="false">IF($BX156="concept_trains","{GREEN}Concept Vehicle",IF($BX156="!param_no_gameplay_units","{GREEN}Included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{GOLD}0.4 tiles{}{SILVER}Hunslet's Austerity was designed for shunting duties. It's powerful for its size with good adhesion, but does not run well at higher speeds.</v>
      </c>
    </row>
    <row r="157" customFormat="false" ht="14.25" hidden="false" customHeight="false" outlineLevel="0" collapsed="false">
      <c r="A157" s="1" t="s">
        <v>553</v>
      </c>
      <c r="B157" s="15" t="s">
        <v>554</v>
      </c>
      <c r="C157" s="1" t="n">
        <v>165</v>
      </c>
      <c r="E157" s="1" t="n">
        <v>99</v>
      </c>
      <c r="G157" s="1" t="str">
        <f aca="false">IF($F157&lt;&gt;"",_xlfn.CONCAT(VLOOKUP($CE157, Constants!$T:$U, 2, FALSE()),",",$F157),VLOOKUP($CE157, Constants!$T:$U, 2, FALSE()))</f>
        <v>role/freight</v>
      </c>
      <c r="H157" s="1" t="str">
        <f aca="false">IF($G157&lt;&gt;"",_xlfn.CONCAT(VLOOKUP($CG157, Constants!$M:$P, 4, FALSE()),",",$G157),VLOOKUP($CG157, Constants!$M:$P, 4, FALSE()))</f>
        <v>flag/GB,power/steam,role/freight</v>
      </c>
      <c r="I157" s="1" t="s">
        <v>241</v>
      </c>
      <c r="J157" s="1" t="s">
        <v>249</v>
      </c>
      <c r="K157" s="1" t="s">
        <v>250</v>
      </c>
      <c r="L157" s="1" t="s">
        <v>192</v>
      </c>
      <c r="M157" s="1" t="n">
        <v>1943</v>
      </c>
      <c r="N157" s="1" t="n">
        <v>1945</v>
      </c>
      <c r="O157" s="1" t="n">
        <v>1962</v>
      </c>
      <c r="Q157" s="1" t="n">
        <v>1200</v>
      </c>
      <c r="S157" s="3" t="n">
        <v>19</v>
      </c>
      <c r="T157" s="3" t="n">
        <v>28</v>
      </c>
      <c r="U157" s="3" t="n">
        <v>2</v>
      </c>
      <c r="V157" s="3" t="n">
        <v>225</v>
      </c>
      <c r="W157" s="18" t="n">
        <f aca="false">((($AE157/2)/60)*5280)/($X157*3.2*PI())</f>
        <v>212.585531129889</v>
      </c>
      <c r="X157" s="3" t="n">
        <v>1.4</v>
      </c>
      <c r="Y157" s="3" t="n">
        <f aca="false">((($S157*$S157/4)*PI())*($T157/12)*$U157*$V157*$W157)/(33000*1.1)</f>
        <v>1743.46590909091</v>
      </c>
      <c r="Z157" s="1" t="n">
        <v>71.4</v>
      </c>
      <c r="AA157" s="2" t="n">
        <v>56.4</v>
      </c>
      <c r="AC157" s="1" t="n">
        <v>152</v>
      </c>
      <c r="AD157" s="4" t="n">
        <f aca="false">IF(AND(Z157&gt;0,AC157&gt;0),(AC157/((Z157+AA157)*10)),"")</f>
        <v>0.118935837245696</v>
      </c>
      <c r="AE157" s="1" t="n">
        <v>68</v>
      </c>
      <c r="AF157" s="1" t="n">
        <f aca="false">ROUND(AE157*1.6, 0)</f>
        <v>109</v>
      </c>
      <c r="AH157" s="1" t="n">
        <v>19.35</v>
      </c>
      <c r="AI157" s="1" t="n">
        <v>11.7</v>
      </c>
      <c r="AL157" s="5" t="n">
        <v>0</v>
      </c>
      <c r="AM157" s="1" t="str">
        <f aca="false">CONCATENATE(VLOOKUP(AN157, 'Voxel Sizes'!$A$2:$B$18,2,FALSE()),"x",INT(AJ157*15), "x", INT(AK157*15))</f>
        <v>120x0x0</v>
      </c>
      <c r="AN157" s="1" t="n">
        <f aca="false">ROUND(15*((AI157*10)/256),0)</f>
        <v>7</v>
      </c>
      <c r="AO157" s="1" t="s">
        <v>236</v>
      </c>
      <c r="AP157" s="1" t="str">
        <f aca="false">CONCATENATE(VLOOKUP(AN157,Constants!$A$2:$C$16,IF(AO157&lt;&gt;"", 3, 2), FALSE()),IF(AO157&lt;&gt;"",CONCATENATE(",",VLOOKUP(AO157,$B:$AP,41,FALSE())),""))</f>
        <v>2,3,2,1,2,1</v>
      </c>
      <c r="AX157" s="1" t="n">
        <v>1</v>
      </c>
      <c r="AZ157" s="1" t="n">
        <v>26</v>
      </c>
      <c r="BA157" s="16" t="n">
        <f aca="false">IF(O157&lt;&gt;"",MAX(16,(O157-M157)+8),"")</f>
        <v>27</v>
      </c>
      <c r="BD157" s="1" t="n">
        <f aca="false">MIN(AE157/150, 1)*30</f>
        <v>13.6</v>
      </c>
      <c r="BE157" s="1" t="n">
        <f aca="false">MIN(Q157/4000, 1)*20</f>
        <v>6</v>
      </c>
      <c r="BF157" s="1" t="n">
        <f aca="false">MIN(AC157/400,1)*20</f>
        <v>7.6</v>
      </c>
      <c r="BG157" s="4" t="n">
        <f aca="false">1-(MAX(M157-1900, 0)/750)</f>
        <v>0.942666666666667</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62</v>
      </c>
      <c r="BL157" s="1" t="n">
        <f aca="false">INT(POWER((((Constants!$G$1+$BD157+$BE157+$BF157+$BH157)*($BG157))*$BI157),IF($J157="wagon",1,1.2)))+$BB157</f>
        <v>98</v>
      </c>
      <c r="BM157" s="17" t="n">
        <f aca="false">BK157*IF($J157="wagon",62.5,781.25)</f>
        <v>48437.5</v>
      </c>
      <c r="BN157" s="17" t="n">
        <f aca="false">BL157*IF($J157="wagon",2.73,81.25)</f>
        <v>7962.5</v>
      </c>
      <c r="BU157" s="1" t="str">
        <f aca="false">IF(J157="locomotive","B","")</f>
        <v>B</v>
      </c>
      <c r="BV157" s="1" t="str">
        <f aca="false">IF($J157="locomotive","B","")</f>
        <v>B</v>
      </c>
      <c r="BY157" s="1" t="n">
        <v>11</v>
      </c>
      <c r="CD157" s="1" t="str">
        <f aca="false">VLOOKUP(M157,Eras!$A$2:$C$10, 2, TRUE())</f>
        <v>big4</v>
      </c>
      <c r="CE157" s="1" t="s">
        <v>132</v>
      </c>
      <c r="CF157" s="1" t="str">
        <f aca="false">CONCATENATE(CD157,"_",CE157)</f>
        <v>big4_Freight</v>
      </c>
      <c r="CG157" s="1" t="str">
        <f aca="false">_xlfn.CONCAT(K157, "_",L157)</f>
        <v>steam_RAIL</v>
      </c>
      <c r="CH157" s="7" t="str">
        <f aca="false">_xlfn.CONCAT("{BLACK}Length: {GOLD}", TEXT(ROUNDUP(IF(AS157&lt;&gt;"",SUM(VALUE(_xlfn.TEXTSPLIT(AS157, ","))), SUM(VALUE(_xlfn.TEXTSPLIT(AP157, ",")))*IF(P157, P157, 1))/16, 1), "#,##0.0"), " tiles{}")</f>
        <v>{BLACK}Length: {GOLD}0.7 tiles{}</v>
      </c>
      <c r="CI157" s="1" t="str">
        <f aca="false">IF(0, VLOOKUP($CG157, Constants!$M:$N, 2, FALSE()),"")</f>
        <v/>
      </c>
      <c r="CJ157" s="1" t="str">
        <f aca="false">IF(P157&gt;1,_xlfn.CONCAT("{BLACK}Cars: {GOLD}", P157),"")</f>
        <v/>
      </c>
      <c r="CK157" s="1" t="s">
        <v>555</v>
      </c>
      <c r="CL157" s="1" t="str">
        <f aca="false">IF($BX157="concept_trains","{GREEN}Concept Vehicle",IF($BX157="!param_no_gameplay_units","{GREEN}Included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{GOLD}0.7 tiles{}{SILVER}Robert Riddles adapted the LMS 8F for low cost and simple construction, resulting in this "austerity" freight locomotive.</v>
      </c>
    </row>
    <row r="158" customFormat="false" ht="14.25" hidden="false" customHeight="false" outlineLevel="0" collapsed="false">
      <c r="A158" s="1" t="s">
        <v>556</v>
      </c>
      <c r="B158" s="15" t="s">
        <v>557</v>
      </c>
      <c r="C158" s="1" t="n">
        <v>166</v>
      </c>
      <c r="E158" s="1" t="n">
        <v>100</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241</v>
      </c>
      <c r="J158" s="1" t="s">
        <v>249</v>
      </c>
      <c r="K158" s="1" t="s">
        <v>250</v>
      </c>
      <c r="L158" s="1" t="s">
        <v>192</v>
      </c>
      <c r="M158" s="1" t="n">
        <v>1944</v>
      </c>
      <c r="N158" s="1" t="n">
        <v>1950</v>
      </c>
      <c r="O158" s="1" t="n">
        <v>1965</v>
      </c>
      <c r="Q158" s="1" t="n">
        <v>1700</v>
      </c>
      <c r="S158" s="3" t="n">
        <v>18.5</v>
      </c>
      <c r="T158" s="3" t="n">
        <v>30</v>
      </c>
      <c r="U158" s="3" t="n">
        <v>2</v>
      </c>
      <c r="V158" s="3" t="n">
        <v>225</v>
      </c>
      <c r="W158" s="18" t="n">
        <f aca="false">((($AE158/2)/60)*5280)/($X158*3.2*PI())</f>
        <v>206.680377487392</v>
      </c>
      <c r="X158" s="3" t="n">
        <v>1.8</v>
      </c>
      <c r="Y158" s="3" t="n">
        <f aca="false">((($S158*$S158/4)*PI())*($T158/12)*$U158*$V158*$W158)/(33000*1.1)</f>
        <v>1721.78326231061</v>
      </c>
      <c r="Z158" s="1" t="n">
        <v>77</v>
      </c>
      <c r="AA158" s="2" t="n">
        <v>48</v>
      </c>
      <c r="AC158" s="1" t="n">
        <v>121</v>
      </c>
      <c r="AD158" s="4" t="n">
        <f aca="false">IF(AND(Z158&gt;0,AC158&gt;0),(AC158/((Z158+AA158)*10)),"")</f>
        <v>0.0968</v>
      </c>
      <c r="AE158" s="1" t="n">
        <v>85</v>
      </c>
      <c r="AF158" s="1" t="n">
        <f aca="false">ROUND(AE158*1.6, 0)</f>
        <v>136</v>
      </c>
      <c r="AH158" s="1" t="n">
        <v>19.2</v>
      </c>
      <c r="AI158" s="1" t="n">
        <v>11.7</v>
      </c>
      <c r="AK158" s="1" t="n">
        <v>4.01</v>
      </c>
      <c r="AL158" s="5" t="n">
        <v>0</v>
      </c>
      <c r="AM158" s="1" t="str">
        <f aca="false">CONCATENATE(VLOOKUP(AN158, 'Voxel Sizes'!$A$2:$B$18,2,FALSE()),"x",INT(AJ158*15), "x", INT(AK158*15))</f>
        <v>120x0x60</v>
      </c>
      <c r="AN158" s="1" t="n">
        <f aca="false">ROUND(15*((AI158*10)/256),0)</f>
        <v>7</v>
      </c>
      <c r="AO158" s="1" t="s">
        <v>191</v>
      </c>
      <c r="AP158" s="1" t="str">
        <f aca="false">CONCATENATE(VLOOKUP(AN158,Constants!$A$2:$C$16,IF(AO158&lt;&gt;"", 3, 2), FALSE()),IF(AO158&lt;&gt;"",CONCATENATE(",",VLOOKUP(AO158,$B:$AP,41,FALSE())),""))</f>
        <v>2,3,2,2,1,2</v>
      </c>
      <c r="AW158" s="1" t="s">
        <v>491</v>
      </c>
      <c r="AX158" s="1" t="n">
        <v>1</v>
      </c>
      <c r="AZ158" s="1" t="n">
        <v>31</v>
      </c>
      <c r="BA158" s="16" t="n">
        <f aca="false">IF(O158&lt;&gt;"",MAX(16,(O158-M158)+8),"")</f>
        <v>29</v>
      </c>
      <c r="BD158" s="1" t="n">
        <f aca="false">MIN(AE158/150, 1)*30</f>
        <v>17</v>
      </c>
      <c r="BE158" s="1" t="n">
        <f aca="false">MIN(Q158/4000, 1)*20</f>
        <v>8.5</v>
      </c>
      <c r="BF158" s="1" t="n">
        <f aca="false">MIN(AC158/400,1)*20</f>
        <v>6.05</v>
      </c>
      <c r="BG158" s="4" t="n">
        <f aca="false">1-(MAX(M158-1900, 0)/750)</f>
        <v>0.941333333333333</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71</v>
      </c>
      <c r="BL158" s="1" t="n">
        <f aca="false">INT(POWER((((Constants!$G$1+$BD158+$BE158+$BF158+$BH158)*($BG158))*$BI158),IF($J158="wagon",1,1.2)))+$BB158</f>
        <v>110</v>
      </c>
      <c r="BM158" s="17" t="n">
        <f aca="false">BK158*IF($J158="wagon",62.5,781.25)</f>
        <v>55468.75</v>
      </c>
      <c r="BN158" s="17" t="n">
        <f aca="false">BL158*IF($J158="wagon",2.73,81.25)</f>
        <v>8937.5</v>
      </c>
      <c r="BU158" s="1" t="str">
        <f aca="false">IF(J158="locomotive","B","")</f>
        <v>B</v>
      </c>
      <c r="BV158" s="1" t="str">
        <f aca="false">IF($J158="locomotive","B","")</f>
        <v>B</v>
      </c>
      <c r="BY158" s="1" t="n">
        <v>12</v>
      </c>
      <c r="CD158" s="1" t="str">
        <f aca="false">VLOOKUP(M158,Eras!$A$2:$C$10, 2, TRUE())</f>
        <v>big4</v>
      </c>
      <c r="CE158" s="1" t="s">
        <v>129</v>
      </c>
      <c r="CF158" s="1" t="str">
        <f aca="false">CONCATENATE(CD158,"_",CE158)</f>
        <v>big4_Mixed Traffic</v>
      </c>
      <c r="CG158" s="1" t="str">
        <f aca="false">_xlfn.CONCAT(K158, "_",L158)</f>
        <v>steam_RAIL</v>
      </c>
      <c r="CH158" s="7" t="str">
        <f aca="false">_xlfn.CONCAT("{BLACK}Length: {GOLD}", TEXT(ROUNDUP(IF(AS158&lt;&gt;"",SUM(VALUE(_xlfn.TEXTSPLIT(AS158, ","))), SUM(VALUE(_xlfn.TEXTSPLIT(AP158, ",")))*IF(P158, P158, 1))/16, 1), "#,##0.0"), " tiles{}")</f>
        <v>{BLACK}Length: {GOLD}0.8 tiles{}</v>
      </c>
      <c r="CI158" s="1" t="str">
        <f aca="false">IF(0, VLOOKUP($CG158, Constants!$M:$N, 2, FALSE()),"")</f>
        <v/>
      </c>
      <c r="CJ158" s="1" t="str">
        <f aca="false">IF(P158&gt;1,_xlfn.CONCAT("{BLACK}Cars: {GOLD}", P158),"")</f>
        <v/>
      </c>
      <c r="CK158" s="1" t="s">
        <v>558</v>
      </c>
      <c r="CL158" s="1" t="str">
        <f aca="false">IF($BX158="concept_trains","{GREEN}Concept Vehicle",IF($BX158="!param_no_gameplay_units","{GREEN}Included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{GOLD}0.8 tiles{}{SILVER}While externally identical to the original Hall class, the Modified Hall was completely new on the inside with many design innovations.</v>
      </c>
    </row>
    <row r="159" customFormat="false" ht="14.25" hidden="false" customHeight="false" outlineLevel="0" collapsed="false">
      <c r="A159" s="1" t="s">
        <v>559</v>
      </c>
      <c r="B159" s="15" t="s">
        <v>560</v>
      </c>
      <c r="C159" s="1" t="n">
        <v>167</v>
      </c>
      <c r="E159" s="1" t="n">
        <v>101</v>
      </c>
      <c r="G159" s="1" t="str">
        <f aca="false">IF($F159&lt;&gt;"",_xlfn.CONCAT(VLOOKUP($CE159, Constants!$T:$U, 2, FALSE()),",",$F159),VLOOKUP($CE159, Constants!$T:$U, 2, FALSE()))</f>
        <v>role/express_passenger</v>
      </c>
      <c r="H159" s="1" t="str">
        <f aca="false">IF($G159&lt;&gt;"",_xlfn.CONCAT(VLOOKUP($CG159, Constants!$M:$P, 4, FALSE()),",",$G159),VLOOKUP($CG159, Constants!$M:$P, 4, FALSE()))</f>
        <v>flag/GB,power/steam,role/express_passenger</v>
      </c>
      <c r="I159" s="1" t="s">
        <v>241</v>
      </c>
      <c r="J159" s="1" t="s">
        <v>249</v>
      </c>
      <c r="K159" s="1" t="s">
        <v>250</v>
      </c>
      <c r="L159" s="1" t="s">
        <v>192</v>
      </c>
      <c r="M159" s="1" t="n">
        <v>1945</v>
      </c>
      <c r="N159" s="1" t="n">
        <v>1947</v>
      </c>
      <c r="O159" s="1" t="n">
        <v>1964</v>
      </c>
      <c r="Q159" s="1" t="n">
        <v>2200</v>
      </c>
      <c r="S159" s="3" t="n">
        <v>18.5</v>
      </c>
      <c r="T159" s="3" t="n">
        <v>30</v>
      </c>
      <c r="U159" s="3" t="n">
        <v>2</v>
      </c>
      <c r="V159" s="3" t="n">
        <v>280</v>
      </c>
      <c r="W159" s="18" t="n">
        <f aca="false">((($AE159/2)/60)*5280)/($X159*3.2*PI())</f>
        <v>230.355838685638</v>
      </c>
      <c r="X159" s="3" t="n">
        <v>1.9</v>
      </c>
      <c r="Y159" s="3" t="n">
        <f aca="false">((($S159*$S159/4)*PI())*($T159/12)*$U159*$V159*$W159)/(33000*1.1)</f>
        <v>2388.10805422648</v>
      </c>
      <c r="Z159" s="1" t="n">
        <v>78.1</v>
      </c>
      <c r="AA159" s="2" t="n">
        <v>49.8</v>
      </c>
      <c r="AC159" s="1" t="n">
        <v>145</v>
      </c>
      <c r="AD159" s="4" t="n">
        <f aca="false">IF(AND(Z159&gt;0,AC159&gt;0),(AC159/((Z159+AA159)*10)),"")</f>
        <v>0.113369820172009</v>
      </c>
      <c r="AE159" s="1" t="n">
        <v>100</v>
      </c>
      <c r="AF159" s="1" t="n">
        <f aca="false">ROUND(AE159*1.6, 0)</f>
        <v>160</v>
      </c>
      <c r="AH159" s="1" t="n">
        <v>19.21</v>
      </c>
      <c r="AI159" s="1" t="n">
        <v>11.7</v>
      </c>
      <c r="AK159" s="1" t="n">
        <v>4.08</v>
      </c>
      <c r="AL159" s="5" t="n">
        <v>0</v>
      </c>
      <c r="AM159" s="1" t="str">
        <f aca="false">CONCATENATE(VLOOKUP(AN159, 'Voxel Sizes'!$A$2:$B$18,2,FALSE()),"x",INT(AJ159*15), "x", INT(AK159*15))</f>
        <v>120x0x61</v>
      </c>
      <c r="AN159" s="1" t="n">
        <f aca="false">ROUND(15*((AI159*10)/256),0)</f>
        <v>7</v>
      </c>
      <c r="AO159" s="1" t="s">
        <v>191</v>
      </c>
      <c r="AP159" s="1" t="str">
        <f aca="false">CONCATENATE(VLOOKUP(AN159,Constants!$A$2:$C$16,IF(AO159&lt;&gt;"", 3, 2), FALSE()),IF(AO159&lt;&gt;"",CONCATENATE(",",VLOOKUP(AO159,$B:$AP,41,FALSE())),""))</f>
        <v>2,3,2,2,1,2</v>
      </c>
      <c r="AX159" s="1" t="n">
        <v>1</v>
      </c>
      <c r="AZ159" s="1" t="n">
        <v>30</v>
      </c>
      <c r="BA159" s="16" t="n">
        <f aca="false">IF(O159&lt;&gt;"",MAX(16,(O159-M159)+8),"")</f>
        <v>27</v>
      </c>
      <c r="BD159" s="1" t="n">
        <f aca="false">MIN(AE159/150, 1)*30</f>
        <v>20</v>
      </c>
      <c r="BE159" s="1" t="n">
        <f aca="false">MIN(Q159/4000, 1)*20</f>
        <v>11</v>
      </c>
      <c r="BF159" s="1" t="n">
        <f aca="false">MIN(AC159/400,1)*20</f>
        <v>7.25</v>
      </c>
      <c r="BG159" s="4" t="n">
        <f aca="false">1-(MAX(M159-1900, 0)/750)</f>
        <v>0.94</v>
      </c>
      <c r="BH159" s="1" t="n">
        <f aca="false">((MAX($P159,1)*MIN($AL159/300,1)))*IF(J159="Wagon",50,10)</f>
        <v>0</v>
      </c>
      <c r="BI159" s="1" t="n">
        <f aca="false">VLOOKUP($K159,Constants!$I:$K, 2, FALSE())</f>
        <v>1.15</v>
      </c>
      <c r="BJ159" s="1" t="n">
        <f aca="false">VLOOKUP($K159,Constants!$I:$K, 3, FALSE())*IF(AND(J159="multiple_unit",AE159&lt;110),0.75,1)</f>
        <v>1.7</v>
      </c>
      <c r="BK159" s="1" t="n">
        <f aca="false">INT(POWER(((Constants!$G$2+$BD159+$BE159+$BF159+$BH159)*$BG159)*$BJ159, 1.05))+$BC159</f>
        <v>85</v>
      </c>
      <c r="BL159" s="1" t="n">
        <f aca="false">INT(POWER((((Constants!$G$1+$BD159+$BE159+$BF159+$BH159)*($BG159))*$BI159),IF($J159="wagon",1,1.2)))+$BB159</f>
        <v>129</v>
      </c>
      <c r="BM159" s="17" t="n">
        <f aca="false">BK159*IF($J159="wagon",62.5,781.25)</f>
        <v>66406.25</v>
      </c>
      <c r="BN159" s="17" t="n">
        <f aca="false">BL159*IF($J159="wagon",2.73,81.25)</f>
        <v>10481.25</v>
      </c>
      <c r="BU159" s="1" t="str">
        <f aca="false">IF(J159="locomotive","B","")</f>
        <v>B</v>
      </c>
      <c r="BV159" s="1" t="str">
        <f aca="false">IF($J159="locomotive","B","")</f>
        <v>B</v>
      </c>
      <c r="BY159" s="1" t="n">
        <v>1</v>
      </c>
      <c r="CD159" s="1" t="str">
        <f aca="false">VLOOKUP(M159,Eras!$A$2:$C$10, 2, TRUE())</f>
        <v>big4</v>
      </c>
      <c r="CE159" s="1" t="s">
        <v>282</v>
      </c>
      <c r="CF159" s="1" t="str">
        <f aca="false">CONCATENATE(CD159,"_",CE159)</f>
        <v>big4_Express</v>
      </c>
      <c r="CG159" s="1" t="str">
        <f aca="false">_xlfn.CONCAT(K159, "_",L159)</f>
        <v>steam_RAIL</v>
      </c>
      <c r="CH159" s="7" t="str">
        <f aca="false">_xlfn.CONCAT("{BLACK}Length: {GOLD}", TEXT(ROUNDUP(IF(AS159&lt;&gt;"",SUM(VALUE(_xlfn.TEXTSPLIT(AS159, ","))), SUM(VALUE(_xlfn.TEXTSPLIT(AP159, ",")))*IF(P159, P159, 1))/16, 1), "#,##0.0"), " tiles{}")</f>
        <v>{BLACK}Length: {GOLD}0.8 tiles{}</v>
      </c>
      <c r="CI159" s="1" t="str">
        <f aca="false">IF(0, VLOOKUP($CG159, Constants!$M:$N, 2, FALSE()),"")</f>
        <v/>
      </c>
      <c r="CJ159" s="1" t="str">
        <f aca="false">IF(P159&gt;1,_xlfn.CONCAT("{BLACK}Cars: {GOLD}", P159),"")</f>
        <v/>
      </c>
      <c r="CK159" s="1" t="s">
        <v>561</v>
      </c>
      <c r="CL159" s="1" t="str">
        <f aca="false">IF($BX159="concept_trains","{GREEN}Concept Vehicle",IF($BX159="!param_no_gameplay_units","{GREEN}Included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County Class was  Frederick Hawksworth's test of design ideas for a new Pacific. Sadly there was not enough demand for express steam locomotives in the late 1940s.</v>
      </c>
    </row>
    <row r="160" customFormat="false" ht="14.25" hidden="false" customHeight="false" outlineLevel="0" collapsed="false">
      <c r="A160" s="1" t="s">
        <v>562</v>
      </c>
      <c r="B160" s="15" t="s">
        <v>563</v>
      </c>
      <c r="C160" s="1" t="n">
        <v>168</v>
      </c>
      <c r="E160" s="1" t="n">
        <v>102</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241</v>
      </c>
      <c r="J160" s="1" t="s">
        <v>249</v>
      </c>
      <c r="K160" s="1" t="s">
        <v>250</v>
      </c>
      <c r="L160" s="1" t="s">
        <v>192</v>
      </c>
      <c r="M160" s="1" t="n">
        <v>1945</v>
      </c>
      <c r="N160" s="1" t="n">
        <v>1951</v>
      </c>
      <c r="O160" s="1" t="n">
        <v>1967</v>
      </c>
      <c r="Q160" s="1" t="n">
        <v>1800</v>
      </c>
      <c r="S160" s="3" t="n">
        <v>16.375</v>
      </c>
      <c r="T160" s="3" t="n">
        <v>24</v>
      </c>
      <c r="U160" s="3" t="n">
        <v>3</v>
      </c>
      <c r="V160" s="3" t="n">
        <v>280</v>
      </c>
      <c r="W160" s="18" t="n">
        <f aca="false">((($AE160/2)/60)*5280)/($X160*3.2*PI())</f>
        <v>234.962955459351</v>
      </c>
      <c r="X160" s="3" t="n">
        <v>1.9</v>
      </c>
      <c r="Y160" s="3" t="n">
        <f aca="false">((($S160*$S160/4)*PI())*($T160/12)*$U160*$V160*$W160)/(33000*1.1)</f>
        <v>2290.10055322967</v>
      </c>
      <c r="Z160" s="1" t="n">
        <v>87.4</v>
      </c>
      <c r="AA160" s="2" t="n">
        <v>48</v>
      </c>
      <c r="AC160" s="1" t="n">
        <v>138</v>
      </c>
      <c r="AD160" s="4" t="n">
        <f aca="false">IF(AND(Z160&gt;0,AC160&gt;0),(AC160/((Z160+AA160)*10)),"")</f>
        <v>0.10192023633678</v>
      </c>
      <c r="AE160" s="1" t="n">
        <v>102</v>
      </c>
      <c r="AF160" s="1" t="n">
        <f aca="false">ROUND(AE160*1.6, 0)</f>
        <v>163</v>
      </c>
      <c r="AH160" s="1" t="n">
        <v>20.54</v>
      </c>
      <c r="AI160" s="1" t="n">
        <v>13</v>
      </c>
      <c r="AL160" s="5" t="n">
        <v>0</v>
      </c>
      <c r="AM160" s="1" t="str">
        <f aca="false">CONCATENATE(VLOOKUP(AN160, 'Voxel Sizes'!$A$2:$B$18,2,FALSE()),"x",INT(AJ160*15), "x", INT(AK160*15))</f>
        <v>136x0x0</v>
      </c>
      <c r="AN160" s="1" t="n">
        <f aca="false">ROUND(15*((AI160*10)/256),0)</f>
        <v>8</v>
      </c>
      <c r="AO160" s="1" t="s">
        <v>232</v>
      </c>
      <c r="AP160" s="1" t="str">
        <f aca="false">CONCATENATE(VLOOKUP(AN160,Constants!$A$2:$C$16,IF(AO160&lt;&gt;"", 3, 2), FALSE()),IF(AO160&lt;&gt;"",CONCATENATE(",",VLOOKUP(AO160,$B:$AP,41,FALSE())),""))</f>
        <v>2,4,2,2,1,2</v>
      </c>
      <c r="AX160" s="1" t="n">
        <v>1</v>
      </c>
      <c r="AZ160" s="1" t="n">
        <v>30</v>
      </c>
      <c r="BA160" s="16" t="n">
        <f aca="false">IF(O160&lt;&gt;"",MAX(16,(O160-M160)+8),"")</f>
        <v>30</v>
      </c>
      <c r="BD160" s="1" t="n">
        <f aca="false">MIN(AE160/150, 1)*30</f>
        <v>20.4</v>
      </c>
      <c r="BE160" s="1" t="n">
        <f aca="false">MIN(Q160/4000, 1)*20</f>
        <v>9</v>
      </c>
      <c r="BF160" s="1" t="n">
        <f aca="false">MIN(AC160/400,1)*20</f>
        <v>6.9</v>
      </c>
      <c r="BG160" s="4" t="n">
        <f aca="false">1-(MAX(M160-1900, 0)/750)</f>
        <v>0.94</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81</v>
      </c>
      <c r="BL160" s="1" t="n">
        <f aca="false">INT(POWER((((Constants!$G$1+$BD160+$BE160+$BF160+$BH160)*($BG160))*$BI160),IF($J160="wagon",1,1.2)))+$BB160</f>
        <v>123</v>
      </c>
      <c r="BM160" s="17" t="n">
        <f aca="false">BK160*IF($J160="wagon",62.5,781.25)</f>
        <v>63281.25</v>
      </c>
      <c r="BN160" s="17" t="n">
        <f aca="false">BL160*IF($J160="wagon",2.73,81.25)</f>
        <v>9993.75</v>
      </c>
      <c r="BU160" s="1" t="str">
        <f aca="false">IF(J160="locomotive","B","")</f>
        <v>B</v>
      </c>
      <c r="BV160" s="1" t="str">
        <f aca="false">IF($J160="locomotive","B","")</f>
        <v>B</v>
      </c>
      <c r="BY160" s="1" t="n">
        <v>2</v>
      </c>
      <c r="CD160" s="1" t="str">
        <f aca="false">VLOOKUP(M160,Eras!$A$2:$C$10, 2, TRUE())</f>
        <v>big4</v>
      </c>
      <c r="CE160" s="1" t="s">
        <v>129</v>
      </c>
      <c r="CF160" s="1" t="str">
        <f aca="false">CONCATENATE(CD160,"_",CE160)</f>
        <v>big4_Mixed Traffic</v>
      </c>
      <c r="CG160" s="1" t="str">
        <f aca="false">_xlfn.CONCAT(K160, "_",L160)</f>
        <v>steam_RAIL</v>
      </c>
      <c r="CH160" s="7" t="str">
        <f aca="false">_xlfn.CONCAT("{BLACK}Length: {GOLD}", TEXT(ROUNDUP(IF(AS160&lt;&gt;"",SUM(VALUE(_xlfn.TEXTSPLIT(AS160, ","))), SUM(VALUE(_xlfn.TEXTSPLIT(AP160, ",")))*IF(P160, P160, 1))/16, 1), "#,##0.0"), " tiles{}")</f>
        <v>{BLACK}Length: {GOLD}0.9 tiles{}</v>
      </c>
      <c r="CI160" s="1" t="str">
        <f aca="false">IF(0, VLOOKUP($CG160, Constants!$M:$N, 2, FALSE()),"")</f>
        <v/>
      </c>
      <c r="CJ160" s="1" t="str">
        <f aca="false">IF(P160&gt;1,_xlfn.CONCAT("{BLACK}Cars: {GOLD}", P160),"")</f>
        <v/>
      </c>
      <c r="CK160" s="1" t="s">
        <v>564</v>
      </c>
      <c r="CL160" s="1" t="str">
        <f aca="false">IF($BX160="concept_trains","{GREEN}Concept Vehicle",IF($BX160="!param_no_gameplay_units","{GREEN}Included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{GOLD}0.9 tiles{}{SILVER}Bulleid's "Light Pacific" is a smaller and lighter version of the Merchant Navy, capable of operating on more routes.</v>
      </c>
    </row>
    <row r="161" customFormat="false" ht="14.25" hidden="false" customHeight="false" outlineLevel="0" collapsed="false">
      <c r="A161" s="1" t="s">
        <v>565</v>
      </c>
      <c r="B161" s="15" t="s">
        <v>566</v>
      </c>
      <c r="C161" s="1" t="n">
        <v>169</v>
      </c>
      <c r="E161" s="1" t="n">
        <v>103</v>
      </c>
      <c r="G161" s="1" t="str">
        <f aca="false">IF($F161&lt;&gt;"",_xlfn.CONCAT(VLOOKUP($CE161, Constants!$T:$U, 2, FALSE()),",",$F161),VLOOKUP($CE161, Constants!$T:$U, 2, FALSE()))</f>
        <v>role/mixed</v>
      </c>
      <c r="H161" s="1" t="str">
        <f aca="false">IF($G161&lt;&gt;"",_xlfn.CONCAT(VLOOKUP($CG161, Constants!$M:$P, 4, FALSE()),",",$G161),VLOOKUP($CG161, Constants!$M:$P, 4, FALSE()))</f>
        <v>flag/GB,power/steam,role/mixed</v>
      </c>
      <c r="I161" s="1" t="s">
        <v>241</v>
      </c>
      <c r="J161" s="1" t="s">
        <v>249</v>
      </c>
      <c r="K161" s="1" t="s">
        <v>250</v>
      </c>
      <c r="L161" s="1" t="s">
        <v>192</v>
      </c>
      <c r="M161" s="1" t="n">
        <v>1946</v>
      </c>
      <c r="N161" s="1" t="n">
        <v>1949</v>
      </c>
      <c r="O161" s="1" t="n">
        <v>1951</v>
      </c>
      <c r="Q161" s="1" t="n">
        <v>1800</v>
      </c>
      <c r="S161" s="3" t="n">
        <v>12.25</v>
      </c>
      <c r="T161" s="3" t="n">
        <v>15</v>
      </c>
      <c r="U161" s="3" t="n">
        <v>6</v>
      </c>
      <c r="V161" s="3" t="n">
        <v>280</v>
      </c>
      <c r="W161" s="18" t="n">
        <f aca="false">((($AE161/2)/60)*5280)/($X161*3.2*PI())</f>
        <v>262.605656101627</v>
      </c>
      <c r="X161" s="3" t="n">
        <v>1.5</v>
      </c>
      <c r="Y161" s="3" t="n">
        <f aca="false">((($S161*$S161/4)*PI())*($T161/12)*$U161*$V161*$W161)/(33000*1.1)</f>
        <v>1790.51846590909</v>
      </c>
      <c r="Z161" s="1" t="n">
        <v>152</v>
      </c>
      <c r="AC161" s="1" t="n">
        <v>117</v>
      </c>
      <c r="AD161" s="4" t="n">
        <f aca="false">IF(AND(Z161&gt;0,AC161&gt;0),(AC161/((Z161+AA161)*10)),"")</f>
        <v>0.0769736842105263</v>
      </c>
      <c r="AE161" s="1" t="n">
        <v>90</v>
      </c>
      <c r="AF161" s="1" t="n">
        <f aca="false">ROUND(AE161*1.6, 0)</f>
        <v>144</v>
      </c>
      <c r="AH161" s="1" t="n">
        <v>20.42</v>
      </c>
      <c r="AI161" s="1" t="n">
        <v>20.42</v>
      </c>
      <c r="AL161" s="5" t="n">
        <v>0</v>
      </c>
      <c r="AM161" s="1" t="str">
        <f aca="false">CONCATENATE(VLOOKUP(AN161, 'Voxel Sizes'!$A$2:$B$18,2,FALSE()),"x",INT(AJ161*15), "x", INT(AK161*15))</f>
        <v>198x0x0</v>
      </c>
      <c r="AN161" s="1" t="n">
        <f aca="false">ROUND(15*((AI161*10)/256),0)</f>
        <v>12</v>
      </c>
      <c r="AP161" s="1" t="str">
        <f aca="false">CONCATENATE(VLOOKUP(AN161,Constants!$A$2:$C$16,IF(AO161&lt;&gt;"", 3, 2), FALSE()),IF(AO161&lt;&gt;"",CONCATENATE(",",VLOOKUP(AO161,$B:$AP,41,FALSE())),""))</f>
        <v>4,4,4</v>
      </c>
      <c r="AZ161" s="1" t="n">
        <v>19</v>
      </c>
      <c r="BA161" s="16" t="n">
        <f aca="false">IF(O161&lt;&gt;"",MAX(16,(O161-M161)+8),"")</f>
        <v>16</v>
      </c>
      <c r="BD161" s="1" t="n">
        <f aca="false">MIN(AE161/150, 1)*30</f>
        <v>18</v>
      </c>
      <c r="BE161" s="1" t="n">
        <f aca="false">MIN(Q161/4000, 1)*20</f>
        <v>9</v>
      </c>
      <c r="BF161" s="1" t="n">
        <f aca="false">MIN(AC161/400,1)*20</f>
        <v>5.85</v>
      </c>
      <c r="BG161" s="4" t="n">
        <f aca="false">1-(MAX(M161-1900, 0)/750)</f>
        <v>0.938666666666667</v>
      </c>
      <c r="BH161" s="1" t="n">
        <f aca="false">((MAX($P161,1)*MIN($AL161/300,1)))*IF(J161="Wagon",50,10)</f>
        <v>0</v>
      </c>
      <c r="BI161" s="1" t="n">
        <f aca="false">VLOOKUP($K161,Constants!$I:$K, 2, FALSE())</f>
        <v>1.15</v>
      </c>
      <c r="BJ161" s="1" t="n">
        <f aca="false">VLOOKUP($K161,Constants!$I:$K, 3, FALSE())*IF(AND(J161="multiple_unit",AE161&lt;110),0.75,1)</f>
        <v>1.7</v>
      </c>
      <c r="BK161" s="1" t="n">
        <f aca="false">INT(POWER(((Constants!$G$2+$BD161+$BE161+$BF161+$BH161)*$BG161)*$BJ161, 1.05))+$BC161</f>
        <v>74</v>
      </c>
      <c r="BL161" s="1" t="n">
        <f aca="false">INT(POWER((((Constants!$G$1+$BD161+$BE161+$BF161+$BH161)*($BG161))*$BI161),IF($J161="wagon",1,1.2)))+$BB161</f>
        <v>113</v>
      </c>
      <c r="BM161" s="17" t="n">
        <f aca="false">BK161*IF($J161="wagon",62.5,781.25)</f>
        <v>57812.5</v>
      </c>
      <c r="BN161" s="17" t="n">
        <f aca="false">BL161*IF($J161="wagon",2.73,81.25)</f>
        <v>9181.25</v>
      </c>
      <c r="BU161" s="1" t="str">
        <f aca="false">IF(J161="locomotive","B","")</f>
        <v>B</v>
      </c>
      <c r="BV161" s="1" t="str">
        <f aca="false">IF($J161="locomotive","B","")</f>
        <v>B</v>
      </c>
      <c r="BY161" s="1" t="n">
        <v>3</v>
      </c>
      <c r="CD161" s="1" t="str">
        <f aca="false">VLOOKUP(M161,Eras!$A$2:$C$10, 2, TRUE())</f>
        <v>big4</v>
      </c>
      <c r="CE161" s="1" t="s">
        <v>129</v>
      </c>
      <c r="CF161" s="1" t="str">
        <f aca="false">CONCATENATE(CD161,"_",CE161)</f>
        <v>big4_Mixed Traffic</v>
      </c>
      <c r="CG161" s="1" t="str">
        <f aca="false">_xlfn.CONCAT(K161, "_",L161)</f>
        <v>steam_RAIL</v>
      </c>
      <c r="CH161" s="7" t="str">
        <f aca="false">_xlfn.CONCAT("{BLACK}Length: {GOLD}", TEXT(ROUNDUP(IF(AS161&lt;&gt;"",SUM(VALUE(_xlfn.TEXTSPLIT(AS161, ","))), SUM(VALUE(_xlfn.TEXTSPLIT(AP161, ",")))*IF(P161, P161, 1))/16, 1), "#,##0.0"), " tiles{}")</f>
        <v>{BLACK}Length: {GOLD}0.8 tiles{}</v>
      </c>
      <c r="CI161" s="1" t="str">
        <f aca="false">IF(0, VLOOKUP($CG161, Constants!$M:$N, 2, FALSE()),"")</f>
        <v/>
      </c>
      <c r="CJ161" s="1" t="str">
        <f aca="false">IF(P161&gt;1,_xlfn.CONCAT("{BLACK}Cars: {GOLD}", P161),"")</f>
        <v/>
      </c>
      <c r="CK161" s="1" t="s">
        <v>567</v>
      </c>
      <c r="CL161" s="1" t="str">
        <f aca="false">IF($BX161="concept_trains","{GREEN}Concept Vehicle",IF($BX161="!param_no_gameplay_units","{GREEN}Included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{GOLD}0.8 tiles{}{SILVER}The Leader was an attempt to make a steam locomotive as easy to operate as a diesel or electric. Complexity, poor reliability and uncomfortably hot cabs caused the project to be scrapped by 1951.</v>
      </c>
    </row>
    <row r="162" customFormat="false" ht="14.25" hidden="false" customHeight="false" outlineLevel="0" collapsed="false">
      <c r="A162" s="1" t="s">
        <v>568</v>
      </c>
      <c r="B162" s="15" t="s">
        <v>569</v>
      </c>
      <c r="C162" s="1" t="n">
        <v>170</v>
      </c>
      <c r="E162" s="1" t="n">
        <v>104</v>
      </c>
      <c r="G162" s="1" t="str">
        <f aca="false">IF($F162&lt;&gt;"",_xlfn.CONCAT(VLOOKUP($CE162, Constants!$T:$U, 2, FALSE()),",",$F162),VLOOKUP($CE162, Constants!$T:$U, 2, FALSE()))</f>
        <v>role/mixed</v>
      </c>
      <c r="H162" s="1" t="str">
        <f aca="false">IF($G162&lt;&gt;"",_xlfn.CONCAT(VLOOKUP($CG162, Constants!$M:$P, 4, FALSE()),",",$G162),VLOOKUP($CG162, Constants!$M:$P, 4, FALSE()))</f>
        <v>flag/GB,power/steam,role/mixed</v>
      </c>
      <c r="I162" s="1" t="s">
        <v>241</v>
      </c>
      <c r="J162" s="1" t="s">
        <v>249</v>
      </c>
      <c r="K162" s="1" t="s">
        <v>250</v>
      </c>
      <c r="L162" s="1" t="s">
        <v>192</v>
      </c>
      <c r="M162" s="1" t="n">
        <v>1946</v>
      </c>
      <c r="N162" s="1" t="n">
        <v>1953</v>
      </c>
      <c r="O162" s="1" t="n">
        <v>1967</v>
      </c>
      <c r="Q162" s="1" t="n">
        <v>1000</v>
      </c>
      <c r="S162" s="3" t="n">
        <v>16</v>
      </c>
      <c r="T162" s="3" t="n">
        <v>24</v>
      </c>
      <c r="U162" s="3" t="n">
        <v>2</v>
      </c>
      <c r="V162" s="3" t="n">
        <v>200</v>
      </c>
      <c r="W162" s="18" t="n">
        <f aca="false">((($AE162/2)/60)*5280)/($X162*3.2*PI())</f>
        <v>233.427249868113</v>
      </c>
      <c r="X162" s="3" t="n">
        <v>1.5</v>
      </c>
      <c r="Y162" s="3" t="n">
        <f aca="false">((($S162*$S162/4)*PI())*($T162/12)*$U162*$V162*$W162)/(33000*1.1)</f>
        <v>1034.34343434343</v>
      </c>
      <c r="Z162" s="1" t="n">
        <v>47.9</v>
      </c>
      <c r="AA162" s="2" t="n">
        <v>37.7</v>
      </c>
      <c r="AC162" s="1" t="n">
        <v>77</v>
      </c>
      <c r="AD162" s="4" t="n">
        <f aca="false">IF(AND(Z162&gt;0,AC162&gt;0),(AC162/((Z162+AA162)*10)),"")</f>
        <v>0.0899532710280374</v>
      </c>
      <c r="AE162" s="1" t="n">
        <v>80</v>
      </c>
      <c r="AF162" s="1" t="n">
        <f aca="false">ROUND(AE162*1.6, 0)</f>
        <v>128</v>
      </c>
      <c r="AH162" s="1" t="n">
        <v>16.2</v>
      </c>
      <c r="AI162" s="1" t="n">
        <f aca="false">AH162-6</f>
        <v>10.2</v>
      </c>
      <c r="AL162" s="5" t="n">
        <v>0</v>
      </c>
      <c r="AM162" s="1" t="str">
        <f aca="false">CONCATENATE(VLOOKUP(AN162, 'Voxel Sizes'!$A$2:$B$18,2,FALSE()),"x",INT(AJ162*15), "x", INT(AK162*15))</f>
        <v>102x0x0</v>
      </c>
      <c r="AN162" s="1" t="n">
        <f aca="false">ROUND(15*((AI162*10)/256),0)</f>
        <v>6</v>
      </c>
      <c r="AO162" s="1" t="s">
        <v>238</v>
      </c>
      <c r="AP162" s="1" t="str">
        <f aca="false">CONCATENATE(VLOOKUP(AN162,Constants!$A$2:$C$16,IF(AO162&lt;&gt;"", 3, 2), FALSE()),IF(AO162&lt;&gt;"",CONCATENATE(",",VLOOKUP(AO162,$B:$AP,41,FALSE())),""))</f>
        <v>2,2,2,1,2,1</v>
      </c>
      <c r="AX162" s="1" t="n">
        <v>1</v>
      </c>
      <c r="AZ162" s="1" t="n">
        <v>30</v>
      </c>
      <c r="BA162" s="16" t="n">
        <f aca="false">IF(O162&lt;&gt;"",MAX(16,(O162-M162)+8),"")</f>
        <v>29</v>
      </c>
      <c r="BD162" s="1" t="n">
        <f aca="false">MIN(AE162/150, 1)*30</f>
        <v>16</v>
      </c>
      <c r="BE162" s="1" t="n">
        <f aca="false">MIN(Q162/4000, 1)*20</f>
        <v>5</v>
      </c>
      <c r="BF162" s="1" t="n">
        <f aca="false">MIN(AC162/400,1)*20</f>
        <v>3.85</v>
      </c>
      <c r="BG162" s="4" t="n">
        <f aca="false">1-(MAX(M162-1900, 0)/750)</f>
        <v>0.938666666666667</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57</v>
      </c>
      <c r="BL162" s="1" t="n">
        <f aca="false">INT(POWER((((Constants!$G$1+$BD162+$BE162+$BF162+$BH162)*($BG162))*$BI162),IF($J162="wagon",1,1.2)))+$BB162</f>
        <v>91</v>
      </c>
      <c r="BM162" s="17" t="n">
        <f aca="false">BK162*IF($J162="wagon",62.5,781.25)</f>
        <v>44531.25</v>
      </c>
      <c r="BN162" s="17" t="n">
        <f aca="false">BL162*IF($J162="wagon",2.73,81.25)</f>
        <v>7393.75</v>
      </c>
      <c r="BU162" s="1" t="str">
        <f aca="false">IF(J162="locomotive","B","")</f>
        <v>B</v>
      </c>
      <c r="BV162" s="1" t="str">
        <f aca="false">IF($J162="locomotive","B","")</f>
        <v>B</v>
      </c>
      <c r="BY162" s="1" t="n">
        <v>4</v>
      </c>
      <c r="CD162" s="1" t="str">
        <f aca="false">VLOOKUP(M162,Eras!$A$2:$C$10, 2, TRUE())</f>
        <v>big4</v>
      </c>
      <c r="CE162" s="1" t="s">
        <v>356</v>
      </c>
      <c r="CF162" s="1" t="str">
        <f aca="false">CONCATENATE(CD162,"_",CE162)</f>
        <v>big4_Cheap</v>
      </c>
      <c r="CG162" s="1" t="str">
        <f aca="false">_xlfn.CONCAT(K162, "_",L162)</f>
        <v>steam_RAIL</v>
      </c>
      <c r="CH162" s="7" t="str">
        <f aca="false">_xlfn.CONCAT("{BLACK}Length: {GOLD}", TEXT(ROUNDUP(IF(AS162&lt;&gt;"",SUM(VALUE(_xlfn.TEXTSPLIT(AS162, ","))), SUM(VALUE(_xlfn.TEXTSPLIT(AP162, ",")))*IF(P162, P162, 1))/16, 1), "#,##0.0"), " tiles{}")</f>
        <v>{BLACK}Length: {GOLD}0.7 tiles{}</v>
      </c>
      <c r="CI162" s="1" t="str">
        <f aca="false">IF(0, VLOOKUP($CG162, Constants!$M:$N, 2, FALSE()),"")</f>
        <v/>
      </c>
      <c r="CJ162" s="1" t="str">
        <f aca="false">IF(P162&gt;1,_xlfn.CONCAT("{BLACK}Cars: {GOLD}", P162),"")</f>
        <v/>
      </c>
      <c r="CK162" s="1" t="s">
        <v>570</v>
      </c>
      <c r="CL162" s="1" t="str">
        <f aca="false">IF($BX162="concept_trains","{GREEN}Concept Vehicle",IF($BX162="!param_no_gameplay_units","{GREEN}Included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{GOLD}0.7 tiles{}{SILVER}The Ivatt Class 2 is a light, low-powered Mogul designed to replace the LMS fleet of 0-6-0 engines.</v>
      </c>
    </row>
    <row r="163" customFormat="false" ht="14.25" hidden="false" customHeight="false" outlineLevel="0" collapsed="false">
      <c r="A163" s="1" t="s">
        <v>571</v>
      </c>
      <c r="B163" s="15" t="s">
        <v>572</v>
      </c>
      <c r="C163" s="1" t="n">
        <v>171</v>
      </c>
      <c r="E163" s="1" t="n">
        <v>105</v>
      </c>
      <c r="F163" s="1" t="s">
        <v>143</v>
      </c>
      <c r="G163" s="1" t="str">
        <f aca="false">IF($F163&lt;&gt;"",_xlfn.CONCAT(VLOOKUP($CE163, Constants!$T:$U, 2, FALSE()),",",$F163),VLOOKUP($CE163, Constants!$T:$U, 2, FALSE()))</f>
        <v>role/mixed,role/prototype</v>
      </c>
      <c r="H163" s="1" t="str">
        <f aca="false">IF($G163&lt;&gt;"",_xlfn.CONCAT(VLOOKUP($CG163, Constants!$M:$P, 4, FALSE()),",",$G163),VLOOKUP($CG163, Constants!$M:$P, 4, FALSE()))</f>
        <v>flag/GB,power/diesel,role/mixed,role/prototype</v>
      </c>
      <c r="I163" s="1" t="s">
        <v>241</v>
      </c>
      <c r="J163" s="1" t="s">
        <v>249</v>
      </c>
      <c r="K163" s="1" t="s">
        <v>525</v>
      </c>
      <c r="L163" s="1" t="s">
        <v>192</v>
      </c>
      <c r="M163" s="1" t="n">
        <v>1947</v>
      </c>
      <c r="N163" s="1" t="n">
        <v>1948</v>
      </c>
      <c r="O163" s="1" t="n">
        <v>1966</v>
      </c>
      <c r="Q163" s="1" t="n">
        <v>1600</v>
      </c>
      <c r="Z163" s="1" t="n">
        <v>129.7</v>
      </c>
      <c r="AC163" s="1" t="n">
        <v>184</v>
      </c>
      <c r="AD163" s="4" t="n">
        <f aca="false">IF(AND(Z163&gt;0,AC163&gt;0),(AC163/((Z163+AA163)*10)),"")</f>
        <v>0.141865844255975</v>
      </c>
      <c r="AE163" s="1" t="n">
        <v>93</v>
      </c>
      <c r="AF163" s="1" t="n">
        <f aca="false">ROUND(AE163*1.6, 0)</f>
        <v>149</v>
      </c>
      <c r="AH163" s="1" t="n">
        <v>18.64</v>
      </c>
      <c r="AI163" s="1" t="n">
        <v>18.64</v>
      </c>
      <c r="AK163" s="1" t="n">
        <v>3.95</v>
      </c>
      <c r="AL163" s="5" t="n">
        <v>0</v>
      </c>
      <c r="AM163" s="1" t="str">
        <f aca="false">CONCATENATE(VLOOKUP(AN163, 'Voxel Sizes'!$A$2:$B$18,2,FALSE()),"x",INT(AJ163*15), "x", INT(AK163*15))</f>
        <v>186x0x59</v>
      </c>
      <c r="AN163" s="1" t="n">
        <f aca="false">ROUND(15*((AI163*10)/256),0)</f>
        <v>11</v>
      </c>
      <c r="AP163" s="1" t="str">
        <f aca="false">CONCATENATE(VLOOKUP(AN163,Constants!$A$2:$C$16,IF(AO163&lt;&gt;"", 3, 2), FALSE()),IF(AO163&lt;&gt;"",CONCATENATE(",",VLOOKUP(AO163,$B:$AP,41,FALSE())),""))</f>
        <v>4,3,4</v>
      </c>
      <c r="AZ163" s="1" t="n">
        <v>26</v>
      </c>
      <c r="BA163" s="16" t="n">
        <f aca="false">IF(O163&lt;&gt;"",MAX(16,(O163-M163)+8),"")</f>
        <v>27</v>
      </c>
      <c r="BD163" s="1" t="n">
        <f aca="false">MIN(AE163/150, 1)*30</f>
        <v>18.6</v>
      </c>
      <c r="BE163" s="1" t="n">
        <f aca="false">MIN(Q163/4000, 1)*20</f>
        <v>8</v>
      </c>
      <c r="BF163" s="1" t="n">
        <f aca="false">MIN(AC163/400,1)*20</f>
        <v>9.2</v>
      </c>
      <c r="BG163" s="4" t="n">
        <f aca="false">1-(MAX(M163-1900, 0)/750)</f>
        <v>0.937333333333333</v>
      </c>
      <c r="BH163" s="1" t="n">
        <f aca="false">((MAX($P163,1)*MIN($AL163/300,1)))*IF(J163="Wagon",50,10)</f>
        <v>0</v>
      </c>
      <c r="BI163" s="1" t="n">
        <f aca="false">VLOOKUP($K163,Constants!$I:$K, 2, FALSE())</f>
        <v>1</v>
      </c>
      <c r="BJ163" s="1" t="n">
        <f aca="false">VLOOKUP($K163,Constants!$I:$K, 3, FALSE())*IF(AND(J163="multiple_unit",AE163&lt;110),0.75,1)</f>
        <v>2</v>
      </c>
      <c r="BK163" s="1" t="n">
        <f aca="false">INT(POWER(((Constants!$G$2+$BD163+$BE163+$BF163+$BH163)*$BG163)*$BJ163, 1.05))+$BC163</f>
        <v>95</v>
      </c>
      <c r="BL163" s="1" t="n">
        <f aca="false">INT(POWER((((Constants!$G$1+$BD163+$BE163+$BF163+$BH163)*($BG163))*$BI163),IF($J163="wagon",1,1.2)))+$BB163</f>
        <v>103</v>
      </c>
      <c r="BM163" s="17" t="n">
        <f aca="false">BK163*IF($J163="wagon",62.5,781.25)</f>
        <v>74218.75</v>
      </c>
      <c r="BN163" s="17" t="n">
        <f aca="false">BL163*IF($J163="wagon",2.73,81.25)</f>
        <v>8368.75</v>
      </c>
      <c r="BU163" s="1" t="str">
        <f aca="false">IF(J163="locomotive","B","")</f>
        <v>B</v>
      </c>
      <c r="BV163" s="1" t="str">
        <f aca="false">IF($J163="locomotive","B","")</f>
        <v>B</v>
      </c>
      <c r="BY163" s="1" t="n">
        <v>5</v>
      </c>
      <c r="CD163" s="1" t="str">
        <f aca="false">VLOOKUP(M163,Eras!$A$2:$C$10, 2, TRUE())</f>
        <v>big4</v>
      </c>
      <c r="CE163" s="1" t="s">
        <v>129</v>
      </c>
      <c r="CF163" s="1" t="str">
        <f aca="false">CONCATENATE(CD163,"_",CE163)</f>
        <v>big4_Mixed Traffic</v>
      </c>
      <c r="CG163" s="1" t="str">
        <f aca="false">_xlfn.CONCAT(K163, "_",L163)</f>
        <v>diesel_RAIL</v>
      </c>
      <c r="CH163" s="7" t="str">
        <f aca="false">_xlfn.CONCAT("{BLACK}Length: {GOLD}", TEXT(ROUNDUP(IF(AS163&lt;&gt;"",SUM(VALUE(_xlfn.TEXTSPLIT(AS163, ","))), SUM(VALUE(_xlfn.TEXTSPLIT(AP163, ",")))*IF(P163, P163, 1))/16, 1), "#,##0.0"), " tiles{}")</f>
        <v>{BLACK}Length: {GOLD}0.7 tiles{}</v>
      </c>
      <c r="CI163" s="1" t="str">
        <f aca="false">IF(0, VLOOKUP($CG163, Constants!$M:$N, 2, FALSE()),"")</f>
        <v/>
      </c>
      <c r="CJ163" s="1" t="str">
        <f aca="false">IF(P163&gt;1,_xlfn.CONCAT("{BLACK}Cars: {GOLD}", P163),"")</f>
        <v/>
      </c>
      <c r="CK163" s="1" t="s">
        <v>573</v>
      </c>
      <c r="CL163" s="1" t="str">
        <f aca="false">IF($BX163="concept_trains","{GREEN}Concept Vehicle",IF($BX163="!param_no_gameplay_units","{GREEN}Included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EE 10000 is the first mainline diesel locomotive built in the UK. Two were built for the LMS.</v>
      </c>
    </row>
    <row r="164" customFormat="false" ht="14.25" hidden="false" customHeight="false" outlineLevel="0" collapsed="false">
      <c r="A164" s="1" t="s">
        <v>574</v>
      </c>
      <c r="B164" s="15" t="s">
        <v>575</v>
      </c>
      <c r="C164" s="1" t="n">
        <v>172</v>
      </c>
      <c r="E164" s="1" t="n">
        <v>106</v>
      </c>
      <c r="G164" s="1" t="str">
        <f aca="false">IF($F164&lt;&gt;"",_xlfn.CONCAT(VLOOKUP($CE164, Constants!$T:$U, 2, FALSE()),",",$F164),VLOOKUP($CE164, Constants!$T:$U, 2, FALSE()))</f>
        <v>role/express_passenger</v>
      </c>
      <c r="H164" s="1" t="str">
        <f aca="false">IF($G164&lt;&gt;"",_xlfn.CONCAT(VLOOKUP($CG164, Constants!$M:$P, 4, FALSE()),",",$G164),VLOOKUP($CG164, Constants!$M:$P, 4, FALSE()))</f>
        <v>flag/GB,power/steam,role/express_passenger</v>
      </c>
      <c r="I164" s="1" t="s">
        <v>241</v>
      </c>
      <c r="J164" s="1" t="s">
        <v>249</v>
      </c>
      <c r="K164" s="1" t="s">
        <v>250</v>
      </c>
      <c r="L164" s="1" t="s">
        <v>192</v>
      </c>
      <c r="M164" s="1" t="n">
        <v>1948</v>
      </c>
      <c r="N164" s="1" t="n">
        <v>1949</v>
      </c>
      <c r="O164" s="1" t="n">
        <v>1966</v>
      </c>
      <c r="Q164" s="1" t="n">
        <v>2700</v>
      </c>
      <c r="S164" s="3" t="n">
        <v>19</v>
      </c>
      <c r="T164" s="3" t="n">
        <v>26</v>
      </c>
      <c r="U164" s="3" t="n">
        <v>3</v>
      </c>
      <c r="V164" s="3" t="n">
        <v>250</v>
      </c>
      <c r="W164" s="18" t="n">
        <f aca="false">((($AE164/2)/60)*5280)/($X164*3.2*PI())</f>
        <v>215.603986947149</v>
      </c>
      <c r="X164" s="3" t="n">
        <v>2.03</v>
      </c>
      <c r="Y164" s="3" t="n">
        <f aca="false">((($S164*$S164/4)*PI())*($T164/12)*$U164*$V164*$W164)/(33000*1.1)</f>
        <v>2736.53250485147</v>
      </c>
      <c r="Z164" s="1" t="n">
        <v>106.9</v>
      </c>
      <c r="AA164" s="2" t="n">
        <v>61.9</v>
      </c>
      <c r="AC164" s="1" t="n">
        <v>166</v>
      </c>
      <c r="AD164" s="4" t="n">
        <f aca="false">IF(AND(Z164&gt;0,AC164&gt;0),(AC164/((Z164+AA164)*10)),"")</f>
        <v>0.0983412322274882</v>
      </c>
      <c r="AE164" s="1" t="n">
        <v>100</v>
      </c>
      <c r="AF164" s="1" t="n">
        <f aca="false">ROUND(AE164*1.6, 0)</f>
        <v>160</v>
      </c>
      <c r="AH164" s="1" t="n">
        <v>22.24</v>
      </c>
      <c r="AI164" s="1" t="n">
        <f aca="false">AH164-7.5</f>
        <v>14.74</v>
      </c>
      <c r="AK164" s="1" t="n">
        <v>3.99</v>
      </c>
      <c r="AL164" s="5" t="n">
        <v>0</v>
      </c>
      <c r="AM164" s="1" t="str">
        <f aca="false">CONCATENATE(VLOOKUP(AN164, 'Voxel Sizes'!$A$2:$B$18,2,FALSE()),"x",INT(AJ164*15), "x", INT(AK164*15))</f>
        <v>152x0x59</v>
      </c>
      <c r="AN164" s="1" t="n">
        <f aca="false">ROUND(15*((AI164*10)/256),0)</f>
        <v>9</v>
      </c>
      <c r="AO164" s="1" t="s">
        <v>228</v>
      </c>
      <c r="AP164" s="1" t="str">
        <f aca="false">CONCATENATE(VLOOKUP(AN164,Constants!$A$2:$C$16,IF(AO164&lt;&gt;"", 3, 2), FALSE()),IF(AO164&lt;&gt;"",CONCATENATE(",",VLOOKUP(AO164,$B:$AP,41,FALSE())),""))</f>
        <v>2,5,2,2,1,2</v>
      </c>
      <c r="AX164" s="1" t="n">
        <v>1</v>
      </c>
      <c r="AZ164" s="1" t="n">
        <v>32</v>
      </c>
      <c r="BA164" s="16" t="n">
        <f aca="false">IF(O164&lt;&gt;"",MAX(16,(O164-M164)+8),"")</f>
        <v>26</v>
      </c>
      <c r="BD164" s="1" t="n">
        <f aca="false">MIN(AE164/150, 1)*30</f>
        <v>20</v>
      </c>
      <c r="BE164" s="1" t="n">
        <f aca="false">MIN(Q164/4000, 1)*20</f>
        <v>13.5</v>
      </c>
      <c r="BF164" s="1" t="n">
        <f aca="false">MIN(AC164/400,1)*20</f>
        <v>8.3</v>
      </c>
      <c r="BG164" s="4" t="n">
        <f aca="false">1-(MAX(M164-1900, 0)/750)</f>
        <v>0.936</v>
      </c>
      <c r="BH164" s="1" t="n">
        <f aca="false">((MAX($P164,1)*MIN($AL164/300,1)))*IF(J164="Wagon",50,10)</f>
        <v>0</v>
      </c>
      <c r="BI164" s="1" t="n">
        <f aca="false">VLOOKUP($K164,Constants!$I:$K, 2, FALSE())</f>
        <v>1.15</v>
      </c>
      <c r="BJ164" s="1" t="n">
        <f aca="false">VLOOKUP($K164,Constants!$I:$K, 3, FALSE())*IF(AND(J164="multiple_unit",AE164&lt;110),0.75,1)</f>
        <v>1.7</v>
      </c>
      <c r="BK164" s="1" t="n">
        <f aca="false">INT(POWER(((Constants!$G$2+$BD164+$BE164+$BF164+$BH164)*$BG164)*$BJ164, 1.05))+$BC164</f>
        <v>92</v>
      </c>
      <c r="BL164" s="1" t="n">
        <f aca="false">INT(POWER((((Constants!$G$1+$BD164+$BE164+$BF164+$BH164)*($BG164))*$BI164),IF($J164="wagon",1,1.2)))+$BB164</f>
        <v>139</v>
      </c>
      <c r="BM164" s="17" t="n">
        <f aca="false">BK164*IF($J164="wagon",62.5,781.25)</f>
        <v>71875</v>
      </c>
      <c r="BN164" s="17" t="n">
        <f aca="false">BL164*IF($J164="wagon",2.73,81.25)</f>
        <v>11293.75</v>
      </c>
      <c r="BU164" s="1" t="str">
        <f aca="false">IF(J164="locomotive","B","")</f>
        <v>B</v>
      </c>
      <c r="BV164" s="1" t="str">
        <f aca="false">IF($J164="locomotive","B","")</f>
        <v>B</v>
      </c>
      <c r="BY164" s="1" t="n">
        <v>6</v>
      </c>
      <c r="CD164" s="1" t="str">
        <f aca="false">VLOOKUP(M164,Eras!$A$2:$C$10, 2, TRUE())</f>
        <v>ebr</v>
      </c>
      <c r="CE164" s="1" t="s">
        <v>282</v>
      </c>
      <c r="CF164" s="1" t="str">
        <f aca="false">CONCATENATE(CD164,"_",CE164)</f>
        <v>ebr_Express</v>
      </c>
      <c r="CG164" s="1" t="str">
        <f aca="false">_xlfn.CONCAT(K164, "_",L164)</f>
        <v>steam_RAIL</v>
      </c>
      <c r="CH164" s="7" t="str">
        <f aca="false">_xlfn.CONCAT("{BLACK}Length: {GOLD}", TEXT(ROUNDUP(IF(AS164&lt;&gt;"",SUM(VALUE(_xlfn.TEXTSPLIT(AS164, ","))), SUM(VALUE(_xlfn.TEXTSPLIT(AP164, ",")))*IF(P164, P164, 1))/16, 1), "#,##0.0"), " tiles{}")</f>
        <v>{BLACK}Length: {GOLD}0.9 tiles{}</v>
      </c>
      <c r="CI164" s="1" t="str">
        <f aca="false">IF(0, VLOOKUP($CG164, Constants!$M:$N, 2, FALSE()),"")</f>
        <v/>
      </c>
      <c r="CJ164" s="1" t="str">
        <f aca="false">IF(P164&gt;1,_xlfn.CONCAT("{BLACK}Cars: {GOLD}", P164),"")</f>
        <v/>
      </c>
      <c r="CK164" s="1" t="s">
        <v>576</v>
      </c>
      <c r="CL164" s="1" t="str">
        <f aca="false">IF($BX164="concept_trains","{GREEN}Concept Vehicle",IF($BX164="!param_no_gameplay_units","{GREEN}Included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{GOLD}0.9 tiles{}{SILVER}The Peppercorn A1 is designed for hauling heavy passenger trains of 12 or more carriages. A continuation of the series, 'Tornado', was built in 2008.</v>
      </c>
    </row>
    <row r="165" customFormat="false" ht="14.25" hidden="false" customHeight="false" outlineLevel="0" collapsed="false">
      <c r="A165" s="1" t="s">
        <v>577</v>
      </c>
      <c r="B165" s="19" t="s">
        <v>578</v>
      </c>
      <c r="C165" s="1" t="n">
        <v>1042</v>
      </c>
      <c r="E165" s="1" t="n">
        <v>107</v>
      </c>
      <c r="F165" s="1" t="s">
        <v>143</v>
      </c>
      <c r="G165" s="1" t="str">
        <f aca="false">IF($F165&lt;&gt;"",_xlfn.CONCAT(VLOOKUP($CE165, Constants!$T:$U, 2, FALSE()),",",$F165),VLOOKUP($CE165, Constants!$T:$U, 2, FALSE()))</f>
        <v>role/freight,role/prototype</v>
      </c>
      <c r="H165" s="1" t="str">
        <f aca="false">IF($G165&lt;&gt;"",_xlfn.CONCAT(VLOOKUP($CG165, Constants!$M:$P, 4, FALSE()),",",$G165),VLOOKUP($CG165, Constants!$M:$P, 4, FALSE()))</f>
        <v>flag/GB,power/turbine,role/freight,role/prototype</v>
      </c>
      <c r="I165" s="1" t="s">
        <v>241</v>
      </c>
      <c r="J165" s="1" t="s">
        <v>249</v>
      </c>
      <c r="K165" s="1" t="s">
        <v>579</v>
      </c>
      <c r="L165" s="1" t="s">
        <v>192</v>
      </c>
      <c r="M165" s="1" t="n">
        <v>1949</v>
      </c>
      <c r="O165" s="1" t="n">
        <v>1964</v>
      </c>
      <c r="Q165" s="1" t="n">
        <v>2500</v>
      </c>
      <c r="Z165" s="1" t="n">
        <v>117</v>
      </c>
      <c r="AC165" s="1" t="n">
        <v>140</v>
      </c>
      <c r="AD165" s="4" t="n">
        <f aca="false">IF(AND(Z165&gt;0,AC165&gt;0),(AC165/((Z165+AA165)*10)),"")</f>
        <v>0.11965811965812</v>
      </c>
      <c r="AE165" s="1" t="n">
        <v>90</v>
      </c>
      <c r="AF165" s="1" t="n">
        <f aca="false">ROUND(AE165*1.6, 0)</f>
        <v>144</v>
      </c>
      <c r="AI165" s="1" t="n">
        <v>18</v>
      </c>
      <c r="AM165" s="1" t="str">
        <f aca="false">CONCATENATE(VLOOKUP(AN165, 'Voxel Sizes'!$A$2:$B$18,2,FALSE()),"x",INT(AJ165*15), "x", INT(AK165*15))</f>
        <v>186x0x0</v>
      </c>
      <c r="AN165" s="16" t="n">
        <f aca="false">ROUND(15*((AI165*10)/256),0)</f>
        <v>11</v>
      </c>
      <c r="AP165" s="1" t="str">
        <f aca="false">CONCATENATE(VLOOKUP(AN165,Constants!$A$2:$C$16,IF(AO165&lt;&gt;"", 3, 2), FALSE()),IF(AO165&lt;&gt;"",CONCATENATE(",",VLOOKUP(AO165,$B:$AP,41,FALSE())),""))</f>
        <v>4,3,4</v>
      </c>
      <c r="AZ165" s="1" t="n">
        <v>22</v>
      </c>
      <c r="BA165" s="16" t="n">
        <f aca="false">IF(O165&lt;&gt;"",MAX(16,(O165-M165)+8),"")</f>
        <v>23</v>
      </c>
      <c r="BB165" s="1" t="n">
        <v>9</v>
      </c>
      <c r="BC165" s="1" t="n">
        <v>2</v>
      </c>
      <c r="BD165" s="20" t="n">
        <f aca="false">MIN(AE165/150, 1)*30</f>
        <v>18</v>
      </c>
      <c r="BE165" s="20" t="n">
        <f aca="false">MIN(Q165/4000, 1)*20</f>
        <v>12.5</v>
      </c>
      <c r="BF165" s="20" t="n">
        <f aca="false">MIN(AC165/400,1)*20</f>
        <v>7</v>
      </c>
      <c r="BG165" s="21" t="n">
        <f aca="false">1-(MAX(M165-1900, 0)/750)</f>
        <v>0.934666666666667</v>
      </c>
      <c r="BH165" s="20" t="n">
        <f aca="false">((MAX($P165,1)*MIN($AL165/300,1)))*IF(J165="Wagon",50,10)</f>
        <v>0</v>
      </c>
      <c r="BI165" s="1" t="n">
        <f aca="false">VLOOKUP($K165,Constants!$I:$K, 2, FALSE())</f>
        <v>1</v>
      </c>
      <c r="BJ165" s="1" t="n">
        <f aca="false">VLOOKUP($K165,Constants!$I:$K, 3, FALSE())*IF(AND(J165="multiple_unit",AE165&lt;110),0.75,1)</f>
        <v>2</v>
      </c>
      <c r="BK165" s="1" t="n">
        <f aca="false">INT(POWER(((Constants!$G$2+$BD165+$BE165+$BF165+$BH165)*$BG165)*$BJ165, 1.05))+$BC165</f>
        <v>100</v>
      </c>
      <c r="BL165" s="1" t="n">
        <f aca="false">INT(POWER((((Constants!$G$1+$BD165+$BE165+$BF165+$BH165)*($BG165))*$BI165),IF($J165="wagon",1,1.2)))+$BB165</f>
        <v>115</v>
      </c>
      <c r="BM165" s="22" t="n">
        <f aca="false">BK165*IF($J165="wagon",62.5,781.25)</f>
        <v>78125</v>
      </c>
      <c r="BN165" s="22" t="n">
        <f aca="false">BL165*IF($J165="wagon",2.73,81.25)</f>
        <v>9343.75</v>
      </c>
      <c r="BU165" s="1" t="str">
        <f aca="false">IF(J165="locomotive","B","")</f>
        <v>B</v>
      </c>
      <c r="BV165" s="1" t="str">
        <f aca="false">IF($J165="locomotive","B","")</f>
        <v>B</v>
      </c>
      <c r="BY165" s="1" t="n">
        <v>6</v>
      </c>
      <c r="CD165" s="23" t="s">
        <v>580</v>
      </c>
      <c r="CE165" s="1" t="s">
        <v>132</v>
      </c>
      <c r="CF165" s="23" t="str">
        <f aca="false">CONCATENATE(CD165,"_",CE165)</f>
        <v>ebr_Freight</v>
      </c>
      <c r="CG165" s="23" t="str">
        <f aca="false">_xlfn.CONCAT(K165, "_",L165)</f>
        <v>gas_turbine_RAIL</v>
      </c>
      <c r="CH165" s="7" t="str">
        <f aca="false">_xlfn.CONCAT("{BLACK}Length: {GOLD}", TEXT(ROUNDUP(IF(AS165&lt;&gt;"",SUM(VALUE(_xlfn.TEXTSPLIT(AS165, ","))), SUM(VALUE(_xlfn.TEXTSPLIT(AP165, ",")))*IF(P165, P165, 1))/16, 1), "#,##0.0"), " tiles{}")</f>
        <v>{BLACK}Length: {GOLD}0.7 tiles{}</v>
      </c>
      <c r="CI165" s="1" t="str">
        <f aca="false">IF(0, VLOOKUP($CG165, Constants!$M:$N, 2, FALSE()),"")</f>
        <v/>
      </c>
      <c r="CJ165" s="1" t="str">
        <f aca="false">IF(P165&gt;1,_xlfn.CONCAT("{BLACK}Cars: {GOLD}", P165),"")</f>
        <v/>
      </c>
      <c r="CK165" s="1" t="s">
        <v>581</v>
      </c>
      <c r="CL165" s="1" t="str">
        <f aca="false">IF($BX165="concept_trains","{GREEN}Concept Vehicle",IF($BX165="!param_no_gameplay_units","{GREEN}Included for gameplay purposes",""))</f>
        <v/>
      </c>
      <c r="CM165" s="1" t="str">
        <f aca="false">IF(CA165="buffet","{YELLOW}25% long distance bonus for consist{}",IF(CB165="DANDY","{YELLOW}Faster downhill speeds for horse-drawn trains (1 required per 2 horses){}",IF(CB165="BRAKE","{YELLOW}Speed bonus for slow wagons{}",IF(CB165="NGPassengers","{YELLOW}Preserved railway bonus: passengers pay more when hauled by old locomotives{}",IF(AND(BZ165&gt;190,NOT(AND(L165="NARROW_GAUGE",CB165&lt;&gt;"PASS"))),CONCATENATE("{YELLOW}",INT((BZ165-185)/1.85),"%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tiles{}{SILVER}Originally ordered by the GWR, the 18000 used a gas turbine to match the power output of the King Class. This resulted in it being unreliable and expensive to run.</v>
      </c>
    </row>
    <row r="166" customFormat="false" ht="14.25" hidden="false" customHeight="false" outlineLevel="0" collapsed="false">
      <c r="A166" s="1" t="s">
        <v>582</v>
      </c>
      <c r="B166" s="25" t="s">
        <v>583</v>
      </c>
      <c r="C166" s="1" t="n">
        <v>4171</v>
      </c>
      <c r="E166" s="1" t="n">
        <v>108</v>
      </c>
      <c r="F166" s="1" t="s">
        <v>143</v>
      </c>
      <c r="G166" s="1" t="str">
        <f aca="false">IF($F166&lt;&gt;"",_xlfn.CONCAT(VLOOKUP($CE166, Constants!$T:$U, 2, FALSE()),",",$F166),VLOOKUP($CE166, Constants!$T:$U, 2, FALSE()))</f>
        <v>role/mixed,role/prototype</v>
      </c>
      <c r="H166" s="1" t="str">
        <f aca="false">IF($G166&lt;&gt;"",_xlfn.CONCAT(VLOOKUP($CG166, Constants!$M:$P, 4, FALSE()),",",$G166),VLOOKUP($CG166, Constants!$M:$P, 4, FALSE()))</f>
        <v>flag/GB,power/diesel,role/mixed,role/prototype</v>
      </c>
      <c r="I166" s="1" t="s">
        <v>241</v>
      </c>
      <c r="J166" s="1" t="s">
        <v>249</v>
      </c>
      <c r="K166" s="1" t="s">
        <v>525</v>
      </c>
      <c r="L166" s="1" t="s">
        <v>192</v>
      </c>
      <c r="M166" s="1" t="n">
        <v>1950</v>
      </c>
      <c r="N166" s="1" t="n">
        <v>1955</v>
      </c>
      <c r="O166" s="1" t="n">
        <v>1968</v>
      </c>
      <c r="Q166" s="1" t="n">
        <v>1750</v>
      </c>
      <c r="Z166" s="1" t="n">
        <v>135</v>
      </c>
      <c r="AC166" s="1" t="n">
        <v>213</v>
      </c>
      <c r="AD166" s="4" t="n">
        <f aca="false">IF(AND(Z166&gt;0,AC166&gt;0),(AC166/((Z166+AA166)*10)),"")</f>
        <v>0.157777777777778</v>
      </c>
      <c r="AE166" s="1" t="n">
        <v>110</v>
      </c>
      <c r="AF166" s="1" t="n">
        <f aca="false">ROUND(AE166*1.6, 0)</f>
        <v>176</v>
      </c>
      <c r="AH166" s="1" t="n">
        <v>18.64</v>
      </c>
      <c r="AI166" s="1" t="n">
        <v>18.64</v>
      </c>
      <c r="AK166" s="1" t="n">
        <v>3.95</v>
      </c>
      <c r="AL166" s="5" t="n">
        <v>0</v>
      </c>
      <c r="AM166" s="1" t="str">
        <f aca="false">CONCATENATE(VLOOKUP(AN166, 'Voxel Sizes'!$A$2:$B$18,2,FALSE()),"x",INT(AJ166*15), "x", INT(AK166*15))</f>
        <v>186x0x59</v>
      </c>
      <c r="AN166" s="1" t="n">
        <f aca="false">ROUND(15*((AI166*10)/256),0)</f>
        <v>11</v>
      </c>
      <c r="AP166" s="1" t="str">
        <f aca="false">CONCATENATE(VLOOKUP(AN166,Constants!$A$2:$C$16,IF(AO166&lt;&gt;"", 3, 2), FALSE()),IF(AO166&lt;&gt;"",CONCATENATE(",",VLOOKUP(AO166,$B:$AP,41,FALSE())),""))</f>
        <v>4,3,4</v>
      </c>
      <c r="AZ166" s="1" t="n">
        <v>26</v>
      </c>
      <c r="BA166" s="16" t="n">
        <f aca="false">IF(O166&lt;&gt;"",MAX(16,(O166-M166)+8),"")</f>
        <v>26</v>
      </c>
      <c r="BD166" s="1" t="n">
        <f aca="false">MIN(AE166/150, 1)*30</f>
        <v>22</v>
      </c>
      <c r="BE166" s="1" t="n">
        <f aca="false">MIN(Q166/4000, 1)*20</f>
        <v>8.75</v>
      </c>
      <c r="BF166" s="1" t="n">
        <f aca="false">MIN(AC166/400,1)*20</f>
        <v>10.65</v>
      </c>
      <c r="BG166" s="4" t="n">
        <f aca="false">1-(MAX(M166-1900, 0)/750)</f>
        <v>0.933333333333333</v>
      </c>
      <c r="BH166" s="1" t="n">
        <f aca="false">((MAX($P166,1)*MIN($AL166/300,1)))*IF(J166="Wagon",50,10)</f>
        <v>0</v>
      </c>
      <c r="BI166" s="1" t="n">
        <f aca="false">VLOOKUP($K166,Constants!$I:$K, 2, FALSE())</f>
        <v>1</v>
      </c>
      <c r="BJ166" s="1" t="n">
        <f aca="false">VLOOKUP($K166,Constants!$I:$K, 3, FALSE())*IF(AND(J166="multiple_unit",AE166&lt;110),0.75,1)</f>
        <v>2</v>
      </c>
      <c r="BK166" s="1" t="n">
        <f aca="false">INT(POWER(((Constants!$G$2+$BD166+$BE166+$BF166+$BH166)*$BG166)*$BJ166, 1.05))+$BC166</f>
        <v>108</v>
      </c>
      <c r="BL166" s="1" t="n">
        <f aca="false">INT(POWER((((Constants!$G$1+$BD166+$BE166+$BF166+$BH166)*($BG166))*$BI166),IF($J166="wagon",1,1.2)))+$BB166</f>
        <v>116</v>
      </c>
      <c r="BM166" s="17" t="n">
        <f aca="false">BK166*IF($J166="wagon",62.5,781.25)</f>
        <v>84375</v>
      </c>
      <c r="BN166" s="17" t="n">
        <f aca="false">BL166*IF($J166="wagon",2.73,81.25)</f>
        <v>9425</v>
      </c>
      <c r="BU166" s="1" t="str">
        <f aca="false">IF(J166="locomotive","B","")</f>
        <v>B</v>
      </c>
      <c r="BV166" s="1" t="str">
        <f aca="false">IF($J166="locomotive","B","")</f>
        <v>B</v>
      </c>
      <c r="BY166" s="1" t="n">
        <v>5</v>
      </c>
      <c r="CD166" s="1" t="str">
        <f aca="false">VLOOKUP(M166,Eras!$A$2:$C$10, 2, TRUE())</f>
        <v>ebr</v>
      </c>
      <c r="CE166" s="1" t="s">
        <v>129</v>
      </c>
      <c r="CF166" s="1" t="str">
        <f aca="false">CONCATENATE(CD166,"_",CE166)</f>
        <v>ebr_Mixed Traffic</v>
      </c>
      <c r="CG166" s="1" t="str">
        <f aca="false">_xlfn.CONCAT(K166, "_",L166)</f>
        <v>diesel_RAIL</v>
      </c>
      <c r="CH166" s="7" t="str">
        <f aca="false">_xlfn.CONCAT("{BLACK}Length: {GOLD}", TEXT(ROUNDUP(IF(AS166&lt;&gt;"",SUM(VALUE(_xlfn.TEXTSPLIT(AS166, ","))), SUM(VALUE(_xlfn.TEXTSPLIT(AP166, ",")))*IF(P166, P166, 1))/16, 1), "#,##0.0"), " tiles{}")</f>
        <v>{BLACK}Length: {GOLD}0.7 tiles{}</v>
      </c>
      <c r="CI166" s="1" t="str">
        <f aca="false">IF(0, VLOOKUP($CG166, Constants!$M:$N, 2, FALSE()),"")</f>
        <v/>
      </c>
      <c r="CJ166" s="1" t="str">
        <f aca="false">IF(P166&gt;1,_xlfn.CONCAT("{BLACK}Cars: {GOLD}", P166),"")</f>
        <v/>
      </c>
      <c r="CK166" s="1" t="s">
        <v>584</v>
      </c>
      <c r="CL166" s="1" t="str">
        <f aca="false">IF($BX166="concept_trains","{GREEN}Concept Vehicle",IF($BX166="!param_no_gameplay_units","{GREEN}Included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67" customFormat="false" ht="14.25" hidden="false" customHeight="false" outlineLevel="0" collapsed="false">
      <c r="A167" s="1" t="s">
        <v>585</v>
      </c>
      <c r="B167" s="15" t="s">
        <v>586</v>
      </c>
      <c r="C167" s="1" t="n">
        <v>173</v>
      </c>
      <c r="E167" s="1" t="n">
        <v>109</v>
      </c>
      <c r="G167" s="1" t="str">
        <f aca="false">IF($F167&lt;&gt;"",_xlfn.CONCAT(VLOOKUP($CE167, Constants!$T:$U, 2, FALSE()),",",$F167),VLOOKUP($CE167, Constants!$T:$U, 2, FALSE()))</f>
        <v>role/freight</v>
      </c>
      <c r="H167" s="1" t="str">
        <f aca="false">IF($G167&lt;&gt;"",_xlfn.CONCAT(VLOOKUP($CG167, Constants!$M:$P, 4, FALSE()),",",$G167),VLOOKUP($CG167, Constants!$M:$P, 4, FALSE()))</f>
        <v>flag/GB,power/electric,role/freight</v>
      </c>
      <c r="I167" s="1" t="s">
        <v>241</v>
      </c>
      <c r="J167" s="1" t="s">
        <v>249</v>
      </c>
      <c r="K167" s="1" t="s">
        <v>388</v>
      </c>
      <c r="L167" s="1" t="s">
        <v>389</v>
      </c>
      <c r="M167" s="1" t="n">
        <v>1950</v>
      </c>
      <c r="N167" s="1" t="n">
        <v>1953</v>
      </c>
      <c r="O167" s="1" t="n">
        <v>1981</v>
      </c>
      <c r="Q167" s="1" t="n">
        <v>1300</v>
      </c>
      <c r="Z167" s="1" t="n">
        <v>89.3</v>
      </c>
      <c r="AC167" s="1" t="n">
        <v>200</v>
      </c>
      <c r="AD167" s="4" t="n">
        <f aca="false">IF(AND(Z167&gt;0,AC167&gt;0),(AC167/((Z167+AA167)*10)),"")</f>
        <v>0.223964165733483</v>
      </c>
      <c r="AE167" s="1" t="n">
        <v>65</v>
      </c>
      <c r="AF167" s="1" t="n">
        <f aca="false">ROUND(AE167*1.6, 0)</f>
        <v>104</v>
      </c>
      <c r="AH167" s="1" t="n">
        <v>15.34</v>
      </c>
      <c r="AI167" s="1" t="n">
        <v>15.34</v>
      </c>
      <c r="AL167" s="5" t="n">
        <v>0</v>
      </c>
      <c r="AM167" s="1" t="str">
        <f aca="false">CONCATENATE(VLOOKUP(AN167, 'Voxel Sizes'!$A$2:$B$18,2,FALSE()),"x",INT(AJ167*15), "x", INT(AK167*15))</f>
        <v>152x0x0</v>
      </c>
      <c r="AN167" s="1" t="n">
        <f aca="false">ROUND(15*((AI167*10)/256),0)</f>
        <v>9</v>
      </c>
      <c r="AP167" s="1" t="str">
        <f aca="false">CONCATENATE(VLOOKUP(AN167,Constants!$A$2:$C$16,IF(AO167&lt;&gt;"", 3, 2), FALSE()),IF(AO167&lt;&gt;"",CONCATENATE(",",VLOOKUP(AO167,$B:$AP,41,FALSE())),""))</f>
        <v>2,5,2</v>
      </c>
      <c r="AZ167" s="1" t="n">
        <v>30</v>
      </c>
      <c r="BA167" s="16" t="n">
        <f aca="false">IF(O167&lt;&gt;"",MAX(16,(O167-M167)+8),"")</f>
        <v>39</v>
      </c>
      <c r="BD167" s="1" t="n">
        <f aca="false">MIN(AE167/150, 1)*30</f>
        <v>13</v>
      </c>
      <c r="BE167" s="1" t="n">
        <f aca="false">MIN(Q167/4000, 1)*20</f>
        <v>6.5</v>
      </c>
      <c r="BF167" s="1" t="n">
        <f aca="false">MIN(AC167/400,1)*20</f>
        <v>10</v>
      </c>
      <c r="BG167" s="4" t="n">
        <f aca="false">1-(MAX(M167-1900, 0)/750)</f>
        <v>0.933333333333333</v>
      </c>
      <c r="BH167" s="1" t="n">
        <f aca="false">((MAX($P167,1)*MIN($AL167/300,1)))*IF(J167="Wagon",50,10)</f>
        <v>0</v>
      </c>
      <c r="BI167" s="1" t="n">
        <f aca="false">VLOOKUP($K167,Constants!$I:$K, 2, FALSE())</f>
        <v>0.85</v>
      </c>
      <c r="BJ167" s="1" t="n">
        <f aca="false">VLOOKUP($K167,Constants!$I:$K, 3, FALSE())*IF(AND(J167="multiple_unit",AE167&lt;110),0.75,1)</f>
        <v>2.3</v>
      </c>
      <c r="BK167" s="1" t="n">
        <f aca="false">INT(POWER(((Constants!$G$2+$BD167+$BE167+$BF167+$BH167)*$BG167)*$BJ167, 1.05))+$BC167</f>
        <v>91</v>
      </c>
      <c r="BL167" s="1" t="n">
        <f aca="false">INT(POWER((((Constants!$G$1+$BD167+$BE167+$BF167+$BH167)*($BG167))*$BI167),IF($J167="wagon",1,1.2)))+$BB167</f>
        <v>72</v>
      </c>
      <c r="BM167" s="17" t="n">
        <f aca="false">BK167*IF($J167="wagon",62.5,781.25)</f>
        <v>71093.75</v>
      </c>
      <c r="BN167" s="17" t="n">
        <f aca="false">BL167*IF($J167="wagon",2.73,81.25)</f>
        <v>5850</v>
      </c>
      <c r="BU167" s="1" t="str">
        <f aca="false">IF(J167="locomotive","B","")</f>
        <v>B</v>
      </c>
      <c r="BV167" s="1" t="str">
        <f aca="false">IF($J167="locomotive","B","")</f>
        <v>B</v>
      </c>
      <c r="BY167" s="1" t="n">
        <v>7</v>
      </c>
      <c r="CD167" s="1" t="str">
        <f aca="false">VLOOKUP(M167,Eras!$A$2:$C$10, 2, TRUE())</f>
        <v>ebr</v>
      </c>
      <c r="CE167" s="1" t="s">
        <v>390</v>
      </c>
      <c r="CF167" s="1" t="str">
        <f aca="false">CONCATENATE(CD167,"_",CE167)</f>
        <v>ebr_Freight (Electric)</v>
      </c>
      <c r="CG167" s="1" t="str">
        <f aca="false">_xlfn.CONCAT(K167, "_",L167)</f>
        <v>electric_ELRL</v>
      </c>
      <c r="CH167" s="7" t="str">
        <f aca="false">_xlfn.CONCAT("{BLACK}Length: {GOLD}", TEXT(ROUNDUP(IF(AS167&lt;&gt;"",SUM(VALUE(_xlfn.TEXTSPLIT(AS167, ","))), SUM(VALUE(_xlfn.TEXTSPLIT(AP167, ",")))*IF(P167, P167, 1))/16, 1), "#,##0.0"), " tiles{}")</f>
        <v>{BLACK}Length: {GOLD}0.6 tiles{}</v>
      </c>
      <c r="CI167" s="1" t="str">
        <f aca="false">IF(0, VLOOKUP($CG167, Constants!$M:$N, 2, FALSE()),"")</f>
        <v/>
      </c>
      <c r="CJ167" s="1" t="str">
        <f aca="false">IF(P167&gt;1,_xlfn.CONCAT("{BLACK}Cars: {GOLD}", P167),"")</f>
        <v/>
      </c>
      <c r="CK167" s="1" t="s">
        <v>587</v>
      </c>
      <c r="CL167" s="1" t="str">
        <f aca="false">IF($BX167="concept_trains","{GREEN}Concept Vehicle",IF($BX167="!param_no_gameplay_units","{GREEN}Included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{GOLD}0.6 tiles{}{SILVER}The Class 76 is an electric freight locomotive designed for the Woodhead Line in the northern Peak District. With high tractive effort, electric traction lent itself to the steep gradients and many tunnels of the line.</v>
      </c>
    </row>
    <row r="168" customFormat="false" ht="14.25" hidden="false" customHeight="false" outlineLevel="0" collapsed="false">
      <c r="A168" s="1" t="s">
        <v>588</v>
      </c>
      <c r="B168" s="15" t="s">
        <v>589</v>
      </c>
      <c r="C168" s="1" t="n">
        <v>174</v>
      </c>
      <c r="E168" s="1" t="n">
        <v>110</v>
      </c>
      <c r="G168" s="1" t="str">
        <f aca="false">IF($F168&lt;&gt;"",_xlfn.CONCAT(VLOOKUP($CE168, Constants!$T:$U, 2, FALSE()),",",$F168),VLOOKUP($CE168, Constants!$T:$U, 2, FALSE()))</f>
        <v>role/mixed</v>
      </c>
      <c r="H168" s="1" t="str">
        <f aca="false">IF($G168&lt;&gt;"",_xlfn.CONCAT(VLOOKUP($CG168, Constants!$M:$P, 4, FALSE()),",",$G168),VLOOKUP($CG168, Constants!$M:$P, 4, FALSE()))</f>
        <v>flag/GB,power/steam,role/mixed</v>
      </c>
      <c r="I168" s="1" t="s">
        <v>241</v>
      </c>
      <c r="J168" s="1" t="s">
        <v>249</v>
      </c>
      <c r="K168" s="1" t="s">
        <v>250</v>
      </c>
      <c r="L168" s="1" t="s">
        <v>192</v>
      </c>
      <c r="M168" s="1" t="n">
        <v>1951</v>
      </c>
      <c r="N168" s="1" t="n">
        <v>1952</v>
      </c>
      <c r="O168" s="1" t="n">
        <v>1966</v>
      </c>
      <c r="Q168" s="1" t="n">
        <v>1500</v>
      </c>
      <c r="S168" s="3" t="n">
        <v>19.5</v>
      </c>
      <c r="T168" s="3" t="n">
        <v>28</v>
      </c>
      <c r="U168" s="3" t="n">
        <v>2</v>
      </c>
      <c r="V168" s="3" t="n">
        <v>225</v>
      </c>
      <c r="W168" s="18" t="n">
        <f aca="false">((($AE168/2)/60)*5280)/($X168*3.2*PI())</f>
        <v>184.28467094851</v>
      </c>
      <c r="X168" s="3" t="n">
        <v>1.9</v>
      </c>
      <c r="Y168" s="3" t="n">
        <f aca="false">((($S168*$S168/4)*PI())*($T168/12)*$U168*$V168*$W168)/(33000*1.1)</f>
        <v>1591.95574162679</v>
      </c>
      <c r="Z168" s="1" t="n">
        <v>89.92</v>
      </c>
      <c r="AA168" s="2" t="n">
        <v>14.38</v>
      </c>
      <c r="AC168" s="1" t="n">
        <v>122</v>
      </c>
      <c r="AD168" s="4" t="n">
        <f aca="false">IF(AND(Z168&gt;0,AC168&gt;0),(AC168/((Z168+AA168)*10)),"")</f>
        <v>0.116970278044104</v>
      </c>
      <c r="AE168" s="1" t="n">
        <v>80</v>
      </c>
      <c r="AF168" s="1" t="n">
        <f aca="false">ROUND(AE168*1.6, 0)</f>
        <v>128</v>
      </c>
      <c r="AH168" s="1" t="n">
        <v>20.96</v>
      </c>
      <c r="AI168" s="1" t="n">
        <f aca="false">AH168-7.5</f>
        <v>13.46</v>
      </c>
      <c r="AK168" s="1" t="n">
        <v>3.98</v>
      </c>
      <c r="AL168" s="5" t="n">
        <v>0</v>
      </c>
      <c r="AM168" s="1" t="str">
        <f aca="false">CONCATENATE(VLOOKUP(AN168, 'Voxel Sizes'!$A$2:$B$18,2,FALSE()),"x",INT(AJ168*15), "x", INT(AK168*15))</f>
        <v>136x0x59</v>
      </c>
      <c r="AN168" s="1" t="n">
        <f aca="false">ROUND(15*((AI168*10)/256),0)</f>
        <v>8</v>
      </c>
      <c r="AO168" s="1" t="s">
        <v>222</v>
      </c>
      <c r="AP168" s="1" t="str">
        <f aca="false">CONCATENATE(VLOOKUP(AN168,Constants!$A$2:$C$16,IF(AO168&lt;&gt;"", 3, 2), FALSE()),IF(AO168&lt;&gt;"",CONCATENATE(",",VLOOKUP(AO168,$B:$AP,41,FALSE())),""))</f>
        <v>2,4,2,2,1,2</v>
      </c>
      <c r="AX168" s="1" t="n">
        <v>1</v>
      </c>
      <c r="AZ168" s="1" t="n">
        <v>30</v>
      </c>
      <c r="BA168" s="16" t="n">
        <f aca="false">IF(O168&lt;&gt;"",MAX(16,(O168-M168)+8),"")</f>
        <v>23</v>
      </c>
      <c r="BD168" s="1" t="n">
        <f aca="false">MIN(AE168/150, 1)*30</f>
        <v>16</v>
      </c>
      <c r="BE168" s="1" t="n">
        <f aca="false">MIN(Q168/4000, 1)*20</f>
        <v>7.5</v>
      </c>
      <c r="BF168" s="1" t="n">
        <f aca="false">MIN(AC168/400,1)*20</f>
        <v>6.1</v>
      </c>
      <c r="BG168" s="4" t="n">
        <f aca="false">1-(MAX(M168-1900, 0)/750)</f>
        <v>0.932</v>
      </c>
      <c r="BH168" s="1" t="n">
        <f aca="false">((MAX($P168,1)*MIN($AL168/300,1)))*IF(J168="Wagon",50,10)</f>
        <v>0</v>
      </c>
      <c r="BI168" s="1" t="n">
        <f aca="false">VLOOKUP($K168,Constants!$I:$K, 2, FALSE())</f>
        <v>1.15</v>
      </c>
      <c r="BJ168" s="1" t="n">
        <f aca="false">VLOOKUP($K168,Constants!$I:$K, 3, FALSE())*IF(AND(J168="multiple_unit",AE168&lt;110),0.75,1)</f>
        <v>1.7</v>
      </c>
      <c r="BK168" s="1" t="n">
        <f aca="false">INT(POWER(((Constants!$G$2+$BD168+$BE168+$BF168+$BH168)*$BG168)*$BJ168, 1.05))+$BC168</f>
        <v>66</v>
      </c>
      <c r="BL168" s="1" t="n">
        <f aca="false">INT(POWER((((Constants!$G$1+$BD168+$BE168+$BF168+$BH168)*($BG168))*$BI168),IF($J168="wagon",1,1.2)))+$BB168</f>
        <v>103</v>
      </c>
      <c r="BM168" s="17" t="n">
        <f aca="false">BK168*IF($J168="wagon",62.5,781.25)</f>
        <v>51562.5</v>
      </c>
      <c r="BN168" s="17" t="n">
        <f aca="false">BL168*IF($J168="wagon",2.73,81.25)</f>
        <v>8368.75</v>
      </c>
      <c r="BU168" s="1" t="str">
        <f aca="false">IF(J168="locomotive","B","")</f>
        <v>B</v>
      </c>
      <c r="BV168" s="1" t="str">
        <f aca="false">IF($J168="locomotive","B","")</f>
        <v>B</v>
      </c>
      <c r="BY168" s="1" t="n">
        <v>8</v>
      </c>
      <c r="CD168" s="1" t="str">
        <f aca="false">VLOOKUP(M168,Eras!$A$2:$C$10, 2, TRUE())</f>
        <v>ebr</v>
      </c>
      <c r="CE168" s="1" t="s">
        <v>129</v>
      </c>
      <c r="CF168" s="1" t="str">
        <f aca="false">CONCATENATE(CD168,"_",CE168)</f>
        <v>ebr_Mixed Traffic</v>
      </c>
      <c r="CG168" s="1" t="str">
        <f aca="false">_xlfn.CONCAT(K168, "_",L168)</f>
        <v>steam_RAIL</v>
      </c>
      <c r="CH168" s="7" t="str">
        <f aca="false">_xlfn.CONCAT("{BLACK}Length: {GOLD}", TEXT(ROUNDUP(IF(AS168&lt;&gt;"",SUM(VALUE(_xlfn.TEXTSPLIT(AS168, ","))), SUM(VALUE(_xlfn.TEXTSPLIT(AP168, ",")))*IF(P168, P168, 1))/16, 1), "#,##0.0"), " tiles{}")</f>
        <v>{BLACK}Length: {GOLD}0.9 tiles{}</v>
      </c>
      <c r="CI168" s="1" t="str">
        <f aca="false">IF(0, VLOOKUP($CG168, Constants!$M:$N, 2, FALSE()),"")</f>
        <v/>
      </c>
      <c r="CJ168" s="1" t="str">
        <f aca="false">IF(P168&gt;1,_xlfn.CONCAT("{BLACK}Cars: {GOLD}", P168),"")</f>
        <v/>
      </c>
      <c r="CK168" s="1" t="s">
        <v>590</v>
      </c>
      <c r="CL168" s="1" t="str">
        <f aca="false">IF($BX168="concept_trains","{GREEN}Concept Vehicle",IF($BX168="!param_no_gameplay_units","{GREEN}Included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{GOLD}0.9 tiles{}{SILVER}The Class 6 is a lighter version of the Class 7 "Britannia", with a smaller boiler. Only 10 were produced due to steel shortages.</v>
      </c>
    </row>
    <row r="169" customFormat="false" ht="14.25" hidden="false" customHeight="false" outlineLevel="0" collapsed="false">
      <c r="A169" s="1" t="s">
        <v>591</v>
      </c>
      <c r="B169" s="15" t="s">
        <v>592</v>
      </c>
      <c r="C169" s="1" t="n">
        <v>175</v>
      </c>
      <c r="E169" s="1" t="n">
        <v>111</v>
      </c>
      <c r="G169" s="1" t="str">
        <f aca="false">IF($F169&lt;&gt;"",_xlfn.CONCAT(VLOOKUP($CE169, Constants!$T:$U, 2, FALSE()),",",$F169),VLOOKUP($CE169, Constants!$T:$U, 2, FALSE()))</f>
        <v>role/mixed</v>
      </c>
      <c r="H169" s="1" t="str">
        <f aca="false">IF($G169&lt;&gt;"",_xlfn.CONCAT(VLOOKUP($CG169, Constants!$M:$P, 4, FALSE()),",",$G169),VLOOKUP($CG169, Constants!$M:$P, 4, FALSE()))</f>
        <v>flag/GB,power/steam,role/mixed</v>
      </c>
      <c r="I169" s="1" t="s">
        <v>241</v>
      </c>
      <c r="J169" s="1" t="s">
        <v>249</v>
      </c>
      <c r="K169" s="1" t="s">
        <v>250</v>
      </c>
      <c r="L169" s="1" t="s">
        <v>192</v>
      </c>
      <c r="M169" s="1" t="n">
        <v>1951</v>
      </c>
      <c r="N169" s="1" t="n">
        <v>1954</v>
      </c>
      <c r="O169" s="1" t="n">
        <v>1968</v>
      </c>
      <c r="Q169" s="1" t="n">
        <v>2000</v>
      </c>
      <c r="S169" s="3" t="n">
        <v>20</v>
      </c>
      <c r="T169" s="3" t="n">
        <v>28</v>
      </c>
      <c r="U169" s="3" t="n">
        <v>2</v>
      </c>
      <c r="V169" s="3" t="n">
        <v>250</v>
      </c>
      <c r="W169" s="18" t="n">
        <f aca="false">((($AE169/2)/60)*5280)/($X169*3.2*PI())</f>
        <v>207.320254817074</v>
      </c>
      <c r="X169" s="3" t="n">
        <v>1.9</v>
      </c>
      <c r="Y169" s="3" t="n">
        <f aca="false">((($S169*$S169/4)*PI())*($T169/12)*$U169*$V169*$W169)/(33000*1.1)</f>
        <v>2093.3014354067</v>
      </c>
      <c r="Z169" s="1" t="n">
        <v>95.5</v>
      </c>
      <c r="AA169" s="2" t="n">
        <v>50</v>
      </c>
      <c r="AC169" s="1" t="n">
        <v>143</v>
      </c>
      <c r="AD169" s="4" t="n">
        <f aca="false">IF(AND(Z169&gt;0,AC169&gt;0),(AC169/((Z169+AA169)*10)),"")</f>
        <v>0.0982817869415808</v>
      </c>
      <c r="AE169" s="1" t="n">
        <v>90</v>
      </c>
      <c r="AF169" s="1" t="n">
        <f aca="false">ROUND(AE169*1.6, 0)</f>
        <v>144</v>
      </c>
      <c r="AH169" s="1" t="n">
        <v>20.96</v>
      </c>
      <c r="AI169" s="1" t="n">
        <f aca="false">AH169-7.5</f>
        <v>13.46</v>
      </c>
      <c r="AK169" s="1" t="n">
        <v>3.98</v>
      </c>
      <c r="AL169" s="5" t="n">
        <v>0</v>
      </c>
      <c r="AM169" s="1" t="str">
        <f aca="false">CONCATENATE(VLOOKUP(AN169, 'Voxel Sizes'!$A$2:$B$18,2,FALSE()),"x",INT(AJ169*15), "x", INT(AK169*15))</f>
        <v>136x0x59</v>
      </c>
      <c r="AN169" s="1" t="n">
        <f aca="false">ROUND(15*((AI169*10)/256),0)</f>
        <v>8</v>
      </c>
      <c r="AO169" s="1" t="s">
        <v>222</v>
      </c>
      <c r="AP169" s="1" t="str">
        <f aca="false">CONCATENATE(VLOOKUP(AN169,Constants!$A$2:$C$16,IF(AO169&lt;&gt;"", 3, 2), FALSE()),IF(AO169&lt;&gt;"",CONCATENATE(",",VLOOKUP(AO169,$B:$AP,41,FALSE())),""))</f>
        <v>2,4,2,2,1,2</v>
      </c>
      <c r="AX169" s="1" t="n">
        <v>1</v>
      </c>
      <c r="AZ169" s="1" t="n">
        <v>30</v>
      </c>
      <c r="BA169" s="16" t="n">
        <f aca="false">IF(O169&lt;&gt;"",MAX(16,(O169-M169)+8),"")</f>
        <v>25</v>
      </c>
      <c r="BD169" s="1" t="n">
        <f aca="false">MIN(AE169/150, 1)*30</f>
        <v>18</v>
      </c>
      <c r="BE169" s="1" t="n">
        <f aca="false">MIN(Q169/4000, 1)*20</f>
        <v>10</v>
      </c>
      <c r="BF169" s="1" t="n">
        <f aca="false">MIN(AC169/400,1)*20</f>
        <v>7.15</v>
      </c>
      <c r="BG169" s="4" t="n">
        <f aca="false">1-(MAX(M169-1900, 0)/750)</f>
        <v>0.932</v>
      </c>
      <c r="BH169" s="1" t="n">
        <f aca="false">((MAX($P169,1)*MIN($AL169/300,1)))*IF(J169="Wagon",50,10)</f>
        <v>0</v>
      </c>
      <c r="BI169" s="1" t="n">
        <f aca="false">VLOOKUP($K169,Constants!$I:$K, 2, FALSE())</f>
        <v>1.15</v>
      </c>
      <c r="BJ169" s="1" t="n">
        <f aca="false">VLOOKUP($K169,Constants!$I:$K, 3, FALSE())*IF(AND(J169="multiple_unit",AE169&lt;110),0.75,1)</f>
        <v>1.7</v>
      </c>
      <c r="BK169" s="1" t="n">
        <f aca="false">INT(POWER(((Constants!$G$2+$BD169+$BE169+$BF169+$BH169)*$BG169)*$BJ169, 1.05))+$BC169</f>
        <v>78</v>
      </c>
      <c r="BL169" s="1" t="n">
        <f aca="false">INT(POWER((((Constants!$G$1+$BD169+$BE169+$BF169+$BH169)*($BG169))*$BI169),IF($J169="wagon",1,1.2)))+$BB169</f>
        <v>119</v>
      </c>
      <c r="BM169" s="17" t="n">
        <f aca="false">BK169*IF($J169="wagon",62.5,781.25)</f>
        <v>60937.5</v>
      </c>
      <c r="BN169" s="17" t="n">
        <f aca="false">BL169*IF($J169="wagon",2.73,81.25)</f>
        <v>9668.75</v>
      </c>
      <c r="BU169" s="1" t="str">
        <f aca="false">IF(J169="locomotive","B","")</f>
        <v>B</v>
      </c>
      <c r="BV169" s="1" t="str">
        <f aca="false">IF($J169="locomotive","B","")</f>
        <v>B</v>
      </c>
      <c r="BY169" s="1" t="n">
        <v>9</v>
      </c>
      <c r="CD169" s="1" t="str">
        <f aca="false">VLOOKUP(M169,Eras!$A$2:$C$10, 2, TRUE())</f>
        <v>ebr</v>
      </c>
      <c r="CE169" s="1" t="s">
        <v>129</v>
      </c>
      <c r="CF169" s="1" t="str">
        <f aca="false">CONCATENATE(CD169,"_",CE169)</f>
        <v>ebr_Mixed Traffic</v>
      </c>
      <c r="CG169" s="1" t="str">
        <f aca="false">_xlfn.CONCAT(K169, "_",L169)</f>
        <v>steam_RAIL</v>
      </c>
      <c r="CH169" s="7" t="str">
        <f aca="false">_xlfn.CONCAT("{BLACK}Length: {GOLD}", TEXT(ROUNDUP(IF(AS169&lt;&gt;"",SUM(VALUE(_xlfn.TEXTSPLIT(AS169, ","))), SUM(VALUE(_xlfn.TEXTSPLIT(AP169, ",")))*IF(P169, P169, 1))/16, 1), "#,##0.0"), " tiles{}")</f>
        <v>{BLACK}Length: {GOLD}0.9 tiles{}</v>
      </c>
      <c r="CI169" s="1" t="str">
        <f aca="false">IF(0, VLOOKUP($CG169, Constants!$M:$N, 2, FALSE()),"")</f>
        <v/>
      </c>
      <c r="CJ169" s="1" t="str">
        <f aca="false">IF(P169&gt;1,_xlfn.CONCAT("{BLACK}Cars: {GOLD}", P169),"")</f>
        <v/>
      </c>
      <c r="CK169" s="1" t="s">
        <v>593</v>
      </c>
      <c r="CL169" s="1" t="str">
        <f aca="false">IF($BX169="concept_trains","{GREEN}Concept Vehicle",IF($BX169="!param_no_gameplay_units","{GREEN}Included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{GOLD}0.9 tiles{}{SILVER}The Class 7 combines the best features of pre-BR designs from the Big Four, with the aim of reducing maintenance costs.</v>
      </c>
    </row>
    <row r="170" customFormat="false" ht="14.25" hidden="false" customHeight="false" outlineLevel="0" collapsed="false">
      <c r="A170" s="1" t="s">
        <v>594</v>
      </c>
      <c r="B170" s="15" t="s">
        <v>595</v>
      </c>
      <c r="C170" s="1" t="n">
        <v>176</v>
      </c>
      <c r="E170" s="1" t="n">
        <v>112</v>
      </c>
      <c r="F170" s="1" t="s">
        <v>140</v>
      </c>
      <c r="G170" s="1" t="str">
        <f aca="false">IF($F170&lt;&gt;"",_xlfn.CONCAT(VLOOKUP($CE170, Constants!$T:$U, 2, FALSE()),",",$F170),VLOOKUP($CE170, Constants!$T:$U, 2, FALSE()))</f>
        <v>role/mixed,role/shunting</v>
      </c>
      <c r="H170" s="1" t="str">
        <f aca="false">IF($G170&lt;&gt;"",_xlfn.CONCAT(VLOOKUP($CG170, Constants!$M:$P, 4, FALSE()),",",$G170),VLOOKUP($CG170, Constants!$M:$P, 4, FALSE()))</f>
        <v>flag/GB,power/diesel,role/mixed,role/shunting</v>
      </c>
      <c r="I170" s="1" t="s">
        <v>241</v>
      </c>
      <c r="J170" s="1" t="s">
        <v>249</v>
      </c>
      <c r="K170" s="1" t="s">
        <v>525</v>
      </c>
      <c r="L170" s="1" t="s">
        <v>192</v>
      </c>
      <c r="M170" s="1" t="n">
        <v>1952</v>
      </c>
      <c r="N170" s="1" t="n">
        <v>1962</v>
      </c>
      <c r="Q170" s="1" t="n">
        <v>350</v>
      </c>
      <c r="Z170" s="1" t="n">
        <v>49.8</v>
      </c>
      <c r="AC170" s="1" t="n">
        <v>160</v>
      </c>
      <c r="AD170" s="4" t="n">
        <f aca="false">IF(AND(Z170&gt;0,AC170&gt;0),(AC170/((Z170+AA170)*10)),"")</f>
        <v>0.321285140562249</v>
      </c>
      <c r="AE170" s="1" t="n">
        <v>20</v>
      </c>
      <c r="AF170" s="1" t="n">
        <f aca="false">ROUND(AE170*1.6, 0)</f>
        <v>32</v>
      </c>
      <c r="AH170" s="1" t="n">
        <v>8.92</v>
      </c>
      <c r="AI170" s="1" t="n">
        <v>9.5</v>
      </c>
      <c r="AJ170" s="1" t="n">
        <v>2.59</v>
      </c>
      <c r="AK170" s="1" t="n">
        <v>3.87</v>
      </c>
      <c r="AL170" s="5" t="n">
        <v>0</v>
      </c>
      <c r="AM170" s="1" t="str">
        <f aca="false">CONCATENATE(VLOOKUP(AN170, 'Voxel Sizes'!$A$2:$B$18,2,FALSE()),"x",INT(AJ170*15), "x", INT(AK170*15))</f>
        <v>102x38x58</v>
      </c>
      <c r="AN170" s="1" t="n">
        <f aca="false">ROUND(15*((AI170*10)/256),0)</f>
        <v>6</v>
      </c>
      <c r="AP170" s="1" t="str">
        <f aca="false">CONCATENATE(VLOOKUP(AN170,Constants!$A$2:$C$16,IF(AO170&lt;&gt;"", 3, 2), FALSE()),IF(AO170&lt;&gt;"",CONCATENATE(",",VLOOKUP(AO170,$B:$AP,41,FALSE())),""))</f>
        <v>2,2,2</v>
      </c>
      <c r="AX170" s="1" t="n">
        <v>1</v>
      </c>
      <c r="AZ170" s="1" t="n">
        <v>42</v>
      </c>
      <c r="BA170" s="16" t="str">
        <f aca="false">IF(O170&lt;&gt;"",MAX(16,(O170-M170)+8),"")</f>
        <v/>
      </c>
      <c r="BC170" s="1" t="n">
        <v>-10</v>
      </c>
      <c r="BD170" s="1" t="n">
        <f aca="false">MIN(AE170/150, 1)*30</f>
        <v>4</v>
      </c>
      <c r="BE170" s="1" t="n">
        <f aca="false">MIN(Q170/4000, 1)*20</f>
        <v>1.75</v>
      </c>
      <c r="BF170" s="1" t="n">
        <f aca="false">MIN(AC170/400,1)*20</f>
        <v>8</v>
      </c>
      <c r="BG170" s="4" t="n">
        <f aca="false">1-(MAX(M170-1900, 0)/750)</f>
        <v>0.930666666666667</v>
      </c>
      <c r="BH170" s="1" t="n">
        <f aca="false">((MAX($P170,1)*MIN($AL170/300,1)))*IF(J170="Wagon",50,10)</f>
        <v>0</v>
      </c>
      <c r="BI170" s="1" t="n">
        <f aca="false">VLOOKUP($K170,Constants!$I:$K, 2, FALSE())</f>
        <v>1</v>
      </c>
      <c r="BJ170" s="1" t="n">
        <f aca="false">VLOOKUP($K170,Constants!$I:$K, 3, FALSE())*IF(AND(J170="multiple_unit",AE170&lt;110),0.75,1)</f>
        <v>2</v>
      </c>
      <c r="BK170" s="1" t="n">
        <f aca="false">INT(POWER(((Constants!$G$2+$BD170+$BE170+$BF170+$BH170)*$BG170)*$BJ170, 1.05))+$BC170</f>
        <v>31</v>
      </c>
      <c r="BL170" s="1" t="n">
        <f aca="false">INT(POWER((((Constants!$G$1+$BD170+$BE170+$BF170+$BH170)*($BG170))*$BI170),IF($J170="wagon",1,1.2)))+$BB170</f>
        <v>51</v>
      </c>
      <c r="BM170" s="17" t="n">
        <f aca="false">BK170*IF($J170="wagon",62.5,781.25)</f>
        <v>24218.75</v>
      </c>
      <c r="BN170" s="17" t="n">
        <f aca="false">BL170*IF($J170="wagon",2.73,81.25)</f>
        <v>4143.75</v>
      </c>
      <c r="BU170" s="1" t="str">
        <f aca="false">IF(J170="locomotive","B","")</f>
        <v>B</v>
      </c>
      <c r="BV170" s="1" t="str">
        <f aca="false">IF($J170="locomotive","B","")</f>
        <v>B</v>
      </c>
      <c r="BY170" s="1" t="n">
        <v>10</v>
      </c>
      <c r="CD170" s="1" t="str">
        <f aca="false">VLOOKUP(M170,Eras!$A$2:$C$10, 2, TRUE())</f>
        <v>ebr</v>
      </c>
      <c r="CE170" s="1" t="s">
        <v>356</v>
      </c>
      <c r="CF170" s="1" t="str">
        <f aca="false">CONCATENATE(CD170,"_",CE170)</f>
        <v>ebr_Cheap</v>
      </c>
      <c r="CG170" s="1" t="str">
        <f aca="false">_xlfn.CONCAT(K170, "_",L170)</f>
        <v>diesel_RAIL</v>
      </c>
      <c r="CH170" s="7" t="str">
        <f aca="false">_xlfn.CONCAT("{BLACK}Length: {GOLD}", TEXT(ROUNDUP(IF(AS170&lt;&gt;"",SUM(VALUE(_xlfn.TEXTSPLIT(AS170, ","))), SUM(VALUE(_xlfn.TEXTSPLIT(AP170, ",")))*IF(P170, P170, 1))/16, 1), "#,##0.0"), " tiles{}")</f>
        <v>{BLACK}Length: {GOLD}0.4 tiles{}</v>
      </c>
      <c r="CI170" s="1" t="str">
        <f aca="false">IF(0, VLOOKUP($CG170, Constants!$M:$N, 2, FALSE()),"")</f>
        <v/>
      </c>
      <c r="CJ170" s="1" t="str">
        <f aca="false">IF(P170&gt;1,_xlfn.CONCAT("{BLACK}Cars: {GOLD}", P170),"")</f>
        <v/>
      </c>
      <c r="CK170" s="1" t="s">
        <v>596</v>
      </c>
      <c r="CL170" s="1" t="str">
        <f aca="false">IF($BX170="concept_trains","{GREEN}Concept Vehicle",IF($BX170="!param_no_gameplay_units","{GREEN}Included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1" customFormat="false" ht="14.25" hidden="false" customHeight="false" outlineLevel="0" collapsed="false">
      <c r="A171" s="1" t="s">
        <v>597</v>
      </c>
      <c r="B171" s="15" t="s">
        <v>598</v>
      </c>
      <c r="C171" s="1" t="n">
        <v>177</v>
      </c>
      <c r="E171" s="1" t="n">
        <v>113</v>
      </c>
      <c r="G171" s="1" t="str">
        <f aca="false">IF($F171&lt;&gt;"",_xlfn.CONCAT(VLOOKUP($CE171, Constants!$T:$U, 2, FALSE()),",",$F171),VLOOKUP($CE171, Constants!$T:$U, 2, FALSE()))</f>
        <v>role/express_passenger</v>
      </c>
      <c r="H171" s="1" t="str">
        <f aca="false">IF($G171&lt;&gt;"",_xlfn.CONCAT(VLOOKUP($CG171, Constants!$M:$P, 4, FALSE()),",",$G171),VLOOKUP($CG171, Constants!$M:$P, 4, FALSE()))</f>
        <v>flag/GB,power/electric,role/express_passenger</v>
      </c>
      <c r="I171" s="1" t="s">
        <v>241</v>
      </c>
      <c r="J171" s="1" t="s">
        <v>249</v>
      </c>
      <c r="K171" s="1" t="s">
        <v>388</v>
      </c>
      <c r="L171" s="1" t="s">
        <v>389</v>
      </c>
      <c r="M171" s="1" t="n">
        <v>1953</v>
      </c>
      <c r="N171" s="1" t="n">
        <v>1954</v>
      </c>
      <c r="O171" s="1" t="n">
        <v>1968</v>
      </c>
      <c r="Q171" s="1" t="n">
        <v>2490</v>
      </c>
      <c r="Z171" s="1" t="n">
        <v>104.1</v>
      </c>
      <c r="AC171" s="1" t="n">
        <v>200</v>
      </c>
      <c r="AD171" s="4" t="n">
        <f aca="false">IF(AND(Z171&gt;0,AC171&gt;0),(AC171/((Z171+AA171)*10)),"")</f>
        <v>0.192122958693564</v>
      </c>
      <c r="AE171" s="1" t="n">
        <v>90</v>
      </c>
      <c r="AF171" s="1" t="n">
        <f aca="false">ROUND(AE171*1.6, 0)</f>
        <v>144</v>
      </c>
      <c r="AH171" s="1" t="n">
        <v>17.98</v>
      </c>
      <c r="AI171" s="1" t="n">
        <v>17.98</v>
      </c>
      <c r="AL171" s="5" t="n">
        <v>0</v>
      </c>
      <c r="AM171" s="1" t="str">
        <f aca="false">CONCATENATE(VLOOKUP(AN171, 'Voxel Sizes'!$A$2:$B$18,2,FALSE()),"x",INT(AJ171*15), "x", INT(AK171*15))</f>
        <v>186x0x0</v>
      </c>
      <c r="AN171" s="1" t="n">
        <f aca="false">ROUND(15*((AI171*10)/256),0)</f>
        <v>11</v>
      </c>
      <c r="AP171" s="1" t="str">
        <f aca="false">CONCATENATE(VLOOKUP(AN171,Constants!$A$2:$C$16,IF(AO171&lt;&gt;"", 3, 2), FALSE()),IF(AO171&lt;&gt;"",CONCATENATE(",",VLOOKUP(AO171,$B:$AP,41,FALSE())),""))</f>
        <v>4,3,4</v>
      </c>
      <c r="AZ171" s="1" t="n">
        <v>25</v>
      </c>
      <c r="BA171" s="16" t="n">
        <f aca="false">IF(O171&lt;&gt;"",MAX(16,(O171-M171)+8),"")</f>
        <v>23</v>
      </c>
      <c r="BD171" s="1" t="n">
        <f aca="false">MIN(AE171/150, 1)*30</f>
        <v>18</v>
      </c>
      <c r="BE171" s="1" t="n">
        <f aca="false">MIN(Q171/4000, 1)*20</f>
        <v>12.45</v>
      </c>
      <c r="BF171" s="1" t="n">
        <f aca="false">MIN(AC171/400,1)*20</f>
        <v>10</v>
      </c>
      <c r="BG171" s="4" t="n">
        <f aca="false">1-(MAX(M171-1900, 0)/750)</f>
        <v>0.929333333333333</v>
      </c>
      <c r="BH171" s="1" t="n">
        <f aca="false">((MAX($P171,1)*MIN($AL171/300,1)))*IF(J171="Wagon",50,10)</f>
        <v>0</v>
      </c>
      <c r="BI171" s="1" t="n">
        <f aca="false">VLOOKUP($K171,Constants!$I:$K, 2, FALSE())</f>
        <v>0.85</v>
      </c>
      <c r="BJ171" s="1" t="n">
        <f aca="false">VLOOKUP($K171,Constants!$I:$K, 3, FALSE())*IF(AND(J171="multiple_unit",AE171&lt;110),0.75,1)</f>
        <v>2.3</v>
      </c>
      <c r="BK171" s="1" t="n">
        <f aca="false">INT(POWER(((Constants!$G$2+$BD171+$BE171+$BF171+$BH171)*$BG171)*$BJ171, 1.05))+$BC171</f>
        <v>122</v>
      </c>
      <c r="BL171" s="1" t="n">
        <f aca="false">INT(POWER((((Constants!$G$1+$BD171+$BE171+$BF171+$BH171)*($BG171))*$BI171),IF($J171="wagon",1,1.2)))+$BB171</f>
        <v>93</v>
      </c>
      <c r="BM171" s="17" t="n">
        <f aca="false">BK171*IF($J171="wagon",62.5,781.25)</f>
        <v>95312.5</v>
      </c>
      <c r="BN171" s="17" t="n">
        <f aca="false">BL171*IF($J171="wagon",2.73,81.25)</f>
        <v>7556.25</v>
      </c>
      <c r="BU171" s="1" t="str">
        <f aca="false">IF(J171="locomotive","B","")</f>
        <v>B</v>
      </c>
      <c r="BV171" s="1" t="str">
        <f aca="false">IF($J171="locomotive","B","")</f>
        <v>B</v>
      </c>
      <c r="BY171" s="1" t="n">
        <v>11</v>
      </c>
      <c r="CD171" s="1" t="str">
        <f aca="false">VLOOKUP(M171,Eras!$A$2:$C$10, 2, TRUE())</f>
        <v>ebr</v>
      </c>
      <c r="CE171" s="1" t="s">
        <v>447</v>
      </c>
      <c r="CF171" s="1" t="str">
        <f aca="false">CONCATENATE(CD171,"_",CE171)</f>
        <v>ebr_Express (Electric)</v>
      </c>
      <c r="CG171" s="1" t="str">
        <f aca="false">_xlfn.CONCAT(K171, "_",L171)</f>
        <v>electric_ELRL</v>
      </c>
      <c r="CH171" s="7" t="str">
        <f aca="false">_xlfn.CONCAT("{BLACK}Length: {GOLD}", TEXT(ROUNDUP(IF(AS171&lt;&gt;"",SUM(VALUE(_xlfn.TEXTSPLIT(AS171, ","))), SUM(VALUE(_xlfn.TEXTSPLIT(AP171, ",")))*IF(P171, P171, 1))/16, 1), "#,##0.0"), " tiles{}")</f>
        <v>{BLACK}Length: {GOLD}0.7 tiles{}</v>
      </c>
      <c r="CI171" s="1" t="str">
        <f aca="false">IF(0, VLOOKUP($CG171, Constants!$M:$N, 2, FALSE()),"")</f>
        <v/>
      </c>
      <c r="CJ171" s="1" t="str">
        <f aca="false">IF(P171&gt;1,_xlfn.CONCAT("{BLACK}Cars: {GOLD}", P171),"")</f>
        <v/>
      </c>
      <c r="CK171" s="1" t="s">
        <v>599</v>
      </c>
      <c r="CL171" s="1" t="str">
        <f aca="false">IF($BX171="concept_trains","{GREEN}Concept Vehicle",IF($BX171="!param_no_gameplay_units","{GREEN}Included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77  is a larger version of the earlier Class 76, designed to haul passenger services on the Woodhead Line.</v>
      </c>
    </row>
    <row r="172" customFormat="false" ht="14.25" hidden="false" customHeight="false" outlineLevel="0" collapsed="false">
      <c r="A172" s="1" t="s">
        <v>600</v>
      </c>
      <c r="B172" s="15" t="s">
        <v>601</v>
      </c>
      <c r="C172" s="1" t="n">
        <v>178</v>
      </c>
      <c r="E172" s="1" t="n">
        <v>114</v>
      </c>
      <c r="G172" s="1" t="str">
        <f aca="false">IF($F172&lt;&gt;"",_xlfn.CONCAT(VLOOKUP($CE172, Constants!$T:$U, 2, FALSE()),",",$F172),VLOOKUP($CE172, Constants!$T:$U, 2, FALSE()))</f>
        <v>role/freight</v>
      </c>
      <c r="H172" s="1" t="str">
        <f aca="false">IF($G172&lt;&gt;"",_xlfn.CONCAT(VLOOKUP($CG172, Constants!$M:$P, 4, FALSE()),",",$G172),VLOOKUP($CG172, Constants!$M:$P, 4, FALSE()))</f>
        <v>flag/GB,power/steam,role/freight</v>
      </c>
      <c r="I172" s="1" t="s">
        <v>241</v>
      </c>
      <c r="J172" s="1" t="s">
        <v>249</v>
      </c>
      <c r="K172" s="1" t="s">
        <v>250</v>
      </c>
      <c r="L172" s="1" t="s">
        <v>192</v>
      </c>
      <c r="M172" s="1" t="n">
        <v>1954</v>
      </c>
      <c r="N172" s="1" t="n">
        <v>1960</v>
      </c>
      <c r="O172" s="1" t="n">
        <v>1968</v>
      </c>
      <c r="Q172" s="1" t="n">
        <v>2500</v>
      </c>
      <c r="S172" s="3" t="n">
        <v>20</v>
      </c>
      <c r="T172" s="3" t="n">
        <v>28</v>
      </c>
      <c r="U172" s="3" t="n">
        <v>2</v>
      </c>
      <c r="V172" s="3" t="n">
        <v>250</v>
      </c>
      <c r="W172" s="18" t="n">
        <f aca="false">((($AE172/2)/60)*5280)/($X172*3.2*PI())</f>
        <v>262.605656101627</v>
      </c>
      <c r="X172" s="3" t="n">
        <v>1.5</v>
      </c>
      <c r="Y172" s="3" t="n">
        <f aca="false">((($S172*$S172/4)*PI())*($T172/12)*$U172*$V172*$W172)/(33000*1.1)</f>
        <v>2651.51515151515</v>
      </c>
      <c r="Z172" s="1" t="n">
        <v>90</v>
      </c>
      <c r="AA172" s="2" t="n">
        <v>51</v>
      </c>
      <c r="AC172" s="1" t="n">
        <v>176</v>
      </c>
      <c r="AD172" s="4" t="n">
        <f aca="false">IF(AND(Z172&gt;0,AC172&gt;0),(AC172/((Z172+AA172)*10)),"")</f>
        <v>0.124822695035461</v>
      </c>
      <c r="AE172" s="1" t="n">
        <v>90</v>
      </c>
      <c r="AF172" s="1" t="n">
        <f aca="false">ROUND(AE172*1.6, 0)</f>
        <v>144</v>
      </c>
      <c r="AH172" s="1" t="n">
        <v>20.17</v>
      </c>
      <c r="AI172" s="1" t="n">
        <v>15</v>
      </c>
      <c r="AL172" s="5" t="n">
        <v>0</v>
      </c>
      <c r="AM172" s="1" t="str">
        <f aca="false">CONCATENATE(VLOOKUP(AN172, 'Voxel Sizes'!$A$2:$B$18,2,FALSE()),"x",INT(AJ172*15), "x", INT(AK172*15))</f>
        <v>152x0x0</v>
      </c>
      <c r="AN172" s="1" t="n">
        <f aca="false">ROUND(15*((AI172*10)/256),0)</f>
        <v>9</v>
      </c>
      <c r="AO172" s="1" t="s">
        <v>222</v>
      </c>
      <c r="AP172" s="1" t="str">
        <f aca="false">CONCATENATE(VLOOKUP(AN172,Constants!$A$2:$C$16,IF(AO172&lt;&gt;"", 3, 2), FALSE()),IF(AO172&lt;&gt;"",CONCATENATE(",",VLOOKUP(AO172,$B:$AP,41,FALSE())),""))</f>
        <v>2,5,2,2,1,2</v>
      </c>
      <c r="AX172" s="1" t="n">
        <v>1</v>
      </c>
      <c r="AZ172" s="1" t="n">
        <v>33</v>
      </c>
      <c r="BA172" s="16" t="n">
        <f aca="false">IF(O172&lt;&gt;"",MAX(16,(O172-M172)+8),"")</f>
        <v>22</v>
      </c>
      <c r="BD172" s="1" t="n">
        <f aca="false">MIN(AE172/150, 1)*30</f>
        <v>18</v>
      </c>
      <c r="BE172" s="1" t="n">
        <f aca="false">MIN(Q172/4000, 1)*20</f>
        <v>12.5</v>
      </c>
      <c r="BF172" s="1" t="n">
        <f aca="false">MIN(AC172/400,1)*20</f>
        <v>8.8</v>
      </c>
      <c r="BG172" s="4" t="n">
        <f aca="false">1-(MAX(M172-1900, 0)/750)</f>
        <v>0.928</v>
      </c>
      <c r="BH172" s="1" t="n">
        <f aca="false">((MAX($P172,1)*MIN($AL172/300,1)))*IF(J172="Wagon",50,10)</f>
        <v>0</v>
      </c>
      <c r="BI172" s="1" t="n">
        <f aca="false">VLOOKUP($K172,Constants!$I:$K, 2, FALSE())</f>
        <v>1.15</v>
      </c>
      <c r="BJ172" s="1" t="n">
        <f aca="false">VLOOKUP($K172,Constants!$I:$K, 3, FALSE())*IF(AND(J172="multiple_unit",AE172&lt;110),0.75,1)</f>
        <v>1.7</v>
      </c>
      <c r="BK172" s="1" t="n">
        <f aca="false">INT(POWER(((Constants!$G$2+$BD172+$BE172+$BF172+$BH172)*$BG172)*$BJ172, 1.05))+$BC172</f>
        <v>86</v>
      </c>
      <c r="BL172" s="1" t="n">
        <f aca="false">INT(POWER((((Constants!$G$1+$BD172+$BE172+$BF172+$BH172)*($BG172))*$BI172),IF($J172="wagon",1,1.2)))+$BB172</f>
        <v>130</v>
      </c>
      <c r="BM172" s="17" t="n">
        <f aca="false">BK172*IF($J172="wagon",62.5,781.25)</f>
        <v>67187.5</v>
      </c>
      <c r="BN172" s="17" t="n">
        <f aca="false">BL172*IF($J172="wagon",2.73,81.25)</f>
        <v>10562.5</v>
      </c>
      <c r="BU172" s="1" t="str">
        <f aca="false">IF(J172="locomotive","B","")</f>
        <v>B</v>
      </c>
      <c r="BV172" s="1" t="str">
        <f aca="false">IF($J172="locomotive","B","")</f>
        <v>B</v>
      </c>
      <c r="BY172" s="1" t="n">
        <v>12</v>
      </c>
      <c r="CD172" s="1" t="str">
        <f aca="false">VLOOKUP(M172,Eras!$A$2:$C$10, 2, TRUE())</f>
        <v>ebr</v>
      </c>
      <c r="CE172" s="1" t="s">
        <v>132</v>
      </c>
      <c r="CF172" s="1" t="str">
        <f aca="false">CONCATENATE(CD172,"_",CE172)</f>
        <v>ebr_Freight</v>
      </c>
      <c r="CG172" s="1" t="str">
        <f aca="false">_xlfn.CONCAT(K172, "_",L172)</f>
        <v>steam_RAIL</v>
      </c>
      <c r="CH172" s="7" t="str">
        <f aca="false">_xlfn.CONCAT("{BLACK}Length: {GOLD}", TEXT(ROUNDUP(IF(AS172&lt;&gt;"",SUM(VALUE(_xlfn.TEXTSPLIT(AS172, ","))), SUM(VALUE(_xlfn.TEXTSPLIT(AP172, ",")))*IF(P172, P172, 1))/16, 1), "#,##0.0"), " tiles{}")</f>
        <v>{BLACK}Length: {GOLD}0.9 tiles{}</v>
      </c>
      <c r="CI172" s="1" t="str">
        <f aca="false">IF(0, VLOOKUP($CG172, Constants!$M:$N, 2, FALSE()),"")</f>
        <v/>
      </c>
      <c r="CJ172" s="1" t="str">
        <f aca="false">IF(P172&gt;1,_xlfn.CONCAT("{BLACK}Cars: {GOLD}", P172),"")</f>
        <v/>
      </c>
      <c r="CK172" s="1" t="s">
        <v>602</v>
      </c>
      <c r="CL172" s="1" t="str">
        <f aca="false">IF($BX172="concept_trains","{GREEN}Concept Vehicle",IF($BX172="!param_no_gameplay_units","{GREEN}Included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{GOLD}0.9 tiles{}{SILVER}The 9F class included the last steam locomotive ever to be built by British Railways, "Evening Star"</v>
      </c>
    </row>
    <row r="173" customFormat="false" ht="14.25" hidden="false" customHeight="false" outlineLevel="0" collapsed="false">
      <c r="A173" s="1" t="s">
        <v>603</v>
      </c>
      <c r="B173" s="15" t="s">
        <v>604</v>
      </c>
      <c r="C173" s="1" t="n">
        <v>179</v>
      </c>
      <c r="E173" s="1" t="n">
        <v>115</v>
      </c>
      <c r="G173" s="1" t="str">
        <f aca="false">IF($F173&lt;&gt;"",_xlfn.CONCAT(VLOOKUP($CE173, Constants!$T:$U, 2, FALSE()),",",$F173),VLOOKUP($CE173, Constants!$T:$U, 2, FALSE()))</f>
        <v>role/express_passenger</v>
      </c>
      <c r="H173" s="1" t="str">
        <f aca="false">IF($G173&lt;&gt;"",_xlfn.CONCAT(VLOOKUP($CG173, Constants!$M:$P, 4, FALSE()),",",$G173),VLOOKUP($CG173, Constants!$M:$P, 4, FALSE()))</f>
        <v>flag/GB,power/diesel,role/express_passenger</v>
      </c>
      <c r="I173" s="1" t="s">
        <v>241</v>
      </c>
      <c r="J173" s="1" t="s">
        <v>249</v>
      </c>
      <c r="K173" s="1" t="s">
        <v>525</v>
      </c>
      <c r="L173" s="1" t="s">
        <v>192</v>
      </c>
      <c r="M173" s="1" t="n">
        <v>1955</v>
      </c>
      <c r="N173" s="1" t="n">
        <v>1962</v>
      </c>
      <c r="O173" s="1" t="n">
        <v>1982</v>
      </c>
      <c r="Q173" s="1" t="n">
        <v>3300</v>
      </c>
      <c r="Z173" s="1" t="n">
        <v>108</v>
      </c>
      <c r="AC173" s="1" t="n">
        <v>233</v>
      </c>
      <c r="AD173" s="4" t="n">
        <f aca="false">IF(AND(Z173&gt;0,AC173&gt;0),(AC173/((Z173+AA173)*10)),"")</f>
        <v>0.215740740740741</v>
      </c>
      <c r="AE173" s="1" t="n">
        <v>106</v>
      </c>
      <c r="AF173" s="1" t="n">
        <f aca="false">ROUND(AE173*1.6, 0)</f>
        <v>170</v>
      </c>
      <c r="AH173" s="1" t="n">
        <v>21.18</v>
      </c>
      <c r="AI173" s="1" t="n">
        <v>21.18</v>
      </c>
      <c r="AK173" s="1" t="n">
        <v>3.91</v>
      </c>
      <c r="AL173" s="5" t="n">
        <v>0</v>
      </c>
      <c r="AM173" s="1" t="str">
        <f aca="false">CONCATENATE(VLOOKUP(AN173, 'Voxel Sizes'!$A$2:$B$18,2,FALSE()),"x",INT(AJ173*15), "x", INT(AK173*15))</f>
        <v>198x0x58</v>
      </c>
      <c r="AN173" s="1" t="n">
        <f aca="false">ROUND(15*((AI173*10)/256),0)</f>
        <v>12</v>
      </c>
      <c r="AP173" s="1" t="str">
        <f aca="false">CONCATENATE(VLOOKUP(AN173,Constants!$A$2:$C$16,IF(AO173&lt;&gt;"", 3, 2), FALSE()),IF(AO173&lt;&gt;"",CONCATENATE(",",VLOOKUP(AO173,$B:$AP,41,FALSE())),""))</f>
        <v>4,4,4</v>
      </c>
      <c r="AZ173" s="1" t="n">
        <v>26</v>
      </c>
      <c r="BA173" s="16" t="n">
        <f aca="false">IF(O173&lt;&gt;"",MAX(16,(O173-M173)+8),"")</f>
        <v>35</v>
      </c>
      <c r="BD173" s="1" t="n">
        <f aca="false">MIN(AE173/150, 1)*30</f>
        <v>21.2</v>
      </c>
      <c r="BE173" s="1" t="n">
        <f aca="false">MIN(Q173/4000, 1)*20</f>
        <v>16.5</v>
      </c>
      <c r="BF173" s="1" t="n">
        <f aca="false">MIN(AC173/400,1)*20</f>
        <v>11.65</v>
      </c>
      <c r="BG173" s="4" t="n">
        <f aca="false">1-(MAX(M173-1900, 0)/750)</f>
        <v>0.926666666666667</v>
      </c>
      <c r="BH173" s="1" t="n">
        <f aca="false">((MAX($P173,1)*MIN($AL173/300,1)))*IF(J173="Wagon",50,10)</f>
        <v>0</v>
      </c>
      <c r="BI173" s="1" t="n">
        <f aca="false">VLOOKUP($K173,Constants!$I:$K, 2, FALSE())</f>
        <v>1</v>
      </c>
      <c r="BJ173" s="1" t="n">
        <f aca="false">VLOOKUP($K173,Constants!$I:$K, 3, FALSE())*IF(AND(J173="multiple_unit",AE173&lt;110),0.75,1)</f>
        <v>2</v>
      </c>
      <c r="BK173" s="1" t="n">
        <f aca="false">INT(POWER(((Constants!$G$2+$BD173+$BE173+$BF173+$BH173)*$BG173)*$BJ173, 1.05))+$BC173</f>
        <v>126</v>
      </c>
      <c r="BL173" s="1" t="n">
        <f aca="false">INT(POWER((((Constants!$G$1+$BD173+$BE173+$BF173+$BH173)*($BG173))*$BI173),IF($J173="wagon",1,1.2)))+$BB173</f>
        <v>135</v>
      </c>
      <c r="BM173" s="17" t="n">
        <f aca="false">BK173*IF($J173="wagon",62.5,781.25)</f>
        <v>98437.5</v>
      </c>
      <c r="BN173" s="17" t="n">
        <f aca="false">BL173*IF($J173="wagon",2.73,81.25)</f>
        <v>10968.75</v>
      </c>
      <c r="BU173" s="1" t="str">
        <f aca="false">IF(J173="locomotive","B","")</f>
        <v>B</v>
      </c>
      <c r="BV173" s="1" t="str">
        <f aca="false">IF($J173="locomotive","B","")</f>
        <v>B</v>
      </c>
      <c r="BY173" s="1" t="n">
        <v>1</v>
      </c>
      <c r="CD173" s="1" t="str">
        <f aca="false">VLOOKUP(M173,Eras!$A$2:$C$10, 2, TRUE())</f>
        <v>dsl</v>
      </c>
      <c r="CE173" s="1" t="s">
        <v>282</v>
      </c>
      <c r="CF173" s="1" t="str">
        <f aca="false">CONCATENATE(CD173,"_",CE173)</f>
        <v>dsl_Express</v>
      </c>
      <c r="CG173" s="1" t="str">
        <f aca="false">_xlfn.CONCAT(K173, "_",L173)</f>
        <v>diesel_RAIL</v>
      </c>
      <c r="CH173" s="7" t="str">
        <f aca="false">_xlfn.CONCAT("{BLACK}Length: {GOLD}", TEXT(ROUNDUP(IF(AS173&lt;&gt;"",SUM(VALUE(_xlfn.TEXTSPLIT(AS173, ","))), SUM(VALUE(_xlfn.TEXTSPLIT(AP173, ",")))*IF(P173, P173, 1))/16, 1), "#,##0.0"), " tiles{}")</f>
        <v>{BLACK}Length: {GOLD}0.8 tiles{}</v>
      </c>
      <c r="CI173" s="1" t="str">
        <f aca="false">IF(0, VLOOKUP($CG173, Constants!$M:$N, 2, FALSE()),"")</f>
        <v/>
      </c>
      <c r="CJ173" s="1" t="str">
        <f aca="false">IF(P173&gt;1,_xlfn.CONCAT("{BLACK}Cars: {GOLD}", P173),"")</f>
        <v/>
      </c>
      <c r="CK173" s="1" t="s">
        <v>605</v>
      </c>
      <c r="CL173" s="1" t="str">
        <f aca="false">IF($BX173="concept_trains","{GREEN}Concept Vehicle",IF($BX173="!param_no_gameplay_units","{GREEN}Included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{GOLD}0.8 tiles{}{SILVER}The Class 55 uses two Napier Deltic marine engines to create a high speed express diesel locomotive.</v>
      </c>
    </row>
    <row r="174" customFormat="false" ht="14.25" hidden="false" customHeight="false" outlineLevel="0" collapsed="false">
      <c r="A174" s="1" t="s">
        <v>606</v>
      </c>
      <c r="B174" s="15" t="s">
        <v>607</v>
      </c>
      <c r="C174" s="1" t="n">
        <v>180</v>
      </c>
      <c r="E174" s="1" t="n">
        <v>116</v>
      </c>
      <c r="G174" s="1" t="str">
        <f aca="false">IF($F174&lt;&gt;"",_xlfn.CONCAT(VLOOKUP($CE174, Constants!$T:$U, 2, FALSE()),",",$F174),VLOOKUP($CE174, Constants!$T:$U, 2, FALSE()))</f>
        <v>role/freight</v>
      </c>
      <c r="H174" s="1" t="str">
        <f aca="false">IF($G174&lt;&gt;"",_xlfn.CONCAT(VLOOKUP($CG174, Constants!$M:$P, 4, FALSE()),",",$G174),VLOOKUP($CG174, Constants!$M:$P, 4, FALSE()))</f>
        <v>flag/GB,power/diesel,role/freight</v>
      </c>
      <c r="I174" s="1" t="s">
        <v>241</v>
      </c>
      <c r="J174" s="1" t="s">
        <v>249</v>
      </c>
      <c r="K174" s="1" t="s">
        <v>525</v>
      </c>
      <c r="L174" s="1" t="s">
        <v>192</v>
      </c>
      <c r="M174" s="1" t="n">
        <v>1957</v>
      </c>
      <c r="N174" s="1" t="n">
        <v>1962</v>
      </c>
      <c r="O174" s="1" t="n">
        <v>2017</v>
      </c>
      <c r="Q174" s="1" t="n">
        <v>1250</v>
      </c>
      <c r="Z174" s="1" t="n">
        <v>108.4</v>
      </c>
      <c r="AC174" s="1" t="n">
        <v>160</v>
      </c>
      <c r="AD174" s="4" t="n">
        <f aca="false">IF(AND(Z174&gt;0,AC174&gt;0),(AC174/((Z174+AA174)*10)),"")</f>
        <v>0.14760147601476</v>
      </c>
      <c r="AE174" s="1" t="n">
        <v>80</v>
      </c>
      <c r="AF174" s="1" t="n">
        <f aca="false">ROUND(AE174*1.6, 0)</f>
        <v>128</v>
      </c>
      <c r="AH174" s="1" t="n">
        <v>17.3</v>
      </c>
      <c r="AI174" s="1" t="n">
        <v>17.3</v>
      </c>
      <c r="AK174" s="1" t="n">
        <v>3.84</v>
      </c>
      <c r="AL174" s="5" t="n">
        <v>0</v>
      </c>
      <c r="AM174" s="1" t="str">
        <f aca="false">CONCATENATE(VLOOKUP(AN174, 'Voxel Sizes'!$A$2:$B$18,2,FALSE()),"x",INT(AJ174*15), "x", INT(AK174*15))</f>
        <v>164x0x57</v>
      </c>
      <c r="AN174" s="1" t="n">
        <f aca="false">ROUND(15*((AI174*10)/256),0)</f>
        <v>10</v>
      </c>
      <c r="AP174" s="1" t="str">
        <f aca="false">CONCATENATE(VLOOKUP(AN174,Constants!$A$2:$C$16,IF(AO174&lt;&gt;"", 3, 2), FALSE()),IF(AO174&lt;&gt;"",CONCATENATE(",",VLOOKUP(AO174,$B:$AP,41,FALSE())),""))</f>
        <v>4,2,4</v>
      </c>
      <c r="AZ174" s="1" t="n">
        <v>30</v>
      </c>
      <c r="BA174" s="16" t="n">
        <f aca="false">IF(O174&lt;&gt;"",MAX(16,(O174-M174)+8),"")</f>
        <v>68</v>
      </c>
      <c r="BD174" s="1" t="n">
        <f aca="false">MIN(AE174/150, 1)*30</f>
        <v>16</v>
      </c>
      <c r="BE174" s="1" t="n">
        <f aca="false">MIN(Q174/4000, 1)*20</f>
        <v>6.25</v>
      </c>
      <c r="BF174" s="1" t="n">
        <f aca="false">MIN(AC174/400,1)*20</f>
        <v>8</v>
      </c>
      <c r="BG174" s="4" t="n">
        <f aca="false">1-(MAX(M174-1900, 0)/750)</f>
        <v>0.924</v>
      </c>
      <c r="BH174" s="1" t="n">
        <f aca="false">((MAX($P174,1)*MIN($AL174/300,1)))*IF(J174="Wagon",50,10)</f>
        <v>0</v>
      </c>
      <c r="BI174" s="1" t="n">
        <f aca="false">VLOOKUP($K174,Constants!$I:$K, 2, FALSE())</f>
        <v>1</v>
      </c>
      <c r="BJ174" s="1" t="n">
        <f aca="false">VLOOKUP($K174,Constants!$I:$K, 3, FALSE())*IF(AND(J174="multiple_unit",AE174&lt;110),0.75,1)</f>
        <v>2</v>
      </c>
      <c r="BK174" s="1" t="n">
        <f aca="false">INT(POWER(((Constants!$G$2+$BD174+$BE174+$BF174+$BH174)*$BG174)*$BJ174, 1.05))+$BC174</f>
        <v>80</v>
      </c>
      <c r="BL174" s="1" t="n">
        <f aca="false">INT(POWER((((Constants!$G$1+$BD174+$BE174+$BF174+$BH174)*($BG174))*$BI174),IF($J174="wagon",1,1.2)))+$BB174</f>
        <v>88</v>
      </c>
      <c r="BM174" s="17" t="n">
        <f aca="false">BK174*IF($J174="wagon",62.5,781.25)</f>
        <v>62500</v>
      </c>
      <c r="BN174" s="17" t="n">
        <f aca="false">BL174*IF($J174="wagon",2.73,81.25)</f>
        <v>7150</v>
      </c>
      <c r="BU174" s="1" t="str">
        <f aca="false">IF(J174="locomotive","B","")</f>
        <v>B</v>
      </c>
      <c r="BV174" s="1" t="str">
        <f aca="false">IF($J174="locomotive","B","")</f>
        <v>B</v>
      </c>
      <c r="BY174" s="1" t="n">
        <v>3</v>
      </c>
      <c r="CD174" s="1" t="str">
        <f aca="false">VLOOKUP(M174,Eras!$A$2:$C$10, 2, TRUE())</f>
        <v>dsl</v>
      </c>
      <c r="CE174" s="1" t="s">
        <v>132</v>
      </c>
      <c r="CF174" s="1" t="str">
        <f aca="false">CONCATENATE(CD174,"_",CE174)</f>
        <v>dsl_Freight</v>
      </c>
      <c r="CG174" s="1" t="str">
        <f aca="false">_xlfn.CONCAT(K174, "_",L174)</f>
        <v>diesel_RAIL</v>
      </c>
      <c r="CH174" s="7" t="str">
        <f aca="false">_xlfn.CONCAT("{BLACK}Length: {GOLD}", TEXT(ROUNDUP(IF(AS174&lt;&gt;"",SUM(VALUE(_xlfn.TEXTSPLIT(AS174, ","))), SUM(VALUE(_xlfn.TEXTSPLIT(AP174, ",")))*IF(P174, P174, 1))/16, 1), "#,##0.0"), " tiles{}")</f>
        <v>{BLACK}Length: {GOLD}0.7 tiles{}</v>
      </c>
      <c r="CI174" s="1" t="str">
        <f aca="false">IF(0, VLOOKUP($CG174, Constants!$M:$N, 2, FALSE()),"")</f>
        <v/>
      </c>
      <c r="CJ174" s="1" t="str">
        <f aca="false">IF(P174&gt;1,_xlfn.CONCAT("{BLACK}Cars: {GOLD}", P174),"")</f>
        <v/>
      </c>
      <c r="CK174" s="1" t="s">
        <v>608</v>
      </c>
      <c r="CL174" s="1" t="str">
        <f aca="false">IF($BX174="concept_trains","{GREEN}Concept Vehicle",IF($BX174="!param_no_gameplay_units","{GREEN}Included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tiles{}{SILVER}The Class 31 (Brush Type 2) was part of BR's pilot scheme to test replacing steam locomotives with diesel traction. It had many nicknames including "Ped", "Gargoyle" and "Gurgler"</v>
      </c>
    </row>
    <row r="175" customFormat="false" ht="14.25" hidden="false" customHeight="false" outlineLevel="0" collapsed="false">
      <c r="A175" s="1" t="s">
        <v>609</v>
      </c>
      <c r="B175" s="19" t="s">
        <v>610</v>
      </c>
      <c r="C175" s="1" t="n">
        <v>1043</v>
      </c>
      <c r="E175" s="1" t="n">
        <v>117</v>
      </c>
      <c r="F175" s="1" t="s">
        <v>140</v>
      </c>
      <c r="G175" s="1" t="str">
        <f aca="false">IF($F175&lt;&gt;"",_xlfn.CONCAT(VLOOKUP($CE175, Constants!$T:$U, 2, FALSE()),",",$F175),VLOOKUP($CE175, Constants!$T:$U, 2, FALSE()))</f>
        <v>role/mixed,role/shunting</v>
      </c>
      <c r="H175" s="1" t="str">
        <f aca="false">IF($G175&lt;&gt;"",_xlfn.CONCAT(VLOOKUP($CG175, Constants!$M:$P, 4, FALSE()),",",$G175),VLOOKUP($CG175, Constants!$M:$P, 4, FALSE()))</f>
        <v>flag/GB,power/diesel,role/mixed,role/shunting</v>
      </c>
      <c r="I175" s="1" t="s">
        <v>241</v>
      </c>
      <c r="J175" s="1" t="s">
        <v>249</v>
      </c>
      <c r="K175" s="1" t="s">
        <v>525</v>
      </c>
      <c r="L175" s="1" t="s">
        <v>192</v>
      </c>
      <c r="M175" s="1" t="n">
        <v>1957</v>
      </c>
      <c r="N175" s="1" t="n">
        <v>1961</v>
      </c>
      <c r="O175" s="1" t="n">
        <v>1993</v>
      </c>
      <c r="Q175" s="1" t="n">
        <v>200</v>
      </c>
      <c r="Z175" s="1" t="n">
        <v>30</v>
      </c>
      <c r="AC175" s="1" t="n">
        <v>70</v>
      </c>
      <c r="AD175" s="4" t="n">
        <f aca="false">IF(AND(Z175&gt;0,AC175&gt;0),(AC175/((Z175+AA175)*10)),"")</f>
        <v>0.233333333333333</v>
      </c>
      <c r="AE175" s="1" t="n">
        <v>28</v>
      </c>
      <c r="AF175" s="1" t="n">
        <f aca="false">ROUND(AE175*1.6, 0)</f>
        <v>45</v>
      </c>
      <c r="AH175" s="1" t="n">
        <v>8</v>
      </c>
      <c r="AI175" s="1" t="n">
        <v>9.5</v>
      </c>
      <c r="AM175" s="1" t="str">
        <f aca="false">CONCATENATE(VLOOKUP(AN175, 'Voxel Sizes'!$A$2:$B$18,2,FALSE()),"x",INT(AJ175*15), "x", INT(AK175*15))</f>
        <v>102x0x0</v>
      </c>
      <c r="AN175" s="16" t="n">
        <f aca="false">ROUND(15*((AI175*10)/256),0)</f>
        <v>6</v>
      </c>
      <c r="AP175" s="1" t="str">
        <f aca="false">CONCATENATE(VLOOKUP(AN175,Constants!$A$2:$C$16,IF(AO175&lt;&gt;"", 3, 2), FALSE()),IF(AO175&lt;&gt;"",CONCATENATE(",",VLOOKUP(AO175,$B:$AP,41,FALSE())),""))</f>
        <v>2,2,2</v>
      </c>
      <c r="AX175" s="1" t="n">
        <v>1</v>
      </c>
      <c r="AZ175" s="1" t="n">
        <v>40</v>
      </c>
      <c r="BA175" s="16" t="n">
        <f aca="false">IF(O175&lt;&gt;"",MAX(16,(O175-M175)+8),"")</f>
        <v>44</v>
      </c>
      <c r="BD175" s="20" t="n">
        <f aca="false">MIN(AE175/150, 1)*30</f>
        <v>5.6</v>
      </c>
      <c r="BE175" s="20" t="n">
        <f aca="false">MIN(Q175/4000, 1)*20</f>
        <v>1</v>
      </c>
      <c r="BF175" s="20" t="n">
        <f aca="false">MIN(AC175/400,1)*20</f>
        <v>3.5</v>
      </c>
      <c r="BG175" s="21" t="n">
        <f aca="false">1-(MAX(M175-1900, 0)/750)</f>
        <v>0.924</v>
      </c>
      <c r="BH175" s="20" t="n">
        <f aca="false">((MAX($P175,1)*MIN($AL175/300,1)))*IF(J175="Wagon",50,10)</f>
        <v>0</v>
      </c>
      <c r="BI175" s="1" t="n">
        <f aca="false">VLOOKUP($K175,Constants!$I:$K, 2, FALSE())</f>
        <v>1</v>
      </c>
      <c r="BJ175" s="1" t="n">
        <f aca="false">VLOOKUP($K175,Constants!$I:$K, 3, FALSE())*IF(AND(J175="multiple_unit",AE175&lt;110),0.75,1)</f>
        <v>2</v>
      </c>
      <c r="BK175" s="1" t="n">
        <f aca="false">INT(POWER(((Constants!$G$2+$BD175+$BE175+$BF175+$BH175)*$BG175)*$BJ175, 1.05))+$BC175</f>
        <v>32</v>
      </c>
      <c r="BL175" s="1" t="n">
        <f aca="false">INT(POWER((((Constants!$G$1+$BD175+$BE175+$BF175+$BH175)*($BG175))*$BI175),IF($J175="wagon",1,1.2)))+$BB175</f>
        <v>43</v>
      </c>
      <c r="BM175" s="22" t="n">
        <f aca="false">BK175*IF($J175="wagon",62.5,781.25)</f>
        <v>25000</v>
      </c>
      <c r="BN175" s="22" t="n">
        <f aca="false">BL175*IF($J175="wagon",2.73,81.25)</f>
        <v>3493.75</v>
      </c>
      <c r="BU175" s="1" t="str">
        <f aca="false">IF(J175="locomotive","B","")</f>
        <v>B</v>
      </c>
      <c r="BV175" s="1" t="str">
        <f aca="false">IF($J175="locomotive","B","")</f>
        <v>B</v>
      </c>
      <c r="BY175" s="1" t="n">
        <v>8</v>
      </c>
      <c r="CD175" s="23" t="s">
        <v>611</v>
      </c>
      <c r="CE175" s="1" t="s">
        <v>356</v>
      </c>
      <c r="CF175" s="23" t="str">
        <f aca="false">CONCATENATE(CD175,"_",CE175)</f>
        <v>dsl_Cheap</v>
      </c>
      <c r="CG175" s="23" t="str">
        <f aca="false">_xlfn.CONCAT(K175, "_",L175)</f>
        <v>diesel_RAIL</v>
      </c>
      <c r="CH175" s="7" t="str">
        <f aca="false">_xlfn.CONCAT("{BLACK}Length: {GOLD}", TEXT(ROUNDUP(IF(AS175&lt;&gt;"",SUM(VALUE(_xlfn.TEXTSPLIT(AS175, ","))), SUM(VALUE(_xlfn.TEXTSPLIT(AP175, ",")))*IF(P175, P175, 1))/16, 1), "#,##0.0"), " tiles{}")</f>
        <v>{BLACK}Length: {GOLD}0.4 tiles{}</v>
      </c>
      <c r="CI175" s="1" t="str">
        <f aca="false">IF(0, VLOOKUP($CG175, Constants!$M:$N, 2, FALSE()),"")</f>
        <v/>
      </c>
      <c r="CJ175" s="1" t="str">
        <f aca="false">IF(P175&gt;1,_xlfn.CONCAT("{BLACK}Cars: {GOLD}", P175),"")</f>
        <v/>
      </c>
      <c r="CK175" s="1" t="s">
        <v>612</v>
      </c>
      <c r="CL175" s="1" t="str">
        <f aca="false">IF($BX175="concept_trains","{GREEN}Concept Vehicle",IF($BX175="!param_no_gameplay_units","{GREEN}Included for gameplay purposes",""))</f>
        <v/>
      </c>
      <c r="CM175" s="1" t="str">
        <f aca="false">IF(CA175="buffet","{YELLOW}25% long distance bonus for consist{}",IF(CB175="DANDY","{YELLOW}Faster downhill speeds for horse-drawn trains (1 required per 2 horses){}",IF(CB175="BRAKE","{YELLOW}Speed bonus for slow wagons{}",IF(CB175="NGPassengers","{YELLOW}Preserved railway bonus: passengers pay more when hauled by old locomotives{}",IF(AND(BZ175&gt;190,NOT(AND(L175="NARROW_GAUGE",CB175&lt;&gt;"PASS"))),CONCATENATE("{YELLOW}",INT((BZ175-185)/1.85),"%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{GOLD}0.4 tiles{}{SILVER}The Class 03 is a diesel-mechanical shunter, with a five speed manual gearbox driven through a fluid coupling. They were most useful in areas where the Class 08 was too large and heavy to operate.</v>
      </c>
    </row>
    <row r="176" customFormat="false" ht="14.25" hidden="false" customHeight="false" outlineLevel="0" collapsed="false">
      <c r="A176" s="1" t="s">
        <v>613</v>
      </c>
      <c r="B176" s="15" t="s">
        <v>614</v>
      </c>
      <c r="C176" s="1" t="n">
        <v>181</v>
      </c>
      <c r="E176" s="1" t="n">
        <v>118</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241</v>
      </c>
      <c r="J176" s="1" t="s">
        <v>249</v>
      </c>
      <c r="K176" s="1" t="s">
        <v>525</v>
      </c>
      <c r="L176" s="1" t="s">
        <v>192</v>
      </c>
      <c r="M176" s="1" t="n">
        <v>1957</v>
      </c>
      <c r="N176" s="1" t="n">
        <v>1968</v>
      </c>
      <c r="Q176" s="1" t="n">
        <v>1000</v>
      </c>
      <c r="Z176" s="1" t="n">
        <v>73</v>
      </c>
      <c r="AC176" s="1" t="n">
        <v>186</v>
      </c>
      <c r="AD176" s="4" t="n">
        <f aca="false">IF(AND(Z176&gt;0,AC176&gt;0),(AC176/((Z176+AA176)*10)),"")</f>
        <v>0.254794520547945</v>
      </c>
      <c r="AE176" s="1" t="n">
        <v>75</v>
      </c>
      <c r="AF176" s="1" t="n">
        <f aca="false">ROUND(AE176*1.6, 0)</f>
        <v>120</v>
      </c>
      <c r="AH176" s="1" t="n">
        <v>14.25</v>
      </c>
      <c r="AI176" s="1" t="n">
        <v>14.25</v>
      </c>
      <c r="AJ176" s="1" t="n">
        <v>2.67</v>
      </c>
      <c r="AK176" s="1" t="n">
        <v>3.85</v>
      </c>
      <c r="AL176" s="5" t="n">
        <v>0</v>
      </c>
      <c r="AM176" s="1" t="str">
        <f aca="false">CONCATENATE(VLOOKUP(AN176, 'Voxel Sizes'!$A$2:$B$18,2,FALSE()),"x",INT(AJ176*15), "x", INT(AK176*15))</f>
        <v>136x40x57</v>
      </c>
      <c r="AN176" s="1" t="n">
        <f aca="false">ROUND(15*((AI176*10)/256),0)</f>
        <v>8</v>
      </c>
      <c r="AP176" s="1" t="str">
        <f aca="false">CONCATENATE(VLOOKUP(AN176,Constants!$A$2:$C$16,IF(AO176&lt;&gt;"", 3, 2), FALSE()),IF(AO176&lt;&gt;"",CONCATENATE(",",VLOOKUP(AO176,$B:$AP,41,FALSE())),""))</f>
        <v>2,4,2</v>
      </c>
      <c r="AZ176" s="1" t="n">
        <v>33</v>
      </c>
      <c r="BA176" s="16" t="str">
        <f aca="false">IF(O176&lt;&gt;"",MAX(16,(O176-M176)+8),"")</f>
        <v/>
      </c>
      <c r="BD176" s="1" t="n">
        <f aca="false">MIN(AE176/150, 1)*30</f>
        <v>15</v>
      </c>
      <c r="BE176" s="1" t="n">
        <f aca="false">MIN(Q176/4000, 1)*20</f>
        <v>5</v>
      </c>
      <c r="BF176" s="1" t="n">
        <f aca="false">MIN(AC176/400,1)*20</f>
        <v>9.3</v>
      </c>
      <c r="BG176" s="4" t="n">
        <f aca="false">1-(MAX(M176-1900, 0)/750)</f>
        <v>0.924</v>
      </c>
      <c r="BH176" s="1" t="n">
        <f aca="false">((MAX($P176,1)*MIN($AL176/300,1)))*IF(J176="Wagon",50,10)</f>
        <v>0</v>
      </c>
      <c r="BI176" s="1" t="n">
        <f aca="false">VLOOKUP($K176,Constants!$I:$K, 2, FALSE())</f>
        <v>1</v>
      </c>
      <c r="BJ176" s="1" t="n">
        <f aca="false">VLOOKUP($K176,Constants!$I:$K, 3, FALSE())*IF(AND(J176="multiple_unit",AE176&lt;110),0.75,1)</f>
        <v>2</v>
      </c>
      <c r="BK176" s="1" t="n">
        <f aca="false">INT(POWER(((Constants!$G$2+$BD176+$BE176+$BF176+$BH176)*$BG176)*$BJ176, 1.05))+$BC176</f>
        <v>78</v>
      </c>
      <c r="BL176" s="1" t="n">
        <f aca="false">INT(POWER((((Constants!$G$1+$BD176+$BE176+$BF176+$BH176)*($BG176))*$BI176),IF($J176="wagon",1,1.2)))+$BB176</f>
        <v>85</v>
      </c>
      <c r="BM176" s="17" t="n">
        <f aca="false">BK176*IF($J176="wagon",62.5,781.25)</f>
        <v>60937.5</v>
      </c>
      <c r="BN176" s="17" t="n">
        <f aca="false">BL176*IF($J176="wagon",2.73,81.25)</f>
        <v>6906.25</v>
      </c>
      <c r="BO176" s="1" t="n">
        <v>2</v>
      </c>
      <c r="BU176" s="1" t="str">
        <f aca="false">IF(J176="locomotive","B","")</f>
        <v>B</v>
      </c>
      <c r="BV176" s="1" t="str">
        <f aca="false">IF($J176="locomotive","B","")</f>
        <v>B</v>
      </c>
      <c r="BY176" s="1" t="n">
        <v>4</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TEXT(ROUNDUP(IF(AS176&lt;&gt;"",SUM(VALUE(_xlfn.TEXTSPLIT(AS176, ","))), SUM(VALUE(_xlfn.TEXTSPLIT(AP176, ",")))*IF(P176, P176, 1))/16, 1), "#,##0.0"), " tiles{}")</f>
        <v>{BLACK}Length: {GOLD}0.5 tiles{}</v>
      </c>
      <c r="CI176" s="1" t="str">
        <f aca="false">IF(0, VLOOKUP($CG176, Constants!$M:$N, 2, FALSE()),"")</f>
        <v/>
      </c>
      <c r="CJ176" s="1" t="str">
        <f aca="false">IF(P176&gt;1,_xlfn.CONCAT("{BLACK}Cars: {GOLD}", P176),"")</f>
        <v/>
      </c>
      <c r="CK176" s="1" t="s">
        <v>615</v>
      </c>
      <c r="CL176" s="1" t="str">
        <f aca="false">IF($BX176="concept_trains","{GREEN}Concept Vehicle",IF($BX176="!param_no_gameplay_units","{GREEN}Included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{GOLD}0.5 tiles{}{SILVER}The Class 20 (English Electric Type 1) is a diesel-electric locomotive designed for light freight duties. Due to its simple design it was more reliable than many contemporary locomotives, leading to a large number being built.</v>
      </c>
    </row>
    <row r="177" customFormat="false" ht="14.25" hidden="false" customHeight="false" outlineLevel="0" collapsed="false">
      <c r="A177" s="1" t="s">
        <v>616</v>
      </c>
      <c r="B177" s="15" t="s">
        <v>617</v>
      </c>
      <c r="C177" s="1" t="n">
        <v>-1</v>
      </c>
      <c r="E177" s="1" t="n">
        <v>119</v>
      </c>
      <c r="J177" s="1" t="s">
        <v>40</v>
      </c>
      <c r="K177" s="1" t="s">
        <v>40</v>
      </c>
      <c r="L177" s="1" t="s">
        <v>192</v>
      </c>
      <c r="M177" s="1" t="n">
        <v>1958</v>
      </c>
      <c r="Z177" s="1" t="n">
        <v>52</v>
      </c>
      <c r="AD177" s="4" t="str">
        <f aca="false">IF(AND(Z177&gt;0,AC177&gt;0),(AC177/((Z177+AA177)*10)),"")</f>
        <v/>
      </c>
      <c r="AH177" s="1" t="n">
        <v>6</v>
      </c>
      <c r="AI177" s="1" t="n">
        <v>8</v>
      </c>
      <c r="AL177" s="5" t="n">
        <v>0</v>
      </c>
      <c r="AM177" s="1" t="str">
        <f aca="false">CONCATENATE(VLOOKUP(AN177, 'Voxel Sizes'!$A$2:$B$18,2,FALSE()),"x",INT(AJ177*15), "x", INT(AK177*15))</f>
        <v>82x0x0</v>
      </c>
      <c r="AN177" s="1" t="n">
        <f aca="false">ROUND(15*((AI177*10)/256),0)</f>
        <v>5</v>
      </c>
      <c r="AP177" s="1" t="str">
        <f aca="false">CONCATENATE(VLOOKUP(AN177,Constants!$A$2:$C$16,IF(AO177&lt;&gt;"", 3, 2), FALSE()),IF(AO177&lt;&gt;"",CONCATENATE(",",VLOOKUP(AO177,$B:$AP,41,FALSE())),""))</f>
        <v>2,1,2</v>
      </c>
      <c r="AZ177" s="1" t="n">
        <v>30</v>
      </c>
      <c r="BA177" s="16" t="str">
        <f aca="false">IF(O177&lt;&gt;"",MAX(16,(O177-M177)+8),"")</f>
        <v/>
      </c>
      <c r="BD177" s="1" t="n">
        <f aca="false">MIN(AE177/150, 1)*30</f>
        <v>0</v>
      </c>
      <c r="BE177" s="1" t="n">
        <f aca="false">MIN(Q177/4000, 1)*20</f>
        <v>0</v>
      </c>
      <c r="BF177" s="1" t="n">
        <f aca="false">MIN(AC177/400,1)*20</f>
        <v>0</v>
      </c>
      <c r="BG177" s="4" t="n">
        <f aca="false">1-(MAX(M177-1900, 0)/750)</f>
        <v>0.922666666666667</v>
      </c>
      <c r="BH177" s="1" t="n">
        <f aca="false">((MAX($P177,1)*MIN($AL177/300,1)))*IF(J177="Wagon",50,10)</f>
        <v>0</v>
      </c>
      <c r="BI177" s="1" t="n">
        <f aca="false">VLOOKUP($K177,Constants!$I:$K, 2, FALSE())</f>
        <v>0</v>
      </c>
      <c r="BJ177" s="1" t="n">
        <f aca="false">VLOOKUP($K177,Constants!$I:$K, 3, FALSE())*IF(AND(J177="multiple_unit",AE177&lt;110),0.75,1)</f>
        <v>0</v>
      </c>
      <c r="BK177" s="1" t="n">
        <f aca="false">INT(POWER(((Constants!$G$2+$BD177+$BE177+$BF177+$BH177)*$BG177)*$BJ177, 1.05))+$BC177</f>
        <v>0</v>
      </c>
      <c r="BL177" s="1" t="n">
        <f aca="false">INT(POWER((((Constants!$G$1+$BD177+$BE177+$BF177+$BH177)*($BG177))*$BI177),IF($J177="wagon",1,1.2)))+$BB177</f>
        <v>0</v>
      </c>
      <c r="BM177" s="17" t="n">
        <f aca="false">BK177*IF($J177="wagon",62.5,781.25)</f>
        <v>0</v>
      </c>
      <c r="BN177" s="17" t="n">
        <f aca="false">BL177*IF($J177="wagon",2.73,81.25)</f>
        <v>0</v>
      </c>
      <c r="BU177" s="1" t="str">
        <f aca="false">IF(J177="locomotive","B","")</f>
        <v/>
      </c>
      <c r="BV177" s="1" t="s">
        <v>318</v>
      </c>
      <c r="CD177" s="1" t="str">
        <f aca="false">VLOOKUP(M177,Eras!$A$2:$C$10, 2, TRUE())</f>
        <v>dsl</v>
      </c>
      <c r="CF177" s="1" t="str">
        <f aca="false">CONCATENATE(CD177,"_",CE177)</f>
        <v>dsl_</v>
      </c>
      <c r="CG177" s="1" t="str">
        <f aca="false">_xlfn.CONCAT(K177, "_",L177)</f>
        <v>tender_RAIL</v>
      </c>
      <c r="CH177" s="7" t="str">
        <f aca="false">_xlfn.CONCAT("{BLACK}Length: {GOLD}", TEXT(ROUNDUP(IF(AS177&lt;&gt;"",SUM(VALUE(_xlfn.TEXTSPLIT(AS177, ","))), SUM(VALUE(_xlfn.TEXTSPLIT(AP177, ",")))*IF(P177, P177, 1))/16, 1), "#,##0.0"), " tiles{}")</f>
        <v>{BLACK}Length: {GOLD}0.4 tiles{}</v>
      </c>
      <c r="CI177" s="1" t="str">
        <f aca="false">IF(0, VLOOKUP($CG177, Constants!$M:$N, 2, FALSE()),"")</f>
        <v/>
      </c>
      <c r="CJ177" s="1" t="str">
        <f aca="false">IF(P177&gt;1,_xlfn.CONCAT("{BLACK}Cars: {GOLD}", P177),"")</f>
        <v/>
      </c>
      <c r="CL177" s="1" t="str">
        <f aca="false">IF($BX177="concept_trains","{GREEN}Concept Vehicle",IF($BX177="!param_no_gameplay_units","{GREEN}Included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{GOLD}0.4 tiles{}{SILVER}</v>
      </c>
    </row>
    <row r="178" customFormat="false" ht="14.25" hidden="false" customHeight="false" outlineLevel="0" collapsed="false">
      <c r="A178" s="1" t="s">
        <v>618</v>
      </c>
      <c r="B178" s="15" t="s">
        <v>619</v>
      </c>
      <c r="C178" s="1" t="n">
        <v>182</v>
      </c>
      <c r="E178" s="1" t="n">
        <v>120</v>
      </c>
      <c r="F178" s="1" t="s">
        <v>143</v>
      </c>
      <c r="G178" s="1" t="str">
        <f aca="false">IF($F178&lt;&gt;"",_xlfn.CONCAT(VLOOKUP($CE178, Constants!$T:$U, 2, FALSE()),",",$F178),VLOOKUP($CE178, Constants!$T:$U, 2, FALSE()))</f>
        <v>role/express_passenger,role/prototype</v>
      </c>
      <c r="H178" s="1" t="str">
        <f aca="false">IF($G178&lt;&gt;"",_xlfn.CONCAT(VLOOKUP($CG178, Constants!$M:$P, 4, FALSE()),",",$G178),VLOOKUP($CG178, Constants!$M:$P, 4, FALSE()))</f>
        <v>flag/GB,power/turbine,role/express_passenger,role/prototype</v>
      </c>
      <c r="I178" s="1" t="s">
        <v>241</v>
      </c>
      <c r="J178" s="1" t="s">
        <v>249</v>
      </c>
      <c r="K178" s="1" t="s">
        <v>579</v>
      </c>
      <c r="L178" s="1" t="s">
        <v>192</v>
      </c>
      <c r="M178" s="1" t="n">
        <v>1958</v>
      </c>
      <c r="N178" s="1" t="n">
        <v>1961</v>
      </c>
      <c r="O178" s="1" t="n">
        <v>1966</v>
      </c>
      <c r="Q178" s="1" t="n">
        <v>2750</v>
      </c>
      <c r="Z178" s="1" t="n">
        <v>81</v>
      </c>
      <c r="AA178" s="2" t="n">
        <v>45</v>
      </c>
      <c r="AC178" s="1" t="n">
        <v>169</v>
      </c>
      <c r="AD178" s="4" t="n">
        <f aca="false">IF(AND(Z178&gt;0,AC178&gt;0),(AC178/((Z178+AA178)*10)),"")</f>
        <v>0.134126984126984</v>
      </c>
      <c r="AE178" s="1" t="n">
        <v>90</v>
      </c>
      <c r="AF178" s="1" t="n">
        <f aca="false">ROUND(AE178*1.6, 0)</f>
        <v>144</v>
      </c>
      <c r="AH178" s="1" t="n">
        <v>20.74</v>
      </c>
      <c r="AI178" s="1" t="n">
        <v>14</v>
      </c>
      <c r="AL178" s="5" t="n">
        <v>0</v>
      </c>
      <c r="AM178" s="1" t="str">
        <f aca="false">CONCATENATE(VLOOKUP(AN178, 'Voxel Sizes'!$A$2:$B$18,2,FALSE()),"x",INT(AJ178*15), "x", INT(AK178*15))</f>
        <v>136x0x0</v>
      </c>
      <c r="AN178" s="1" t="n">
        <f aca="false">ROUND(15*((AI178*10)/256),0)</f>
        <v>8</v>
      </c>
      <c r="AO178" s="1" t="s">
        <v>617</v>
      </c>
      <c r="AP178" s="1" t="str">
        <f aca="false">CONCATENATE(VLOOKUP(AN178,Constants!$A$2:$C$16,IF(AO178&lt;&gt;"", 3, 2), FALSE()),IF(AO178&lt;&gt;"",CONCATENATE(",",VLOOKUP(AO178,$B:$AP,41,FALSE())),""))</f>
        <v>2,4,2,2,1,2</v>
      </c>
      <c r="AX178" s="1" t="n">
        <v>1</v>
      </c>
      <c r="AZ178" s="1" t="n">
        <v>9</v>
      </c>
      <c r="BA178" s="16" t="n">
        <f aca="false">IF(O178&lt;&gt;"",MAX(16,(O178-M178)+8),"")</f>
        <v>16</v>
      </c>
      <c r="BD178" s="1" t="n">
        <f aca="false">MIN(AE178/150, 1)*30</f>
        <v>18</v>
      </c>
      <c r="BE178" s="1" t="n">
        <f aca="false">MIN(Q178/4000, 1)*20</f>
        <v>13.75</v>
      </c>
      <c r="BF178" s="1" t="n">
        <f aca="false">MIN(AC178/400,1)*20</f>
        <v>8.45</v>
      </c>
      <c r="BG178" s="4" t="n">
        <f aca="false">1-(MAX(M178-1900, 0)/750)</f>
        <v>0.922666666666667</v>
      </c>
      <c r="BH178" s="1" t="n">
        <f aca="false">((MAX($P178,1)*MIN($AL178/300,1)))*IF(J178="Wagon",50,10)</f>
        <v>0</v>
      </c>
      <c r="BI178" s="1" t="n">
        <f aca="false">VLOOKUP($K178,Constants!$I:$K, 2, FALSE())</f>
        <v>1</v>
      </c>
      <c r="BJ178" s="1" t="n">
        <f aca="false">VLOOKUP($K178,Constants!$I:$K, 3, FALSE())*IF(AND(J178="multiple_unit",AE178&lt;110),0.75,1)</f>
        <v>2</v>
      </c>
      <c r="BK178" s="1" t="n">
        <f aca="false">INT(POWER(((Constants!$G$2+$BD178+$BE178+$BF178+$BH178)*$BG178)*$BJ178, 1.05))+$BC178</f>
        <v>104</v>
      </c>
      <c r="BL178" s="1" t="n">
        <f aca="false">INT(POWER((((Constants!$G$1+$BD178+$BE178+$BF178+$BH178)*($BG178))*$BI178),IF($J178="wagon",1,1.2)))+$BB178</f>
        <v>111</v>
      </c>
      <c r="BM178" s="17" t="n">
        <f aca="false">BK178*IF($J178="wagon",62.5,781.25)</f>
        <v>81250</v>
      </c>
      <c r="BN178" s="17" t="n">
        <f aca="false">BL178*IF($J178="wagon",2.73,81.25)</f>
        <v>9018.75</v>
      </c>
      <c r="BU178" s="1" t="str">
        <f aca="false">IF(J178="locomotive","B","")</f>
        <v>B</v>
      </c>
      <c r="BV178" s="1" t="str">
        <f aca="false">IF($J178="locomotive","B","")</f>
        <v>B</v>
      </c>
      <c r="BY178" s="1" t="n">
        <v>5</v>
      </c>
      <c r="CD178" s="1" t="str">
        <f aca="false">VLOOKUP(M178,Eras!$A$2:$C$10, 2, TRUE())</f>
        <v>dsl</v>
      </c>
      <c r="CE178" s="1" t="s">
        <v>282</v>
      </c>
      <c r="CF178" s="1" t="str">
        <f aca="false">CONCATENATE(CD178,"_",CE178)</f>
        <v>dsl_Express</v>
      </c>
      <c r="CG178" s="1" t="str">
        <f aca="false">_xlfn.CONCAT(K178, "_",L178)</f>
        <v>gas_turbine_RAIL</v>
      </c>
      <c r="CH178" s="7" t="str">
        <f aca="false">_xlfn.CONCAT("{BLACK}Length: {GOLD}", TEXT(ROUNDUP(IF(AS178&lt;&gt;"",SUM(VALUE(_xlfn.TEXTSPLIT(AS178, ","))), SUM(VALUE(_xlfn.TEXTSPLIT(AP178, ",")))*IF(P178, P178, 1))/16, 1), "#,##0.0"), " tiles{}")</f>
        <v>{BLACK}Length: {GOLD}0.9 tiles{}</v>
      </c>
      <c r="CI178" s="1" t="str">
        <f aca="false">IF(0, VLOOKUP($CG178, Constants!$M:$N, 2, FALSE()),"")</f>
        <v/>
      </c>
      <c r="CJ178" s="1" t="str">
        <f aca="false">IF(P178&gt;1,_xlfn.CONCAT("{BLACK}Cars: {GOLD}", P178),"")</f>
        <v/>
      </c>
      <c r="CK178" s="1" t="s">
        <v>620</v>
      </c>
      <c r="CL178" s="1" t="str">
        <f aca="false">IF($BX178="concept_trains","{GREEN}Concept Vehicle",IF($BX178="!param_no_gameplay_units","{GREEN}Included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{GOLD}0.9 tiles{}{SILVER}The GT3 was part of a programme to test gas turbine locomotives. It used a conventional steam driving wheel arrangement to keep the design simple.</v>
      </c>
    </row>
    <row r="179" customFormat="false" ht="14.25" hidden="false" customHeight="false" outlineLevel="0" collapsed="false">
      <c r="A179" s="1" t="s">
        <v>621</v>
      </c>
      <c r="B179" s="15" t="s">
        <v>622</v>
      </c>
      <c r="C179" s="1" t="n">
        <v>183</v>
      </c>
      <c r="E179" s="1" t="n">
        <v>121</v>
      </c>
      <c r="G179" s="1" t="str">
        <f aca="false">IF($F179&lt;&gt;"",_xlfn.CONCAT(VLOOKUP($CE179, Constants!$T:$U, 2, FALSE()),",",$F179),VLOOKUP($CE179, Constants!$T:$U, 2, FALSE()))</f>
        <v>role/passenger</v>
      </c>
      <c r="H179" s="1" t="str">
        <f aca="false">IF($G179&lt;&gt;"",_xlfn.CONCAT(VLOOKUP($CG179, Constants!$M:$P, 4, FALSE()),",",$G179),VLOOKUP($CG179, Constants!$M:$P, 4, FALSE()))</f>
        <v>flag/GB,power/diesel,role/passenger</v>
      </c>
      <c r="I179" s="1" t="s">
        <v>241</v>
      </c>
      <c r="J179" s="1" t="s">
        <v>249</v>
      </c>
      <c r="K179" s="1" t="s">
        <v>525</v>
      </c>
      <c r="L179" s="1" t="s">
        <v>192</v>
      </c>
      <c r="M179" s="1" t="n">
        <v>1958</v>
      </c>
      <c r="N179" s="1" t="n">
        <v>1961</v>
      </c>
      <c r="O179" s="1" t="n">
        <v>1972</v>
      </c>
      <c r="Q179" s="1" t="n">
        <f aca="false">1035*2</f>
        <v>2070</v>
      </c>
      <c r="Z179" s="1" t="n">
        <v>79.3</v>
      </c>
      <c r="AC179" s="1" t="n">
        <v>214</v>
      </c>
      <c r="AD179" s="4" t="n">
        <f aca="false">IF(AND(Z179&gt;0,AC179&gt;0),(AC179/((Z179+AA179)*10)),"")</f>
        <v>0.269861286254729</v>
      </c>
      <c r="AE179" s="1" t="n">
        <v>90</v>
      </c>
      <c r="AF179" s="1" t="n">
        <f aca="false">ROUND(AE179*1.6, 0)</f>
        <v>144</v>
      </c>
      <c r="AH179" s="1" t="n">
        <v>18.29</v>
      </c>
      <c r="AI179" s="1" t="n">
        <v>18.29</v>
      </c>
      <c r="AK179" s="1" t="n">
        <v>3.67</v>
      </c>
      <c r="AL179" s="5" t="n">
        <v>0</v>
      </c>
      <c r="AM179" s="1" t="str">
        <f aca="false">CONCATENATE(VLOOKUP(AN179, 'Voxel Sizes'!$A$2:$B$18,2,FALSE()),"x",INT(AJ179*15), "x", INT(AK179*15))</f>
        <v>186x0x55</v>
      </c>
      <c r="AN179" s="1" t="n">
        <f aca="false">ROUND(15*((AI179*10)/256),0)</f>
        <v>11</v>
      </c>
      <c r="AP179" s="1" t="str">
        <f aca="false">CONCATENATE(VLOOKUP(AN179,Constants!$A$2:$C$16,IF(AO179&lt;&gt;"", 3, 2), FALSE()),IF(AO179&lt;&gt;"",CONCATENATE(",",VLOOKUP(AO179,$B:$AP,41,FALSE())),""))</f>
        <v>4,3,4</v>
      </c>
      <c r="AZ179" s="1" t="n">
        <v>32</v>
      </c>
      <c r="BA179" s="16" t="n">
        <f aca="false">IF(O179&lt;&gt;"",MAX(16,(O179-M179)+8),"")</f>
        <v>22</v>
      </c>
      <c r="BD179" s="1" t="n">
        <f aca="false">MIN(AE179/150, 1)*30</f>
        <v>18</v>
      </c>
      <c r="BE179" s="1" t="n">
        <f aca="false">MIN(Q179/4000, 1)*20</f>
        <v>10.35</v>
      </c>
      <c r="BF179" s="1" t="n">
        <f aca="false">MIN(AC179/400,1)*20</f>
        <v>10.7</v>
      </c>
      <c r="BG179" s="4" t="n">
        <f aca="false">1-(MAX(M179-1900, 0)/750)</f>
        <v>0.922666666666667</v>
      </c>
      <c r="BH179" s="1" t="n">
        <f aca="false">((MAX($P179,1)*MIN($AL179/300,1)))*IF(J179="Wagon",50,10)</f>
        <v>0</v>
      </c>
      <c r="BI179" s="1" t="n">
        <f aca="false">VLOOKUP($K179,Constants!$I:$K, 2, FALSE())</f>
        <v>1</v>
      </c>
      <c r="BJ179" s="1" t="n">
        <f aca="false">VLOOKUP($K179,Constants!$I:$K, 3, FALSE())*IF(AND(J179="multiple_unit",AE179&lt;110),0.75,1)</f>
        <v>2</v>
      </c>
      <c r="BK179" s="1" t="n">
        <f aca="false">INT(POWER(((Constants!$G$2+$BD179+$BE179+$BF179+$BH179)*$BG179)*$BJ179, 1.05))+$BC179</f>
        <v>101</v>
      </c>
      <c r="BL179" s="1" t="n">
        <f aca="false">INT(POWER((((Constants!$G$1+$BD179+$BE179+$BF179+$BH179)*($BG179))*$BI179),IF($J179="wagon",1,1.2)))+$BB179</f>
        <v>108</v>
      </c>
      <c r="BM179" s="17" t="n">
        <f aca="false">BK179*IF($J179="wagon",62.5,781.25)</f>
        <v>78906.25</v>
      </c>
      <c r="BN179" s="17" t="n">
        <f aca="false">BL179*IF($J179="wagon",2.73,81.25)</f>
        <v>8775</v>
      </c>
      <c r="BU179" s="1" t="str">
        <f aca="false">IF(J179="locomotive","B","")</f>
        <v>B</v>
      </c>
      <c r="BV179" s="1" t="str">
        <f aca="false">IF($J179="locomotive","B","")</f>
        <v>B</v>
      </c>
      <c r="BY179" s="1" t="n">
        <v>6</v>
      </c>
      <c r="CD179" s="1" t="str">
        <f aca="false">VLOOKUP(M179,Eras!$A$2:$C$10, 2, TRUE())</f>
        <v>dsl</v>
      </c>
      <c r="CE179" s="1" t="s">
        <v>123</v>
      </c>
      <c r="CF179" s="1" t="str">
        <f aca="false">CONCATENATE(CD179,"_",CE179)</f>
        <v>dsl_Passenger</v>
      </c>
      <c r="CG179" s="1" t="str">
        <f aca="false">_xlfn.CONCAT(K179, "_",L179)</f>
        <v>diesel_RAIL</v>
      </c>
      <c r="CH179" s="7" t="str">
        <f aca="false">_xlfn.CONCAT("{BLACK}Length: {GOLD}", TEXT(ROUNDUP(IF(AS179&lt;&gt;"",SUM(VALUE(_xlfn.TEXTSPLIT(AS179, ","))), SUM(VALUE(_xlfn.TEXTSPLIT(AP179, ",")))*IF(P179, P179, 1))/16, 1), "#,##0.0"), " tiles{}")</f>
        <v>{BLACK}Length: {GOLD}0.7 tiles{}</v>
      </c>
      <c r="CI179" s="1" t="str">
        <f aca="false">IF(0, VLOOKUP($CG179, Constants!$M:$N, 2, FALSE()),"")</f>
        <v/>
      </c>
      <c r="CJ179" s="1" t="str">
        <f aca="false">IF(P179&gt;1,_xlfn.CONCAT("{BLACK}Cars: {GOLD}", P179),"")</f>
        <v/>
      </c>
      <c r="CK179" s="1" t="s">
        <v>623</v>
      </c>
      <c r="CL179" s="1" t="str">
        <f aca="false">IF($BX179="concept_trains","{GREEN}Concept Vehicle",IF($BX179="!param_no_gameplay_units","{GREEN}Included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{GOLD}0.7 tiles{}{SILVER}The Class 42 is based on the German V200 design, scaled down to fit the smaller British loading gauge and built under licence by British manufacturers.</v>
      </c>
    </row>
    <row r="180" customFormat="false" ht="14.25" hidden="false" customHeight="false" outlineLevel="0" collapsed="false">
      <c r="A180" s="1" t="s">
        <v>624</v>
      </c>
      <c r="B180" s="15" t="s">
        <v>625</v>
      </c>
      <c r="C180" s="1" t="n">
        <v>184</v>
      </c>
      <c r="E180" s="1" t="n">
        <v>122</v>
      </c>
      <c r="G180" s="1" t="str">
        <f aca="false">IF($F180&lt;&gt;"",_xlfn.CONCAT(VLOOKUP($CE180, Constants!$T:$U, 2, FALSE()),",",$F180),VLOOKUP($CE180, Constants!$T:$U, 2, FALSE()))</f>
        <v>role/express_passenger</v>
      </c>
      <c r="H180" s="1" t="str">
        <f aca="false">IF($G180&lt;&gt;"",_xlfn.CONCAT(VLOOKUP($CG180, Constants!$M:$P, 4, FALSE()),",",$G180),VLOOKUP($CG180, Constants!$M:$P, 4, FALSE()))</f>
        <v>flag/GB,power/diesel,role/express_passenger</v>
      </c>
      <c r="I180" s="1" t="s">
        <v>241</v>
      </c>
      <c r="J180" s="1" t="s">
        <v>249</v>
      </c>
      <c r="K180" s="1" t="s">
        <v>525</v>
      </c>
      <c r="L180" s="1" t="s">
        <v>192</v>
      </c>
      <c r="M180" s="1" t="n">
        <v>1958</v>
      </c>
      <c r="N180" s="1" t="n">
        <v>1962</v>
      </c>
      <c r="O180" s="1" t="n">
        <v>1985</v>
      </c>
      <c r="Q180" s="1" t="n">
        <v>2000</v>
      </c>
      <c r="Z180" s="1" t="n">
        <v>135</v>
      </c>
      <c r="AC180" s="1" t="n">
        <v>231</v>
      </c>
      <c r="AD180" s="4" t="n">
        <f aca="false">IF(AND(Z180&gt;0,AC180&gt;0),(AC180/((Z180+AA180)*10)),"")</f>
        <v>0.171111111111111</v>
      </c>
      <c r="AE180" s="1" t="n">
        <v>90</v>
      </c>
      <c r="AF180" s="1" t="n">
        <f aca="false">ROUND(AE180*1.6, 0)</f>
        <v>144</v>
      </c>
      <c r="AH180" s="1" t="n">
        <v>21.18</v>
      </c>
      <c r="AI180" s="1" t="n">
        <v>21.18</v>
      </c>
      <c r="AK180" s="1" t="n">
        <v>3.91</v>
      </c>
      <c r="AL180" s="5" t="n">
        <v>0</v>
      </c>
      <c r="AM180" s="1" t="str">
        <f aca="false">CONCATENATE(VLOOKUP(AN180, 'Voxel Sizes'!$A$2:$B$18,2,FALSE()),"x",INT(AJ180*15), "x", INT(AK180*15))</f>
        <v>198x0x58</v>
      </c>
      <c r="AN180" s="1" t="n">
        <f aca="false">ROUND(15*((AI180*10)/256),0)</f>
        <v>12</v>
      </c>
      <c r="AP180" s="1" t="str">
        <f aca="false">CONCATENATE(VLOOKUP(AN180,Constants!$A$2:$C$16,IF(AO180&lt;&gt;"", 3, 2), FALSE()),IF(AO180&lt;&gt;"",CONCATENATE(",",VLOOKUP(AO180,$B:$AP,41,FALSE())),""))</f>
        <v>4,4,4</v>
      </c>
      <c r="AZ180" s="1" t="n">
        <v>29</v>
      </c>
      <c r="BA180" s="16" t="n">
        <f aca="false">IF(O180&lt;&gt;"",MAX(16,(O180-M180)+8),"")</f>
        <v>35</v>
      </c>
      <c r="BD180" s="1" t="n">
        <f aca="false">MIN(AE180/150, 1)*30</f>
        <v>18</v>
      </c>
      <c r="BE180" s="1" t="n">
        <f aca="false">MIN(Q180/4000, 1)*20</f>
        <v>10</v>
      </c>
      <c r="BF180" s="1" t="n">
        <f aca="false">MIN(AC180/400,1)*20</f>
        <v>11.55</v>
      </c>
      <c r="BG180" s="4" t="n">
        <f aca="false">1-(MAX(M180-1900, 0)/750)</f>
        <v>0.922666666666667</v>
      </c>
      <c r="BH180" s="1" t="n">
        <f aca="false">((MAX($P180,1)*MIN($AL180/300,1)))*IF(J180="Wagon",50,10)</f>
        <v>0</v>
      </c>
      <c r="BI180" s="1" t="n">
        <f aca="false">VLOOKUP($K180,Constants!$I:$K, 2, FALSE())</f>
        <v>1</v>
      </c>
      <c r="BJ180" s="1" t="n">
        <f aca="false">VLOOKUP($K180,Constants!$I:$K, 3, FALSE())*IF(AND(J180="multiple_unit",AE180&lt;110),0.75,1)</f>
        <v>2</v>
      </c>
      <c r="BK180" s="1" t="n">
        <f aca="false">INT(POWER(((Constants!$G$2+$BD180+$BE180+$BF180+$BH180)*$BG180)*$BJ180, 1.05))+$BC180</f>
        <v>102</v>
      </c>
      <c r="BL180" s="1" t="n">
        <f aca="false">INT(POWER((((Constants!$G$1+$BD180+$BE180+$BF180+$BH180)*($BG180))*$BI180),IF($J180="wagon",1,1.2)))+$BB180</f>
        <v>110</v>
      </c>
      <c r="BM180" s="17" t="n">
        <f aca="false">BK180*IF($J180="wagon",62.5,781.25)</f>
        <v>79687.5</v>
      </c>
      <c r="BN180" s="17" t="n">
        <f aca="false">BL180*IF($J180="wagon",2.73,81.25)</f>
        <v>8937.5</v>
      </c>
      <c r="BU180" s="1" t="str">
        <f aca="false">IF(J180="locomotive","B","")</f>
        <v>B</v>
      </c>
      <c r="BV180" s="1" t="str">
        <f aca="false">IF($J180="locomotive","B","")</f>
        <v>B</v>
      </c>
      <c r="BY180" s="1" t="n">
        <v>7</v>
      </c>
      <c r="CD180" s="1" t="str">
        <f aca="false">VLOOKUP(M180,Eras!$A$2:$C$10, 2, TRUE())</f>
        <v>dsl</v>
      </c>
      <c r="CE180" s="1" t="s">
        <v>282</v>
      </c>
      <c r="CF180" s="1" t="str">
        <f aca="false">CONCATENATE(CD180,"_",CE180)</f>
        <v>dsl_Express</v>
      </c>
      <c r="CG180" s="1" t="str">
        <f aca="false">_xlfn.CONCAT(K180, "_",L180)</f>
        <v>diesel_RAIL</v>
      </c>
      <c r="CH180" s="7" t="str">
        <f aca="false">_xlfn.CONCAT("{BLACK}Length: {GOLD}", TEXT(ROUNDUP(IF(AS180&lt;&gt;"",SUM(VALUE(_xlfn.TEXTSPLIT(AS180, ","))), SUM(VALUE(_xlfn.TEXTSPLIT(AP180, ",")))*IF(P180, P180, 1))/16, 1), "#,##0.0"), " tiles{}")</f>
        <v>{BLACK}Length: {GOLD}0.8 tiles{}</v>
      </c>
      <c r="CI180" s="1" t="str">
        <f aca="false">IF(0, VLOOKUP($CG180, Constants!$M:$N, 2, FALSE()),"")</f>
        <v/>
      </c>
      <c r="CJ180" s="1" t="str">
        <f aca="false">IF(P180&gt;1,_xlfn.CONCAT("{BLACK}Cars: {GOLD}", P180),"")</f>
        <v/>
      </c>
      <c r="CK180" s="1" t="s">
        <v>626</v>
      </c>
      <c r="CL180" s="1" t="str">
        <f aca="false">IF($BX180="concept_trains","{GREEN}Concept Vehicle",IF($BX180="!param_no_gameplay_units","{GREEN}Included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tiles{}{SILVER}Initially unwanted due to the small improvement in performance over the Class 7 Britannia, the Class 40 (English Electric Type 4) found its home on the West Coast Main Line.</v>
      </c>
    </row>
    <row r="181" customFormat="false" ht="14.25" hidden="false" customHeight="false" outlineLevel="0" collapsed="false">
      <c r="A181" s="1" t="s">
        <v>627</v>
      </c>
      <c r="B181" s="15" t="s">
        <v>628</v>
      </c>
      <c r="C181" s="1" t="n">
        <v>185</v>
      </c>
      <c r="E181" s="1" t="n">
        <v>123</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241</v>
      </c>
      <c r="J181" s="1" t="s">
        <v>249</v>
      </c>
      <c r="K181" s="1" t="s">
        <v>525</v>
      </c>
      <c r="L181" s="1" t="s">
        <v>192</v>
      </c>
      <c r="M181" s="1" t="n">
        <v>1958</v>
      </c>
      <c r="N181" s="1" t="n">
        <v>1959</v>
      </c>
      <c r="O181" s="1" t="n">
        <v>1968</v>
      </c>
      <c r="Q181" s="1" t="n">
        <v>1200</v>
      </c>
      <c r="Z181" s="1" t="n">
        <v>98.6</v>
      </c>
      <c r="AC181" s="1" t="n">
        <v>222</v>
      </c>
      <c r="AD181" s="4" t="n">
        <f aca="false">IF(AND(Z181&gt;0,AC181&gt;0),(AC181/((Z181+AA181)*10)),"")</f>
        <v>0.225152129817444</v>
      </c>
      <c r="AE181" s="1" t="n">
        <v>75</v>
      </c>
      <c r="AF181" s="1" t="n">
        <f aca="false">ROUND(AE181*1.6, 0)</f>
        <v>120</v>
      </c>
      <c r="AH181" s="1" t="n">
        <v>17.26</v>
      </c>
      <c r="AI181" s="1" t="n">
        <v>17.26</v>
      </c>
      <c r="AK181" s="1" t="n">
        <v>3.7</v>
      </c>
      <c r="AL181" s="5" t="n">
        <v>0</v>
      </c>
      <c r="AM181" s="1" t="str">
        <f aca="false">CONCATENATE(VLOOKUP(AN181, 'Voxel Sizes'!$A$2:$B$18,2,FALSE()),"x",INT(AJ181*15), "x", INT(AK181*15))</f>
        <v>164x0x55</v>
      </c>
      <c r="AN181" s="1" t="n">
        <f aca="false">ROUND(15*((AI181*10)/256),0)</f>
        <v>10</v>
      </c>
      <c r="AP181" s="1" t="str">
        <f aca="false">CONCATENATE(VLOOKUP(AN181,Constants!$A$2:$C$16,IF(AO181&lt;&gt;"", 3, 2), FALSE()),IF(AO181&lt;&gt;"",CONCATENATE(",",VLOOKUP(AO181,$B:$AP,41,FALSE())),""))</f>
        <v>4,2,4</v>
      </c>
      <c r="AZ181" s="1" t="n">
        <v>21</v>
      </c>
      <c r="BA181" s="16" t="n">
        <f aca="false">IF(O181&lt;&gt;"",MAX(16,(O181-M181)+8),"")</f>
        <v>18</v>
      </c>
      <c r="BD181" s="1" t="n">
        <f aca="false">MIN(AE181/150, 1)*30</f>
        <v>15</v>
      </c>
      <c r="BE181" s="1" t="n">
        <f aca="false">MIN(Q181/4000, 1)*20</f>
        <v>6</v>
      </c>
      <c r="BF181" s="1" t="n">
        <f aca="false">MIN(AC181/400,1)*20</f>
        <v>11.1</v>
      </c>
      <c r="BG181" s="4" t="n">
        <f aca="false">1-(MAX(M181-1900, 0)/750)</f>
        <v>0.922666666666667</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84</v>
      </c>
      <c r="BL181" s="1" t="n">
        <f aca="false">INT(POWER((((Constants!$G$1+$BD181+$BE181+$BF181+$BH181)*($BG181))*$BI181),IF($J181="wagon",1,1.2)))+$BB181</f>
        <v>92</v>
      </c>
      <c r="BM181" s="17" t="n">
        <f aca="false">BK181*IF($J181="wagon",62.5,781.25)</f>
        <v>65625</v>
      </c>
      <c r="BN181" s="17" t="n">
        <f aca="false">BL181*IF($J181="wagon",2.73,81.25)</f>
        <v>7475</v>
      </c>
      <c r="BU181" s="1" t="str">
        <f aca="false">IF(J181="locomotive","B","")</f>
        <v>B</v>
      </c>
      <c r="BV181" s="1" t="str">
        <f aca="false">IF($J181="locomotive","B","")</f>
        <v>B</v>
      </c>
      <c r="BY181" s="1" t="n">
        <v>8</v>
      </c>
      <c r="CD181" s="1" t="str">
        <f aca="false">VLOOKUP(M181,Eras!$A$2:$C$10, 2, TRUE())</f>
        <v>dsl</v>
      </c>
      <c r="CE181" s="1" t="s">
        <v>129</v>
      </c>
      <c r="CF181" s="1" t="str">
        <f aca="false">CONCATENATE(CD181,"_",CE181)</f>
        <v>dsl_Mixed Traffic</v>
      </c>
      <c r="CG181" s="1" t="str">
        <f aca="false">_xlfn.CONCAT(K181, "_",L181)</f>
        <v>diesel_RAIL</v>
      </c>
      <c r="CH181" s="7" t="str">
        <f aca="false">_xlfn.CONCAT("{BLACK}Length: {GOLD}", TEXT(ROUNDUP(IF(AS181&lt;&gt;"",SUM(VALUE(_xlfn.TEXTSPLIT(AS181, ","))), SUM(VALUE(_xlfn.TEXTSPLIT(AP181, ",")))*IF(P181, P181, 1))/16, 1), "#,##0.0"), " tiles{}")</f>
        <v>{BLACK}Length: {GOLD}0.7 tiles{}</v>
      </c>
      <c r="CI181" s="1" t="str">
        <f aca="false">IF(0, VLOOKUP($CG181, Constants!$M:$N, 2, FALSE()),"")</f>
        <v/>
      </c>
      <c r="CJ181" s="1" t="str">
        <f aca="false">IF(P181&gt;1,_xlfn.CONCAT("{BLACK}Cars: {GOLD}", P181),"")</f>
        <v/>
      </c>
      <c r="CK181" s="1" t="s">
        <v>629</v>
      </c>
      <c r="CL181" s="1" t="str">
        <f aca="false">IF($BX181="concept_trains","{GREEN}Concept Vehicle",IF($BX181="!param_no_gameplay_units","{GREEN}Included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2" customFormat="false" ht="14.25" hidden="false" customHeight="false" outlineLevel="0" collapsed="false">
      <c r="A182" s="1" t="s">
        <v>630</v>
      </c>
      <c r="B182" s="15" t="s">
        <v>631</v>
      </c>
      <c r="C182" s="1" t="n">
        <v>186</v>
      </c>
      <c r="E182" s="1" t="n">
        <v>124</v>
      </c>
      <c r="G182" s="1" t="str">
        <f aca="false">IF($F182&lt;&gt;"",_xlfn.CONCAT(VLOOKUP($CE182, Constants!$T:$U, 2, FALSE()),",",$F182),VLOOKUP($CE182, Constants!$T:$U, 2, FALSE()))</f>
        <v>role/mixed</v>
      </c>
      <c r="H182" s="1" t="str">
        <f aca="false">IF($G182&lt;&gt;"",_xlfn.CONCAT(VLOOKUP($CG182, Constants!$M:$P, 4, FALSE()),",",$G182),VLOOKUP($CG182, Constants!$M:$P, 4, FALSE()))</f>
        <v>flag/GB,power/electric,role/mixed</v>
      </c>
      <c r="I182" s="1" t="s">
        <v>241</v>
      </c>
      <c r="J182" s="1" t="s">
        <v>249</v>
      </c>
      <c r="K182" s="1" t="s">
        <v>388</v>
      </c>
      <c r="L182" s="1" t="s">
        <v>541</v>
      </c>
      <c r="M182" s="1" t="n">
        <v>1958</v>
      </c>
      <c r="N182" s="1" t="n">
        <v>1960</v>
      </c>
      <c r="O182" s="1" t="n">
        <v>1977</v>
      </c>
      <c r="Q182" s="1" t="n">
        <v>2300</v>
      </c>
      <c r="Z182" s="1" t="n">
        <v>78.24</v>
      </c>
      <c r="AC182" s="1" t="n">
        <v>195</v>
      </c>
      <c r="AD182" s="4" t="n">
        <f aca="false">IF(AND(Z182&gt;0,AC182&gt;0),(AC182/((Z182+AA182)*10)),"")</f>
        <v>0.249233128834356</v>
      </c>
      <c r="AE182" s="1" t="n">
        <v>90</v>
      </c>
      <c r="AF182" s="1" t="n">
        <f aca="false">ROUND(AE182*1.6, 0)</f>
        <v>144</v>
      </c>
      <c r="AH182" s="1" t="n">
        <v>16.36</v>
      </c>
      <c r="AI182" s="1" t="n">
        <v>16.36</v>
      </c>
      <c r="AL182" s="5" t="n">
        <v>0</v>
      </c>
      <c r="AM182" s="1" t="str">
        <f aca="false">CONCATENATE(VLOOKUP(AN182, 'Voxel Sizes'!$A$2:$B$18,2,FALSE()),"x",INT(AJ182*15), "x", INT(AK182*15))</f>
        <v>164x0x0</v>
      </c>
      <c r="AN182" s="1" t="n">
        <f aca="false">ROUND(15*((AI182*10)/256),0)</f>
        <v>10</v>
      </c>
      <c r="AP182" s="1" t="str">
        <f aca="false">CONCATENATE(VLOOKUP(AN182,Constants!$A$2:$C$16,IF(AO182&lt;&gt;"", 3, 2), FALSE()),IF(AO182&lt;&gt;"",CONCATENATE(",",VLOOKUP(AO182,$B:$AP,41,FALSE())),""))</f>
        <v>4,2,4</v>
      </c>
      <c r="AZ182" s="1" t="n">
        <v>32</v>
      </c>
      <c r="BA182" s="16" t="n">
        <f aca="false">IF(O182&lt;&gt;"",MAX(16,(O182-M182)+8),"")</f>
        <v>27</v>
      </c>
      <c r="BD182" s="1" t="n">
        <f aca="false">MIN(AE182/150, 1)*30</f>
        <v>18</v>
      </c>
      <c r="BE182" s="1" t="n">
        <f aca="false">MIN(Q182/4000, 1)*20</f>
        <v>11.5</v>
      </c>
      <c r="BF182" s="1" t="n">
        <f aca="false">MIN(AC182/400,1)*20</f>
        <v>9.75</v>
      </c>
      <c r="BG182" s="4" t="n">
        <f aca="false">1-(MAX(M182-1900, 0)/750)</f>
        <v>0.922666666666667</v>
      </c>
      <c r="BH182" s="1" t="n">
        <f aca="false">((MAX($P182,1)*MIN($AL182/300,1)))*IF(J182="Wagon",50,10)</f>
        <v>0</v>
      </c>
      <c r="BI182" s="1" t="n">
        <f aca="false">VLOOKUP($K182,Constants!$I:$K, 2, FALSE())</f>
        <v>0.85</v>
      </c>
      <c r="BJ182" s="1" t="n">
        <f aca="false">VLOOKUP($K182,Constants!$I:$K, 3, FALSE())*IF(AND(J182="multiple_unit",AE182&lt;110),0.75,1)</f>
        <v>2.3</v>
      </c>
      <c r="BK182" s="1" t="n">
        <f aca="false">INT(POWER(((Constants!$G$2+$BD182+$BE182+$BF182+$BH182)*$BG182)*$BJ182, 1.05))+$BC182</f>
        <v>117</v>
      </c>
      <c r="BL182" s="1" t="n">
        <f aca="false">INT(POWER((((Constants!$G$1+$BD182+$BE182+$BF182+$BH182)*($BG182))*$BI182),IF($J182="wagon",1,1.2)))+$BB182</f>
        <v>90</v>
      </c>
      <c r="BM182" s="17" t="n">
        <f aca="false">BK182*IF($J182="wagon",62.5,781.25)</f>
        <v>91406.25</v>
      </c>
      <c r="BN182" s="17" t="n">
        <f aca="false">BL182*IF($J182="wagon",2.73,81.25)</f>
        <v>7312.5</v>
      </c>
      <c r="BU182" s="1" t="str">
        <f aca="false">IF(J182="locomotive","B","")</f>
        <v>B</v>
      </c>
      <c r="BV182" s="1" t="str">
        <f aca="false">IF($J182="locomotive","B","")</f>
        <v>B</v>
      </c>
      <c r="BY182" s="1" t="n">
        <v>9</v>
      </c>
      <c r="CD182" s="1" t="str">
        <f aca="false">VLOOKUP(M182,Eras!$A$2:$C$10, 2, TRUE())</f>
        <v>dsl</v>
      </c>
      <c r="CE182" s="1" t="s">
        <v>542</v>
      </c>
      <c r="CF182" s="1" t="str">
        <f aca="false">CONCATENATE(CD182,"_",CE182)</f>
        <v>dsl_MT (Electric)</v>
      </c>
      <c r="CG182" s="1" t="str">
        <f aca="false">_xlfn.CONCAT(K182, "_",L182)</f>
        <v>electric_THIRD_RAIL</v>
      </c>
      <c r="CH182" s="7" t="str">
        <f aca="false">_xlfn.CONCAT("{BLACK}Length: {GOLD}", TEXT(ROUNDUP(IF(AS182&lt;&gt;"",SUM(VALUE(_xlfn.TEXTSPLIT(AS182, ","))), SUM(VALUE(_xlfn.TEXTSPLIT(AP182, ",")))*IF(P182, P182, 1))/16, 1), "#,##0.0"), " tiles{}")</f>
        <v>{BLACK}Length: {GOLD}0.7 tiles{}</v>
      </c>
      <c r="CI182" s="1" t="str">
        <f aca="false">IF(0, VLOOKUP($CG182, Constants!$M:$N, 2, FALSE()),"")</f>
        <v/>
      </c>
      <c r="CJ182" s="1" t="str">
        <f aca="false">IF(P182&gt;1,_xlfn.CONCAT("{BLACK}Cars: {GOLD}", P182),"")</f>
        <v/>
      </c>
      <c r="CK182" s="1" t="s">
        <v>632</v>
      </c>
      <c r="CL182" s="1" t="str">
        <f aca="false">IF($BX182="concept_trains","{GREEN}Concept Vehicle",IF($BX182="!param_no_gameplay_units","{GREEN}Included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{GOLD}0.7 tiles{}{SILVER}The Class 71 is a mixed-traffic electric locomotive designed to work on the third rail system. It offered a lot of power for a small locomotive, but being confined to third rail power with no auxiliary option limited its usefulness.</v>
      </c>
    </row>
    <row r="183" customFormat="false" ht="14.25" hidden="false" customHeight="false" outlineLevel="0" collapsed="false">
      <c r="A183" s="1" t="s">
        <v>633</v>
      </c>
      <c r="B183" s="15" t="s">
        <v>634</v>
      </c>
      <c r="C183" s="1" t="n">
        <v>187</v>
      </c>
      <c r="E183" s="1" t="n">
        <v>125</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241</v>
      </c>
      <c r="J183" s="1" t="s">
        <v>249</v>
      </c>
      <c r="K183" s="1" t="s">
        <v>525</v>
      </c>
      <c r="L183" s="1" t="s">
        <v>192</v>
      </c>
      <c r="M183" s="1" t="n">
        <v>1958</v>
      </c>
      <c r="N183" s="1" t="n">
        <v>1959</v>
      </c>
      <c r="O183" s="1" t="n">
        <v>1994</v>
      </c>
      <c r="Q183" s="1" t="n">
        <v>1160</v>
      </c>
      <c r="Z183" s="1" t="n">
        <v>78.7</v>
      </c>
      <c r="AC183" s="1" t="n">
        <v>187</v>
      </c>
      <c r="AD183" s="4" t="n">
        <f aca="false">IF(AND(Z183&gt;0,AC183&gt;0),(AC183/((Z183+AA183)*10)),"")</f>
        <v>0.237611181702668</v>
      </c>
      <c r="AE183" s="1" t="n">
        <v>80</v>
      </c>
      <c r="AF183" s="1" t="n">
        <f aca="false">ROUND(AE183*1.6, 0)</f>
        <v>128</v>
      </c>
      <c r="AH183" s="1" t="n">
        <v>15.47</v>
      </c>
      <c r="AI183" s="1" t="n">
        <v>15.47</v>
      </c>
      <c r="AK183" s="1" t="n">
        <v>3.86</v>
      </c>
      <c r="AL183" s="5" t="n">
        <v>0</v>
      </c>
      <c r="AM183" s="1" t="str">
        <f aca="false">CONCATENATE(VLOOKUP(AN183, 'Voxel Sizes'!$A$2:$B$18,2,FALSE()),"x",INT(AJ183*15), "x", INT(AK183*15))</f>
        <v>152x0x57</v>
      </c>
      <c r="AN183" s="1" t="n">
        <f aca="false">ROUND(15*((AI183*10)/256),0)</f>
        <v>9</v>
      </c>
      <c r="AP183" s="1" t="str">
        <f aca="false">CONCATENATE(VLOOKUP(AN183,Constants!$A$2:$C$16,IF(AO183&lt;&gt;"", 3, 2), FALSE()),IF(AO183&lt;&gt;"",CONCATENATE(",",VLOOKUP(AO183,$B:$AP,41,FALSE())),""))</f>
        <v>2,5,2</v>
      </c>
      <c r="AZ183" s="1" t="n">
        <v>30</v>
      </c>
      <c r="BA183" s="16" t="n">
        <f aca="false">IF(O183&lt;&gt;"",MAX(16,(O183-M183)+8),"")</f>
        <v>44</v>
      </c>
      <c r="BD183" s="1" t="n">
        <f aca="false">MIN(AE183/150, 1)*30</f>
        <v>16</v>
      </c>
      <c r="BE183" s="1" t="n">
        <f aca="false">MIN(Q183/4000, 1)*20</f>
        <v>5.8</v>
      </c>
      <c r="BF183" s="1" t="n">
        <f aca="false">MIN(AC183/400,1)*20</f>
        <v>9.35</v>
      </c>
      <c r="BG183" s="4" t="n">
        <f aca="false">1-(MAX(M183-1900, 0)/750)</f>
        <v>0.922666666666667</v>
      </c>
      <c r="BH183" s="1" t="n">
        <f aca="false">((MAX($P183,1)*MIN($AL183/300,1)))*IF(J183="Wagon",50,10)</f>
        <v>0</v>
      </c>
      <c r="BI183" s="1" t="n">
        <f aca="false">VLOOKUP($K183,Constants!$I:$K, 2, FALSE())</f>
        <v>1</v>
      </c>
      <c r="BJ183" s="1" t="n">
        <f aca="false">VLOOKUP($K183,Constants!$I:$K, 3, FALSE())*IF(AND(J183="multiple_unit",AE183&lt;110),0.75,1)</f>
        <v>2</v>
      </c>
      <c r="BK183" s="1" t="n">
        <f aca="false">INT(POWER(((Constants!$G$2+$BD183+$BE183+$BF183+$BH183)*$BG183)*$BJ183, 1.05))+$BC183</f>
        <v>82</v>
      </c>
      <c r="BL183" s="1" t="n">
        <f aca="false">INT(POWER((((Constants!$G$1+$BD183+$BE183+$BF183+$BH183)*($BG183))*$BI183),IF($J183="wagon",1,1.2)))+$BB183</f>
        <v>90</v>
      </c>
      <c r="BM183" s="17" t="n">
        <f aca="false">BK183*IF($J183="wagon",62.5,781.25)</f>
        <v>64062.5</v>
      </c>
      <c r="BN183" s="17" t="n">
        <f aca="false">BL183*IF($J183="wagon",2.73,81.25)</f>
        <v>7312.5</v>
      </c>
      <c r="BU183" s="1" t="str">
        <f aca="false">IF(J183="locomotive","B","")</f>
        <v>B</v>
      </c>
      <c r="BV183" s="1" t="str">
        <f aca="false">IF($J183="locomotive","B","")</f>
        <v>B</v>
      </c>
      <c r="BY183" s="1" t="n">
        <v>10</v>
      </c>
      <c r="CD183" s="1" t="str">
        <f aca="false">VLOOKUP(M183,Eras!$A$2:$C$10, 2, TRUE())</f>
        <v>dsl</v>
      </c>
      <c r="CE183" s="1" t="s">
        <v>129</v>
      </c>
      <c r="CF183" s="1" t="str">
        <f aca="false">CONCATENATE(CD183,"_",CE183)</f>
        <v>dsl_Mixed Traffic</v>
      </c>
      <c r="CG183" s="1" t="str">
        <f aca="false">_xlfn.CONCAT(K183, "_",L183)</f>
        <v>diesel_RAIL</v>
      </c>
      <c r="CH183" s="7" t="str">
        <f aca="false">_xlfn.CONCAT("{BLACK}Length: {GOLD}", TEXT(ROUNDUP(IF(AS183&lt;&gt;"",SUM(VALUE(_xlfn.TEXTSPLIT(AS183, ","))), SUM(VALUE(_xlfn.TEXTSPLIT(AP183, ",")))*IF(P183, P183, 1))/16, 1), "#,##0.0"), " tiles{}")</f>
        <v>{BLACK}Length: {GOLD}0.6 tiles{}</v>
      </c>
      <c r="CI183" s="1" t="str">
        <f aca="false">IF(0, VLOOKUP($CG183, Constants!$M:$N, 2, FALSE()),"")</f>
        <v/>
      </c>
      <c r="CJ183" s="1" t="str">
        <f aca="false">IF(P183&gt;1,_xlfn.CONCAT("{BLACK}Cars: {GOLD}", P183),"")</f>
        <v/>
      </c>
      <c r="CK183" s="1" t="s">
        <v>635</v>
      </c>
      <c r="CL183" s="1" t="str">
        <f aca="false">IF($BX183="concept_trains","{GREEN}Concept Vehicle",IF($BX183="!param_no_gameplay_units","{GREEN}Included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{GOLD}0.6 tiles{}{SILVER}The Class 26 "Teacup" (so named for its idling sound) was an early Type 2 locomotive, small diesels with engine output between 800 and 1,250 hp.</v>
      </c>
    </row>
    <row r="184" customFormat="false" ht="14.25" hidden="false" customHeight="false" outlineLevel="0" collapsed="false">
      <c r="A184" s="1" t="s">
        <v>636</v>
      </c>
      <c r="B184" s="15" t="s">
        <v>637</v>
      </c>
      <c r="C184" s="1" t="n">
        <v>188</v>
      </c>
      <c r="E184" s="1" t="n">
        <v>126</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241</v>
      </c>
      <c r="J184" s="1" t="s">
        <v>249</v>
      </c>
      <c r="K184" s="1" t="s">
        <v>525</v>
      </c>
      <c r="L184" s="1" t="s">
        <v>192</v>
      </c>
      <c r="M184" s="1" t="n">
        <v>1959</v>
      </c>
      <c r="N184" s="1" t="n">
        <v>1959</v>
      </c>
      <c r="O184" s="1" t="n">
        <v>1971</v>
      </c>
      <c r="Q184" s="1" t="n">
        <v>1100</v>
      </c>
      <c r="Z184" s="1" t="n">
        <v>75.2</v>
      </c>
      <c r="AC184" s="1" t="n">
        <v>209</v>
      </c>
      <c r="AD184" s="4" t="n">
        <f aca="false">IF(AND(Z184&gt;0,AC184&gt;0),(AC184/((Z184+AA184)*10)),"")</f>
        <v>0.277925531914894</v>
      </c>
      <c r="AE184" s="1" t="n">
        <v>75</v>
      </c>
      <c r="AF184" s="1" t="n">
        <f aca="false">ROUND(AE184*1.6, 0)</f>
        <v>120</v>
      </c>
      <c r="AH184" s="1" t="n">
        <v>16</v>
      </c>
      <c r="AI184" s="1" t="n">
        <v>16</v>
      </c>
      <c r="AK184" s="1" t="n">
        <v>3.86</v>
      </c>
      <c r="AL184" s="5" t="n">
        <v>0</v>
      </c>
      <c r="AM184" s="1" t="str">
        <f aca="false">CONCATENATE(VLOOKUP(AN184, 'Voxel Sizes'!$A$2:$B$18,2,FALSE()),"x",INT(AJ184*15), "x", INT(AK184*15))</f>
        <v>152x0x57</v>
      </c>
      <c r="AN184" s="1" t="n">
        <f aca="false">ROUND(15*((AI184*10)/256),0)</f>
        <v>9</v>
      </c>
      <c r="AP184" s="1" t="str">
        <f aca="false">CONCATENATE(VLOOKUP(AN184,Constants!$A$2:$C$16,IF(AO184&lt;&gt;"", 3, 2), FALSE()),IF(AO184&lt;&gt;"",CONCATENATE(",",VLOOKUP(AO184,$B:$AP,41,FALSE())),""))</f>
        <v>2,5,2</v>
      </c>
      <c r="AZ184" s="1" t="n">
        <v>26</v>
      </c>
      <c r="BA184" s="16" t="n">
        <f aca="false">IF(O184&lt;&gt;"",MAX(16,(O184-M184)+8),"")</f>
        <v>20</v>
      </c>
      <c r="BD184" s="1" t="n">
        <f aca="false">MIN(AE184/150, 1)*30</f>
        <v>15</v>
      </c>
      <c r="BE184" s="1" t="n">
        <f aca="false">MIN(Q184/4000, 1)*20</f>
        <v>5.5</v>
      </c>
      <c r="BF184" s="1" t="n">
        <f aca="false">MIN(AC184/400,1)*20</f>
        <v>10.45</v>
      </c>
      <c r="BG184" s="4" t="n">
        <f aca="false">1-(MAX(M184-1900, 0)/750)</f>
        <v>0.921333333333333</v>
      </c>
      <c r="BH184" s="1" t="n">
        <f aca="false">((MAX($P184,1)*MIN($AL184/300,1)))*IF(J184="Wagon",50,10)</f>
        <v>0</v>
      </c>
      <c r="BI184" s="1" t="n">
        <f aca="false">VLOOKUP($K184,Constants!$I:$K, 2, FALSE())</f>
        <v>1</v>
      </c>
      <c r="BJ184" s="1" t="n">
        <f aca="false">VLOOKUP($K184,Constants!$I:$K, 3, FALSE())*IF(AND(J184="multiple_unit",AE184&lt;110),0.75,1)</f>
        <v>2</v>
      </c>
      <c r="BK184" s="1" t="n">
        <f aca="false">INT(POWER(((Constants!$G$2+$BD184+$BE184+$BF184+$BH184)*$BG184)*$BJ184, 1.05))+$BC184</f>
        <v>81</v>
      </c>
      <c r="BL184" s="1" t="n">
        <f aca="false">INT(POWER((((Constants!$G$1+$BD184+$BE184+$BF184+$BH184)*($BG184))*$BI184),IF($J184="wagon",1,1.2)))+$BB184</f>
        <v>89</v>
      </c>
      <c r="BM184" s="17" t="n">
        <f aca="false">BK184*IF($J184="wagon",62.5,781.25)</f>
        <v>63281.25</v>
      </c>
      <c r="BN184" s="17" t="n">
        <f aca="false">BL184*IF($J184="wagon",2.73,81.25)</f>
        <v>7231.25</v>
      </c>
      <c r="BU184" s="1" t="str">
        <f aca="false">IF(J184="locomotive","B","")</f>
        <v>B</v>
      </c>
      <c r="BV184" s="1" t="str">
        <f aca="false">IF($J184="locomotive","B","")</f>
        <v>B</v>
      </c>
      <c r="BY184" s="1" t="n">
        <v>11</v>
      </c>
      <c r="CD184" s="1" t="str">
        <f aca="false">VLOOKUP(M184,Eras!$A$2:$C$10, 2, TRUE())</f>
        <v>dsl</v>
      </c>
      <c r="CE184" s="1" t="s">
        <v>129</v>
      </c>
      <c r="CF184" s="1" t="str">
        <f aca="false">CONCATENATE(CD184,"_",CE184)</f>
        <v>dsl_Mixed Traffic</v>
      </c>
      <c r="CG184" s="1" t="str">
        <f aca="false">_xlfn.CONCAT(K184, "_",L184)</f>
        <v>diesel_RAIL</v>
      </c>
      <c r="CH184" s="7" t="str">
        <f aca="false">_xlfn.CONCAT("{BLACK}Length: {GOLD}", TEXT(ROUNDUP(IF(AS184&lt;&gt;"",SUM(VALUE(_xlfn.TEXTSPLIT(AS184, ","))), SUM(VALUE(_xlfn.TEXTSPLIT(AP184, ",")))*IF(P184, P184, 1))/16, 1), "#,##0.0"), " tiles{}")</f>
        <v>{BLACK}Length: {GOLD}0.6 tiles{}</v>
      </c>
      <c r="CI184" s="1" t="str">
        <f aca="false">IF(0, VLOOKUP($CG184, Constants!$M:$N, 2, FALSE()),"")</f>
        <v/>
      </c>
      <c r="CJ184" s="1" t="str">
        <f aca="false">IF(P184&gt;1,_xlfn.CONCAT("{BLACK}Cars: {GOLD}", P184),"")</f>
        <v/>
      </c>
      <c r="CK184" s="1" t="s">
        <v>638</v>
      </c>
      <c r="CL184" s="1" t="str">
        <f aca="false">IF($BX184="concept_trains","{GREEN}Concept Vehicle",IF($BX184="!param_no_gameplay_units","{GREEN}Included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23 uses a smaller version of the Napier Deltic engine fitted to the Class 55, leading to its nickname of "Baby Deltic".</v>
      </c>
    </row>
    <row r="185" customFormat="false" ht="14.25" hidden="false" customHeight="false" outlineLevel="0" collapsed="false">
      <c r="A185" s="1" t="s">
        <v>639</v>
      </c>
      <c r="B185" s="15" t="s">
        <v>640</v>
      </c>
      <c r="C185" s="1" t="n">
        <v>189</v>
      </c>
      <c r="E185" s="1" t="n">
        <v>127</v>
      </c>
      <c r="G185" s="1" t="str">
        <f aca="false">IF($F185&lt;&gt;"",_xlfn.CONCAT(VLOOKUP($CE185, Constants!$T:$U, 2, FALSE()),",",$F185),VLOOKUP($CE185, Constants!$T:$U, 2, FALSE()))</f>
        <v>role/express_passenger</v>
      </c>
      <c r="H185" s="1" t="str">
        <f aca="false">IF($G185&lt;&gt;"",_xlfn.CONCAT(VLOOKUP($CG185, Constants!$M:$P, 4, FALSE()),",",$G185),VLOOKUP($CG185, Constants!$M:$P, 4, FALSE()))</f>
        <v>flag/GB,power/electric,role/express_passenger</v>
      </c>
      <c r="I185" s="1" t="s">
        <v>241</v>
      </c>
      <c r="J185" s="1" t="s">
        <v>249</v>
      </c>
      <c r="K185" s="1" t="s">
        <v>388</v>
      </c>
      <c r="L185" s="1" t="s">
        <v>389</v>
      </c>
      <c r="M185" s="1" t="n">
        <v>1959</v>
      </c>
      <c r="N185" s="1" t="n">
        <v>1964</v>
      </c>
      <c r="O185" s="1" t="n">
        <v>1991</v>
      </c>
      <c r="Q185" s="1" t="n">
        <f aca="false">4*847</f>
        <v>3388</v>
      </c>
      <c r="Z185" s="1" t="n">
        <v>80.9</v>
      </c>
      <c r="AC185" s="1" t="n">
        <v>222</v>
      </c>
      <c r="AD185" s="4" t="n">
        <f aca="false">IF(AND(Z185&gt;0,AC185&gt;0),(AC185/((Z185+AA185)*10)),"")</f>
        <v>0.274412855377009</v>
      </c>
      <c r="AE185" s="1" t="n">
        <v>100</v>
      </c>
      <c r="AF185" s="1" t="n">
        <f aca="false">ROUND(AE185*1.6, 0)</f>
        <v>160</v>
      </c>
      <c r="AH185" s="1" t="n">
        <v>17.22</v>
      </c>
      <c r="AI185" s="1" t="n">
        <v>17.22</v>
      </c>
      <c r="AK185" s="1" t="n">
        <v>3.77</v>
      </c>
      <c r="AL185" s="5" t="n">
        <v>0</v>
      </c>
      <c r="AM185" s="1" t="str">
        <f aca="false">CONCATENATE(VLOOKUP(AN185, 'Voxel Sizes'!$A$2:$B$18,2,FALSE()),"x",INT(AJ185*15), "x", INT(AK185*15))</f>
        <v>164x0x56</v>
      </c>
      <c r="AN185" s="1" t="n">
        <f aca="false">ROUND(15*((AI185*10)/256),0)</f>
        <v>10</v>
      </c>
      <c r="AP185" s="1" t="str">
        <f aca="false">CONCATENATE(VLOOKUP(AN185,Constants!$A$2:$C$16,IF(AO185&lt;&gt;"", 3, 2), FALSE()),IF(AO185&lt;&gt;"",CONCATENATE(",",VLOOKUP(AO185,$B:$AP,41,FALSE())),""))</f>
        <v>4,2,4</v>
      </c>
      <c r="AZ185" s="1" t="n">
        <v>27</v>
      </c>
      <c r="BA185" s="16" t="n">
        <f aca="false">IF(O185&lt;&gt;"",MAX(16,(O185-M185)+8),"")</f>
        <v>40</v>
      </c>
      <c r="BD185" s="1" t="n">
        <f aca="false">MIN(AE185/150, 1)*30</f>
        <v>20</v>
      </c>
      <c r="BE185" s="1" t="n">
        <f aca="false">MIN(Q185/4000, 1)*20</f>
        <v>16.94</v>
      </c>
      <c r="BF185" s="1" t="n">
        <f aca="false">MIN(AC185/400,1)*20</f>
        <v>11.1</v>
      </c>
      <c r="BG185" s="4" t="n">
        <f aca="false">1-(MAX(M185-1900, 0)/750)</f>
        <v>0.921333333333333</v>
      </c>
      <c r="BH185" s="1" t="n">
        <f aca="false">((MAX($P185,1)*MIN($AL185/300,1)))*IF(J185="Wagon",50,10)</f>
        <v>0</v>
      </c>
      <c r="BI185" s="1" t="n">
        <f aca="false">VLOOKUP($K185,Constants!$I:$K, 2, FALSE())</f>
        <v>0.85</v>
      </c>
      <c r="BJ185" s="1" t="n">
        <f aca="false">VLOOKUP($K185,Constants!$I:$K, 3, FALSE())*IF(AND(J185="multiple_unit",AE185&lt;110),0.75,1)</f>
        <v>2.3</v>
      </c>
      <c r="BK185" s="1" t="n">
        <f aca="false">INT(POWER(((Constants!$G$2+$BD185+$BE185+$BF185+$BH185)*$BG185)*$BJ185, 1.05))+$BC185</f>
        <v>142</v>
      </c>
      <c r="BL185" s="1" t="n">
        <f aca="false">INT(POWER((((Constants!$G$1+$BD185+$BE185+$BF185+$BH185)*($BG185))*$BI185),IF($J185="wagon",1,1.2)))+$BB185</f>
        <v>107</v>
      </c>
      <c r="BM185" s="17" t="n">
        <f aca="false">BK185*IF($J185="wagon",62.5,781.25)</f>
        <v>110937.5</v>
      </c>
      <c r="BN185" s="17" t="n">
        <f aca="false">BL185*IF($J185="wagon",2.73,81.25)</f>
        <v>8693.75</v>
      </c>
      <c r="BU185" s="1" t="str">
        <f aca="false">IF(J185="locomotive","B","")</f>
        <v>B</v>
      </c>
      <c r="BV185" s="1" t="str">
        <f aca="false">IF($J185="locomotive","B","")</f>
        <v>B</v>
      </c>
      <c r="BY185" s="1" t="n">
        <v>12</v>
      </c>
      <c r="CD185" s="1" t="str">
        <f aca="false">VLOOKUP(M185,Eras!$A$2:$C$10, 2, TRUE())</f>
        <v>dsl</v>
      </c>
      <c r="CE185" s="1" t="s">
        <v>447</v>
      </c>
      <c r="CF185" s="1" t="str">
        <f aca="false">CONCATENATE(CD185,"_",CE185)</f>
        <v>dsl_Express (Electric)</v>
      </c>
      <c r="CG185" s="1" t="str">
        <f aca="false">_xlfn.CONCAT(K185, "_",L185)</f>
        <v>electric_ELRL</v>
      </c>
      <c r="CH185" s="7" t="str">
        <f aca="false">_xlfn.CONCAT("{BLACK}Length: {GOLD}", TEXT(ROUNDUP(IF(AS185&lt;&gt;"",SUM(VALUE(_xlfn.TEXTSPLIT(AS185, ","))), SUM(VALUE(_xlfn.TEXTSPLIT(AP185, ",")))*IF(P185, P185, 1))/16, 1), "#,##0.0"), " tiles{}")</f>
        <v>{BLACK}Length: {GOLD}0.7 tiles{}</v>
      </c>
      <c r="CI185" s="1" t="str">
        <f aca="false">IF(0, VLOOKUP($CG185, Constants!$M:$N, 2, FALSE()),"")</f>
        <v/>
      </c>
      <c r="CJ185" s="1" t="str">
        <f aca="false">IF(P185&gt;1,_xlfn.CONCAT("{BLACK}Cars: {GOLD}", P185),"")</f>
        <v/>
      </c>
      <c r="CK185" s="1" t="s">
        <v>641</v>
      </c>
      <c r="CL185" s="1" t="str">
        <f aca="false">IF($BX185="concept_trains","{GREEN}Concept Vehicle",IF($BX185="!param_no_gameplay_units","{GREEN}Included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{GOLD}0.7 tiles{}{SILVER}Built by Associated Electrical Industries, the Class 81 was British Railways' first AC electric locomotive. Two types were envisioned, but all delivered were geared for 100mph passenger and express freight usage.</v>
      </c>
    </row>
    <row r="186" customFormat="false" ht="14.25" hidden="false" customHeight="false" outlineLevel="0" collapsed="false">
      <c r="A186" s="1" t="s">
        <v>642</v>
      </c>
      <c r="B186" s="15" t="s">
        <v>643</v>
      </c>
      <c r="C186" s="1" t="n">
        <v>190</v>
      </c>
      <c r="E186" s="1" t="n">
        <v>128</v>
      </c>
      <c r="G186" s="1" t="str">
        <f aca="false">IF($F186&lt;&gt;"",_xlfn.CONCAT(VLOOKUP($CE186, Constants!$T:$U, 2, FALSE()),",",$F186),VLOOKUP($CE186, Constants!$T:$U, 2, FALSE()))</f>
        <v>role/freight</v>
      </c>
      <c r="H186" s="1" t="str">
        <f aca="false">IF($G186&lt;&gt;"",_xlfn.CONCAT(VLOOKUP($CG186, Constants!$M:$P, 4, FALSE()),",",$G186),VLOOKUP($CG186, Constants!$M:$P, 4, FALSE()))</f>
        <v>flag/GB,power/diesel,role/freight</v>
      </c>
      <c r="I186" s="1" t="s">
        <v>241</v>
      </c>
      <c r="J186" s="1" t="s">
        <v>249</v>
      </c>
      <c r="K186" s="1" t="s">
        <v>525</v>
      </c>
      <c r="L186" s="1" t="s">
        <v>192</v>
      </c>
      <c r="M186" s="1" t="n">
        <v>1960</v>
      </c>
      <c r="N186" s="1" t="n">
        <v>1965</v>
      </c>
      <c r="Q186" s="1" t="n">
        <v>1750</v>
      </c>
      <c r="Z186" s="1" t="n">
        <v>102</v>
      </c>
      <c r="AC186" s="1" t="n">
        <v>247</v>
      </c>
      <c r="AD186" s="4" t="n">
        <f aca="false">IF(AND(Z186&gt;0,AC186&gt;0),(AC186/((Z186+AA186)*10)),"")</f>
        <v>0.242156862745098</v>
      </c>
      <c r="AE186" s="1" t="n">
        <v>90</v>
      </c>
      <c r="AF186" s="1" t="n">
        <f aca="false">ROUND(AE186*1.6, 0)</f>
        <v>144</v>
      </c>
      <c r="AH186" s="1" t="n">
        <v>18.75</v>
      </c>
      <c r="AI186" s="1" t="n">
        <v>18.75</v>
      </c>
      <c r="AJ186" s="1" t="n">
        <v>2.71</v>
      </c>
      <c r="AK186" s="1" t="n">
        <v>3.89</v>
      </c>
      <c r="AL186" s="5" t="n">
        <v>0</v>
      </c>
      <c r="AM186" s="1" t="str">
        <f aca="false">CONCATENATE(VLOOKUP(AN186, 'Voxel Sizes'!$A$2:$B$18,2,FALSE()),"x",INT(AJ186*15), "x", INT(AK186*15))</f>
        <v>186x40x58</v>
      </c>
      <c r="AN186" s="1" t="n">
        <f aca="false">ROUND(15*((AI186*10)/256),0)</f>
        <v>11</v>
      </c>
      <c r="AP186" s="1" t="str">
        <f aca="false">CONCATENATE(VLOOKUP(AN186,Constants!$A$2:$C$16,IF(AO186&lt;&gt;"", 3, 2), FALSE()),IF(AO186&lt;&gt;"",CONCATENATE(",",VLOOKUP(AO186,$B:$AP,41,FALSE())),""))</f>
        <v>4,3,4</v>
      </c>
      <c r="AZ186" s="1" t="n">
        <v>42</v>
      </c>
      <c r="BA186" s="16" t="str">
        <f aca="false">IF(O186&lt;&gt;"",MAX(16,(O186-M186)+8),"")</f>
        <v/>
      </c>
      <c r="BD186" s="1" t="n">
        <f aca="false">MIN(AE186/150, 1)*30</f>
        <v>18</v>
      </c>
      <c r="BE186" s="1" t="n">
        <f aca="false">MIN(Q186/4000, 1)*20</f>
        <v>8.75</v>
      </c>
      <c r="BF186" s="1" t="n">
        <f aca="false">MIN(AC186/400,1)*20</f>
        <v>12.35</v>
      </c>
      <c r="BG186" s="4" t="n">
        <f aca="false">1-(MAX(M186-1900, 0)/750)</f>
        <v>0.92</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101</v>
      </c>
      <c r="BL186" s="1" t="n">
        <f aca="false">INT(POWER((((Constants!$G$1+$BD186+$BE186+$BF186+$BH186)*($BG186))*$BI186),IF($J186="wagon",1,1.2)))+$BB186</f>
        <v>108</v>
      </c>
      <c r="BM186" s="17" t="n">
        <f aca="false">BK186*IF($J186="wagon",62.5,781.25)</f>
        <v>78906.25</v>
      </c>
      <c r="BN186" s="17" t="n">
        <f aca="false">BL186*IF($J186="wagon",2.73,81.25)</f>
        <v>8775</v>
      </c>
      <c r="BU186" s="1" t="str">
        <f aca="false">IF(J186="locomotive","B","")</f>
        <v>B</v>
      </c>
      <c r="BV186" s="1" t="str">
        <f aca="false">IF($J186="locomotive","B","")</f>
        <v>B</v>
      </c>
      <c r="BY186" s="1" t="n">
        <v>1</v>
      </c>
      <c r="CD186" s="1" t="str">
        <f aca="false">VLOOKUP(M186,Eras!$A$2:$C$10, 2, TRUE())</f>
        <v>dsl</v>
      </c>
      <c r="CE186" s="1" t="s">
        <v>132</v>
      </c>
      <c r="CF186" s="1" t="str">
        <f aca="false">CONCATENATE(CD186,"_",CE186)</f>
        <v>dsl_Freight</v>
      </c>
      <c r="CG186" s="1" t="str">
        <f aca="false">_xlfn.CONCAT(K186, "_",L186)</f>
        <v>diesel_RAIL</v>
      </c>
      <c r="CH186" s="7" t="str">
        <f aca="false">_xlfn.CONCAT("{BLACK}Length: {GOLD}", TEXT(ROUNDUP(IF(AS186&lt;&gt;"",SUM(VALUE(_xlfn.TEXTSPLIT(AS186, ","))), SUM(VALUE(_xlfn.TEXTSPLIT(AP186, ",")))*IF(P186, P186, 1))/16, 1), "#,##0.0"), " tiles{}")</f>
        <v>{BLACK}Length: {GOLD}0.7 tiles{}</v>
      </c>
      <c r="CI186" s="1" t="str">
        <f aca="false">IF(0, VLOOKUP($CG186, Constants!$M:$N, 2, FALSE()),"")</f>
        <v/>
      </c>
      <c r="CJ186" s="1" t="str">
        <f aca="false">IF(P186&gt;1,_xlfn.CONCAT("{BLACK}Cars: {GOLD}", P186),"")</f>
        <v/>
      </c>
      <c r="CK186" s="1" t="s">
        <v>644</v>
      </c>
      <c r="CL186" s="1" t="str">
        <f aca="false">IF($BX186="concept_trains","{GREEN}Concept Vehicle",IF($BX186="!param_no_gameplay_units","{GREEN}Included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37 (English Electric Type 3) is widely used, especially in Scotland where the high power, low axle load and lack of need for electrification make it ideal for hauling long trains in the Highlands.</v>
      </c>
    </row>
    <row r="187" s="26" customFormat="true" ht="14.25" hidden="false" customHeight="false" outlineLevel="0" collapsed="false">
      <c r="A187" s="26" t="s">
        <v>645</v>
      </c>
      <c r="B187" s="27" t="s">
        <v>646</v>
      </c>
      <c r="C187" s="1" t="n">
        <v>3075</v>
      </c>
      <c r="E187" s="1" t="n">
        <v>129</v>
      </c>
      <c r="G187" s="1" t="str">
        <f aca="false">IF($F187&lt;&gt;"",_xlfn.CONCAT(VLOOKUP($CE187, Constants!$T:$U, 2, FALSE()),",",$F187),VLOOKUP($CE187, Constants!$T:$U, 2, FALSE()))</f>
        <v>role/freight</v>
      </c>
      <c r="H187" s="1" t="str">
        <f aca="false">IF($G187&lt;&gt;"",_xlfn.CONCAT(VLOOKUP($CG187, Constants!$M:$P, 4, FALSE()),",",$G187),VLOOKUP($CG187, Constants!$M:$P, 4, FALSE()))</f>
        <v>flag/GB,power/diesel,role/freight</v>
      </c>
      <c r="I187" s="26" t="s">
        <v>241</v>
      </c>
      <c r="J187" s="26" t="s">
        <v>249</v>
      </c>
      <c r="K187" s="26" t="s">
        <v>525</v>
      </c>
      <c r="L187" s="26" t="s">
        <v>192</v>
      </c>
      <c r="M187" s="26" t="n">
        <v>1994</v>
      </c>
      <c r="N187" s="26" t="n">
        <v>1965</v>
      </c>
      <c r="Q187" s="26" t="n">
        <v>1750</v>
      </c>
      <c r="R187" s="2"/>
      <c r="S187" s="3"/>
      <c r="T187" s="3"/>
      <c r="U187" s="3"/>
      <c r="V187" s="3"/>
      <c r="W187" s="3"/>
      <c r="X187" s="3"/>
      <c r="Y187" s="3"/>
      <c r="Z187" s="26" t="n">
        <v>105</v>
      </c>
      <c r="AA187" s="2"/>
      <c r="AC187" s="26" t="n">
        <v>247</v>
      </c>
      <c r="AD187" s="4" t="n">
        <f aca="false">IF(AND(Z187&gt;0,AC187&gt;0),(AC187/((Z187+AA187)*10)),"")</f>
        <v>0.235238095238095</v>
      </c>
      <c r="AE187" s="26" t="n">
        <v>90</v>
      </c>
      <c r="AF187" s="26" t="n">
        <f aca="false">ROUND(AE187*1.6, 0)</f>
        <v>144</v>
      </c>
      <c r="AH187" s="26" t="n">
        <v>18.75</v>
      </c>
      <c r="AI187" s="26" t="n">
        <v>18.75</v>
      </c>
      <c r="AJ187" s="26" t="n">
        <v>2.71</v>
      </c>
      <c r="AK187" s="26" t="n">
        <v>3.89</v>
      </c>
      <c r="AL187" s="5" t="n">
        <v>0</v>
      </c>
      <c r="AM187" s="1" t="str">
        <f aca="false">CONCATENATE(VLOOKUP(AN187, 'Voxel Sizes'!$A$2:$B$18,2,FALSE()),"x",INT(AJ187*15), "x", INT(AK187*15))</f>
        <v>186x40x58</v>
      </c>
      <c r="AN187" s="26" t="n">
        <f aca="false">ROUND(15*((AI187*10)/256),0)</f>
        <v>11</v>
      </c>
      <c r="AP187" s="1" t="str">
        <f aca="false">CONCATENATE(VLOOKUP(AN187,Constants!$A$2:$C$16,IF(AO187&lt;&gt;"", 3, 2), FALSE()),IF(AO187&lt;&gt;"",CONCATENATE(",",VLOOKUP(AO187,$B:$AP,41,FALSE())),""))</f>
        <v>4,3,4</v>
      </c>
      <c r="AR187" s="29"/>
      <c r="AS187" s="29"/>
      <c r="AZ187" s="26" t="n">
        <v>40</v>
      </c>
      <c r="BA187" s="16" t="str">
        <f aca="false">IF(O187&lt;&gt;"",MAX(16,(O187-M187)+8),"")</f>
        <v/>
      </c>
      <c r="BC187" s="26" t="n">
        <v>-30</v>
      </c>
      <c r="BD187" s="26" t="n">
        <f aca="false">MIN(AE187/150, 1)*30</f>
        <v>18</v>
      </c>
      <c r="BE187" s="26" t="n">
        <f aca="false">MIN(Q187/4000, 1)*20</f>
        <v>8.75</v>
      </c>
      <c r="BF187" s="26" t="n">
        <f aca="false">MIN(AC187/400,1)*20</f>
        <v>12.35</v>
      </c>
      <c r="BG187" s="4" t="n">
        <f aca="false">1-(MAX(M187-1900, 0)/750)</f>
        <v>0.874666666666667</v>
      </c>
      <c r="BH187" s="26" t="n">
        <f aca="false">((MAX($P187,1)*MIN($AL187/300,1)))*IF(J187="Wagon",50,10)</f>
        <v>0</v>
      </c>
      <c r="BI187" s="1" t="n">
        <f aca="false">VLOOKUP($K187,Constants!$I:$K, 2, FALSE())</f>
        <v>1</v>
      </c>
      <c r="BJ187" s="1" t="n">
        <f aca="false">VLOOKUP($K187,Constants!$I:$K, 3, FALSE())*IF(AND(J187="multiple_unit",AE187&lt;110),0.75,1)</f>
        <v>2</v>
      </c>
      <c r="BK187" s="1" t="n">
        <f aca="false">INT(POWER(((Constants!$G$2+$BD187+$BE187+$BF187+$BH187)*$BG187)*$BJ187, 1.05))+$BC187</f>
        <v>65</v>
      </c>
      <c r="BL187" s="1" t="n">
        <f aca="false">INT(POWER((((Constants!$G$1+$BD187+$BE187+$BF187+$BH187)*($BG187))*$BI187),IF($J187="wagon",1,1.2)))+$BB187</f>
        <v>102</v>
      </c>
      <c r="BM187" s="17" t="n">
        <f aca="false">BK187*IF($J187="wagon",62.5,781.25)</f>
        <v>50781.25</v>
      </c>
      <c r="BN187" s="17" t="n">
        <f aca="false">BL187*IF($J187="wagon",2.73,81.25)</f>
        <v>8287.5</v>
      </c>
      <c r="BU187" s="1" t="str">
        <f aca="false">IF(J187="locomotive","B","")</f>
        <v>B</v>
      </c>
      <c r="BV187" s="1" t="str">
        <f aca="false">IF($J187="locomotive","B","")</f>
        <v>B</v>
      </c>
      <c r="BY187" s="26" t="n">
        <v>1</v>
      </c>
      <c r="CD187" s="26" t="s">
        <v>647</v>
      </c>
      <c r="CE187" s="26" t="s">
        <v>132</v>
      </c>
      <c r="CF187" s="26" t="str">
        <f aca="false">CONCATENATE(CD187,"_",CE187)</f>
        <v>lbr_Freight</v>
      </c>
      <c r="CG187" s="26" t="str">
        <f aca="false">_xlfn.CONCAT(K187, "_",L187)</f>
        <v>diesel_RAIL</v>
      </c>
      <c r="CH187" s="7" t="str">
        <f aca="false">_xlfn.CONCAT("{BLACK}Length: {GOLD}", TEXT(ROUNDUP(IF(AS187&lt;&gt;"",SUM(VALUE(_xlfn.TEXTSPLIT(AS187, ","))), SUM(VALUE(_xlfn.TEXTSPLIT(AP187, ",")))*IF(P187, P187, 1))/16, 1), "#,##0.0"), " tiles{}")</f>
        <v>{BLACK}Length: {GOLD}0.7 tiles{}</v>
      </c>
      <c r="CI187" s="1" t="str">
        <f aca="false">IF(0, VLOOKUP($CG187, Constants!$M:$N, 2, FALSE()),"")</f>
        <v/>
      </c>
      <c r="CJ187" s="1" t="str">
        <f aca="false">IF(P187&gt;1,_xlfn.CONCAT("{BLACK}Cars: {GOLD}", P187),"")</f>
        <v/>
      </c>
      <c r="CK187" s="26" t="s">
        <v>648</v>
      </c>
      <c r="CL187" s="1" t="str">
        <f aca="false">IF($BX187="concept_trains","{GREEN}Concept Vehicle",IF($BX187="!param_no_gameplay_units","{GREEN}Included for gameplay purposes",""))</f>
        <v/>
      </c>
      <c r="CM187" s="26" t="str">
        <f aca="false">IF(CA187="buffet","{YELLOW}25% long distance bonus for consist{}",IF(CD187="BRAKE","{YELLOW}Speed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tiles{}{SILVER}Originally to power the “Nightstar” european sleeper services away from electrified lines, this sub-class of 12 locomotives mostly saw use as rescue and freight locomotives with other operators.</v>
      </c>
      <c r="XFD187" s="1"/>
    </row>
    <row r="188" customFormat="false" ht="14.25" hidden="false" customHeight="false" outlineLevel="0" collapsed="false">
      <c r="A188" s="1" t="s">
        <v>649</v>
      </c>
      <c r="B188" s="15" t="s">
        <v>650</v>
      </c>
      <c r="C188" s="1" t="n">
        <v>191</v>
      </c>
      <c r="E188" s="1" t="n">
        <v>130</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241</v>
      </c>
      <c r="J188" s="1" t="s">
        <v>249</v>
      </c>
      <c r="K188" s="1" t="s">
        <v>525</v>
      </c>
      <c r="L188" s="1" t="s">
        <v>192</v>
      </c>
      <c r="M188" s="1" t="n">
        <v>1960</v>
      </c>
      <c r="N188" s="1" t="n">
        <v>1962</v>
      </c>
      <c r="O188" s="1" t="n">
        <v>1989</v>
      </c>
      <c r="Q188" s="1" t="n">
        <v>2500</v>
      </c>
      <c r="Z188" s="1" t="n">
        <v>135</v>
      </c>
      <c r="AC188" s="1" t="n">
        <v>245</v>
      </c>
      <c r="AD188" s="4" t="n">
        <f aca="false">IF(AND(Z188&gt;0,AC188&gt;0),(AC188/((Z188+AA188)*10)),"")</f>
        <v>0.181481481481482</v>
      </c>
      <c r="AE188" s="1" t="n">
        <v>90</v>
      </c>
      <c r="AF188" s="1" t="n">
        <f aca="false">ROUND(AE188*1.6, 0)</f>
        <v>144</v>
      </c>
      <c r="AH188" s="1" t="n">
        <v>20.7</v>
      </c>
      <c r="AI188" s="1" t="n">
        <v>20.7</v>
      </c>
      <c r="AK188" s="1" t="n">
        <v>3.91</v>
      </c>
      <c r="AL188" s="5" t="n">
        <v>0</v>
      </c>
      <c r="AM188" s="1" t="str">
        <f aca="false">CONCATENATE(VLOOKUP(AN188, 'Voxel Sizes'!$A$2:$B$18,2,FALSE()),"x",INT(AJ188*15), "x", INT(AK188*15))</f>
        <v>198x0x58</v>
      </c>
      <c r="AN188" s="1" t="n">
        <f aca="false">ROUND(15*((AI188*10)/256),0)</f>
        <v>12</v>
      </c>
      <c r="AP188" s="1" t="str">
        <f aca="false">CONCATENATE(VLOOKUP(AN188,Constants!$A$2:$C$16,IF(AO188&lt;&gt;"", 3, 2), FALSE()),IF(AO188&lt;&gt;"",CONCATENATE(",",VLOOKUP(AO188,$B:$AP,41,FALSE())),""))</f>
        <v>4,4,4</v>
      </c>
      <c r="AZ188" s="1" t="n">
        <v>30</v>
      </c>
      <c r="BA188" s="16" t="n">
        <f aca="false">IF(O188&lt;&gt;"",MAX(16,(O188-M188)+8),"")</f>
        <v>37</v>
      </c>
      <c r="BD188" s="1" t="n">
        <f aca="false">MIN(AE188/150, 1)*30</f>
        <v>18</v>
      </c>
      <c r="BE188" s="1" t="n">
        <f aca="false">MIN(Q188/4000, 1)*20</f>
        <v>12.5</v>
      </c>
      <c r="BF188" s="1" t="n">
        <f aca="false">MIN(AC188/400,1)*20</f>
        <v>12.25</v>
      </c>
      <c r="BG188" s="4" t="n">
        <f aca="false">1-(MAX(M188-1900, 0)/750)</f>
        <v>0.92</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109</v>
      </c>
      <c r="BL188" s="1" t="n">
        <f aca="false">INT(POWER((((Constants!$G$1+$BD188+$BE188+$BF188+$BH188)*($BG188))*$BI188),IF($J188="wagon",1,1.2)))+$BB188</f>
        <v>117</v>
      </c>
      <c r="BM188" s="17" t="n">
        <f aca="false">BK188*IF($J188="wagon",62.5,781.25)</f>
        <v>85156.25</v>
      </c>
      <c r="BN188" s="17" t="n">
        <f aca="false">BL188*IF($J188="wagon",2.73,81.25)</f>
        <v>9506.25</v>
      </c>
      <c r="BU188" s="1" t="str">
        <f aca="false">IF(J188="locomotive","B","")</f>
        <v>B</v>
      </c>
      <c r="BV188" s="1" t="str">
        <f aca="false">IF($J188="locomotive","B","")</f>
        <v>B</v>
      </c>
      <c r="BY188" s="1" t="n">
        <v>2</v>
      </c>
      <c r="CD188" s="1" t="str">
        <f aca="false">VLOOKUP(M188,Eras!$A$2:$C$10, 2, TRUE())</f>
        <v>dsl</v>
      </c>
      <c r="CE188" s="1" t="s">
        <v>282</v>
      </c>
      <c r="CF188" s="1" t="str">
        <f aca="false">CONCATENATE(CD188,"_",CE188)</f>
        <v>dsl_Express</v>
      </c>
      <c r="CG188" s="1" t="str">
        <f aca="false">_xlfn.CONCAT(K188, "_",L188)</f>
        <v>diesel_RAIL</v>
      </c>
      <c r="CH188" s="7" t="str">
        <f aca="false">_xlfn.CONCAT("{BLACK}Length: {GOLD}", TEXT(ROUNDUP(IF(AS188&lt;&gt;"",SUM(VALUE(_xlfn.TEXTSPLIT(AS188, ","))), SUM(VALUE(_xlfn.TEXTSPLIT(AP188, ",")))*IF(P188, P188, 1))/16, 1), "#,##0.0"), " tiles{}")</f>
        <v>{BLACK}Length: {GOLD}0.8 tiles{}</v>
      </c>
      <c r="CI188" s="1" t="str">
        <f aca="false">IF(0, VLOOKUP($CG188, Constants!$M:$N, 2, FALSE()),"")</f>
        <v/>
      </c>
      <c r="CJ188" s="1" t="str">
        <f aca="false">IF(P188&gt;1,_xlfn.CONCAT("{BLACK}Cars: {GOLD}", P188),"")</f>
        <v/>
      </c>
      <c r="CK188" s="1" t="s">
        <v>651</v>
      </c>
      <c r="CL188" s="1" t="str">
        <f aca="false">IF($BX188="concept_trains","{GREEN}Concept Vehicle",IF($BX188="!param_no_gameplay_units","{GREEN}Included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Sulzer Peaks served express passenger trains on the Midland Main Line until the introduction of the HST.</v>
      </c>
    </row>
    <row r="189" customFormat="false" ht="14.25" hidden="false" customHeight="false" outlineLevel="0" collapsed="false">
      <c r="A189" s="1" t="s">
        <v>652</v>
      </c>
      <c r="B189" s="15" t="s">
        <v>653</v>
      </c>
      <c r="C189" s="1" t="n">
        <v>192</v>
      </c>
      <c r="E189" s="1" t="n">
        <v>131</v>
      </c>
      <c r="G189" s="1" t="str">
        <f aca="false">IF($F189&lt;&gt;"",_xlfn.CONCAT(VLOOKUP($CE189, Constants!$T:$U, 2, FALSE()),",",$F189),VLOOKUP($CE189, Constants!$T:$U, 2, FALSE()))</f>
        <v>role/mixed</v>
      </c>
      <c r="H189" s="1" t="str">
        <f aca="false">IF($G189&lt;&gt;"",_xlfn.CONCAT(VLOOKUP($CG189, Constants!$M:$P, 4, FALSE()),",",$G189),VLOOKUP($CG189, Constants!$M:$P, 4, FALSE()))</f>
        <v>flag/GB,power/diesel,role/mixed</v>
      </c>
      <c r="I189" s="1" t="s">
        <v>241</v>
      </c>
      <c r="J189" s="1" t="s">
        <v>249</v>
      </c>
      <c r="K189" s="1" t="s">
        <v>525</v>
      </c>
      <c r="L189" s="1" t="s">
        <v>192</v>
      </c>
      <c r="M189" s="1" t="n">
        <v>1960</v>
      </c>
      <c r="N189" s="1" t="n">
        <v>1962</v>
      </c>
      <c r="Q189" s="1" t="n">
        <v>1550</v>
      </c>
      <c r="Z189" s="1" t="n">
        <v>74.2</v>
      </c>
      <c r="AC189" s="1" t="n">
        <v>200</v>
      </c>
      <c r="AD189" s="4" t="n">
        <f aca="false">IF(AND(Z189&gt;0,AC189&gt;0),(AC189/((Z189+AA189)*10)),"")</f>
        <v>0.269541778975741</v>
      </c>
      <c r="AE189" s="1" t="n">
        <v>85</v>
      </c>
      <c r="AF189" s="1" t="n">
        <f aca="false">ROUND(AE189*1.6, 0)</f>
        <v>136</v>
      </c>
      <c r="AH189" s="1" t="n">
        <v>15.47</v>
      </c>
      <c r="AI189" s="1" t="n">
        <v>15.47</v>
      </c>
      <c r="AK189" s="1" t="n">
        <v>3.86</v>
      </c>
      <c r="AL189" s="5" t="n">
        <v>0</v>
      </c>
      <c r="AM189" s="1" t="str">
        <f aca="false">CONCATENATE(VLOOKUP(AN189, 'Voxel Sizes'!$A$2:$B$18,2,FALSE()),"x",INT(AJ189*15), "x", INT(AK189*15))</f>
        <v>152x0x57</v>
      </c>
      <c r="AN189" s="1" t="n">
        <f aca="false">ROUND(15*((AI189*10)/256),0)</f>
        <v>9</v>
      </c>
      <c r="AP189" s="1" t="str">
        <f aca="false">CONCATENATE(VLOOKUP(AN189,Constants!$A$2:$C$16,IF(AO189&lt;&gt;"", 3, 2), FALSE()),IF(AO189&lt;&gt;"",CONCATENATE(",",VLOOKUP(AO189,$B:$AP,41,FALSE())),""))</f>
        <v>2,5,2</v>
      </c>
      <c r="AZ189" s="1" t="n">
        <v>30</v>
      </c>
      <c r="BA189" s="16" t="str">
        <f aca="false">IF(O189&lt;&gt;"",MAX(16,(O189-M189)+8),"")</f>
        <v/>
      </c>
      <c r="BD189" s="1" t="n">
        <f aca="false">MIN(AE189/150, 1)*30</f>
        <v>17</v>
      </c>
      <c r="BE189" s="1" t="n">
        <f aca="false">MIN(Q189/4000, 1)*20</f>
        <v>7.75</v>
      </c>
      <c r="BF189" s="1" t="n">
        <f aca="false">MIN(AC189/400,1)*20</f>
        <v>10</v>
      </c>
      <c r="BG189" s="4" t="n">
        <f aca="false">1-(MAX(M189-1900, 0)/750)</f>
        <v>0.92</v>
      </c>
      <c r="BH189" s="1" t="n">
        <f aca="false">((MAX($P189,1)*MIN($AL189/300,1)))*IF(J189="Wagon",50,10)</f>
        <v>0</v>
      </c>
      <c r="BI189" s="1" t="n">
        <f aca="false">VLOOKUP($K189,Constants!$I:$K, 2, FALSE())</f>
        <v>1</v>
      </c>
      <c r="BJ189" s="1" t="n">
        <f aca="false">VLOOKUP($K189,Constants!$I:$K, 3, FALSE())*IF(AND(J189="multiple_unit",AE189&lt;110),0.75,1)</f>
        <v>2</v>
      </c>
      <c r="BK189" s="1" t="n">
        <f aca="false">INT(POWER(((Constants!$G$2+$BD189+$BE189+$BF189+$BH189)*$BG189)*$BJ189, 1.05))+$BC189</f>
        <v>90</v>
      </c>
      <c r="BL189" s="1" t="n">
        <f aca="false">INT(POWER((((Constants!$G$1+$BD189+$BE189+$BF189+$BH189)*($BG189))*$BI189),IF($J189="wagon",1,1.2)))+$BB189</f>
        <v>98</v>
      </c>
      <c r="BM189" s="17" t="n">
        <f aca="false">BK189*IF($J189="wagon",62.5,781.25)</f>
        <v>70312.5</v>
      </c>
      <c r="BN189" s="17" t="n">
        <f aca="false">BL189*IF($J189="wagon",2.73,81.25)</f>
        <v>7962.5</v>
      </c>
      <c r="BU189" s="1" t="str">
        <f aca="false">IF(J189="locomotive","B","")</f>
        <v>B</v>
      </c>
      <c r="BV189" s="1" t="str">
        <f aca="false">IF($J189="locomotive","B","")</f>
        <v>B</v>
      </c>
      <c r="BY189" s="1" t="n">
        <v>3</v>
      </c>
      <c r="CD189" s="1" t="str">
        <f aca="false">VLOOKUP(M189,Eras!$A$2:$C$10, 2, TRUE())</f>
        <v>dsl</v>
      </c>
      <c r="CE189" s="1" t="s">
        <v>129</v>
      </c>
      <c r="CF189" s="1" t="str">
        <f aca="false">CONCATENATE(CD189,"_",CE189)</f>
        <v>dsl_Mixed Traffic</v>
      </c>
      <c r="CG189" s="1" t="str">
        <f aca="false">_xlfn.CONCAT(K189, "_",L189)</f>
        <v>diesel_RAIL</v>
      </c>
      <c r="CH189" s="7" t="str">
        <f aca="false">_xlfn.CONCAT("{BLACK}Length: {GOLD}", TEXT(ROUNDUP(IF(AS189&lt;&gt;"",SUM(VALUE(_xlfn.TEXTSPLIT(AS189, ","))), SUM(VALUE(_xlfn.TEXTSPLIT(AP189, ",")))*IF(P189, P189, 1))/16, 1), "#,##0.0"), " tiles{}")</f>
        <v>{BLACK}Length: {GOLD}0.6 tiles{}</v>
      </c>
      <c r="CI189" s="1" t="str">
        <f aca="false">IF(0, VLOOKUP($CG189, Constants!$M:$N, 2, FALSE()),"")</f>
        <v/>
      </c>
      <c r="CJ189" s="1" t="str">
        <f aca="false">IF(P189&gt;1,_xlfn.CONCAT("{BLACK}Cars: {GOLD}", P189),"")</f>
        <v/>
      </c>
      <c r="CK189" s="1" t="s">
        <v>654</v>
      </c>
      <c r="CL189" s="1" t="str">
        <f aca="false">IF($BX189="concept_trains","{GREEN}Concept Vehicle",IF($BX189="!param_no_gameplay_units","{GREEN}Included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{GOLD}0.6 tiles{}{SILVER}The Class 33 was built without carriage heating, using the space for an 8 cylinder engine. This meant it was used for tourist-loaded passenger trains in summer, and freight in winter.</v>
      </c>
    </row>
    <row r="190" customFormat="false" ht="14.25" hidden="false" customHeight="false" outlineLevel="0" collapsed="false">
      <c r="A190" s="1" t="s">
        <v>655</v>
      </c>
      <c r="B190" s="15" t="s">
        <v>656</v>
      </c>
      <c r="C190" s="1" t="n">
        <v>193</v>
      </c>
      <c r="E190" s="1" t="n">
        <v>132</v>
      </c>
      <c r="G190" s="1" t="str">
        <f aca="false">IF($F190&lt;&gt;"",_xlfn.CONCAT(VLOOKUP($CE190, Constants!$T:$U, 2, FALSE()),",",$F190),VLOOKUP($CE190, Constants!$T:$U, 2, FALSE()))</f>
        <v>role/mixed</v>
      </c>
      <c r="H190" s="1" t="str">
        <f aca="false">IF($G190&lt;&gt;"",_xlfn.CONCAT(VLOOKUP($CG190, Constants!$M:$P, 4, FALSE()),",",$G190),VLOOKUP($CG190, Constants!$M:$P, 4, FALSE()))</f>
        <v>flag/GB,power/diesel,role/mixed</v>
      </c>
      <c r="I190" s="1" t="s">
        <v>241</v>
      </c>
      <c r="J190" s="1" t="s">
        <v>249</v>
      </c>
      <c r="K190" s="1" t="s">
        <v>525</v>
      </c>
      <c r="L190" s="1" t="s">
        <v>192</v>
      </c>
      <c r="M190" s="1" t="n">
        <v>1961</v>
      </c>
      <c r="N190" s="1" t="n">
        <v>1964</v>
      </c>
      <c r="O190" s="1" t="n">
        <v>1975</v>
      </c>
      <c r="Q190" s="1" t="n">
        <v>1700</v>
      </c>
      <c r="Z190" s="1" t="n">
        <v>76.2</v>
      </c>
      <c r="AC190" s="1" t="n">
        <v>207</v>
      </c>
      <c r="AD190" s="4" t="n">
        <f aca="false">IF(AND(Z190&gt;0,AC190&gt;0),(AC190/((Z190+AA190)*10)),"")</f>
        <v>0.271653543307087</v>
      </c>
      <c r="AE190" s="1" t="n">
        <v>90</v>
      </c>
      <c r="AF190" s="1" t="n">
        <f aca="false">ROUND(AE190*1.6, 0)</f>
        <v>144</v>
      </c>
      <c r="AH190" s="1" t="n">
        <v>15.76</v>
      </c>
      <c r="AI190" s="1" t="n">
        <v>15.76</v>
      </c>
      <c r="AK190" s="1" t="n">
        <v>3.91</v>
      </c>
      <c r="AL190" s="5" t="n">
        <v>0</v>
      </c>
      <c r="AM190" s="1" t="str">
        <f aca="false">CONCATENATE(VLOOKUP(AN190, 'Voxel Sizes'!$A$2:$B$18,2,FALSE()),"x",INT(AJ190*15), "x", INT(AK190*15))</f>
        <v>152x0x58</v>
      </c>
      <c r="AN190" s="1" t="n">
        <f aca="false">ROUND(15*((AI190*10)/256),0)</f>
        <v>9</v>
      </c>
      <c r="AP190" s="1" t="str">
        <f aca="false">CONCATENATE(VLOOKUP(AN190,Constants!$A$2:$C$16,IF(AO190&lt;&gt;"", 3, 2), FALSE()),IF(AO190&lt;&gt;"",CONCATENATE(",",VLOOKUP(AO190,$B:$AP,41,FALSE())),""))</f>
        <v>2,5,2</v>
      </c>
      <c r="AZ190" s="1" t="n">
        <v>30</v>
      </c>
      <c r="BA190" s="16" t="n">
        <f aca="false">IF(O190&lt;&gt;"",MAX(16,(O190-M190)+8),"")</f>
        <v>22</v>
      </c>
      <c r="BD190" s="1" t="n">
        <f aca="false">MIN(AE190/150, 1)*30</f>
        <v>18</v>
      </c>
      <c r="BE190" s="1" t="n">
        <f aca="false">MIN(Q190/4000, 1)*20</f>
        <v>8.5</v>
      </c>
      <c r="BF190" s="1" t="n">
        <f aca="false">MIN(AC190/400,1)*20</f>
        <v>10.35</v>
      </c>
      <c r="BG190" s="4" t="n">
        <f aca="false">1-(MAX(M190-1900, 0)/750)</f>
        <v>0.918666666666667</v>
      </c>
      <c r="BH190" s="1"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95</v>
      </c>
      <c r="BL190" s="1" t="n">
        <f aca="false">INT(POWER((((Constants!$G$1+$BD190+$BE190+$BF190+$BH190)*($BG190))*$BI190),IF($J190="wagon",1,1.2)))+$BB190</f>
        <v>103</v>
      </c>
      <c r="BM190" s="17" t="n">
        <f aca="false">BK190*IF($J190="wagon",62.5,781.25)</f>
        <v>74218.75</v>
      </c>
      <c r="BN190" s="17" t="n">
        <f aca="false">BL190*IF($J190="wagon",2.73,81.25)</f>
        <v>8368.75</v>
      </c>
      <c r="BU190" s="1" t="str">
        <f aca="false">IF(J190="locomotive","B","")</f>
        <v>B</v>
      </c>
      <c r="BV190" s="1" t="str">
        <f aca="false">IF($J190="locomotive","B","")</f>
        <v>B</v>
      </c>
      <c r="BY190" s="1" t="n">
        <v>4</v>
      </c>
      <c r="CD190" s="1" t="str">
        <f aca="false">VLOOKUP(M190,Eras!$A$2:$C$10, 2, TRUE())</f>
        <v>dsl</v>
      </c>
      <c r="CE190" s="1" t="s">
        <v>129</v>
      </c>
      <c r="CF190" s="1" t="str">
        <f aca="false">CONCATENATE(CD190,"_",CE190)</f>
        <v>dsl_Mixed Traffic</v>
      </c>
      <c r="CG190" s="1" t="str">
        <f aca="false">_xlfn.CONCAT(K190, "_",L190)</f>
        <v>diesel_RAIL</v>
      </c>
      <c r="CH190" s="7" t="str">
        <f aca="false">_xlfn.CONCAT("{BLACK}Length: {GOLD}", TEXT(ROUNDUP(IF(AS190&lt;&gt;"",SUM(VALUE(_xlfn.TEXTSPLIT(AS190, ","))), SUM(VALUE(_xlfn.TEXTSPLIT(AP190, ",")))*IF(P190, P190, 1))/16, 1), "#,##0.0"), " tiles{}")</f>
        <v>{BLACK}Length: {GOLD}0.6 tiles{}</v>
      </c>
      <c r="CI190" s="1" t="str">
        <f aca="false">IF(0, VLOOKUP($CG190, Constants!$M:$N, 2, FALSE()),"")</f>
        <v/>
      </c>
      <c r="CJ190" s="1" t="str">
        <f aca="false">IF(P190&gt;1,_xlfn.CONCAT("{BLACK}Cars: {GOLD}", P190),"")</f>
        <v/>
      </c>
      <c r="CK190" s="1" t="s">
        <v>657</v>
      </c>
      <c r="CL190" s="1" t="str">
        <f aca="false">IF($BX190="concept_trains","{GREEN}Concept Vehicle",IF($BX190="!param_no_gameplay_units","{GREEN}Included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{GOLD}0.6 tiles{}{SILVER}The Hymeks were named for their hydraulic transmission. Sadly this also caused their early withdrawal, with BR viewing diesel-hydraulics as non-standard.</v>
      </c>
    </row>
    <row r="191" customFormat="false" ht="14.25" hidden="false" customHeight="false" outlineLevel="0" collapsed="false">
      <c r="A191" s="1" t="s">
        <v>658</v>
      </c>
      <c r="B191" s="15" t="s">
        <v>659</v>
      </c>
      <c r="C191" s="1" t="n">
        <v>194</v>
      </c>
      <c r="E191" s="1" t="n">
        <v>133</v>
      </c>
      <c r="G191" s="1" t="str">
        <f aca="false">IF($F191&lt;&gt;"",_xlfn.CONCAT(VLOOKUP($CE191, Constants!$T:$U, 2, FALSE()),",",$F191),VLOOKUP($CE191, Constants!$T:$U, 2, FALSE()))</f>
        <v>role/mixed</v>
      </c>
      <c r="H191" s="1" t="str">
        <f aca="false">IF($G191&lt;&gt;"",_xlfn.CONCAT(VLOOKUP($CG191, Constants!$M:$P, 4, FALSE()),",",$G191),VLOOKUP($CG191, Constants!$M:$P, 4, FALSE()))</f>
        <v>flag/GB,power/diesel,role/mixed</v>
      </c>
      <c r="I191" s="1" t="s">
        <v>241</v>
      </c>
      <c r="J191" s="1" t="s">
        <v>249</v>
      </c>
      <c r="K191" s="1" t="s">
        <v>525</v>
      </c>
      <c r="L191" s="1" t="s">
        <v>192</v>
      </c>
      <c r="M191" s="1" t="n">
        <v>1961</v>
      </c>
      <c r="N191" s="1" t="n">
        <v>1964</v>
      </c>
      <c r="O191" s="1" t="n">
        <v>1977</v>
      </c>
      <c r="Q191" s="1" t="n">
        <v>2000</v>
      </c>
      <c r="Z191" s="1" t="n">
        <v>110</v>
      </c>
      <c r="AC191" s="1" t="n">
        <v>297</v>
      </c>
      <c r="AD191" s="4" t="n">
        <f aca="false">IF(AND(Z191&gt;0,AC191&gt;0),(AC191/((Z191+AA191)*10)),"")</f>
        <v>0.27</v>
      </c>
      <c r="AE191" s="1" t="n">
        <v>90</v>
      </c>
      <c r="AF191" s="1" t="n">
        <f aca="false">ROUND(AE191*1.6, 0)</f>
        <v>144</v>
      </c>
      <c r="AH191" s="1" t="n">
        <v>20.73</v>
      </c>
      <c r="AI191" s="1" t="n">
        <v>20.73</v>
      </c>
      <c r="AK191" s="1" t="n">
        <v>3.96</v>
      </c>
      <c r="AL191" s="5" t="n">
        <v>0</v>
      </c>
      <c r="AM191" s="1" t="str">
        <f aca="false">CONCATENATE(VLOOKUP(AN191, 'Voxel Sizes'!$A$2:$B$18,2,FALSE()),"x",INT(AJ191*15), "x", INT(AK191*15))</f>
        <v>198x0x59</v>
      </c>
      <c r="AN191" s="1" t="n">
        <f aca="false">ROUND(15*((AI191*10)/256),0)</f>
        <v>12</v>
      </c>
      <c r="AP191" s="1" t="str">
        <f aca="false">CONCATENATE(VLOOKUP(AN191,Constants!$A$2:$C$16,IF(AO191&lt;&gt;"", 3, 2), FALSE()),IF(AO191&lt;&gt;"",CONCATENATE(",",VLOOKUP(AO191,$B:$AP,41,FALSE())),""))</f>
        <v>4,4,4</v>
      </c>
      <c r="AZ191" s="1" t="n">
        <v>30</v>
      </c>
      <c r="BA191" s="16" t="n">
        <f aca="false">IF(O191&lt;&gt;"",MAX(16,(O191-M191)+8),"")</f>
        <v>24</v>
      </c>
      <c r="BD191" s="1" t="n">
        <f aca="false">MIN(AE191/150, 1)*30</f>
        <v>18</v>
      </c>
      <c r="BE191" s="1" t="n">
        <f aca="false">MIN(Q191/4000, 1)*20</f>
        <v>10</v>
      </c>
      <c r="BF191" s="1" t="n">
        <f aca="false">MIN(AC191/400,1)*20</f>
        <v>14.85</v>
      </c>
      <c r="BG191" s="4" t="n">
        <f aca="false">1-(MAX(M191-1900, 0)/750)</f>
        <v>0.918666666666667</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109</v>
      </c>
      <c r="BL191" s="1" t="n">
        <f aca="false">INT(POWER((((Constants!$G$1+$BD191+$BE191+$BF191+$BH191)*($BG191))*$BI191),IF($J191="wagon",1,1.2)))+$BB191</f>
        <v>117</v>
      </c>
      <c r="BM191" s="17" t="n">
        <f aca="false">BK191*IF($J191="wagon",62.5,781.25)</f>
        <v>85156.25</v>
      </c>
      <c r="BN191" s="17" t="n">
        <f aca="false">BL191*IF($J191="wagon",2.73,81.25)</f>
        <v>9506.25</v>
      </c>
      <c r="BU191" s="1" t="str">
        <f aca="false">IF(J191="locomotive","B","")</f>
        <v>B</v>
      </c>
      <c r="BV191" s="1" t="str">
        <f aca="false">IF($J191="locomotive","B","")</f>
        <v>B</v>
      </c>
      <c r="BY191" s="1" t="n">
        <v>5</v>
      </c>
      <c r="CD191" s="1" t="str">
        <f aca="false">VLOOKUP(M191,Eras!$A$2:$C$10, 2, TRUE())</f>
        <v>dsl</v>
      </c>
      <c r="CE191" s="1" t="s">
        <v>129</v>
      </c>
      <c r="CF191" s="1" t="str">
        <f aca="false">CONCATENATE(CD191,"_",CE191)</f>
        <v>dsl_Mixed Traffic</v>
      </c>
      <c r="CG191" s="1" t="str">
        <f aca="false">_xlfn.CONCAT(K191, "_",L191)</f>
        <v>diesel_RAIL</v>
      </c>
      <c r="CH191" s="7" t="str">
        <f aca="false">_xlfn.CONCAT("{BLACK}Length: {GOLD}", TEXT(ROUNDUP(IF(AS191&lt;&gt;"",SUM(VALUE(_xlfn.TEXTSPLIT(AS191, ","))), SUM(VALUE(_xlfn.TEXTSPLIT(AP191, ",")))*IF(P191, P191, 1))/16, 1), "#,##0.0"), " tiles{}")</f>
        <v>{BLACK}Length: {GOLD}0.8 tiles{}</v>
      </c>
      <c r="CI191" s="1" t="str">
        <f aca="false">IF(0, VLOOKUP($CG191, Constants!$M:$N, 2, FALSE()),"")</f>
        <v/>
      </c>
      <c r="CJ191" s="1" t="str">
        <f aca="false">IF(P191&gt;1,_xlfn.CONCAT("{BLACK}Cars: {GOLD}", P191),"")</f>
        <v/>
      </c>
      <c r="CK191" s="1" t="s">
        <v>660</v>
      </c>
      <c r="CL191" s="1" t="str">
        <f aca="false">IF($BX191="concept_trains","{GREEN}Concept Vehicle",IF($BX191="!param_no_gameplay_units","{GREEN}Included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{GOLD}0.8 tiles{}{SILVER}The Class 52 was the most powerful of the Western Region's diesel-hydraulic locomotives, pushing the limits of what 1960s transmission technology could achieve.</v>
      </c>
    </row>
    <row r="192" customFormat="false" ht="14.25" hidden="false" customHeight="false" outlineLevel="0" collapsed="false">
      <c r="A192" s="1" t="s">
        <v>661</v>
      </c>
      <c r="B192" s="19" t="s">
        <v>662</v>
      </c>
      <c r="C192" s="1" t="n">
        <v>1044</v>
      </c>
      <c r="E192" s="1" t="n">
        <v>134</v>
      </c>
      <c r="F192" s="1" t="s">
        <v>143</v>
      </c>
      <c r="G192" s="1" t="str">
        <f aca="false">IF($F192&lt;&gt;"",_xlfn.CONCAT(VLOOKUP($CE192, Constants!$T:$U, 2, FALSE()),",",$F192),VLOOKUP($CE192, Constants!$T:$U, 2, FALSE()))</f>
        <v>role/express_passenger,role/prototype</v>
      </c>
      <c r="H192" s="1" t="str">
        <f aca="false">IF($G192&lt;&gt;"",_xlfn.CONCAT(VLOOKUP($CG192, Constants!$M:$P, 4, FALSE()),",",$G192),VLOOKUP($CG192, Constants!$M:$P, 4, FALSE()))</f>
        <v>flag/GB,power/diesel,role/express_passenger,role/prototype</v>
      </c>
      <c r="I192" s="1" t="s">
        <v>241</v>
      </c>
      <c r="J192" s="1" t="s">
        <v>249</v>
      </c>
      <c r="K192" s="1" t="s">
        <v>525</v>
      </c>
      <c r="L192" s="1" t="s">
        <v>192</v>
      </c>
      <c r="M192" s="1" t="n">
        <v>1961</v>
      </c>
      <c r="O192" s="1" t="n">
        <v>1978</v>
      </c>
      <c r="Q192" s="1" t="n">
        <v>2880</v>
      </c>
      <c r="Z192" s="1" t="n">
        <v>117</v>
      </c>
      <c r="AC192" s="1" t="n">
        <v>266</v>
      </c>
      <c r="AD192" s="4" t="n">
        <f aca="false">IF(AND(Z192&gt;0,AC192&gt;0),(AC192/((Z192+AA192)*10)),"")</f>
        <v>0.227350427350427</v>
      </c>
      <c r="AE192" s="1" t="n">
        <v>100</v>
      </c>
      <c r="AF192" s="1" t="n">
        <f aca="false">ROUND(AE192*1.6, 0)</f>
        <v>160</v>
      </c>
      <c r="AH192" s="1" t="n">
        <v>20.98</v>
      </c>
      <c r="AI192" s="1" t="n">
        <v>20.98</v>
      </c>
      <c r="AJ192" s="1" t="n">
        <v>2.69</v>
      </c>
      <c r="AK192" s="1" t="n">
        <v>3.91</v>
      </c>
      <c r="AM192" s="1" t="str">
        <f aca="false">CONCATENATE(VLOOKUP(AN192, 'Voxel Sizes'!$A$2:$B$18,2,FALSE()),"x",INT(AJ192*15), "x", INT(AK192*15))</f>
        <v>198x40x58</v>
      </c>
      <c r="AN192" s="16" t="n">
        <f aca="false">ROUND(15*((AI192*10)/256),0)</f>
        <v>12</v>
      </c>
      <c r="AP192" s="1" t="str">
        <f aca="false">CONCATENATE(VLOOKUP(AN192,Constants!$A$2:$C$16,IF(AO192&lt;&gt;"", 3, 2), FALSE()),IF(AO192&lt;&gt;"",CONCATENATE(",",VLOOKUP(AO192,$B:$AP,41,FALSE())),""))</f>
        <v>4,4,4</v>
      </c>
      <c r="AZ192" s="1" t="n">
        <v>22</v>
      </c>
      <c r="BA192" s="16" t="n">
        <f aca="false">IF(O192&lt;&gt;"",MAX(16,(O192-M192)+8),"")</f>
        <v>25</v>
      </c>
      <c r="BB192" s="1" t="n">
        <v>2</v>
      </c>
      <c r="BC192" s="1" t="n">
        <v>3</v>
      </c>
      <c r="BD192" s="20" t="n">
        <f aca="false">MIN(AE192/150, 1)*30</f>
        <v>20</v>
      </c>
      <c r="BE192" s="20" t="n">
        <f aca="false">MIN(Q192/4000, 1)*20</f>
        <v>14.4</v>
      </c>
      <c r="BF192" s="20" t="n">
        <f aca="false">MIN(AC192/400,1)*20</f>
        <v>13.3</v>
      </c>
      <c r="BG192" s="21" t="n">
        <f aca="false">1-(MAX(M192-1900, 0)/750)</f>
        <v>0.918666666666667</v>
      </c>
      <c r="BH192" s="20" t="n">
        <f aca="false">((MAX($P192,1)*MIN($AL192/300,1)))*IF(J192="Wagon",50,10)</f>
        <v>0</v>
      </c>
      <c r="BI192" s="1" t="n">
        <f aca="false">VLOOKUP($K192,Constants!$I:$K, 2, FALSE())</f>
        <v>1</v>
      </c>
      <c r="BJ192" s="1" t="n">
        <f aca="false">VLOOKUP($K192,Constants!$I:$K, 3, FALSE())*IF(AND(J192="multiple_unit",AE192&lt;110),0.75,1)</f>
        <v>2</v>
      </c>
      <c r="BK192" s="1" t="n">
        <f aca="false">INT(POWER(((Constants!$G$2+$BD192+$BE192+$BF192+$BH192)*$BG192)*$BJ192, 1.05))+$BC192</f>
        <v>124</v>
      </c>
      <c r="BL192" s="1" t="n">
        <f aca="false">INT(POWER((((Constants!$G$1+$BD192+$BE192+$BF192+$BH192)*($BG192))*$BI192),IF($J192="wagon",1,1.2)))+$BB192</f>
        <v>131</v>
      </c>
      <c r="BM192" s="22" t="n">
        <f aca="false">BK192*IF($J192="wagon",62.5,781.25)</f>
        <v>96875</v>
      </c>
      <c r="BN192" s="22" t="n">
        <f aca="false">BL192*IF($J192="wagon",2.73,81.25)</f>
        <v>10643.75</v>
      </c>
      <c r="BU192" s="1" t="str">
        <f aca="false">IF(J192="locomotive","B","")</f>
        <v>B</v>
      </c>
      <c r="BV192" s="1" t="str">
        <f aca="false">IF($J192="locomotive","B","")</f>
        <v>B</v>
      </c>
      <c r="BY192" s="1" t="n">
        <v>6</v>
      </c>
      <c r="CD192" s="23" t="s">
        <v>611</v>
      </c>
      <c r="CE192" s="1" t="s">
        <v>282</v>
      </c>
      <c r="CF192" s="23" t="str">
        <f aca="false">CONCATENATE(CD192,"_",CE192)</f>
        <v>dsl_Express</v>
      </c>
      <c r="CG192" s="23" t="str">
        <f aca="false">_xlfn.CONCAT(K192, "_",L192)</f>
        <v>diesel_RAIL</v>
      </c>
      <c r="CH192" s="7" t="str">
        <f aca="false">_xlfn.CONCAT("{BLACK}Length: {GOLD}", TEXT(ROUNDUP(IF(AS192&lt;&gt;"",SUM(VALUE(_xlfn.TEXTSPLIT(AS192, ","))), SUM(VALUE(_xlfn.TEXTSPLIT(AP192, ",")))*IF(P192, P192, 1))/16, 1), "#,##0.0"), " tiles{}")</f>
        <v>{BLACK}Length: {GOLD}0.8 tiles{}</v>
      </c>
      <c r="CI192" s="1" t="str">
        <f aca="false">IF(0, VLOOKUP($CG192, Constants!$M:$N, 2, FALSE()),"")</f>
        <v/>
      </c>
      <c r="CJ192" s="1" t="str">
        <f aca="false">IF(P192&gt;1,_xlfn.CONCAT("{BLACK}Cars: {GOLD}", P192),"")</f>
        <v/>
      </c>
      <c r="CK192" s="1" t="s">
        <v>663</v>
      </c>
      <c r="CL192" s="1" t="str">
        <f aca="false">IF($BX192="concept_trains","{GREEN}Concept Vehicle",IF($BX192="!param_no_gameplay_units","{GREEN}Included for gameplay purposes",""))</f>
        <v/>
      </c>
      <c r="CM192" s="1" t="str">
        <f aca="false">IF(CA192="buffet","{YELLOW}25% long distance bonus for consist{}",IF(CB192="DANDY","{YELLOW}Faster downhill speeds for horse-drawn trains (1 required per 2 horses){}",IF(CB192="BRAKE","{YELLOW}Speed bonus for slow wagons{}",IF(CB192="NGPassengers","{YELLOW}Preserved railway bonus: passengers pay more when hauled by old locomotives{}",IF(AND(BZ192&gt;190,NOT(AND(L192="NARROW_GAUGE",CB192&lt;&gt;"PASS"))),CONCATENATE("{YELLOW}",INT((BZ192-185)/1.85),"%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{GOLD}0.8 tiles{}{SILVER}Brush's "Falcon" was a prototype for a new generation of Type 4 locomotives, but advances in single-engined diesel made the Falcon with its two Maybach diesels obsolete at the point of introduction.</v>
      </c>
    </row>
    <row r="193" customFormat="false" ht="14.25" hidden="false" customHeight="false" outlineLevel="0" collapsed="false">
      <c r="A193" s="1" t="s">
        <v>664</v>
      </c>
      <c r="B193" s="15" t="s">
        <v>665</v>
      </c>
      <c r="C193" s="1" t="n">
        <v>195</v>
      </c>
      <c r="E193" s="1" t="n">
        <v>135</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241</v>
      </c>
      <c r="J193" s="1" t="s">
        <v>249</v>
      </c>
      <c r="K193" s="1" t="s">
        <v>525</v>
      </c>
      <c r="L193" s="1" t="s">
        <v>192</v>
      </c>
      <c r="M193" s="1" t="n">
        <v>1961</v>
      </c>
      <c r="N193" s="1" t="n">
        <v>1967</v>
      </c>
      <c r="O193" s="1" t="n">
        <v>1987</v>
      </c>
      <c r="Q193" s="1" t="n">
        <v>1250</v>
      </c>
      <c r="Z193" s="1" t="n">
        <v>74.2</v>
      </c>
      <c r="AC193" s="1" t="n">
        <v>170</v>
      </c>
      <c r="AD193" s="4" t="n">
        <f aca="false">IF(AND(Z193&gt;0,AC193&gt;0),(AC193/((Z193+AA193)*10)),"")</f>
        <v>0.22911051212938</v>
      </c>
      <c r="AE193" s="1" t="n">
        <v>90</v>
      </c>
      <c r="AF193" s="1" t="n">
        <f aca="false">ROUND(AE193*1.6, 0)</f>
        <v>144</v>
      </c>
      <c r="AH193" s="1" t="n">
        <v>15.39</v>
      </c>
      <c r="AI193" s="1" t="n">
        <v>15.39</v>
      </c>
      <c r="AK193" s="1" t="n">
        <v>3.86</v>
      </c>
      <c r="AL193" s="5" t="n">
        <v>0</v>
      </c>
      <c r="AM193" s="1" t="str">
        <f aca="false">CONCATENATE(VLOOKUP(AN193, 'Voxel Sizes'!$A$2:$B$18,2,FALSE()),"x",INT(AJ193*15), "x", INT(AK193*15))</f>
        <v>152x0x57</v>
      </c>
      <c r="AN193" s="1" t="n">
        <f aca="false">ROUND(15*((AI193*10)/256),0)</f>
        <v>9</v>
      </c>
      <c r="AP193" s="1" t="str">
        <f aca="false">CONCATENATE(VLOOKUP(AN193,Constants!$A$2:$C$16,IF(AO193&lt;&gt;"", 3, 2), FALSE()),IF(AO193&lt;&gt;"",CONCATENATE(",",VLOOKUP(AO193,$B:$AP,41,FALSE())),""))</f>
        <v>2,5,2</v>
      </c>
      <c r="AZ193" s="1" t="n">
        <v>40</v>
      </c>
      <c r="BA193" s="16" t="n">
        <f aca="false">IF(O193&lt;&gt;"",MAX(16,(O193-M193)+8),"")</f>
        <v>34</v>
      </c>
      <c r="BD193" s="1" t="n">
        <f aca="false">MIN(AE193/150, 1)*30</f>
        <v>18</v>
      </c>
      <c r="BE193" s="1" t="n">
        <f aca="false">MIN(Q193/4000, 1)*20</f>
        <v>6.25</v>
      </c>
      <c r="BF193" s="1" t="n">
        <f aca="false">MIN(AC193/400,1)*20</f>
        <v>8.5</v>
      </c>
      <c r="BG193" s="4" t="n">
        <f aca="false">1-(MAX(M193-1900, 0)/750)</f>
        <v>0.918666666666667</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85</v>
      </c>
      <c r="BL193" s="1" t="n">
        <f aca="false">INT(POWER((((Constants!$G$1+$BD193+$BE193+$BF193+$BH193)*($BG193))*$BI193),IF($J193="wagon",1,1.2)))+$BB193</f>
        <v>93</v>
      </c>
      <c r="BM193" s="17" t="n">
        <f aca="false">BK193*IF($J193="wagon",62.5,781.25)</f>
        <v>66406.25</v>
      </c>
      <c r="BN193" s="17" t="n">
        <f aca="false">BL193*IF($J193="wagon",2.73,81.25)</f>
        <v>7556.25</v>
      </c>
      <c r="BU193" s="1" t="str">
        <f aca="false">IF(J193="locomotive","B","")</f>
        <v>B</v>
      </c>
      <c r="BV193" s="1" t="str">
        <f aca="false">IF($J193="locomotive","B","")</f>
        <v>B</v>
      </c>
      <c r="BY193" s="1" t="n">
        <v>6</v>
      </c>
      <c r="CD193" s="1" t="str">
        <f aca="false">VLOOKUP(M193,Eras!$A$2:$C$10, 2, TRUE())</f>
        <v>dsl</v>
      </c>
      <c r="CE193" s="1" t="s">
        <v>132</v>
      </c>
      <c r="CF193" s="1" t="str">
        <f aca="false">CONCATENATE(CD193,"_",CE193)</f>
        <v>dsl_Freight</v>
      </c>
      <c r="CG193" s="1" t="str">
        <f aca="false">_xlfn.CONCAT(K193, "_",L193)</f>
        <v>diesel_RAIL</v>
      </c>
      <c r="CH193" s="7" t="str">
        <f aca="false">_xlfn.CONCAT("{BLACK}Length: {GOLD}", TEXT(ROUNDUP(IF(AS193&lt;&gt;"",SUM(VALUE(_xlfn.TEXTSPLIT(AS193, ","))), SUM(VALUE(_xlfn.TEXTSPLIT(AP193, ",")))*IF(P193, P193, 1))/16, 1), "#,##0.0"), " tiles{}")</f>
        <v>{BLACK}Length: {GOLD}0.6 tiles{}</v>
      </c>
      <c r="CI193" s="1" t="str">
        <f aca="false">IF(0, VLOOKUP($CG193, Constants!$M:$N, 2, FALSE()),"")</f>
        <v/>
      </c>
      <c r="CJ193" s="1" t="str">
        <f aca="false">IF(P193&gt;1,_xlfn.CONCAT("{BLACK}Cars: {GOLD}", P193),"")</f>
        <v/>
      </c>
      <c r="CK193" s="1" t="s">
        <v>666</v>
      </c>
      <c r="CL193" s="1" t="str">
        <f aca="false">IF($BX193="concept_trains","{GREEN}Concept Vehicle",IF($BX193="!param_no_gameplay_units","{GREEN}Included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{GOLD}0.6 tiles{}{SILVER}The Class 25 locomotives became known as "Rats" because they were found all over the British Rail network.</v>
      </c>
    </row>
    <row r="194" customFormat="false" ht="14.25" hidden="false" customHeight="false" outlineLevel="0" collapsed="false">
      <c r="A194" s="1" t="s">
        <v>667</v>
      </c>
      <c r="B194" s="15" t="s">
        <v>668</v>
      </c>
      <c r="C194" s="1" t="n">
        <v>196</v>
      </c>
      <c r="E194" s="1" t="n">
        <v>136</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1" t="s">
        <v>241</v>
      </c>
      <c r="J194" s="1" t="s">
        <v>249</v>
      </c>
      <c r="K194" s="1" t="s">
        <v>525</v>
      </c>
      <c r="L194" s="1" t="s">
        <v>192</v>
      </c>
      <c r="M194" s="1" t="n">
        <v>1962</v>
      </c>
      <c r="N194" s="1" t="n">
        <v>1968</v>
      </c>
      <c r="Q194" s="1" t="n">
        <v>2750</v>
      </c>
      <c r="Z194" s="1" t="n">
        <v>114</v>
      </c>
      <c r="AC194" s="1" t="n">
        <v>245</v>
      </c>
      <c r="AD194" s="4" t="n">
        <f aca="false">IF(AND(Z194&gt;0,AC194&gt;0),(AC194/((Z194+AA194)*10)),"")</f>
        <v>0.214912280701754</v>
      </c>
      <c r="AE194" s="1" t="n">
        <v>95</v>
      </c>
      <c r="AF194" s="1" t="n">
        <f aca="false">ROUND(AE194*1.6, 0)</f>
        <v>152</v>
      </c>
      <c r="AH194" s="1" t="n">
        <v>19.38</v>
      </c>
      <c r="AI194" s="1" t="n">
        <v>19.38</v>
      </c>
      <c r="AK194" s="1" t="n">
        <v>3.9</v>
      </c>
      <c r="AL194" s="5" t="n">
        <v>0</v>
      </c>
      <c r="AM194" s="1" t="str">
        <f aca="false">CONCATENATE(VLOOKUP(AN194, 'Voxel Sizes'!$A$2:$B$18,2,FALSE()),"x",INT(AJ194*15), "x", INT(AK194*15))</f>
        <v>186x0x58</v>
      </c>
      <c r="AN194" s="1" t="n">
        <f aca="false">ROUND(15*((AI194*10)/256),0)</f>
        <v>11</v>
      </c>
      <c r="AP194" s="1" t="str">
        <f aca="false">CONCATENATE(VLOOKUP(AN194,Constants!$A$2:$C$16,IF(AO194&lt;&gt;"", 3, 2), FALSE()),IF(AO194&lt;&gt;"",CONCATENATE(",",VLOOKUP(AO194,$B:$AP,41,FALSE())),""))</f>
        <v>4,3,4</v>
      </c>
      <c r="AZ194" s="1" t="n">
        <v>33</v>
      </c>
      <c r="BA194" s="16" t="str">
        <f aca="false">IF(O194&lt;&gt;"",MAX(16,(O194-M194)+8),"")</f>
        <v/>
      </c>
      <c r="BD194" s="1" t="n">
        <f aca="false">MIN(AE194/150, 1)*30</f>
        <v>19</v>
      </c>
      <c r="BE194" s="1" t="n">
        <f aca="false">MIN(Q194/4000, 1)*20</f>
        <v>13.75</v>
      </c>
      <c r="BF194" s="1" t="n">
        <f aca="false">MIN(AC194/400,1)*20</f>
        <v>12.25</v>
      </c>
      <c r="BG194" s="4" t="n">
        <f aca="false">1-(MAX(M194-1900, 0)/750)</f>
        <v>0.917333333333333</v>
      </c>
      <c r="BH194" s="1"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114</v>
      </c>
      <c r="BL194" s="1" t="n">
        <f aca="false">INT(POWER((((Constants!$G$1+$BD194+$BE194+$BF194+$BH194)*($BG194))*$BI194),IF($J194="wagon",1,1.2)))+$BB194</f>
        <v>122</v>
      </c>
      <c r="BM194" s="17" t="n">
        <f aca="false">BK194*IF($J194="wagon",62.5,781.25)</f>
        <v>89062.5</v>
      </c>
      <c r="BN194" s="17" t="n">
        <f aca="false">BL194*IF($J194="wagon",2.73,81.25)</f>
        <v>9912.5</v>
      </c>
      <c r="BU194" s="1" t="str">
        <f aca="false">IF(J194="locomotive","B","")</f>
        <v>B</v>
      </c>
      <c r="BV194" s="1" t="str">
        <f aca="false">IF($J194="locomotive","B","")</f>
        <v>B</v>
      </c>
      <c r="BY194" s="1" t="n">
        <v>7</v>
      </c>
      <c r="CD194" s="1" t="str">
        <f aca="false">VLOOKUP(M194,Eras!$A$2:$C$10, 2, TRUE())</f>
        <v>dsl</v>
      </c>
      <c r="CE194" s="1" t="s">
        <v>132</v>
      </c>
      <c r="CF194" s="1" t="str">
        <f aca="false">CONCATENATE(CD194,"_",CE194)</f>
        <v>dsl_Freight</v>
      </c>
      <c r="CG194" s="1" t="str">
        <f aca="false">_xlfn.CONCAT(K194, "_",L194)</f>
        <v>diesel_RAIL</v>
      </c>
      <c r="CH194" s="7" t="str">
        <f aca="false">_xlfn.CONCAT("{BLACK}Length: {GOLD}", TEXT(ROUNDUP(IF(AS194&lt;&gt;"",SUM(VALUE(_xlfn.TEXTSPLIT(AS194, ","))), SUM(VALUE(_xlfn.TEXTSPLIT(AP194, ",")))*IF(P194, P194, 1))/16, 1), "#,##0.0"), " tiles{}")</f>
        <v>{BLACK}Length: {GOLD}0.7 tiles{}</v>
      </c>
      <c r="CI194" s="1" t="str">
        <f aca="false">IF(0, VLOOKUP($CG194, Constants!$M:$N, 2, FALSE()),"")</f>
        <v/>
      </c>
      <c r="CJ194" s="1" t="str">
        <f aca="false">IF(P194&gt;1,_xlfn.CONCAT("{BLACK}Cars: {GOLD}", P194),"")</f>
        <v/>
      </c>
      <c r="CK194" s="1" t="s">
        <v>669</v>
      </c>
      <c r="CL194" s="1" t="str">
        <f aca="false">IF($BX194="concept_trains","{GREEN}Concept Vehicle",IF($BX194="!param_no_gameplay_units","{GREEN}Included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tiles{}{SILVER}The Class 47 diesel-electric arose from BR's desire for a lighter Type 4 (over 2000hp) locomotive, without using the diesel-hydraulic technology favoured by the Western Region.</v>
      </c>
    </row>
    <row r="195" customFormat="false" ht="14.25" hidden="false" customHeight="false" outlineLevel="0" collapsed="false">
      <c r="A195" s="1" t="s">
        <v>670</v>
      </c>
      <c r="B195" s="15" t="s">
        <v>671</v>
      </c>
      <c r="C195" s="1" t="n">
        <v>197</v>
      </c>
      <c r="E195" s="1" t="n">
        <v>137</v>
      </c>
      <c r="G195" s="1" t="str">
        <f aca="false">IF($F195&lt;&gt;"",_xlfn.CONCAT(VLOOKUP($CE195, Constants!$T:$U, 2, FALSE()),",",$F195),VLOOKUP($CE195, Constants!$T:$U, 2, FALSE()))</f>
        <v>role/mixed</v>
      </c>
      <c r="H195" s="1" t="str">
        <f aca="false">IF($G195&lt;&gt;"",_xlfn.CONCAT(VLOOKUP($CG195, Constants!$M:$P, 4, FALSE()),",",$G195),VLOOKUP($CG195, Constants!$M:$P, 4, FALSE()))</f>
        <v>flag/GB,power/diesel,role/mixed</v>
      </c>
      <c r="I195" s="1" t="s">
        <v>241</v>
      </c>
      <c r="J195" s="1" t="s">
        <v>249</v>
      </c>
      <c r="K195" s="1" t="s">
        <v>525</v>
      </c>
      <c r="L195" s="1" t="s">
        <v>192</v>
      </c>
      <c r="M195" s="1" t="n">
        <v>1962</v>
      </c>
      <c r="N195" s="1" t="n">
        <v>1965</v>
      </c>
      <c r="O195" s="1" t="n">
        <v>1971</v>
      </c>
      <c r="Q195" s="1" t="n">
        <v>900</v>
      </c>
      <c r="Z195" s="1" t="n">
        <v>69</v>
      </c>
      <c r="AC195" s="1" t="n">
        <v>178</v>
      </c>
      <c r="AD195" s="4" t="n">
        <f aca="false">IF(AND(Z195&gt;0,AC195&gt;0),(AC195/((Z195+AA195)*10)),"")</f>
        <v>0.257971014492754</v>
      </c>
      <c r="AE195" s="1" t="n">
        <v>60</v>
      </c>
      <c r="AF195" s="1" t="n">
        <f aca="false">ROUND(AE195*1.6, 0)</f>
        <v>96</v>
      </c>
      <c r="AH195" s="1" t="n">
        <v>15.4</v>
      </c>
      <c r="AI195" s="1" t="n">
        <v>15.4</v>
      </c>
      <c r="AK195" s="1" t="n">
        <v>3.86</v>
      </c>
      <c r="AL195" s="5" t="n">
        <v>0</v>
      </c>
      <c r="AM195" s="1" t="str">
        <f aca="false">CONCATENATE(VLOOKUP(AN195, 'Voxel Sizes'!$A$2:$B$18,2,FALSE()),"x",INT(AJ195*15), "x", INT(AK195*15))</f>
        <v>152x0x57</v>
      </c>
      <c r="AN195" s="1" t="n">
        <f aca="false">ROUND(15*((AI195*10)/256),0)</f>
        <v>9</v>
      </c>
      <c r="AP195" s="1" t="str">
        <f aca="false">CONCATENATE(VLOOKUP(AN195,Constants!$A$2:$C$16,IF(AO195&lt;&gt;"", 3, 2), FALSE()),IF(AO195&lt;&gt;"",CONCATENATE(",",VLOOKUP(AO195,$B:$AP,41,FALSE())),""))</f>
        <v>2,5,2</v>
      </c>
      <c r="AZ195" s="1" t="n">
        <v>14</v>
      </c>
      <c r="BA195" s="16" t="n">
        <f aca="false">IF(O195&lt;&gt;"",MAX(16,(O195-M195)+8),"")</f>
        <v>17</v>
      </c>
      <c r="BD195" s="1" t="n">
        <f aca="false">MIN(AE195/150, 1)*30</f>
        <v>12</v>
      </c>
      <c r="BE195" s="1" t="n">
        <f aca="false">MIN(Q195/4000, 1)*20</f>
        <v>4.5</v>
      </c>
      <c r="BF195" s="1" t="n">
        <f aca="false">MIN(AC195/400,1)*20</f>
        <v>8.9</v>
      </c>
      <c r="BG195" s="4" t="n">
        <f aca="false">1-(MAX(M195-1900, 0)/750)</f>
        <v>0.917333333333333</v>
      </c>
      <c r="BH195" s="1" t="n">
        <f aca="false">((MAX($P195,1)*MIN($AL195/300,1)))*IF(J195="Wagon",50,10)</f>
        <v>0</v>
      </c>
      <c r="BI195" s="1" t="n">
        <f aca="false">VLOOKUP($K195,Constants!$I:$K, 2, FALSE())</f>
        <v>1</v>
      </c>
      <c r="BJ195" s="1" t="n">
        <f aca="false">VLOOKUP($K195,Constants!$I:$K, 3, FALSE())*IF(AND(J195="multiple_unit",AE195&lt;110),0.75,1)</f>
        <v>2</v>
      </c>
      <c r="BK195" s="1" t="n">
        <f aca="false">INT(POWER(((Constants!$G$2+$BD195+$BE195+$BF195+$BH195)*$BG195)*$BJ195, 1.05))+$BC195</f>
        <v>68</v>
      </c>
      <c r="BL195" s="1" t="n">
        <f aca="false">INT(POWER((((Constants!$G$1+$BD195+$BE195+$BF195+$BH195)*($BG195))*$BI195),IF($J195="wagon",1,1.2)))+$BB195</f>
        <v>76</v>
      </c>
      <c r="BM195" s="17" t="n">
        <f aca="false">BK195*IF($J195="wagon",62.5,781.25)</f>
        <v>53125</v>
      </c>
      <c r="BN195" s="17" t="n">
        <f aca="false">BL195*IF($J195="wagon",2.73,81.25)</f>
        <v>6175</v>
      </c>
      <c r="BU195" s="1" t="str">
        <f aca="false">IF(J195="locomotive","B","")</f>
        <v>B</v>
      </c>
      <c r="BV195" s="1" t="str">
        <f aca="false">IF($J195="locomotive","B","")</f>
        <v>B</v>
      </c>
      <c r="BY195" s="1" t="n">
        <v>8</v>
      </c>
      <c r="CD195" s="1" t="str">
        <f aca="false">VLOOKUP(M195,Eras!$A$2:$C$10, 2, TRUE())</f>
        <v>dsl</v>
      </c>
      <c r="CE195" s="1" t="s">
        <v>356</v>
      </c>
      <c r="CF195" s="1" t="str">
        <f aca="false">CONCATENATE(CD195,"_",CE195)</f>
        <v>dsl_Cheap</v>
      </c>
      <c r="CG195" s="1" t="str">
        <f aca="false">_xlfn.CONCAT(K195, "_",L195)</f>
        <v>diesel_RAIL</v>
      </c>
      <c r="CH195" s="7" t="str">
        <f aca="false">_xlfn.CONCAT("{BLACK}Length: {GOLD}", TEXT(ROUNDUP(IF(AS195&lt;&gt;"",SUM(VALUE(_xlfn.TEXTSPLIT(AS195, ","))), SUM(VALUE(_xlfn.TEXTSPLIT(AP195, ",")))*IF(P195, P195, 1))/16, 1), "#,##0.0"), " tiles{}")</f>
        <v>{BLACK}Length: {GOLD}0.6 tiles{}</v>
      </c>
      <c r="CI195" s="1" t="str">
        <f aca="false">IF(0, VLOOKUP($CG195, Constants!$M:$N, 2, FALSE()),"")</f>
        <v/>
      </c>
      <c r="CJ195" s="1" t="str">
        <f aca="false">IF(P195&gt;1,_xlfn.CONCAT("{BLACK}Cars: {GOLD}", P195),"")</f>
        <v/>
      </c>
      <c r="CK195" s="1" t="s">
        <v>672</v>
      </c>
      <c r="CL195" s="1" t="str">
        <f aca="false">IF($BX195="concept_trains","{GREEN}Concept Vehicle",IF($BX195="!param_no_gameplay_units","{GREEN}Included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{GOLD}0.6 tiles{}{SILVER}The Class 17 attempted to solve the problems of visibility from a single cab. It had an unsuccessful life beset by engine reliability problems, and all examples were withdrawn early.</v>
      </c>
    </row>
    <row r="196" customFormat="false" ht="14.25" hidden="false" customHeight="false" outlineLevel="0" collapsed="false">
      <c r="A196" s="1" t="s">
        <v>673</v>
      </c>
      <c r="B196" s="15" t="s">
        <v>674</v>
      </c>
      <c r="C196" s="1" t="n">
        <v>198</v>
      </c>
      <c r="E196" s="1" t="n">
        <v>138</v>
      </c>
      <c r="G196" s="1" t="str">
        <f aca="false">IF($F196&lt;&gt;"",_xlfn.CONCAT(VLOOKUP($CE196, Constants!$T:$U, 2, FALSE()),",",$F196),VLOOKUP($CE196, Constants!$T:$U, 2, FALSE()))</f>
        <v>role/mixed</v>
      </c>
      <c r="H196" s="1" t="str">
        <f aca="false">IF($G196&lt;&gt;"",_xlfn.CONCAT(VLOOKUP($CG196, Constants!$M:$P, 4, FALSE()),",",$G196),VLOOKUP($CG196, Constants!$M:$P, 4, FALSE()))</f>
        <v>flag/GB,power/diesel,role/mixed</v>
      </c>
      <c r="I196" s="1" t="s">
        <v>241</v>
      </c>
      <c r="J196" s="1" t="s">
        <v>249</v>
      </c>
      <c r="K196" s="1" t="s">
        <v>525</v>
      </c>
      <c r="L196" s="1" t="s">
        <v>192</v>
      </c>
      <c r="M196" s="1" t="n">
        <v>1964</v>
      </c>
      <c r="N196" s="1" t="n">
        <v>1965</v>
      </c>
      <c r="O196" s="1" t="n">
        <v>1984</v>
      </c>
      <c r="Q196" s="1" t="n">
        <v>650</v>
      </c>
      <c r="Z196" s="1" t="n">
        <v>48.5</v>
      </c>
      <c r="AC196" s="1" t="n">
        <v>137</v>
      </c>
      <c r="AD196" s="4" t="n">
        <f aca="false">IF(AND(Z196&gt;0,AC196&gt;0),(AC196/((Z196+AA196)*10)),"")</f>
        <v>0.282474226804124</v>
      </c>
      <c r="AE196" s="1" t="n">
        <v>40</v>
      </c>
      <c r="AF196" s="1" t="n">
        <f aca="false">ROUND(AE196*1.6, 0)</f>
        <v>64</v>
      </c>
      <c r="AH196" s="1" t="n">
        <v>10.3</v>
      </c>
      <c r="AI196" s="1" t="n">
        <v>10.3</v>
      </c>
      <c r="AL196" s="5" t="n">
        <v>0</v>
      </c>
      <c r="AM196" s="1" t="str">
        <f aca="false">CONCATENATE(VLOOKUP(AN196, 'Voxel Sizes'!$A$2:$B$18,2,FALSE()),"x",INT(AJ196*15), "x", INT(AK196*15))</f>
        <v>102x0x0</v>
      </c>
      <c r="AN196" s="1" t="n">
        <f aca="false">ROUND(15*((AI196*10)/256),0)</f>
        <v>6</v>
      </c>
      <c r="AP196" s="1" t="str">
        <f aca="false">CONCATENATE(VLOOKUP(AN196,Constants!$A$2:$C$16,IF(AO196&lt;&gt;"", 3, 2), FALSE()),IF(AO196&lt;&gt;"",CONCATENATE(",",VLOOKUP(AO196,$B:$AP,41,FALSE())),""))</f>
        <v>2,2,2</v>
      </c>
      <c r="AX196" s="1" t="n">
        <v>1</v>
      </c>
      <c r="AZ196" s="1" t="n">
        <v>18</v>
      </c>
      <c r="BA196" s="16" t="n">
        <f aca="false">IF(O196&lt;&gt;"",MAX(16,(O196-M196)+8),"")</f>
        <v>28</v>
      </c>
      <c r="BD196" s="1" t="n">
        <f aca="false">MIN(AE196/150, 1)*30</f>
        <v>8</v>
      </c>
      <c r="BE196" s="1" t="n">
        <f aca="false">MIN(Q196/4000, 1)*20</f>
        <v>3.25</v>
      </c>
      <c r="BF196" s="1" t="n">
        <f aca="false">MIN(AC196/400,1)*20</f>
        <v>6.85</v>
      </c>
      <c r="BG196" s="4" t="n">
        <f aca="false">1-(MAX(M196-1900, 0)/750)</f>
        <v>0.914666666666667</v>
      </c>
      <c r="BH196" s="1" t="n">
        <f aca="false">((MAX($P196,1)*MIN($AL196/300,1)))*IF(J196="Wagon",50,10)</f>
        <v>0</v>
      </c>
      <c r="BI196" s="1" t="n">
        <f aca="false">VLOOKUP($K196,Constants!$I:$K, 2, FALSE())</f>
        <v>1</v>
      </c>
      <c r="BJ196" s="1" t="n">
        <f aca="false">VLOOKUP($K196,Constants!$I:$K, 3, FALSE())*IF(AND(J196="multiple_unit",AE196&lt;110),0.75,1)</f>
        <v>2</v>
      </c>
      <c r="BK196" s="1" t="n">
        <f aca="false">INT(POWER(((Constants!$G$2+$BD196+$BE196+$BF196+$BH196)*$BG196)*$BJ196, 1.05))+$BC196</f>
        <v>50</v>
      </c>
      <c r="BL196" s="1" t="n">
        <f aca="false">INT(POWER((((Constants!$G$1+$BD196+$BE196+$BF196+$BH196)*($BG196))*$BI196),IF($J196="wagon",1,1.2)))+$BB196</f>
        <v>59</v>
      </c>
      <c r="BM196" s="17" t="n">
        <f aca="false">BK196*IF($J196="wagon",62.5,781.25)</f>
        <v>39062.5</v>
      </c>
      <c r="BN196" s="17" t="n">
        <f aca="false">BL196*IF($J196="wagon",2.73,81.25)</f>
        <v>4793.75</v>
      </c>
      <c r="BU196" s="1" t="str">
        <f aca="false">IF(J196="locomotive","B","")</f>
        <v>B</v>
      </c>
      <c r="BV196" s="1" t="str">
        <f aca="false">IF($J196="locomotive","B","")</f>
        <v>B</v>
      </c>
      <c r="BY196" s="1" t="n">
        <v>9</v>
      </c>
      <c r="CD196" s="1" t="str">
        <f aca="false">VLOOKUP(M196,Eras!$A$2:$C$10, 2, TRUE())</f>
        <v>dsl</v>
      </c>
      <c r="CE196" s="1" t="s">
        <v>356</v>
      </c>
      <c r="CF196" s="1" t="str">
        <f aca="false">CONCATENATE(CD196,"_",CE196)</f>
        <v>dsl_Cheap</v>
      </c>
      <c r="CG196" s="1" t="str">
        <f aca="false">_xlfn.CONCAT(K196, "_",L196)</f>
        <v>diesel_RAIL</v>
      </c>
      <c r="CH196" s="7" t="str">
        <f aca="false">_xlfn.CONCAT("{BLACK}Length: {GOLD}", TEXT(ROUNDUP(IF(AS196&lt;&gt;"",SUM(VALUE(_xlfn.TEXTSPLIT(AS196, ","))), SUM(VALUE(_xlfn.TEXTSPLIT(AP196, ",")))*IF(P196, P196, 1))/16, 1), "#,##0.0"), " tiles{}")</f>
        <v>{BLACK}Length: {GOLD}0.4 tiles{}</v>
      </c>
      <c r="CI196" s="1" t="str">
        <f aca="false">IF(0, VLOOKUP($CG196, Constants!$M:$N, 2, FALSE()),"")</f>
        <v/>
      </c>
      <c r="CJ196" s="1" t="str">
        <f aca="false">IF(P196&gt;1,_xlfn.CONCAT("{BLACK}Cars: {GOLD}", P196),"")</f>
        <v/>
      </c>
      <c r="CK196" s="1" t="s">
        <v>675</v>
      </c>
      <c r="CL196" s="1" t="str">
        <f aca="false">IF($BX196="concept_trains","{GREEN}Concept Vehicle",IF($BX196="!param_no_gameplay_units","{GREEN}Included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{GOLD}0.4 tiles{}{SILVER}BR envisaged a need  for small diesel locomotives to run short-distance freight trains, but by the end of the 1960s this need had evaporated. The Class 14s were sold to industry, and saw continued use on private railways.</v>
      </c>
    </row>
    <row r="197" customFormat="false" ht="14.25" hidden="false" customHeight="false" outlineLevel="0" collapsed="false">
      <c r="A197" s="1" t="s">
        <v>676</v>
      </c>
      <c r="B197" s="15" t="s">
        <v>677</v>
      </c>
      <c r="C197" s="1" t="n">
        <v>199</v>
      </c>
      <c r="E197" s="1" t="n">
        <v>139</v>
      </c>
      <c r="G197" s="1" t="str">
        <f aca="false">IF($F197&lt;&gt;"",_xlfn.CONCAT(VLOOKUP($CE197, Constants!$T:$U, 2, FALSE()),",",$F197),VLOOKUP($CE197, Constants!$T:$U, 2, FALSE()))</f>
        <v>role/mixed</v>
      </c>
      <c r="H197" s="1" t="str">
        <f aca="false">IF($G197&lt;&gt;"",_xlfn.CONCAT(VLOOKUP($CG197, Constants!$M:$P, 4, FALSE()),",",$G197),VLOOKUP($CG197, Constants!$M:$P, 4, FALSE()))</f>
        <v>flag/GB,power/diesel,role/mixed</v>
      </c>
      <c r="I197" s="1" t="s">
        <v>241</v>
      </c>
      <c r="J197" s="1" t="s">
        <v>249</v>
      </c>
      <c r="K197" s="1" t="s">
        <v>678</v>
      </c>
      <c r="L197" s="1" t="s">
        <v>192</v>
      </c>
      <c r="M197" s="1" t="n">
        <v>1965</v>
      </c>
      <c r="N197" s="1" t="n">
        <v>1967</v>
      </c>
      <c r="Q197" s="1" t="n">
        <v>1420</v>
      </c>
      <c r="R197" s="2" t="n">
        <v>600</v>
      </c>
      <c r="Z197" s="1" t="n">
        <v>76.3</v>
      </c>
      <c r="AC197" s="1" t="n">
        <v>186</v>
      </c>
      <c r="AD197" s="4" t="n">
        <f aca="false">IF(AND(Z197&gt;0,AC197&gt;0),(AC197/((Z197+AA197)*10)),"")</f>
        <v>0.243774574049803</v>
      </c>
      <c r="AE197" s="1" t="n">
        <v>80</v>
      </c>
      <c r="AF197" s="1" t="n">
        <f aca="false">ROUND(AE197*1.6, 0)</f>
        <v>128</v>
      </c>
      <c r="AH197" s="1" t="n">
        <v>16.36</v>
      </c>
      <c r="AI197" s="1" t="n">
        <v>16.36</v>
      </c>
      <c r="AL197" s="5" t="n">
        <v>0</v>
      </c>
      <c r="AM197" s="1" t="str">
        <f aca="false">CONCATENATE(VLOOKUP(AN197, 'Voxel Sizes'!$A$2:$B$18,2,FALSE()),"x",INT(AJ197*15), "x", INT(AK197*15))</f>
        <v>164x0x0</v>
      </c>
      <c r="AN197" s="1" t="n">
        <f aca="false">ROUND(15*((AI197*10)/256),0)</f>
        <v>10</v>
      </c>
      <c r="AP197" s="1" t="str">
        <f aca="false">CONCATENATE(VLOOKUP(AN197,Constants!$A$2:$C$16,IF(AO197&lt;&gt;"", 3, 2), FALSE()),IF(AO197&lt;&gt;"",CONCATENATE(",",VLOOKUP(AO197,$B:$AP,41,FALSE())),""))</f>
        <v>4,2,4</v>
      </c>
      <c r="AZ197" s="1" t="n">
        <v>33</v>
      </c>
      <c r="BA197" s="16" t="str">
        <f aca="false">IF(O197&lt;&gt;"",MAX(16,(O197-M197)+8),"")</f>
        <v/>
      </c>
      <c r="BD197" s="1" t="n">
        <f aca="false">MIN(AE197/150, 1)*30</f>
        <v>16</v>
      </c>
      <c r="BE197" s="1" t="n">
        <f aca="false">MIN(Q197/4000, 1)*20</f>
        <v>7.1</v>
      </c>
      <c r="BF197" s="1" t="n">
        <f aca="false">MIN(AC197/400,1)*20</f>
        <v>9.3</v>
      </c>
      <c r="BG197" s="4" t="n">
        <f aca="false">1-(MAX(M197-1900, 0)/750)</f>
        <v>0.913333333333333</v>
      </c>
      <c r="BH197" s="1" t="n">
        <f aca="false">((MAX($P197,1)*MIN($AL197/300,1)))*IF(J197="Wagon",50,10)</f>
        <v>0</v>
      </c>
      <c r="BI197" s="1" t="n">
        <f aca="false">VLOOKUP($K197,Constants!$I:$K, 2, FALSE())</f>
        <v>0.9</v>
      </c>
      <c r="BJ197" s="1" t="n">
        <f aca="false">VLOOKUP($K197,Constants!$I:$K, 3, FALSE())*IF(AND(J197="multiple_unit",AE197&lt;110),0.75,1)</f>
        <v>2.5</v>
      </c>
      <c r="BK197" s="1" t="n">
        <f aca="false">INT(POWER(((Constants!$G$2+$BD197+$BE197+$BF197+$BH197)*$BG197)*$BJ197, 1.05))+$BC197</f>
        <v>106</v>
      </c>
      <c r="BL197" s="1" t="n">
        <f aca="false">INT(POWER((((Constants!$G$1+$BD197+$BE197+$BF197+$BH197)*($BG197))*$BI197),IF($J197="wagon",1,1.2)))+$BB197</f>
        <v>81</v>
      </c>
      <c r="BM197" s="17" t="n">
        <f aca="false">BK197*IF($J197="wagon",62.5,781.25)</f>
        <v>82812.5</v>
      </c>
      <c r="BN197" s="17" t="n">
        <f aca="false">BL197*IF($J197="wagon",2.73,81.25)</f>
        <v>6581.25</v>
      </c>
      <c r="BU197" s="1" t="str">
        <f aca="false">IF(J197="locomotive","B","")</f>
        <v>B</v>
      </c>
      <c r="BV197" s="1" t="str">
        <f aca="false">IF($J197="locomotive","B","")</f>
        <v>B</v>
      </c>
      <c r="BY197" s="1" t="n">
        <v>10</v>
      </c>
      <c r="CD197" s="1" t="str">
        <f aca="false">VLOOKUP(M197,Eras!$A$2:$C$10, 2, TRUE())</f>
        <v>dsl</v>
      </c>
      <c r="CE197" s="1" t="s">
        <v>129</v>
      </c>
      <c r="CF197" s="1" t="str">
        <f aca="false">CONCATENATE(CD197,"_",CE197)</f>
        <v>dsl_Mixed Traffic</v>
      </c>
      <c r="CG197" s="1" t="str">
        <f aca="false">_xlfn.CONCAT(K197, "_",L197)</f>
        <v>dual_power_RAIL</v>
      </c>
      <c r="CH197" s="7" t="str">
        <f aca="false">_xlfn.CONCAT("{BLACK}Length: {GOLD}", TEXT(ROUNDUP(IF(AS197&lt;&gt;"",SUM(VALUE(_xlfn.TEXTSPLIT(AS197, ","))), SUM(VALUE(_xlfn.TEXTSPLIT(AP197, ",")))*IF(P197, P197, 1))/16, 1), "#,##0.0"), " tiles{}")</f>
        <v>{BLACK}Length: {GOLD}0.7 tiles{}</v>
      </c>
      <c r="CI197" s="1" t="str">
        <f aca="false">IF(0, VLOOKUP($CG197, Constants!$M:$N, 2, FALSE()),"")</f>
        <v/>
      </c>
      <c r="CJ197" s="1" t="str">
        <f aca="false">IF(P197&gt;1,_xlfn.CONCAT("{BLACK}Cars: {GOLD}", P197),"")</f>
        <v/>
      </c>
      <c r="CK197" s="1" t="s">
        <v>679</v>
      </c>
      <c r="CL197" s="1" t="str">
        <f aca="false">IF($BX197="concept_trains","{GREEN}Concept Vehicle",IF($BX197="!param_no_gameplay_units","{GREEN}Included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73 is a dual-power locomotive, running at full power when connected to a third rail supply but carrying a small diesel engine for running on non-electrified track.</v>
      </c>
    </row>
    <row r="198" customFormat="false" ht="14.25" hidden="false" customHeight="false" outlineLevel="0" collapsed="false">
      <c r="A198" s="1" t="s">
        <v>680</v>
      </c>
      <c r="B198" s="15" t="s">
        <v>681</v>
      </c>
      <c r="C198" s="1" t="n">
        <v>200</v>
      </c>
      <c r="E198" s="1" t="n">
        <v>140</v>
      </c>
      <c r="G198" s="1" t="str">
        <f aca="false">IF($F198&lt;&gt;"",_xlfn.CONCAT(VLOOKUP($CE198, Constants!$T:$U, 2, FALSE()),",",$F198),VLOOKUP($CE198, Constants!$T:$U, 2, FALSE()))</f>
        <v>role/express_passenger</v>
      </c>
      <c r="H198" s="1" t="str">
        <f aca="false">IF($G198&lt;&gt;"",_xlfn.CONCAT(VLOOKUP($CG198, Constants!$M:$P, 4, FALSE()),",",$G198),VLOOKUP($CG198, Constants!$M:$P, 4, FALSE()))</f>
        <v>flag/GB,power/electric,role/express_passenger</v>
      </c>
      <c r="I198" s="1" t="s">
        <v>241</v>
      </c>
      <c r="J198" s="1" t="s">
        <v>249</v>
      </c>
      <c r="K198" s="1" t="s">
        <v>388</v>
      </c>
      <c r="L198" s="1" t="s">
        <v>389</v>
      </c>
      <c r="M198" s="1" t="n">
        <v>1965</v>
      </c>
      <c r="N198" s="1" t="n">
        <v>1966</v>
      </c>
      <c r="Q198" s="1" t="n">
        <v>3600</v>
      </c>
      <c r="Z198" s="1" t="n">
        <v>82</v>
      </c>
      <c r="AC198" s="1" t="n">
        <v>267</v>
      </c>
      <c r="AD198" s="4" t="n">
        <f aca="false">IF(AND(Z198&gt;0,AC198&gt;0),(AC198/((Z198+AA198)*10)),"")</f>
        <v>0.325609756097561</v>
      </c>
      <c r="AE198" s="1" t="n">
        <v>100</v>
      </c>
      <c r="AF198" s="1" t="n">
        <f aca="false">ROUND(AE198*1.6, 0)</f>
        <v>160</v>
      </c>
      <c r="AH198" s="1" t="n">
        <v>17.83</v>
      </c>
      <c r="AI198" s="1" t="n">
        <v>17.83</v>
      </c>
      <c r="AK198" s="1" t="n">
        <v>3.77</v>
      </c>
      <c r="AL198" s="5" t="n">
        <v>0</v>
      </c>
      <c r="AM198" s="1" t="str">
        <f aca="false">CONCATENATE(VLOOKUP(AN198, 'Voxel Sizes'!$A$2:$B$18,2,FALSE()),"x",INT(AJ198*15), "x", INT(AK198*15))</f>
        <v>164x0x56</v>
      </c>
      <c r="AN198" s="1" t="n">
        <f aca="false">ROUND(15*((AI198*10)/256),0)</f>
        <v>10</v>
      </c>
      <c r="AP198" s="1" t="str">
        <f aca="false">CONCATENATE(VLOOKUP(AN198,Constants!$A$2:$C$16,IF(AO198&lt;&gt;"", 3, 2), FALSE()),IF(AO198&lt;&gt;"",CONCATENATE(",",VLOOKUP(AO198,$B:$AP,41,FALSE())),""))</f>
        <v>4,2,4</v>
      </c>
      <c r="AZ198" s="1" t="n">
        <v>37</v>
      </c>
      <c r="BA198" s="16" t="str">
        <f aca="false">IF(O198&lt;&gt;"",MAX(16,(O198-M198)+8),"")</f>
        <v/>
      </c>
      <c r="BD198" s="1" t="n">
        <f aca="false">MIN(AE198/150, 1)*30</f>
        <v>20</v>
      </c>
      <c r="BE198" s="1" t="n">
        <f aca="false">MIN(Q198/4000, 1)*20</f>
        <v>18</v>
      </c>
      <c r="BF198" s="1" t="n">
        <f aca="false">MIN(AC198/400,1)*20</f>
        <v>13.35</v>
      </c>
      <c r="BG198" s="4" t="n">
        <f aca="false">1-(MAX(M198-1900, 0)/750)</f>
        <v>0.913333333333333</v>
      </c>
      <c r="BH198" s="1" t="n">
        <f aca="false">((MAX($P198,1)*MIN($AL198/300,1)))*IF(J198="Wagon",50,10)</f>
        <v>0</v>
      </c>
      <c r="BI198" s="1" t="n">
        <f aca="false">VLOOKUP($K198,Constants!$I:$K, 2, FALSE())</f>
        <v>0.85</v>
      </c>
      <c r="BJ198" s="1" t="n">
        <f aca="false">VLOOKUP($K198,Constants!$I:$K, 3, FALSE())*IF(AND(J198="multiple_unit",AE198&lt;110),0.75,1)</f>
        <v>2.3</v>
      </c>
      <c r="BK198" s="1" t="n">
        <f aca="false">INT(POWER(((Constants!$G$2+$BD198+$BE198+$BF198+$BH198)*$BG198)*$BJ198, 1.05))+$BC198</f>
        <v>150</v>
      </c>
      <c r="BL198" s="1" t="n">
        <f aca="false">INT(POWER((((Constants!$G$1+$BD198+$BE198+$BF198+$BH198)*($BG198))*$BI198),IF($J198="wagon",1,1.2)))+$BB198</f>
        <v>113</v>
      </c>
      <c r="BM198" s="17" t="n">
        <f aca="false">BK198*IF($J198="wagon",62.5,781.25)</f>
        <v>117187.5</v>
      </c>
      <c r="BN198" s="17" t="n">
        <f aca="false">BL198*IF($J198="wagon",2.73,81.25)</f>
        <v>9181.25</v>
      </c>
      <c r="BU198" s="1" t="str">
        <f aca="false">IF(J198="locomotive","B","")</f>
        <v>B</v>
      </c>
      <c r="BV198" s="1" t="str">
        <f aca="false">IF($J198="locomotive","B","")</f>
        <v>B</v>
      </c>
      <c r="BY198" s="1" t="n">
        <v>11</v>
      </c>
      <c r="CD198" s="1" t="str">
        <f aca="false">VLOOKUP(M198,Eras!$A$2:$C$10, 2, TRUE())</f>
        <v>dsl</v>
      </c>
      <c r="CE198" s="1" t="s">
        <v>447</v>
      </c>
      <c r="CF198" s="1" t="str">
        <f aca="false">CONCATENATE(CD198,"_",CE198)</f>
        <v>dsl_Express (Electric)</v>
      </c>
      <c r="CG198" s="1" t="str">
        <f aca="false">_xlfn.CONCAT(K198, "_",L198)</f>
        <v>electric_ELRL</v>
      </c>
      <c r="CH198" s="7" t="str">
        <f aca="false">_xlfn.CONCAT("{BLACK}Length: {GOLD}", TEXT(ROUNDUP(IF(AS198&lt;&gt;"",SUM(VALUE(_xlfn.TEXTSPLIT(AS198, ","))), SUM(VALUE(_xlfn.TEXTSPLIT(AP198, ",")))*IF(P198, P198, 1))/16, 1), "#,##0.0"), " tiles{}")</f>
        <v>{BLACK}Length: {GOLD}0.7 tiles{}</v>
      </c>
      <c r="CI198" s="1" t="str">
        <f aca="false">IF(0, VLOOKUP($CG198, Constants!$M:$N, 2, FALSE()),"")</f>
        <v/>
      </c>
      <c r="CJ198" s="1" t="str">
        <f aca="false">IF(P198&gt;1,_xlfn.CONCAT("{BLACK}Cars: {GOLD}", P198),"")</f>
        <v/>
      </c>
      <c r="CK198" s="1" t="s">
        <v>682</v>
      </c>
      <c r="CL198" s="1" t="str">
        <f aca="false">IF($BX198="concept_trains","{GREEN}Concept Vehicle",IF($BX198="!param_no_gameplay_units","{GREEN}Included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{GOLD}0.7 tiles{}{SILVER}The Class 86 (originally AL6) was BR's first standard electric locomotive, incorporating experience from prototypes such as the Class 81.</v>
      </c>
    </row>
    <row r="199" customFormat="false" ht="14.25" hidden="false" customHeight="false" outlineLevel="0" collapsed="false">
      <c r="A199" s="1" t="s">
        <v>683</v>
      </c>
      <c r="B199" s="15" t="s">
        <v>684</v>
      </c>
      <c r="C199" s="1" t="n">
        <v>201</v>
      </c>
      <c r="E199" s="1" t="n">
        <v>141</v>
      </c>
      <c r="G199" s="1" t="str">
        <f aca="false">IF($F199&lt;&gt;"",_xlfn.CONCAT(VLOOKUP($CE199, Constants!$T:$U, 2, FALSE()),",",$F199),VLOOKUP($CE199, Constants!$T:$U, 2, FALSE()))</f>
        <v>role/express_passenger</v>
      </c>
      <c r="H199" s="1" t="str">
        <f aca="false">IF($G199&lt;&gt;"",_xlfn.CONCAT(VLOOKUP($CG199, Constants!$M:$P, 4, FALSE()),",",$G199),VLOOKUP($CG199, Constants!$M:$P, 4, FALSE()))</f>
        <v>flag/GB,power/diesel,role/express_passenger</v>
      </c>
      <c r="I199" s="1" t="s">
        <v>241</v>
      </c>
      <c r="J199" s="1" t="s">
        <v>249</v>
      </c>
      <c r="K199" s="1" t="s">
        <v>525</v>
      </c>
      <c r="L199" s="1" t="s">
        <v>192</v>
      </c>
      <c r="M199" s="1" t="n">
        <v>1967</v>
      </c>
      <c r="N199" s="1" t="n">
        <v>1968</v>
      </c>
      <c r="O199" s="1" t="n">
        <v>1994</v>
      </c>
      <c r="Q199" s="1" t="n">
        <v>2700</v>
      </c>
      <c r="Z199" s="1" t="n">
        <v>117</v>
      </c>
      <c r="AC199" s="1" t="n">
        <v>216</v>
      </c>
      <c r="AD199" s="4" t="n">
        <f aca="false">IF(AND(Z199&gt;0,AC199&gt;0),(AC199/((Z199+AA199)*10)),"")</f>
        <v>0.184615384615385</v>
      </c>
      <c r="AE199" s="1" t="n">
        <v>100</v>
      </c>
      <c r="AF199" s="1" t="n">
        <f aca="false">ROUND(AE199*1.6, 0)</f>
        <v>160</v>
      </c>
      <c r="AH199" s="1" t="n">
        <v>20.88</v>
      </c>
      <c r="AI199" s="1" t="n">
        <v>20.88</v>
      </c>
      <c r="AK199" s="1" t="n">
        <v>3.89</v>
      </c>
      <c r="AL199" s="5" t="n">
        <v>0</v>
      </c>
      <c r="AM199" s="1" t="str">
        <f aca="false">CONCATENATE(VLOOKUP(AN199, 'Voxel Sizes'!$A$2:$B$18,2,FALSE()),"x",INT(AJ199*15), "x", INT(AK199*15))</f>
        <v>198x0x58</v>
      </c>
      <c r="AN199" s="1" t="n">
        <f aca="false">ROUND(15*((AI199*10)/256),0)</f>
        <v>12</v>
      </c>
      <c r="AP199" s="1" t="str">
        <f aca="false">CONCATENATE(VLOOKUP(AN199,Constants!$A$2:$C$16,IF(AO199&lt;&gt;"", 3, 2), FALSE()),IF(AO199&lt;&gt;"",CONCATENATE(",",VLOOKUP(AO199,$B:$AP,41,FALSE())),""))</f>
        <v>4,4,4</v>
      </c>
      <c r="AZ199" s="1" t="n">
        <v>30</v>
      </c>
      <c r="BA199" s="16" t="n">
        <f aca="false">IF(O199&lt;&gt;"",MAX(16,(O199-M199)+8),"")</f>
        <v>35</v>
      </c>
      <c r="BD199" s="1" t="n">
        <f aca="false">MIN(AE199/150, 1)*30</f>
        <v>20</v>
      </c>
      <c r="BE199" s="1" t="n">
        <f aca="false">MIN(Q199/4000, 1)*20</f>
        <v>13.5</v>
      </c>
      <c r="BF199" s="1" t="n">
        <f aca="false">MIN(AC199/400,1)*20</f>
        <v>10.8</v>
      </c>
      <c r="BG199" s="4" t="n">
        <f aca="false">1-(MAX(M199-1900, 0)/750)</f>
        <v>0.910666666666667</v>
      </c>
      <c r="BH199" s="1" t="n">
        <f aca="false">((MAX($P199,1)*MIN($AL199/300,1)))*IF(J199="Wagon",50,10)</f>
        <v>0</v>
      </c>
      <c r="BI199" s="1" t="n">
        <f aca="false">VLOOKUP($K199,Constants!$I:$K, 2, FALSE())</f>
        <v>1</v>
      </c>
      <c r="BJ199" s="1" t="n">
        <f aca="false">VLOOKUP($K199,Constants!$I:$K, 3, FALSE())*IF(AND(J199="multiple_unit",AE199&lt;110),0.75,1)</f>
        <v>2</v>
      </c>
      <c r="BK199" s="1" t="n">
        <f aca="false">INT(POWER(((Constants!$G$2+$BD199+$BE199+$BF199+$BH199)*$BG199)*$BJ199, 1.05))+$BC199</f>
        <v>112</v>
      </c>
      <c r="BL199" s="1" t="n">
        <f aca="false">INT(POWER((((Constants!$G$1+$BD199+$BE199+$BF199+$BH199)*($BG199))*$BI199),IF($J199="wagon",1,1.2)))+$BB199</f>
        <v>119</v>
      </c>
      <c r="BM199" s="17" t="n">
        <f aca="false">BK199*IF($J199="wagon",62.5,781.25)</f>
        <v>87500</v>
      </c>
      <c r="BN199" s="17" t="n">
        <f aca="false">BL199*IF($J199="wagon",2.73,81.25)</f>
        <v>9668.75</v>
      </c>
      <c r="BU199" s="1" t="str">
        <f aca="false">IF(J199="locomotive","B","")</f>
        <v>B</v>
      </c>
      <c r="BV199" s="1" t="str">
        <f aca="false">IF($J199="locomotive","B","")</f>
        <v>B</v>
      </c>
      <c r="BY199" s="1" t="n">
        <v>12</v>
      </c>
      <c r="CD199" s="1" t="str">
        <f aca="false">VLOOKUP(M199,Eras!$A$2:$C$10, 2, TRUE())</f>
        <v>dsl</v>
      </c>
      <c r="CE199" s="1" t="s">
        <v>282</v>
      </c>
      <c r="CF199" s="1" t="str">
        <f aca="false">CONCATENATE(CD199,"_",CE199)</f>
        <v>dsl_Express</v>
      </c>
      <c r="CG199" s="1" t="str">
        <f aca="false">_xlfn.CONCAT(K199, "_",L199)</f>
        <v>diesel_RAIL</v>
      </c>
      <c r="CH199" s="7" t="str">
        <f aca="false">_xlfn.CONCAT("{BLACK}Length: {GOLD}", TEXT(ROUNDUP(IF(AS199&lt;&gt;"",SUM(VALUE(_xlfn.TEXTSPLIT(AS199, ","))), SUM(VALUE(_xlfn.TEXTSPLIT(AP199, ",")))*IF(P199, P199, 1))/16, 1), "#,##0.0"), " tiles{}")</f>
        <v>{BLACK}Length: {GOLD}0.8 tiles{}</v>
      </c>
      <c r="CI199" s="1" t="str">
        <f aca="false">IF(0, VLOOKUP($CG199, Constants!$M:$N, 2, FALSE()),"")</f>
        <v/>
      </c>
      <c r="CJ199" s="1" t="str">
        <f aca="false">IF(P199&gt;1,_xlfn.CONCAT("{BLACK}Cars: {GOLD}", P199),"")</f>
        <v/>
      </c>
      <c r="CK199" s="1" t="s">
        <v>685</v>
      </c>
      <c r="CL199" s="1" t="str">
        <f aca="false">IF($BX199="concept_trains","{GREEN}Concept Vehicle",IF($BX199="!param_no_gameplay_units","{GREEN}Included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tiles{}{SILVER}The Class 50 hauled express services on the West Coast Main Line until electrification, at which point they were used to replace diesel-hydraulic engines in the Western Region.</v>
      </c>
    </row>
    <row r="200" customFormat="false" ht="14.25" hidden="false" customHeight="false" outlineLevel="0" collapsed="false">
      <c r="A200" s="1" t="s">
        <v>686</v>
      </c>
      <c r="B200" s="19" t="s">
        <v>687</v>
      </c>
      <c r="C200" s="1" t="n">
        <v>1045</v>
      </c>
      <c r="E200" s="1" t="n">
        <v>142</v>
      </c>
      <c r="F200" s="1" t="s">
        <v>143</v>
      </c>
      <c r="G200" s="1" t="str">
        <f aca="false">IF($F200&lt;&gt;"",_xlfn.CONCAT(VLOOKUP($CE200, Constants!$T:$U, 2, FALSE()),",",$F200),VLOOKUP($CE200, Constants!$T:$U, 2, FALSE()))</f>
        <v>role/express_passenger,role/prototype</v>
      </c>
      <c r="H200" s="1" t="str">
        <f aca="false">IF($G200&lt;&gt;"",_xlfn.CONCAT(VLOOKUP($CG200, Constants!$M:$P, 4, FALSE()),",",$G200),VLOOKUP($CG200, Constants!$M:$P, 4, FALSE()))</f>
        <v>flag/GB,power/diesel,role/express_passenger,role/prototype</v>
      </c>
      <c r="I200" s="1" t="s">
        <v>241</v>
      </c>
      <c r="J200" s="1" t="s">
        <v>249</v>
      </c>
      <c r="K200" s="1" t="s">
        <v>525</v>
      </c>
      <c r="L200" s="1" t="s">
        <v>192</v>
      </c>
      <c r="M200" s="1" t="n">
        <v>1967</v>
      </c>
      <c r="O200" s="1" t="n">
        <v>1982</v>
      </c>
      <c r="Q200" s="1" t="n">
        <v>4000</v>
      </c>
      <c r="Z200" s="1" t="n">
        <v>126</v>
      </c>
      <c r="AC200" s="1" t="n">
        <v>270</v>
      </c>
      <c r="AD200" s="4" t="n">
        <f aca="false">IF(AND(Z200&gt;0,AC200&gt;0),(AC200/((Z200+AA200)*10)),"")</f>
        <v>0.214285714285714</v>
      </c>
      <c r="AE200" s="1" t="n">
        <v>110</v>
      </c>
      <c r="AF200" s="1" t="n">
        <f aca="false">ROUND(AE200*1.6, 0)</f>
        <v>176</v>
      </c>
      <c r="AH200" s="1" t="n">
        <v>20.27</v>
      </c>
      <c r="AI200" s="1" t="n">
        <v>20.27</v>
      </c>
      <c r="AJ200" s="1" t="n">
        <v>2.69</v>
      </c>
      <c r="AK200" s="1" t="n">
        <v>3.91</v>
      </c>
      <c r="AM200" s="1" t="str">
        <f aca="false">CONCATENATE(VLOOKUP(AN200, 'Voxel Sizes'!$A$2:$B$18,2,FALSE()),"x",INT(AJ200*15), "x", INT(AK200*15))</f>
        <v>198x40x58</v>
      </c>
      <c r="AN200" s="16" t="n">
        <f aca="false">ROUND(15*((AI200*10)/256),0)</f>
        <v>12</v>
      </c>
      <c r="AP200" s="1" t="str">
        <f aca="false">CONCATENATE(VLOOKUP(AN200,Constants!$A$2:$C$16,IF(AO200&lt;&gt;"", 3, 2), FALSE()),IF(AO200&lt;&gt;"",CONCATENATE(",",VLOOKUP(AO200,$B:$AP,41,FALSE())),""))</f>
        <v>4,4,4</v>
      </c>
      <c r="AZ200" s="1" t="n">
        <v>21</v>
      </c>
      <c r="BA200" s="16" t="n">
        <f aca="false">IF(O200&lt;&gt;"",MAX(16,(O200-M200)+8),"")</f>
        <v>23</v>
      </c>
      <c r="BC200" s="1" t="n">
        <v>2</v>
      </c>
      <c r="BD200" s="20" t="n">
        <f aca="false">MIN(AE200/150, 1)*30</f>
        <v>22</v>
      </c>
      <c r="BE200" s="20" t="n">
        <f aca="false">MIN(Q200/4000, 1)*20</f>
        <v>20</v>
      </c>
      <c r="BF200" s="20" t="n">
        <f aca="false">MIN(AC200/400,1)*20</f>
        <v>13.5</v>
      </c>
      <c r="BG200" s="21" t="n">
        <f aca="false">1-(MAX(M200-1900, 0)/750)</f>
        <v>0.910666666666667</v>
      </c>
      <c r="BH200" s="20" t="n">
        <f aca="false">((MAX($P200,1)*MIN($AL200/300,1)))*IF(J200="Wagon",50,10)</f>
        <v>0</v>
      </c>
      <c r="BI200" s="1" t="n">
        <f aca="false">VLOOKUP($K200,Constants!$I:$K, 2, FALSE())</f>
        <v>1</v>
      </c>
      <c r="BJ200" s="1" t="n">
        <f aca="false">VLOOKUP($K200,Constants!$I:$K, 3, FALSE())*IF(AND(J200="multiple_unit",AE200&lt;110),0.75,1)</f>
        <v>2</v>
      </c>
      <c r="BK200" s="1" t="n">
        <f aca="false">INT(POWER(((Constants!$G$2+$BD200+$BE200+$BF200+$BH200)*$BG200)*$BJ200, 1.05))+$BC200</f>
        <v>141</v>
      </c>
      <c r="BL200" s="1" t="n">
        <f aca="false">INT(POWER((((Constants!$G$1+$BD200+$BE200+$BF200+$BH200)*($BG200))*$BI200),IF($J200="wagon",1,1.2)))+$BB200</f>
        <v>147</v>
      </c>
      <c r="BM200" s="22" t="n">
        <f aca="false">BK200*IF($J200="wagon",62.5,781.25)</f>
        <v>110156.25</v>
      </c>
      <c r="BN200" s="22" t="n">
        <f aca="false">BL200*IF($J200="wagon",2.73,81.25)</f>
        <v>11943.75</v>
      </c>
      <c r="BU200" s="1" t="str">
        <f aca="false">IF(J200="locomotive","B","")</f>
        <v>B</v>
      </c>
      <c r="BV200" s="1" t="str">
        <f aca="false">IF($J200="locomotive","B","")</f>
        <v>B</v>
      </c>
      <c r="BY200" s="1" t="n">
        <v>6</v>
      </c>
      <c r="CD200" s="23" t="s">
        <v>611</v>
      </c>
      <c r="CE200" s="1" t="s">
        <v>282</v>
      </c>
      <c r="CF200" s="23" t="str">
        <f aca="false">CONCATENATE(CD200,"_",CE200)</f>
        <v>dsl_Express</v>
      </c>
      <c r="CG200" s="23" t="str">
        <f aca="false">_xlfn.CONCAT(K200, "_",L200)</f>
        <v>diesel_RAIL</v>
      </c>
      <c r="CH200" s="7" t="str">
        <f aca="false">_xlfn.CONCAT("{BLACK}Length: {GOLD}", TEXT(ROUNDUP(IF(AS200&lt;&gt;"",SUM(VALUE(_xlfn.TEXTSPLIT(AS200, ","))), SUM(VALUE(_xlfn.TEXTSPLIT(AP200, ",")))*IF(P200, P200, 1))/16, 1), "#,##0.0"), " tiles{}")</f>
        <v>{BLACK}Length: {GOLD}0.8 tiles{}</v>
      </c>
      <c r="CI200" s="1" t="str">
        <f aca="false">IF(0, VLOOKUP($CG200, Constants!$M:$N, 2, FALSE()),"")</f>
        <v/>
      </c>
      <c r="CJ200" s="1" t="str">
        <f aca="false">IF(P200&gt;1,_xlfn.CONCAT("{BLACK}Cars: {GOLD}", P200),"")</f>
        <v/>
      </c>
      <c r="CK200" s="1" t="s">
        <v>688</v>
      </c>
      <c r="CL200" s="1" t="str">
        <f aca="false">IF($BX200="concept_trains","{GREEN}Concept Vehicle",IF($BX200="!param_no_gameplay_units","{GREEN}Included for gameplay purposes",""))</f>
        <v/>
      </c>
      <c r="CM200" s="1" t="str">
        <f aca="false">IF(CA200="buffet","{YELLOW}25% long distance bonus for consist{}",IF(CB200="DANDY","{YELLOW}Faster downhill speeds for horse-drawn trains (1 required per 2 horses){}",IF(CB200="BRAKE","{YELLOW}Speed bonus for slow wagons{}",IF(CB200="NGPassengers","{YELLOW}Preserved railway bonus: passengers pay more when hauled by old locomotives{}",IF(AND(BZ200&gt;190,NOT(AND(L200="NARROW_GAUGE",CB200&lt;&gt;"PASS"))),CONCATENATE("{YELLOW}",INT((BZ200-185)/1.85),"%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{GOLD}0.8 tiles{}{SILVER}The Brush "Kestrel" was a prototype high speed diesel locomotive. After a brief period of service in the UK it was sold to the Soviet Union, where it was re-gauged and used for testing.</v>
      </c>
    </row>
    <row r="201" customFormat="false" ht="14.25" hidden="false" customHeight="false" outlineLevel="0" collapsed="false">
      <c r="A201" s="1" t="s">
        <v>689</v>
      </c>
      <c r="B201" s="25" t="s">
        <v>690</v>
      </c>
      <c r="C201" s="1" t="n">
        <v>4201</v>
      </c>
      <c r="E201" s="1" t="n">
        <v>141</v>
      </c>
      <c r="F201" s="1" t="s">
        <v>143</v>
      </c>
      <c r="G201" s="1" t="str">
        <f aca="false">IF($F201&lt;&gt;"",_xlfn.CONCAT(VLOOKUP($CE201, Constants!$T:$U, 2, FALSE()),",",$F201),VLOOKUP($CE201, Constants!$T:$U, 2, FALSE()))</f>
        <v>role/express_passenger,role/prototype</v>
      </c>
      <c r="H201" s="1" t="str">
        <f aca="false">IF($G201&lt;&gt;"",_xlfn.CONCAT(VLOOKUP($CG201, Constants!$M:$P, 4, FALSE()),",",$G201),VLOOKUP($CG201, Constants!$M:$P, 4, FALSE()))</f>
        <v>flag/GB,power/diesel,role/express_passenger,role/prototype</v>
      </c>
      <c r="I201" s="1" t="s">
        <v>241</v>
      </c>
      <c r="J201" s="1" t="s">
        <v>249</v>
      </c>
      <c r="K201" s="1" t="s">
        <v>525</v>
      </c>
      <c r="L201" s="1" t="s">
        <v>192</v>
      </c>
      <c r="M201" s="1" t="n">
        <v>1969</v>
      </c>
      <c r="N201" s="1" t="n">
        <v>1974</v>
      </c>
      <c r="O201" s="1" t="n">
        <v>1994</v>
      </c>
      <c r="Q201" s="1" t="n">
        <v>4620</v>
      </c>
      <c r="Z201" s="1" t="n">
        <v>121</v>
      </c>
      <c r="AC201" s="1" t="n">
        <v>280</v>
      </c>
      <c r="AD201" s="4" t="n">
        <f aca="false">IF(AND(Z201&gt;0,AC201&gt;0),(AC201/((Z201+AA201)*10)),"")</f>
        <v>0.231404958677686</v>
      </c>
      <c r="AE201" s="1" t="n">
        <v>110</v>
      </c>
      <c r="AF201" s="1" t="n">
        <f aca="false">ROUND(AE201*1.6, 0)</f>
        <v>176</v>
      </c>
      <c r="AH201" s="1" t="n">
        <v>25</v>
      </c>
      <c r="AI201" s="1" t="n">
        <v>25</v>
      </c>
      <c r="AK201" s="1" t="n">
        <v>3.89</v>
      </c>
      <c r="AL201" s="5" t="n">
        <v>0</v>
      </c>
      <c r="AM201" s="1" t="str">
        <f aca="false">CONCATENATE(VLOOKUP(AN201, 'Voxel Sizes'!$A$2:$B$18,2,FALSE()),"x",INT(AJ201*15), "x", INT(AK201*15))</f>
        <v>256x0x58</v>
      </c>
      <c r="AN201" s="1" t="n">
        <f aca="false">ROUND(15*((AI201*10)/256),0)</f>
        <v>15</v>
      </c>
      <c r="AP201" s="1" t="str">
        <f aca="false">CONCATENATE(VLOOKUP(AN201,Constants!$A$2:$C$16,IF(AO201&lt;&gt;"", 3, 2), FALSE()),IF(AO201&lt;&gt;"",CONCATENATE(",",VLOOKUP(AO201,$B:$AP,41,FALSE())),""))</f>
        <v>4,7,4</v>
      </c>
      <c r="AZ201" s="1" t="n">
        <v>30</v>
      </c>
      <c r="BA201" s="16" t="n">
        <f aca="false">IF(O201&lt;&gt;"",MAX(16,(O201-M201)+8),"")</f>
        <v>33</v>
      </c>
      <c r="BB201" s="1" t="n">
        <v>1</v>
      </c>
      <c r="BD201" s="1" t="n">
        <f aca="false">MIN(AE201/150, 1)*30</f>
        <v>22</v>
      </c>
      <c r="BE201" s="1" t="n">
        <f aca="false">MIN(Q201/4000, 1)*20</f>
        <v>20</v>
      </c>
      <c r="BF201" s="1" t="n">
        <f aca="false">MIN(AC201/400,1)*20</f>
        <v>14</v>
      </c>
      <c r="BG201" s="4" t="n">
        <f aca="false">1-(MAX(M201-1900, 0)/750)</f>
        <v>0.908</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140</v>
      </c>
      <c r="BL201" s="1" t="n">
        <f aca="false">INT(POWER((((Constants!$G$1+$BD201+$BE201+$BF201+$BH201)*($BG201))*$BI201),IF($J201="wagon",1,1.2)))+$BB201</f>
        <v>149</v>
      </c>
      <c r="BM201" s="17" t="n">
        <f aca="false">BK201*IF($J201="wagon",62.5,781.25)</f>
        <v>109375</v>
      </c>
      <c r="BN201" s="17" t="n">
        <f aca="false">BL201*IF($J201="wagon",2.73,81.25)</f>
        <v>12106.25</v>
      </c>
      <c r="BU201" s="1" t="str">
        <f aca="false">IF(J201="locomotive","B","")</f>
        <v>B</v>
      </c>
      <c r="BV201" s="1" t="str">
        <f aca="false">IF($J201="locomotive","B","")</f>
        <v>B</v>
      </c>
      <c r="BX201" s="26" t="s">
        <v>691</v>
      </c>
      <c r="BY201" s="1" t="n">
        <v>12</v>
      </c>
      <c r="CD201" s="1" t="str">
        <f aca="false">VLOOKUP(M201,Eras!$A$2:$C$10, 2, TRUE())</f>
        <v>dsl</v>
      </c>
      <c r="CE201" s="1" t="s">
        <v>282</v>
      </c>
      <c r="CF201" s="1" t="str">
        <f aca="false">CONCATENATE(CD201,"_",CE201)</f>
        <v>dsl_Express</v>
      </c>
      <c r="CG201" s="1" t="str">
        <f aca="false">_xlfn.CONCAT(K201, "_",L201)</f>
        <v>diesel_RAIL</v>
      </c>
      <c r="CH201" s="7" t="str">
        <f aca="false">_xlfn.CONCAT("{BLACK}Length: {GOLD}", TEXT(ROUNDUP(IF(AS201&lt;&gt;"",SUM(VALUE(_xlfn.TEXTSPLIT(AS201, ","))), SUM(VALUE(_xlfn.TEXTSPLIT(AP201, ",")))*IF(P201, P201, 1))/16, 1), "#,##0.0"), " tiles{}")</f>
        <v>{BLACK}Length: {GOLD}1.0 tiles{}</v>
      </c>
      <c r="CI201" s="1" t="str">
        <f aca="false">IF(0, VLOOKUP($CG201, Constants!$M:$N, 2, FALSE()),"")</f>
        <v/>
      </c>
      <c r="CJ201" s="1" t="str">
        <f aca="false">IF(P201&gt;1,_xlfn.CONCAT("{BLACK}Cars: {GOLD}", P201),"")</f>
        <v/>
      </c>
      <c r="CK201" s="1" t="s">
        <v>692</v>
      </c>
      <c r="CL201" s="1" t="str">
        <f aca="false">IF($BX201="concept_trains","{GREEN}Concept Vehicle",IF($BX201="!param_no_gameplay_units","{GREEN}Included for gameplay purposes",""))</f>
        <v>{GREEN}Concept Vehicle</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{GOLD}1.0 tiles{}{SILVER}An alternative to electrifying the West Coast Main Line, and to avoid needing to run paired Class 50s on the same line, a “Super Deltic” configuration was proposed, in a Class 50-esque bodyshell. It’s not clear if such a design would have been a success.{}{}{GREEN}Concept Vehicle</v>
      </c>
    </row>
    <row r="202" customFormat="false" ht="14.25" hidden="false" customHeight="false" outlineLevel="0" collapsed="false">
      <c r="A202" s="1" t="s">
        <v>693</v>
      </c>
      <c r="B202" s="15" t="s">
        <v>694</v>
      </c>
      <c r="C202" s="1" t="n">
        <v>202</v>
      </c>
      <c r="E202" s="1" t="n">
        <v>143</v>
      </c>
      <c r="G202" s="1" t="str">
        <f aca="false">IF($F202&lt;&gt;"",_xlfn.CONCAT(VLOOKUP($CE202, Constants!$T:$U, 2, FALSE()),",",$F202),VLOOKUP($CE202, Constants!$T:$U, 2, FALSE()))</f>
        <v>role/express_passenger</v>
      </c>
      <c r="H202" s="1" t="str">
        <f aca="false">IF($G202&lt;&gt;"",_xlfn.CONCAT(VLOOKUP($CG202, Constants!$M:$P, 4, FALSE()),",",$G202),VLOOKUP($CG202, Constants!$M:$P, 4, FALSE()))</f>
        <v>flag/GB,power/electric,role/express_passenger</v>
      </c>
      <c r="I202" s="1" t="s">
        <v>241</v>
      </c>
      <c r="J202" s="1" t="s">
        <v>249</v>
      </c>
      <c r="K202" s="1" t="s">
        <v>388</v>
      </c>
      <c r="L202" s="1" t="s">
        <v>389</v>
      </c>
      <c r="M202" s="1" t="n">
        <v>1973</v>
      </c>
      <c r="N202" s="1" t="n">
        <v>1975</v>
      </c>
      <c r="O202" s="1" t="n">
        <v>2006</v>
      </c>
      <c r="Q202" s="1" t="n">
        <v>5000</v>
      </c>
      <c r="Z202" s="1" t="n">
        <v>81</v>
      </c>
      <c r="AC202" s="1" t="n">
        <v>258</v>
      </c>
      <c r="AD202" s="4" t="n">
        <f aca="false">IF(AND(Z202&gt;0,AC202&gt;0),(AC202/((Z202+AA202)*10)),"")</f>
        <v>0.318518518518519</v>
      </c>
      <c r="AE202" s="1" t="n">
        <v>110</v>
      </c>
      <c r="AF202" s="1" t="n">
        <f aca="false">ROUND(AE202*1.6, 0)</f>
        <v>176</v>
      </c>
      <c r="AH202" s="1" t="n">
        <v>17.83</v>
      </c>
      <c r="AI202" s="1" t="n">
        <v>17.83</v>
      </c>
      <c r="AK202" s="1" t="n">
        <v>3.77</v>
      </c>
      <c r="AL202" s="5" t="n">
        <v>0</v>
      </c>
      <c r="AM202" s="1" t="str">
        <f aca="false">CONCATENATE(VLOOKUP(AN202, 'Voxel Sizes'!$A$2:$B$18,2,FALSE()),"x",INT(AJ202*15), "x", INT(AK202*15))</f>
        <v>164x0x56</v>
      </c>
      <c r="AN202" s="1" t="n">
        <f aca="false">ROUND(15*((AI202*10)/256),0)</f>
        <v>10</v>
      </c>
      <c r="AP202" s="1" t="str">
        <f aca="false">CONCATENATE(VLOOKUP(AN202,Constants!$A$2:$C$16,IF(AO202&lt;&gt;"", 3, 2), FALSE()),IF(AO202&lt;&gt;"",CONCATENATE(",",VLOOKUP(AO202,$B:$AP,41,FALSE())),""))</f>
        <v>4,2,4</v>
      </c>
      <c r="AZ202" s="1" t="n">
        <v>30</v>
      </c>
      <c r="BA202" s="16" t="n">
        <f aca="false">IF(O202&lt;&gt;"",MAX(16,(O202-M202)+8),"")</f>
        <v>41</v>
      </c>
      <c r="BD202" s="1" t="n">
        <f aca="false">MIN(AE202/150, 1)*30</f>
        <v>22</v>
      </c>
      <c r="BE202" s="1" t="n">
        <f aca="false">MIN(Q202/4000, 1)*20</f>
        <v>20</v>
      </c>
      <c r="BF202" s="1" t="n">
        <f aca="false">MIN(AC202/400,1)*20</f>
        <v>12.9</v>
      </c>
      <c r="BG202" s="4" t="n">
        <f aca="false">1-(MAX(M202-1900, 0)/750)</f>
        <v>0.902666666666667</v>
      </c>
      <c r="BH202" s="1" t="n">
        <f aca="false">((MAX($P202,1)*MIN($AL202/300,1)))*IF(J202="Wagon",50,10)</f>
        <v>0</v>
      </c>
      <c r="BI202" s="1" t="n">
        <f aca="false">VLOOKUP($K202,Constants!$I:$K, 2, FALSE())</f>
        <v>0.85</v>
      </c>
      <c r="BJ202" s="1" t="n">
        <f aca="false">VLOOKUP($K202,Constants!$I:$K, 3, FALSE())*IF(AND(J202="multiple_unit",AE202&lt;110),0.75,1)</f>
        <v>2.3</v>
      </c>
      <c r="BK202" s="1" t="n">
        <f aca="false">INT(POWER(((Constants!$G$2+$BD202+$BE202+$BF202+$BH202)*$BG202)*$BJ202, 1.05))+$BC202</f>
        <v>158</v>
      </c>
      <c r="BL202" s="1" t="n">
        <f aca="false">INT(POWER((((Constants!$G$1+$BD202+$BE202+$BF202+$BH202)*($BG202))*$BI202),IF($J202="wagon",1,1.2)))+$BB202</f>
        <v>118</v>
      </c>
      <c r="BM202" s="17" t="n">
        <f aca="false">BK202*IF($J202="wagon",62.5,781.25)</f>
        <v>123437.5</v>
      </c>
      <c r="BN202" s="17" t="n">
        <f aca="false">BL202*IF($J202="wagon",2.73,81.25)</f>
        <v>9587.5</v>
      </c>
      <c r="BU202" s="1" t="str">
        <f aca="false">IF(J202="locomotive","B","")</f>
        <v>B</v>
      </c>
      <c r="BV202" s="1" t="str">
        <f aca="false">IF($J202="locomotive","B","")</f>
        <v>B</v>
      </c>
      <c r="BY202" s="1" t="n">
        <v>1</v>
      </c>
      <c r="CD202" s="1" t="str">
        <f aca="false">VLOOKUP(M202,Eras!$A$2:$C$10, 2, TRUE())</f>
        <v>lbr</v>
      </c>
      <c r="CE202" s="1" t="s">
        <v>447</v>
      </c>
      <c r="CF202" s="1" t="str">
        <f aca="false">CONCATENATE(CD202,"_",CE202)</f>
        <v>lbr_Express (Electric)</v>
      </c>
      <c r="CG202" s="1" t="str">
        <f aca="false">_xlfn.CONCAT(K202, "_",L202)</f>
        <v>electric_ELRL</v>
      </c>
      <c r="CH202" s="7" t="str">
        <f aca="false">_xlfn.CONCAT("{BLACK}Length: {GOLD}", TEXT(ROUNDUP(IF(AS202&lt;&gt;"",SUM(VALUE(_xlfn.TEXTSPLIT(AS202, ","))), SUM(VALUE(_xlfn.TEXTSPLIT(AP202, ",")))*IF(P202, P202, 1))/16, 1), "#,##0.0"), " tiles{}")</f>
        <v>{BLACK}Length: {GOLD}0.7 tiles{}</v>
      </c>
      <c r="CI202" s="1" t="str">
        <f aca="false">IF(0, VLOOKUP($CG202, Constants!$M:$N, 2, FALSE()),"")</f>
        <v/>
      </c>
      <c r="CJ202" s="1" t="str">
        <f aca="false">IF(P202&gt;1,_xlfn.CONCAT("{BLACK}Cars: {GOLD}", P202),"")</f>
        <v/>
      </c>
      <c r="CK202" s="1" t="s">
        <v>695</v>
      </c>
      <c r="CL202" s="1" t="str">
        <f aca="false">IF($BX202="concept_trains","{GREEN}Concept Vehicle",IF($BX202="!param_no_gameplay_units","{GREEN}Included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{GOLD}0.7 tiles{}{SILVER}The Class 87 was a further development of the Class 86 with even more power and performance, serving as the flagship of the British Rail electric fleet.</v>
      </c>
    </row>
    <row r="203" customFormat="false" ht="14.25" hidden="false" customHeight="false" outlineLevel="0" collapsed="false">
      <c r="A203" s="26" t="s">
        <v>696</v>
      </c>
      <c r="B203" s="15" t="s">
        <v>697</v>
      </c>
      <c r="C203" s="1" t="n">
        <v>203</v>
      </c>
      <c r="E203" s="1" t="n">
        <v>144</v>
      </c>
      <c r="F203" s="1" t="s">
        <v>174</v>
      </c>
      <c r="G203" s="1" t="str">
        <f aca="false">IF($F203&lt;&gt;"",_xlfn.CONCAT(VLOOKUP($CE203, Constants!$T:$U, 2, FALSE()),",",$F203),VLOOKUP($CE203, Constants!$T:$U, 2, FALSE()))</f>
        <v>role/express_passenger,_ww_livery/brbluegrey</v>
      </c>
      <c r="H203" s="1" t="str">
        <f aca="false">IF($G203&lt;&gt;"",_xlfn.CONCAT(VLOOKUP($CG203, Constants!$M:$P, 4, FALSE()),",",$G203),VLOOKUP($CG203, Constants!$M:$P, 4, FALSE()))</f>
        <v>flag/GB,power/diesel,role/express_passenger,_ww_livery/brbluegrey</v>
      </c>
      <c r="I203" s="1" t="s">
        <v>241</v>
      </c>
      <c r="J203" s="1" t="s">
        <v>249</v>
      </c>
      <c r="K203" s="1" t="s">
        <v>525</v>
      </c>
      <c r="L203" s="1" t="s">
        <v>192</v>
      </c>
      <c r="M203" s="1" t="n">
        <v>1975</v>
      </c>
      <c r="N203" s="1" t="n">
        <v>1982</v>
      </c>
      <c r="O203" s="1" t="n">
        <v>2021</v>
      </c>
      <c r="Q203" s="1" t="n">
        <v>1770</v>
      </c>
      <c r="Z203" s="1" t="n">
        <v>70.25</v>
      </c>
      <c r="AC203" s="1" t="n">
        <v>160</v>
      </c>
      <c r="AD203" s="4" t="n">
        <f aca="false">IF(AND(Z203&gt;0,AC203&gt;0),(AC203/((Z203+AA203)*10)),"")</f>
        <v>0.227758007117438</v>
      </c>
      <c r="AE203" s="1" t="n">
        <v>125</v>
      </c>
      <c r="AF203" s="1" t="n">
        <f aca="false">ROUND(AE203*1.6, 0)</f>
        <v>200</v>
      </c>
      <c r="AH203" s="1" t="n">
        <v>17.79</v>
      </c>
      <c r="AI203" s="1" t="n">
        <v>17.79</v>
      </c>
      <c r="AL203" s="5" t="n">
        <v>0</v>
      </c>
      <c r="AM203" s="1" t="str">
        <f aca="false">CONCATENATE(VLOOKUP(AN203, 'Voxel Sizes'!$A$2:$B$18,2,FALSE()),"x",INT(AJ203*15), "x", INT(AK203*15))</f>
        <v>164x0x0</v>
      </c>
      <c r="AN203" s="1" t="n">
        <f aca="false">ROUND(15*((AI203*10)/256),0)</f>
        <v>10</v>
      </c>
      <c r="AP203" s="1" t="str">
        <f aca="false">CONCATENATE(VLOOKUP(AN203,Constants!$A$2:$C$16,IF(AO203&lt;&gt;"", 3, 2), FALSE()),IF(AO203&lt;&gt;"",CONCATENATE(",",VLOOKUP(AO203,$B:$AP,41,FALSE())),""))</f>
        <v>4,2,4</v>
      </c>
      <c r="AZ203" s="1" t="n">
        <v>35</v>
      </c>
      <c r="BA203" s="16" t="n">
        <f aca="false">IF(O203&lt;&gt;"",MAX(16,(O203-M203)+8),"")</f>
        <v>54</v>
      </c>
      <c r="BD203" s="1" t="n">
        <f aca="false">MIN(AE203/150, 1)*30</f>
        <v>25</v>
      </c>
      <c r="BE203" s="1" t="n">
        <f aca="false">MIN(Q203/4000, 1)*20</f>
        <v>8.85</v>
      </c>
      <c r="BF203" s="1" t="n">
        <f aca="false">MIN(AC203/400,1)*20</f>
        <v>8</v>
      </c>
      <c r="BG203" s="4" t="n">
        <f aca="false">1-(MAX(M203-1900, 0)/750)</f>
        <v>0.9</v>
      </c>
      <c r="BH203" s="1" t="n">
        <f aca="false">((MAX($P203,1)*MIN($AL203/300,1)))*IF(J203="Wagon",50,10)</f>
        <v>0</v>
      </c>
      <c r="BI203" s="1" t="n">
        <f aca="false">VLOOKUP($K203,Constants!$I:$K, 2, FALSE())</f>
        <v>1</v>
      </c>
      <c r="BJ203" s="1" t="n">
        <f aca="false">VLOOKUP($K203,Constants!$I:$K, 3, FALSE())*IF(AND(J203="multiple_unit",AE203&lt;110),0.75,1)</f>
        <v>2</v>
      </c>
      <c r="BK203" s="1" t="n">
        <f aca="false">INT(POWER(((Constants!$G$2+$BD203+$BE203+$BF203+$BH203)*$BG203)*$BJ203, 1.05))+$BC203</f>
        <v>105</v>
      </c>
      <c r="BL203" s="1" t="n">
        <f aca="false">INT(POWER((((Constants!$G$1+$BD203+$BE203+$BF203+$BH203)*($BG203))*$BI203),IF($J203="wagon",1,1.2)))+$BB203</f>
        <v>112</v>
      </c>
      <c r="BM203" s="17" t="n">
        <f aca="false">BK203*IF($J203="wagon",62.5,781.25)</f>
        <v>82031.25</v>
      </c>
      <c r="BN203" s="17" t="n">
        <f aca="false">BL203*IF($J203="wagon",2.73,81.25)</f>
        <v>9100</v>
      </c>
      <c r="BO203" s="1" t="n">
        <v>1</v>
      </c>
      <c r="BP203" s="1" t="n">
        <v>1</v>
      </c>
      <c r="BU203" s="1" t="str">
        <f aca="false">IF(J203="locomotive","B","")</f>
        <v>B</v>
      </c>
      <c r="BV203" s="1" t="str">
        <f aca="false">IF($J203="locomotive","B","")</f>
        <v>B</v>
      </c>
      <c r="BY203" s="1" t="n">
        <v>2</v>
      </c>
      <c r="CD203" s="1" t="str">
        <f aca="false">VLOOKUP(M203,Eras!$A$2:$C$10, 2, TRUE())</f>
        <v>lbr</v>
      </c>
      <c r="CE203" s="1" t="s">
        <v>282</v>
      </c>
      <c r="CF203" s="1" t="str">
        <f aca="false">CONCATENATE(CD203,"_",CE203)</f>
        <v>lbr_Express</v>
      </c>
      <c r="CG203" s="1" t="str">
        <f aca="false">_xlfn.CONCAT(K203, "_",L203)</f>
        <v>diesel_RAIL</v>
      </c>
      <c r="CH203" s="7" t="str">
        <f aca="false">_xlfn.CONCAT("{BLACK}Length: {GOLD}", TEXT(ROUNDUP(IF(AS203&lt;&gt;"",SUM(VALUE(_xlfn.TEXTSPLIT(AS203, ","))), SUM(VALUE(_xlfn.TEXTSPLIT(AP203, ",")))*IF(P203, P203, 1))/16, 1), "#,##0.0"), " tiles{}")</f>
        <v>{BLACK}Length: {GOLD}0.7 tiles{}</v>
      </c>
      <c r="CI203" s="1" t="str">
        <f aca="false">IF(0, VLOOKUP($CG203, Constants!$M:$N, 2, FALSE()),"")</f>
        <v/>
      </c>
      <c r="CJ203" s="1" t="str">
        <f aca="false">IF(P203&gt;1,_xlfn.CONCAT("{BLACK}Cars: {GOLD}", P203),"")</f>
        <v/>
      </c>
      <c r="CK203" s="1" t="s">
        <v>698</v>
      </c>
      <c r="CL203" s="1" t="str">
        <f aca="false">IF($BX203="concept_trains","{GREEN}Concept Vehicle",IF($BX203="!param_no_gameplay_units","{GREEN}Included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{GOLD}0.7 tiles{}{SILVER}The Class 43 HST is a high-speed diesel-electric locomotive, also known as the Intercity 125 for its 125mph service speed and intended use on long routes between cities.</v>
      </c>
    </row>
    <row r="204" customFormat="false" ht="14.25" hidden="false" customHeight="false" outlineLevel="0" collapsed="false">
      <c r="A204" s="26" t="s">
        <v>699</v>
      </c>
      <c r="B204" s="27" t="s">
        <v>700</v>
      </c>
      <c r="C204" s="1" t="n">
        <v>3060</v>
      </c>
      <c r="D204" s="26" t="n">
        <v>203</v>
      </c>
      <c r="E204" s="1" t="n">
        <v>145</v>
      </c>
      <c r="F204" s="1" t="s">
        <v>174</v>
      </c>
      <c r="G204" s="1" t="str">
        <f aca="false">IF($F204&lt;&gt;"",_xlfn.CONCAT(VLOOKUP($CE204, Constants!$T:$U, 2, FALSE()),",",$F204),VLOOKUP($CE204, Constants!$T:$U, 2, FALSE()))</f>
        <v>role/express_passenger,_ww_livery/brbluegrey</v>
      </c>
      <c r="H204" s="1" t="str">
        <f aca="false">IF($G204&lt;&gt;"",_xlfn.CONCAT(VLOOKUP($CG204, Constants!$M:$P, 4, FALSE()),",",$G204),VLOOKUP($CG204, Constants!$M:$P, 4, FALSE()))</f>
        <v>flag/GB,power/diesel,role/express_passenger,_ww_livery/brbluegrey</v>
      </c>
      <c r="I204" s="26" t="s">
        <v>241</v>
      </c>
      <c r="J204" s="26" t="s">
        <v>249</v>
      </c>
      <c r="K204" s="26" t="s">
        <v>525</v>
      </c>
      <c r="L204" s="26" t="s">
        <v>192</v>
      </c>
      <c r="M204" s="26" t="n">
        <v>1986</v>
      </c>
      <c r="N204" s="26" t="n">
        <v>2026</v>
      </c>
      <c r="O204" s="26" t="n">
        <v>2031</v>
      </c>
      <c r="P204" s="26"/>
      <c r="Q204" s="26" t="n">
        <v>2250</v>
      </c>
      <c r="Z204" s="26" t="n">
        <v>71.5</v>
      </c>
      <c r="AB204" s="26"/>
      <c r="AC204" s="26" t="n">
        <v>180</v>
      </c>
      <c r="AD204" s="4" t="n">
        <f aca="false">IF(AND(Z204&gt;0,AC204&gt;0),(AC204/((Z204+AA204)*10)),"")</f>
        <v>0.251748251748252</v>
      </c>
      <c r="AE204" s="26" t="n">
        <v>125</v>
      </c>
      <c r="AF204" s="26" t="n">
        <f aca="false">ROUND(AE204*1.6, 0)</f>
        <v>200</v>
      </c>
      <c r="AG204" s="26"/>
      <c r="AH204" s="26" t="n">
        <v>17.79</v>
      </c>
      <c r="AI204" s="26" t="n">
        <v>17.79</v>
      </c>
      <c r="AJ204" s="26"/>
      <c r="AK204" s="26"/>
      <c r="AL204" s="5" t="n">
        <v>0</v>
      </c>
      <c r="AM204" s="1" t="str">
        <f aca="false">CONCATENATE(VLOOKUP(AN204, 'Voxel Sizes'!$A$2:$B$18,2,FALSE()),"x",INT(AJ204*15), "x", INT(AK204*15))</f>
        <v>164x0x0</v>
      </c>
      <c r="AN204" s="26" t="n">
        <f aca="false">ROUND(15*((AI204*10)/256),0)</f>
        <v>10</v>
      </c>
      <c r="AO204" s="26"/>
      <c r="AP204" s="1" t="str">
        <f aca="false">CONCATENATE(VLOOKUP(AN204,Constants!$A$2:$C$16,IF(AO204&lt;&gt;"", 3, 2), FALSE()),IF(AO204&lt;&gt;"",CONCATENATE(",",VLOOKUP(AO204,$B:$AP,41,FALSE())),""))</f>
        <v>4,2,4</v>
      </c>
      <c r="AQ204" s="26"/>
      <c r="AT204" s="26"/>
      <c r="AU204" s="26"/>
      <c r="AV204" s="26"/>
      <c r="AW204" s="26"/>
      <c r="AX204" s="26"/>
      <c r="AY204" s="26"/>
      <c r="AZ204" s="26" t="n">
        <v>35</v>
      </c>
      <c r="BA204" s="16" t="n">
        <f aca="false">IF(O204&lt;&gt;"",MAX(16,(O204-M204)+8),"")</f>
        <v>53</v>
      </c>
      <c r="BB204" s="26"/>
      <c r="BC204" s="26"/>
      <c r="BD204" s="26" t="n">
        <f aca="false">MIN(AE204/150, 1)*30</f>
        <v>25</v>
      </c>
      <c r="BE204" s="26" t="n">
        <f aca="false">MIN(Q204/4000, 1)*20</f>
        <v>11.25</v>
      </c>
      <c r="BF204" s="26" t="n">
        <f aca="false">MIN(AC204/400,1)*20</f>
        <v>9</v>
      </c>
      <c r="BG204" s="4" t="n">
        <f aca="false">1-(MAX(M204-1900, 0)/750)</f>
        <v>0.885333333333333</v>
      </c>
      <c r="BH204" s="26" t="n">
        <f aca="false">((MAX($P204,1)*MIN($AL204/300,1)))*IF(J204="Wagon",50,10)</f>
        <v>0</v>
      </c>
      <c r="BI204" s="1" t="n">
        <f aca="false">VLOOKUP($K204,Constants!$I:$K, 2, FALSE())</f>
        <v>1</v>
      </c>
      <c r="BJ204" s="1" t="n">
        <f aca="false">VLOOKUP($K204,Constants!$I:$K, 3, FALSE())*IF(AND(J204="multiple_unit",AE204&lt;110),0.75,1)</f>
        <v>2</v>
      </c>
      <c r="BK204" s="1" t="n">
        <f aca="false">INT(POWER(((Constants!$G$2+$BD204+$BE204+$BF204+$BH204)*$BG204)*$BJ204, 1.05))+$BC204</f>
        <v>111</v>
      </c>
      <c r="BL204" s="1" t="n">
        <f aca="false">INT(POWER((((Constants!$G$1+$BD204+$BE204+$BF204+$BH204)*($BG204))*$BI204),IF($J204="wagon",1,1.2)))+$BB204</f>
        <v>118</v>
      </c>
      <c r="BM204" s="17" t="n">
        <f aca="false">BK204*IF($J204="wagon",62.5,781.25)</f>
        <v>86718.75</v>
      </c>
      <c r="BN204" s="17" t="n">
        <f aca="false">BL204*IF($J204="wagon",2.73,81.25)</f>
        <v>9587.5</v>
      </c>
      <c r="BO204" s="26" t="n">
        <v>1</v>
      </c>
      <c r="BP204" s="26" t="n">
        <v>1</v>
      </c>
      <c r="BQ204" s="26"/>
      <c r="BR204" s="26"/>
      <c r="BS204" s="26"/>
      <c r="BT204" s="26"/>
      <c r="BU204" s="1" t="str">
        <f aca="false">IF(J204="locomotive","B","")</f>
        <v>B</v>
      </c>
      <c r="BV204" s="1" t="str">
        <f aca="false">IF($J204="locomotive","B","")</f>
        <v>B</v>
      </c>
      <c r="BW204" s="26"/>
      <c r="BX204" s="26"/>
      <c r="BY204" s="26" t="n">
        <v>2</v>
      </c>
      <c r="BZ204" s="26"/>
      <c r="CA204" s="26"/>
      <c r="CB204" s="26"/>
      <c r="CC204" s="26"/>
      <c r="CD204" s="26" t="str">
        <f aca="false">VLOOKUP(M204,[1]Eras!$A$2:$C$10, 2, TRUE())</f>
        <v>lbr</v>
      </c>
      <c r="CE204" s="26" t="s">
        <v>282</v>
      </c>
      <c r="CF204" s="26" t="str">
        <f aca="false">CONCATENATE(CD204,"_",CE204)</f>
        <v>lbr_Express</v>
      </c>
      <c r="CG204" s="26" t="str">
        <f aca="false">_xlfn.CONCAT(K204, "_",L204)</f>
        <v>diesel_RAIL</v>
      </c>
      <c r="CH204" s="7" t="str">
        <f aca="false">_xlfn.CONCAT("{BLACK}Length: {GOLD}", TEXT(ROUNDUP(IF(AS204&lt;&gt;"",SUM(VALUE(_xlfn.TEXTSPLIT(AS204, ","))), SUM(VALUE(_xlfn.TEXTSPLIT(AP204, ",")))*IF(P204, P204, 1))/16, 1), "#,##0.0"), " tiles{}")</f>
        <v>{BLACK}Length: {GOLD}0.7 tiles{}</v>
      </c>
      <c r="CI204" s="1" t="str">
        <f aca="false">IF(0, VLOOKUP($CG204, Constants!$M:$N, 2, FALSE()),"")</f>
        <v/>
      </c>
      <c r="CJ204" s="1" t="str">
        <f aca="false">IF(P204&gt;1,_xlfn.CONCAT("{BLACK}Cars: {GOLD}", P204),"")</f>
        <v/>
      </c>
      <c r="CK204" s="26" t="s">
        <v>701</v>
      </c>
      <c r="CL204" s="1" t="str">
        <f aca="false">IF($BX204="concept_trains","{GREEN}Concept Vehicle",IF($BX204="!param_no_gameplay_units","{GREEN}Included for gameplay purposes",""))</f>
        <v/>
      </c>
      <c r="CM204" s="26" t="str">
        <f aca="false">IF(CA204="buffet","{YELLOW}25% long distance bonus for consist{}",IF(CD204="BRAKE","{YELLOW}Speed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tiles{}{SILVER}To facilitate the testing and introduction of the Class 91 fleet prior to the availability of Mark 4 Driving Van Trailers, 8 HST Power Cars were converted to act as control vehicles for electric locomotives.</v>
      </c>
      <c r="CO204" s="26"/>
      <c r="CP204" s="26"/>
    </row>
    <row r="205" s="26" customFormat="true" ht="14.25" hidden="false" customHeight="false" outlineLevel="0" collapsed="false">
      <c r="A205" s="26" t="s">
        <v>702</v>
      </c>
      <c r="B205" s="27" t="s">
        <v>703</v>
      </c>
      <c r="C205" s="1" t="n">
        <v>3062</v>
      </c>
      <c r="D205" s="26" t="n">
        <v>203</v>
      </c>
      <c r="E205" s="1" t="n">
        <v>146</v>
      </c>
      <c r="G205" s="1" t="str">
        <f aca="false">IF($F205&lt;&gt;"",_xlfn.CONCAT(VLOOKUP($CE205, Constants!$T:$U, 2, FALSE()),",",$F205),VLOOKUP($CE205, Constants!$T:$U, 2, FALSE()))</f>
        <v>role/express_passenger</v>
      </c>
      <c r="H205" s="1" t="str">
        <f aca="false">IF($G205&lt;&gt;"",_xlfn.CONCAT(VLOOKUP($CG205, Constants!$M:$P, 4, FALSE()),",",$G205),VLOOKUP($CG205, Constants!$M:$P, 4, FALSE()))</f>
        <v>flag/GB,role/express_passenger</v>
      </c>
      <c r="I205" s="26" t="s">
        <v>241</v>
      </c>
      <c r="J205" s="26" t="s">
        <v>249</v>
      </c>
      <c r="K205" s="26" t="s">
        <v>704</v>
      </c>
      <c r="L205" s="26" t="s">
        <v>192</v>
      </c>
      <c r="M205" s="26" t="n">
        <v>1986</v>
      </c>
      <c r="N205" s="26" t="n">
        <v>1991</v>
      </c>
      <c r="Q205" s="26" t="n">
        <v>100</v>
      </c>
      <c r="R205" s="2"/>
      <c r="S205" s="3"/>
      <c r="T205" s="3"/>
      <c r="U205" s="3"/>
      <c r="V205" s="3"/>
      <c r="W205" s="3"/>
      <c r="X205" s="3"/>
      <c r="Y205" s="3"/>
      <c r="Z205" s="26" t="n">
        <v>40</v>
      </c>
      <c r="AA205" s="2"/>
      <c r="AC205" s="26" t="n">
        <v>5</v>
      </c>
      <c r="AD205" s="4" t="n">
        <f aca="false">IF(AND(Z205&gt;0,AC205&gt;0),(AC205/((Z205+AA205)*10)),"")</f>
        <v>0.0125</v>
      </c>
      <c r="AE205" s="26" t="n">
        <v>125</v>
      </c>
      <c r="AF205" s="26" t="n">
        <f aca="false">ROUND(AE205*1.6, 0)</f>
        <v>200</v>
      </c>
      <c r="AH205" s="26" t="n">
        <v>17.79</v>
      </c>
      <c r="AI205" s="26" t="n">
        <v>17.79</v>
      </c>
      <c r="AL205" s="5" t="n">
        <v>36</v>
      </c>
      <c r="AM205" s="1" t="str">
        <f aca="false">CONCATENATE(VLOOKUP(AN205, 'Voxel Sizes'!$A$2:$B$18,2,FALSE()),"x",INT(AJ205*15), "x", INT(AK205*15))</f>
        <v>164x0x0</v>
      </c>
      <c r="AN205" s="26" t="n">
        <f aca="false">ROUND(15*((AI205*10)/256),0)</f>
        <v>10</v>
      </c>
      <c r="AP205" s="1" t="str">
        <f aca="false">CONCATENATE(VLOOKUP(AN205,Constants!$A$2:$C$16,IF(AO205&lt;&gt;"", 3, 2), FALSE()),IF(AO205&lt;&gt;"",CONCATENATE(",",VLOOKUP(AO205,$B:$AP,41,FALSE())),""))</f>
        <v>4,2,4</v>
      </c>
      <c r="AR205" s="6"/>
      <c r="AS205" s="6"/>
      <c r="AZ205" s="26" t="n">
        <v>27</v>
      </c>
      <c r="BA205" s="16" t="str">
        <f aca="false">IF(O205&lt;&gt;"",MAX(16,(O205-M205)+8),"")</f>
        <v/>
      </c>
      <c r="BB205" s="26" t="n">
        <v>-15</v>
      </c>
      <c r="BC205" s="26" t="n">
        <v>-55</v>
      </c>
      <c r="BD205" s="26" t="n">
        <f aca="false">MIN(AE205/150, 1)*30</f>
        <v>25</v>
      </c>
      <c r="BE205" s="26" t="n">
        <f aca="false">MIN(Q205/4000, 1)*20</f>
        <v>0.5</v>
      </c>
      <c r="BF205" s="26" t="n">
        <f aca="false">MIN(AC205/400,1)*20</f>
        <v>0.25</v>
      </c>
      <c r="BG205" s="4" t="n">
        <f aca="false">1-(MAX(M205-1900, 0)/750)</f>
        <v>0.885333333333333</v>
      </c>
      <c r="BH205" s="26" t="n">
        <f aca="false">((MAX($P205,1)*MIN($AL205/300,1)))*IF(J205="Wagon",50,10)</f>
        <v>1.2</v>
      </c>
      <c r="BI205" s="1" t="n">
        <f aca="false">VLOOKUP($K205,Constants!$I:$K, 2, FALSE())</f>
        <v>0.85</v>
      </c>
      <c r="BJ205" s="1" t="n">
        <f aca="false">VLOOKUP($K205,Constants!$I:$K, 3, FALSE())*IF(AND(J205="multiple_unit",AE205&lt;110),0.75,1)</f>
        <v>2.3</v>
      </c>
      <c r="BK205" s="1" t="n">
        <f aca="false">INT(POWER(((Constants!$G$2+$BD205+$BE205+$BF205+$BH205)*$BG205)*$BJ205, 1.05))+$BC205</f>
        <v>25</v>
      </c>
      <c r="BL205" s="1" t="n">
        <f aca="false">INT(POWER((((Constants!$G$1+$BD205+$BE205+$BF205+$BH205)*($BG205))*$BI205),IF($J205="wagon",1,1.2)))+$BB205</f>
        <v>47</v>
      </c>
      <c r="BM205" s="17" t="n">
        <f aca="false">BK205*IF($J205="wagon",62.5,781.25)</f>
        <v>19531.25</v>
      </c>
      <c r="BN205" s="17" t="n">
        <f aca="false">BL205*IF($J205="wagon",2.73,81.25)</f>
        <v>3818.75</v>
      </c>
      <c r="BO205" s="26" t="n">
        <v>1</v>
      </c>
      <c r="BP205" s="26" t="n">
        <v>1</v>
      </c>
      <c r="BU205" s="1" t="str">
        <f aca="false">IF(J205="locomotive","B","")</f>
        <v>B</v>
      </c>
      <c r="BV205" s="1" t="str">
        <f aca="false">IF($J205="locomotive","B","")</f>
        <v>B</v>
      </c>
      <c r="BX205" s="26" t="s">
        <v>691</v>
      </c>
      <c r="BY205" s="26" t="n">
        <v>7</v>
      </c>
      <c r="CB205" s="26" t="s">
        <v>705</v>
      </c>
      <c r="CC205" s="26" t="s">
        <v>706</v>
      </c>
      <c r="CD205" s="26" t="str">
        <f aca="false">VLOOKUP(M205,[1]Eras!$A$2:$C$10, 2, TRUE())</f>
        <v>lbr</v>
      </c>
      <c r="CE205" s="26" t="s">
        <v>282</v>
      </c>
      <c r="CF205" s="26" t="str">
        <f aca="false">CONCATENATE(CD205,"_",CE205)</f>
        <v>lbr_Express</v>
      </c>
      <c r="CG205" s="26" t="str">
        <f aca="false">_xlfn.CONCAT(K205, "_",L205)</f>
        <v>none_RAIL</v>
      </c>
      <c r="CH205" s="7" t="str">
        <f aca="false">_xlfn.CONCAT("{BLACK}Length: {GOLD}", TEXT(ROUNDUP(IF(AS205&lt;&gt;"",SUM(VALUE(_xlfn.TEXTSPLIT(AS205, ","))), SUM(VALUE(_xlfn.TEXTSPLIT(AP205, ",")))*IF(P205, P205, 1))/16, 1), "#,##0.0"), " tiles{}")</f>
        <v>{BLACK}Length: {GOLD}0.7 tiles{}</v>
      </c>
      <c r="CI205" s="1" t="str">
        <f aca="false">IF(0, VLOOKUP($CG205, Constants!$M:$N, 2, FALSE()),"")</f>
        <v/>
      </c>
      <c r="CJ205" s="1" t="str">
        <f aca="false">IF(P205&gt;1,_xlfn.CONCAT("{BLACK}Cars: {GOLD}", P205),"")</f>
        <v/>
      </c>
      <c r="CK205" s="26" t="s">
        <v>707</v>
      </c>
      <c r="CL205" s="1" t="str">
        <f aca="false">IF($BX205="concept_trains","{GREEN}Concept Vehicle",IF($BX205="!param_no_gameplay_units","{GREEN}Included for gameplay purposes",""))</f>
        <v>{GREEN}Concept Vehicle</v>
      </c>
      <c r="CM205" s="26" t="str">
        <f aca="false">IF(CA205="buffet","{YELLOW}25% long distance bonus for consist{}",IF(CD205="BRAKE","{YELLOW}Speed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tiles{}{SILVER}A depowered Class 43, proposed as a conversion from surplus power cars and now suitable for carrying baggage.{}{}{GREEN}Concept Vehicle</v>
      </c>
      <c r="XFD205" s="1"/>
    </row>
    <row r="206" s="26" customFormat="true" ht="14.25" hidden="false" customHeight="false" outlineLevel="0" collapsed="false">
      <c r="A206" s="26" t="s">
        <v>708</v>
      </c>
      <c r="B206" s="27" t="s">
        <v>709</v>
      </c>
      <c r="C206" s="1" t="n">
        <v>3063</v>
      </c>
      <c r="D206" s="26" t="n">
        <v>203</v>
      </c>
      <c r="E206" s="1" t="n">
        <v>147</v>
      </c>
      <c r="G206" s="1" t="str">
        <f aca="false">IF($F206&lt;&gt;"",_xlfn.CONCAT(VLOOKUP($CE206, Constants!$T:$U, 2, FALSE()),",",$F206),VLOOKUP($CE206, Constants!$T:$U, 2, FALSE()))</f>
        <v>role/express_passenger</v>
      </c>
      <c r="H206" s="1" t="str">
        <f aca="false">IF($G206&lt;&gt;"",_xlfn.CONCAT(VLOOKUP($CG206, Constants!$M:$P, 4, FALSE()),",",$G206),VLOOKUP($CG206, Constants!$M:$P, 4, FALSE()))</f>
        <v>flag/GB,power/electric,role/express_passenger</v>
      </c>
      <c r="I206" s="26" t="s">
        <v>241</v>
      </c>
      <c r="J206" s="26" t="s">
        <v>249</v>
      </c>
      <c r="K206" s="26" t="s">
        <v>710</v>
      </c>
      <c r="L206" s="26" t="s">
        <v>389</v>
      </c>
      <c r="M206" s="26" t="n">
        <v>1986</v>
      </c>
      <c r="N206" s="26" t="n">
        <v>2026</v>
      </c>
      <c r="O206" s="26" t="n">
        <v>2031</v>
      </c>
      <c r="Q206" s="26" t="n">
        <v>2750</v>
      </c>
      <c r="R206" s="2"/>
      <c r="S206" s="3"/>
      <c r="T206" s="3"/>
      <c r="U206" s="3"/>
      <c r="V206" s="3"/>
      <c r="W206" s="3"/>
      <c r="X206" s="3"/>
      <c r="Y206" s="3"/>
      <c r="Z206" s="26" t="n">
        <v>74</v>
      </c>
      <c r="AA206" s="2"/>
      <c r="AC206" s="26" t="n">
        <v>180</v>
      </c>
      <c r="AD206" s="4" t="n">
        <f aca="false">IF(AND(Z206&gt;0,AC206&gt;0),(AC206/((Z206+AA206)*10)),"")</f>
        <v>0.243243243243243</v>
      </c>
      <c r="AE206" s="26" t="n">
        <v>125</v>
      </c>
      <c r="AF206" s="26" t="n">
        <f aca="false">ROUND(AE206*1.6, 0)</f>
        <v>200</v>
      </c>
      <c r="AH206" s="26" t="n">
        <v>17.79</v>
      </c>
      <c r="AI206" s="26" t="n">
        <v>17.79</v>
      </c>
      <c r="AL206" s="5" t="n">
        <v>0</v>
      </c>
      <c r="AM206" s="1" t="str">
        <f aca="false">CONCATENATE(VLOOKUP(AN206, 'Voxel Sizes'!$A$2:$B$18,2,FALSE()),"x",INT(AJ206*15), "x", INT(AK206*15))</f>
        <v>164x0x0</v>
      </c>
      <c r="AN206" s="26" t="n">
        <f aca="false">ROUND(15*((AI206*10)/256),0)</f>
        <v>10</v>
      </c>
      <c r="AP206" s="1" t="str">
        <f aca="false">CONCATENATE(VLOOKUP(AN206,Constants!$A$2:$C$16,IF(AO206&lt;&gt;"", 3, 2), FALSE()),IF(AO206&lt;&gt;"",CONCATENATE(",",VLOOKUP(AO206,$B:$AP,41,FALSE())),""))</f>
        <v>4,2,4</v>
      </c>
      <c r="AR206" s="6"/>
      <c r="AS206" s="6"/>
      <c r="AU206" s="26" t="s">
        <v>709</v>
      </c>
      <c r="AZ206" s="26" t="n">
        <v>35</v>
      </c>
      <c r="BA206" s="16" t="n">
        <f aca="false">IF(O206&lt;&gt;"",MAX(16,(O206-M206)+8),"")</f>
        <v>53</v>
      </c>
      <c r="BD206" s="26" t="n">
        <f aca="false">MIN(AE206/150, 1)*30</f>
        <v>25</v>
      </c>
      <c r="BE206" s="26" t="n">
        <f aca="false">MIN(Q206/4000, 1)*20</f>
        <v>13.75</v>
      </c>
      <c r="BF206" s="26" t="n">
        <f aca="false">MIN(AC206/400,1)*20</f>
        <v>9</v>
      </c>
      <c r="BG206" s="4" t="n">
        <f aca="false">1-(MAX(M206-1900, 0)/750)</f>
        <v>0.885333333333333</v>
      </c>
      <c r="BH206" s="26" t="n">
        <f aca="false">((MAX($P206,1)*MIN($AL206/300,1)))*IF(J206="Wagon",50,10)</f>
        <v>0</v>
      </c>
      <c r="BI206" s="1" t="n">
        <f aca="false">VLOOKUP($K206,Constants!$I:$K, 2, FALSE())</f>
        <v>0.85</v>
      </c>
      <c r="BJ206" s="1" t="n">
        <f aca="false">VLOOKUP($K206,Constants!$I:$K, 3, FALSE())*IF(AND(J206="multiple_unit",AE206&lt;110),0.75,1)</f>
        <v>2.4</v>
      </c>
      <c r="BK206" s="1" t="n">
        <f aca="false">INT(POWER(((Constants!$G$2+$BD206+$BE206+$BF206+$BH206)*$BG206)*$BJ206, 1.05))+$BC206</f>
        <v>141</v>
      </c>
      <c r="BL206" s="1" t="n">
        <f aca="false">INT(POWER((((Constants!$G$1+$BD206+$BE206+$BF206+$BH206)*($BG206))*$BI206),IF($J206="wagon",1,1.2)))+$BB206</f>
        <v>102</v>
      </c>
      <c r="BM206" s="17" t="n">
        <f aca="false">BK206*IF($J206="wagon",62.5,781.25)</f>
        <v>110156.25</v>
      </c>
      <c r="BN206" s="17" t="n">
        <f aca="false">BL206*IF($J206="wagon",2.73,81.25)</f>
        <v>8287.5</v>
      </c>
      <c r="BO206" s="26" t="n">
        <v>1</v>
      </c>
      <c r="BP206" s="26" t="n">
        <v>1</v>
      </c>
      <c r="BU206" s="1" t="str">
        <f aca="false">IF(J206="locomotive","B","")</f>
        <v>B</v>
      </c>
      <c r="BV206" s="1" t="str">
        <f aca="false">IF($J206="locomotive","B","")</f>
        <v>B</v>
      </c>
      <c r="BX206" s="26" t="s">
        <v>691</v>
      </c>
      <c r="BY206" s="26" t="n">
        <v>2</v>
      </c>
      <c r="CD206" s="26" t="str">
        <f aca="false">VLOOKUP(M206,[1]Eras!$A$2:$C$10, 2, TRUE())</f>
        <v>lbr</v>
      </c>
      <c r="CE206" s="26" t="s">
        <v>447</v>
      </c>
      <c r="CF206" s="26" t="str">
        <f aca="false">CONCATENATE(CD206,"_",CE206)</f>
        <v>lbr_Express (Electric)</v>
      </c>
      <c r="CG206" s="26" t="str">
        <f aca="false">_xlfn.CONCAT(K206, "_",L206)</f>
        <v>dual_electric_ELRL</v>
      </c>
      <c r="CH206" s="7" t="str">
        <f aca="false">_xlfn.CONCAT("{BLACK}Length: {GOLD}", TEXT(ROUNDUP(IF(AS206&lt;&gt;"",SUM(VALUE(_xlfn.TEXTSPLIT(AS206, ","))), SUM(VALUE(_xlfn.TEXTSPLIT(AP206, ",")))*IF(P206, P206, 1))/16, 1), "#,##0.0"), " tiles{}")</f>
        <v>{BLACK}Length: {GOLD}0.7 tiles{}</v>
      </c>
      <c r="CI206" s="1" t="str">
        <f aca="false">IF(0, VLOOKUP($CG206, Constants!$M:$N, 2, FALSE()),"")</f>
        <v/>
      </c>
      <c r="CJ206" s="1" t="str">
        <f aca="false">IF(P206&gt;1,_xlfn.CONCAT("{BLACK}Cars: {GOLD}", P206),"")</f>
        <v/>
      </c>
      <c r="CK206" s="26" t="s">
        <v>711</v>
      </c>
      <c r="CL206" s="1" t="str">
        <f aca="false">IF($BX206="concept_trains","{GREEN}Concept Vehicle",IF($BX206="!param_no_gameplay_units","{GREEN}Included for gameplay purposes",""))</f>
        <v>{GREEN}Concept Vehicle</v>
      </c>
      <c r="CM206" s="26" t="str">
        <f aca="false">IF(CA206="buffet","{YELLOW}25% long distance bonus for consist{}",IF(CD206="BRAKE","{YELLOW}Speed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{GOLD}0.7 tiles{}{SILVER}A proposed electric version of the Class 43 ‘HST’ Power Car was oft-discussed after the failure of the APT program.{}{}{GREEN}Concept Vehicle</v>
      </c>
      <c r="XFD206" s="1"/>
    </row>
    <row r="207" customFormat="false" ht="14.25" hidden="false" customHeight="false" outlineLevel="0" collapsed="false">
      <c r="A207" s="1" t="s">
        <v>712</v>
      </c>
      <c r="B207" s="15" t="s">
        <v>713</v>
      </c>
      <c r="C207" s="1" t="n">
        <v>204</v>
      </c>
      <c r="E207" s="1" t="n">
        <v>148</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241</v>
      </c>
      <c r="J207" s="1" t="s">
        <v>249</v>
      </c>
      <c r="K207" s="1" t="s">
        <v>525</v>
      </c>
      <c r="L207" s="1" t="s">
        <v>192</v>
      </c>
      <c r="M207" s="1" t="n">
        <v>1976</v>
      </c>
      <c r="N207" s="1" t="n">
        <v>1984</v>
      </c>
      <c r="Q207" s="1" t="n">
        <v>3250</v>
      </c>
      <c r="Z207" s="1" t="n">
        <v>125</v>
      </c>
      <c r="AC207" s="1" t="n">
        <v>275</v>
      </c>
      <c r="AD207" s="4" t="n">
        <f aca="false">IF(AND(Z207&gt;0,AC207&gt;0),(AC207/((Z207+AA207)*10)),"")</f>
        <v>0.22</v>
      </c>
      <c r="AE207" s="1" t="n">
        <v>80</v>
      </c>
      <c r="AF207" s="1" t="n">
        <f aca="false">ROUND(AE207*1.6, 0)</f>
        <v>128</v>
      </c>
      <c r="AH207" s="1" t="n">
        <v>19.35</v>
      </c>
      <c r="AI207" s="1" t="n">
        <v>19.35</v>
      </c>
      <c r="AK207" s="1" t="n">
        <v>3.89</v>
      </c>
      <c r="AL207" s="5" t="n">
        <v>0</v>
      </c>
      <c r="AM207" s="1" t="str">
        <f aca="false">CONCATENATE(VLOOKUP(AN207, 'Voxel Sizes'!$A$2:$B$18,2,FALSE()),"x",INT(AJ207*15), "x", INT(AK207*15))</f>
        <v>186x0x58</v>
      </c>
      <c r="AN207" s="1" t="n">
        <f aca="false">ROUND(15*((AI207*10)/256),0)</f>
        <v>11</v>
      </c>
      <c r="AP207" s="1" t="str">
        <f aca="false">CONCATENATE(VLOOKUP(AN207,Constants!$A$2:$C$16,IF(AO207&lt;&gt;"", 3, 2), FALSE()),IF(AO207&lt;&gt;"",CONCATENATE(",",VLOOKUP(AO207,$B:$AP,41,FALSE())),""))</f>
        <v>4,3,4</v>
      </c>
      <c r="AZ207" s="1" t="n">
        <v>30</v>
      </c>
      <c r="BA207" s="16" t="str">
        <f aca="false">IF(O207&lt;&gt;"",MAX(16,(O207-M207)+8),"")</f>
        <v/>
      </c>
      <c r="BD207" s="1" t="n">
        <f aca="false">MIN(AE207/150, 1)*30</f>
        <v>16</v>
      </c>
      <c r="BE207" s="1" t="n">
        <f aca="false">MIN(Q207/4000, 1)*20</f>
        <v>16.25</v>
      </c>
      <c r="BF207" s="1" t="n">
        <f aca="false">MIN(AC207/400,1)*20</f>
        <v>13.75</v>
      </c>
      <c r="BG207" s="4" t="n">
        <f aca="false">1-(MAX(M207-1900, 0)/750)</f>
        <v>0.898666666666667</v>
      </c>
      <c r="BH207" s="1" t="n">
        <f aca="false">((MAX($P207,1)*MIN($AL207/300,1)))*IF(J207="Wagon",50,10)</f>
        <v>0</v>
      </c>
      <c r="BI207" s="1" t="n">
        <f aca="false">VLOOKUP($K207,Constants!$I:$K, 2, FALSE())</f>
        <v>1</v>
      </c>
      <c r="BJ207" s="1" t="n">
        <f aca="false">VLOOKUP($K207,Constants!$I:$K, 3, FALSE())*IF(AND(J207="multiple_unit",AE207&lt;110),0.75,1)</f>
        <v>2</v>
      </c>
      <c r="BK207" s="1" t="n">
        <f aca="false">INT(POWER(((Constants!$G$2+$BD207+$BE207+$BF207+$BH207)*$BG207)*$BJ207, 1.05))+$BC207</f>
        <v>114</v>
      </c>
      <c r="BL207" s="1" t="n">
        <f aca="false">INT(POWER((((Constants!$G$1+$BD207+$BE207+$BF207+$BH207)*($BG207))*$BI207),IF($J207="wagon",1,1.2)))+$BB207</f>
        <v>122</v>
      </c>
      <c r="BM207" s="17" t="n">
        <f aca="false">BK207*IF($J207="wagon",62.5,781.25)</f>
        <v>89062.5</v>
      </c>
      <c r="BN207" s="17" t="n">
        <f aca="false">BL207*IF($J207="wagon",2.73,81.25)</f>
        <v>9912.5</v>
      </c>
      <c r="BU207" s="1" t="str">
        <f aca="false">IF(J207="locomotive","B","")</f>
        <v>B</v>
      </c>
      <c r="BV207" s="1" t="str">
        <f aca="false">IF($J207="locomotive","B","")</f>
        <v>B</v>
      </c>
      <c r="BY207" s="1" t="n">
        <v>3</v>
      </c>
      <c r="CD207" s="1" t="str">
        <f aca="false">VLOOKUP(M207,Eras!$A$2:$C$10, 2, TRUE())</f>
        <v>lbr</v>
      </c>
      <c r="CE207" s="1" t="s">
        <v>132</v>
      </c>
      <c r="CF207" s="1" t="str">
        <f aca="false">CONCATENATE(CD207,"_",CE207)</f>
        <v>lbr_Freight</v>
      </c>
      <c r="CG207" s="1" t="str">
        <f aca="false">_xlfn.CONCAT(K207, "_",L207)</f>
        <v>diesel_RAIL</v>
      </c>
      <c r="CH207" s="7" t="str">
        <f aca="false">_xlfn.CONCAT("{BLACK}Length: {GOLD}", TEXT(ROUNDUP(IF(AS207&lt;&gt;"",SUM(VALUE(_xlfn.TEXTSPLIT(AS207, ","))), SUM(VALUE(_xlfn.TEXTSPLIT(AP207, ",")))*IF(P207, P207, 1))/16, 1), "#,##0.0"), " tiles{}")</f>
        <v>{BLACK}Length: {GOLD}0.7 tiles{}</v>
      </c>
      <c r="CI207" s="1" t="str">
        <f aca="false">IF(0, VLOOKUP($CG207, Constants!$M:$N, 2, FALSE()),"")</f>
        <v/>
      </c>
      <c r="CJ207" s="1" t="str">
        <f aca="false">IF(P207&gt;1,_xlfn.CONCAT("{BLACK}Cars: {GOLD}", P207),"")</f>
        <v/>
      </c>
      <c r="CK207" s="1" t="s">
        <v>714</v>
      </c>
      <c r="CL207" s="1" t="str">
        <f aca="false">IF($BX207="concept_trains","{GREEN}Concept Vehicle",IF($BX207="!param_no_gameplay_units","{GREEN}Included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{GOLD}0.7 tiles{}{SILVER}The Class 56 is designed for heavy freight work. It contains many improvements to the electric drivetrain compared to earlier diesel-electric locomotives, making it more reliable and easier to operate.</v>
      </c>
    </row>
    <row r="208" customFormat="false" ht="14.25" hidden="false" customHeight="false" outlineLevel="0" collapsed="false">
      <c r="A208" s="1" t="s">
        <v>715</v>
      </c>
      <c r="B208" s="15" t="s">
        <v>716</v>
      </c>
      <c r="C208" s="1" t="n">
        <v>205</v>
      </c>
      <c r="E208" s="1" t="n">
        <v>149</v>
      </c>
      <c r="G208" s="1" t="str">
        <f aca="false">IF($F208&lt;&gt;"",_xlfn.CONCAT(VLOOKUP($CE208, Constants!$T:$U, 2, FALSE()),",",$F208),VLOOKUP($CE208, Constants!$T:$U, 2, FALSE()))</f>
        <v>role/freight</v>
      </c>
      <c r="H208" s="1" t="str">
        <f aca="false">IF($G208&lt;&gt;"",_xlfn.CONCAT(VLOOKUP($CG208, Constants!$M:$P, 4, FALSE()),",",$G208),VLOOKUP($CG208, Constants!$M:$P, 4, FALSE()))</f>
        <v>flag/GB,power/diesel,role/freight</v>
      </c>
      <c r="I208" s="1" t="s">
        <v>241</v>
      </c>
      <c r="J208" s="1" t="s">
        <v>249</v>
      </c>
      <c r="K208" s="1" t="s">
        <v>525</v>
      </c>
      <c r="L208" s="1" t="s">
        <v>192</v>
      </c>
      <c r="M208" s="1" t="n">
        <v>1983</v>
      </c>
      <c r="N208" s="1" t="n">
        <v>1987</v>
      </c>
      <c r="Q208" s="1" t="n">
        <v>3300</v>
      </c>
      <c r="Z208" s="1" t="n">
        <v>130</v>
      </c>
      <c r="AC208" s="1" t="n">
        <v>267</v>
      </c>
      <c r="AD208" s="4" t="n">
        <f aca="false">IF(AND(Z208&gt;0,AC208&gt;0),(AC208/((Z208+AA208)*10)),"")</f>
        <v>0.205384615384615</v>
      </c>
      <c r="AE208" s="1" t="n">
        <v>80</v>
      </c>
      <c r="AF208" s="1" t="n">
        <f aca="false">ROUND(AE208*1.6, 0)</f>
        <v>128</v>
      </c>
      <c r="AH208" s="1" t="n">
        <v>19.13</v>
      </c>
      <c r="AI208" s="1" t="n">
        <v>19.13</v>
      </c>
      <c r="AK208" s="1" t="n">
        <v>3.91</v>
      </c>
      <c r="AL208" s="5" t="n">
        <v>0</v>
      </c>
      <c r="AM208" s="1" t="str">
        <f aca="false">CONCATENATE(VLOOKUP(AN208, 'Voxel Sizes'!$A$2:$B$18,2,FALSE()),"x",INT(AJ208*15), "x", INT(AK208*15))</f>
        <v>186x0x58</v>
      </c>
      <c r="AN208" s="1" t="n">
        <f aca="false">ROUND(15*((AI208*10)/256),0)</f>
        <v>11</v>
      </c>
      <c r="AP208" s="1" t="str">
        <f aca="false">CONCATENATE(VLOOKUP(AN208,Constants!$A$2:$C$16,IF(AO208&lt;&gt;"", 3, 2), FALSE()),IF(AO208&lt;&gt;"",CONCATENATE(",",VLOOKUP(AO208,$B:$AP,41,FALSE())),""))</f>
        <v>4,3,4</v>
      </c>
      <c r="AZ208" s="1" t="n">
        <v>30</v>
      </c>
      <c r="BA208" s="16" t="str">
        <f aca="false">IF(O208&lt;&gt;"",MAX(16,(O208-M208)+8),"")</f>
        <v/>
      </c>
      <c r="BD208" s="1" t="n">
        <f aca="false">MIN(AE208/150, 1)*30</f>
        <v>16</v>
      </c>
      <c r="BE208" s="1" t="n">
        <f aca="false">MIN(Q208/4000, 1)*20</f>
        <v>16.5</v>
      </c>
      <c r="BF208" s="1" t="n">
        <f aca="false">MIN(AC208/400,1)*20</f>
        <v>13.35</v>
      </c>
      <c r="BG208" s="4" t="n">
        <f aca="false">1-(MAX(M208-1900, 0)/750)</f>
        <v>0.889333333333333</v>
      </c>
      <c r="BH208" s="1" t="n">
        <f aca="false">((MAX($P208,1)*MIN($AL208/300,1)))*IF(J208="Wagon",50,10)</f>
        <v>0</v>
      </c>
      <c r="BI208" s="1" t="n">
        <f aca="false">VLOOKUP($K208,Constants!$I:$K, 2, FALSE())</f>
        <v>1</v>
      </c>
      <c r="BJ208" s="1" t="n">
        <f aca="false">VLOOKUP($K208,Constants!$I:$K, 3, FALSE())*IF(AND(J208="multiple_unit",AE208&lt;110),0.75,1)</f>
        <v>2</v>
      </c>
      <c r="BK208" s="1" t="n">
        <f aca="false">INT(POWER(((Constants!$G$2+$BD208+$BE208+$BF208+$BH208)*$BG208)*$BJ208, 1.05))+$BC208</f>
        <v>113</v>
      </c>
      <c r="BL208" s="1" t="n">
        <f aca="false">INT(POWER((((Constants!$G$1+$BD208+$BE208+$BF208+$BH208)*($BG208))*$BI208),IF($J208="wagon",1,1.2)))+$BB208</f>
        <v>120</v>
      </c>
      <c r="BM208" s="17" t="n">
        <f aca="false">BK208*IF($J208="wagon",62.5,781.25)</f>
        <v>88281.25</v>
      </c>
      <c r="BN208" s="17" t="n">
        <f aca="false">BL208*IF($J208="wagon",2.73,81.25)</f>
        <v>9750</v>
      </c>
      <c r="BU208" s="1" t="str">
        <f aca="false">IF(J208="locomotive","B","")</f>
        <v>B</v>
      </c>
      <c r="BV208" s="1" t="str">
        <f aca="false">IF($J208="locomotive","B","")</f>
        <v>B</v>
      </c>
      <c r="BY208" s="1" t="n">
        <v>4</v>
      </c>
      <c r="CD208" s="1" t="str">
        <f aca="false">VLOOKUP(M208,Eras!$A$2:$C$10, 2, TRUE())</f>
        <v>lbr</v>
      </c>
      <c r="CE208" s="1" t="s">
        <v>132</v>
      </c>
      <c r="CF208" s="1" t="str">
        <f aca="false">CONCATENATE(CD208,"_",CE208)</f>
        <v>lbr_Freight</v>
      </c>
      <c r="CG208" s="1" t="str">
        <f aca="false">_xlfn.CONCAT(K208, "_",L208)</f>
        <v>diesel_RAIL</v>
      </c>
      <c r="CH208" s="7" t="str">
        <f aca="false">_xlfn.CONCAT("{BLACK}Length: {GOLD}", TEXT(ROUNDUP(IF(AS208&lt;&gt;"",SUM(VALUE(_xlfn.TEXTSPLIT(AS208, ","))), SUM(VALUE(_xlfn.TEXTSPLIT(AP208, ",")))*IF(P208, P208, 1))/16, 1), "#,##0.0"), " tiles{}")</f>
        <v>{BLACK}Length: {GOLD}0.7 tiles{}</v>
      </c>
      <c r="CI208" s="1" t="str">
        <f aca="false">IF(0, VLOOKUP($CG208, Constants!$M:$N, 2, FALSE()),"")</f>
        <v/>
      </c>
      <c r="CJ208" s="1" t="str">
        <f aca="false">IF(P208&gt;1,_xlfn.CONCAT("{BLACK}Cars: {GOLD}", P208),"")</f>
        <v/>
      </c>
      <c r="CK208" s="1" t="s">
        <v>717</v>
      </c>
      <c r="CL208" s="1" t="str">
        <f aca="false">IF($BX208="concept_trains","{GREEN}Concept Vehicle",IF($BX208="!param_no_gameplay_units","{GREEN}Included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{GOLD}0.7 tiles{}{SILVER}The Class 58 used a modular design with replaceable modules mounted to an underframe. It was nicknamed "Bone" after the narrow central section.</v>
      </c>
    </row>
    <row r="209" customFormat="false" ht="14.25" hidden="false" customHeight="false" outlineLevel="0" collapsed="false">
      <c r="A209" s="1" t="s">
        <v>718</v>
      </c>
      <c r="B209" s="15" t="s">
        <v>719</v>
      </c>
      <c r="C209" s="1" t="n">
        <v>206</v>
      </c>
      <c r="E209" s="1" t="n">
        <v>150</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241</v>
      </c>
      <c r="J209" s="1" t="s">
        <v>249</v>
      </c>
      <c r="K209" s="1" t="s">
        <v>525</v>
      </c>
      <c r="L209" s="1" t="s">
        <v>192</v>
      </c>
      <c r="M209" s="1" t="n">
        <v>1985</v>
      </c>
      <c r="N209" s="1" t="n">
        <v>1995</v>
      </c>
      <c r="Q209" s="1" t="n">
        <v>3300</v>
      </c>
      <c r="Z209" s="1" t="n">
        <v>126</v>
      </c>
      <c r="AC209" s="1" t="n">
        <v>290</v>
      </c>
      <c r="AD209" s="4" t="n">
        <f aca="false">IF(AND(Z209&gt;0,AC209&gt;0),(AC209/((Z209+AA209)*10)),"")</f>
        <v>0.23015873015873</v>
      </c>
      <c r="AE209" s="1" t="n">
        <v>75</v>
      </c>
      <c r="AF209" s="1" t="n">
        <f aca="false">ROUND(AE209*1.6, 0)</f>
        <v>120</v>
      </c>
      <c r="AH209" s="1" t="n">
        <v>21.4</v>
      </c>
      <c r="AI209" s="1" t="n">
        <v>21.4</v>
      </c>
      <c r="AK209" s="1" t="n">
        <v>3.91</v>
      </c>
      <c r="AL209" s="5" t="n">
        <v>0</v>
      </c>
      <c r="AM209" s="1" t="str">
        <f aca="false">CONCATENATE(VLOOKUP(AN209, 'Voxel Sizes'!$A$2:$B$18,2,FALSE()),"x",INT(AJ209*15), "x", INT(AK209*15))</f>
        <v>214x0x58</v>
      </c>
      <c r="AN209" s="1" t="n">
        <f aca="false">ROUND(15*((AI209*10)/256),0)</f>
        <v>13</v>
      </c>
      <c r="AP209" s="1" t="str">
        <f aca="false">CONCATENATE(VLOOKUP(AN209,Constants!$A$2:$C$16,IF(AO209&lt;&gt;"", 3, 2), FALSE()),IF(AO209&lt;&gt;"",CONCATENATE(",",VLOOKUP(AO209,$B:$AP,41,FALSE())),""))</f>
        <v>4,5,4</v>
      </c>
      <c r="AZ209" s="1" t="n">
        <v>30</v>
      </c>
      <c r="BA209" s="16" t="str">
        <f aca="false">IF(O209&lt;&gt;"",MAX(16,(O209-M209)+8),"")</f>
        <v/>
      </c>
      <c r="BD209" s="1" t="n">
        <f aca="false">MIN(AE209/150, 1)*30</f>
        <v>15</v>
      </c>
      <c r="BE209" s="1" t="n">
        <f aca="false">MIN(Q209/4000, 1)*20</f>
        <v>16.5</v>
      </c>
      <c r="BF209" s="1" t="n">
        <f aca="false">MIN(AC209/400,1)*20</f>
        <v>14.5</v>
      </c>
      <c r="BG209" s="4" t="n">
        <f aca="false">1-(MAX(M209-1900, 0)/750)</f>
        <v>0.886666666666667</v>
      </c>
      <c r="BH209" s="1" t="n">
        <f aca="false">((MAX($P209,1)*MIN($AL209/300,1)))*IF(J209="Wagon",50,10)</f>
        <v>0</v>
      </c>
      <c r="BI209" s="1" t="n">
        <f aca="false">VLOOKUP($K209,Constants!$I:$K, 2, FALSE())</f>
        <v>1</v>
      </c>
      <c r="BJ209" s="1" t="n">
        <f aca="false">VLOOKUP($K209,Constants!$I:$K, 3, FALSE())*IF(AND(J209="multiple_unit",AE209&lt;110),0.75,1)</f>
        <v>2</v>
      </c>
      <c r="BK209" s="1" t="n">
        <f aca="false">INT(POWER(((Constants!$G$2+$BD209+$BE209+$BF209+$BH209)*$BG209)*$BJ209, 1.05))+$BC209</f>
        <v>113</v>
      </c>
      <c r="BL209" s="1" t="n">
        <f aca="false">INT(POWER((((Constants!$G$1+$BD209+$BE209+$BF209+$BH209)*($BG209))*$BI209),IF($J209="wagon",1,1.2)))+$BB209</f>
        <v>120</v>
      </c>
      <c r="BM209" s="17" t="n">
        <f aca="false">BK209*IF($J209="wagon",62.5,781.25)</f>
        <v>88281.25</v>
      </c>
      <c r="BN209" s="17" t="n">
        <f aca="false">BL209*IF($J209="wagon",2.73,81.25)</f>
        <v>9750</v>
      </c>
      <c r="BU209" s="1" t="str">
        <f aca="false">IF(J209="locomotive","B","")</f>
        <v>B</v>
      </c>
      <c r="BV209" s="1" t="str">
        <f aca="false">IF($J209="locomotive","B","")</f>
        <v>B</v>
      </c>
      <c r="BY209" s="1" t="n">
        <v>5</v>
      </c>
      <c r="CD209" s="1" t="str">
        <f aca="false">VLOOKUP(M209,Eras!$A$2:$C$10, 2, TRUE())</f>
        <v>lbr</v>
      </c>
      <c r="CE209" s="1" t="s">
        <v>132</v>
      </c>
      <c r="CF209" s="1" t="str">
        <f aca="false">CONCATENATE(CD209,"_",CE209)</f>
        <v>lbr_Freight</v>
      </c>
      <c r="CG209" s="1" t="str">
        <f aca="false">_xlfn.CONCAT(K209, "_",L209)</f>
        <v>diesel_RAIL</v>
      </c>
      <c r="CH209" s="7" t="str">
        <f aca="false">_xlfn.CONCAT("{BLACK}Length: {GOLD}", TEXT(ROUNDUP(IF(AS209&lt;&gt;"",SUM(VALUE(_xlfn.TEXTSPLIT(AS209, ","))), SUM(VALUE(_xlfn.TEXTSPLIT(AP209, ",")))*IF(P209, P209, 1))/16, 1), "#,##0.0"), " tiles{}")</f>
        <v>{BLACK}Length: {GOLD}0.9 tiles{}</v>
      </c>
      <c r="CI209" s="1" t="str">
        <f aca="false">IF(0, VLOOKUP($CG209, Constants!$M:$N, 2, FALSE()),"")</f>
        <v/>
      </c>
      <c r="CJ209" s="1" t="str">
        <f aca="false">IF(P209&gt;1,_xlfn.CONCAT("{BLACK}Cars: {GOLD}", P209),"")</f>
        <v/>
      </c>
      <c r="CK209" s="1" t="s">
        <v>720</v>
      </c>
      <c r="CL209" s="1" t="str">
        <f aca="false">IF($BX209="concept_trains","{GREEN}Concept Vehicle",IF($BX209="!param_no_gameplay_units","{GREEN}Included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tiles{}{SILVER}The Class 59 is the first US-built locomotive to operate in mainland Great Britain. It is derived from the SD40, with a British cab layout.</v>
      </c>
    </row>
    <row r="210" s="26" customFormat="true" ht="14.25" hidden="false" customHeight="false" outlineLevel="0" collapsed="false">
      <c r="A210" s="26" t="s">
        <v>721</v>
      </c>
      <c r="B210" s="27" t="s">
        <v>722</v>
      </c>
      <c r="C210" s="1" t="n">
        <v>3064</v>
      </c>
      <c r="E210" s="1" t="n">
        <v>151</v>
      </c>
      <c r="G210" s="1" t="str">
        <f aca="false">IF($F210&lt;&gt;"",_xlfn.CONCAT(VLOOKUP($CE210, Constants!$T:$U, 2, FALSE()),",",$F210),VLOOKUP($CE210, Constants!$T:$U, 2, FALSE()))</f>
        <v>role/freight</v>
      </c>
      <c r="H210" s="1" t="str">
        <f aca="false">IF($G210&lt;&gt;"",_xlfn.CONCAT(VLOOKUP($CG210, Constants!$M:$P, 4, FALSE()),",",$G210),VLOOKUP($CG210, Constants!$M:$P, 4, FALSE()))</f>
        <v>flag/GB,power/electric,role/freight</v>
      </c>
      <c r="I210" s="26" t="s">
        <v>241</v>
      </c>
      <c r="J210" s="26" t="s">
        <v>249</v>
      </c>
      <c r="K210" s="26" t="s">
        <v>388</v>
      </c>
      <c r="L210" s="26" t="s">
        <v>389</v>
      </c>
      <c r="M210" s="26" t="n">
        <v>1985</v>
      </c>
      <c r="N210" s="26" t="n">
        <v>1999</v>
      </c>
      <c r="Q210" s="26" t="n">
        <v>5400</v>
      </c>
      <c r="R210" s="2"/>
      <c r="S210" s="3"/>
      <c r="T210" s="3"/>
      <c r="U210" s="3"/>
      <c r="V210" s="3"/>
      <c r="W210" s="3"/>
      <c r="X210" s="3"/>
      <c r="Y210" s="3"/>
      <c r="Z210" s="26" t="n">
        <v>109</v>
      </c>
      <c r="AA210" s="2"/>
      <c r="AC210" s="26" t="n">
        <v>267</v>
      </c>
      <c r="AD210" s="4" t="n">
        <v>0.205384615384615</v>
      </c>
      <c r="AE210" s="26" t="n">
        <v>75</v>
      </c>
      <c r="AF210" s="26" t="n">
        <v>128</v>
      </c>
      <c r="AH210" s="26" t="n">
        <v>19.13</v>
      </c>
      <c r="AI210" s="26" t="n">
        <v>19.13</v>
      </c>
      <c r="AK210" s="26" t="n">
        <v>3.91</v>
      </c>
      <c r="AL210" s="5" t="n">
        <v>0</v>
      </c>
      <c r="AM210" s="1" t="str">
        <f aca="false">CONCATENATE(VLOOKUP(AN210, 'Voxel Sizes'!$A$2:$B$18,2,FALSE()),"x",INT(AJ210*15), "x", INT(AK210*15))</f>
        <v>186x0x58</v>
      </c>
      <c r="AN210" s="26" t="n">
        <v>11</v>
      </c>
      <c r="AP210" s="1" t="str">
        <f aca="false">CONCATENATE(VLOOKUP(AN210,Constants!$A$2:$C$16,IF(AO210&lt;&gt;"", 3, 2), FALSE()),IF(AO210&lt;&gt;"",CONCATENATE(",",VLOOKUP(AO210,$B:$AP,41,FALSE())),""))</f>
        <v>4,3,4</v>
      </c>
      <c r="AR210" s="6"/>
      <c r="AS210" s="6"/>
      <c r="AZ210" s="26" t="n">
        <v>30</v>
      </c>
      <c r="BA210" s="16"/>
      <c r="BB210" s="26" t="n">
        <v>15</v>
      </c>
      <c r="BC210" s="26" t="n">
        <v>-10</v>
      </c>
      <c r="BD210" s="26" t="n">
        <v>16</v>
      </c>
      <c r="BE210" s="26" t="n">
        <v>16.5</v>
      </c>
      <c r="BF210" s="26" t="n">
        <v>13.35</v>
      </c>
      <c r="BG210" s="4" t="n">
        <v>0.889333333333333</v>
      </c>
      <c r="BH210" s="26" t="n">
        <v>0</v>
      </c>
      <c r="BI210" s="1" t="n">
        <f aca="false">VLOOKUP($K210,Constants!$I:$K, 2, FALSE())</f>
        <v>0.85</v>
      </c>
      <c r="BJ210" s="1" t="n">
        <f aca="false">VLOOKUP($K210,Constants!$I:$K, 3, FALSE())*IF(AND(J210="multiple_unit",AE210&lt;110),0.75,1)</f>
        <v>2.3</v>
      </c>
      <c r="BK210" s="1" t="n">
        <f aca="false">INT(POWER(((Constants!$G$2+$BD210+$BE210+$BF210+$BH210)*$BG210)*$BJ210, 1.05))+$BC210</f>
        <v>121</v>
      </c>
      <c r="BL210" s="1" t="n">
        <f aca="false">INT(POWER((((Constants!$G$1+$BD210+$BE210+$BF210+$BH210)*($BG210))*$BI210),IF($J210="wagon",1,1.2)))+$BB210</f>
        <v>113</v>
      </c>
      <c r="BM210" s="17" t="n">
        <f aca="false">BK210*IF($J210="wagon",62.5,781.25)</f>
        <v>94531.25</v>
      </c>
      <c r="BN210" s="17" t="n">
        <f aca="false">BL210*IF($J210="wagon",2.73,81.25)</f>
        <v>9181.25</v>
      </c>
      <c r="BU210" s="1" t="str">
        <f aca="false">IF(J210="locomotive","B","")</f>
        <v>B</v>
      </c>
      <c r="BV210" s="1" t="str">
        <f aca="false">IF($J210="locomotive","B","")</f>
        <v>B</v>
      </c>
      <c r="BX210" s="26" t="s">
        <v>691</v>
      </c>
      <c r="BY210" s="26" t="n">
        <v>4</v>
      </c>
      <c r="CD210" s="26" t="str">
        <f aca="false">VLOOKUP(M210,[1]Eras!$A$2:$C$10, 2, TRUE())</f>
        <v>lbr</v>
      </c>
      <c r="CE210" s="26" t="s">
        <v>132</v>
      </c>
      <c r="CF210" s="26" t="s">
        <v>723</v>
      </c>
      <c r="CG210" s="26" t="str">
        <f aca="false">_xlfn.CONCAT(K210, "_",L210)</f>
        <v>electric_ELRL</v>
      </c>
      <c r="CH210" s="7" t="str">
        <f aca="false">_xlfn.CONCAT("{BLACK}Length: {GOLD}", TEXT(ROUNDUP(IF(AS210&lt;&gt;"",SUM(VALUE(_xlfn.TEXTSPLIT(AS210, ","))), SUM(VALUE(_xlfn.TEXTSPLIT(AP210, ",")))*IF(P210, P210, 1))/16, 1), "#,##0.0"), " tiles{}")</f>
        <v>{BLACK}Length: {GOLD}0.7 tiles{}</v>
      </c>
      <c r="CI210" s="1" t="str">
        <f aca="false">IF(0, VLOOKUP($CG210, Constants!$M:$N, 2, FALSE()),"")</f>
        <v/>
      </c>
      <c r="CJ210" s="1" t="str">
        <f aca="false">IF(P210&gt;1,_xlfn.CONCAT("{BLACK}Cars: {GOLD}", P210),"")</f>
        <v/>
      </c>
      <c r="CK210" s="26" t="s">
        <v>724</v>
      </c>
      <c r="CL210" s="1" t="str">
        <f aca="false">IF($BX210="concept_trains","{GREEN}Concept Vehicle",IF($BX210="!param_no_gameplay_units","{GREEN}Included for gameplay purposes",""))</f>
        <v>{GREEN}Concept Vehicle</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88 was a proposed re-use of the Class 58 design, dropping the diesel engine for a 25kv Overhead power supply.{}{}{GREEN}Concept Vehicle</v>
      </c>
      <c r="XFD210" s="1"/>
    </row>
    <row r="211" s="26" customFormat="true" ht="14.25" hidden="false" customHeight="false" outlineLevel="0" collapsed="false">
      <c r="A211" s="26" t="s">
        <v>725</v>
      </c>
      <c r="B211" s="27" t="s">
        <v>726</v>
      </c>
      <c r="C211" s="1" t="n">
        <v>3065</v>
      </c>
      <c r="E211" s="1" t="n">
        <v>152</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26" t="s">
        <v>241</v>
      </c>
      <c r="J211" s="26" t="s">
        <v>249</v>
      </c>
      <c r="K211" s="26" t="s">
        <v>525</v>
      </c>
      <c r="L211" s="26" t="s">
        <v>192</v>
      </c>
      <c r="M211" s="26" t="n">
        <v>1985</v>
      </c>
      <c r="N211" s="26" t="n">
        <v>1994</v>
      </c>
      <c r="Q211" s="26" t="n">
        <v>2100</v>
      </c>
      <c r="R211" s="2"/>
      <c r="S211" s="3"/>
      <c r="T211" s="3"/>
      <c r="U211" s="3"/>
      <c r="V211" s="3"/>
      <c r="W211" s="3"/>
      <c r="X211" s="3"/>
      <c r="Y211" s="3"/>
      <c r="Z211" s="26" t="n">
        <v>120</v>
      </c>
      <c r="AA211" s="2"/>
      <c r="AC211" s="26" t="n">
        <v>192</v>
      </c>
      <c r="AD211" s="4" t="n">
        <f aca="false">IF(AND(Z211&gt;0,AC211&gt;0),(AC211/((Z211+AA211)*10)),"")</f>
        <v>0.16</v>
      </c>
      <c r="AE211" s="26" t="n">
        <v>75</v>
      </c>
      <c r="AF211" s="26" t="n">
        <f aca="false">ROUND(AE211*1.6, 0)</f>
        <v>120</v>
      </c>
      <c r="AH211" s="26" t="n">
        <v>18</v>
      </c>
      <c r="AI211" s="26" t="n">
        <v>17</v>
      </c>
      <c r="AK211" s="26" t="n">
        <v>3.91</v>
      </c>
      <c r="AL211" s="5" t="n">
        <v>0</v>
      </c>
      <c r="AM211" s="1" t="str">
        <f aca="false">CONCATENATE(VLOOKUP(AN211, 'Voxel Sizes'!$A$2:$B$18,2,FALSE()),"x",INT(AJ211*15), "x", INT(AK211*15))</f>
        <v>164x0x58</v>
      </c>
      <c r="AN211" s="26" t="n">
        <f aca="false">ROUND(15*((AI211*10)/256),0)</f>
        <v>10</v>
      </c>
      <c r="AP211" s="1" t="str">
        <f aca="false">CONCATENATE(VLOOKUP(AN211,Constants!$A$2:$C$16,IF(AO211&lt;&gt;"", 3, 2), FALSE()),IF(AO211&lt;&gt;"",CONCATENATE(",",VLOOKUP(AO211,$B:$AP,41,FALSE())),""))</f>
        <v>4,2,4</v>
      </c>
      <c r="AR211" s="6"/>
      <c r="AS211" s="6"/>
      <c r="AZ211" s="26" t="n">
        <v>30</v>
      </c>
      <c r="BA211" s="16" t="str">
        <f aca="false">IF(O211&lt;&gt;"",MAX(16,(O211-M211)+8),"")</f>
        <v/>
      </c>
      <c r="BB211" s="26" t="n">
        <v>15</v>
      </c>
      <c r="BC211" s="26" t="n">
        <v>-10</v>
      </c>
      <c r="BD211" s="26" t="n">
        <f aca="false">MIN(AE211/150, 1)*30</f>
        <v>15</v>
      </c>
      <c r="BE211" s="26" t="n">
        <f aca="false">MIN(Q211/4000, 1)*20</f>
        <v>10.5</v>
      </c>
      <c r="BF211" s="26" t="n">
        <f aca="false">MIN(AC211/400,1)*20</f>
        <v>9.6</v>
      </c>
      <c r="BG211" s="4" t="n">
        <f aca="false">1-(MAX(M211-1900, 0)/750)</f>
        <v>0.886666666666667</v>
      </c>
      <c r="BH211" s="26" t="n">
        <f aca="false">((MAX($P211,1)*MIN($AL211/300,1)))*IF(J211="Wagon",50,10)</f>
        <v>0</v>
      </c>
      <c r="BI211" s="1" t="n">
        <f aca="false">VLOOKUP($K211,Constants!$I:$K, 2, FALSE())</f>
        <v>1</v>
      </c>
      <c r="BJ211" s="1" t="n">
        <f aca="false">VLOOKUP($K211,Constants!$I:$K, 3, FALSE())*IF(AND(J211="multiple_unit",AE211&lt;110),0.75,1)</f>
        <v>2</v>
      </c>
      <c r="BK211" s="1" t="n">
        <f aca="false">INT(POWER(((Constants!$G$2+$BD211+$BE211+$BF211+$BH211)*$BG211)*$BJ211, 1.05))+$BC211</f>
        <v>78</v>
      </c>
      <c r="BL211" s="1" t="n">
        <f aca="false">INT(POWER((((Constants!$G$1+$BD211+$BE211+$BF211+$BH211)*($BG211))*$BI211),IF($J211="wagon",1,1.2)))+$BB211</f>
        <v>109</v>
      </c>
      <c r="BM211" s="17" t="n">
        <f aca="false">BK211*IF($J211="wagon",62.5,781.25)</f>
        <v>60937.5</v>
      </c>
      <c r="BN211" s="17" t="n">
        <f aca="false">BL211*IF($J211="wagon",2.73,81.25)</f>
        <v>8856.25</v>
      </c>
      <c r="BU211" s="1" t="str">
        <f aca="false">IF(J211="locomotive","B","")</f>
        <v>B</v>
      </c>
      <c r="BV211" s="1" t="str">
        <f aca="false">IF($J211="locomotive","B","")</f>
        <v>B</v>
      </c>
      <c r="BX211" s="26" t="s">
        <v>691</v>
      </c>
      <c r="BY211" s="26" t="n">
        <v>6</v>
      </c>
      <c r="CD211" s="26" t="s">
        <v>647</v>
      </c>
      <c r="CE211" s="26" t="s">
        <v>132</v>
      </c>
      <c r="CF211" s="26" t="str">
        <f aca="false">CONCATENATE(CD211,"_",CE211)</f>
        <v>lbr_Freight</v>
      </c>
      <c r="CG211" s="26" t="str">
        <f aca="false">_xlfn.CONCAT(K211, "_",L211)</f>
        <v>diesel_RAIL</v>
      </c>
      <c r="CH211" s="7" t="str">
        <f aca="false">_xlfn.CONCAT("{BLACK}Length: {GOLD}", TEXT(ROUNDUP(IF(AS211&lt;&gt;"",SUM(VALUE(_xlfn.TEXTSPLIT(AS211, ","))), SUM(VALUE(_xlfn.TEXTSPLIT(AP211, ",")))*IF(P211, P211, 1))/16, 1), "#,##0.0"), " tiles{}")</f>
        <v>{BLACK}Length: {GOLD}0.7 tiles{}</v>
      </c>
      <c r="CI211" s="1" t="str">
        <f aca="false">IF(0, VLOOKUP($CG211, Constants!$M:$N, 2, FALSE()),"")</f>
        <v/>
      </c>
      <c r="CJ211" s="1" t="str">
        <f aca="false">IF(P211&gt;1,_xlfn.CONCAT("{BLACK}Cars: {GOLD}", P211),"")</f>
        <v/>
      </c>
      <c r="CK211" s="26" t="s">
        <v>727</v>
      </c>
      <c r="CL211" s="1" t="str">
        <f aca="false">IF($BX211="concept_trains","{GREEN}Concept Vehicle",IF($BX211="!param_no_gameplay_units","{GREEN}Included for gameplay purposes",""))</f>
        <v>{GREEN}Concept Vehicle</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tiles{}{SILVER}The Class 38 was a proposed cut-down Class 58 using a 2000hp-class diesel engine. If built, these would likely have displaced the oldest remaining Type 2 and Type 3 locomotives on the network, replacing Class 31s and Class 37s on freight duties.{}{}{GREEN}Concept Vehicle</v>
      </c>
      <c r="XFD211" s="1"/>
    </row>
    <row r="212" s="26" customFormat="true" ht="14.25" hidden="false" customHeight="false" outlineLevel="0" collapsed="false">
      <c r="A212" s="26" t="s">
        <v>728</v>
      </c>
      <c r="B212" s="27" t="s">
        <v>729</v>
      </c>
      <c r="C212" s="1" t="n">
        <v>3056</v>
      </c>
      <c r="D212" s="26" t="n">
        <v>3057</v>
      </c>
      <c r="E212" s="1" t="n">
        <v>153</v>
      </c>
      <c r="G212" s="1" t="str">
        <f aca="false">IF($F212&lt;&gt;"",_xlfn.CONCAT(VLOOKUP($CE212, Constants!$T:$U, 2, FALSE()),",",$F212),VLOOKUP($CE212, Constants!$T:$U, 2, FALSE()))</f>
        <v>role/express_passenger</v>
      </c>
      <c r="H212" s="1" t="str">
        <f aca="false">IF($G212&lt;&gt;"",_xlfn.CONCAT(VLOOKUP($CG212, Constants!$M:$P, 4, FALSE()),",",$G212),VLOOKUP($CG212, Constants!$M:$P, 4, FALSE()))</f>
        <v>flag/GB,power/electric,role/express_passenger</v>
      </c>
      <c r="I212" s="26" t="s">
        <v>241</v>
      </c>
      <c r="J212" s="26" t="s">
        <v>249</v>
      </c>
      <c r="K212" s="26" t="s">
        <v>388</v>
      </c>
      <c r="L212" s="26" t="s">
        <v>389</v>
      </c>
      <c r="M212" s="26" t="n">
        <v>1986</v>
      </c>
      <c r="N212" s="26" t="n">
        <v>1991</v>
      </c>
      <c r="O212" s="26" t="n">
        <v>1994</v>
      </c>
      <c r="Q212" s="26" t="n">
        <v>4000</v>
      </c>
      <c r="R212" s="2"/>
      <c r="S212" s="3"/>
      <c r="T212" s="3"/>
      <c r="U212" s="3"/>
      <c r="V212" s="3"/>
      <c r="W212" s="3"/>
      <c r="X212" s="3"/>
      <c r="Y212" s="3"/>
      <c r="Z212" s="26" t="n">
        <v>76.8</v>
      </c>
      <c r="AA212" s="2"/>
      <c r="AB212" s="26" t="n">
        <v>4</v>
      </c>
      <c r="AC212" s="26" t="n">
        <v>210</v>
      </c>
      <c r="AD212" s="4" t="n">
        <f aca="false">IF(AND(Z212&gt;0,AC212&gt;0),(AC212/((Z212+AA212)*10)),"")</f>
        <v>0.2734375</v>
      </c>
      <c r="AE212" s="26" t="n">
        <v>140</v>
      </c>
      <c r="AF212" s="26" t="n">
        <f aca="false">ROUND(AE212*1.6, 0)</f>
        <v>224</v>
      </c>
      <c r="AH212" s="26" t="n">
        <v>22</v>
      </c>
      <c r="AI212" s="26" t="n">
        <v>22</v>
      </c>
      <c r="AJ212" s="26" t="n">
        <v>2.7</v>
      </c>
      <c r="AK212" s="26" t="n">
        <v>3.5</v>
      </c>
      <c r="AL212" s="5" t="n">
        <v>0</v>
      </c>
      <c r="AM212" s="1" t="str">
        <f aca="false">CONCATENATE(VLOOKUP(AN212, 'Voxel Sizes'!$A$2:$B$18,2,FALSE()),"x",INT(AJ212*15), "x", INT(AK212*15))</f>
        <v>214x40x52</v>
      </c>
      <c r="AN212" s="26" t="n">
        <f aca="false">ROUND(15*((AI212*10)/256),0)</f>
        <v>13</v>
      </c>
      <c r="AP212" s="1" t="str">
        <f aca="false">CONCATENATE(VLOOKUP(AN212,Constants!$A$2:$C$16,IF(AO212&lt;&gt;"", 3, 2), FALSE()),IF(AO212&lt;&gt;"",CONCATENATE(",",VLOOKUP(AO212,$B:$AP,41,FALSE())),""))</f>
        <v>4,5,4</v>
      </c>
      <c r="AR212" s="6"/>
      <c r="AS212" s="6"/>
      <c r="AZ212" s="26" t="n">
        <v>20</v>
      </c>
      <c r="BA212" s="16" t="n">
        <f aca="false">IF(O212&lt;&gt;"",MAX(16,(O212-M212)+8),"")</f>
        <v>16</v>
      </c>
      <c r="BB212" s="26" t="n">
        <v>-35</v>
      </c>
      <c r="BC212" s="26" t="n">
        <v>-60</v>
      </c>
      <c r="BD212" s="26" t="n">
        <f aca="false">MIN(AE212/150, 1)*30</f>
        <v>28</v>
      </c>
      <c r="BE212" s="26" t="n">
        <f aca="false">MIN(Q212/4000, 1)*20</f>
        <v>20</v>
      </c>
      <c r="BF212" s="26" t="n">
        <f aca="false">MIN(AC212/400,1)*20</f>
        <v>10.5</v>
      </c>
      <c r="BG212" s="4" t="n">
        <f aca="false">1-(MAX(M212-1900, 0)/750)</f>
        <v>0.885333333333333</v>
      </c>
      <c r="BH212" s="26" t="n">
        <f aca="false">((MAX($P212,1)*MIN($AL212/300,1)))*IF(J212="Wagon",50,10)</f>
        <v>0</v>
      </c>
      <c r="BI212" s="1" t="n">
        <f aca="false">VLOOKUP($K212,Constants!$I:$K, 2, FALSE())</f>
        <v>0.85</v>
      </c>
      <c r="BJ212" s="1" t="n">
        <f aca="false">VLOOKUP($K212,Constants!$I:$K, 3, FALSE())*IF(AND(J212="multiple_unit",AE212&lt;110),0.75,1)</f>
        <v>2.3</v>
      </c>
      <c r="BK212" s="1" t="n">
        <f aca="false">INT(POWER(((Constants!$G$2+$BD212+$BE212+$BF212+$BH212)*$BG212)*$BJ212, 1.05))+$BC212</f>
        <v>104</v>
      </c>
      <c r="BL212" s="1" t="n">
        <f aca="false">INT(POWER((((Constants!$G$1+$BD212+$BE212+$BF212+$BH212)*($BG212))*$BI212),IF($J212="wagon",1,1.2)))+$BB212</f>
        <v>88</v>
      </c>
      <c r="BM212" s="17" t="n">
        <f aca="false">BK212*IF($J212="wagon",62.5,781.25)</f>
        <v>81250</v>
      </c>
      <c r="BN212" s="17" t="n">
        <f aca="false">BL212*IF($J212="wagon",2.73,81.25)</f>
        <v>7150</v>
      </c>
      <c r="BO212" s="26" t="n">
        <v>1</v>
      </c>
      <c r="BP212" s="26" t="n">
        <v>1</v>
      </c>
      <c r="BS212" s="26" t="n">
        <v>1</v>
      </c>
      <c r="BT212" s="26" t="s">
        <v>730</v>
      </c>
      <c r="BU212" s="1" t="str">
        <f aca="false">IF(J212="locomotive","B","")</f>
        <v>B</v>
      </c>
      <c r="BV212" s="1" t="str">
        <f aca="false">IF($J212="locomotive","B","")</f>
        <v>B</v>
      </c>
      <c r="BX212" s="26" t="s">
        <v>691</v>
      </c>
      <c r="BY212" s="26" t="n">
        <v>7</v>
      </c>
      <c r="CD212" s="26" t="str">
        <f aca="false">VLOOKUP(M212,[1]Eras!$A$2:$C$10, 2, TRUE())</f>
        <v>lbr</v>
      </c>
      <c r="CE212" s="26" t="s">
        <v>447</v>
      </c>
      <c r="CF212" s="26" t="str">
        <f aca="false">CONCATENATE(CD212,"_",CE212)</f>
        <v>lbr_Express (Electric)</v>
      </c>
      <c r="CG212" s="26" t="str">
        <f aca="false">_xlfn.CONCAT(K212, "_",L212)</f>
        <v>electric_ELRL</v>
      </c>
      <c r="CH212" s="7" t="str">
        <f aca="false">_xlfn.CONCAT("{BLACK}Length: {GOLD}", TEXT(ROUNDUP(IF(AS212&lt;&gt;"",SUM(VALUE(_xlfn.TEXTSPLIT(AS212, ","))), SUM(VALUE(_xlfn.TEXTSPLIT(AP212, ",")))*IF(P212, P212, 1))/16, 1), "#,##0.0"), " tiles{}")</f>
        <v>{BLACK}Length: {GOLD}0.9 tiles{}</v>
      </c>
      <c r="CI212" s="1" t="str">
        <f aca="false">IF(0, VLOOKUP($CG212, Constants!$M:$N, 2, FALSE()),"")</f>
        <v/>
      </c>
      <c r="CJ212" s="1" t="str">
        <f aca="false">IF(P212&gt;1,_xlfn.CONCAT("{BLACK}Cars: {GOLD}", P212),"")</f>
        <v/>
      </c>
      <c r="CK212" s="26" t="s">
        <v>731</v>
      </c>
      <c r="CL212" s="1" t="str">
        <f aca="false">IF($BX212="concept_trains","{GREEN}Concept Vehicle",IF($BX212="!param_no_gameplay_units","{GREEN}Included for gameplay purposes",""))</f>
        <v>{GREEN}Concept Vehicle</v>
      </c>
      <c r="CM212" s="26" t="str">
        <f aca="false">IF(CA212="buffet","{YELLOW}25% long distance bonus for consist{}",IF(CD212="BRAKE","{YELLOW}Speed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{GOLD}0.9 tiles{}{SILVER}The APT-S was a rework of the APT concept towards more conventional rolling stock, with a driving motor car, articulated trailers and a DVT.{}{}{GREEN}Concept Vehicle</v>
      </c>
      <c r="XFD212" s="1"/>
    </row>
    <row r="213" s="26" customFormat="true" ht="14.25" hidden="false" customHeight="false" outlineLevel="0" collapsed="false">
      <c r="A213" s="26" t="s">
        <v>732</v>
      </c>
      <c r="B213" s="27" t="s">
        <v>733</v>
      </c>
      <c r="C213" s="1" t="n">
        <v>3057</v>
      </c>
      <c r="E213" s="1" t="n">
        <v>154</v>
      </c>
      <c r="G213" s="1" t="str">
        <f aca="false">IF($F213&lt;&gt;"",_xlfn.CONCAT(VLOOKUP($CE213, Constants!$T:$U, 2, FALSE()),",",$F213),VLOOKUP($CE213, Constants!$T:$U, 2, FALSE()))</f>
        <v>role/express_passenger</v>
      </c>
      <c r="H213" s="1" t="str">
        <f aca="false">IF($G213&lt;&gt;"",_xlfn.CONCAT(VLOOKUP($CG213, Constants!$M:$P, 4, FALSE()),",",$G213),VLOOKUP($CG213, Constants!$M:$P, 4, FALSE()))</f>
        <v>flag/GB,role/express_passenger</v>
      </c>
      <c r="I213" s="26" t="s">
        <v>241</v>
      </c>
      <c r="J213" s="26" t="s">
        <v>249</v>
      </c>
      <c r="K213" s="26" t="s">
        <v>704</v>
      </c>
      <c r="L213" s="26" t="s">
        <v>192</v>
      </c>
      <c r="M213" s="26" t="n">
        <v>1986</v>
      </c>
      <c r="N213" s="26" t="n">
        <v>1991</v>
      </c>
      <c r="O213" s="26" t="n">
        <v>1994</v>
      </c>
      <c r="Q213" s="26" t="n">
        <v>100</v>
      </c>
      <c r="R213" s="2"/>
      <c r="S213" s="3"/>
      <c r="T213" s="3"/>
      <c r="U213" s="3"/>
      <c r="V213" s="3"/>
      <c r="W213" s="3"/>
      <c r="X213" s="3"/>
      <c r="Y213" s="3"/>
      <c r="Z213" s="26" t="n">
        <v>38.4</v>
      </c>
      <c r="AA213" s="2"/>
      <c r="AB213" s="26" t="n">
        <v>4</v>
      </c>
      <c r="AC213" s="26" t="n">
        <v>5</v>
      </c>
      <c r="AD213" s="4" t="n">
        <f aca="false">IF(AND(Z213&gt;0,AC213&gt;0),(AC213/((Z213+AA213)*10)),"")</f>
        <v>0.0130208333333333</v>
      </c>
      <c r="AE213" s="26" t="n">
        <v>140</v>
      </c>
      <c r="AF213" s="26" t="n">
        <f aca="false">ROUND(AE213*1.6, 0)</f>
        <v>224</v>
      </c>
      <c r="AH213" s="26" t="n">
        <v>22</v>
      </c>
      <c r="AI213" s="26" t="n">
        <v>22</v>
      </c>
      <c r="AJ213" s="26" t="n">
        <v>2.7</v>
      </c>
      <c r="AK213" s="26" t="n">
        <v>3.5</v>
      </c>
      <c r="AL213" s="5" t="n">
        <v>36</v>
      </c>
      <c r="AM213" s="1" t="str">
        <f aca="false">CONCATENATE(VLOOKUP(AN213, 'Voxel Sizes'!$A$2:$B$18,2,FALSE()),"x",INT(AJ213*15), "x", INT(AK213*15))</f>
        <v>214x40x52</v>
      </c>
      <c r="AN213" s="26" t="n">
        <f aca="false">ROUND(15*((AI213*10)/256),0)</f>
        <v>13</v>
      </c>
      <c r="AP213" s="1" t="str">
        <f aca="false">CONCATENATE(VLOOKUP(AN213,Constants!$A$2:$C$16,IF(AO213&lt;&gt;"", 3, 2), FALSE()),IF(AO213&lt;&gt;"",CONCATENATE(",",VLOOKUP(AO213,$B:$AP,41,FALSE())),""))</f>
        <v>4,5,4</v>
      </c>
      <c r="AR213" s="6"/>
      <c r="AS213" s="6"/>
      <c r="AZ213" s="26" t="n">
        <v>20</v>
      </c>
      <c r="BA213" s="16" t="n">
        <f aca="false">IF(O213&lt;&gt;"",MAX(16,(O213-M213)+8),"")</f>
        <v>16</v>
      </c>
      <c r="BB213" s="26" t="n">
        <v>-35</v>
      </c>
      <c r="BC213" s="26" t="n">
        <v>-60</v>
      </c>
      <c r="BD213" s="26" t="n">
        <f aca="false">MIN(AE213/150, 1)*30</f>
        <v>28</v>
      </c>
      <c r="BE213" s="26" t="n">
        <f aca="false">MIN(Q213/4000, 1)*20</f>
        <v>0.5</v>
      </c>
      <c r="BF213" s="26" t="n">
        <f aca="false">MIN(AC213/400,1)*20</f>
        <v>0.25</v>
      </c>
      <c r="BG213" s="4" t="n">
        <f aca="false">1-(MAX(M213-1900, 0)/750)</f>
        <v>0.885333333333333</v>
      </c>
      <c r="BH213" s="26" t="n">
        <f aca="false">((MAX($P213,1)*MIN($AL213/300,1)))*IF(J213="Wagon",50,10)</f>
        <v>1.2</v>
      </c>
      <c r="BI213" s="1" t="n">
        <f aca="false">VLOOKUP($K213,Constants!$I:$K, 2, FALSE())</f>
        <v>0.85</v>
      </c>
      <c r="BJ213" s="1" t="n">
        <f aca="false">VLOOKUP($K213,Constants!$I:$K, 3, FALSE())*IF(AND(J213="multiple_unit",AE213&lt;110),0.75,1)</f>
        <v>2.3</v>
      </c>
      <c r="BK213" s="1" t="n">
        <f aca="false">INT(POWER(((Constants!$G$2+$BD213+$BE213+$BF213+$BH213)*$BG213)*$BJ213, 1.05))+$BC213</f>
        <v>28</v>
      </c>
      <c r="BL213" s="1" t="n">
        <f aca="false">INT(POWER((((Constants!$G$1+$BD213+$BE213+$BF213+$BH213)*($BG213))*$BI213),IF($J213="wagon",1,1.2)))+$BB213</f>
        <v>33</v>
      </c>
      <c r="BM213" s="17" t="n">
        <f aca="false">BK213*IF($J213="wagon",62.5,781.25)</f>
        <v>21875</v>
      </c>
      <c r="BN213" s="17" t="n">
        <f aca="false">BL213*IF($J213="wagon",2.73,81.25)</f>
        <v>2681.25</v>
      </c>
      <c r="BO213" s="26" t="n">
        <v>1</v>
      </c>
      <c r="BP213" s="26" t="n">
        <v>1</v>
      </c>
      <c r="BS213" s="26" t="n">
        <v>1</v>
      </c>
      <c r="BT213" s="26" t="s">
        <v>734</v>
      </c>
      <c r="BU213" s="1" t="str">
        <f aca="false">IF(J213="locomotive","B","")</f>
        <v>B</v>
      </c>
      <c r="BV213" s="1" t="str">
        <f aca="false">IF($J213="locomotive","B","")</f>
        <v>B</v>
      </c>
      <c r="BX213" s="26" t="s">
        <v>691</v>
      </c>
      <c r="BY213" s="26" t="n">
        <v>7</v>
      </c>
      <c r="BZ213" s="26" t="n">
        <v>185</v>
      </c>
      <c r="CC213" s="26" t="s">
        <v>706</v>
      </c>
      <c r="CD213" s="26" t="str">
        <f aca="false">VLOOKUP(M213,[1]Eras!$A$2:$C$10, 2, TRUE())</f>
        <v>lbr</v>
      </c>
      <c r="CE213" s="26" t="s">
        <v>447</v>
      </c>
      <c r="CF213" s="26" t="str">
        <f aca="false">CONCATENATE(CD213,"_",CE213)</f>
        <v>lbr_Express (Electric)</v>
      </c>
      <c r="CG213" s="26" t="str">
        <f aca="false">_xlfn.CONCAT(K213, "_",L213)</f>
        <v>none_RAIL</v>
      </c>
      <c r="CH213" s="7" t="str">
        <f aca="false">_xlfn.CONCAT("{BLACK}Length: {GOLD}", TEXT(ROUNDUP(IF(AS213&lt;&gt;"",SUM(VALUE(_xlfn.TEXTSPLIT(AS213, ","))), SUM(VALUE(_xlfn.TEXTSPLIT(AP213, ",")))*IF(P213, P213, 1))/16, 1), "#,##0.0"), " tiles{}")</f>
        <v>{BLACK}Length: {GOLD}0.9 tiles{}</v>
      </c>
      <c r="CI213" s="1" t="str">
        <f aca="false">IF(0, VLOOKUP($CG213, Constants!$M:$N, 2, FALSE()),"")</f>
        <v/>
      </c>
      <c r="CJ213" s="1" t="str">
        <f aca="false">IF(P213&gt;1,_xlfn.CONCAT("{BLACK}Cars: {GOLD}", P213),"")</f>
        <v/>
      </c>
      <c r="CK213" s="26" t="s">
        <v>735</v>
      </c>
      <c r="CL213" s="1" t="str">
        <f aca="false">IF($BX213="concept_trains","{GREEN}Concept Vehicle",IF($BX213="!param_no_gameplay_units","{GREEN}Included for gameplay purposes",""))</f>
        <v>{GREEN}Concept Vehicle</v>
      </c>
      <c r="CM213" s="26" t="str">
        <f aca="false">IF(CA213="buffet","{YELLOW}25% long distance bonus for consist{}",IF(CD213="BRAKE","{YELLOW}Speed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{GOLD}0.9 tiles{}{SILVER}The APT-Q was proposed to rationalise existing APT-P stock into usable 6-car tains, with a single non-driving power car and a new-build DVT.{}{}{GREEN}Concept Vehicle</v>
      </c>
      <c r="XFD213" s="1"/>
    </row>
    <row r="214" customFormat="false" ht="14.25" hidden="false" customHeight="false" outlineLevel="0" collapsed="false">
      <c r="A214" s="1" t="s">
        <v>736</v>
      </c>
      <c r="B214" s="15" t="s">
        <v>737</v>
      </c>
      <c r="C214" s="1" t="n">
        <v>207</v>
      </c>
      <c r="E214" s="1" t="n">
        <v>155</v>
      </c>
      <c r="F214" s="1" t="s">
        <v>186</v>
      </c>
      <c r="G214" s="1" t="str">
        <f aca="false">IF($F214&lt;&gt;"",_xlfn.CONCAT(VLOOKUP($CE214, Constants!$T:$U, 2, FALSE()),",",$F214),VLOOKUP($CE214, Constants!$T:$U, 2, FALSE()))</f>
        <v>role/express_passenger,_ww_livery/intercity</v>
      </c>
      <c r="H214" s="1" t="str">
        <f aca="false">IF($G214&lt;&gt;"",_xlfn.CONCAT(VLOOKUP($CG214, Constants!$M:$P, 4, FALSE()),",",$G214),VLOOKUP($CG214, Constants!$M:$P, 4, FALSE()))</f>
        <v>flag/GB,power/electric,role/express_passenger,_ww_livery/intercity</v>
      </c>
      <c r="I214" s="1" t="s">
        <v>241</v>
      </c>
      <c r="J214" s="1" t="s">
        <v>249</v>
      </c>
      <c r="K214" s="1" t="s">
        <v>388</v>
      </c>
      <c r="L214" s="1" t="s">
        <v>389</v>
      </c>
      <c r="M214" s="1" t="n">
        <v>1986</v>
      </c>
      <c r="O214" s="1" t="n">
        <v>2001</v>
      </c>
      <c r="Q214" s="1" t="n">
        <v>5850</v>
      </c>
      <c r="Z214" s="1" t="n">
        <v>105</v>
      </c>
      <c r="AC214" s="1" t="n">
        <v>209</v>
      </c>
      <c r="AD214" s="4" t="n">
        <f aca="false">IF(AND(Z214&gt;0,AC214&gt;0),(AC214/((Z214+AA214)*10)),"")</f>
        <v>0.199047619047619</v>
      </c>
      <c r="AE214" s="1" t="n">
        <v>125</v>
      </c>
      <c r="AF214" s="1" t="n">
        <f aca="false">ROUND(AE214*1.6, 0)</f>
        <v>200</v>
      </c>
      <c r="AH214" s="1" t="n">
        <v>19.79</v>
      </c>
      <c r="AI214" s="1" t="n">
        <v>19.79</v>
      </c>
      <c r="AJ214" s="1" t="n">
        <v>2.73</v>
      </c>
      <c r="AK214" s="1" t="n">
        <v>3.8</v>
      </c>
      <c r="AM214" s="1" t="str">
        <f aca="false">CONCATENATE(VLOOKUP(AN214, 'Voxel Sizes'!$A$2:$B$18,2,FALSE()),"x",INT(AJ214*15), "x", INT(AK214*15))</f>
        <v>198x40x57</v>
      </c>
      <c r="AN214" s="1" t="n">
        <f aca="false">ROUND(15*((AI214*10)/256),0)</f>
        <v>12</v>
      </c>
      <c r="AP214" s="1" t="str">
        <f aca="false">CONCATENATE(VLOOKUP(AN214,Constants!$A$2:$C$16,IF(AO214&lt;&gt;"", 3, 2), FALSE()),IF(AO214&lt;&gt;"",CONCATENATE(",",VLOOKUP(AO214,$B:$AP,41,FALSE())),""))</f>
        <v>4,4,4</v>
      </c>
      <c r="AZ214" s="1" t="n">
        <v>24</v>
      </c>
      <c r="BA214" s="16" t="n">
        <f aca="false">IF(O214&lt;&gt;"",MAX(16,(O214-M214)+8),"")</f>
        <v>23</v>
      </c>
      <c r="BB214" s="1" t="n">
        <v>15</v>
      </c>
      <c r="BC214" s="1" t="n">
        <v>-30</v>
      </c>
      <c r="BD214" s="1" t="n">
        <f aca="false">MIN(AE214/150, 1)*30</f>
        <v>25</v>
      </c>
      <c r="BE214" s="1" t="n">
        <f aca="false">MIN(Q214/4000, 1)*20</f>
        <v>20</v>
      </c>
      <c r="BF214" s="1" t="n">
        <f aca="false">MIN(AC214/400,1)*20</f>
        <v>10.45</v>
      </c>
      <c r="BG214" s="4" t="n">
        <f aca="false">1-(MAX(M214-1900, 0)/750)</f>
        <v>0.885333333333333</v>
      </c>
      <c r="BH214" s="1" t="n">
        <f aca="false">((MAX($P214,1)*MIN($AL214/300,1)))*IF(J214="Wagon",50,10)</f>
        <v>0</v>
      </c>
      <c r="BI214" s="1" t="n">
        <f aca="false">VLOOKUP($K214,Constants!$I:$K, 2, FALSE())</f>
        <v>0.85</v>
      </c>
      <c r="BJ214" s="1" t="n">
        <f aca="false">VLOOKUP($K214,Constants!$I:$K, 3, FALSE())*IF(AND(J214="multiple_unit",AE214&lt;110),0.75,1)</f>
        <v>2.3</v>
      </c>
      <c r="BK214" s="1" t="n">
        <f aca="false">INT(POWER(((Constants!$G$2+$BD214+$BE214+$BF214+$BH214)*$BG214)*$BJ214, 1.05))+$BC214</f>
        <v>126</v>
      </c>
      <c r="BL214" s="1" t="n">
        <f aca="false">INT(POWER((((Constants!$G$1+$BD214+$BE214+$BF214+$BH214)*($BG214))*$BI214),IF($J214="wagon",1,1.2)))+$BB214</f>
        <v>132</v>
      </c>
      <c r="BM214" s="17" t="n">
        <f aca="false">BK214*IF($J214="wagon",62.5,781.25)</f>
        <v>98437.5</v>
      </c>
      <c r="BN214" s="17" t="n">
        <f aca="false">BL214*IF($J214="wagon",2.73,81.25)</f>
        <v>10725</v>
      </c>
      <c r="BU214" s="1" t="str">
        <f aca="false">IF(J214="locomotive","B","")</f>
        <v>B</v>
      </c>
      <c r="BV214" s="1" t="str">
        <f aca="false">IF($J214="locomotive","B","")</f>
        <v>B</v>
      </c>
      <c r="BY214" s="1" t="n">
        <v>5</v>
      </c>
      <c r="CD214" s="1" t="str">
        <f aca="false">VLOOKUP(M214,Eras!$A$2:$C$10, 2, TRUE())</f>
        <v>lbr</v>
      </c>
      <c r="CE214" s="1" t="s">
        <v>282</v>
      </c>
      <c r="CF214" s="1" t="str">
        <f aca="false">CONCATENATE(CD214,"_",CE214)</f>
        <v>lbr_Express</v>
      </c>
      <c r="CG214" s="1" t="str">
        <f aca="false">_xlfn.CONCAT(K214, "_",L214)</f>
        <v>electric_ELRL</v>
      </c>
      <c r="CH214" s="7" t="str">
        <f aca="false">_xlfn.CONCAT("{BLACK}Length: {GOLD}", TEXT(ROUNDUP(IF(AS214&lt;&gt;"",SUM(VALUE(_xlfn.TEXTSPLIT(AS214, ","))), SUM(VALUE(_xlfn.TEXTSPLIT(AP214, ",")))*IF(P214, P214, 1))/16, 1), "#,##0.0"), " tiles{}")</f>
        <v>{BLACK}Length: {GOLD}0.8 tiles{}</v>
      </c>
      <c r="CI214" s="1" t="str">
        <f aca="false">IF(0, VLOOKUP($CG214, Constants!$M:$N, 2, FALSE()),"")</f>
        <v/>
      </c>
      <c r="CJ214" s="1" t="str">
        <f aca="false">IF(P214&gt;1,_xlfn.CONCAT("{BLACK}Cars: {GOLD}", P214),"")</f>
        <v/>
      </c>
      <c r="CK214" s="1" t="s">
        <v>738</v>
      </c>
      <c r="CL214" s="1" t="str">
        <f aca="false">IF($BX214="concept_trains","{GREEN}Concept Vehicle",IF($BX214="!param_no_gameplay_units","{GREEN}Included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Class 89 was a prototype express locomotive; unfortunately the specification changed after the prototype was built, and only a single example was completed. It was withdrawn from service twice after major breakdowns.</v>
      </c>
    </row>
    <row r="215" customFormat="false" ht="14.25" hidden="false" customHeight="false" outlineLevel="0" collapsed="false">
      <c r="A215" s="1" t="s">
        <v>739</v>
      </c>
      <c r="B215" s="15" t="s">
        <v>740</v>
      </c>
      <c r="C215" s="1" t="n">
        <v>208</v>
      </c>
      <c r="E215" s="1" t="n">
        <v>156</v>
      </c>
      <c r="F215" s="1" t="s">
        <v>186</v>
      </c>
      <c r="G215" s="1" t="str">
        <f aca="false">IF($F215&lt;&gt;"",_xlfn.CONCAT(VLOOKUP($CE215, Constants!$T:$U, 2, FALSE()),",",$F215),VLOOKUP($CE215, Constants!$T:$U, 2, FALSE()))</f>
        <v>role/express_passenger,_ww_livery/intercity</v>
      </c>
      <c r="H215" s="1" t="str">
        <f aca="false">IF($G215&lt;&gt;"",_xlfn.CONCAT(VLOOKUP($CG215, Constants!$M:$P, 4, FALSE()),",",$G215),VLOOKUP($CG215, Constants!$M:$P, 4, FALSE()))</f>
        <v>flag/GB,power/electric,role/express_passenger,_ww_livery/intercity</v>
      </c>
      <c r="I215" s="1" t="s">
        <v>241</v>
      </c>
      <c r="J215" s="1" t="s">
        <v>249</v>
      </c>
      <c r="K215" s="1" t="s">
        <v>388</v>
      </c>
      <c r="L215" s="1" t="s">
        <v>389</v>
      </c>
      <c r="M215" s="1" t="n">
        <v>1987</v>
      </c>
      <c r="N215" s="1" t="n">
        <v>1990</v>
      </c>
      <c r="Q215" s="1" t="n">
        <v>5000</v>
      </c>
      <c r="Z215" s="1" t="n">
        <v>84.5</v>
      </c>
      <c r="AC215" s="1" t="n">
        <v>258</v>
      </c>
      <c r="AD215" s="4" t="n">
        <f aca="false">IF(AND(Z215&gt;0,AC215&gt;0),(AC215/((Z215+AA215)*10)),"")</f>
        <v>0.305325443786982</v>
      </c>
      <c r="AE215" s="1" t="n">
        <v>110</v>
      </c>
      <c r="AF215" s="1" t="n">
        <f aca="false">ROUND(AE215*1.6, 0)</f>
        <v>176</v>
      </c>
      <c r="AH215" s="1" t="n">
        <v>18.75</v>
      </c>
      <c r="AI215" s="1" t="n">
        <v>18.75</v>
      </c>
      <c r="AK215" s="1" t="n">
        <v>3.96</v>
      </c>
      <c r="AL215" s="5" t="n">
        <v>0</v>
      </c>
      <c r="AM215" s="1" t="str">
        <f aca="false">CONCATENATE(VLOOKUP(AN215, 'Voxel Sizes'!$A$2:$B$18,2,FALSE()),"x",INT(AJ215*15), "x", INT(AK215*15))</f>
        <v>186x0x59</v>
      </c>
      <c r="AN215" s="1" t="n">
        <f aca="false">ROUND(15*((AI215*10)/256),0)</f>
        <v>11</v>
      </c>
      <c r="AP215" s="1" t="str">
        <f aca="false">CONCATENATE(VLOOKUP(AN215,Constants!$A$2:$C$16,IF(AO215&lt;&gt;"", 3, 2), FALSE()),IF(AO215&lt;&gt;"",CONCATENATE(",",VLOOKUP(AO215,$B:$AP,41,FALSE())),""))</f>
        <v>4,3,4</v>
      </c>
      <c r="AZ215" s="1" t="n">
        <v>30</v>
      </c>
      <c r="BA215" s="16" t="str">
        <f aca="false">IF(O215&lt;&gt;"",MAX(16,(O215-M215)+8),"")</f>
        <v/>
      </c>
      <c r="BD215" s="1" t="n">
        <f aca="false">MIN(AE215/150, 1)*30</f>
        <v>22</v>
      </c>
      <c r="BE215" s="1" t="n">
        <f aca="false">MIN(Q215/4000, 1)*20</f>
        <v>20</v>
      </c>
      <c r="BF215" s="1" t="n">
        <f aca="false">MIN(AC215/400,1)*20</f>
        <v>12.9</v>
      </c>
      <c r="BG215" s="4" t="n">
        <f aca="false">1-(MAX(M215-1900, 0)/750)</f>
        <v>0.884</v>
      </c>
      <c r="BH215" s="1" t="n">
        <f aca="false">((MAX($P215,1)*MIN($AL215/300,1)))*IF(J215="Wagon",50,10)</f>
        <v>0</v>
      </c>
      <c r="BI215" s="1" t="n">
        <f aca="false">VLOOKUP($K215,Constants!$I:$K, 2, FALSE())</f>
        <v>0.85</v>
      </c>
      <c r="BJ215" s="1" t="n">
        <f aca="false">VLOOKUP($K215,Constants!$I:$K, 3, FALSE())*IF(AND(J215="multiple_unit",AE215&lt;110),0.75,1)</f>
        <v>2.3</v>
      </c>
      <c r="BK215" s="1" t="n">
        <f aca="false">INT(POWER(((Constants!$G$2+$BD215+$BE215+$BF215+$BH215)*$BG215)*$BJ215, 1.05))+$BC215</f>
        <v>154</v>
      </c>
      <c r="BL215" s="1" t="n">
        <f aca="false">INT(POWER((((Constants!$G$1+$BD215+$BE215+$BF215+$BH215)*($BG215))*$BI215),IF($J215="wagon",1,1.2)))+$BB215</f>
        <v>115</v>
      </c>
      <c r="BM215" s="17" t="n">
        <f aca="false">BK215*IF($J215="wagon",62.5,781.25)</f>
        <v>120312.5</v>
      </c>
      <c r="BN215" s="17" t="n">
        <f aca="false">BL215*IF($J215="wagon",2.73,81.25)</f>
        <v>9343.75</v>
      </c>
      <c r="BU215" s="1" t="str">
        <f aca="false">IF(J215="locomotive","B","")</f>
        <v>B</v>
      </c>
      <c r="BV215" s="1" t="str">
        <f aca="false">IF($J215="locomotive","B","")</f>
        <v>B</v>
      </c>
      <c r="BY215" s="1" t="n">
        <v>6</v>
      </c>
      <c r="CD215" s="1" t="str">
        <f aca="false">VLOOKUP(M215,Eras!$A$2:$C$10, 2, TRUE())</f>
        <v>lbr</v>
      </c>
      <c r="CE215" s="1" t="s">
        <v>282</v>
      </c>
      <c r="CF215" s="1" t="str">
        <f aca="false">CONCATENATE(CD215,"_",CE215)</f>
        <v>lbr_Express</v>
      </c>
      <c r="CG215" s="1" t="str">
        <f aca="false">_xlfn.CONCAT(K215, "_",L215)</f>
        <v>electric_ELRL</v>
      </c>
      <c r="CH215" s="7" t="str">
        <f aca="false">_xlfn.CONCAT("{BLACK}Length: {GOLD}", TEXT(ROUNDUP(IF(AS215&lt;&gt;"",SUM(VALUE(_xlfn.TEXTSPLIT(AS215, ","))), SUM(VALUE(_xlfn.TEXTSPLIT(AP215, ",")))*IF(P215, P215, 1))/16, 1), "#,##0.0"), " tiles{}")</f>
        <v>{BLACK}Length: {GOLD}0.7 tiles{}</v>
      </c>
      <c r="CI215" s="1" t="str">
        <f aca="false">IF(0, VLOOKUP($CG215, Constants!$M:$N, 2, FALSE()),"")</f>
        <v/>
      </c>
      <c r="CJ215" s="1" t="str">
        <f aca="false">IF(P215&gt;1,_xlfn.CONCAT("{BLACK}Cars: {GOLD}", P215),"")</f>
        <v/>
      </c>
      <c r="CK215" s="1" t="s">
        <v>741</v>
      </c>
      <c r="CL215" s="1" t="str">
        <f aca="false">IF($BX215="concept_trains","{GREEN}Concept Vehicle",IF($BX215="!param_no_gameplay_units","{GREEN}Included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{GOLD}0.7 tiles{}{SILVER}The Class 90 is a powerful electric locomotive. Initially used for Intercity express services, several were also used for freight.</v>
      </c>
    </row>
    <row r="216" customFormat="false" ht="14.25" hidden="false" customHeight="false" outlineLevel="0" collapsed="false">
      <c r="A216" s="1" t="s">
        <v>742</v>
      </c>
      <c r="B216" s="15" t="s">
        <v>743</v>
      </c>
      <c r="C216" s="1" t="n">
        <v>209</v>
      </c>
      <c r="E216" s="1" t="n">
        <v>157</v>
      </c>
      <c r="F216" s="1" t="s">
        <v>186</v>
      </c>
      <c r="G216" s="1" t="str">
        <f aca="false">IF($F216&lt;&gt;"",_xlfn.CONCAT(VLOOKUP($CE216, Constants!$T:$U, 2, FALSE()),",",$F216),VLOOKUP($CE216, Constants!$T:$U, 2, FALSE()))</f>
        <v>role/express_passenger,_ww_livery/intercity</v>
      </c>
      <c r="H216" s="1" t="str">
        <f aca="false">IF($G216&lt;&gt;"",_xlfn.CONCAT(VLOOKUP($CG216, Constants!$M:$P, 4, FALSE()),",",$G216),VLOOKUP($CG216, Constants!$M:$P, 4, FALSE()))</f>
        <v>flag/GB,power/electric,role/express_passenger,_ww_livery/intercity</v>
      </c>
      <c r="I216" s="1" t="s">
        <v>241</v>
      </c>
      <c r="J216" s="1" t="s">
        <v>249</v>
      </c>
      <c r="K216" s="1" t="s">
        <v>388</v>
      </c>
      <c r="L216" s="1" t="s">
        <v>389</v>
      </c>
      <c r="M216" s="1" t="n">
        <v>1988</v>
      </c>
      <c r="N216" s="1" t="n">
        <v>1991</v>
      </c>
      <c r="Q216" s="1" t="n">
        <v>6480</v>
      </c>
      <c r="Z216" s="1" t="n">
        <v>81.5</v>
      </c>
      <c r="AC216" s="1" t="n">
        <v>190</v>
      </c>
      <c r="AD216" s="4" t="n">
        <f aca="false">IF(AND(Z216&gt;0,AC216&gt;0),(AC216/((Z216+AA216)*10)),"")</f>
        <v>0.233128834355828</v>
      </c>
      <c r="AE216" s="1" t="n">
        <v>140</v>
      </c>
      <c r="AF216" s="1" t="n">
        <f aca="false">ROUND(AE216*1.6, 0)</f>
        <v>224</v>
      </c>
      <c r="AH216" s="1" t="n">
        <v>19.4</v>
      </c>
      <c r="AI216" s="1" t="n">
        <v>19.4</v>
      </c>
      <c r="AL216" s="5" t="n">
        <v>0</v>
      </c>
      <c r="AM216" s="1" t="str">
        <f aca="false">CONCATENATE(VLOOKUP(AN216, 'Voxel Sizes'!$A$2:$B$18,2,FALSE()),"x",INT(AJ216*15), "x", INT(AK216*15))</f>
        <v>186x0x0</v>
      </c>
      <c r="AN216" s="1" t="n">
        <f aca="false">ROUND(15*((AI216*10)/256),0)</f>
        <v>11</v>
      </c>
      <c r="AP216" s="1" t="str">
        <f aca="false">CONCATENATE(VLOOKUP(AN216,Constants!$A$2:$C$16,IF(AO216&lt;&gt;"", 3, 2), FALSE()),IF(AO216&lt;&gt;"",CONCATENATE(",",VLOOKUP(AO216,$B:$AP,41,FALSE())),""))</f>
        <v>4,3,4</v>
      </c>
      <c r="AZ216" s="1" t="n">
        <v>27</v>
      </c>
      <c r="BA216" s="16" t="str">
        <f aca="false">IF(O216&lt;&gt;"",MAX(16,(O216-M216)+8),"")</f>
        <v/>
      </c>
      <c r="BD216" s="1" t="n">
        <f aca="false">MIN(AE216/150, 1)*30</f>
        <v>28</v>
      </c>
      <c r="BE216" s="1" t="n">
        <f aca="false">MIN(Q216/4000, 1)*20</f>
        <v>20</v>
      </c>
      <c r="BF216" s="1" t="n">
        <f aca="false">MIN(AC216/400,1)*20</f>
        <v>9.5</v>
      </c>
      <c r="BG216" s="4" t="n">
        <f aca="false">1-(MAX(M216-1900, 0)/750)</f>
        <v>0.882666666666667</v>
      </c>
      <c r="BH216" s="1" t="n">
        <f aca="false">((MAX($P216,1)*MIN($AL216/300,1)))*IF(J216="Wagon",50,10)</f>
        <v>0</v>
      </c>
      <c r="BI216" s="1" t="n">
        <f aca="false">VLOOKUP($K216,Constants!$I:$K, 2, FALSE())</f>
        <v>0.85</v>
      </c>
      <c r="BJ216" s="1" t="n">
        <f aca="false">VLOOKUP($K216,Constants!$I:$K, 3, FALSE())*IF(AND(J216="multiple_unit",AE216&lt;110),0.75,1)</f>
        <v>2.3</v>
      </c>
      <c r="BK216" s="1" t="n">
        <f aca="false">INT(POWER(((Constants!$G$2+$BD216+$BE216+$BF216+$BH216)*$BG216)*$BJ216, 1.05))+$BC216</f>
        <v>161</v>
      </c>
      <c r="BL216" s="1" t="n">
        <f aca="false">INT(POWER((((Constants!$G$1+$BD216+$BE216+$BF216+$BH216)*($BG216))*$BI216),IF($J216="wagon",1,1.2)))+$BB216</f>
        <v>120</v>
      </c>
      <c r="BM216" s="17" t="n">
        <f aca="false">BK216*IF($J216="wagon",62.5,781.25)</f>
        <v>125781.25</v>
      </c>
      <c r="BN216" s="17" t="n">
        <f aca="false">BL216*IF($J216="wagon",2.73,81.25)</f>
        <v>9750</v>
      </c>
      <c r="BO216" s="1" t="n">
        <v>1</v>
      </c>
      <c r="BP216" s="1" t="n">
        <v>1</v>
      </c>
      <c r="BU216" s="1" t="str">
        <f aca="false">IF(J216="locomotive","B","")</f>
        <v>B</v>
      </c>
      <c r="BV216" s="1" t="str">
        <f aca="false">IF($J216="locomotive","B","")</f>
        <v>B</v>
      </c>
      <c r="BY216" s="1" t="n">
        <v>7</v>
      </c>
      <c r="CD216" s="1" t="str">
        <f aca="false">VLOOKUP(M216,Eras!$A$2:$C$10, 2, TRUE())</f>
        <v>lbr</v>
      </c>
      <c r="CE216" s="1" t="s">
        <v>447</v>
      </c>
      <c r="CF216" s="1" t="str">
        <f aca="false">CONCATENATE(CD216,"_",CE216)</f>
        <v>lbr_Express (Electric)</v>
      </c>
      <c r="CG216" s="1" t="str">
        <f aca="false">_xlfn.CONCAT(K216, "_",L216)</f>
        <v>electric_ELRL</v>
      </c>
      <c r="CH216" s="7" t="str">
        <f aca="false">_xlfn.CONCAT("{BLACK}Length: {GOLD}", TEXT(ROUNDUP(IF(AS216&lt;&gt;"",SUM(VALUE(_xlfn.TEXTSPLIT(AS216, ","))), SUM(VALUE(_xlfn.TEXTSPLIT(AP216, ",")))*IF(P216, P216, 1))/16, 1), "#,##0.0"), " tiles{}")</f>
        <v>{BLACK}Length: {GOLD}0.7 tiles{}</v>
      </c>
      <c r="CI216" s="1" t="str">
        <f aca="false">IF(0, VLOOKUP($CG216, Constants!$M:$N, 2, FALSE()),"")</f>
        <v/>
      </c>
      <c r="CJ216" s="1" t="str">
        <f aca="false">IF(P216&gt;1,_xlfn.CONCAT("{BLACK}Cars: {GOLD}", P216),"")</f>
        <v/>
      </c>
      <c r="CK216" s="1" t="s">
        <v>744</v>
      </c>
      <c r="CL216" s="1" t="str">
        <f aca="false">IF($BX216="concept_trains","{GREEN}Concept Vehicle",IF($BX216="!param_no_gameplay_units","{GREEN}Included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91 is a high speed electric locomotive, designed for Intercity 225 services.</v>
      </c>
    </row>
    <row r="217" customFormat="false" ht="14.25" hidden="false" customHeight="false" outlineLevel="0" collapsed="false">
      <c r="A217" s="1" t="s">
        <v>745</v>
      </c>
      <c r="B217" s="15" t="s">
        <v>746</v>
      </c>
      <c r="C217" s="1" t="n">
        <v>211</v>
      </c>
      <c r="E217" s="1" t="n">
        <v>158</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241</v>
      </c>
      <c r="J217" s="1" t="s">
        <v>249</v>
      </c>
      <c r="K217" s="1" t="s">
        <v>525</v>
      </c>
      <c r="L217" s="1" t="s">
        <v>192</v>
      </c>
      <c r="M217" s="1" t="n">
        <v>1989</v>
      </c>
      <c r="Q217" s="1" t="n">
        <v>3100</v>
      </c>
      <c r="Z217" s="1" t="n">
        <v>129</v>
      </c>
      <c r="AC217" s="1" t="n">
        <v>474</v>
      </c>
      <c r="AD217" s="4" t="n">
        <f aca="false">IF(AND(Z217&gt;0,AC217&gt;0),(AC217/((Z217+AA217)*10)),"")</f>
        <v>0.367441860465116</v>
      </c>
      <c r="AE217" s="1" t="n">
        <v>60</v>
      </c>
      <c r="AF217" s="1" t="n">
        <f aca="false">ROUND(AE217*1.6, 0)</f>
        <v>96</v>
      </c>
      <c r="AH217" s="1" t="n">
        <v>21.34</v>
      </c>
      <c r="AI217" s="1" t="n">
        <v>21.34</v>
      </c>
      <c r="AJ217" s="1" t="n">
        <v>2.64</v>
      </c>
      <c r="AK217" s="1" t="n">
        <v>3.95</v>
      </c>
      <c r="AL217" s="5" t="n">
        <v>0</v>
      </c>
      <c r="AM217" s="1" t="str">
        <f aca="false">CONCATENATE(VLOOKUP(AN217, 'Voxel Sizes'!$A$2:$B$18,2,FALSE()),"x",INT(AJ217*15), "x", INT(AK217*15))</f>
        <v>214x39x59</v>
      </c>
      <c r="AN217" s="1" t="n">
        <f aca="false">ROUND(15*((AI217*10)/256),0)</f>
        <v>13</v>
      </c>
      <c r="AP217" s="1" t="str">
        <f aca="false">CONCATENATE(VLOOKUP(AN217,Constants!$A$2:$C$16,IF(AO217&lt;&gt;"", 3, 2), FALSE()),IF(AO217&lt;&gt;"",CONCATENATE(",",VLOOKUP(AO217,$B:$AP,41,FALSE())),""))</f>
        <v>4,5,4</v>
      </c>
      <c r="AZ217" s="1" t="n">
        <v>30</v>
      </c>
      <c r="BA217" s="16" t="str">
        <f aca="false">IF(O217&lt;&gt;"",MAX(16,(O217-M217)+8),"")</f>
        <v/>
      </c>
      <c r="BD217" s="1" t="n">
        <f aca="false">MIN(AE217/150, 1)*30</f>
        <v>12</v>
      </c>
      <c r="BE217" s="1" t="n">
        <f aca="false">MIN(Q217/4000, 1)*20</f>
        <v>15.5</v>
      </c>
      <c r="BF217" s="1" t="n">
        <f aca="false">MIN(AC217/400,1)*20</f>
        <v>20</v>
      </c>
      <c r="BG217" s="4" t="n">
        <f aca="false">1-(MAX(M217-1900, 0)/750)</f>
        <v>0.881333333333333</v>
      </c>
      <c r="BH217" s="1" t="n">
        <f aca="false">((MAX($P217,1)*MIN($AL217/300,1)))*IF(J217="Wagon",50,10)</f>
        <v>0</v>
      </c>
      <c r="BI217" s="1" t="n">
        <f aca="false">VLOOKUP($K217,Constants!$I:$K, 2, FALSE())</f>
        <v>1</v>
      </c>
      <c r="BJ217" s="1" t="n">
        <f aca="false">VLOOKUP($K217,Constants!$I:$K, 3, FALSE())*IF(AND(J217="multiple_unit",AE217&lt;110),0.75,1)</f>
        <v>2</v>
      </c>
      <c r="BK217" s="1" t="n">
        <f aca="false">INT(POWER(((Constants!$G$2+$BD217+$BE217+$BF217+$BH217)*$BG217)*$BJ217, 1.05))+$BC217</f>
        <v>116</v>
      </c>
      <c r="BL217" s="1" t="n">
        <f aca="false">INT(POWER((((Constants!$G$1+$BD217+$BE217+$BF217+$BH217)*($BG217))*$BI217),IF($J217="wagon",1,1.2)))+$BB217</f>
        <v>122</v>
      </c>
      <c r="BM217" s="17" t="n">
        <f aca="false">BK217*IF($J217="wagon",62.5,781.25)</f>
        <v>90625</v>
      </c>
      <c r="BN217" s="17" t="n">
        <f aca="false">BL217*IF($J217="wagon",2.73,81.25)</f>
        <v>9912.5</v>
      </c>
      <c r="BU217" s="1" t="str">
        <f aca="false">IF(J217="locomotive","B","")</f>
        <v>B</v>
      </c>
      <c r="BV217" s="1" t="str">
        <f aca="false">IF($J217="locomotive","B","")</f>
        <v>B</v>
      </c>
      <c r="BY217" s="1" t="n">
        <v>9</v>
      </c>
      <c r="CD217" s="1" t="str">
        <f aca="false">VLOOKUP(M217,Eras!$A$2:$C$10, 2, TRUE())</f>
        <v>lbr</v>
      </c>
      <c r="CE217" s="1" t="s">
        <v>132</v>
      </c>
      <c r="CF217" s="1" t="str">
        <f aca="false">CONCATENATE(CD217,"_",CE217)</f>
        <v>lbr_Freight</v>
      </c>
      <c r="CG217" s="1" t="str">
        <f aca="false">_xlfn.CONCAT(K217, "_",L217)</f>
        <v>diesel_RAIL</v>
      </c>
      <c r="CH217" s="7" t="str">
        <f aca="false">_xlfn.CONCAT("{BLACK}Length: {GOLD}", TEXT(ROUNDUP(IF(AS217&lt;&gt;"",SUM(VALUE(_xlfn.TEXTSPLIT(AS217, ","))), SUM(VALUE(_xlfn.TEXTSPLIT(AP217, ",")))*IF(P217, P217, 1))/16, 1), "#,##0.0"), " tiles{}")</f>
        <v>{BLACK}Length: {GOLD}0.9 tiles{}</v>
      </c>
      <c r="CI217" s="1" t="str">
        <f aca="false">IF(0, VLOOKUP($CG217, Constants!$M:$N, 2, FALSE()),"")</f>
        <v/>
      </c>
      <c r="CJ217" s="1" t="str">
        <f aca="false">IF(P217&gt;1,_xlfn.CONCAT("{BLACK}Cars: {GOLD}", P217),"")</f>
        <v/>
      </c>
      <c r="CK217" s="1" t="s">
        <v>747</v>
      </c>
      <c r="CL217" s="1" t="str">
        <f aca="false">IF($BX217="concept_trains","{GREEN}Concept Vehicle",IF($BX217="!param_no_gameplay_units","{GREEN}Included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{GOLD}0.9 tiles{}{SILVER}The Brush Class 60 is a Type 5 diesel, designed for high power and tractive effort to haul heavy freight trains.</v>
      </c>
    </row>
    <row r="218" customFormat="false" ht="14.25" hidden="false" customHeight="false" outlineLevel="0" collapsed="false">
      <c r="A218" s="1" t="s">
        <v>748</v>
      </c>
      <c r="B218" s="15" t="s">
        <v>749</v>
      </c>
      <c r="C218" s="1" t="n">
        <v>212</v>
      </c>
      <c r="E218" s="1" t="n">
        <v>159</v>
      </c>
      <c r="G218" s="1" t="str">
        <f aca="false">IF($F218&lt;&gt;"",_xlfn.CONCAT(VLOOKUP($CE218, Constants!$T:$U, 2, FALSE()),",",$F218),VLOOKUP($CE218, Constants!$T:$U, 2, FALSE()))</f>
        <v>role/mixed</v>
      </c>
      <c r="H218" s="1" t="str">
        <f aca="false">IF($G218&lt;&gt;"",_xlfn.CONCAT(VLOOKUP($CG218, Constants!$M:$P, 4, FALSE()),",",$G218),VLOOKUP($CG218, Constants!$M:$P, 4, FALSE()))</f>
        <v>flag/GB,power/diesel,role/mixed</v>
      </c>
      <c r="I218" s="1" t="s">
        <v>241</v>
      </c>
      <c r="J218" s="1" t="s">
        <v>249</v>
      </c>
      <c r="K218" s="1" t="s">
        <v>525</v>
      </c>
      <c r="L218" s="1" t="s">
        <v>192</v>
      </c>
      <c r="M218" s="1" t="n">
        <v>1990</v>
      </c>
      <c r="Q218" s="1" t="n">
        <v>1270</v>
      </c>
      <c r="Z218" s="1" t="n">
        <v>90</v>
      </c>
      <c r="AC218" s="1" t="n">
        <v>170</v>
      </c>
      <c r="AD218" s="4" t="n">
        <f aca="false">IF(AND(Z218&gt;0,AC218&gt;0),(AC218/((Z218+AA218)*10)),"")</f>
        <v>0.188888888888889</v>
      </c>
      <c r="AE218" s="1" t="n">
        <v>62</v>
      </c>
      <c r="AF218" s="1" t="n">
        <f aca="false">ROUND(AE218*1.6, 0)</f>
        <v>99</v>
      </c>
      <c r="AH218" s="1" t="n">
        <v>14.4</v>
      </c>
      <c r="AI218" s="1" t="n">
        <v>14.4</v>
      </c>
      <c r="AM218" s="1" t="str">
        <f aca="false">CONCATENATE(VLOOKUP(AN218, 'Voxel Sizes'!$A$2:$B$18,2,FALSE()),"x",INT(AJ218*15), "x", INT(AK218*15))</f>
        <v>136x0x0</v>
      </c>
      <c r="AN218" s="1" t="n">
        <f aca="false">ROUND(15*((AI218*10)/256),0)</f>
        <v>8</v>
      </c>
      <c r="AP218" s="1" t="str">
        <f aca="false">CONCATENATE(VLOOKUP(AN218,Constants!$A$2:$C$16,IF(AO218&lt;&gt;"", 3, 2), FALSE()),IF(AO218&lt;&gt;"",CONCATENATE(",",VLOOKUP(AO218,$B:$AP,41,FALSE())),""))</f>
        <v>2,4,2</v>
      </c>
      <c r="AZ218" s="1" t="n">
        <v>34</v>
      </c>
      <c r="BA218" s="16" t="str">
        <f aca="false">IF(O218&lt;&gt;"",MAX(16,(O218-M218)+8),"")</f>
        <v/>
      </c>
      <c r="BC218" s="1" t="n">
        <v>-16</v>
      </c>
      <c r="BD218" s="1" t="n">
        <f aca="false">MIN(AE218/150, 1)*30</f>
        <v>12.4</v>
      </c>
      <c r="BE218" s="1" t="n">
        <f aca="false">MIN(Q218/4000, 1)*20</f>
        <v>6.35</v>
      </c>
      <c r="BF218" s="1" t="n">
        <f aca="false">MIN(AC218/400,1)*20</f>
        <v>8.5</v>
      </c>
      <c r="BG218" s="4" t="n">
        <f aca="false">1-(MAX(M218-1900, 0)/750)</f>
        <v>0.88</v>
      </c>
      <c r="BH218" s="1" t="n">
        <f aca="false">((MAX($P218,1)*MIN($AL218/300,1)))*IF(J218="Wagon",50,10)</f>
        <v>0</v>
      </c>
      <c r="BI218" s="1" t="n">
        <f aca="false">VLOOKUP($K218,Constants!$I:$K, 2, FALSE())</f>
        <v>1</v>
      </c>
      <c r="BJ218" s="1" t="n">
        <f aca="false">VLOOKUP($K218,Constants!$I:$K, 3, FALSE())*IF(AND(J218="multiple_unit",AE218&lt;110),0.75,1)</f>
        <v>2</v>
      </c>
      <c r="BK218" s="1" t="n">
        <f aca="false">INT(POWER(((Constants!$G$2+$BD218+$BE218+$BF218+$BH218)*$BG218)*$BJ218, 1.05))+$BC218</f>
        <v>53</v>
      </c>
      <c r="BL218" s="1" t="n">
        <f aca="false">INT(POWER((((Constants!$G$1+$BD218+$BE218+$BF218+$BH218)*($BG218))*$BI218),IF($J218="wagon",1,1.2)))+$BB218</f>
        <v>76</v>
      </c>
      <c r="BM218" s="17" t="n">
        <f aca="false">BK218*IF($J218="wagon",62.5,781.25)</f>
        <v>41406.25</v>
      </c>
      <c r="BN218" s="17" t="n">
        <f aca="false">BL218*IF($J218="wagon",2.73,81.25)</f>
        <v>6175</v>
      </c>
      <c r="BU218" s="1" t="str">
        <f aca="false">IF(J218="locomotive","B","")</f>
        <v>B</v>
      </c>
      <c r="BV218" s="1" t="str">
        <f aca="false">IF($J218="locomotive","B","")</f>
        <v>B</v>
      </c>
      <c r="BY218" s="1" t="n">
        <v>6</v>
      </c>
      <c r="CD218" s="1" t="str">
        <f aca="false">VLOOKUP(M218,Eras!$A$2:$C$10, 2, TRUE())</f>
        <v>lbr</v>
      </c>
      <c r="CE218" s="1" t="s">
        <v>356</v>
      </c>
      <c r="CF218" s="1" t="str">
        <f aca="false">CONCATENATE(CD218,"_",CE218)</f>
        <v>lbr_Cheap</v>
      </c>
      <c r="CG218" s="1" t="str">
        <f aca="false">_xlfn.CONCAT(K218, "_",L218)</f>
        <v>diesel_RAIL</v>
      </c>
      <c r="CH218" s="7" t="str">
        <f aca="false">_xlfn.CONCAT("{BLACK}Length: {GOLD}", TEXT(ROUNDUP(IF(AS218&lt;&gt;"",SUM(VALUE(_xlfn.TEXTSPLIT(AS218, ","))), SUM(VALUE(_xlfn.TEXTSPLIT(AP218, ",")))*IF(P218, P218, 1))/16, 1), "#,##0.0"), " tiles{}")</f>
        <v>{BLACK}Length: {GOLD}0.5 tiles{}</v>
      </c>
      <c r="CI218" s="1" t="str">
        <f aca="false">IF(0, VLOOKUP($CG218, Constants!$M:$N, 2, FALSE()),"")</f>
        <v/>
      </c>
      <c r="CJ218" s="1" t="str">
        <f aca="false">IF(P218&gt;1,_xlfn.CONCAT("{BLACK}Cars: {GOLD}", P218),"")</f>
        <v/>
      </c>
      <c r="CK218" s="1" t="s">
        <v>750</v>
      </c>
      <c r="CL218" s="1" t="str">
        <f aca="false">IF($BX218="concept_trains","{GREEN}Concept Vehicle",IF($BX218="!param_no_gameplay_units","{GREEN}Included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9" customFormat="false" ht="14.25" hidden="false" customHeight="false" outlineLevel="0" collapsed="false">
      <c r="A219" s="1" t="s">
        <v>751</v>
      </c>
      <c r="B219" s="15" t="s">
        <v>752</v>
      </c>
      <c r="C219" s="1" t="n">
        <v>213</v>
      </c>
      <c r="E219" s="1" t="n">
        <v>160</v>
      </c>
      <c r="G219" s="1" t="str">
        <f aca="false">IF($F219&lt;&gt;"",_xlfn.CONCAT(VLOOKUP($CE219, Constants!$T:$U, 2, FALSE()),",",$F219),VLOOKUP($CE219, Constants!$T:$U, 2, FALSE()))</f>
        <v>role/freight</v>
      </c>
      <c r="H219" s="1" t="str">
        <f aca="false">IF($G219&lt;&gt;"",_xlfn.CONCAT(VLOOKUP($CG219, Constants!$M:$P, 4, FALSE()),",",$G219),VLOOKUP($CG219, Constants!$M:$P, 4, FALSE()))</f>
        <v>flag/GB,power/electric,role/freight</v>
      </c>
      <c r="I219" s="1" t="s">
        <v>241</v>
      </c>
      <c r="J219" s="1" t="s">
        <v>249</v>
      </c>
      <c r="K219" s="1" t="s">
        <v>710</v>
      </c>
      <c r="L219" s="1" t="s">
        <v>753</v>
      </c>
      <c r="M219" s="1" t="n">
        <v>1993</v>
      </c>
      <c r="N219" s="1" t="n">
        <v>1996</v>
      </c>
      <c r="Q219" s="1" t="n">
        <v>6760</v>
      </c>
      <c r="R219" s="2" t="n">
        <v>5360</v>
      </c>
      <c r="Z219" s="1" t="n">
        <v>126</v>
      </c>
      <c r="AC219" s="1" t="n">
        <v>360</v>
      </c>
      <c r="AD219" s="4" t="n">
        <f aca="false">IF(AND(Z219&gt;0,AC219&gt;0),(AC219/((Z219+AA219)*10)),"")</f>
        <v>0.285714285714286</v>
      </c>
      <c r="AE219" s="1" t="n">
        <v>87</v>
      </c>
      <c r="AF219" s="1" t="n">
        <f aca="false">ROUND(AE219*1.6, 0)</f>
        <v>139</v>
      </c>
      <c r="AH219" s="1" t="n">
        <v>21.36</v>
      </c>
      <c r="AI219" s="1" t="n">
        <v>21.36</v>
      </c>
      <c r="AL219" s="5" t="n">
        <v>0</v>
      </c>
      <c r="AM219" s="1" t="str">
        <f aca="false">CONCATENATE(VLOOKUP(AN219, 'Voxel Sizes'!$A$2:$B$18,2,FALSE()),"x",INT(AJ219*15), "x", INT(AK219*15))</f>
        <v>214x0x0</v>
      </c>
      <c r="AN219" s="1" t="n">
        <f aca="false">ROUND(15*((AI219*10)/256),0)</f>
        <v>13</v>
      </c>
      <c r="AP219" s="1" t="str">
        <f aca="false">CONCATENATE(VLOOKUP(AN219,Constants!$A$2:$C$16,IF(AO219&lt;&gt;"", 3, 2), FALSE()),IF(AO219&lt;&gt;"",CONCATENATE(",",VLOOKUP(AO219,$B:$AP,41,FALSE())),""))</f>
        <v>4,5,4</v>
      </c>
      <c r="AU219" s="1" t="s">
        <v>752</v>
      </c>
      <c r="AZ219" s="1" t="n">
        <v>24</v>
      </c>
      <c r="BA219" s="16" t="str">
        <f aca="false">IF(O219&lt;&gt;"",MAX(16,(O219-M219)+8),"")</f>
        <v/>
      </c>
      <c r="BD219" s="1" t="n">
        <f aca="false">MIN(AE219/150, 1)*30</f>
        <v>17.4</v>
      </c>
      <c r="BE219" s="1" t="n">
        <f aca="false">MIN(Q219/4000, 1)*20</f>
        <v>20</v>
      </c>
      <c r="BF219" s="1" t="n">
        <f aca="false">MIN(AC219/400,1)*20</f>
        <v>18</v>
      </c>
      <c r="BG219" s="4" t="n">
        <f aca="false">1-(MAX(M219-1900, 0)/750)</f>
        <v>0.876</v>
      </c>
      <c r="BH219" s="1" t="n">
        <f aca="false">((MAX($P219,1)*MIN($AL219/300,1)))*IF(J219="Wagon",50,10)</f>
        <v>0</v>
      </c>
      <c r="BI219" s="1" t="n">
        <f aca="false">VLOOKUP($K219,Constants!$I:$K, 2, FALSE())</f>
        <v>0.85</v>
      </c>
      <c r="BJ219" s="1" t="n">
        <f aca="false">VLOOKUP($K219,Constants!$I:$K, 3, FALSE())*IF(AND(J219="multiple_unit",AE219&lt;110),0.75,1)</f>
        <v>2.4</v>
      </c>
      <c r="BK219" s="1" t="n">
        <f aca="false">INT(POWER(((Constants!$G$2+$BD219+$BE219+$BF219+$BH219)*$BG219)*$BJ219, 1.05))+$BC219</f>
        <v>161</v>
      </c>
      <c r="BL219" s="1" t="n">
        <f aca="false">INT(POWER((((Constants!$G$1+$BD219+$BE219+$BF219+$BH219)*($BG219))*$BI219),IF($J219="wagon",1,1.2)))+$BB219</f>
        <v>115</v>
      </c>
      <c r="BM219" s="17" t="n">
        <f aca="false">BK219*IF($J219="wagon",62.5,781.25)</f>
        <v>125781.25</v>
      </c>
      <c r="BN219" s="17" t="n">
        <f aca="false">BL219*IF($J219="wagon",2.73,81.25)</f>
        <v>9343.75</v>
      </c>
      <c r="BU219" s="1" t="str">
        <f aca="false">IF(J219="locomotive","B","")</f>
        <v>B</v>
      </c>
      <c r="BV219" s="1" t="str">
        <f aca="false">IF($J219="locomotive","B","")</f>
        <v>B</v>
      </c>
      <c r="BY219" s="1" t="n">
        <v>10</v>
      </c>
      <c r="CD219" s="1" t="str">
        <f aca="false">VLOOKUP(M219,Eras!$A$2:$C$10, 2, TRUE())</f>
        <v>lbr</v>
      </c>
      <c r="CE219" s="1" t="s">
        <v>132</v>
      </c>
      <c r="CF219" s="1" t="str">
        <f aca="false">CONCATENATE(CD219,"_",CE219)</f>
        <v>lbr_Freight</v>
      </c>
      <c r="CG219" s="1" t="str">
        <f aca="false">_xlfn.CONCAT(K219, "_",L219)</f>
        <v>dual_electric_DUAL_POWER</v>
      </c>
      <c r="CH219" s="7" t="str">
        <f aca="false">_xlfn.CONCAT("{BLACK}Length: {GOLD}", TEXT(ROUNDUP(IF(AS219&lt;&gt;"",SUM(VALUE(_xlfn.TEXTSPLIT(AS219, ","))), SUM(VALUE(_xlfn.TEXTSPLIT(AP219, ",")))*IF(P219, P219, 1))/16, 1), "#,##0.0"), " tiles{}")</f>
        <v>{BLACK}Length: {GOLD}0.9 tiles{}</v>
      </c>
      <c r="CI219" s="1" t="str">
        <f aca="false">IF(0, VLOOKUP($CG219, Constants!$M:$N, 2, FALSE()),"")</f>
        <v/>
      </c>
      <c r="CJ219" s="1" t="str">
        <f aca="false">IF(P219&gt;1,_xlfn.CONCAT("{BLACK}Cars: {GOLD}", P219),"")</f>
        <v/>
      </c>
      <c r="CK219" s="1" t="s">
        <v>754</v>
      </c>
      <c r="CL219" s="1" t="str">
        <f aca="false">IF($BX219="concept_trains","{GREEN}Concept Vehicle",IF($BX219="!param_no_gameplay_units","{GREEN}Included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{GOLD}0.9 tiles{}{SILVER}The Class 92 was designed to operate services through the Channel Tunnel. It can run on both the Southern Region third rail system and overhead wires.</v>
      </c>
    </row>
    <row r="220" customFormat="false" ht="14.25" hidden="false" customHeight="false" outlineLevel="0" collapsed="false">
      <c r="A220" s="24" t="s">
        <v>755</v>
      </c>
      <c r="B220" s="25" t="s">
        <v>756</v>
      </c>
      <c r="C220" s="1" t="n">
        <v>5010</v>
      </c>
      <c r="E220" s="1" t="n">
        <v>-1</v>
      </c>
      <c r="G220" s="1" t="str">
        <f aca="false">IF($F220&lt;&gt;"",_xlfn.CONCAT(VLOOKUP($CE220, Constants!$T:$U, 2, FALSE()),",",$F220),VLOOKUP($CE220, Constants!$T:$U, 2, FALSE()))</f>
        <v>role/freight</v>
      </c>
      <c r="H220" s="1" t="str">
        <f aca="false">IF($G220&lt;&gt;"",_xlfn.CONCAT(VLOOKUP($CG220, Constants!$M:$P, 4, FALSE()),",",$G220),VLOOKUP($CG220, Constants!$M:$P, 4, FALSE()))</f>
        <v>flag/GB,power/electric,role/freight</v>
      </c>
      <c r="I220" s="1" t="s">
        <v>241</v>
      </c>
      <c r="J220" s="1" t="s">
        <v>349</v>
      </c>
      <c r="K220" s="1" t="s">
        <v>388</v>
      </c>
      <c r="L220" s="1" t="s">
        <v>389</v>
      </c>
      <c r="M220" s="1" t="n">
        <v>1993</v>
      </c>
      <c r="N220" s="1" t="n">
        <v>1996</v>
      </c>
      <c r="Q220" s="1" t="n">
        <v>9500</v>
      </c>
      <c r="Z220" s="1" t="n">
        <v>132</v>
      </c>
      <c r="AC220" s="1" t="n">
        <v>400</v>
      </c>
      <c r="AD220" s="4" t="n">
        <f aca="false">IF(AND(Z220&gt;0,AC220&gt;0),(AC220/((Z220+AA220)*10)),"")</f>
        <v>0.303030303030303</v>
      </c>
      <c r="AE220" s="1" t="n">
        <v>100</v>
      </c>
      <c r="AF220" s="1" t="n">
        <f aca="false">ROUND(AE220*1.6, 0)</f>
        <v>160</v>
      </c>
      <c r="AH220" s="1" t="n">
        <v>22</v>
      </c>
      <c r="AI220" s="1" t="n">
        <v>22</v>
      </c>
      <c r="AJ220" s="1" t="n">
        <v>3</v>
      </c>
      <c r="AK220" s="1" t="n">
        <v>4.2</v>
      </c>
      <c r="AL220" s="5" t="n">
        <v>0</v>
      </c>
      <c r="AM220" s="1" t="str">
        <f aca="false">CONCATENATE(VLOOKUP(AN220, 'Voxel Sizes'!$A$2:$B$18,2,FALSE()),"x",INT(AJ220*15), "x", INT(AK220*15))</f>
        <v>214x45x63</v>
      </c>
      <c r="AN220" s="1" t="n">
        <f aca="false">ROUND(15*((AI220*10)/256),0)</f>
        <v>13</v>
      </c>
      <c r="AP220" s="1" t="str">
        <f aca="false">CONCATENATE(VLOOKUP(AN220,Constants!$A$2:$C$16,IF(AO220&lt;&gt;"", 3, 2), FALSE()),IF(AO220&lt;&gt;"",CONCATENATE(",",VLOOKUP(AO220,$B:$AP,41,FALSE())),""))</f>
        <v>4,5,4</v>
      </c>
      <c r="AZ220" s="1" t="n">
        <v>35</v>
      </c>
      <c r="BA220" s="16" t="str">
        <f aca="false">IF(O220&lt;&gt;"",MAX(16,(O220-M220)+8),"")</f>
        <v/>
      </c>
      <c r="BB220" s="1" t="n">
        <v>15</v>
      </c>
      <c r="BC220" s="1" t="n">
        <v>25</v>
      </c>
      <c r="BD220" s="1" t="n">
        <f aca="false">MIN(AE220/150, 1)*30</f>
        <v>20</v>
      </c>
      <c r="BE220" s="1" t="n">
        <f aca="false">MIN(Q220/4000, 1)*20</f>
        <v>20</v>
      </c>
      <c r="BF220" s="1" t="n">
        <f aca="false">MIN(AC220/400,1)*20</f>
        <v>20</v>
      </c>
      <c r="BG220" s="4" t="n">
        <f aca="false">1-(MAX(M220-1900, 0)/750)</f>
        <v>0.876</v>
      </c>
      <c r="BH220" s="1" t="n">
        <f aca="false">((MAX($P220,1)*MIN($AL220/300,1)))*IF(J220="Wagon",50,10)</f>
        <v>0</v>
      </c>
      <c r="BI220" s="1" t="n">
        <f aca="false">VLOOKUP($K220,Constants!$I:$K, 2, FALSE())</f>
        <v>0.85</v>
      </c>
      <c r="BJ220" s="1" t="n">
        <f aca="false">VLOOKUP($K220,Constants!$I:$K, 3, FALSE())*IF(AND(J220="multiple_unit",AE220&lt;110),0.75,1)</f>
        <v>2.3</v>
      </c>
      <c r="BK220" s="1" t="n">
        <f aca="false">INT(POWER(((Constants!$G$2+$BD220+$BE220+$BF220+$BH220)*$BG220)*$BJ220, 1.05))+$BC220</f>
        <v>192</v>
      </c>
      <c r="BL220" s="1" t="n">
        <f aca="false">INT(POWER((((Constants!$G$1+$BD220+$BE220+$BF220+$BH220)*($BG220))*$BI220),IF($J220="wagon",1,1.2)))+$BB220</f>
        <v>139</v>
      </c>
      <c r="BM220" s="17" t="n">
        <f aca="false">BK220*IF($J220="wagon",62.5,781.25)</f>
        <v>150000</v>
      </c>
      <c r="BN220" s="17" t="n">
        <f aca="false">BL220*IF($J220="wagon",2.73,81.25)</f>
        <v>11293.75</v>
      </c>
      <c r="BU220" s="1" t="str">
        <f aca="false">IF(J220="locomotive","B","")</f>
        <v/>
      </c>
      <c r="BV220" s="1" t="str">
        <f aca="false">IF($J220="locomotive","B","")</f>
        <v/>
      </c>
      <c r="BY220" s="1" t="n">
        <v>10</v>
      </c>
      <c r="CD220" s="1" t="str">
        <f aca="false">VLOOKUP(M220,Eras!$A$2:$C$10, 2, TRUE())</f>
        <v>lbr</v>
      </c>
      <c r="CE220" s="1" t="s">
        <v>132</v>
      </c>
      <c r="CF220" s="1" t="str">
        <f aca="false">CONCATENATE(CD220,"_",CE220)</f>
        <v>lbr_Freight</v>
      </c>
      <c r="CG220" s="1" t="str">
        <f aca="false">_xlfn.CONCAT(K220, "_",L220)</f>
        <v>electric_ELRL</v>
      </c>
      <c r="CH220" s="7" t="str">
        <f aca="false">_xlfn.CONCAT("{BLACK}Length: {GOLD}", TEXT(ROUNDUP(IF(AS220&lt;&gt;"",SUM(VALUE(_xlfn.TEXTSPLIT(AS220, ","))), SUM(VALUE(_xlfn.TEXTSPLIT(AP220, ",")))*IF(P220, P220, 1))/16, 1), "#,##0.0"), " tiles{}")</f>
        <v>{BLACK}Length: {GOLD}0.9 tiles{}</v>
      </c>
      <c r="CI220" s="1" t="str">
        <f aca="false">IF(0, VLOOKUP($CG220, Constants!$M:$N, 2, FALSE()),"")</f>
        <v/>
      </c>
      <c r="CJ220" s="1" t="str">
        <f aca="false">IF(P220&gt;1,_xlfn.CONCAT("{BLACK}Cars: {GOLD}", P220),"")</f>
        <v/>
      </c>
      <c r="CK220" s="1" t="s">
        <v>757</v>
      </c>
      <c r="CL220" s="1" t="str">
        <f aca="false">IF($BX220="concept_trains","{GREEN}Concept Vehicle",IF($BX220="!param_no_gameplay_units","{GREEN}Included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{GOLD}0.9 tiles{}{SILVER}The Channel Tunnel’s Shuttle service calls for these large Bo-Bo-Bo locomotives, in order to navigate the tight turnaround loops at termini and provide suitable redundancy during undersea crossings.</v>
      </c>
    </row>
    <row r="221" customFormat="false" ht="14.25" hidden="false" customHeight="false" outlineLevel="0" collapsed="false">
      <c r="A221" s="1" t="s">
        <v>758</v>
      </c>
      <c r="B221" s="15" t="s">
        <v>759</v>
      </c>
      <c r="C221" s="1" t="n">
        <v>214</v>
      </c>
      <c r="E221" s="1" t="n">
        <v>162</v>
      </c>
      <c r="G221" s="1" t="str">
        <f aca="false">IF($F221&lt;&gt;"",_xlfn.CONCAT(VLOOKUP($CE221, Constants!$T:$U, 2, FALSE()),",",$F221),VLOOKUP($CE221, Constants!$T:$U, 2, FALSE()))</f>
        <v>role/freight</v>
      </c>
      <c r="H221" s="1" t="str">
        <f aca="false">IF($G221&lt;&gt;"",_xlfn.CONCAT(VLOOKUP($CG221, Constants!$M:$P, 4, FALSE()),",",$G221),VLOOKUP($CG221, Constants!$M:$P, 4, FALSE()))</f>
        <v>flag/GB,power/diesel,role/freight</v>
      </c>
      <c r="I221" s="1" t="s">
        <v>241</v>
      </c>
      <c r="J221" s="1" t="s">
        <v>249</v>
      </c>
      <c r="K221" s="1" t="s">
        <v>525</v>
      </c>
      <c r="L221" s="1" t="s">
        <v>192</v>
      </c>
      <c r="M221" s="1" t="n">
        <v>1998</v>
      </c>
      <c r="N221" s="1" t="n">
        <v>2015</v>
      </c>
      <c r="Q221" s="1" t="n">
        <v>3300</v>
      </c>
      <c r="Z221" s="1" t="n">
        <v>129.6</v>
      </c>
      <c r="AC221" s="1" t="n">
        <v>260</v>
      </c>
      <c r="AD221" s="4" t="n">
        <f aca="false">IF(AND(Z221&gt;0,AC221&gt;0),(AC221/((Z221+AA221)*10)),"")</f>
        <v>0.200617283950617</v>
      </c>
      <c r="AE221" s="1" t="n">
        <v>75</v>
      </c>
      <c r="AF221" s="1" t="n">
        <f aca="false">ROUND(AE221*1.6, 0)</f>
        <v>120</v>
      </c>
      <c r="AH221" s="1" t="n">
        <v>21.4</v>
      </c>
      <c r="AI221" s="1" t="n">
        <v>21.4</v>
      </c>
      <c r="AK221" s="1" t="n">
        <v>3.9</v>
      </c>
      <c r="AL221" s="5" t="n">
        <v>0</v>
      </c>
      <c r="AM221" s="1" t="str">
        <f aca="false">CONCATENATE(VLOOKUP(AN221, 'Voxel Sizes'!$A$2:$B$18,2,FALSE()),"x",INT(AJ221*15), "x", INT(AK221*15))</f>
        <v>214x0x58</v>
      </c>
      <c r="AN221" s="1" t="n">
        <f aca="false">ROUND(15*((AI221*10)/256),0)</f>
        <v>13</v>
      </c>
      <c r="AP221" s="1" t="str">
        <f aca="false">CONCATENATE(VLOOKUP(AN221,Constants!$A$2:$C$16,IF(AO221&lt;&gt;"", 3, 2), FALSE()),IF(AO221&lt;&gt;"",CONCATENATE(",",VLOOKUP(AO221,$B:$AP,41,FALSE())),""))</f>
        <v>4,5,4</v>
      </c>
      <c r="AZ221" s="1" t="n">
        <v>30</v>
      </c>
      <c r="BA221" s="16" t="str">
        <f aca="false">IF(O221&lt;&gt;"",MAX(16,(O221-M221)+8),"")</f>
        <v/>
      </c>
      <c r="BD221" s="1" t="n">
        <f aca="false">MIN(AE221/150, 1)*30</f>
        <v>15</v>
      </c>
      <c r="BE221" s="1" t="n">
        <f aca="false">MIN(Q221/4000, 1)*20</f>
        <v>16.5</v>
      </c>
      <c r="BF221" s="1" t="n">
        <f aca="false">MIN(AC221/400,1)*20</f>
        <v>13</v>
      </c>
      <c r="BG221" s="4" t="n">
        <f aca="false">1-(MAX(M221-1900, 0)/750)</f>
        <v>0.869333333333333</v>
      </c>
      <c r="BH221" s="1" t="n">
        <f aca="false">((MAX($P221,1)*MIN($AL221/300,1)))*IF(J221="Wagon",50,10)</f>
        <v>0</v>
      </c>
      <c r="BI221" s="1" t="n">
        <f aca="false">VLOOKUP($K221,Constants!$I:$K, 2, FALSE())</f>
        <v>1</v>
      </c>
      <c r="BJ221" s="1" t="n">
        <f aca="false">VLOOKUP($K221,Constants!$I:$K, 3, FALSE())*IF(AND(J221="multiple_unit",AE221&lt;110),0.75,1)</f>
        <v>2</v>
      </c>
      <c r="BK221" s="1" t="n">
        <f aca="false">INT(POWER(((Constants!$G$2+$BD221+$BE221+$BF221+$BH221)*$BG221)*$BJ221, 1.05))+$BC221</f>
        <v>107</v>
      </c>
      <c r="BL221" s="1" t="n">
        <f aca="false">INT(POWER((((Constants!$G$1+$BD221+$BE221+$BF221+$BH221)*($BG221))*$BI221),IF($J221="wagon",1,1.2)))+$BB221</f>
        <v>113</v>
      </c>
      <c r="BM221" s="17" t="n">
        <f aca="false">BK221*IF($J221="wagon",62.5,781.25)</f>
        <v>83593.75</v>
      </c>
      <c r="BN221" s="17" t="n">
        <f aca="false">BL221*IF($J221="wagon",2.73,81.25)</f>
        <v>9181.25</v>
      </c>
      <c r="BU221" s="1" t="str">
        <f aca="false">IF(J221="locomotive","B","")</f>
        <v>B</v>
      </c>
      <c r="BV221" s="1" t="str">
        <f aca="false">IF($J221="locomotive","B","")</f>
        <v>B</v>
      </c>
      <c r="BY221" s="1" t="n">
        <v>11</v>
      </c>
      <c r="CD221" s="1" t="str">
        <f aca="false">VLOOKUP(M221,Eras!$A$2:$C$10, 2, TRUE())</f>
        <v>prv</v>
      </c>
      <c r="CE221" s="1" t="s">
        <v>132</v>
      </c>
      <c r="CF221" s="1" t="str">
        <f aca="false">CONCATENATE(CD221,"_",CE221)</f>
        <v>prv_Freight</v>
      </c>
      <c r="CG221" s="1" t="str">
        <f aca="false">_xlfn.CONCAT(K221, "_",L221)</f>
        <v>diesel_RAIL</v>
      </c>
      <c r="CH221" s="7" t="str">
        <f aca="false">_xlfn.CONCAT("{BLACK}Length: {GOLD}", TEXT(ROUNDUP(IF(AS221&lt;&gt;"",SUM(VALUE(_xlfn.TEXTSPLIT(AS221, ","))), SUM(VALUE(_xlfn.TEXTSPLIT(AP221, ",")))*IF(P221, P221, 1))/16, 1), "#,##0.0"), " tiles{}")</f>
        <v>{BLACK}Length: {GOLD}0.9 tiles{}</v>
      </c>
      <c r="CI221" s="1" t="str">
        <f aca="false">IF(0, VLOOKUP($CG221, Constants!$M:$N, 2, FALSE()),"")</f>
        <v/>
      </c>
      <c r="CJ221" s="1" t="str">
        <f aca="false">IF(P221&gt;1,_xlfn.CONCAT("{BLACK}Cars: {GOLD}", P221),"")</f>
        <v/>
      </c>
      <c r="CK221" s="1" t="s">
        <v>760</v>
      </c>
      <c r="CL221" s="1" t="str">
        <f aca="false">IF($BX221="concept_trains","{GREEN}Concept Vehicle",IF($BX221="!param_no_gameplay_units","{GREEN}Included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{GOLD}0.9 tiles{}{SILVER}After the successful introduction of the Class 59, EWS approached GM's Electro-Motive diesel with a huge order of 250 locomotives which would become Class 66.</v>
      </c>
    </row>
    <row r="222" customFormat="false" ht="14.25" hidden="false" customHeight="false" outlineLevel="0" collapsed="false">
      <c r="A222" s="1" t="s">
        <v>761</v>
      </c>
      <c r="B222" s="15" t="s">
        <v>762</v>
      </c>
      <c r="C222" s="1" t="n">
        <v>215</v>
      </c>
      <c r="E222" s="1" t="n">
        <v>163</v>
      </c>
      <c r="G222" s="1" t="str">
        <f aca="false">IF($F222&lt;&gt;"",_xlfn.CONCAT(VLOOKUP($CE222, Constants!$T:$U, 2, FALSE()),",",$F222),VLOOKUP($CE222, Constants!$T:$U, 2, FALSE()))</f>
        <v>role/freight</v>
      </c>
      <c r="H222" s="1" t="str">
        <f aca="false">IF($G222&lt;&gt;"",_xlfn.CONCAT(VLOOKUP($CG222, Constants!$M:$P, 4, FALSE()),",",$G222),VLOOKUP($CG222, Constants!$M:$P, 4, FALSE()))</f>
        <v>flag/GB,power/diesel,role/freight</v>
      </c>
      <c r="I222" s="1" t="s">
        <v>241</v>
      </c>
      <c r="J222" s="1" t="s">
        <v>249</v>
      </c>
      <c r="K222" s="1" t="s">
        <v>525</v>
      </c>
      <c r="L222" s="1" t="s">
        <v>192</v>
      </c>
      <c r="M222" s="1" t="n">
        <v>1998</v>
      </c>
      <c r="N222" s="1" t="n">
        <v>2004</v>
      </c>
      <c r="Q222" s="1" t="n">
        <v>3000</v>
      </c>
      <c r="Z222" s="1" t="n">
        <v>120.6</v>
      </c>
      <c r="AC222" s="1" t="n">
        <v>250</v>
      </c>
      <c r="AD222" s="4" t="n">
        <f aca="false">IF(AND(Z222&gt;0,AC222&gt;0),(AC222/((Z222+AA222)*10)),"")</f>
        <v>0.207296849087894</v>
      </c>
      <c r="AE222" s="1" t="n">
        <v>95</v>
      </c>
      <c r="AF222" s="1" t="n">
        <f aca="false">ROUND(AE222*1.6, 0)</f>
        <v>152</v>
      </c>
      <c r="AH222" s="1" t="n">
        <v>19.38</v>
      </c>
      <c r="AI222" s="1" t="n">
        <v>19.38</v>
      </c>
      <c r="AK222" s="1" t="n">
        <v>3.9</v>
      </c>
      <c r="AL222" s="5" t="n">
        <v>0</v>
      </c>
      <c r="AM222" s="1" t="str">
        <f aca="false">CONCATENATE(VLOOKUP(AN222, 'Voxel Sizes'!$A$2:$B$18,2,FALSE()),"x",INT(AJ222*15), "x", INT(AK222*15))</f>
        <v>186x0x58</v>
      </c>
      <c r="AN222" s="1" t="n">
        <f aca="false">ROUND(15*((AI222*10)/256),0)</f>
        <v>11</v>
      </c>
      <c r="AP222" s="1" t="str">
        <f aca="false">CONCATENATE(VLOOKUP(AN222,Constants!$A$2:$C$16,IF(AO222&lt;&gt;"", 3, 2), FALSE()),IF(AO222&lt;&gt;"",CONCATENATE(",",VLOOKUP(AO222,$B:$AP,41,FALSE())),""))</f>
        <v>4,3,4</v>
      </c>
      <c r="AZ222" s="1" t="n">
        <v>30</v>
      </c>
      <c r="BA222" s="16" t="str">
        <f aca="false">IF(O222&lt;&gt;"",MAX(16,(O222-M222)+8),"")</f>
        <v/>
      </c>
      <c r="BD222" s="1" t="n">
        <f aca="false">MIN(AE222/150, 1)*30</f>
        <v>19</v>
      </c>
      <c r="BE222" s="1" t="n">
        <f aca="false">MIN(Q222/4000, 1)*20</f>
        <v>15</v>
      </c>
      <c r="BF222" s="1" t="n">
        <f aca="false">MIN(AC222/400,1)*20</f>
        <v>12.5</v>
      </c>
      <c r="BG222" s="4" t="n">
        <f aca="false">1-(MAX(M222-1900, 0)/750)</f>
        <v>0.869333333333333</v>
      </c>
      <c r="BH222" s="1" t="n">
        <f aca="false">((MAX($P222,1)*MIN($AL222/300,1)))*IF(J222="Wagon",50,10)</f>
        <v>0</v>
      </c>
      <c r="BI222" s="1" t="n">
        <f aca="false">VLOOKUP($K222,Constants!$I:$K, 2, FALSE())</f>
        <v>1</v>
      </c>
      <c r="BJ222" s="1" t="n">
        <f aca="false">VLOOKUP($K222,Constants!$I:$K, 3, FALSE())*IF(AND(J222="multiple_unit",AE222&lt;110),0.75,1)</f>
        <v>2</v>
      </c>
      <c r="BK222" s="1" t="n">
        <f aca="false">INT(POWER(((Constants!$G$2+$BD222+$BE222+$BF222+$BH222)*$BG222)*$BJ222, 1.05))+$BC222</f>
        <v>112</v>
      </c>
      <c r="BL222" s="1" t="n">
        <f aca="false">INT(POWER((((Constants!$G$1+$BD222+$BE222+$BF222+$BH222)*($BG222))*$BI222),IF($J222="wagon",1,1.2)))+$BB222</f>
        <v>118</v>
      </c>
      <c r="BM222" s="17" t="n">
        <f aca="false">BK222*IF($J222="wagon",62.5,781.25)</f>
        <v>87500</v>
      </c>
      <c r="BN222" s="17" t="n">
        <f aca="false">BL222*IF($J222="wagon",2.73,81.25)</f>
        <v>9587.5</v>
      </c>
      <c r="BU222" s="1" t="str">
        <f aca="false">IF(J222="locomotive","B","")</f>
        <v>B</v>
      </c>
      <c r="BV222" s="1" t="str">
        <f aca="false">IF($J222="locomotive","B","")</f>
        <v>B</v>
      </c>
      <c r="BY222" s="1" t="n">
        <v>12</v>
      </c>
      <c r="CD222" s="1" t="str">
        <f aca="false">VLOOKUP(M222,Eras!$A$2:$C$10, 2, TRUE())</f>
        <v>prv</v>
      </c>
      <c r="CE222" s="1" t="s">
        <v>132</v>
      </c>
      <c r="CF222" s="1" t="str">
        <f aca="false">CONCATENATE(CD222,"_",CE222)</f>
        <v>prv_Freight</v>
      </c>
      <c r="CG222" s="1" t="str">
        <f aca="false">_xlfn.CONCAT(K222, "_",L222)</f>
        <v>diesel_RAIL</v>
      </c>
      <c r="CH222" s="7" t="str">
        <f aca="false">_xlfn.CONCAT("{BLACK}Length: {GOLD}", TEXT(ROUNDUP(IF(AS222&lt;&gt;"",SUM(VALUE(_xlfn.TEXTSPLIT(AS222, ","))), SUM(VALUE(_xlfn.TEXTSPLIT(AP222, ",")))*IF(P222, P222, 1))/16, 1), "#,##0.0"), " tiles{}")</f>
        <v>{BLACK}Length: {GOLD}0.7 tiles{}</v>
      </c>
      <c r="CI222" s="1" t="str">
        <f aca="false">IF(0, VLOOKUP($CG222, Constants!$M:$N, 2, FALSE()),"")</f>
        <v/>
      </c>
      <c r="CJ222" s="1" t="str">
        <f aca="false">IF(P222&gt;1,_xlfn.CONCAT("{BLACK}Cars: {GOLD}", P222),"")</f>
        <v/>
      </c>
      <c r="CK222" s="1" t="s">
        <v>763</v>
      </c>
      <c r="CL222" s="1" t="str">
        <f aca="false">IF($BX222="concept_trains","{GREEN}Concept Vehicle",IF($BX222="!param_no_gameplay_units","{GREEN}Included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Class 57 is a re-engineered locomotive using Class 47 bodyshells and parts, giving rise to its "Bodysnatcher" nickname.</v>
      </c>
    </row>
    <row r="223" customFormat="false" ht="14.25" hidden="false" customHeight="false" outlineLevel="0" collapsed="false">
      <c r="A223" s="1" t="s">
        <v>764</v>
      </c>
      <c r="B223" s="15" t="s">
        <v>765</v>
      </c>
      <c r="C223" s="1" t="n">
        <v>216</v>
      </c>
      <c r="E223" s="1" t="n">
        <v>164</v>
      </c>
      <c r="G223" s="1" t="str">
        <f aca="false">IF($F223&lt;&gt;"",_xlfn.CONCAT(VLOOKUP($CE223, Constants!$T:$U, 2, FALSE()),",",$F223),VLOOKUP($CE223, Constants!$T:$U, 2, FALSE()))</f>
        <v>role/freight</v>
      </c>
      <c r="H223" s="1" t="str">
        <f aca="false">IF($G223&lt;&gt;"",_xlfn.CONCAT(VLOOKUP($CG223, Constants!$M:$P, 4, FALSE()),",",$G223),VLOOKUP($CG223, Constants!$M:$P, 4, FALSE()))</f>
        <v>flag/GB,power/diesel,role/freight</v>
      </c>
      <c r="I223" s="1" t="s">
        <v>241</v>
      </c>
      <c r="J223" s="1" t="s">
        <v>249</v>
      </c>
      <c r="K223" s="1" t="s">
        <v>525</v>
      </c>
      <c r="L223" s="1" t="s">
        <v>192</v>
      </c>
      <c r="M223" s="1" t="n">
        <v>1999</v>
      </c>
      <c r="N223" s="1" t="n">
        <v>2000</v>
      </c>
      <c r="Q223" s="1" t="n">
        <v>3200</v>
      </c>
      <c r="Z223" s="1" t="n">
        <v>88</v>
      </c>
      <c r="AC223" s="1" t="n">
        <v>144</v>
      </c>
      <c r="AD223" s="4" t="n">
        <f aca="false">IF(AND(Z223&gt;0,AC223&gt;0),(AC223/((Z223+AA223)*10)),"")</f>
        <v>0.163636363636364</v>
      </c>
      <c r="AE223" s="1" t="n">
        <v>125</v>
      </c>
      <c r="AF223" s="1" t="n">
        <f aca="false">ROUND(AE223*1.6, 0)</f>
        <v>200</v>
      </c>
      <c r="AH223" s="1" t="n">
        <v>19.71</v>
      </c>
      <c r="AI223" s="1" t="n">
        <v>19.71</v>
      </c>
      <c r="AK223" s="1" t="n">
        <v>3.93</v>
      </c>
      <c r="AL223" s="5" t="n">
        <v>0</v>
      </c>
      <c r="AM223" s="1" t="str">
        <f aca="false">CONCATENATE(VLOOKUP(AN223, 'Voxel Sizes'!$A$2:$B$18,2,FALSE()),"x",INT(AJ223*15), "x", INT(AK223*15))</f>
        <v>198x0x58</v>
      </c>
      <c r="AN223" s="1" t="n">
        <f aca="false">ROUND(15*((AI223*10)/256),0)</f>
        <v>12</v>
      </c>
      <c r="AP223" s="1" t="str">
        <f aca="false">CONCATENATE(VLOOKUP(AN223,Constants!$A$2:$C$16,IF(AO223&lt;&gt;"", 3, 2), FALSE()),IF(AO223&lt;&gt;"",CONCATENATE(",",VLOOKUP(AO223,$B:$AP,41,FALSE())),""))</f>
        <v>4,4,4</v>
      </c>
      <c r="AZ223" s="1" t="n">
        <v>30</v>
      </c>
      <c r="BA223" s="16" t="str">
        <f aca="false">IF(O223&lt;&gt;"",MAX(16,(O223-M223)+8),"")</f>
        <v/>
      </c>
      <c r="BD223" s="1" t="n">
        <f aca="false">MIN(AE223/150, 1)*30</f>
        <v>25</v>
      </c>
      <c r="BE223" s="1" t="n">
        <f aca="false">MIN(Q223/4000, 1)*20</f>
        <v>16</v>
      </c>
      <c r="BF223" s="1" t="n">
        <f aca="false">MIN(AC223/400,1)*20</f>
        <v>7.2</v>
      </c>
      <c r="BG223" s="4" t="n">
        <f aca="false">1-(MAX(M223-1900, 0)/750)</f>
        <v>0.868</v>
      </c>
      <c r="BH223" s="1" t="n">
        <f aca="false">((MAX($P223,1)*MIN($AL223/300,1)))*IF(J223="Wagon",50,10)</f>
        <v>0</v>
      </c>
      <c r="BI223" s="1" t="n">
        <f aca="false">VLOOKUP($K223,Constants!$I:$K, 2, FALSE())</f>
        <v>1</v>
      </c>
      <c r="BJ223" s="1" t="n">
        <f aca="false">VLOOKUP($K223,Constants!$I:$K, 3, FALSE())*IF(AND(J223="multiple_unit",AE223&lt;110),0.75,1)</f>
        <v>2</v>
      </c>
      <c r="BK223" s="1" t="n">
        <f aca="false">INT(POWER(((Constants!$G$2+$BD223+$BE223+$BF223+$BH223)*$BG223)*$BJ223, 1.05))+$BC223</f>
        <v>115</v>
      </c>
      <c r="BL223" s="1" t="n">
        <f aca="false">INT(POWER((((Constants!$G$1+$BD223+$BE223+$BF223+$BH223)*($BG223))*$BI223),IF($J223="wagon",1,1.2)))+$BB223</f>
        <v>122</v>
      </c>
      <c r="BM223" s="17" t="n">
        <f aca="false">BK223*IF($J223="wagon",62.5,781.25)</f>
        <v>89843.75</v>
      </c>
      <c r="BN223" s="17" t="n">
        <f aca="false">BL223*IF($J223="wagon",2.73,81.25)</f>
        <v>9912.5</v>
      </c>
      <c r="BU223" s="1" t="str">
        <f aca="false">IF(J223="locomotive","B","")</f>
        <v>B</v>
      </c>
      <c r="BV223" s="1" t="str">
        <f aca="false">IF($J223="locomotive","B","")</f>
        <v>B</v>
      </c>
      <c r="BY223" s="1" t="n">
        <v>1</v>
      </c>
      <c r="CD223" s="1" t="str">
        <f aca="false">VLOOKUP(M223,Eras!$A$2:$C$10, 2, TRUE())</f>
        <v>prv</v>
      </c>
      <c r="CE223" s="1" t="s">
        <v>132</v>
      </c>
      <c r="CF223" s="1" t="str">
        <f aca="false">CONCATENATE(CD223,"_",CE223)</f>
        <v>prv_Freight</v>
      </c>
      <c r="CG223" s="1" t="str">
        <f aca="false">_xlfn.CONCAT(K223, "_",L223)</f>
        <v>diesel_RAIL</v>
      </c>
      <c r="CH223" s="7" t="str">
        <f aca="false">_xlfn.CONCAT("{BLACK}Length: {GOLD}", TEXT(ROUNDUP(IF(AS223&lt;&gt;"",SUM(VALUE(_xlfn.TEXTSPLIT(AS223, ","))), SUM(VALUE(_xlfn.TEXTSPLIT(AP223, ",")))*IF(P223, P223, 1))/16, 1), "#,##0.0"), " tiles{}")</f>
        <v>{BLACK}Length: {GOLD}0.8 tiles{}</v>
      </c>
      <c r="CI223" s="1" t="str">
        <f aca="false">IF(0, VLOOKUP($CG223, Constants!$M:$N, 2, FALSE()),"")</f>
        <v/>
      </c>
      <c r="CJ223" s="1" t="str">
        <f aca="false">IF(P223&gt;1,_xlfn.CONCAT("{BLACK}Cars: {GOLD}", P223),"")</f>
        <v/>
      </c>
      <c r="CK223" s="1" t="s">
        <v>766</v>
      </c>
      <c r="CL223" s="1" t="str">
        <f aca="false">IF($BX223="concept_trains","{GREEN}Concept Vehicle",IF($BX223="!param_no_gameplay_units","{GREEN}Included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{GOLD}0.8 tiles{}{SILVER}The Class 67 is a high speed freight locomotive designed for mail service. It uses EMD engines, generators and traction motors.</v>
      </c>
    </row>
    <row r="224" customFormat="false" ht="14.25" hidden="false" customHeight="false" outlineLevel="0" collapsed="false">
      <c r="A224" s="1" t="s">
        <v>767</v>
      </c>
      <c r="B224" s="15" t="s">
        <v>768</v>
      </c>
      <c r="C224" s="1" t="n">
        <v>217</v>
      </c>
      <c r="E224" s="1" t="n">
        <v>165</v>
      </c>
      <c r="G224" s="1" t="str">
        <f aca="false">IF($F224&lt;&gt;"",_xlfn.CONCAT(VLOOKUP($CE224, Constants!$T:$U, 2, FALSE()),",",$F224),VLOOKUP($CE224, Constants!$T:$U, 2, FALSE()))</f>
        <v>role/freight</v>
      </c>
      <c r="H224" s="1" t="str">
        <f aca="false">IF($G224&lt;&gt;"",_xlfn.CONCAT(VLOOKUP($CG224, Constants!$M:$P, 4, FALSE()),",",$G224),VLOOKUP($CG224, Constants!$M:$P, 4, FALSE()))</f>
        <v>flag/GB,power/diesel,role/freight</v>
      </c>
      <c r="I224" s="1" t="s">
        <v>241</v>
      </c>
      <c r="J224" s="1" t="s">
        <v>249</v>
      </c>
      <c r="K224" s="1" t="s">
        <v>525</v>
      </c>
      <c r="L224" s="1" t="s">
        <v>192</v>
      </c>
      <c r="M224" s="1" t="n">
        <v>2008</v>
      </c>
      <c r="N224" s="1" t="n">
        <v>2017</v>
      </c>
      <c r="Q224" s="1" t="n">
        <v>3690</v>
      </c>
      <c r="Z224" s="1" t="n">
        <v>129</v>
      </c>
      <c r="AC224" s="1" t="n">
        <v>330</v>
      </c>
      <c r="AD224" s="4" t="n">
        <f aca="false">IF(AND(Z224&gt;0,AC224&gt;0),(AC224/((Z224+AA224)*10)),"")</f>
        <v>0.255813953488372</v>
      </c>
      <c r="AE224" s="1" t="n">
        <v>75</v>
      </c>
      <c r="AF224" s="1" t="n">
        <f aca="false">ROUND(AE224*1.6, 0)</f>
        <v>120</v>
      </c>
      <c r="AH224" s="1" t="n">
        <v>21.27</v>
      </c>
      <c r="AI224" s="1" t="n">
        <v>21.27</v>
      </c>
      <c r="AK224" s="1" t="n">
        <v>3.91</v>
      </c>
      <c r="AL224" s="5" t="n">
        <v>0</v>
      </c>
      <c r="AM224" s="1" t="str">
        <f aca="false">CONCATENATE(VLOOKUP(AN224, 'Voxel Sizes'!$A$2:$B$18,2,FALSE()),"x",INT(AJ224*15), "x", INT(AK224*15))</f>
        <v>198x0x58</v>
      </c>
      <c r="AN224" s="1" t="n">
        <f aca="false">ROUND(15*((AI224*10)/256),0)</f>
        <v>12</v>
      </c>
      <c r="AP224" s="1" t="str">
        <f aca="false">CONCATENATE(VLOOKUP(AN224,Constants!$A$2:$C$16,IF(AO224&lt;&gt;"", 3, 2), FALSE()),IF(AO224&lt;&gt;"",CONCATENATE(",",VLOOKUP(AO224,$B:$AP,41,FALSE())),""))</f>
        <v>4,4,4</v>
      </c>
      <c r="AZ224" s="1" t="n">
        <v>30</v>
      </c>
      <c r="BA224" s="16" t="str">
        <f aca="false">IF(O224&lt;&gt;"",MAX(16,(O224-M224)+8),"")</f>
        <v/>
      </c>
      <c r="BD224" s="1" t="n">
        <f aca="false">MIN(AE224/150, 1)*30</f>
        <v>15</v>
      </c>
      <c r="BE224" s="1" t="n">
        <f aca="false">MIN(Q224/4000, 1)*20</f>
        <v>18.45</v>
      </c>
      <c r="BF224" s="1" t="n">
        <f aca="false">MIN(AC224/400,1)*20</f>
        <v>16.5</v>
      </c>
      <c r="BG224" s="4" t="n">
        <f aca="false">1-(MAX(M224-1900, 0)/750)</f>
        <v>0.856</v>
      </c>
      <c r="BH224" s="1" t="n">
        <f aca="false">((MAX($P224,1)*MIN($AL224/300,1)))*IF(J224="Wagon",50,10)</f>
        <v>0</v>
      </c>
      <c r="BI224" s="1" t="n">
        <f aca="false">VLOOKUP($K224,Constants!$I:$K, 2, FALSE())</f>
        <v>1</v>
      </c>
      <c r="BJ224" s="1" t="n">
        <f aca="false">VLOOKUP($K224,Constants!$I:$K, 3, FALSE())*IF(AND(J224="multiple_unit",AE224&lt;110),0.75,1)</f>
        <v>2</v>
      </c>
      <c r="BK224" s="1" t="n">
        <f aca="false">INT(POWER(((Constants!$G$2+$BD224+$BE224+$BF224+$BH224)*$BG224)*$BJ224, 1.05))+$BC224</f>
        <v>118</v>
      </c>
      <c r="BL224" s="1" t="n">
        <f aca="false">INT(POWER((((Constants!$G$1+$BD224+$BE224+$BF224+$BH224)*($BG224))*$BI224),IF($J224="wagon",1,1.2)))+$BB224</f>
        <v>124</v>
      </c>
      <c r="BM224" s="17" t="n">
        <f aca="false">BK224*IF($J224="wagon",62.5,781.25)</f>
        <v>92187.5</v>
      </c>
      <c r="BN224" s="17" t="n">
        <f aca="false">BL224*IF($J224="wagon",2.73,81.25)</f>
        <v>10075</v>
      </c>
      <c r="BU224" s="1" t="str">
        <f aca="false">IF(J224="locomotive","B","")</f>
        <v>B</v>
      </c>
      <c r="BV224" s="1" t="str">
        <f aca="false">IF($J224="locomotive","B","")</f>
        <v>B</v>
      </c>
      <c r="BY224" s="1" t="n">
        <v>2</v>
      </c>
      <c r="CD224" s="1" t="str">
        <f aca="false">VLOOKUP(M224,Eras!$A$2:$C$10, 2, TRUE())</f>
        <v>mod</v>
      </c>
      <c r="CE224" s="1" t="s">
        <v>132</v>
      </c>
      <c r="CF224" s="1" t="str">
        <f aca="false">CONCATENATE(CD224,"_",CE224)</f>
        <v>mod_Freight</v>
      </c>
      <c r="CG224" s="1" t="str">
        <f aca="false">_xlfn.CONCAT(K224, "_",L224)</f>
        <v>diesel_RAIL</v>
      </c>
      <c r="CH224" s="7" t="str">
        <f aca="false">_xlfn.CONCAT("{BLACK}Length: {GOLD}", TEXT(ROUNDUP(IF(AS224&lt;&gt;"",SUM(VALUE(_xlfn.TEXTSPLIT(AS224, ","))), SUM(VALUE(_xlfn.TEXTSPLIT(AP224, ",")))*IF(P224, P224, 1))/16, 1), "#,##0.0"), " tiles{}")</f>
        <v>{BLACK}Length: {GOLD}0.8 tiles{}</v>
      </c>
      <c r="CI224" s="1" t="str">
        <f aca="false">IF(0, VLOOKUP($CG224, Constants!$M:$N, 2, FALSE()),"")</f>
        <v/>
      </c>
      <c r="CJ224" s="1" t="str">
        <f aca="false">IF(P224&gt;1,_xlfn.CONCAT("{BLACK}Cars: {GOLD}", P224),"")</f>
        <v/>
      </c>
      <c r="CK224" s="1" t="s">
        <v>769</v>
      </c>
      <c r="CL224" s="1" t="str">
        <f aca="false">IF($BX224="concept_trains","{GREEN}Concept Vehicle",IF($BX224="!param_no_gameplay_units","{GREEN}Included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{GOLD}0.8 tiles{}{SILVER}The General Electric Class 70 is designed with crash safety in mind, hence the bonnet-like structure at each end.</v>
      </c>
    </row>
    <row r="225" customFormat="false" ht="14.25" hidden="false" customHeight="false" outlineLevel="0" collapsed="false">
      <c r="A225" s="1" t="s">
        <v>770</v>
      </c>
      <c r="B225" s="15" t="s">
        <v>771</v>
      </c>
      <c r="C225" s="1" t="n">
        <v>218</v>
      </c>
      <c r="E225" s="1" t="n">
        <v>166</v>
      </c>
      <c r="G225" s="1" t="str">
        <f aca="false">IF($F225&lt;&gt;"",_xlfn.CONCAT(VLOOKUP($CE225, Constants!$T:$U, 2, FALSE()),",",$F225),VLOOKUP($CE225, Constants!$T:$U, 2, FALSE()))</f>
        <v>role/mixed</v>
      </c>
      <c r="H225" s="1" t="str">
        <f aca="false">IF($G225&lt;&gt;"",_xlfn.CONCAT(VLOOKUP($CG225, Constants!$M:$P, 4, FALSE()),",",$G225),VLOOKUP($CG225, Constants!$M:$P, 4, FALSE()))</f>
        <v>flag/GB,power/diesel,role/mixed</v>
      </c>
      <c r="I225" s="1" t="s">
        <v>241</v>
      </c>
      <c r="J225" s="1" t="s">
        <v>249</v>
      </c>
      <c r="K225" s="1" t="s">
        <v>525</v>
      </c>
      <c r="L225" s="1" t="s">
        <v>192</v>
      </c>
      <c r="M225" s="1" t="n">
        <v>2013</v>
      </c>
      <c r="N225" s="1" t="n">
        <v>2016</v>
      </c>
      <c r="Q225" s="1" t="n">
        <v>3800</v>
      </c>
      <c r="Z225" s="1" t="n">
        <v>85</v>
      </c>
      <c r="AC225" s="1" t="n">
        <v>317</v>
      </c>
      <c r="AD225" s="4" t="n">
        <f aca="false">IF(AND(Z225&gt;0,AC225&gt;0),(AC225/((Z225+AA225)*10)),"")</f>
        <v>0.372941176470588</v>
      </c>
      <c r="AE225" s="1" t="n">
        <v>100</v>
      </c>
      <c r="AF225" s="1" t="n">
        <f aca="false">ROUND(AE225*1.6, 0)</f>
        <v>160</v>
      </c>
      <c r="AH225" s="1" t="n">
        <v>20.5</v>
      </c>
      <c r="AI225" s="1" t="n">
        <v>20.5</v>
      </c>
      <c r="AL225" s="5" t="n">
        <v>0</v>
      </c>
      <c r="AM225" s="1" t="str">
        <f aca="false">CONCATENATE(VLOOKUP(AN225, 'Voxel Sizes'!$A$2:$B$18,2,FALSE()),"x",INT(AJ225*15), "x", INT(AK225*15))</f>
        <v>198x0x0</v>
      </c>
      <c r="AN225" s="1" t="n">
        <f aca="false">ROUND(15*((AI225*10)/256),0)</f>
        <v>12</v>
      </c>
      <c r="AP225" s="1" t="str">
        <f aca="false">CONCATENATE(VLOOKUP(AN225,Constants!$A$2:$C$16,IF(AO225&lt;&gt;"", 3, 2), FALSE()),IF(AO225&lt;&gt;"",CONCATENATE(",",VLOOKUP(AO225,$B:$AP,41,FALSE())),""))</f>
        <v>4,4,4</v>
      </c>
      <c r="AZ225" s="1" t="n">
        <v>30</v>
      </c>
      <c r="BA225" s="16" t="str">
        <f aca="false">IF(O225&lt;&gt;"",MAX(16,(O225-M225)+8),"")</f>
        <v/>
      </c>
      <c r="BD225" s="1" t="n">
        <f aca="false">MIN(AE225/150, 1)*30</f>
        <v>20</v>
      </c>
      <c r="BE225" s="1" t="n">
        <f aca="false">MIN(Q225/4000, 1)*20</f>
        <v>19</v>
      </c>
      <c r="BF225" s="1" t="n">
        <f aca="false">MIN(AC225/400,1)*20</f>
        <v>15.85</v>
      </c>
      <c r="BG225" s="4" t="n">
        <f aca="false">1-(MAX(M225-1900, 0)/750)</f>
        <v>0.849333333333333</v>
      </c>
      <c r="BH225" s="1" t="n">
        <f aca="false">((MAX($P225,1)*MIN($AL225/300,1)))*IF(J225="Wagon",50,10)</f>
        <v>0</v>
      </c>
      <c r="BI225" s="1" t="n">
        <f aca="false">VLOOKUP($K225,Constants!$I:$K, 2, FALSE())</f>
        <v>1</v>
      </c>
      <c r="BJ225" s="1" t="n">
        <f aca="false">VLOOKUP($K225,Constants!$I:$K, 3, FALSE())*IF(AND(J225="multiple_unit",AE225&lt;110),0.75,1)</f>
        <v>2</v>
      </c>
      <c r="BK225" s="1" t="n">
        <f aca="false">INT(POWER(((Constants!$G$2+$BD225+$BE225+$BF225+$BH225)*$BG225)*$BJ225, 1.05))+$BC225</f>
        <v>128</v>
      </c>
      <c r="BL225" s="1" t="n">
        <f aca="false">INT(POWER((((Constants!$G$1+$BD225+$BE225+$BF225+$BH225)*($BG225))*$BI225),IF($J225="wagon",1,1.2)))+$BB225</f>
        <v>134</v>
      </c>
      <c r="BM225" s="17" t="n">
        <f aca="false">BK225*IF($J225="wagon",62.5,781.25)</f>
        <v>100000</v>
      </c>
      <c r="BN225" s="17" t="n">
        <f aca="false">BL225*IF($J225="wagon",2.73,81.25)</f>
        <v>10887.5</v>
      </c>
      <c r="BU225" s="1" t="str">
        <f aca="false">IF(J225="locomotive","B","")</f>
        <v>B</v>
      </c>
      <c r="BV225" s="1" t="str">
        <f aca="false">IF($J225="locomotive","B","")</f>
        <v>B</v>
      </c>
      <c r="BY225" s="1" t="n">
        <v>3</v>
      </c>
      <c r="CD225" s="1" t="str">
        <f aca="false">VLOOKUP(M225,Eras!$A$2:$C$10, 2, TRUE())</f>
        <v>mod</v>
      </c>
      <c r="CE225" s="1" t="s">
        <v>129</v>
      </c>
      <c r="CF225" s="1" t="str">
        <f aca="false">CONCATENATE(CD225,"_",CE225)</f>
        <v>mod_Mixed Traffic</v>
      </c>
      <c r="CG225" s="1" t="str">
        <f aca="false">_xlfn.CONCAT(K225, "_",L225)</f>
        <v>diesel_RAIL</v>
      </c>
      <c r="CH225" s="7" t="str">
        <f aca="false">_xlfn.CONCAT("{BLACK}Length: {GOLD}", TEXT(ROUNDUP(IF(AS225&lt;&gt;"",SUM(VALUE(_xlfn.TEXTSPLIT(AS225, ","))), SUM(VALUE(_xlfn.TEXTSPLIT(AP225, ",")))*IF(P225, P225, 1))/16, 1), "#,##0.0"), " tiles{}")</f>
        <v>{BLACK}Length: {GOLD}0.8 tiles{}</v>
      </c>
      <c r="CI225" s="1" t="str">
        <f aca="false">IF(0, VLOOKUP($CG225, Constants!$M:$N, 2, FALSE()),"")</f>
        <v/>
      </c>
      <c r="CJ225" s="1" t="str">
        <f aca="false">IF(P225&gt;1,_xlfn.CONCAT("{BLACK}Cars: {GOLD}", P225),"")</f>
        <v/>
      </c>
      <c r="CK225" s="1" t="s">
        <v>772</v>
      </c>
      <c r="CL225" s="1" t="str">
        <f aca="false">IF($BX225="concept_trains","{GREEN}Concept Vehicle",IF($BX225="!param_no_gameplay_units","{GREEN}Included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{GOLD}0.8 tiles{}{SILVER}The Class 68 is a modern mixed traffic disel locomotive with a powerful 16-cylinder Caterpillar engine.</v>
      </c>
    </row>
    <row r="226" s="26" customFormat="true" ht="14.25" hidden="false" customHeight="false" outlineLevel="0" collapsed="false">
      <c r="A226" s="26" t="s">
        <v>773</v>
      </c>
      <c r="B226" s="27" t="s">
        <v>774</v>
      </c>
      <c r="C226" s="1" t="n">
        <v>3085</v>
      </c>
      <c r="E226" s="1" t="n">
        <v>167</v>
      </c>
      <c r="G226" s="1" t="str">
        <f aca="false">IF($F226&lt;&gt;"",_xlfn.CONCAT(VLOOKUP($CE226, Constants!$T:$U, 2, FALSE()),",",$F226),VLOOKUP($CE226, Constants!$T:$U, 2, FALSE()))</f>
        <v>role/mixed</v>
      </c>
      <c r="H226" s="1" t="str">
        <f aca="false">IF($G226&lt;&gt;"",_xlfn.CONCAT(VLOOKUP($CG226, Constants!$M:$P, 4, FALSE()),",",$G226),VLOOKUP($CG226, Constants!$M:$P, 4, FALSE()))</f>
        <v>flag/GB,power/diesel,role/mixed</v>
      </c>
      <c r="I226" s="26" t="s">
        <v>241</v>
      </c>
      <c r="J226" s="26" t="s">
        <v>249</v>
      </c>
      <c r="K226" s="26" t="s">
        <v>678</v>
      </c>
      <c r="L226" s="26" t="s">
        <v>192</v>
      </c>
      <c r="M226" s="26" t="n">
        <v>2014</v>
      </c>
      <c r="Q226" s="26" t="n">
        <v>1600</v>
      </c>
      <c r="R226" s="2"/>
      <c r="S226" s="3"/>
      <c r="T226" s="3"/>
      <c r="U226" s="3"/>
      <c r="V226" s="3"/>
      <c r="W226" s="3"/>
      <c r="X226" s="3"/>
      <c r="Y226" s="3"/>
      <c r="Z226" s="26" t="n">
        <v>78</v>
      </c>
      <c r="AA226" s="2"/>
      <c r="AC226" s="26" t="n">
        <v>186</v>
      </c>
      <c r="AD226" s="4" t="n">
        <f aca="false">IF(AND(Z226&gt;0,AC226&gt;0),(AC226/((Z226+AA226)*10)),"")</f>
        <v>0.238461538461538</v>
      </c>
      <c r="AE226" s="26" t="n">
        <v>90</v>
      </c>
      <c r="AF226" s="26" t="n">
        <f aca="false">ROUND(AE226*1.6, 0)</f>
        <v>144</v>
      </c>
      <c r="AH226" s="26" t="n">
        <v>16.36</v>
      </c>
      <c r="AI226" s="26" t="n">
        <v>16.36</v>
      </c>
      <c r="AL226" s="5" t="n">
        <v>0</v>
      </c>
      <c r="AM226" s="1" t="str">
        <f aca="false">CONCATENATE(VLOOKUP(AN226, 'Voxel Sizes'!$A$2:$B$18,2,FALSE()),"x",INT(AJ226*15), "x", INT(AK226*15))</f>
        <v>164x0x0</v>
      </c>
      <c r="AN226" s="26" t="n">
        <f aca="false">ROUND(15*((AI226*10)/256),0)</f>
        <v>10</v>
      </c>
      <c r="AP226" s="1" t="str">
        <f aca="false">CONCATENATE(VLOOKUP(AN226,Constants!$A$2:$C$16,IF(AO226&lt;&gt;"", 3, 2), FALSE()),IF(AO226&lt;&gt;"",CONCATENATE(",",VLOOKUP(AO226,$B:$AP,41,FALSE())),""))</f>
        <v>4,2,4</v>
      </c>
      <c r="AR226" s="1"/>
      <c r="AS226" s="1"/>
      <c r="AT226" s="1"/>
      <c r="AV226" s="1"/>
      <c r="AZ226" s="26" t="n">
        <v>33</v>
      </c>
      <c r="BA226" s="16" t="str">
        <f aca="false">IF(O226&lt;&gt;"",MAX(16,(O226-M226)+8),"")</f>
        <v/>
      </c>
      <c r="BC226" s="26" t="n">
        <v>-30</v>
      </c>
      <c r="BD226" s="26" t="n">
        <f aca="false">MIN(AE226/150, 1)*30</f>
        <v>18</v>
      </c>
      <c r="BE226" s="26" t="n">
        <f aca="false">MIN(Q226/4000, 1)*20</f>
        <v>8</v>
      </c>
      <c r="BF226" s="26" t="n">
        <f aca="false">MIN(AC226/400,1)*20</f>
        <v>9.3</v>
      </c>
      <c r="BG226" s="4" t="n">
        <f aca="false">1-(MAX(M226-1900, 0)/750)</f>
        <v>0.848</v>
      </c>
      <c r="BH226" s="26" t="n">
        <f aca="false">((MAX($P226,1)*MIN($AL226/300,1)))*IF(J226="Wagon",50,10)</f>
        <v>0</v>
      </c>
      <c r="BI226" s="1" t="n">
        <f aca="false">VLOOKUP($K226,Constants!$I:$K, 2, FALSE())</f>
        <v>0.9</v>
      </c>
      <c r="BJ226" s="1" t="n">
        <f aca="false">VLOOKUP($K226,Constants!$I:$K, 3, FALSE())*IF(AND(J226="multiple_unit",AE226&lt;110),0.75,1)</f>
        <v>2.5</v>
      </c>
      <c r="BK226" s="1" t="n">
        <f aca="false">INT(POWER(((Constants!$G$2+$BD226+$BE226+$BF226+$BH226)*$BG226)*$BJ226, 1.05))+$BC226</f>
        <v>76</v>
      </c>
      <c r="BL226" s="1" t="n">
        <f aca="false">INT(POWER((((Constants!$G$1+$BD226+$BE226+$BF226+$BH226)*($BG226))*$BI226),IF($J226="wagon",1,1.2)))+$BB226</f>
        <v>79</v>
      </c>
      <c r="BM226" s="17" t="n">
        <f aca="false">BK226*IF($J226="wagon",62.5,781.25)</f>
        <v>59375</v>
      </c>
      <c r="BN226" s="17" t="n">
        <f aca="false">BL226*IF($J226="wagon",2.73,81.25)</f>
        <v>6418.75</v>
      </c>
      <c r="BU226" s="1" t="str">
        <f aca="false">IF(J226="locomotive","B","")</f>
        <v>B</v>
      </c>
      <c r="BV226" s="1" t="str">
        <f aca="false">IF($J226="locomotive","B","")</f>
        <v>B</v>
      </c>
      <c r="BY226" s="26" t="n">
        <v>10</v>
      </c>
      <c r="CD226" s="26" t="str">
        <f aca="false">VLOOKUP(M226,[1]Eras!$A$2:$C$10, 2, TRUE())</f>
        <v>mod</v>
      </c>
      <c r="CE226" s="26" t="s">
        <v>542</v>
      </c>
      <c r="CF226" s="26" t="str">
        <f aca="false">CONCATENATE(CD226,"_",CE226)</f>
        <v>mod_MT (Electric)</v>
      </c>
      <c r="CG226" s="26" t="str">
        <f aca="false">_xlfn.CONCAT(K226, "_",L226)</f>
        <v>dual_power_RAIL</v>
      </c>
      <c r="CH226" s="7" t="str">
        <f aca="false">_xlfn.CONCAT("{BLACK}Length: {GOLD}", TEXT(ROUNDUP(IF(AS226&lt;&gt;"",SUM(VALUE(_xlfn.TEXTSPLIT(AS226, ","))), SUM(VALUE(_xlfn.TEXTSPLIT(AP226, ",")))*IF(P226, P226, 1))/16, 1), "#,##0.0"), " tiles{}")</f>
        <v>{BLACK}Length: {GOLD}0.7 tiles{}</v>
      </c>
      <c r="CI226" s="1" t="str">
        <f aca="false">IF(0, VLOOKUP($CG226, Constants!$M:$N, 2, FALSE()),"")</f>
        <v/>
      </c>
      <c r="CJ226" s="1" t="str">
        <f aca="false">IF(P226&gt;1,_xlfn.CONCAT("{BLACK}Cars: {GOLD}", P226),"")</f>
        <v/>
      </c>
      <c r="CK226" s="26" t="s">
        <v>775</v>
      </c>
      <c r="CL226" s="1" t="str">
        <f aca="false">IF($BX226="concept_trains","{GREEN}Concept Vehicle",IF($BX226="!param_no_gameplay_units","{GREEN}Included for gameplay purposes",""))</f>
        <v/>
      </c>
      <c r="CM226" s="26" t="str">
        <f aca="false">IF(CA226="buffet","{YELLOW}25% long distance bonus for consist{}",IF(CD226="BRAKE","{YELLOW}Speed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tiles{}{SILVER}These re-engined and modernized Class 73s retained their ability to run from the third rail but received diesel engines capable of operating at an equivalent power level.</v>
      </c>
      <c r="XFD226" s="1"/>
    </row>
    <row r="227" customFormat="false" ht="14.25" hidden="false" customHeight="false" outlineLevel="0" collapsed="false">
      <c r="A227" s="1" t="s">
        <v>776</v>
      </c>
      <c r="B227" s="15" t="s">
        <v>777</v>
      </c>
      <c r="C227" s="1" t="n">
        <v>219</v>
      </c>
      <c r="E227" s="1" t="n">
        <v>168</v>
      </c>
      <c r="G227" s="1" t="str">
        <f aca="false">IF($F227&lt;&gt;"",_xlfn.CONCAT(VLOOKUP($CE227, Constants!$T:$U, 2, FALSE()),",",$F227),VLOOKUP($CE227, Constants!$T:$U, 2, FALSE()))</f>
        <v>role/freight</v>
      </c>
      <c r="H227" s="1" t="str">
        <f aca="false">IF($G227&lt;&gt;"",_xlfn.CONCAT(VLOOKUP($CG227, Constants!$M:$P, 4, FALSE()),",",$G227),VLOOKUP($CG227, Constants!$M:$P, 4, FALSE()))</f>
        <v>flag/GB,power/diesel,role/freight</v>
      </c>
      <c r="I227" s="1" t="s">
        <v>241</v>
      </c>
      <c r="J227" s="1" t="s">
        <v>249</v>
      </c>
      <c r="K227" s="1" t="s">
        <v>678</v>
      </c>
      <c r="L227" s="1" t="s">
        <v>389</v>
      </c>
      <c r="M227" s="1" t="n">
        <v>2015</v>
      </c>
      <c r="N227" s="1" t="n">
        <v>2016</v>
      </c>
      <c r="Q227" s="1" t="n">
        <v>5400</v>
      </c>
      <c r="R227" s="2" t="n">
        <v>940</v>
      </c>
      <c r="Z227" s="1" t="n">
        <v>86</v>
      </c>
      <c r="AC227" s="1" t="n">
        <v>317</v>
      </c>
      <c r="AD227" s="4" t="n">
        <f aca="false">IF(AND(Z227&gt;0,AC227&gt;0),(AC227/((Z227+AA227)*10)),"")</f>
        <v>0.368604651162791</v>
      </c>
      <c r="AE227" s="1" t="n">
        <v>100</v>
      </c>
      <c r="AF227" s="1" t="n">
        <f aca="false">ROUND(AE227*1.6, 0)</f>
        <v>160</v>
      </c>
      <c r="AH227" s="1" t="n">
        <v>20.5</v>
      </c>
      <c r="AI227" s="1" t="n">
        <v>20.5</v>
      </c>
      <c r="AL227" s="5" t="n">
        <v>0</v>
      </c>
      <c r="AM227" s="1" t="str">
        <f aca="false">CONCATENATE(VLOOKUP(AN227, 'Voxel Sizes'!$A$2:$B$18,2,FALSE()),"x",INT(AJ227*15), "x", INT(AK227*15))</f>
        <v>198x0x0</v>
      </c>
      <c r="AN227" s="1" t="n">
        <f aca="false">ROUND(15*((AI227*10)/256),0)</f>
        <v>12</v>
      </c>
      <c r="AP227" s="1" t="str">
        <f aca="false">CONCATENATE(VLOOKUP(AN227,Constants!$A$2:$C$16,IF(AO227&lt;&gt;"", 3, 2), FALSE()),IF(AO227&lt;&gt;"",CONCATENATE(",",VLOOKUP(AO227,$B:$AP,41,FALSE())),""))</f>
        <v>4,4,4</v>
      </c>
      <c r="AU227" s="1" t="s">
        <v>777</v>
      </c>
      <c r="AZ227" s="1" t="n">
        <v>30</v>
      </c>
      <c r="BA227" s="16" t="str">
        <f aca="false">IF(O227&lt;&gt;"",MAX(16,(O227-M227)+8),"")</f>
        <v/>
      </c>
      <c r="BD227" s="1" t="n">
        <f aca="false">MIN(AE227/150, 1)*30</f>
        <v>20</v>
      </c>
      <c r="BE227" s="1" t="n">
        <f aca="false">MIN(Q227/4000, 1)*20</f>
        <v>20</v>
      </c>
      <c r="BF227" s="1" t="n">
        <f aca="false">MIN(AC227/400,1)*20</f>
        <v>15.85</v>
      </c>
      <c r="BG227" s="4" t="n">
        <f aca="false">1-(MAX(M227-1900, 0)/750)</f>
        <v>0.846666666666667</v>
      </c>
      <c r="BH227" s="1" t="n">
        <f aca="false">((MAX($P227,1)*MIN($AL227/300,1)))*IF(J227="Wagon",50,10)</f>
        <v>0</v>
      </c>
      <c r="BI227" s="1" t="n">
        <f aca="false">VLOOKUP($K227,Constants!$I:$K, 2, FALSE())</f>
        <v>0.9</v>
      </c>
      <c r="BJ227" s="1" t="n">
        <f aca="false">VLOOKUP($K227,Constants!$I:$K, 3, FALSE())*IF(AND(J227="multiple_unit",AE227&lt;110),0.75,1)</f>
        <v>2.5</v>
      </c>
      <c r="BK227" s="1" t="n">
        <f aca="false">INT(POWER(((Constants!$G$2+$BD227+$BE227+$BF227+$BH227)*$BG227)*$BJ227, 1.05))+$BC227</f>
        <v>164</v>
      </c>
      <c r="BL227" s="1" t="n">
        <f aca="false">INT(POWER((((Constants!$G$1+$BD227+$BE227+$BF227+$BH227)*($BG227))*$BI227),IF($J227="wagon",1,1.2)))+$BB227</f>
        <v>119</v>
      </c>
      <c r="BM227" s="17" t="n">
        <f aca="false">BK227*IF($J227="wagon",62.5,781.25)</f>
        <v>128125</v>
      </c>
      <c r="BN227" s="17" t="n">
        <f aca="false">BL227*IF($J227="wagon",2.73,81.25)</f>
        <v>9668.75</v>
      </c>
      <c r="BU227" s="1" t="str">
        <f aca="false">IF(J227="locomotive","B","")</f>
        <v>B</v>
      </c>
      <c r="BV227" s="1" t="str">
        <f aca="false">IF($J227="locomotive","B","")</f>
        <v>B</v>
      </c>
      <c r="BY227" s="1" t="n">
        <v>4</v>
      </c>
      <c r="CD227" s="1" t="str">
        <f aca="false">VLOOKUP(M227,Eras!$A$2:$C$10, 2, TRUE())</f>
        <v>mod</v>
      </c>
      <c r="CE227" s="1" t="s">
        <v>390</v>
      </c>
      <c r="CF227" s="1" t="str">
        <f aca="false">CONCATENATE(CD227,"_",CE227)</f>
        <v>mod_Freight (Electric)</v>
      </c>
      <c r="CG227" s="1" t="str">
        <f aca="false">_xlfn.CONCAT(K227, "_",L227)</f>
        <v>dual_power_ELRL</v>
      </c>
      <c r="CH227" s="7" t="str">
        <f aca="false">_xlfn.CONCAT("{BLACK}Length: {GOLD}", TEXT(ROUNDUP(IF(AS227&lt;&gt;"",SUM(VALUE(_xlfn.TEXTSPLIT(AS227, ","))), SUM(VALUE(_xlfn.TEXTSPLIT(AP227, ",")))*IF(P227, P227, 1))/16, 1), "#,##0.0"), " tiles{}")</f>
        <v>{BLACK}Length: {GOLD}0.8 tiles{}</v>
      </c>
      <c r="CI227" s="1" t="str">
        <f aca="false">IF(0, VLOOKUP($CG227, Constants!$M:$N, 2, FALSE()),"")</f>
        <v/>
      </c>
      <c r="CJ227" s="1" t="str">
        <f aca="false">IF(P227&gt;1,_xlfn.CONCAT("{BLACK}Cars: {GOLD}", P227),"")</f>
        <v/>
      </c>
      <c r="CK227" s="1" t="s">
        <v>778</v>
      </c>
      <c r="CL227" s="1" t="str">
        <f aca="false">IF($BX227="concept_trains","{GREEN}Concept Vehicle",IF($BX227="!param_no_gameplay_units","{GREEN}Included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{BLACK}Length: {GOLD}0.8 tiles{}{SILVER}The Class 88 is a dual mode version of Stadler's Euro Dual family, sharing many components with the class 68.</v>
      </c>
    </row>
    <row r="228" customFormat="false" ht="14.25" hidden="false" customHeight="false" outlineLevel="0" collapsed="false">
      <c r="A228" s="1" t="s">
        <v>779</v>
      </c>
      <c r="B228" s="15" t="s">
        <v>780</v>
      </c>
      <c r="C228" s="1" t="n">
        <v>220</v>
      </c>
      <c r="E228" s="1" t="n">
        <v>169</v>
      </c>
      <c r="G228" s="1" t="str">
        <f aca="false">IF($F228&lt;&gt;"",_xlfn.CONCAT(VLOOKUP($CE228, Constants!$T:$U, 2, FALSE()),",",$F228),VLOOKUP($CE228, Constants!$T:$U, 2, FALSE()))</f>
        <v>role/freight</v>
      </c>
      <c r="H228" s="1" t="str">
        <f aca="false">IF($G228&lt;&gt;"",_xlfn.CONCAT(VLOOKUP($CG228, Constants!$M:$P, 4, FALSE()),",",$G228),VLOOKUP($CG228, Constants!$M:$P, 4, FALSE()))</f>
        <v>flag/GB,power/diesel,role/freight</v>
      </c>
      <c r="I228" s="1" t="s">
        <v>241</v>
      </c>
      <c r="J228" s="1" t="s">
        <v>249</v>
      </c>
      <c r="K228" s="1" t="s">
        <v>525</v>
      </c>
      <c r="L228" s="1" t="s">
        <v>192</v>
      </c>
      <c r="M228" s="1" t="n">
        <v>2020</v>
      </c>
      <c r="N228" s="1" t="n">
        <v>2025</v>
      </c>
      <c r="Q228" s="1" t="n">
        <v>3200</v>
      </c>
      <c r="Z228" s="1" t="n">
        <v>85</v>
      </c>
      <c r="AC228" s="1" t="n">
        <v>279</v>
      </c>
      <c r="AD228" s="4" t="n">
        <f aca="false">IF(AND(Z228&gt;0,AC228&gt;0),(AC228/((Z228+AA228)*10)),"")</f>
        <v>0.328235294117647</v>
      </c>
      <c r="AE228" s="1" t="n">
        <v>80</v>
      </c>
      <c r="AF228" s="1" t="n">
        <f aca="false">ROUND(AE228*1.6, 0)</f>
        <v>128</v>
      </c>
      <c r="AH228" s="1" t="n">
        <v>20.5</v>
      </c>
      <c r="AI228" s="1" t="n">
        <v>20.5</v>
      </c>
      <c r="AL228" s="5" t="n">
        <v>0</v>
      </c>
      <c r="AM228" s="1" t="str">
        <f aca="false">CONCATENATE(VLOOKUP(AN228, 'Voxel Sizes'!$A$2:$B$18,2,FALSE()),"x",INT(AJ228*15), "x", INT(AK228*15))</f>
        <v>186x0x0</v>
      </c>
      <c r="AN228" s="1" t="n">
        <v>11</v>
      </c>
      <c r="AP228" s="1" t="str">
        <f aca="false">CONCATENATE(VLOOKUP(AN228,Constants!$A$2:$C$16,IF(AO228&lt;&gt;"", 3, 2), FALSE()),IF(AO228&lt;&gt;"",CONCATENATE(",",VLOOKUP(AO228,$B:$AP,41,FALSE())),""))</f>
        <v>4,3,4</v>
      </c>
      <c r="AZ228" s="1" t="n">
        <v>29</v>
      </c>
      <c r="BA228" s="16" t="str">
        <f aca="false">IF(O228&lt;&gt;"",MAX(16,(O228-M228)+8),"")</f>
        <v/>
      </c>
      <c r="BD228" s="1" t="n">
        <f aca="false">MIN(AE228/150, 1)*30</f>
        <v>16</v>
      </c>
      <c r="BE228" s="1" t="n">
        <f aca="false">MIN(Q228/4000, 1)*20</f>
        <v>16</v>
      </c>
      <c r="BF228" s="1" t="n">
        <f aca="false">MIN(AC228/400,1)*20</f>
        <v>13.95</v>
      </c>
      <c r="BG228" s="4" t="n">
        <f aca="false">1-(MAX(M228-1900, 0)/750)</f>
        <v>0.84</v>
      </c>
      <c r="BH228" s="1" t="n">
        <f aca="false">((MAX($P228,1)*MIN($AL228/300,1)))*IF(J228="Wagon",50,10)</f>
        <v>0</v>
      </c>
      <c r="BI228" s="1" t="n">
        <f aca="false">VLOOKUP($K228,Constants!$I:$K, 2, FALSE())</f>
        <v>1</v>
      </c>
      <c r="BJ228" s="1" t="n">
        <f aca="false">VLOOKUP($K228,Constants!$I:$K, 3, FALSE())*IF(AND(J228="multiple_unit",AE228&lt;110),0.75,1)</f>
        <v>2</v>
      </c>
      <c r="BK228" s="1" t="n">
        <f aca="false">INT(POWER(((Constants!$G$2+$BD228+$BE228+$BF228+$BH228)*$BG228)*$BJ228, 1.05))+$BC228</f>
        <v>106</v>
      </c>
      <c r="BL228" s="1" t="n">
        <f aca="false">INT(POWER((((Constants!$G$1+$BD228+$BE228+$BF228+$BH228)*($BG228))*$BI228),IF($J228="wagon",1,1.2)))+$BB228</f>
        <v>112</v>
      </c>
      <c r="BM228" s="17" t="n">
        <f aca="false">BK228*IF($J228="wagon",62.5,781.25)</f>
        <v>82812.5</v>
      </c>
      <c r="BN228" s="17" t="n">
        <f aca="false">BL228*IF($J228="wagon",2.73,81.25)</f>
        <v>9100</v>
      </c>
      <c r="BU228" s="1" t="str">
        <f aca="false">IF(J228="locomotive","B","")</f>
        <v>B</v>
      </c>
      <c r="BV228" s="1" t="str">
        <f aca="false">IF($J228="locomotive","B","")</f>
        <v>B</v>
      </c>
      <c r="BY228" s="1" t="n">
        <v>6</v>
      </c>
      <c r="CD228" s="1" t="str">
        <f aca="false">VLOOKUP(M228,Eras!$A$2:$C$10, 2, TRUE())</f>
        <v>mod</v>
      </c>
      <c r="CE228" s="1" t="s">
        <v>132</v>
      </c>
      <c r="CF228" s="1" t="str">
        <f aca="false">CONCATENATE(CD228,"_",CE228)</f>
        <v>mod_Freight</v>
      </c>
      <c r="CG228" s="1" t="str">
        <f aca="false">_xlfn.CONCAT(K228, "_",L228)</f>
        <v>diesel_RAIL</v>
      </c>
      <c r="CH228" s="7" t="str">
        <f aca="false">_xlfn.CONCAT("{BLACK}Length: {GOLD}", TEXT(ROUNDUP(IF(AS228&lt;&gt;"",SUM(VALUE(_xlfn.TEXTSPLIT(AS228, ","))), SUM(VALUE(_xlfn.TEXTSPLIT(AP228, ",")))*IF(P228, P228, 1))/16, 1), "#,##0.0"), " tiles{}")</f>
        <v>{BLACK}Length: {GOLD}0.7 tiles{}</v>
      </c>
      <c r="CI228" s="1" t="str">
        <f aca="false">IF(0, VLOOKUP($CG228, Constants!$M:$N, 2, FALSE()),"")</f>
        <v/>
      </c>
      <c r="CJ228" s="1" t="str">
        <f aca="false">IF(P228&gt;1,_xlfn.CONCAT("{BLACK}Cars: {GOLD}", P228),"")</f>
        <v/>
      </c>
      <c r="CK228" s="1" t="s">
        <v>781</v>
      </c>
      <c r="CL228" s="1" t="str">
        <f aca="false">IF($BX228="concept_trains","{GREEN}Concept Vehicle",IF($BX228="!param_no_gameplay_units","{GREEN}Included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{BLACK}Length: {GOLD}0.7 tiles{}{SILVER}The Class 69 is a rebuild of the Class 56 to cost-effectively provide a new locomotive with similar performance to the Class 66, which could no longer be purchased due to new rail equipment regulations.</v>
      </c>
    </row>
    <row r="229" customFormat="false" ht="14.25" hidden="false" customHeight="false" outlineLevel="0" collapsed="false">
      <c r="A229" s="24" t="s">
        <v>782</v>
      </c>
      <c r="B229" s="30" t="s">
        <v>783</v>
      </c>
      <c r="C229" s="1" t="n">
        <v>-1</v>
      </c>
      <c r="E229" s="1" t="n">
        <v>-1</v>
      </c>
      <c r="G229" s="1" t="str">
        <f aca="false">IF($F229&lt;&gt;"",_xlfn.CONCAT(VLOOKUP($CE229, Constants!$T:$U, 2, FALSE()),",",$F229),VLOOKUP($CE229, Constants!$T:$U, 2, FALSE()))</f>
        <v>role/freight</v>
      </c>
      <c r="H229" s="1" t="str">
        <f aca="false">IF($G229&lt;&gt;"",_xlfn.CONCAT(VLOOKUP($CG229, Constants!$M:$P, 4, FALSE()),",",$G229),VLOOKUP($CG229, Constants!$M:$P, 4, FALSE()))</f>
        <v>flag/GB,power/diesel,role/freight</v>
      </c>
      <c r="I229" s="1" t="s">
        <v>241</v>
      </c>
      <c r="J229" s="1" t="s">
        <v>349</v>
      </c>
      <c r="K229" s="1" t="s">
        <v>678</v>
      </c>
      <c r="L229" s="1" t="s">
        <v>389</v>
      </c>
      <c r="M229" s="1" t="n">
        <v>2022</v>
      </c>
      <c r="N229" s="1" t="n">
        <v>2026</v>
      </c>
      <c r="Q229" s="1" t="n">
        <v>6200</v>
      </c>
      <c r="R229" s="2" t="n">
        <v>1200</v>
      </c>
      <c r="Z229" s="1" t="n">
        <v>86</v>
      </c>
      <c r="AC229" s="1" t="n">
        <v>317</v>
      </c>
      <c r="AD229" s="4" t="n">
        <f aca="false">IF(AND(Z229&gt;0,AC229&gt;0),(AC229/((Z229+AA229)*10)),"")</f>
        <v>0.368604651162791</v>
      </c>
      <c r="AE229" s="1" t="n">
        <v>100</v>
      </c>
      <c r="AF229" s="1" t="n">
        <f aca="false">ROUND(AE229*1.6, 0)</f>
        <v>160</v>
      </c>
      <c r="AH229" s="1" t="n">
        <v>20.5</v>
      </c>
      <c r="AI229" s="1" t="n">
        <v>20.5</v>
      </c>
      <c r="AL229" s="5" t="n">
        <v>0</v>
      </c>
      <c r="AM229" s="1" t="str">
        <f aca="false">CONCATENATE(VLOOKUP(AN229, 'Voxel Sizes'!$A$2:$B$18,2,FALSE()),"x",INT(AJ229*15), "x", INT(AK229*15))</f>
        <v>198x0x0</v>
      </c>
      <c r="AN229" s="1" t="n">
        <f aca="false">ROUND(15*((AI229*10)/256),0)</f>
        <v>12</v>
      </c>
      <c r="AP229" s="1" t="str">
        <f aca="false">CONCATENATE(VLOOKUP(AN229,Constants!$A$2:$C$16,IF(AO229&lt;&gt;"", 3, 2), FALSE()),IF(AO229&lt;&gt;"",CONCATENATE(",",VLOOKUP(AO229,$B:$AP,41,FALSE())),""))</f>
        <v>4,4,4</v>
      </c>
      <c r="AU229" s="1" t="s">
        <v>777</v>
      </c>
      <c r="AZ229" s="1" t="n">
        <v>30</v>
      </c>
      <c r="BA229" s="16" t="str">
        <f aca="false">IF(O229&lt;&gt;"",MAX(16,(O229-M229)+8),"")</f>
        <v/>
      </c>
      <c r="BD229" s="1" t="n">
        <f aca="false">MIN(AE229/150, 1)*30</f>
        <v>20</v>
      </c>
      <c r="BE229" s="1" t="n">
        <f aca="false">MIN(Q229/4000, 1)*20</f>
        <v>20</v>
      </c>
      <c r="BF229" s="1" t="n">
        <f aca="false">MIN(AC229/400,1)*20</f>
        <v>15.85</v>
      </c>
      <c r="BG229" s="4" t="n">
        <f aca="false">1-(MAX(M229-1900, 0)/750)</f>
        <v>0.837333333333333</v>
      </c>
      <c r="BH229" s="1" t="n">
        <f aca="false">((MAX($P229,1)*MIN($AL229/300,1)))*IF(J229="Wagon",50,10)</f>
        <v>0</v>
      </c>
      <c r="BI229" s="1" t="n">
        <f aca="false">VLOOKUP($K229,Constants!$I:$K, 2, FALSE())</f>
        <v>0.9</v>
      </c>
      <c r="BJ229" s="1" t="n">
        <f aca="false">VLOOKUP($K229,Constants!$I:$K, 3, FALSE())*IF(AND(J229="multiple_unit",AE229&lt;110),0.75,1)</f>
        <v>2.5</v>
      </c>
      <c r="BK229" s="1" t="n">
        <f aca="false">INT(POWER(((Constants!$G$2+$BD229+$BE229+$BF229+$BH229)*$BG229)*$BJ229, 1.05))+$BC229</f>
        <v>162</v>
      </c>
      <c r="BL229" s="1" t="n">
        <f aca="false">INT(POWER((((Constants!$G$1+$BD229+$BE229+$BF229+$BH229)*($BG229))*$BI229),IF($J229="wagon",1,1.2)))+$BB229</f>
        <v>118</v>
      </c>
      <c r="BM229" s="17" t="n">
        <f aca="false">BK229*IF($J229="wagon",62.5,781.25)</f>
        <v>126562.5</v>
      </c>
      <c r="BN229" s="17" t="n">
        <f aca="false">BL229*IF($J229="wagon",2.73,81.25)</f>
        <v>9587.5</v>
      </c>
      <c r="BU229" s="1" t="str">
        <f aca="false">IF(J229="locomotive","B","")</f>
        <v/>
      </c>
      <c r="BV229" s="1" t="str">
        <f aca="false">IF($J229="locomotive","B","")</f>
        <v/>
      </c>
      <c r="BY229" s="1" t="n">
        <v>4</v>
      </c>
      <c r="CD229" s="1" t="str">
        <f aca="false">VLOOKUP(M229,Eras!$A$2:$C$10, 2, TRUE())</f>
        <v>mod</v>
      </c>
      <c r="CE229" s="1" t="s">
        <v>390</v>
      </c>
      <c r="CF229" s="1" t="str">
        <f aca="false">CONCATENATE(CD229,"_",CE229)</f>
        <v>mod_Freight (Electric)</v>
      </c>
      <c r="CG229" s="1" t="str">
        <f aca="false">_xlfn.CONCAT(K229, "_",L229)</f>
        <v>dual_power_ELRL</v>
      </c>
      <c r="CH229" s="7" t="str">
        <f aca="false">_xlfn.CONCAT("{BLACK}Length: {GOLD}", TEXT(ROUNDUP(IF(AS229&lt;&gt;"",SUM(VALUE(_xlfn.TEXTSPLIT(AS229, ","))), SUM(VALUE(_xlfn.TEXTSPLIT(AP229, ",")))*IF(P229, P229, 1))/16, 1), "#,##0.0"), " tiles{}")</f>
        <v>{BLACK}Length: {GOLD}0.8 tiles{}</v>
      </c>
      <c r="CI229" s="1" t="str">
        <f aca="false">IF(0, VLOOKUP($CG229, Constants!$M:$N, 2, FALSE()),"")</f>
        <v/>
      </c>
      <c r="CJ229" s="1" t="str">
        <f aca="false">IF(P229&gt;1,_xlfn.CONCAT("{BLACK}Cars: {GOLD}", P229),"")</f>
        <v/>
      </c>
      <c r="CK229" s="1" t="s">
        <v>778</v>
      </c>
      <c r="CL229" s="1" t="str">
        <f aca="false">IF($BX229="concept_trains","{GREEN}Concept Vehicle",IF($BX229="!param_no_gameplay_units","{GREEN}Included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{BLACK}Length: {GOLD}0.8 tiles{}{SILVER}The Class 88 is a dual mode version of Stadler's Euro Dual family, sharing many components with the class 68.</v>
      </c>
    </row>
    <row r="230" customFormat="false" ht="14.25" hidden="false" customHeight="false" outlineLevel="0" collapsed="false">
      <c r="A230" s="24" t="s">
        <v>784</v>
      </c>
      <c r="B230" s="30" t="s">
        <v>785</v>
      </c>
      <c r="C230" s="1" t="n">
        <v>-1</v>
      </c>
      <c r="E230" s="1" t="n">
        <v>-1</v>
      </c>
      <c r="G230" s="1" t="str">
        <f aca="false">IF($F230&lt;&gt;"",_xlfn.CONCAT(VLOOKUP($CE230, Constants!$T:$U, 2, FALSE()),",",$F230),VLOOKUP($CE230, Constants!$T:$U, 2, FALSE()))</f>
        <v>role/freight</v>
      </c>
      <c r="H230" s="1" t="str">
        <f aca="false">IF($G230&lt;&gt;"",_xlfn.CONCAT(VLOOKUP($CG230, Constants!$M:$P, 4, FALSE()),",",$G230),VLOOKUP($CG230, Constants!$M:$P, 4, FALSE()))</f>
        <v>flag/GB,power/diesel,role/freight</v>
      </c>
      <c r="I230" s="1" t="s">
        <v>241</v>
      </c>
      <c r="J230" s="1" t="s">
        <v>349</v>
      </c>
      <c r="K230" s="1" t="s">
        <v>678</v>
      </c>
      <c r="L230" s="1" t="s">
        <v>389</v>
      </c>
      <c r="M230" s="1" t="n">
        <v>2024</v>
      </c>
      <c r="N230" s="1" t="n">
        <v>2029</v>
      </c>
      <c r="Q230" s="1" t="n">
        <v>8270</v>
      </c>
      <c r="R230" s="2" t="n">
        <v>2400</v>
      </c>
      <c r="Z230" s="1" t="n">
        <v>86</v>
      </c>
      <c r="AC230" s="1" t="n">
        <v>317</v>
      </c>
      <c r="AD230" s="4" t="n">
        <f aca="false">IF(AND(Z230&gt;0,AC230&gt;0),(AC230/((Z230+AA230)*10)),"")</f>
        <v>0.368604651162791</v>
      </c>
      <c r="AE230" s="1" t="n">
        <v>100</v>
      </c>
      <c r="AF230" s="1" t="n">
        <f aca="false">ROUND(AE230*1.6, 0)</f>
        <v>160</v>
      </c>
      <c r="AH230" s="1" t="n">
        <v>20.5</v>
      </c>
      <c r="AI230" s="1" t="n">
        <v>20.5</v>
      </c>
      <c r="AL230" s="5" t="n">
        <v>0</v>
      </c>
      <c r="AM230" s="1" t="str">
        <f aca="false">CONCATENATE(VLOOKUP(AN230, 'Voxel Sizes'!$A$2:$B$18,2,FALSE()),"x",INT(AJ230*15), "x", INT(AK230*15))</f>
        <v>198x0x0</v>
      </c>
      <c r="AN230" s="1" t="n">
        <f aca="false">ROUND(15*((AI230*10)/256),0)</f>
        <v>12</v>
      </c>
      <c r="AP230" s="1" t="str">
        <f aca="false">CONCATENATE(VLOOKUP(AN230,Constants!$A$2:$C$16,IF(AO230&lt;&gt;"", 3, 2), FALSE()),IF(AO230&lt;&gt;"",CONCATENATE(",",VLOOKUP(AO230,$B:$AP,41,FALSE())),""))</f>
        <v>4,4,4</v>
      </c>
      <c r="AU230" s="1" t="s">
        <v>777</v>
      </c>
      <c r="AZ230" s="1" t="n">
        <v>30</v>
      </c>
      <c r="BA230" s="16" t="str">
        <f aca="false">IF(O230&lt;&gt;"",MAX(16,(O230-M230)+8),"")</f>
        <v/>
      </c>
      <c r="BD230" s="1" t="n">
        <f aca="false">MIN(AE230/150, 1)*30</f>
        <v>20</v>
      </c>
      <c r="BE230" s="1" t="n">
        <f aca="false">MIN(Q230/4000, 1)*20</f>
        <v>20</v>
      </c>
      <c r="BF230" s="1" t="n">
        <f aca="false">MIN(AC230/400,1)*20</f>
        <v>15.85</v>
      </c>
      <c r="BG230" s="4" t="n">
        <f aca="false">1-(MAX(M230-1900, 0)/750)</f>
        <v>0.834666666666667</v>
      </c>
      <c r="BH230" s="1" t="n">
        <f aca="false">((MAX($P230,1)*MIN($AL230/300,1)))*IF(J230="Wagon",50,10)</f>
        <v>0</v>
      </c>
      <c r="BI230" s="1" t="n">
        <f aca="false">VLOOKUP($K230,Constants!$I:$K, 2, FALSE())</f>
        <v>0.9</v>
      </c>
      <c r="BJ230" s="1" t="n">
        <f aca="false">VLOOKUP($K230,Constants!$I:$K, 3, FALSE())*IF(AND(J230="multiple_unit",AE230&lt;110),0.75,1)</f>
        <v>2.5</v>
      </c>
      <c r="BK230" s="1" t="n">
        <f aca="false">INT(POWER(((Constants!$G$2+$BD230+$BE230+$BF230+$BH230)*$BG230)*$BJ230, 1.05))+$BC230</f>
        <v>161</v>
      </c>
      <c r="BL230" s="1" t="n">
        <f aca="false">INT(POWER((((Constants!$G$1+$BD230+$BE230+$BF230+$BH230)*($BG230))*$BI230),IF($J230="wagon",1,1.2)))+$BB230</f>
        <v>117</v>
      </c>
      <c r="BM230" s="17" t="n">
        <f aca="false">BK230*IF($J230="wagon",62.5,781.25)</f>
        <v>125781.25</v>
      </c>
      <c r="BN230" s="17" t="n">
        <f aca="false">BL230*IF($J230="wagon",2.73,81.25)</f>
        <v>9506.25</v>
      </c>
      <c r="BU230" s="1" t="str">
        <f aca="false">IF(J230="locomotive","B","")</f>
        <v/>
      </c>
      <c r="BV230" s="1" t="str">
        <f aca="false">IF($J230="locomotive","B","")</f>
        <v/>
      </c>
      <c r="BY230" s="1" t="n">
        <v>4</v>
      </c>
      <c r="CD230" s="1" t="str">
        <f aca="false">VLOOKUP(M230,Eras!$A$2:$C$10, 2, TRUE())</f>
        <v>mod</v>
      </c>
      <c r="CE230" s="1" t="s">
        <v>390</v>
      </c>
      <c r="CF230" s="1" t="str">
        <f aca="false">CONCATENATE(CD230,"_",CE230)</f>
        <v>mod_Freight (Electric)</v>
      </c>
      <c r="CG230" s="1" t="str">
        <f aca="false">_xlfn.CONCAT(K230, "_",L230)</f>
        <v>dual_power_ELRL</v>
      </c>
      <c r="CH230" s="7" t="str">
        <f aca="false">_xlfn.CONCAT("{BLACK}Length: {GOLD}", TEXT(ROUNDUP(IF(AS230&lt;&gt;"",SUM(VALUE(_xlfn.TEXTSPLIT(AS230, ","))), SUM(VALUE(_xlfn.TEXTSPLIT(AP230, ",")))*IF(P230, P230, 1))/16, 1), "#,##0.0"), " tiles{}")</f>
        <v>{BLACK}Length: {GOLD}0.8 tiles{}</v>
      </c>
      <c r="CI230" s="1" t="str">
        <f aca="false">IF(0, VLOOKUP($CG230, Constants!$M:$N, 2, FALSE()),"")</f>
        <v/>
      </c>
      <c r="CJ230" s="1" t="str">
        <f aca="false">IF(P230&gt;1,_xlfn.CONCAT("{BLACK}Cars: {GOLD}", P230),"")</f>
        <v/>
      </c>
      <c r="CK230" s="1" t="s">
        <v>778</v>
      </c>
      <c r="CL230" s="1" t="str">
        <f aca="false">IF($BX230="concept_trains","{GREEN}Concept Vehicle",IF($BX230="!param_no_gameplay_units","{GREEN}Included for gameplay purposes",""))</f>
        <v/>
      </c>
      <c r="CM230" s="1" t="str">
        <f aca="false">IF(CA230="buffet","{YELLOW}25% long distance bonus for consist{}",IF(CC230="BRAKE","{YELLOW}Speed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{BLACK}Length: {GOLD}0.8 tiles{}{SILVER}The Class 88 is a dual mode version of Stadler's Euro Dual family, sharing many components with the class 68.</v>
      </c>
    </row>
    <row r="231" customFormat="false" ht="14.25" hidden="false" customHeight="false" outlineLevel="0" collapsed="false">
      <c r="A231" s="1" t="s">
        <v>786</v>
      </c>
      <c r="B231" s="19" t="s">
        <v>787</v>
      </c>
      <c r="C231" s="1" t="n">
        <v>1046</v>
      </c>
      <c r="E231" s="1" t="n">
        <v>200</v>
      </c>
      <c r="G231" s="1" t="str">
        <f aca="false">IF($F231&lt;&gt;"",_xlfn.CONCAT(VLOOKUP($CE231, Constants!$T:$U, 2, FALSE()),",",$F231),VLOOKUP($CE231, Constants!$T:$U, 2, FALSE()))</f>
        <v>role/express_passenger</v>
      </c>
      <c r="H231" s="1" t="str">
        <f aca="false">IF($G231&lt;&gt;"",_xlfn.CONCAT(VLOOKUP($CG231, Constants!$M:$P, 4, FALSE()),",",$G231),VLOOKUP($CG231, Constants!$M:$P, 4, FALSE()))</f>
        <v>flag/GB,role/express_passenger</v>
      </c>
      <c r="I231" s="1" t="s">
        <v>241</v>
      </c>
      <c r="J231" s="1" t="s">
        <v>249</v>
      </c>
      <c r="K231" s="1" t="s">
        <v>704</v>
      </c>
      <c r="L231" s="1" t="s">
        <v>192</v>
      </c>
      <c r="M231" s="1" t="n">
        <v>1979</v>
      </c>
      <c r="Q231" s="1" t="n">
        <v>50</v>
      </c>
      <c r="Z231" s="1" t="n">
        <v>33</v>
      </c>
      <c r="AB231" s="1" t="n">
        <v>5</v>
      </c>
      <c r="AC231" s="1" t="n">
        <v>5</v>
      </c>
      <c r="AD231" s="4" t="n">
        <f aca="false">IF(AND(Z231&gt;0,AC231&gt;0),(AC231/((Z231+AA231)*10)),"")</f>
        <v>0.0151515151515152</v>
      </c>
      <c r="AE231" s="1" t="n">
        <v>100</v>
      </c>
      <c r="AF231" s="1" t="n">
        <f aca="false">ROUND(AE231*1.6, 0)</f>
        <v>160</v>
      </c>
      <c r="AH231" s="1" t="n">
        <v>20.12</v>
      </c>
      <c r="AI231" s="1" t="n">
        <v>20.12</v>
      </c>
      <c r="AL231" s="5" t="n">
        <v>36</v>
      </c>
      <c r="AM231" s="1" t="str">
        <f aca="false">CONCATENATE(VLOOKUP(AN231, 'Voxel Sizes'!$A$2:$B$18,2,FALSE()),"x",INT(AJ231*15), "x", INT(AK231*15))</f>
        <v>198x0x0</v>
      </c>
      <c r="AN231" s="16" t="n">
        <f aca="false">ROUND(15*((AI231*10)/256),0)</f>
        <v>12</v>
      </c>
      <c r="AP231" s="1" t="str">
        <f aca="false">CONCATENATE(VLOOKUP(AN231,Constants!$A$2:$C$16,IF(AO231&lt;&gt;"", 3, 2), FALSE()),IF(AO231&lt;&gt;"",CONCATENATE(",",VLOOKUP(AO231,$B:$AP,41,FALSE())),""))</f>
        <v>4,4,4</v>
      </c>
      <c r="AZ231" s="1" t="n">
        <v>33</v>
      </c>
      <c r="BA231" s="16" t="str">
        <f aca="false">IF(O231&lt;&gt;"",MAX(16,(O231-M231)+8),"")</f>
        <v/>
      </c>
      <c r="BB231" s="1" t="n">
        <v>-35</v>
      </c>
      <c r="BC231" s="1" t="n">
        <v>-52</v>
      </c>
      <c r="BD231" s="20" t="n">
        <f aca="false">MIN(AE231/150, 1)*30</f>
        <v>20</v>
      </c>
      <c r="BE231" s="20" t="n">
        <f aca="false">MIN(Q231/4000, 1)*20</f>
        <v>0.25</v>
      </c>
      <c r="BF231" s="20" t="n">
        <f aca="false">MIN(AC231/400,1)*20</f>
        <v>0.25</v>
      </c>
      <c r="BG231" s="21" t="n">
        <f aca="false">1-(MAX(M231-1900, 0)/750)</f>
        <v>0.894666666666667</v>
      </c>
      <c r="BH231" s="20" t="n">
        <f aca="false">((MAX($P231,1)*MIN($AL231/300,1)))*IF(J231="Wagon",50,10)</f>
        <v>1.2</v>
      </c>
      <c r="BI231" s="1" t="n">
        <f aca="false">VLOOKUP($K231,Constants!$I:$K, 2, FALSE())</f>
        <v>0.85</v>
      </c>
      <c r="BJ231" s="1" t="n">
        <f aca="false">VLOOKUP($K231,Constants!$I:$K, 3, FALSE())*IF(AND(J231="multiple_unit",AE231&lt;110),0.75,1)</f>
        <v>2.3</v>
      </c>
      <c r="BK231" s="1" t="n">
        <f aca="false">INT(POWER(((Constants!$G$2+$BD231+$BE231+$BF231+$BH231)*$BG231)*$BJ231, 1.05))+$BC231</f>
        <v>15</v>
      </c>
      <c r="BL231" s="1" t="n">
        <f aca="false">INT(POWER((((Constants!$G$1+$BD231+$BE231+$BF231+$BH231)*($BG231))*$BI231),IF($J231="wagon",1,1.2)))+$BB231</f>
        <v>19</v>
      </c>
      <c r="BM231" s="22" t="n">
        <f aca="false">BK231*IF($J231="wagon",62.5,781.25)</f>
        <v>11718.75</v>
      </c>
      <c r="BN231" s="22" t="n">
        <f aca="false">BL231*IF($J231="wagon",2.73,81.25)</f>
        <v>1543.75</v>
      </c>
      <c r="BO231" s="1" t="n">
        <v>1</v>
      </c>
      <c r="BP231" s="1" t="n">
        <v>1</v>
      </c>
      <c r="BU231" s="1" t="str">
        <f aca="false">IF(J231="locomotive","B","")</f>
        <v>B</v>
      </c>
      <c r="BV231" s="1" t="str">
        <f aca="false">IF($J231="locomotive","B","")</f>
        <v>B</v>
      </c>
      <c r="BY231" s="1" t="n">
        <v>7</v>
      </c>
      <c r="CB231" s="1" t="s">
        <v>366</v>
      </c>
      <c r="CC231" s="1" t="s">
        <v>367</v>
      </c>
      <c r="CD231" s="23" t="s">
        <v>647</v>
      </c>
      <c r="CE231" s="1" t="s">
        <v>447</v>
      </c>
      <c r="CF231" s="23" t="str">
        <f aca="false">CONCATENATE(CD231,"_",CE231)</f>
        <v>lbr_Express (Electric)</v>
      </c>
      <c r="CG231" s="23" t="str">
        <f aca="false">_xlfn.CONCAT(K231, "_",L231)</f>
        <v>none_RAIL</v>
      </c>
      <c r="CH231" s="7" t="str">
        <f aca="false">_xlfn.CONCAT("{BLACK}Length: {GOLD}", TEXT(ROUNDUP(IF(AS231&lt;&gt;"",SUM(VALUE(_xlfn.TEXTSPLIT(AS231, ","))), SUM(VALUE(_xlfn.TEXTSPLIT(AP231, ",")))*IF(P231, P231, 1))/16, 1), "#,##0.0"), " tiles{}")</f>
        <v>{BLACK}Length: {GOLD}0.8 tiles{}</v>
      </c>
      <c r="CI231" s="1" t="str">
        <f aca="false">IF(0, VLOOKUP($CG231, Constants!$M:$N, 2, FALSE()),"")</f>
        <v/>
      </c>
      <c r="CJ231" s="1" t="str">
        <f aca="false">IF(P231&gt;1,_xlfn.CONCAT("{BLACK}Cars: {GOLD}", P231),"")</f>
        <v/>
      </c>
      <c r="CK231" s="1" t="s">
        <v>788</v>
      </c>
      <c r="CL231" s="1" t="str">
        <f aca="false">IF($BX231="concept_trains","{GREEN}Concept Vehicle",IF($BX231="!param_no_gameplay_units","{GREEN}Included for gameplay purposes",""))</f>
        <v/>
      </c>
      <c r="CM231" s="1" t="str">
        <f aca="false">IF(CA231="buffet","{YELLOW}25% long distance bonus for consist{}",IF(CB231="DANDY","{YELLOW}Faster downhill speeds for horse-drawn trains (1 required per 2 horses){}",IF(CB231="BRAKE","{YELLOW}Speed bonus for slow wagons{}",IF(CB231="NGPassengers","{YELLOW}Preserved railway bonus: passengers pay more when hauled by old locomotives{}",IF(AND(BZ231&gt;190,NOT(AND(L231="NARROW_GAUGE",CB231&lt;&gt;"PASS"))),CONCATENATE("{YELLOW}",INT((BZ231-185)/1.85),"%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{BLACK}Length: {GOLD}0.8 tiles{}{SILVER}The DBSO is a driving trailer built from a converted Mk2F carriage. They were first used with Class 47 locomotives for a push-pull service that could be driven from either end.</v>
      </c>
    </row>
    <row r="232" s="26" customFormat="true" ht="14.25" hidden="false" customHeight="false" outlineLevel="0" collapsed="false">
      <c r="A232" s="26" t="s">
        <v>789</v>
      </c>
      <c r="B232" s="27" t="s">
        <v>790</v>
      </c>
      <c r="C232" s="1" t="n">
        <v>3061</v>
      </c>
      <c r="E232" s="1" t="n">
        <v>201</v>
      </c>
      <c r="F232" s="1" t="s">
        <v>186</v>
      </c>
      <c r="G232" s="1" t="str">
        <f aca="false">IF($F232&lt;&gt;"",_xlfn.CONCAT(VLOOKUP($CE232, Constants!$T:$U, 2, FALSE()),",",$F232),VLOOKUP($CE232, Constants!$T:$U, 2, FALSE()))</f>
        <v>role/express_passenger,_ww_livery/intercity</v>
      </c>
      <c r="H232" s="1" t="str">
        <f aca="false">IF($G232&lt;&gt;"",_xlfn.CONCAT(VLOOKUP($CG232, Constants!$M:$P, 4, FALSE()),",",$G232),VLOOKUP($CG232, Constants!$M:$P, 4, FALSE()))</f>
        <v>flag/GB,role/express_passenger,_ww_livery/intercity</v>
      </c>
      <c r="I232" s="26" t="s">
        <v>241</v>
      </c>
      <c r="J232" s="26" t="s">
        <v>249</v>
      </c>
      <c r="K232" s="26" t="s">
        <v>704</v>
      </c>
      <c r="L232" s="26" t="s">
        <v>192</v>
      </c>
      <c r="M232" s="26" t="n">
        <v>1986</v>
      </c>
      <c r="N232" s="26" t="n">
        <v>1991</v>
      </c>
      <c r="Q232" s="26" t="n">
        <v>100</v>
      </c>
      <c r="R232" s="2"/>
      <c r="S232" s="3"/>
      <c r="T232" s="3"/>
      <c r="U232" s="3"/>
      <c r="V232" s="3"/>
      <c r="W232" s="3"/>
      <c r="X232" s="3"/>
      <c r="Y232" s="3"/>
      <c r="Z232" s="26" t="n">
        <v>35</v>
      </c>
      <c r="AA232" s="2"/>
      <c r="AB232" s="26" t="n">
        <v>4</v>
      </c>
      <c r="AC232" s="26" t="n">
        <v>5</v>
      </c>
      <c r="AD232" s="4" t="n">
        <f aca="false">IF(AND(Z232&gt;0,AC232&gt;0),(AC232/((Z232+AA232)*10)),"")</f>
        <v>0.0142857142857143</v>
      </c>
      <c r="AE232" s="26" t="n">
        <v>125</v>
      </c>
      <c r="AF232" s="26" t="n">
        <f aca="false">ROUND(AE232*1.6, 0)</f>
        <v>200</v>
      </c>
      <c r="AH232" s="26" t="n">
        <v>23</v>
      </c>
      <c r="AI232" s="26" t="n">
        <v>23</v>
      </c>
      <c r="AL232" s="5" t="n">
        <v>45</v>
      </c>
      <c r="AM232" s="1" t="str">
        <f aca="false">CONCATENATE(VLOOKUP(AN232, 'Voxel Sizes'!$A$2:$B$18,2,FALSE()),"x",INT(AJ232*15), "x", INT(AK232*15))</f>
        <v>214x0x0</v>
      </c>
      <c r="AN232" s="26" t="n">
        <f aca="false">ROUND(15*((AI232*10)/256),0)</f>
        <v>13</v>
      </c>
      <c r="AP232" s="1" t="str">
        <f aca="false">CONCATENATE(VLOOKUP(AN232,Constants!$A$2:$C$16,IF(AO232&lt;&gt;"", 3, 2), FALSE()),IF(AO232&lt;&gt;"",CONCATENATE(",",VLOOKUP(AO232,$B:$AP,41,FALSE())),""))</f>
        <v>4,5,4</v>
      </c>
      <c r="AR232" s="6"/>
      <c r="AS232" s="6"/>
      <c r="AZ232" s="26" t="n">
        <v>27</v>
      </c>
      <c r="BA232" s="16" t="str">
        <f aca="false">IF(O232&lt;&gt;"",MAX(16,(O232-M232)+8),"")</f>
        <v/>
      </c>
      <c r="BB232" s="26" t="n">
        <v>-15</v>
      </c>
      <c r="BC232" s="26" t="n">
        <v>-60</v>
      </c>
      <c r="BD232" s="26" t="n">
        <f aca="false">MIN(AE232/150, 1)*30</f>
        <v>25</v>
      </c>
      <c r="BE232" s="26" t="n">
        <f aca="false">MIN(Q232/4000, 1)*20</f>
        <v>0.5</v>
      </c>
      <c r="BF232" s="26" t="n">
        <f aca="false">MIN(AC232/400,1)*20</f>
        <v>0.25</v>
      </c>
      <c r="BG232" s="4" t="n">
        <f aca="false">1-(MAX(M232-1900, 0)/750)</f>
        <v>0.885333333333333</v>
      </c>
      <c r="BH232" s="26" t="n">
        <f aca="false">((MAX($P232,1)*MIN($AL232/300,1)))*IF(J232="Wagon",50,10)</f>
        <v>1.5</v>
      </c>
      <c r="BI232" s="1" t="n">
        <f aca="false">VLOOKUP($K232,Constants!$I:$K, 2, FALSE())</f>
        <v>0.85</v>
      </c>
      <c r="BJ232" s="1" t="n">
        <f aca="false">VLOOKUP($K232,Constants!$I:$K, 3, FALSE())*IF(AND(J232="multiple_unit",AE232&lt;110),0.75,1)</f>
        <v>2.3</v>
      </c>
      <c r="BK232" s="1" t="n">
        <f aca="false">INT(POWER(((Constants!$G$2+$BD232+$BE232+$BF232+$BH232)*$BG232)*$BJ232, 1.05))+$BC232</f>
        <v>20</v>
      </c>
      <c r="BL232" s="1" t="n">
        <f aca="false">INT(POWER((((Constants!$G$1+$BD232+$BE232+$BF232+$BH232)*($BG232))*$BI232),IF($J232="wagon",1,1.2)))+$BB232</f>
        <v>48</v>
      </c>
      <c r="BM232" s="17" t="n">
        <f aca="false">BK232*IF($J232="wagon",62.5,781.25)</f>
        <v>15625</v>
      </c>
      <c r="BN232" s="17" t="n">
        <f aca="false">BL232*IF($J232="wagon",2.73,81.25)</f>
        <v>3900</v>
      </c>
      <c r="BO232" s="26" t="n">
        <v>1</v>
      </c>
      <c r="BP232" s="26" t="n">
        <v>1</v>
      </c>
      <c r="BU232" s="1" t="str">
        <f aca="false">IF(J232="locomotive","B","")</f>
        <v>B</v>
      </c>
      <c r="BV232" s="1" t="str">
        <f aca="false">IF($J232="locomotive","B","")</f>
        <v>B</v>
      </c>
      <c r="BX232" s="26" t="s">
        <v>691</v>
      </c>
      <c r="BY232" s="26" t="n">
        <v>7</v>
      </c>
      <c r="BZ232" s="26" t="n">
        <v>205</v>
      </c>
      <c r="CB232" s="26" t="s">
        <v>366</v>
      </c>
      <c r="CC232" s="26" t="s">
        <v>367</v>
      </c>
      <c r="CD232" s="26" t="str">
        <f aca="false">VLOOKUP(M232,[1]Eras!$A$2:$C$10, 2, TRUE())</f>
        <v>lbr</v>
      </c>
      <c r="CE232" s="26" t="s">
        <v>282</v>
      </c>
      <c r="CF232" s="26" t="str">
        <f aca="false">CONCATENATE(CD232,"_",CE232)</f>
        <v>lbr_Express</v>
      </c>
      <c r="CG232" s="26" t="str">
        <f aca="false">_xlfn.CONCAT(K232, "_",L232)</f>
        <v>none_RAIL</v>
      </c>
      <c r="CH232" s="7" t="str">
        <f aca="false">_xlfn.CONCAT("{BLACK}Length: {GOLD}", TEXT(ROUNDUP(IF(AS232&lt;&gt;"",SUM(VALUE(_xlfn.TEXTSPLIT(AS232, ","))), SUM(VALUE(_xlfn.TEXTSPLIT(AP232, ",")))*IF(P232, P232, 1))/16, 1), "#,##0.0"), " tiles{}")</f>
        <v>{BLACK}Length: {GOLD}0.9 tiles{}</v>
      </c>
      <c r="CI232" s="1" t="str">
        <f aca="false">IF(0, VLOOKUP($CG232, Constants!$M:$N, 2, FALSE()),"")</f>
        <v/>
      </c>
      <c r="CJ232" s="1" t="str">
        <f aca="false">IF(P232&gt;1,_xlfn.CONCAT("{BLACK}Cars: {GOLD}", P232),"")</f>
        <v/>
      </c>
      <c r="CK232" s="26" t="s">
        <v>791</v>
      </c>
      <c r="CL232" s="1" t="str">
        <f aca="false">IF($BX232="concept_trains","{GREEN}Concept Vehicle",IF($BX232="!param_no_gameplay_units","{GREEN}Included for gameplay purposes",""))</f>
        <v>{GREEN}Concept Vehicle</v>
      </c>
      <c r="CM232" s="26"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{YELLOW}10% bonus for long distance travel{}</v>
      </c>
      <c r="CN232" s="1" t="str">
        <f aca="false">_xlfn.CONCAT(CI232,IF(CI232&lt;&gt;""," ",""),CJ232,IF(OR(CJ232&lt;&gt;"",CI232&lt;&gt;""),"{}",""),CH232,CM232,"{SILVER}",CK232,IF(CL232&lt;&gt;"","{}{}",""),CL232)</f>
        <v>{BLACK}Length: {GOLD}0.9 tiles{}{YELLOW}10% bonus for long distance travel{}{SILVER}A conversion of the Mk3 coach to incorporate a driving cab was proposed before the Polmont derailment put a stop to the idea of having passengers in the leading vehicle of locomotive-propelled trains.{}{}{GREEN}Concept Vehicle</v>
      </c>
      <c r="XFD232" s="1"/>
    </row>
    <row r="233" customFormat="false" ht="14.25" hidden="false" customHeight="false" outlineLevel="0" collapsed="false">
      <c r="A233" s="1" t="s">
        <v>792</v>
      </c>
      <c r="B233" s="30" t="s">
        <v>793</v>
      </c>
      <c r="C233" s="1" t="n">
        <v>4210</v>
      </c>
      <c r="E233" s="1" t="n">
        <v>202</v>
      </c>
      <c r="F233" s="1" t="s">
        <v>186</v>
      </c>
      <c r="G233" s="1" t="str">
        <f aca="false">IF($F233&lt;&gt;"",_xlfn.CONCAT(VLOOKUP($CE233, Constants!$T:$U, 2, FALSE()),",",$F233),VLOOKUP($CE233, Constants!$T:$U, 2, FALSE()))</f>
        <v>role/express_passenger,_ww_livery/intercity</v>
      </c>
      <c r="H233" s="1" t="str">
        <f aca="false">IF($G233&lt;&gt;"",_xlfn.CONCAT(VLOOKUP($CG233, Constants!$M:$P, 4, FALSE()),",",$G233),VLOOKUP($CG233, Constants!$M:$P, 4, FALSE()))</f>
        <v>flag/GB,role/express_passenger,_ww_livery/intercity</v>
      </c>
      <c r="I233" s="1" t="s">
        <v>241</v>
      </c>
      <c r="J233" s="1" t="s">
        <v>249</v>
      </c>
      <c r="K233" s="1" t="s">
        <v>704</v>
      </c>
      <c r="L233" s="1" t="s">
        <v>192</v>
      </c>
      <c r="M233" s="1" t="n">
        <v>1988</v>
      </c>
      <c r="N233" s="1" t="n">
        <v>1991</v>
      </c>
      <c r="Q233" s="1" t="n">
        <v>100</v>
      </c>
      <c r="Z233" s="1" t="n">
        <v>40</v>
      </c>
      <c r="AC233" s="1" t="n">
        <v>5</v>
      </c>
      <c r="AD233" s="4" t="n">
        <f aca="false">IF(AND(Z233&gt;0,AC233&gt;0),(AC233/((Z233+AA233)*10)),"")</f>
        <v>0.0125</v>
      </c>
      <c r="AE233" s="1" t="n">
        <v>125</v>
      </c>
      <c r="AF233" s="1" t="n">
        <f aca="false">ROUND(AE233*1.6, 0)</f>
        <v>200</v>
      </c>
      <c r="AH233" s="1" t="n">
        <v>18.2</v>
      </c>
      <c r="AI233" s="1" t="n">
        <v>18.2</v>
      </c>
      <c r="AL233" s="5" t="n">
        <v>36</v>
      </c>
      <c r="AM233" s="1" t="str">
        <f aca="false">CONCATENATE(VLOOKUP(AN233, 'Voxel Sizes'!$A$2:$B$18,2,FALSE()),"x",INT(AJ233*15), "x", INT(AK233*15))</f>
        <v>186x0x0</v>
      </c>
      <c r="AN233" s="1" t="n">
        <f aca="false">ROUND(15*((AI233*10)/256),0)</f>
        <v>11</v>
      </c>
      <c r="AP233" s="1" t="str">
        <f aca="false">CONCATENATE(VLOOKUP(AN233,Constants!$A$2:$C$16,IF(AO233&lt;&gt;"", 3, 2), FALSE()),IF(AO233&lt;&gt;"",CONCATENATE(",",VLOOKUP(AO233,$B:$AP,41,FALSE())),""))</f>
        <v>4,3,4</v>
      </c>
      <c r="AZ233" s="1" t="n">
        <v>27</v>
      </c>
      <c r="BA233" s="16" t="str">
        <f aca="false">IF(O233&lt;&gt;"",MAX(16,(O233-M233)+8),"")</f>
        <v/>
      </c>
      <c r="BB233" s="1" t="n">
        <v>-35</v>
      </c>
      <c r="BC233" s="1" t="n">
        <v>-60</v>
      </c>
      <c r="BD233" s="1" t="n">
        <f aca="false">MIN(AE233/150, 1)*30</f>
        <v>25</v>
      </c>
      <c r="BE233" s="1" t="n">
        <f aca="false">MIN(Q233/4000, 1)*20</f>
        <v>0.5</v>
      </c>
      <c r="BF233" s="1" t="n">
        <f aca="false">MIN(AC233/400,1)*20</f>
        <v>0.25</v>
      </c>
      <c r="BG233" s="4" t="n">
        <f aca="false">1-(MAX(M233-1900, 0)/750)</f>
        <v>0.882666666666667</v>
      </c>
      <c r="BH233" s="1" t="n">
        <f aca="false">((MAX($P233,1)*MIN($AL233/300,1)))*IF(J233="Wagon",50,10)</f>
        <v>1.2</v>
      </c>
      <c r="BI233" s="1" t="n">
        <f aca="false">VLOOKUP($K233,Constants!$I:$K, 2, FALSE())</f>
        <v>0.85</v>
      </c>
      <c r="BJ233" s="1" t="n">
        <f aca="false">VLOOKUP($K233,Constants!$I:$K, 3, FALSE())*IF(AND(J233="multiple_unit",AE233&lt;110),0.75,1)</f>
        <v>2.3</v>
      </c>
      <c r="BK233" s="1" t="n">
        <f aca="false">INT(POWER(((Constants!$G$2+$BD233+$BE233+$BF233+$BH233)*$BG233)*$BJ233, 1.05))+$BC233</f>
        <v>19</v>
      </c>
      <c r="BL233" s="1" t="n">
        <f aca="false">INT(POWER((((Constants!$G$1+$BD233+$BE233+$BF233+$BH233)*($BG233))*$BI233),IF($J233="wagon",1,1.2)))+$BB233</f>
        <v>27</v>
      </c>
      <c r="BM233" s="17" t="n">
        <f aca="false">BK233*IF($J233="wagon",62.5,781.25)</f>
        <v>14843.75</v>
      </c>
      <c r="BN233" s="17" t="n">
        <f aca="false">BL233*IF($J233="wagon",2.73,81.25)</f>
        <v>2193.75</v>
      </c>
      <c r="BO233" s="1" t="n">
        <v>1</v>
      </c>
      <c r="BP233" s="1" t="n">
        <v>1</v>
      </c>
      <c r="BU233" s="1" t="str">
        <f aca="false">IF(J233="locomotive","B","")</f>
        <v>B</v>
      </c>
      <c r="BV233" s="1" t="str">
        <f aca="false">IF($J233="locomotive","B","")</f>
        <v>B</v>
      </c>
      <c r="BY233" s="1" t="n">
        <v>7</v>
      </c>
      <c r="CC233" s="1" t="s">
        <v>706</v>
      </c>
      <c r="CD233" s="1" t="str">
        <f aca="false">VLOOKUP(M233,Eras!$A$2:$C$10, 2, TRUE())</f>
        <v>lbr</v>
      </c>
      <c r="CE233" s="1" t="s">
        <v>447</v>
      </c>
      <c r="CF233" s="1" t="str">
        <f aca="false">CONCATENATE(CD233,"_",CE233)</f>
        <v>lbr_Express (Electric)</v>
      </c>
      <c r="CG233" s="1" t="str">
        <f aca="false">_xlfn.CONCAT(K233, "_",L233)</f>
        <v>none_RAIL</v>
      </c>
      <c r="CH233" s="7" t="str">
        <f aca="false">_xlfn.CONCAT("{BLACK}Length: {GOLD}", TEXT(ROUNDUP(IF(AS233&lt;&gt;"",SUM(VALUE(_xlfn.TEXTSPLIT(AS233, ","))), SUM(VALUE(_xlfn.TEXTSPLIT(AP233, ",")))*IF(P233, P233, 1))/16, 1), "#,##0.0"), " tiles{}")</f>
        <v>{BLACK}Length: {GOLD}0.7 tiles{}</v>
      </c>
      <c r="CI233" s="1" t="str">
        <f aca="false">IF(0, VLOOKUP($CG233, Constants!$M:$N, 2, FALSE()),"")</f>
        <v/>
      </c>
      <c r="CJ233" s="1" t="str">
        <f aca="false">IF(P233&gt;1,_xlfn.CONCAT("{BLACK}Cars: {GOLD}", P233),"")</f>
        <v/>
      </c>
      <c r="CK233" s="1" t="s">
        <v>794</v>
      </c>
      <c r="CL233" s="1" t="str">
        <f aca="false">IF($BX233="concept_trains","{GREEN}Concept Vehicle",IF($BX233="!param_no_gameplay_units","{GREEN}Included for gameplay purposes",""))</f>
        <v/>
      </c>
      <c r="CM233" s="1" t="str">
        <f aca="false">IF(CA233="buffet","{YELLOW}25% long distance bonus for consist{}",IF(CC233="BRAKE","{YELLOW}Speed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{BLACK}Length: {GOLD}0.7 tiles{}{SILVER}This driving van trailer can be used with diesel and electric locomotives, either as a leading or trailing vehicle. It is recommended for use with the Class 91.</v>
      </c>
    </row>
    <row r="234" customFormat="false" ht="14.25" hidden="false" customHeight="false" outlineLevel="0" collapsed="false">
      <c r="A234" s="1" t="s">
        <v>795</v>
      </c>
      <c r="B234" s="15" t="s">
        <v>796</v>
      </c>
      <c r="C234" s="1" t="n">
        <v>210</v>
      </c>
      <c r="E234" s="1" t="n">
        <v>203</v>
      </c>
      <c r="F234" s="1" t="s">
        <v>186</v>
      </c>
      <c r="G234" s="1" t="str">
        <f aca="false">IF($F234&lt;&gt;"",_xlfn.CONCAT(VLOOKUP($CE234, Constants!$T:$U, 2, FALSE()),",",$F234),VLOOKUP($CE234, Constants!$T:$U, 2, FALSE()))</f>
        <v>role/express_passenger,_ww_livery/intercity</v>
      </c>
      <c r="H234" s="1" t="str">
        <f aca="false">IF($G234&lt;&gt;"",_xlfn.CONCAT(VLOOKUP($CG234, Constants!$M:$P, 4, FALSE()),",",$G234),VLOOKUP($CG234, Constants!$M:$P, 4, FALSE()))</f>
        <v>flag/GB,role/express_passenger,_ww_livery/intercity</v>
      </c>
      <c r="I234" s="1" t="s">
        <v>241</v>
      </c>
      <c r="J234" s="1" t="s">
        <v>249</v>
      </c>
      <c r="K234" s="1" t="s">
        <v>704</v>
      </c>
      <c r="L234" s="1" t="s">
        <v>192</v>
      </c>
      <c r="M234" s="1" t="n">
        <v>1988</v>
      </c>
      <c r="N234" s="1" t="n">
        <v>1991</v>
      </c>
      <c r="Q234" s="1" t="n">
        <v>100</v>
      </c>
      <c r="Z234" s="1" t="n">
        <v>40</v>
      </c>
      <c r="AC234" s="1" t="n">
        <v>5</v>
      </c>
      <c r="AD234" s="4" t="n">
        <f aca="false">IF(AND(Z234&gt;0,AC234&gt;0),(AC234/((Z234+AA234)*10)),"")</f>
        <v>0.0125</v>
      </c>
      <c r="AE234" s="1" t="n">
        <v>140</v>
      </c>
      <c r="AF234" s="1" t="n">
        <f aca="false">ROUND(AE234*1.6, 0)</f>
        <v>224</v>
      </c>
      <c r="AH234" s="1" t="n">
        <v>19.4</v>
      </c>
      <c r="AI234" s="1" t="n">
        <v>19.4</v>
      </c>
      <c r="AL234" s="5" t="n">
        <v>36</v>
      </c>
      <c r="AM234" s="1" t="str">
        <f aca="false">CONCATENATE(VLOOKUP(AN234, 'Voxel Sizes'!$A$2:$B$18,2,FALSE()),"x",INT(AJ234*15), "x", INT(AK234*15))</f>
        <v>186x0x0</v>
      </c>
      <c r="AN234" s="1" t="n">
        <f aca="false">ROUND(15*((AI234*10)/256),0)</f>
        <v>11</v>
      </c>
      <c r="AP234" s="1" t="str">
        <f aca="false">CONCATENATE(VLOOKUP(AN234,Constants!$A$2:$C$16,IF(AO234&lt;&gt;"", 3, 2), FALSE()),IF(AO234&lt;&gt;"",CONCATENATE(",",VLOOKUP(AO234,$B:$AP,41,FALSE())),""))</f>
        <v>4,3,4</v>
      </c>
      <c r="AZ234" s="1" t="n">
        <v>27</v>
      </c>
      <c r="BA234" s="16" t="str">
        <f aca="false">IF(O234&lt;&gt;"",MAX(16,(O234-M234)+8),"")</f>
        <v/>
      </c>
      <c r="BB234" s="1" t="n">
        <v>-35</v>
      </c>
      <c r="BC234" s="1" t="n">
        <v>-60</v>
      </c>
      <c r="BD234" s="1" t="n">
        <f aca="false">MIN(AE234/150, 1)*30</f>
        <v>28</v>
      </c>
      <c r="BE234" s="1" t="n">
        <f aca="false">MIN(Q234/4000, 1)*20</f>
        <v>0.5</v>
      </c>
      <c r="BF234" s="1" t="n">
        <f aca="false">MIN(AC234/400,1)*20</f>
        <v>0.25</v>
      </c>
      <c r="BG234" s="4" t="n">
        <f aca="false">1-(MAX(M234-1900, 0)/750)</f>
        <v>0.882666666666667</v>
      </c>
      <c r="BH234" s="1" t="n">
        <f aca="false">((MAX($P234,1)*MIN($AL234/300,1)))*IF(J234="Wagon",50,10)</f>
        <v>1.2</v>
      </c>
      <c r="BI234" s="1" t="n">
        <f aca="false">VLOOKUP($K234,Constants!$I:$K, 2, FALSE())</f>
        <v>0.85</v>
      </c>
      <c r="BJ234" s="1" t="n">
        <f aca="false">VLOOKUP($K234,Constants!$I:$K, 3, FALSE())*IF(AND(J234="multiple_unit",AE234&lt;110),0.75,1)</f>
        <v>2.3</v>
      </c>
      <c r="BK234" s="1" t="n">
        <f aca="false">INT(POWER(((Constants!$G$2+$BD234+$BE234+$BF234+$BH234)*$BG234)*$BJ234, 1.05))+$BC234</f>
        <v>27</v>
      </c>
      <c r="BL234" s="1" t="n">
        <f aca="false">INT(POWER((((Constants!$G$1+$BD234+$BE234+$BF234+$BH234)*($BG234))*$BI234),IF($J234="wagon",1,1.2)))+$BB234</f>
        <v>33</v>
      </c>
      <c r="BM234" s="17" t="n">
        <f aca="false">BK234*IF($J234="wagon",62.5,781.25)</f>
        <v>21093.75</v>
      </c>
      <c r="BN234" s="17" t="n">
        <f aca="false">BL234*IF($J234="wagon",2.73,81.25)</f>
        <v>2681.25</v>
      </c>
      <c r="BO234" s="1" t="n">
        <v>1</v>
      </c>
      <c r="BP234" s="1" t="n">
        <v>1</v>
      </c>
      <c r="BU234" s="1" t="str">
        <f aca="false">IF(J234="locomotive","B","")</f>
        <v>B</v>
      </c>
      <c r="BV234" s="1" t="str">
        <f aca="false">IF($J234="locomotive","B","")</f>
        <v>B</v>
      </c>
      <c r="BY234" s="1" t="n">
        <v>7</v>
      </c>
      <c r="CC234" s="1" t="s">
        <v>706</v>
      </c>
      <c r="CD234" s="1" t="str">
        <f aca="false">VLOOKUP(M234,Eras!$A$2:$C$10, 2, TRUE())</f>
        <v>lbr</v>
      </c>
      <c r="CE234" s="1" t="s">
        <v>447</v>
      </c>
      <c r="CF234" s="1" t="str">
        <f aca="false">CONCATENATE(CD234,"_",CE234)</f>
        <v>lbr_Express (Electric)</v>
      </c>
      <c r="CG234" s="1" t="str">
        <f aca="false">_xlfn.CONCAT(K234, "_",L234)</f>
        <v>none_RAIL</v>
      </c>
      <c r="CH234" s="7" t="str">
        <f aca="false">_xlfn.CONCAT("{BLACK}Length: {GOLD}", TEXT(ROUNDUP(IF(AS234&lt;&gt;"",SUM(VALUE(_xlfn.TEXTSPLIT(AS234, ","))), SUM(VALUE(_xlfn.TEXTSPLIT(AP234, ",")))*IF(P234, P234, 1))/16, 1), "#,##0.0"), " tiles{}")</f>
        <v>{BLACK}Length: {GOLD}0.7 tiles{}</v>
      </c>
      <c r="CI234" s="1" t="str">
        <f aca="false">IF(0, VLOOKUP($CG234, Constants!$M:$N, 2, FALSE()),"")</f>
        <v/>
      </c>
      <c r="CJ234" s="1" t="str">
        <f aca="false">IF(P234&gt;1,_xlfn.CONCAT("{BLACK}Cars: {GOLD}", P234),"")</f>
        <v/>
      </c>
      <c r="CK234" s="1" t="s">
        <v>794</v>
      </c>
      <c r="CL234" s="1" t="str">
        <f aca="false">IF($BX234="concept_trains","{GREEN}Concept Vehicle",IF($BX234="!param_no_gameplay_units","{GREEN}Included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{BLACK}Length: {GOLD}0.7 tiles{}{SILVER}This driving van trailer can be used with diesel and electric locomotives, either as a leading or trailing vehicle. It is recommended for use with the Class 91.</v>
      </c>
    </row>
    <row r="235" customFormat="false" ht="14.25" hidden="false" customHeight="false" outlineLevel="0" collapsed="false">
      <c r="A235" s="1" t="s">
        <v>797</v>
      </c>
      <c r="B235" s="19" t="s">
        <v>798</v>
      </c>
      <c r="C235" s="1" t="n">
        <v>1047</v>
      </c>
      <c r="E235" s="1" t="n">
        <v>204</v>
      </c>
      <c r="G235" s="1" t="str">
        <f aca="false">IF($F235&lt;&gt;"",_xlfn.CONCAT(VLOOKUP($CE235, Constants!$T:$U, 2, FALSE()),",",$F235),VLOOKUP($CE235, Constants!$T:$U, 2, FALSE()))</f>
        <v>role/express_passenger</v>
      </c>
      <c r="H235" s="1" t="str">
        <f aca="false">IF($G235&lt;&gt;"",_xlfn.CONCAT(VLOOKUP($CG235, Constants!$M:$P, 4, FALSE()),",",$G235),VLOOKUP($CG235, Constants!$M:$P, 4, FALSE()))</f>
        <v>flag/GB,role/express_passenger</v>
      </c>
      <c r="I235" s="1" t="s">
        <v>241</v>
      </c>
      <c r="J235" s="1" t="s">
        <v>249</v>
      </c>
      <c r="K235" s="1" t="s">
        <v>704</v>
      </c>
      <c r="L235" s="1" t="s">
        <v>192</v>
      </c>
      <c r="M235" s="1" t="n">
        <v>2017</v>
      </c>
      <c r="Q235" s="1" t="n">
        <v>50</v>
      </c>
      <c r="Z235" s="1" t="n">
        <v>40</v>
      </c>
      <c r="AB235" s="1" t="n">
        <v>5</v>
      </c>
      <c r="AC235" s="1" t="n">
        <v>5</v>
      </c>
      <c r="AD235" s="4" t="n">
        <f aca="false">IF(AND(Z235&gt;0,AC235&gt;0),(AC235/((Z235+AA235)*10)),"")</f>
        <v>0.0125</v>
      </c>
      <c r="AE235" s="1" t="n">
        <v>125</v>
      </c>
      <c r="AF235" s="1" t="n">
        <f aca="false">ROUND(AE235*1.6, 0)</f>
        <v>200</v>
      </c>
      <c r="AH235" s="1" t="n">
        <v>23</v>
      </c>
      <c r="AI235" s="1" t="n">
        <v>23</v>
      </c>
      <c r="AL235" s="5" t="n">
        <v>57</v>
      </c>
      <c r="AM235" s="1" t="str">
        <f aca="false">CONCATENATE(VLOOKUP(AN235, 'Voxel Sizes'!$A$2:$B$18,2,FALSE()),"x",INT(AJ235*15), "x", INT(AK235*15))</f>
        <v>214x0x0</v>
      </c>
      <c r="AN235" s="16" t="n">
        <f aca="false">ROUND(15*((AI235*10)/256),0)</f>
        <v>13</v>
      </c>
      <c r="AP235" s="1" t="str">
        <f aca="false">CONCATENATE(VLOOKUP(AN235,Constants!$A$2:$C$16,IF(AO235&lt;&gt;"", 3, 2), FALSE()),IF(AO235&lt;&gt;"",CONCATENATE(",",VLOOKUP(AO235,$B:$AP,41,FALSE())),""))</f>
        <v>4,5,4</v>
      </c>
      <c r="AZ235" s="1" t="n">
        <v>30</v>
      </c>
      <c r="BA235" s="16" t="str">
        <f aca="false">IF(O235&lt;&gt;"",MAX(16,(O235-M235)+8),"")</f>
        <v/>
      </c>
      <c r="BB235" s="1" t="n">
        <v>-35</v>
      </c>
      <c r="BC235" s="1" t="n">
        <v>-57</v>
      </c>
      <c r="BD235" s="20" t="n">
        <f aca="false">MIN(AE235/150, 1)*30</f>
        <v>25</v>
      </c>
      <c r="BE235" s="20" t="n">
        <f aca="false">MIN(Q235/4000, 1)*20</f>
        <v>0.25</v>
      </c>
      <c r="BF235" s="20" t="n">
        <f aca="false">MIN(AC235/400,1)*20</f>
        <v>0.25</v>
      </c>
      <c r="BG235" s="21" t="n">
        <f aca="false">1-(MAX(M235-1900, 0)/750)</f>
        <v>0.844</v>
      </c>
      <c r="BH235" s="20" t="n">
        <f aca="false">((MAX($P235,1)*MIN($AL235/300,1)))*IF(J235="Wagon",50,10)</f>
        <v>1.9</v>
      </c>
      <c r="BI235" s="1" t="n">
        <f aca="false">VLOOKUP($K235,Constants!$I:$K, 2, FALSE())</f>
        <v>0.85</v>
      </c>
      <c r="BJ235" s="1" t="n">
        <f aca="false">VLOOKUP($K235,Constants!$I:$K, 3, FALSE())*IF(AND(J235="multiple_unit",AE235&lt;110),0.75,1)</f>
        <v>2.3</v>
      </c>
      <c r="BK235" s="1" t="n">
        <f aca="false">INT(POWER(((Constants!$G$2+$BD235+$BE235+$BF235+$BH235)*$BG235)*$BJ235, 1.05))+$BC235</f>
        <v>20</v>
      </c>
      <c r="BL235" s="1" t="n">
        <f aca="false">INT(POWER((((Constants!$G$1+$BD235+$BE235+$BF235+$BH235)*($BG235))*$BI235),IF($J235="wagon",1,1.2)))+$BB235</f>
        <v>25</v>
      </c>
      <c r="BM235" s="22" t="n">
        <f aca="false">BK235*IF($J235="wagon",62.5,781.25)</f>
        <v>15625</v>
      </c>
      <c r="BN235" s="22" t="n">
        <f aca="false">BL235*IF($J235="wagon",2.73,81.25)</f>
        <v>2031.25</v>
      </c>
      <c r="BO235" s="1" t="n">
        <v>1</v>
      </c>
      <c r="BP235" s="1" t="n">
        <v>1</v>
      </c>
      <c r="BU235" s="1" t="str">
        <f aca="false">IF(J235="locomotive","B","")</f>
        <v>B</v>
      </c>
      <c r="BV235" s="1" t="str">
        <f aca="false">IF($J235="locomotive","B","")</f>
        <v>B</v>
      </c>
      <c r="BY235" s="1" t="n">
        <v>1</v>
      </c>
      <c r="BZ235" s="1" t="n">
        <v>222</v>
      </c>
      <c r="CB235" s="1" t="s">
        <v>366</v>
      </c>
      <c r="CC235" s="1" t="s">
        <v>367</v>
      </c>
      <c r="CD235" s="23" t="s">
        <v>799</v>
      </c>
      <c r="CE235" s="26" t="s">
        <v>447</v>
      </c>
      <c r="CF235" s="23" t="str">
        <f aca="false">CONCATENATE(CD235,"_",CE235)</f>
        <v>mod_Express (Electric)</v>
      </c>
      <c r="CG235" s="23" t="str">
        <f aca="false">_xlfn.CONCAT(K235, "_",L235)</f>
        <v>none_RAIL</v>
      </c>
      <c r="CH235" s="7" t="str">
        <f aca="false">_xlfn.CONCAT("{BLACK}Length: {GOLD}", TEXT(ROUNDUP(IF(AS235&lt;&gt;"",SUM(VALUE(_xlfn.TEXTSPLIT(AS235, ","))), SUM(VALUE(_xlfn.TEXTSPLIT(AP235, ",")))*IF(P235, P235, 1))/16, 1), "#,##0.0"), " tiles{}")</f>
        <v>{BLACK}Length: {GOLD}0.9 tiles{}</v>
      </c>
      <c r="CI235" s="1" t="str">
        <f aca="false">IF(0, VLOOKUP($CG235, Constants!$M:$N, 2, FALSE()),"")</f>
        <v/>
      </c>
      <c r="CJ235" s="1" t="str">
        <f aca="false">IF(P235&gt;1,_xlfn.CONCAT("{BLACK}Cars: {GOLD}", P235),"")</f>
        <v/>
      </c>
      <c r="CK235" s="1" t="s">
        <v>800</v>
      </c>
      <c r="CL235" s="1" t="str">
        <f aca="false">IF($BX235="concept_trains","{GREEN}Concept Vehicle",IF($BX235="!param_no_gameplay_units","{GREEN}Included for gameplay purposes",""))</f>
        <v/>
      </c>
      <c r="CM235" s="1" t="str">
        <f aca="false">IF(CA235="buffet","{YELLOW}25% long distance bonus for consist{}",IF(CB235="DANDY","{YELLOW}Faster downhill speeds for horse-drawn trains (1 required per 2 horses){}",IF(CB235="BRAKE","{YELLOW}Speed bonus for slow wagons{}",IF(CB235="NGPassengers","{YELLOW}Preserved railway bonus: passengers pay more when hauled by old locomotives{}",IF(AND(BZ235&gt;190,NOT(AND(L235="NARROW_GAUGE",CB235&lt;&gt;"PASS"))),CONCATENATE("{YELLOW}",INT((BZ235-185)/1.85),"% bonus for long distance travel{}"),IF(AND(BZ235&lt;180,BZ235&lt;&gt;0),CONCATENATE("{YELLOW}",INT((185-BZ235)/1.85),"% penalty for long distance travel{}"),""))))))</f>
        <v>{YELLOW}20% bonus for long distance travel{}</v>
      </c>
      <c r="CN235" s="1" t="str">
        <f aca="false">_xlfn.CONCAT(CI235,IF(CI235&lt;&gt;""," ",""),CJ235,IF(OR(CJ235&lt;&gt;"",CI235&lt;&gt;""),"{}",""),CH235,CM235,"{SILVER}",CK235,IF(CL235&lt;&gt;"","{}{}",""),CL235)</f>
        <v>{BLACK}Length: {GOLD}0.9 tiles{}{YELLOW}20% bonus for long distance travel{}{SILVER}Mark 5A carriage sets include a driving van trailer, enabling loco-hauled trains to be driven from both ends.</v>
      </c>
    </row>
    <row r="236" customFormat="false" ht="14.25" hidden="false" customHeight="false" outlineLevel="0" collapsed="false">
      <c r="A236" s="1" t="s">
        <v>801</v>
      </c>
      <c r="B236" s="15" t="s">
        <v>802</v>
      </c>
      <c r="C236" s="1" t="n">
        <v>223</v>
      </c>
      <c r="E236" s="1" t="n">
        <v>300</v>
      </c>
      <c r="G236" s="1" t="str">
        <f aca="false">IF($F236&lt;&gt;"",_xlfn.CONCAT(VLOOKUP($CE236, Constants!$T:$U, 2, FALSE()),",",$F236),VLOOKUP($CE236, Constants!$T:$U, 2, FALSE()))</f>
        <v>role/passenger</v>
      </c>
      <c r="H236" s="1" t="str">
        <f aca="false">IF($G236&lt;&gt;"",_xlfn.CONCAT(VLOOKUP($CG236, Constants!$M:$P, 4, FALSE()),",",$G236),VLOOKUP($CG236, Constants!$M:$P, 4, FALSE()))</f>
        <v>flag/GB,power/petrol,role/passenger</v>
      </c>
      <c r="I236" s="1" t="s">
        <v>241</v>
      </c>
      <c r="J236" s="1" t="s">
        <v>466</v>
      </c>
      <c r="K236" s="1" t="s">
        <v>803</v>
      </c>
      <c r="L236" s="1" t="s">
        <v>192</v>
      </c>
      <c r="M236" s="1" t="n">
        <v>1903</v>
      </c>
      <c r="O236" s="1" t="n">
        <v>1940</v>
      </c>
      <c r="P236" s="1" t="n">
        <v>1</v>
      </c>
      <c r="Q236" s="1" t="n">
        <v>85</v>
      </c>
      <c r="Z236" s="1" t="n">
        <v>35</v>
      </c>
      <c r="AB236" s="1" t="n">
        <v>5</v>
      </c>
      <c r="AC236" s="1" t="n">
        <v>45</v>
      </c>
      <c r="AD236" s="4" t="n">
        <f aca="false">IF(AND(Z236&gt;0,AC236&gt;0),(AC236/((Z236+AA236)*10)),"")</f>
        <v>0.128571428571429</v>
      </c>
      <c r="AE236" s="1" t="n">
        <v>40</v>
      </c>
      <c r="AF236" s="1" t="n">
        <f aca="false">ROUND(AE236*1.6, 0)</f>
        <v>64</v>
      </c>
      <c r="AH236" s="1" t="n">
        <v>16.7</v>
      </c>
      <c r="AI236" s="1" t="n">
        <v>16.7</v>
      </c>
      <c r="AJ236" s="1" t="n">
        <v>2.59</v>
      </c>
      <c r="AK236" s="1" t="n">
        <v>3.98</v>
      </c>
      <c r="AL236" s="5" t="n">
        <v>48</v>
      </c>
      <c r="AM236" s="1" t="str">
        <f aca="false">CONCATENATE(VLOOKUP(AN236, 'Voxel Sizes'!$A$2:$B$18,2,FALSE()),"x",INT(AJ236*15), "x", INT(AK236*15))</f>
        <v>164x38x59</v>
      </c>
      <c r="AN236" s="1" t="n">
        <f aca="false">ROUND(15*((AI236*10)/256),0)</f>
        <v>10</v>
      </c>
      <c r="AP236" s="1" t="str">
        <f aca="false">CONCATENATE(VLOOKUP(AN236,Constants!$A$2:$C$16,IF(AO236&lt;&gt;"", 3, 2), FALSE()),IF(AO236&lt;&gt;"",CONCATENATE(",",VLOOKUP(AO236,$B:$AP,41,FALSE())),""))</f>
        <v>4,2,4</v>
      </c>
      <c r="AT236" s="1" t="s">
        <v>802</v>
      </c>
      <c r="AV236" s="1" t="n">
        <v>1</v>
      </c>
      <c r="AZ236" s="1" t="n">
        <v>17</v>
      </c>
      <c r="BA236" s="16" t="n">
        <f aca="false">IF(O236&lt;&gt;"",MAX(16,(O236-M236)+8),"")</f>
        <v>45</v>
      </c>
      <c r="BB236" s="1" t="n">
        <v>-15</v>
      </c>
      <c r="BC236" s="1" t="n">
        <v>-10</v>
      </c>
      <c r="BD236" s="1" t="n">
        <f aca="false">MIN(AE236/150, 1)*30</f>
        <v>8</v>
      </c>
      <c r="BE236" s="1" t="n">
        <f aca="false">MIN(Q236/4000, 1)*20</f>
        <v>0.425</v>
      </c>
      <c r="BF236" s="1" t="n">
        <f aca="false">MIN(AC236/400,1)*20</f>
        <v>2.25</v>
      </c>
      <c r="BG236" s="4" t="n">
        <f aca="false">1-(MAX(M236-1900, 0)/750)</f>
        <v>0.996</v>
      </c>
      <c r="BH236" s="1" t="n">
        <f aca="false">((MAX($P236,1)*MIN($AL236/300,1)))*IF(J236="Wagon",50,10)</f>
        <v>1.6</v>
      </c>
      <c r="BI236" s="1" t="n">
        <f aca="false">VLOOKUP($K236,Constants!$I:$K, 2, FALSE())</f>
        <v>1.05</v>
      </c>
      <c r="BJ236" s="1" t="n">
        <f aca="false">VLOOKUP($K236,Constants!$I:$K, 3, FALSE())*IF(AND(J236="multiple_unit",AE236&lt;110),0.75,1)</f>
        <v>1.425</v>
      </c>
      <c r="BK236" s="1" t="n">
        <f aca="false">INT(POWER(((Constants!$G$2+$BD236+$BE236+$BF236+$BH236)*$BG236)*$BJ236, 1.05))+$BC236</f>
        <v>18</v>
      </c>
      <c r="BL236" s="1" t="n">
        <f aca="false">INT(POWER((((Constants!$G$1+$BD236+$BE236+$BF236+$BH236)*($BG236))*$BI236),IF($J236="wagon",1,1.2)))+$BB236</f>
        <v>40</v>
      </c>
      <c r="BM236" s="17" t="n">
        <f aca="false">BK236*IF($J236="wagon",62.5,781.25)</f>
        <v>14062.5</v>
      </c>
      <c r="BN236" s="17" t="n">
        <f aca="false">BL236*IF($J236="wagon",2.73,81.25)</f>
        <v>3250</v>
      </c>
      <c r="BT236" s="1" t="s">
        <v>804</v>
      </c>
      <c r="BU236" s="1" t="str">
        <f aca="false">IF(J236="locomotive","B","")</f>
        <v/>
      </c>
      <c r="BV236" s="1" t="str">
        <f aca="false">IF($J236="locomotive","B","")</f>
        <v/>
      </c>
      <c r="BY236" s="1" t="n">
        <v>5</v>
      </c>
      <c r="BZ236" s="1" t="n">
        <v>185</v>
      </c>
      <c r="CC236" s="1" t="s">
        <v>367</v>
      </c>
      <c r="CD236" s="1" t="str">
        <f aca="false">VLOOKUP(M236,Eras!$A$2:$C$10, 2, TRUE())</f>
        <v>edw</v>
      </c>
      <c r="CE236" s="1" t="s">
        <v>805</v>
      </c>
      <c r="CF236" s="1" t="str">
        <f aca="false">CONCATENATE(CD236,"_",CE236)</f>
        <v>edw_DMU (Cheap)</v>
      </c>
      <c r="CG236" s="1" t="str">
        <f aca="false">_xlfn.CONCAT(K236, "_",L236)</f>
        <v>petrol_RAIL</v>
      </c>
      <c r="CH236" s="7" t="str">
        <f aca="false">_xlfn.CONCAT("{BLACK}Length: {GOLD}", TEXT(ROUNDUP(IF(AS236&lt;&gt;"",SUM(VALUE(_xlfn.TEXTSPLIT(AS236, ","))), SUM(VALUE(_xlfn.TEXTSPLIT(AP236, ",")))*IF(P236, P236, 1))/16, 1), "#,##0.0"), " tiles{}")</f>
        <v>{BLACK}Length: {GOLD}0.7 tiles{}</v>
      </c>
      <c r="CI236" s="1" t="str">
        <f aca="false">IF(0, VLOOKUP($CG236, Constants!$M:$N, 2, FALSE()),"")</f>
        <v/>
      </c>
      <c r="CJ236" s="1" t="str">
        <f aca="false">IF(P236&gt;1,_xlfn.CONCAT("{BLACK}Cars: {GOLD}", P236),"")</f>
        <v/>
      </c>
      <c r="CK236" s="1" t="s">
        <v>806</v>
      </c>
      <c r="CL236" s="1" t="str">
        <f aca="false">IF($BX236="concept_trains","{GREEN}Concept Vehicle",IF($BX236="!param_no_gameplay_units","{GREEN}Included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{GOLD}0.7 tiles{}{SILVER}The NER Autocar is a petrol-electric railcar with a petrol engine driving two electric motors. It was the first use of an internal combustion engine in a railway vehicle.</v>
      </c>
    </row>
    <row r="237" customFormat="false" ht="14.25" hidden="false" customHeight="false" outlineLevel="0" collapsed="false">
      <c r="A237" s="1" t="s">
        <v>807</v>
      </c>
      <c r="B237" s="15" t="s">
        <v>808</v>
      </c>
      <c r="C237" s="1" t="n">
        <v>221</v>
      </c>
      <c r="E237" s="1" t="n">
        <v>301</v>
      </c>
      <c r="G237" s="1" t="str">
        <f aca="false">IF($F237&lt;&gt;"",_xlfn.CONCAT(VLOOKUP($CE237, Constants!$T:$U, 2, FALSE()),",",$F237),VLOOKUP($CE237, Constants!$T:$U, 2, FALSE()))</f>
        <v>role/passenger</v>
      </c>
      <c r="H237" s="1" t="str">
        <f aca="false">IF($G237&lt;&gt;"",_xlfn.CONCAT(VLOOKUP($CG237, Constants!$M:$P, 4, FALSE()),",",$G237),VLOOKUP($CG237, Constants!$M:$P, 4, FALSE()))</f>
        <v>flag/GB,power/diesel,role/passenger</v>
      </c>
      <c r="I237" s="1" t="s">
        <v>241</v>
      </c>
      <c r="J237" s="1" t="s">
        <v>466</v>
      </c>
      <c r="K237" s="1" t="s">
        <v>525</v>
      </c>
      <c r="L237" s="1" t="s">
        <v>192</v>
      </c>
      <c r="M237" s="1" t="n">
        <v>1933</v>
      </c>
      <c r="N237" s="1" t="n">
        <v>1942</v>
      </c>
      <c r="O237" s="1" t="n">
        <v>1962</v>
      </c>
      <c r="P237" s="1" t="n">
        <v>1</v>
      </c>
      <c r="Q237" s="1" t="n">
        <v>260</v>
      </c>
      <c r="Z237" s="1" t="n">
        <v>35</v>
      </c>
      <c r="AB237" s="1" t="n">
        <v>5</v>
      </c>
      <c r="AC237" s="1" t="n">
        <v>55</v>
      </c>
      <c r="AD237" s="4" t="n">
        <f aca="false">IF(AND(Z237&gt;0,AC237&gt;0),(AC237/((Z237+AA237)*10)),"")</f>
        <v>0.157142857142857</v>
      </c>
      <c r="AE237" s="1" t="n">
        <v>70</v>
      </c>
      <c r="AF237" s="1" t="n">
        <f aca="false">ROUND(AE237*1.6, 0)</f>
        <v>112</v>
      </c>
      <c r="AH237" s="1" t="n">
        <v>18.4</v>
      </c>
      <c r="AI237" s="1" t="n">
        <v>17</v>
      </c>
      <c r="AL237" s="5" t="n">
        <v>69</v>
      </c>
      <c r="AM237" s="1" t="str">
        <f aca="false">CONCATENATE(VLOOKUP(AN237, 'Voxel Sizes'!$A$2:$B$18,2,FALSE()),"x",INT(AJ237*15), "x", INT(AK237*15))</f>
        <v>164x0x0</v>
      </c>
      <c r="AN237" s="1" t="n">
        <f aca="false">ROUND(15*((AI237*10)/256),0)</f>
        <v>10</v>
      </c>
      <c r="AP237" s="1" t="str">
        <f aca="false">CONCATENATE(VLOOKUP(AN237,Constants!$A$2:$C$16,IF(AO237&lt;&gt;"", 3, 2), FALSE()),IF(AO237&lt;&gt;"",CONCATENATE(",",VLOOKUP(AO237,$B:$AP,41,FALSE())),""))</f>
        <v>4,2,4</v>
      </c>
      <c r="AT237" s="1" t="s">
        <v>808</v>
      </c>
      <c r="AV237" s="1" t="n">
        <v>1</v>
      </c>
      <c r="AZ237" s="1" t="n">
        <v>16</v>
      </c>
      <c r="BA237" s="16" t="n">
        <f aca="false">IF(O237&lt;&gt;"",MAX(16,(O237-M237)+8),"")</f>
        <v>37</v>
      </c>
      <c r="BD237" s="1" t="n">
        <f aca="false">MIN(AE237/150, 1)*30</f>
        <v>14</v>
      </c>
      <c r="BE237" s="1" t="n">
        <f aca="false">MIN(Q237/4000, 1)*20</f>
        <v>1.3</v>
      </c>
      <c r="BF237" s="1" t="n">
        <f aca="false">MIN(AC237/400,1)*20</f>
        <v>2.75</v>
      </c>
      <c r="BG237" s="4" t="n">
        <f aca="false">1-(MAX(M237-1900, 0)/750)</f>
        <v>0.956</v>
      </c>
      <c r="BH237" s="1" t="n">
        <f aca="false">((MAX($P237,1)*MIN($AL237/300,1)))*IF(J237="Wagon",50,10)</f>
        <v>2.3</v>
      </c>
      <c r="BI237" s="1" t="n">
        <f aca="false">VLOOKUP($K237,Constants!$I:$K, 2, FALSE())</f>
        <v>1</v>
      </c>
      <c r="BJ237" s="1" t="n">
        <f aca="false">VLOOKUP($K237,Constants!$I:$K, 3, FALSE())*IF(AND(J237="multiple_unit",AE237&lt;110),0.75,1)</f>
        <v>1.5</v>
      </c>
      <c r="BK237" s="1" t="n">
        <f aca="false">INT(POWER(((Constants!$G$2+$BD237+$BE237+$BF237+$BH237)*$BG237)*$BJ237, 1.05))+$BC237</f>
        <v>43</v>
      </c>
      <c r="BL237" s="1" t="n">
        <f aca="false">INT(POWER((((Constants!$G$1+$BD237+$BE237+$BF237+$BH237)*($BG237))*$BI237),IF($J237="wagon",1,1.2)))+$BB237</f>
        <v>68</v>
      </c>
      <c r="BM237" s="17" t="n">
        <f aca="false">BK237*IF($J237="wagon",62.5,781.25)</f>
        <v>33593.75</v>
      </c>
      <c r="BN237" s="17" t="n">
        <f aca="false">BL237*IF($J237="wagon",2.73,81.25)</f>
        <v>5525</v>
      </c>
      <c r="BQ237" s="1" t="n">
        <v>1</v>
      </c>
      <c r="BY237" s="1" t="n">
        <v>9</v>
      </c>
      <c r="BZ237" s="1" t="n">
        <v>185</v>
      </c>
      <c r="CC237" s="1" t="s">
        <v>367</v>
      </c>
      <c r="CD237" s="1" t="str">
        <f aca="false">VLOOKUP(M237,Eras!$A$2:$C$10, 2, TRUE())</f>
        <v>big4</v>
      </c>
      <c r="CE237" s="1" t="s">
        <v>805</v>
      </c>
      <c r="CF237" s="1" t="str">
        <f aca="false">CONCATENATE(CD237,"_",CE237)</f>
        <v>big4_DMU (Cheap)</v>
      </c>
      <c r="CG237" s="1" t="str">
        <f aca="false">_xlfn.CONCAT(K237, "_",L237)</f>
        <v>diesel_RAIL</v>
      </c>
      <c r="CH237" s="7" t="str">
        <f aca="false">_xlfn.CONCAT("{BLACK}Length: {GOLD}", TEXT(ROUNDUP(IF(AS237&lt;&gt;"",SUM(VALUE(_xlfn.TEXTSPLIT(AS237, ","))), SUM(VALUE(_xlfn.TEXTSPLIT(AP237, ",")))*IF(P237, P237, 1))/16, 1), "#,##0.0"), " tiles{}")</f>
        <v>{BLACK}Length: {GOLD}0.7 tiles{}</v>
      </c>
      <c r="CI237" s="1" t="str">
        <f aca="false">IF(0, VLOOKUP($CG237, Constants!$M:$N, 2, FALSE()),"")</f>
        <v/>
      </c>
      <c r="CJ237" s="1" t="str">
        <f aca="false">IF(P237&gt;1,_xlfn.CONCAT("{BLACK}Cars: {GOLD}", P237),"")</f>
        <v/>
      </c>
      <c r="CK237" s="1" t="s">
        <v>809</v>
      </c>
      <c r="CL237" s="1" t="str">
        <f aca="false">IF($BX237="concept_trains","{GREEN}Concept Vehicle",IF($BX237="!param_no_gameplay_units","{GREEN}Included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{BLACK}Length: {GOLD}0.7 tiles{}{SILVER}The GWR Railcars used AEC bus hardware in a lightweight streamlined body.</v>
      </c>
    </row>
    <row r="238" customFormat="false" ht="14.25" hidden="false" customHeight="false" outlineLevel="0" collapsed="false">
      <c r="A238" s="1" t="s">
        <v>810</v>
      </c>
      <c r="B238" s="30" t="s">
        <v>811</v>
      </c>
      <c r="C238" s="1" t="n">
        <v>4221</v>
      </c>
      <c r="D238" s="1" t="n">
        <v>221</v>
      </c>
      <c r="E238" s="1" t="n">
        <v>302</v>
      </c>
      <c r="G238" s="1" t="str">
        <f aca="false">IF($F238&lt;&gt;"",_xlfn.CONCAT(VLOOKUP($CE238, Constants!$T:$U, 2, FALSE()),",",$F238),VLOOKUP($CE238, Constants!$T:$U, 2, FALSE()))</f>
        <v>role/passenger</v>
      </c>
      <c r="H238" s="1" t="str">
        <f aca="false">IF($G238&lt;&gt;"",_xlfn.CONCAT(VLOOKUP($CG238, Constants!$M:$P, 4, FALSE()),",",$G238),VLOOKUP($CG238, Constants!$M:$P, 4, FALSE()))</f>
        <v>flag/GB,power/diesel,role/passenger</v>
      </c>
      <c r="I238" s="1" t="s">
        <v>241</v>
      </c>
      <c r="J238" s="1" t="s">
        <v>466</v>
      </c>
      <c r="K238" s="1" t="s">
        <v>525</v>
      </c>
      <c r="L238" s="1" t="s">
        <v>192</v>
      </c>
      <c r="M238" s="1" t="n">
        <v>1933</v>
      </c>
      <c r="N238" s="1" t="n">
        <v>1942</v>
      </c>
      <c r="O238" s="1" t="n">
        <v>1962</v>
      </c>
      <c r="P238" s="1" t="n">
        <v>1</v>
      </c>
      <c r="Q238" s="1" t="n">
        <v>260</v>
      </c>
      <c r="Z238" s="1" t="n">
        <v>35</v>
      </c>
      <c r="AB238" s="1" t="n">
        <v>5</v>
      </c>
      <c r="AC238" s="1" t="n">
        <v>55</v>
      </c>
      <c r="AD238" s="4" t="n">
        <f aca="false">IF(AND(Z238&gt;0,AC238&gt;0),(AC238/((Z238+AA238)*10)),"")</f>
        <v>0.157142857142857</v>
      </c>
      <c r="AE238" s="1" t="n">
        <v>70</v>
      </c>
      <c r="AF238" s="1" t="n">
        <f aca="false">ROUND(AE238*1.6, 0)</f>
        <v>112</v>
      </c>
      <c r="AH238" s="1" t="n">
        <v>18.4</v>
      </c>
      <c r="AI238" s="1" t="n">
        <v>17</v>
      </c>
      <c r="AL238" s="5" t="n">
        <v>60</v>
      </c>
      <c r="AM238" s="1" t="str">
        <f aca="false">CONCATENATE(VLOOKUP(AN238, 'Voxel Sizes'!$A$2:$B$18,2,FALSE()),"x",INT(AJ238*15), "x", INT(AK238*15))</f>
        <v>164x0x0</v>
      </c>
      <c r="AN238" s="1" t="n">
        <f aca="false">ROUND(15*((AI238*10)/256),0)</f>
        <v>10</v>
      </c>
      <c r="AP238" s="1" t="str">
        <f aca="false">CONCATENATE(VLOOKUP(AN238,Constants!$A$2:$C$16,IF(AO238&lt;&gt;"", 3, 2), FALSE()),IF(AO238&lt;&gt;"",CONCATENATE(",",VLOOKUP(AO238,$B:$AP,41,FALSE())),""))</f>
        <v>4,2,4</v>
      </c>
      <c r="AT238" s="1" t="s">
        <v>811</v>
      </c>
      <c r="AV238" s="1" t="n">
        <v>1</v>
      </c>
      <c r="AZ238" s="1" t="n">
        <v>16</v>
      </c>
      <c r="BA238" s="16" t="n">
        <f aca="false">IF(O238&lt;&gt;"",MAX(16,(O238-M238)+8),"")</f>
        <v>37</v>
      </c>
      <c r="BD238" s="1" t="n">
        <f aca="false">MIN(AE238/150, 1)*30</f>
        <v>14</v>
      </c>
      <c r="BE238" s="1" t="n">
        <f aca="false">MIN(Q238/4000, 1)*20</f>
        <v>1.3</v>
      </c>
      <c r="BF238" s="1" t="n">
        <f aca="false">MIN(AC238/400,1)*20</f>
        <v>2.75</v>
      </c>
      <c r="BG238" s="4" t="n">
        <f aca="false">1-(MAX(M238-1900, 0)/750)</f>
        <v>0.956</v>
      </c>
      <c r="BH238" s="1" t="n">
        <f aca="false">((MAX($P238,1)*MIN($AL238/300,1)))*IF(J238="Wagon",50,10)</f>
        <v>2</v>
      </c>
      <c r="BI238" s="1" t="n">
        <f aca="false">VLOOKUP($K238,Constants!$I:$K, 2, FALSE())</f>
        <v>1</v>
      </c>
      <c r="BJ238" s="1" t="n">
        <f aca="false">VLOOKUP($K238,Constants!$I:$K, 3, FALSE())*IF(AND(J238="multiple_unit",AE238&lt;110),0.75,1)</f>
        <v>1.5</v>
      </c>
      <c r="BK238" s="1" t="n">
        <f aca="false">INT(POWER(((Constants!$G$2+$BD238+$BE238+$BF238+$BH238)*$BG238)*$BJ238, 1.05))+$BC238</f>
        <v>42</v>
      </c>
      <c r="BL238" s="1" t="n">
        <f aca="false">INT(POWER((((Constants!$G$1+$BD238+$BE238+$BF238+$BH238)*($BG238))*$BI238),IF($J238="wagon",1,1.2)))+$BB238</f>
        <v>67</v>
      </c>
      <c r="BM238" s="17" t="n">
        <f aca="false">BK238*IF($J238="wagon",62.5,781.25)</f>
        <v>32812.5</v>
      </c>
      <c r="BN238" s="17" t="n">
        <f aca="false">BL238*IF($J238="wagon",2.73,81.25)</f>
        <v>5443.75</v>
      </c>
      <c r="BQ238" s="1" t="n">
        <v>1</v>
      </c>
      <c r="BY238" s="1" t="n">
        <v>9</v>
      </c>
      <c r="CC238" s="1" t="s">
        <v>706</v>
      </c>
      <c r="CD238" s="1" t="str">
        <f aca="false">VLOOKUP(M238,Eras!$A$2:$C$10, 2, TRUE())</f>
        <v>big4</v>
      </c>
      <c r="CE238" s="1" t="s">
        <v>805</v>
      </c>
      <c r="CF238" s="1" t="str">
        <f aca="false">CONCATENATE(CD238,"_",CE238)</f>
        <v>big4_DMU (Cheap)</v>
      </c>
      <c r="CG238" s="1" t="str">
        <f aca="false">_xlfn.CONCAT(K238, "_",L238)</f>
        <v>diesel_RAIL</v>
      </c>
      <c r="CH238" s="7" t="str">
        <f aca="false">_xlfn.CONCAT("{BLACK}Length: {GOLD}", TEXT(ROUNDUP(IF(AS238&lt;&gt;"",SUM(VALUE(_xlfn.TEXTSPLIT(AS238, ","))), SUM(VALUE(_xlfn.TEXTSPLIT(AP238, ",")))*IF(P238, P238, 1))/16, 1), "#,##0.0"), " tiles{}")</f>
        <v>{BLACK}Length: {GOLD}0.7 tiles{}</v>
      </c>
      <c r="CI238" s="1" t="str">
        <f aca="false">IF(0, VLOOKUP($CG238, Constants!$M:$N, 2, FALSE()),"")</f>
        <v/>
      </c>
      <c r="CJ238" s="1" t="str">
        <f aca="false">IF(P238&gt;1,_xlfn.CONCAT("{BLACK}Cars: {GOLD}", P238),"")</f>
        <v/>
      </c>
      <c r="CK238" s="1" t="s">
        <v>812</v>
      </c>
      <c r="CL238" s="1" t="str">
        <f aca="false">IF($BX238="concept_trains","{GREEN}Concept Vehicle",IF($BX238="!param_no_gameplay_units","{GREEN}Included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{GOLD}0.7 tiles{}{SILVER}The GWR Railcars used AEC bus hardware in a lightweight streamlined body. Units 17 and 34 were built for express parcels service.</v>
      </c>
    </row>
    <row r="239" customFormat="false" ht="14.25" hidden="false" customHeight="false" outlineLevel="0" collapsed="false">
      <c r="A239" s="1" t="s">
        <v>807</v>
      </c>
      <c r="B239" s="30" t="s">
        <v>813</v>
      </c>
      <c r="C239" s="1" t="n">
        <v>4222</v>
      </c>
      <c r="D239" s="1" t="n">
        <v>221</v>
      </c>
      <c r="E239" s="1" t="n">
        <v>303</v>
      </c>
      <c r="G239" s="1" t="str">
        <f aca="false">IF($F239&lt;&gt;"",_xlfn.CONCAT(VLOOKUP($CE239, Constants!$T:$U, 2, FALSE()),",",$F239),VLOOKUP($CE239, Constants!$T:$U, 2, FALSE()))</f>
        <v>role/passenger</v>
      </c>
      <c r="H239" s="1" t="str">
        <f aca="false">IF($G239&lt;&gt;"",_xlfn.CONCAT(VLOOKUP($CG239, Constants!$M:$P, 4, FALSE()),",",$G239),VLOOKUP($CG239, Constants!$M:$P, 4, FALSE()))</f>
        <v>flag/GB,power/diesel,role/passenger</v>
      </c>
      <c r="I239" s="1" t="s">
        <v>241</v>
      </c>
      <c r="J239" s="1" t="s">
        <v>466</v>
      </c>
      <c r="K239" s="1" t="s">
        <v>525</v>
      </c>
      <c r="L239" s="1" t="s">
        <v>192</v>
      </c>
      <c r="M239" s="1" t="n">
        <v>1933</v>
      </c>
      <c r="N239" s="1" t="n">
        <v>1942</v>
      </c>
      <c r="O239" s="1" t="n">
        <v>1962</v>
      </c>
      <c r="P239" s="1" t="n">
        <v>2</v>
      </c>
      <c r="Q239" s="1" t="n">
        <v>520</v>
      </c>
      <c r="Z239" s="1" t="n">
        <v>75</v>
      </c>
      <c r="AB239" s="1" t="n">
        <v>5</v>
      </c>
      <c r="AC239" s="1" t="n">
        <v>55</v>
      </c>
      <c r="AD239" s="4" t="n">
        <f aca="false">IF(AND(Z239&gt;0,AC239&gt;0),(AC239/((Z239+AA239)*10)),"")</f>
        <v>0.0733333333333333</v>
      </c>
      <c r="AE239" s="1" t="n">
        <v>70</v>
      </c>
      <c r="AF239" s="1" t="n">
        <f aca="false">ROUND(AE239*1.6, 0)</f>
        <v>112</v>
      </c>
      <c r="AH239" s="1" t="n">
        <v>18.4</v>
      </c>
      <c r="AI239" s="1" t="n">
        <v>17</v>
      </c>
      <c r="AL239" s="5" t="n">
        <v>69</v>
      </c>
      <c r="AM239" s="1" t="str">
        <f aca="false">CONCATENATE(VLOOKUP(AN239, 'Voxel Sizes'!$A$2:$B$18,2,FALSE()),"x",INT(AJ239*15), "x", INT(AK239*15))</f>
        <v>164x0x0</v>
      </c>
      <c r="AN239" s="1" t="n">
        <f aca="false">ROUND(15*((AI239*10)/256),0)</f>
        <v>10</v>
      </c>
      <c r="AP239" s="1" t="str">
        <f aca="false">CONCATENATE(VLOOKUP(AN239,Constants!$A$2:$C$16,IF(AO239&lt;&gt;"", 3, 2), FALSE()),IF(AO239&lt;&gt;"",CONCATENATE(",",VLOOKUP(AO239,$B:$AP,41,FALSE())),""))</f>
        <v>4,2,4</v>
      </c>
      <c r="AT239" s="1" t="s">
        <v>814</v>
      </c>
      <c r="AV239" s="1" t="s">
        <v>815</v>
      </c>
      <c r="AZ239" s="1" t="n">
        <v>16</v>
      </c>
      <c r="BA239" s="16" t="n">
        <f aca="false">IF(O239&lt;&gt;"",MAX(16,(O239-M239)+8),"")</f>
        <v>37</v>
      </c>
      <c r="BD239" s="1" t="n">
        <f aca="false">MIN(AE239/150, 1)*30</f>
        <v>14</v>
      </c>
      <c r="BE239" s="1" t="n">
        <f aca="false">MIN(Q239/4000, 1)*20</f>
        <v>2.6</v>
      </c>
      <c r="BF239" s="1" t="n">
        <f aca="false">MIN(AC239/400,1)*20</f>
        <v>2.75</v>
      </c>
      <c r="BG239" s="4" t="n">
        <f aca="false">1-(MAX(M239-1900, 0)/750)</f>
        <v>0.956</v>
      </c>
      <c r="BH239" s="1" t="n">
        <f aca="false">((MAX($P239,1)*MIN($AL239/300,1)))*IF(J239="Wagon",50,10)</f>
        <v>4.6</v>
      </c>
      <c r="BI239" s="1" t="n">
        <f aca="false">VLOOKUP($K239,Constants!$I:$K, 2, FALSE())</f>
        <v>1</v>
      </c>
      <c r="BJ239" s="1" t="n">
        <f aca="false">VLOOKUP($K239,Constants!$I:$K, 3, FALSE())*IF(AND(J239="multiple_unit",AE239&lt;110),0.75,1)</f>
        <v>1.5</v>
      </c>
      <c r="BK239" s="1" t="n">
        <f aca="false">INT(POWER(((Constants!$G$2+$BD239+$BE239+$BF239+$BH239)*$BG239)*$BJ239, 1.05))+$BC239</f>
        <v>50</v>
      </c>
      <c r="BL239" s="1" t="n">
        <f aca="false">INT(POWER((((Constants!$G$1+$BD239+$BE239+$BF239+$BH239)*($BG239))*$BI239),IF($J239="wagon",1,1.2)))+$BB239</f>
        <v>76</v>
      </c>
      <c r="BM239" s="17" t="n">
        <f aca="false">BK239*IF($J239="wagon",62.5,781.25)</f>
        <v>39062.5</v>
      </c>
      <c r="BN239" s="17" t="n">
        <f aca="false">BL239*IF($J239="wagon",2.73,81.25)</f>
        <v>6175</v>
      </c>
      <c r="BQ239" s="1" t="n">
        <v>1</v>
      </c>
      <c r="BY239" s="1" t="n">
        <v>9</v>
      </c>
      <c r="BZ239" s="1" t="n">
        <v>185</v>
      </c>
      <c r="CC239" s="1" t="s">
        <v>367</v>
      </c>
      <c r="CD239" s="1" t="str">
        <f aca="false">VLOOKUP(M239,Eras!$A$2:$C$10, 2, TRUE())</f>
        <v>big4</v>
      </c>
      <c r="CE239" s="1" t="s">
        <v>805</v>
      </c>
      <c r="CF239" s="1" t="str">
        <f aca="false">CONCATENATE(CD239,"_",CE239)</f>
        <v>big4_DMU (Cheap)</v>
      </c>
      <c r="CG239" s="1" t="str">
        <f aca="false">_xlfn.CONCAT(K239, "_",L239)</f>
        <v>diesel_RAIL</v>
      </c>
      <c r="CH239" s="7" t="str">
        <f aca="false">_xlfn.CONCAT("{BLACK}Length: {GOLD}", TEXT(ROUNDUP(IF(AS239&lt;&gt;"",SUM(VALUE(_xlfn.TEXTSPLIT(AS239, ","))), SUM(VALUE(_xlfn.TEXTSPLIT(AP239, ",")))*IF(P239, P239, 1))/16, 1), "#,##0.0"), " tiles{}")</f>
        <v>{BLACK}Length: {GOLD}1.3 tiles{}</v>
      </c>
      <c r="CI239" s="1" t="str">
        <f aca="false">IF(0, VLOOKUP($CG239, Constants!$M:$N, 2, FALSE()),"")</f>
        <v/>
      </c>
      <c r="CJ239" s="1" t="str">
        <f aca="false">IF(P239&gt;1,_xlfn.CONCAT("{BLACK}Cars: {GOLD}", P239),"")</f>
        <v>{BLACK}Cars: {GOLD}2</v>
      </c>
      <c r="CK239" s="1" t="s">
        <v>816</v>
      </c>
      <c r="CL239" s="1" t="str">
        <f aca="false">IF($BX239="concept_trains","{GREEN}Concept Vehicle",IF($BX239="!param_no_gameplay_units","{GREEN}Included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{GOLD}2{}{BLACK}Length: {GOLD}1.3 tiles{}{SILVER}The GWR Railcars used AEC bus hardware in a lightweight streamlined body. Railcars 35 to 38 were built as power twin pairs.</v>
      </c>
    </row>
    <row r="240" customFormat="false" ht="14.25" hidden="false" customHeight="false" outlineLevel="0" collapsed="false">
      <c r="A240" s="1" t="s">
        <v>807</v>
      </c>
      <c r="B240" s="30" t="s">
        <v>817</v>
      </c>
      <c r="C240" s="1" t="n">
        <v>4223</v>
      </c>
      <c r="D240" s="1" t="n">
        <v>221</v>
      </c>
      <c r="E240" s="1" t="n">
        <v>304</v>
      </c>
      <c r="G240" s="1" t="str">
        <f aca="false">IF($F240&lt;&gt;"",_xlfn.CONCAT(VLOOKUP($CE240, Constants!$T:$U, 2, FALSE()),",",$F240),VLOOKUP($CE240, Constants!$T:$U, 2, FALSE()))</f>
        <v>role/passenger</v>
      </c>
      <c r="H240" s="1" t="str">
        <f aca="false">IF($G240&lt;&gt;"",_xlfn.CONCAT(VLOOKUP($CG240, Constants!$M:$P, 4, FALSE()),",",$G240),VLOOKUP($CG240, Constants!$M:$P, 4, FALSE()))</f>
        <v>flag/GB,power/diesel,role/passenger</v>
      </c>
      <c r="I240" s="1" t="s">
        <v>241</v>
      </c>
      <c r="J240" s="1" t="s">
        <v>466</v>
      </c>
      <c r="K240" s="1" t="s">
        <v>525</v>
      </c>
      <c r="L240" s="1" t="s">
        <v>192</v>
      </c>
      <c r="M240" s="1" t="n">
        <v>1933</v>
      </c>
      <c r="N240" s="1" t="n">
        <v>1942</v>
      </c>
      <c r="O240" s="1" t="n">
        <v>1962</v>
      </c>
      <c r="P240" s="1" t="n">
        <v>3</v>
      </c>
      <c r="Q240" s="1" t="n">
        <v>520</v>
      </c>
      <c r="Z240" s="1" t="n">
        <v>100</v>
      </c>
      <c r="AB240" s="1" t="n">
        <v>5</v>
      </c>
      <c r="AC240" s="1" t="n">
        <v>55</v>
      </c>
      <c r="AD240" s="4" t="n">
        <f aca="false">IF(AND(Z240&gt;0,AC240&gt;0),(AC240/((Z240+AA240)*10)),"")</f>
        <v>0.055</v>
      </c>
      <c r="AE240" s="1" t="n">
        <v>70</v>
      </c>
      <c r="AF240" s="1" t="n">
        <f aca="false">ROUND(AE240*1.6, 0)</f>
        <v>112</v>
      </c>
      <c r="AH240" s="1" t="n">
        <v>18.4</v>
      </c>
      <c r="AI240" s="1" t="n">
        <v>17</v>
      </c>
      <c r="AL240" s="5" t="n">
        <v>69</v>
      </c>
      <c r="AM240" s="1" t="str">
        <f aca="false">CONCATENATE(VLOOKUP(AN240, 'Voxel Sizes'!$A$2:$B$18,2,FALSE()),"x",INT(AJ240*15), "x", INT(AK240*15))</f>
        <v>164x0x0</v>
      </c>
      <c r="AN240" s="1" t="n">
        <f aca="false">ROUND(15*((AI240*10)/256),0)</f>
        <v>10</v>
      </c>
      <c r="AP240" s="1" t="str">
        <f aca="false">CONCATENATE(VLOOKUP(AN240,Constants!$A$2:$C$16,IF(AO240&lt;&gt;"", 3, 2), FALSE()),IF(AO240&lt;&gt;"",CONCATENATE(",",VLOOKUP(AO240,$B:$AP,41,FALSE())),""))</f>
        <v>4,2,4</v>
      </c>
      <c r="AT240" s="1" t="s">
        <v>818</v>
      </c>
      <c r="AV240" s="1" t="s">
        <v>819</v>
      </c>
      <c r="AW240" s="26" t="s">
        <v>813</v>
      </c>
      <c r="AZ240" s="1" t="n">
        <v>16</v>
      </c>
      <c r="BA240" s="16" t="n">
        <f aca="false">IF(O240&lt;&gt;"",MAX(16,(O240-M240)+8),"")</f>
        <v>37</v>
      </c>
      <c r="BD240" s="1" t="n">
        <f aca="false">MIN(AE240/150, 1)*30</f>
        <v>14</v>
      </c>
      <c r="BE240" s="1" t="n">
        <f aca="false">MIN(Q240/4000, 1)*20</f>
        <v>2.6</v>
      </c>
      <c r="BF240" s="1" t="n">
        <f aca="false">MIN(AC240/400,1)*20</f>
        <v>2.75</v>
      </c>
      <c r="BG240" s="4" t="n">
        <f aca="false">1-(MAX(M240-1900, 0)/750)</f>
        <v>0.956</v>
      </c>
      <c r="BH240" s="1" t="n">
        <f aca="false">((MAX($P240,1)*MIN($AL240/300,1)))*IF(J240="Wagon",50,10)</f>
        <v>6.9</v>
      </c>
      <c r="BI240" s="1" t="n">
        <f aca="false">VLOOKUP($K240,Constants!$I:$K, 2, FALSE())</f>
        <v>1</v>
      </c>
      <c r="BJ240" s="1" t="n">
        <f aca="false">VLOOKUP($K240,Constants!$I:$K, 3, FALSE())*IF(AND(J240="multiple_unit",AE240&lt;110),0.75,1)</f>
        <v>1.5</v>
      </c>
      <c r="BK240" s="1" t="n">
        <f aca="false">INT(POWER(((Constants!$G$2+$BD240+$BE240+$BF240+$BH240)*$BG240)*$BJ240, 1.05))+$BC240</f>
        <v>54</v>
      </c>
      <c r="BL240" s="1" t="n">
        <f aca="false">INT(POWER((((Constants!$G$1+$BD240+$BE240+$BF240+$BH240)*($BG240))*$BI240),IF($J240="wagon",1,1.2)))+$BB240</f>
        <v>82</v>
      </c>
      <c r="BM240" s="17" t="n">
        <f aca="false">BK240*IF($J240="wagon",62.5,781.25)</f>
        <v>42187.5</v>
      </c>
      <c r="BN240" s="17" t="n">
        <f aca="false">BL240*IF($J240="wagon",2.73,81.25)</f>
        <v>6662.5</v>
      </c>
      <c r="BQ240" s="1" t="n">
        <v>1</v>
      </c>
      <c r="BY240" s="1" t="n">
        <v>9</v>
      </c>
      <c r="BZ240" s="1" t="n">
        <v>185</v>
      </c>
      <c r="CC240" s="1" t="s">
        <v>367</v>
      </c>
      <c r="CD240" s="1" t="str">
        <f aca="false">VLOOKUP(M240,Eras!$A$2:$C$10, 2, TRUE())</f>
        <v>big4</v>
      </c>
      <c r="CE240" s="1" t="s">
        <v>805</v>
      </c>
      <c r="CF240" s="1" t="str">
        <f aca="false">CONCATENATE(CD240,"_",CE240)</f>
        <v>big4_DMU (Cheap)</v>
      </c>
      <c r="CG240" s="1" t="str">
        <f aca="false">_xlfn.CONCAT(K240, "_",L240)</f>
        <v>diesel_RAIL</v>
      </c>
      <c r="CH240" s="7" t="str">
        <f aca="false">_xlfn.CONCAT("{BLACK}Length: {GOLD}", TEXT(ROUNDUP(IF(AS240&lt;&gt;"",SUM(VALUE(_xlfn.TEXTSPLIT(AS240, ","))), SUM(VALUE(_xlfn.TEXTSPLIT(AP240, ",")))*IF(P240, P240, 1))/16, 1), "#,##0.0"), " tiles{}")</f>
        <v>{BLACK}Length: {GOLD}1.9 tiles{}</v>
      </c>
      <c r="CI240" s="1" t="str">
        <f aca="false">IF(0, VLOOKUP($CG240, Constants!$M:$N, 2, FALSE()),"")</f>
        <v/>
      </c>
      <c r="CJ240" s="1" t="str">
        <f aca="false">IF(P240&gt;1,_xlfn.CONCAT("{BLACK}Cars: {GOLD}", P240),"")</f>
        <v>{BLACK}Cars: {GOLD}3</v>
      </c>
      <c r="CK240" s="1" t="s">
        <v>820</v>
      </c>
      <c r="CL240" s="1" t="str">
        <f aca="false">IF($BX240="concept_trains","{GREEN}Concept Vehicle",IF($BX240="!param_no_gameplay_units","{GREEN}Included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GWR Railcars used AEC bus hardware in a lightweight streamlined body. Railcars 35 to 38 were built as power twin pairs and were capable of being strengthened with additional carriages.</v>
      </c>
    </row>
    <row r="241" customFormat="false" ht="14.25" hidden="false" customHeight="false" outlineLevel="0" collapsed="false">
      <c r="A241" s="1" t="s">
        <v>821</v>
      </c>
      <c r="B241" s="15" t="s">
        <v>822</v>
      </c>
      <c r="C241" s="1" t="n">
        <v>222</v>
      </c>
      <c r="E241" s="1" t="n">
        <v>305</v>
      </c>
      <c r="F241" s="1" t="s">
        <v>174</v>
      </c>
      <c r="G241" s="1" t="str">
        <f aca="false">IF($F241&lt;&gt;"",_xlfn.CONCAT(VLOOKUP($CE241, Constants!$T:$U, 2, FALSE()),",",$F241),VLOOKUP($CE241, Constants!$T:$U, 2, FALSE()))</f>
        <v>role/passenger,_ww_livery/brbluegrey</v>
      </c>
      <c r="H241" s="1" t="str">
        <f aca="false">IF($G241&lt;&gt;"",_xlfn.CONCAT(VLOOKUP($CG241, Constants!$M:$P, 4, FALSE()),",",$G241),VLOOKUP($CG241, Constants!$M:$P, 4, FALSE()))</f>
        <v>flag/GB,power/diesel,role/passenger,_ww_livery/brbluegrey</v>
      </c>
      <c r="I241" s="1" t="s">
        <v>241</v>
      </c>
      <c r="J241" s="1" t="s">
        <v>466</v>
      </c>
      <c r="K241" s="1" t="s">
        <v>525</v>
      </c>
      <c r="L241" s="1" t="s">
        <v>192</v>
      </c>
      <c r="M241" s="1" t="n">
        <v>1956</v>
      </c>
      <c r="N241" s="1" t="n">
        <v>1960</v>
      </c>
      <c r="O241" s="1" t="n">
        <v>2003</v>
      </c>
      <c r="P241" s="1" t="n">
        <v>2</v>
      </c>
      <c r="Q241" s="1" t="n">
        <v>600</v>
      </c>
      <c r="Z241" s="1" t="n">
        <f aca="false">32.5+25</f>
        <v>57.5</v>
      </c>
      <c r="AB241" s="1" t="n">
        <v>5</v>
      </c>
      <c r="AC241" s="1" t="n">
        <v>85</v>
      </c>
      <c r="AD241" s="4" t="n">
        <f aca="false">IF(AND(Z241&gt;0,AC241&gt;0),(AC241/((Z241+AA241)*10)),"")</f>
        <v>0.147826086956522</v>
      </c>
      <c r="AE241" s="1" t="n">
        <v>70</v>
      </c>
      <c r="AF241" s="1" t="n">
        <f aca="false">ROUND(AE241*1.6, 0)</f>
        <v>112</v>
      </c>
      <c r="AH241" s="1" t="n">
        <v>17.37</v>
      </c>
      <c r="AI241" s="1" t="n">
        <v>17.37</v>
      </c>
      <c r="AK241" s="1" t="n">
        <v>3.77</v>
      </c>
      <c r="AL241" s="5" t="n">
        <v>51</v>
      </c>
      <c r="AM241" s="1" t="str">
        <f aca="false">CONCATENATE(VLOOKUP(AN241, 'Voxel Sizes'!$A$2:$B$18,2,FALSE()),"x",INT(AJ241*15), "x", INT(AK241*15))</f>
        <v>164x0x56</v>
      </c>
      <c r="AN241" s="1" t="n">
        <f aca="false">ROUND(15*((AI241*10)/256),0)</f>
        <v>10</v>
      </c>
      <c r="AP241" s="1" t="str">
        <f aca="false">CONCATENATE(VLOOKUP(AN241,Constants!$A$2:$C$16,IF(AO241&lt;&gt;"", 3, 2), FALSE()),IF(AO241&lt;&gt;"",CONCATENATE(",",VLOOKUP(AO241,$B:$AP,41,FALSE())),""))</f>
        <v>4,2,4</v>
      </c>
      <c r="AQ241" s="1" t="n">
        <v>3</v>
      </c>
      <c r="AT241" s="1" t="s">
        <v>823</v>
      </c>
      <c r="AV241" s="1" t="s">
        <v>815</v>
      </c>
      <c r="AZ241" s="1" t="n">
        <v>45</v>
      </c>
      <c r="BA241" s="16" t="n">
        <f aca="false">IF(O241&lt;&gt;"",MAX(16,(O241-M241)+8),"")</f>
        <v>55</v>
      </c>
      <c r="BB241" s="1" t="n">
        <v>-10</v>
      </c>
      <c r="BC241" s="1" t="n">
        <v>-15</v>
      </c>
      <c r="BD241" s="1" t="n">
        <f aca="false">MIN(AE241/150, 1)*30</f>
        <v>14</v>
      </c>
      <c r="BE241" s="1" t="n">
        <f aca="false">MIN(Q241/4000, 1)*20</f>
        <v>3</v>
      </c>
      <c r="BF241" s="1" t="n">
        <f aca="false">MIN(AC241/400,1)*20</f>
        <v>4.25</v>
      </c>
      <c r="BG241" s="4" t="n">
        <f aca="false">1-(MAX(M241-1900, 0)/750)</f>
        <v>0.925333333333333</v>
      </c>
      <c r="BH241" s="1" t="n">
        <f aca="false">((MAX($P241,1)*MIN($AL241/300,1)))*IF(J241="Wagon",50,10)</f>
        <v>3.4</v>
      </c>
      <c r="BI241" s="1" t="n">
        <f aca="false">VLOOKUP($K241,Constants!$I:$K, 2, FALSE())</f>
        <v>1</v>
      </c>
      <c r="BJ241" s="1" t="n">
        <f aca="false">VLOOKUP($K241,Constants!$I:$K, 3, FALSE())*IF(AND(J241="multiple_unit",AE241&lt;110),0.75,1)</f>
        <v>1.5</v>
      </c>
      <c r="BK241" s="1" t="n">
        <f aca="false">INT(POWER(((Constants!$G$2+$BD241+$BE241+$BF241+$BH241)*$BG241)*$BJ241, 1.05))+$BC241</f>
        <v>34</v>
      </c>
      <c r="BL241" s="1" t="n">
        <f aca="false">INT(POWER((((Constants!$G$1+$BD241+$BE241+$BF241+$BH241)*($BG241))*$BI241),IF($J241="wagon",1,1.2)))+$BB241</f>
        <v>65</v>
      </c>
      <c r="BM241" s="17" t="n">
        <f aca="false">BK241*IF($J241="wagon",62.5,781.25)</f>
        <v>26562.5</v>
      </c>
      <c r="BN241" s="17" t="n">
        <f aca="false">BL241*IF($J241="wagon",2.73,81.25)</f>
        <v>5281.25</v>
      </c>
      <c r="BT24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1" s="1" t="n">
        <v>2</v>
      </c>
      <c r="CC241" s="1" t="s">
        <v>367</v>
      </c>
      <c r="CD241" s="1" t="str">
        <f aca="false">VLOOKUP(M241,Eras!$A$2:$C$10, 2, TRUE())</f>
        <v>dsl</v>
      </c>
      <c r="CE241" s="1" t="s">
        <v>824</v>
      </c>
      <c r="CF241" s="1" t="str">
        <f aca="false">CONCATENATE(CD241,"_",CE241)</f>
        <v>dsl_DMU</v>
      </c>
      <c r="CG241" s="1" t="str">
        <f aca="false">_xlfn.CONCAT(K241, "_",L241)</f>
        <v>diesel_RAIL</v>
      </c>
      <c r="CH241" s="7" t="str">
        <f aca="false">_xlfn.CONCAT("{BLACK}Length: {GOLD}", TEXT(ROUNDUP(IF(AS241&lt;&gt;"",SUM(VALUE(_xlfn.TEXTSPLIT(AS241, ","))), SUM(VALUE(_xlfn.TEXTSPLIT(AP241, ",")))*IF(P241, P241, 1))/16, 1), "#,##0.0"), " tiles{}")</f>
        <v>{BLACK}Length: {GOLD}1.3 tiles{}</v>
      </c>
      <c r="CI241" s="1" t="str">
        <f aca="false">IF(0, VLOOKUP($CG241, Constants!$M:$N, 2, FALSE()),"")</f>
        <v/>
      </c>
      <c r="CJ241" s="1" t="str">
        <f aca="false">IF(P241&gt;1,_xlfn.CONCAT("{BLACK}Cars: {GOLD}", P241),"")</f>
        <v>{BLACK}Cars: {GOLD}2</v>
      </c>
      <c r="CK241" s="1" t="s">
        <v>825</v>
      </c>
      <c r="CL241" s="1" t="str">
        <f aca="false">IF($BX241="concept_trains","{GREEN}Concept Vehicle",IF($BX241="!param_no_gameplay_units","{GREEN}Included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{BLACK}Cars: {GOLD}2{}{BLACK}Length: {GOLD}1.3 tiles{}{SILVER}The Class 101 has a four speed gearbox with a manual shift. It was exceptionally long-lived, the final examples being retired in December 2003.</v>
      </c>
    </row>
    <row r="242" customFormat="false" ht="14.25" hidden="false" customHeight="false" outlineLevel="0" collapsed="false">
      <c r="A242" s="1" t="s">
        <v>826</v>
      </c>
      <c r="B242" s="15" t="s">
        <v>827</v>
      </c>
      <c r="C242" s="1" t="n">
        <v>4224</v>
      </c>
      <c r="D242" s="1" t="n">
        <v>222</v>
      </c>
      <c r="E242" s="1" t="n">
        <v>306</v>
      </c>
      <c r="F242" s="1" t="s">
        <v>174</v>
      </c>
      <c r="G242" s="1" t="str">
        <f aca="false">IF($F242&lt;&gt;"",_xlfn.CONCAT(VLOOKUP($CE242, Constants!$T:$U, 2, FALSE()),",",$F242),VLOOKUP($CE242, Constants!$T:$U, 2, FALSE()))</f>
        <v>role/passenger,_ww_livery/brbluegrey</v>
      </c>
      <c r="H242" s="1" t="str">
        <f aca="false">IF($G242&lt;&gt;"",_xlfn.CONCAT(VLOOKUP($CG242, Constants!$M:$P, 4, FALSE()),",",$G242),VLOOKUP($CG242, Constants!$M:$P, 4, FALSE()))</f>
        <v>flag/GB,power/diesel,role/passenger,_ww_livery/brbluegrey</v>
      </c>
      <c r="I242" s="1" t="s">
        <v>241</v>
      </c>
      <c r="J242" s="1" t="s">
        <v>466</v>
      </c>
      <c r="K242" s="1" t="s">
        <v>525</v>
      </c>
      <c r="L242" s="1" t="s">
        <v>192</v>
      </c>
      <c r="M242" s="1" t="n">
        <v>1956</v>
      </c>
      <c r="N242" s="1" t="n">
        <v>1960</v>
      </c>
      <c r="O242" s="1" t="n">
        <v>2003</v>
      </c>
      <c r="P242" s="1" t="n">
        <v>3</v>
      </c>
      <c r="Q242" s="1" t="n">
        <v>600</v>
      </c>
      <c r="Z242" s="1" t="n">
        <f aca="false">32.5+25+32.5</f>
        <v>90</v>
      </c>
      <c r="AB242" s="1" t="n">
        <v>5</v>
      </c>
      <c r="AC242" s="1" t="n">
        <v>85</v>
      </c>
      <c r="AD242" s="4" t="n">
        <f aca="false">IF(AND(Z242&gt;0,AC242&gt;0),(AC242/((Z242+AA242)*10)),"")</f>
        <v>0.0944444444444444</v>
      </c>
      <c r="AE242" s="1" t="n">
        <v>70</v>
      </c>
      <c r="AF242" s="1" t="n">
        <f aca="false">ROUND(AE242*1.6, 0)</f>
        <v>112</v>
      </c>
      <c r="AH242" s="1" t="n">
        <v>17.37</v>
      </c>
      <c r="AI242" s="1" t="n">
        <v>17.37</v>
      </c>
      <c r="AK242" s="1" t="n">
        <v>3.77</v>
      </c>
      <c r="AL242" s="5" t="n">
        <v>55</v>
      </c>
      <c r="AM242" s="1" t="str">
        <f aca="false">CONCATENATE(VLOOKUP(AN242, 'Voxel Sizes'!$A$2:$B$18,2,FALSE()),"x",INT(AJ242*15), "x", INT(AK242*15))</f>
        <v>164x0x56</v>
      </c>
      <c r="AN242" s="1" t="n">
        <f aca="false">ROUND(15*((AI242*10)/256),0)</f>
        <v>10</v>
      </c>
      <c r="AP242" s="1" t="str">
        <f aca="false">CONCATENATE(VLOOKUP(AN242,Constants!$A$2:$C$16,IF(AO242&lt;&gt;"", 3, 2), FALSE()),IF(AO242&lt;&gt;"",CONCATENATE(",",VLOOKUP(AO242,$B:$AP,41,FALSE())),""))</f>
        <v>4,2,4</v>
      </c>
      <c r="AQ242" s="1" t="s">
        <v>828</v>
      </c>
      <c r="AT242" s="1" t="s">
        <v>829</v>
      </c>
      <c r="AV242" s="1" t="s">
        <v>819</v>
      </c>
      <c r="AW242" s="1" t="s">
        <v>822</v>
      </c>
      <c r="AZ242" s="1" t="n">
        <v>45</v>
      </c>
      <c r="BA242" s="16" t="n">
        <f aca="false">IF(O242&lt;&gt;"",MAX(16,(O242-M242)+8),"")</f>
        <v>55</v>
      </c>
      <c r="BB242" s="1" t="n">
        <v>-10</v>
      </c>
      <c r="BC242" s="1" t="n">
        <v>-15</v>
      </c>
      <c r="BD242" s="1" t="n">
        <f aca="false">MIN(AE242/150, 1)*30</f>
        <v>14</v>
      </c>
      <c r="BE242" s="1" t="n">
        <f aca="false">MIN(Q242/4000, 1)*20</f>
        <v>3</v>
      </c>
      <c r="BF242" s="1" t="n">
        <f aca="false">MIN(AC242/400,1)*20</f>
        <v>4.25</v>
      </c>
      <c r="BG242" s="4" t="n">
        <f aca="false">1-(MAX(M242-1900, 0)/750)</f>
        <v>0.925333333333333</v>
      </c>
      <c r="BH242" s="1" t="n">
        <f aca="false">((MAX($P242,1)*MIN($AL242/300,1)))*IF(J242="Wagon",50,10)</f>
        <v>5.5</v>
      </c>
      <c r="BI242" s="1" t="n">
        <f aca="false">VLOOKUP($K242,Constants!$I:$K, 2, FALSE())</f>
        <v>1</v>
      </c>
      <c r="BJ242" s="1" t="n">
        <f aca="false">VLOOKUP($K242,Constants!$I:$K, 3, FALSE())*IF(AND(J242="multiple_unit",AE242&lt;110),0.75,1)</f>
        <v>1.5</v>
      </c>
      <c r="BK242" s="1" t="n">
        <f aca="false">INT(POWER(((Constants!$G$2+$BD242+$BE242+$BF242+$BH242)*$BG242)*$BJ242, 1.05))+$BC242</f>
        <v>38</v>
      </c>
      <c r="BL242" s="1" t="n">
        <f aca="false">INT(POWER((((Constants!$G$1+$BD242+$BE242+$BF242+$BH242)*($BG242))*$BI242),IF($J242="wagon",1,1.2)))+$BB242</f>
        <v>70</v>
      </c>
      <c r="BM242" s="17" t="n">
        <f aca="false">BK242*IF($J242="wagon",62.5,781.25)</f>
        <v>29687.5</v>
      </c>
      <c r="BN242" s="17" t="n">
        <f aca="false">BL242*IF($J242="wagon",2.73,81.25)</f>
        <v>5687.5</v>
      </c>
      <c r="BT24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2" s="1" t="n">
        <v>2</v>
      </c>
      <c r="CC242" s="1" t="s">
        <v>367</v>
      </c>
      <c r="CD242" s="1" t="str">
        <f aca="false">VLOOKUP(M242,Eras!$A$2:$C$10, 2, TRUE())</f>
        <v>dsl</v>
      </c>
      <c r="CE242" s="1" t="s">
        <v>824</v>
      </c>
      <c r="CF242" s="1" t="str">
        <f aca="false">CONCATENATE(CD242,"_",CE242)</f>
        <v>dsl_DMU</v>
      </c>
      <c r="CG242" s="1" t="str">
        <f aca="false">_xlfn.CONCAT(K242, "_",L242)</f>
        <v>diesel_RAIL</v>
      </c>
      <c r="CH242" s="7" t="str">
        <f aca="false">_xlfn.CONCAT("{BLACK}Length: {GOLD}", TEXT(ROUNDUP(IF(AS242&lt;&gt;"",SUM(VALUE(_xlfn.TEXTSPLIT(AS242, ","))), SUM(VALUE(_xlfn.TEXTSPLIT(AP242, ",")))*IF(P242, P242, 1))/16, 1), "#,##0.0"), " tiles{}")</f>
        <v>{BLACK}Length: {GOLD}1.9 tiles{}</v>
      </c>
      <c r="CI242" s="1" t="str">
        <f aca="false">IF(0, VLOOKUP($CG242, Constants!$M:$N, 2, FALSE()),"")</f>
        <v/>
      </c>
      <c r="CJ242" s="1" t="str">
        <f aca="false">IF(P242&gt;1,_xlfn.CONCAT("{BLACK}Cars: {GOLD}", P242),"")</f>
        <v>{BLACK}Cars: {GOLD}3</v>
      </c>
      <c r="CK242" s="1" t="s">
        <v>825</v>
      </c>
      <c r="CL242" s="1" t="str">
        <f aca="false">IF($BX242="concept_trains","{GREEN}Concept Vehicle",IF($BX242="!param_no_gameplay_units","{GREEN}Included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{GOLD}3{}{BLACK}Length: {GOLD}1.9 tiles{}{SILVER}The Class 101 has a four speed gearbox with a manual shift. It was exceptionally long-lived, the final examples being retired in December 2003.</v>
      </c>
    </row>
    <row r="243" customFormat="false" ht="14.25" hidden="false" customHeight="false" outlineLevel="0" collapsed="false">
      <c r="A243" s="1" t="s">
        <v>830</v>
      </c>
      <c r="B243" s="15" t="s">
        <v>831</v>
      </c>
      <c r="C243" s="1" t="n">
        <v>4225</v>
      </c>
      <c r="D243" s="1" t="n">
        <v>222</v>
      </c>
      <c r="E243" s="1" t="n">
        <v>307</v>
      </c>
      <c r="F243" s="1" t="s">
        <v>174</v>
      </c>
      <c r="G243" s="1" t="str">
        <f aca="false">IF($F243&lt;&gt;"",_xlfn.CONCAT(VLOOKUP($CE243, Constants!$T:$U, 2, FALSE()),",",$F243),VLOOKUP($CE243, Constants!$T:$U, 2, FALSE()))</f>
        <v>role/passenger,_ww_livery/brbluegrey</v>
      </c>
      <c r="H243" s="1" t="str">
        <f aca="false">IF($G243&lt;&gt;"",_xlfn.CONCAT(VLOOKUP($CG243, Constants!$M:$P, 4, FALSE()),",",$G243),VLOOKUP($CG243, Constants!$M:$P, 4, FALSE()))</f>
        <v>flag/GB,power/diesel,role/passenger,_ww_livery/brbluegrey</v>
      </c>
      <c r="I243" s="1" t="s">
        <v>241</v>
      </c>
      <c r="J243" s="1" t="s">
        <v>466</v>
      </c>
      <c r="K243" s="1" t="s">
        <v>525</v>
      </c>
      <c r="L243" s="1" t="s">
        <v>192</v>
      </c>
      <c r="M243" s="1" t="n">
        <v>1956</v>
      </c>
      <c r="N243" s="1" t="n">
        <v>1960</v>
      </c>
      <c r="O243" s="1" t="n">
        <v>2003</v>
      </c>
      <c r="P243" s="1" t="n">
        <v>4</v>
      </c>
      <c r="Q243" s="1" t="n">
        <v>600</v>
      </c>
      <c r="Z243" s="1" t="n">
        <f aca="false">32.5+25+25+32.5</f>
        <v>115</v>
      </c>
      <c r="AB243" s="1" t="n">
        <v>5</v>
      </c>
      <c r="AC243" s="1" t="n">
        <v>85</v>
      </c>
      <c r="AD243" s="4" t="n">
        <f aca="false">IF(AND(Z243&gt;0,AC243&gt;0),(AC243/((Z243+AA243)*10)),"")</f>
        <v>0.0739130434782609</v>
      </c>
      <c r="AE243" s="1" t="n">
        <v>70</v>
      </c>
      <c r="AF243" s="1" t="n">
        <f aca="false">ROUND(AE243*1.6, 0)</f>
        <v>112</v>
      </c>
      <c r="AH243" s="1" t="n">
        <v>17.37</v>
      </c>
      <c r="AI243" s="1" t="n">
        <v>17.37</v>
      </c>
      <c r="AK243" s="1" t="n">
        <v>3.77</v>
      </c>
      <c r="AL243" s="5" t="n">
        <v>58</v>
      </c>
      <c r="AM243" s="1" t="str">
        <f aca="false">CONCATENATE(VLOOKUP(AN243, 'Voxel Sizes'!$A$2:$B$18,2,FALSE()),"x",INT(AJ243*15), "x", INT(AK243*15))</f>
        <v>164x0x56</v>
      </c>
      <c r="AN243" s="1" t="n">
        <f aca="false">ROUND(15*((AI243*10)/256),0)</f>
        <v>10</v>
      </c>
      <c r="AP243" s="1" t="str">
        <f aca="false">CONCATENATE(VLOOKUP(AN243,Constants!$A$2:$C$16,IF(AO243&lt;&gt;"", 3, 2), FALSE()),IF(AO243&lt;&gt;"",CONCATENATE(",",VLOOKUP(AO243,$B:$AP,41,FALSE())),""))</f>
        <v>4,2,4</v>
      </c>
      <c r="AQ243" s="1" t="s">
        <v>832</v>
      </c>
      <c r="AT243" s="1" t="s">
        <v>833</v>
      </c>
      <c r="AV243" s="1" t="s">
        <v>834</v>
      </c>
      <c r="AW243" s="1" t="s">
        <v>822</v>
      </c>
      <c r="AZ243" s="1" t="n">
        <v>45</v>
      </c>
      <c r="BA243" s="16" t="n">
        <f aca="false">IF(O243&lt;&gt;"",MAX(16,(O243-M243)+8),"")</f>
        <v>55</v>
      </c>
      <c r="BB243" s="1" t="n">
        <v>-10</v>
      </c>
      <c r="BC243" s="1" t="n">
        <v>-15</v>
      </c>
      <c r="BD243" s="1" t="n">
        <f aca="false">MIN(AE243/150, 1)*30</f>
        <v>14</v>
      </c>
      <c r="BE243" s="1" t="n">
        <f aca="false">MIN(Q243/4000, 1)*20</f>
        <v>3</v>
      </c>
      <c r="BF243" s="1" t="n">
        <f aca="false">MIN(AC243/400,1)*20</f>
        <v>4.25</v>
      </c>
      <c r="BG243" s="4" t="n">
        <f aca="false">1-(MAX(M243-1900, 0)/750)</f>
        <v>0.925333333333333</v>
      </c>
      <c r="BH243" s="1" t="n">
        <f aca="false">((MAX($P243,1)*MIN($AL243/300,1)))*IF(J243="Wagon",50,10)</f>
        <v>7.73333333333333</v>
      </c>
      <c r="BI243" s="1" t="n">
        <f aca="false">VLOOKUP($K243,Constants!$I:$K, 2, FALSE())</f>
        <v>1</v>
      </c>
      <c r="BJ243" s="1" t="n">
        <f aca="false">VLOOKUP($K243,Constants!$I:$K, 3, FALSE())*IF(AND(J243="multiple_unit",AE243&lt;110),0.75,1)</f>
        <v>1.5</v>
      </c>
      <c r="BK243" s="1" t="n">
        <f aca="false">INT(POWER(((Constants!$G$2+$BD243+$BE243+$BF243+$BH243)*$BG243)*$BJ243, 1.05))+$BC243</f>
        <v>42</v>
      </c>
      <c r="BL243" s="1" t="n">
        <f aca="false">INT(POWER((((Constants!$G$1+$BD243+$BE243+$BF243+$BH243)*($BG243))*$BI243),IF($J243="wagon",1,1.2)))+$BB243</f>
        <v>75</v>
      </c>
      <c r="BM243" s="17" t="n">
        <f aca="false">BK243*IF($J243="wagon",62.5,781.25)</f>
        <v>32812.5</v>
      </c>
      <c r="BN243" s="17" t="n">
        <f aca="false">BL243*IF($J243="wagon",2.73,81.25)</f>
        <v>6093.75</v>
      </c>
      <c r="BT24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3" s="1" t="n">
        <v>2</v>
      </c>
      <c r="CC243" s="1" t="s">
        <v>367</v>
      </c>
      <c r="CD243" s="1" t="str">
        <f aca="false">VLOOKUP(M243,Eras!$A$2:$C$10, 2, TRUE())</f>
        <v>dsl</v>
      </c>
      <c r="CE243" s="1" t="s">
        <v>824</v>
      </c>
      <c r="CF243" s="1" t="str">
        <f aca="false">CONCATENATE(CD243,"_",CE243)</f>
        <v>dsl_DMU</v>
      </c>
      <c r="CG243" s="1" t="str">
        <f aca="false">_xlfn.CONCAT(K243, "_",L243)</f>
        <v>diesel_RAIL</v>
      </c>
      <c r="CH243" s="7" t="str">
        <f aca="false">_xlfn.CONCAT("{BLACK}Length: {GOLD}", TEXT(ROUNDUP(IF(AS243&lt;&gt;"",SUM(VALUE(_xlfn.TEXTSPLIT(AS243, ","))), SUM(VALUE(_xlfn.TEXTSPLIT(AP243, ",")))*IF(P243, P243, 1))/16, 1), "#,##0.0"), " tiles{}")</f>
        <v>{BLACK}Length: {GOLD}2.5 tiles{}</v>
      </c>
      <c r="CI243" s="1" t="str">
        <f aca="false">IF(0, VLOOKUP($CG243, Constants!$M:$N, 2, FALSE()),"")</f>
        <v/>
      </c>
      <c r="CJ243" s="1" t="str">
        <f aca="false">IF(P243&gt;1,_xlfn.CONCAT("{BLACK}Cars: {GOLD}", P243),"")</f>
        <v>{BLACK}Cars: {GOLD}4</v>
      </c>
      <c r="CK243" s="1" t="s">
        <v>825</v>
      </c>
      <c r="CL243" s="1" t="str">
        <f aca="false">IF($BX243="concept_trains","{GREEN}Concept Vehicle",IF($BX243="!param_no_gameplay_units","{GREEN}Included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{GOLD}4{}{BLACK}Length: {GOLD}2.5 tiles{}{SILVER}The Class 101 has a four speed gearbox with a manual shift. It was exceptionally long-lived, the final examples being retired in December 2003.</v>
      </c>
    </row>
    <row r="244" customFormat="false" ht="14.25" hidden="false" customHeight="false" outlineLevel="0" collapsed="false">
      <c r="A244" s="1" t="s">
        <v>821</v>
      </c>
      <c r="B244" s="15" t="s">
        <v>835</v>
      </c>
      <c r="C244" s="1" t="n">
        <v>4226</v>
      </c>
      <c r="D244" s="1" t="n">
        <v>222</v>
      </c>
      <c r="E244" s="1" t="n">
        <v>308</v>
      </c>
      <c r="F244" s="1" t="s">
        <v>171</v>
      </c>
      <c r="G244" s="1" t="str">
        <f aca="false">IF($F244&lt;&gt;"",_xlfn.CONCAT(VLOOKUP($CE244, Constants!$T:$U, 2, FALSE()),",",$F244),VLOOKUP($CE244, Constants!$T:$U, 2, FALSE()))</f>
        <v>role/passenger,_ww_livery/brblue</v>
      </c>
      <c r="H244" s="1" t="str">
        <f aca="false">IF($G244&lt;&gt;"",_xlfn.CONCAT(VLOOKUP($CG244, Constants!$M:$P, 4, FALSE()),",",$G244),VLOOKUP($CG244, Constants!$M:$P, 4, FALSE()))</f>
        <v>flag/GB,power/diesel,role/passenger,_ww_livery/brblue</v>
      </c>
      <c r="I244" s="1" t="s">
        <v>241</v>
      </c>
      <c r="J244" s="1" t="s">
        <v>466</v>
      </c>
      <c r="K244" s="1" t="s">
        <v>525</v>
      </c>
      <c r="L244" s="1" t="s">
        <v>192</v>
      </c>
      <c r="M244" s="1" t="n">
        <v>1956</v>
      </c>
      <c r="N244" s="1" t="n">
        <v>1960</v>
      </c>
      <c r="O244" s="1" t="n">
        <v>2003</v>
      </c>
      <c r="P244" s="1" t="n">
        <v>2</v>
      </c>
      <c r="Q244" s="1" t="n">
        <v>600</v>
      </c>
      <c r="Z244" s="1" t="n">
        <f aca="false">32.5+25</f>
        <v>57.5</v>
      </c>
      <c r="AB244" s="1" t="n">
        <v>5</v>
      </c>
      <c r="AC244" s="1" t="n">
        <v>85</v>
      </c>
      <c r="AD244" s="4" t="n">
        <f aca="false">IF(AND(Z244&gt;0,AC244&gt;0),(AC244/((Z244+AA244)*10)),"")</f>
        <v>0.147826086956522</v>
      </c>
      <c r="AE244" s="1" t="n">
        <v>70</v>
      </c>
      <c r="AF244" s="1" t="n">
        <f aca="false">ROUND(AE244*1.6, 0)</f>
        <v>112</v>
      </c>
      <c r="AH244" s="1" t="n">
        <v>17.37</v>
      </c>
      <c r="AI244" s="1" t="n">
        <v>17.37</v>
      </c>
      <c r="AK244" s="1" t="n">
        <v>3.77</v>
      </c>
      <c r="AL244" s="5" t="n">
        <v>51</v>
      </c>
      <c r="AM244" s="1" t="str">
        <f aca="false">CONCATENATE(VLOOKUP(AN244, 'Voxel Sizes'!$A$2:$B$18,2,FALSE()),"x",INT(AJ244*15), "x", INT(AK244*15))</f>
        <v>164x0x56</v>
      </c>
      <c r="AN244" s="1" t="n">
        <f aca="false">ROUND(15*((AI244*10)/256),0)</f>
        <v>10</v>
      </c>
      <c r="AP244" s="1" t="str">
        <f aca="false">CONCATENATE(VLOOKUP(AN244,Constants!$A$2:$C$16,IF(AO244&lt;&gt;"", 3, 2), FALSE()),IF(AO244&lt;&gt;"",CONCATENATE(",",VLOOKUP(AO244,$B:$AP,41,FALSE())),""))</f>
        <v>4,2,4</v>
      </c>
      <c r="AQ244" s="1" t="n">
        <v>3</v>
      </c>
      <c r="AT244" s="1" t="s">
        <v>836</v>
      </c>
      <c r="AV244" s="1" t="s">
        <v>815</v>
      </c>
      <c r="AZ244" s="1" t="n">
        <v>45</v>
      </c>
      <c r="BA244" s="16" t="n">
        <f aca="false">IF(O244&lt;&gt;"",MAX(16,(O244-M244)+8),"")</f>
        <v>55</v>
      </c>
      <c r="BB244" s="1" t="n">
        <v>-10</v>
      </c>
      <c r="BC244" s="1" t="n">
        <v>-15</v>
      </c>
      <c r="BD244" s="1" t="n">
        <f aca="false">MIN(AE244/150, 1)*30</f>
        <v>14</v>
      </c>
      <c r="BE244" s="1" t="n">
        <f aca="false">MIN(Q244/4000, 1)*20</f>
        <v>3</v>
      </c>
      <c r="BF244" s="1" t="n">
        <f aca="false">MIN(AC244/400,1)*20</f>
        <v>4.25</v>
      </c>
      <c r="BG244" s="4" t="n">
        <f aca="false">1-(MAX(M244-1900, 0)/750)</f>
        <v>0.925333333333333</v>
      </c>
      <c r="BH244" s="1" t="n">
        <f aca="false">((MAX($P244,1)*MIN($AL244/300,1)))*IF(J244="Wagon",50,10)</f>
        <v>3.4</v>
      </c>
      <c r="BI244" s="1" t="n">
        <f aca="false">VLOOKUP($K244,Constants!$I:$K, 2, FALSE())</f>
        <v>1</v>
      </c>
      <c r="BJ244" s="1" t="n">
        <f aca="false">VLOOKUP($K244,Constants!$I:$K, 3, FALSE())*IF(AND(J244="multiple_unit",AE244&lt;110),0.75,1)</f>
        <v>1.5</v>
      </c>
      <c r="BK244" s="1" t="n">
        <f aca="false">INT(POWER(((Constants!$G$2+$BD244+$BE244+$BF244+$BH244)*$BG244)*$BJ244, 1.05))+$BC244</f>
        <v>34</v>
      </c>
      <c r="BL244" s="1" t="n">
        <f aca="false">INT(POWER((((Constants!$G$1+$BD244+$BE244+$BF244+$BH244)*($BG244))*$BI244),IF($J244="wagon",1,1.2)))+$BB244</f>
        <v>65</v>
      </c>
      <c r="BM244" s="17" t="n">
        <f aca="false">BK244*IF($J244="wagon",62.5,781.25)</f>
        <v>26562.5</v>
      </c>
      <c r="BN244" s="17" t="n">
        <f aca="false">BL244*IF($J244="wagon",2.73,81.25)</f>
        <v>5281.25</v>
      </c>
      <c r="BT24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4" s="1" t="n">
        <v>2</v>
      </c>
      <c r="CC244" s="1" t="s">
        <v>367</v>
      </c>
      <c r="CD244" s="1" t="str">
        <f aca="false">VLOOKUP(M244,Eras!$A$2:$C$10, 2, TRUE())</f>
        <v>dsl</v>
      </c>
      <c r="CE244" s="1" t="s">
        <v>824</v>
      </c>
      <c r="CF244" s="1" t="str">
        <f aca="false">CONCATENATE(CD244,"_",CE244)</f>
        <v>dsl_DMU</v>
      </c>
      <c r="CG244" s="1" t="str">
        <f aca="false">_xlfn.CONCAT(K244, "_",L244)</f>
        <v>diesel_RAIL</v>
      </c>
      <c r="CH244" s="7" t="str">
        <f aca="false">_xlfn.CONCAT("{BLACK}Length: {GOLD}", TEXT(ROUNDUP(IF(AS244&lt;&gt;"",SUM(VALUE(_xlfn.TEXTSPLIT(AS244, ","))), SUM(VALUE(_xlfn.TEXTSPLIT(AP244, ",")))*IF(P244, P244, 1))/16, 1), "#,##0.0"), " tiles{}")</f>
        <v>{BLACK}Length: {GOLD}1.3 tiles{}</v>
      </c>
      <c r="CI244" s="1" t="str">
        <f aca="false">IF(0, VLOOKUP($CG244, Constants!$M:$N, 2, FALSE()),"")</f>
        <v/>
      </c>
      <c r="CJ244" s="1" t="str">
        <f aca="false">IF(P244&gt;1,_xlfn.CONCAT("{BLACK}Cars: {GOLD}", P244),"")</f>
        <v>{BLACK}Cars: {GOLD}2</v>
      </c>
      <c r="CK244" s="1" t="s">
        <v>825</v>
      </c>
      <c r="CL244" s="1" t="str">
        <f aca="false">IF($BX244="concept_trains","{GREEN}Concept Vehicle",IF($BX244="!param_no_gameplay_units","{GREEN}Included for gameplay purposes",""))</f>
        <v/>
      </c>
      <c r="CM244" s="1" t="str">
        <f aca="false">IF(CA244="buffet","{YELLOW}25% long distance bonus for consist{}",IF(CC244="BRAKE","{YELLOW}Speed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{GOLD}2{}{BLACK}Length: {GOLD}1.3 tiles{}{SILVER}The Class 101 has a four speed gearbox with a manual shift. It was exceptionally long-lived, the final examples being retired in December 2003.</v>
      </c>
    </row>
    <row r="245" customFormat="false" ht="14.25" hidden="false" customHeight="false" outlineLevel="0" collapsed="false">
      <c r="A245" s="1" t="s">
        <v>826</v>
      </c>
      <c r="B245" s="15" t="s">
        <v>837</v>
      </c>
      <c r="C245" s="1" t="n">
        <v>4227</v>
      </c>
      <c r="D245" s="1" t="n">
        <v>222</v>
      </c>
      <c r="E245" s="1" t="n">
        <v>309</v>
      </c>
      <c r="F245" s="1" t="s">
        <v>171</v>
      </c>
      <c r="G245" s="1" t="str">
        <f aca="false">IF($F245&lt;&gt;"",_xlfn.CONCAT(VLOOKUP($CE245, Constants!$T:$U, 2, FALSE()),",",$F245),VLOOKUP($CE245, Constants!$T:$U, 2, FALSE()))</f>
        <v>role/passenger,_ww_livery/brblue</v>
      </c>
      <c r="H245" s="1" t="str">
        <f aca="false">IF($G245&lt;&gt;"",_xlfn.CONCAT(VLOOKUP($CG245, Constants!$M:$P, 4, FALSE()),",",$G245),VLOOKUP($CG245, Constants!$M:$P, 4, FALSE()))</f>
        <v>flag/GB,power/diesel,role/passenger,_ww_livery/brblue</v>
      </c>
      <c r="I245" s="1" t="s">
        <v>241</v>
      </c>
      <c r="J245" s="1" t="s">
        <v>466</v>
      </c>
      <c r="K245" s="1" t="s">
        <v>525</v>
      </c>
      <c r="L245" s="1" t="s">
        <v>192</v>
      </c>
      <c r="M245" s="1" t="n">
        <v>1956</v>
      </c>
      <c r="N245" s="1" t="n">
        <v>1960</v>
      </c>
      <c r="O245" s="1" t="n">
        <v>2003</v>
      </c>
      <c r="P245" s="1" t="n">
        <v>3</v>
      </c>
      <c r="Q245" s="1" t="n">
        <v>600</v>
      </c>
      <c r="Z245" s="1" t="n">
        <f aca="false">32.5+25+32.5</f>
        <v>90</v>
      </c>
      <c r="AB245" s="1" t="n">
        <v>5</v>
      </c>
      <c r="AC245" s="1" t="n">
        <v>85</v>
      </c>
      <c r="AD245" s="4" t="n">
        <f aca="false">IF(AND(Z245&gt;0,AC245&gt;0),(AC245/((Z245+AA245)*10)),"")</f>
        <v>0.0944444444444444</v>
      </c>
      <c r="AE245" s="1" t="n">
        <v>70</v>
      </c>
      <c r="AF245" s="1" t="n">
        <f aca="false">ROUND(AE245*1.6, 0)</f>
        <v>112</v>
      </c>
      <c r="AH245" s="1" t="n">
        <v>17.37</v>
      </c>
      <c r="AI245" s="1" t="n">
        <v>17.37</v>
      </c>
      <c r="AK245" s="1" t="n">
        <v>3.77</v>
      </c>
      <c r="AL245" s="5" t="n">
        <v>55</v>
      </c>
      <c r="AM245" s="1" t="str">
        <f aca="false">CONCATENATE(VLOOKUP(AN245, 'Voxel Sizes'!$A$2:$B$18,2,FALSE()),"x",INT(AJ245*15), "x", INT(AK245*15))</f>
        <v>164x0x56</v>
      </c>
      <c r="AN245" s="1" t="n">
        <f aca="false">ROUND(15*((AI245*10)/256),0)</f>
        <v>10</v>
      </c>
      <c r="AP245" s="1" t="str">
        <f aca="false">CONCATENATE(VLOOKUP(AN245,Constants!$A$2:$C$16,IF(AO245&lt;&gt;"", 3, 2), FALSE()),IF(AO245&lt;&gt;"",CONCATENATE(",",VLOOKUP(AO245,$B:$AP,41,FALSE())),""))</f>
        <v>4,2,4</v>
      </c>
      <c r="AQ245" s="1" t="s">
        <v>828</v>
      </c>
      <c r="AT245" s="1" t="s">
        <v>838</v>
      </c>
      <c r="AV245" s="1" t="s">
        <v>819</v>
      </c>
      <c r="AW245" s="1" t="s">
        <v>835</v>
      </c>
      <c r="AZ245" s="1" t="n">
        <v>45</v>
      </c>
      <c r="BA245" s="16" t="n">
        <f aca="false">IF(O245&lt;&gt;"",MAX(16,(O245-M245)+8),"")</f>
        <v>55</v>
      </c>
      <c r="BB245" s="1" t="n">
        <v>-10</v>
      </c>
      <c r="BC245" s="1" t="n">
        <v>-15</v>
      </c>
      <c r="BD245" s="1" t="n">
        <f aca="false">MIN(AE245/150, 1)*30</f>
        <v>14</v>
      </c>
      <c r="BE245" s="1" t="n">
        <f aca="false">MIN(Q245/4000, 1)*20</f>
        <v>3</v>
      </c>
      <c r="BF245" s="1" t="n">
        <f aca="false">MIN(AC245/400,1)*20</f>
        <v>4.25</v>
      </c>
      <c r="BG245" s="4" t="n">
        <f aca="false">1-(MAX(M245-1900, 0)/750)</f>
        <v>0.925333333333333</v>
      </c>
      <c r="BH245" s="1" t="n">
        <f aca="false">((MAX($P245,1)*MIN($AL245/300,1)))*IF(J245="Wagon",50,10)</f>
        <v>5.5</v>
      </c>
      <c r="BI245" s="1" t="n">
        <f aca="false">VLOOKUP($K245,Constants!$I:$K, 2, FALSE())</f>
        <v>1</v>
      </c>
      <c r="BJ245" s="1" t="n">
        <f aca="false">VLOOKUP($K245,Constants!$I:$K, 3, FALSE())*IF(AND(J245="multiple_unit",AE245&lt;110),0.75,1)</f>
        <v>1.5</v>
      </c>
      <c r="BK245" s="1" t="n">
        <f aca="false">INT(POWER(((Constants!$G$2+$BD245+$BE245+$BF245+$BH245)*$BG245)*$BJ245, 1.05))+$BC245</f>
        <v>38</v>
      </c>
      <c r="BL245" s="1" t="n">
        <f aca="false">INT(POWER((((Constants!$G$1+$BD245+$BE245+$BF245+$BH245)*($BG245))*$BI245),IF($J245="wagon",1,1.2)))+$BB245</f>
        <v>70</v>
      </c>
      <c r="BM245" s="17" t="n">
        <f aca="false">BK245*IF($J245="wagon",62.5,781.25)</f>
        <v>29687.5</v>
      </c>
      <c r="BN245" s="17" t="n">
        <f aca="false">BL245*IF($J245="wagon",2.73,81.25)</f>
        <v>5687.5</v>
      </c>
      <c r="BT24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5" s="1" t="n">
        <v>2</v>
      </c>
      <c r="CC245" s="1" t="s">
        <v>367</v>
      </c>
      <c r="CD245" s="1" t="str">
        <f aca="false">VLOOKUP(M245,Eras!$A$2:$C$10, 2, TRUE())</f>
        <v>dsl</v>
      </c>
      <c r="CE245" s="1" t="s">
        <v>824</v>
      </c>
      <c r="CF245" s="1" t="str">
        <f aca="false">CONCATENATE(CD245,"_",CE245)</f>
        <v>dsl_DMU</v>
      </c>
      <c r="CG245" s="1" t="str">
        <f aca="false">_xlfn.CONCAT(K245, "_",L245)</f>
        <v>diesel_RAIL</v>
      </c>
      <c r="CH245" s="7" t="str">
        <f aca="false">_xlfn.CONCAT("{BLACK}Length: {GOLD}", TEXT(ROUNDUP(IF(AS245&lt;&gt;"",SUM(VALUE(_xlfn.TEXTSPLIT(AS245, ","))), SUM(VALUE(_xlfn.TEXTSPLIT(AP245, ",")))*IF(P245, P245, 1))/16, 1), "#,##0.0"), " tiles{}")</f>
        <v>{BLACK}Length: {GOLD}1.9 tiles{}</v>
      </c>
      <c r="CI245" s="1" t="str">
        <f aca="false">IF(0, VLOOKUP($CG245, Constants!$M:$N, 2, FALSE()),"")</f>
        <v/>
      </c>
      <c r="CJ245" s="1" t="str">
        <f aca="false">IF(P245&gt;1,_xlfn.CONCAT("{BLACK}Cars: {GOLD}", P245),"")</f>
        <v>{BLACK}Cars: {GOLD}3</v>
      </c>
      <c r="CK245" s="1" t="s">
        <v>825</v>
      </c>
      <c r="CL245" s="1" t="str">
        <f aca="false">IF($BX245="concept_trains","{GREEN}Concept Vehicle",IF($BX245="!param_no_gameplay_units","{GREEN}Included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{GOLD}1.9 tiles{}{SILVER}The Class 101 has a four speed gearbox with a manual shift. It was exceptionally long-lived, the final examples being retired in December 2003.</v>
      </c>
    </row>
    <row r="246" customFormat="false" ht="14.25" hidden="false" customHeight="false" outlineLevel="0" collapsed="false">
      <c r="A246" s="1" t="s">
        <v>830</v>
      </c>
      <c r="B246" s="15" t="s">
        <v>839</v>
      </c>
      <c r="C246" s="1" t="n">
        <v>4228</v>
      </c>
      <c r="D246" s="1" t="n">
        <v>222</v>
      </c>
      <c r="E246" s="1" t="n">
        <v>310</v>
      </c>
      <c r="F246" s="1" t="s">
        <v>171</v>
      </c>
      <c r="G246" s="1" t="str">
        <f aca="false">IF($F246&lt;&gt;"",_xlfn.CONCAT(VLOOKUP($CE246, Constants!$T:$U, 2, FALSE()),",",$F246),VLOOKUP($CE246, Constants!$T:$U, 2, FALSE()))</f>
        <v>role/passenger,_ww_livery/brblue</v>
      </c>
      <c r="H246" s="1" t="str">
        <f aca="false">IF($G246&lt;&gt;"",_xlfn.CONCAT(VLOOKUP($CG246, Constants!$M:$P, 4, FALSE()),",",$G246),VLOOKUP($CG246, Constants!$M:$P, 4, FALSE()))</f>
        <v>flag/GB,power/diesel,role/passenger,_ww_livery/brblue</v>
      </c>
      <c r="I246" s="1" t="s">
        <v>241</v>
      </c>
      <c r="J246" s="1" t="s">
        <v>466</v>
      </c>
      <c r="K246" s="1" t="s">
        <v>525</v>
      </c>
      <c r="L246" s="1" t="s">
        <v>192</v>
      </c>
      <c r="M246" s="1" t="n">
        <v>1956</v>
      </c>
      <c r="N246" s="1" t="n">
        <v>1960</v>
      </c>
      <c r="O246" s="1" t="n">
        <v>2003</v>
      </c>
      <c r="P246" s="1" t="n">
        <v>4</v>
      </c>
      <c r="Q246" s="1" t="n">
        <v>600</v>
      </c>
      <c r="Z246" s="1" t="n">
        <f aca="false">32.5+25+25+32.5</f>
        <v>115</v>
      </c>
      <c r="AB246" s="1" t="n">
        <v>5</v>
      </c>
      <c r="AC246" s="1" t="n">
        <v>85</v>
      </c>
      <c r="AD246" s="4" t="n">
        <f aca="false">IF(AND(Z246&gt;0,AC246&gt;0),(AC246/((Z246+AA246)*10)),"")</f>
        <v>0.0739130434782609</v>
      </c>
      <c r="AE246" s="1" t="n">
        <v>70</v>
      </c>
      <c r="AF246" s="1" t="n">
        <f aca="false">ROUND(AE246*1.6, 0)</f>
        <v>112</v>
      </c>
      <c r="AH246" s="1" t="n">
        <v>17.37</v>
      </c>
      <c r="AI246" s="1" t="n">
        <v>17.37</v>
      </c>
      <c r="AK246" s="1" t="n">
        <v>3.77</v>
      </c>
      <c r="AL246" s="5" t="n">
        <v>58</v>
      </c>
      <c r="AM246" s="1" t="str">
        <f aca="false">CONCATENATE(VLOOKUP(AN246, 'Voxel Sizes'!$A$2:$B$18,2,FALSE()),"x",INT(AJ246*15), "x", INT(AK246*15))</f>
        <v>164x0x56</v>
      </c>
      <c r="AN246" s="1" t="n">
        <f aca="false">ROUND(15*((AI246*10)/256),0)</f>
        <v>10</v>
      </c>
      <c r="AP246" s="1" t="str">
        <f aca="false">CONCATENATE(VLOOKUP(AN246,Constants!$A$2:$C$16,IF(AO246&lt;&gt;"", 3, 2), FALSE()),IF(AO246&lt;&gt;"",CONCATENATE(",",VLOOKUP(AO246,$B:$AP,41,FALSE())),""))</f>
        <v>4,2,4</v>
      </c>
      <c r="AQ246" s="1" t="s">
        <v>832</v>
      </c>
      <c r="AT246" s="1" t="s">
        <v>840</v>
      </c>
      <c r="AV246" s="1" t="s">
        <v>834</v>
      </c>
      <c r="AW246" s="1" t="s">
        <v>835</v>
      </c>
      <c r="AZ246" s="1" t="n">
        <v>45</v>
      </c>
      <c r="BA246" s="16" t="n">
        <f aca="false">IF(O246&lt;&gt;"",MAX(16,(O246-M246)+8),"")</f>
        <v>55</v>
      </c>
      <c r="BB246" s="1" t="n">
        <v>-10</v>
      </c>
      <c r="BC246" s="1" t="n">
        <v>-15</v>
      </c>
      <c r="BD246" s="1" t="n">
        <f aca="false">MIN(AE246/150, 1)*30</f>
        <v>14</v>
      </c>
      <c r="BE246" s="1" t="n">
        <f aca="false">MIN(Q246/4000, 1)*20</f>
        <v>3</v>
      </c>
      <c r="BF246" s="1" t="n">
        <f aca="false">MIN(AC246/400,1)*20</f>
        <v>4.25</v>
      </c>
      <c r="BG246" s="4" t="n">
        <f aca="false">1-(MAX(M246-1900, 0)/750)</f>
        <v>0.925333333333333</v>
      </c>
      <c r="BH246" s="1" t="n">
        <f aca="false">((MAX($P246,1)*MIN($AL246/300,1)))*IF(J246="Wagon",50,10)</f>
        <v>7.73333333333333</v>
      </c>
      <c r="BI246" s="1" t="n">
        <f aca="false">VLOOKUP($K246,Constants!$I:$K, 2, FALSE())</f>
        <v>1</v>
      </c>
      <c r="BJ246" s="1" t="n">
        <f aca="false">VLOOKUP($K246,Constants!$I:$K, 3, FALSE())*IF(AND(J246="multiple_unit",AE246&lt;110),0.75,1)</f>
        <v>1.5</v>
      </c>
      <c r="BK246" s="1" t="n">
        <f aca="false">INT(POWER(((Constants!$G$2+$BD246+$BE246+$BF246+$BH246)*$BG246)*$BJ246, 1.05))+$BC246</f>
        <v>42</v>
      </c>
      <c r="BL246" s="1" t="n">
        <f aca="false">INT(POWER((((Constants!$G$1+$BD246+$BE246+$BF246+$BH246)*($BG246))*$BI246),IF($J246="wagon",1,1.2)))+$BB246</f>
        <v>75</v>
      </c>
      <c r="BM246" s="17" t="n">
        <f aca="false">BK246*IF($J246="wagon",62.5,781.25)</f>
        <v>32812.5</v>
      </c>
      <c r="BN246" s="17" t="n">
        <f aca="false">BL246*IF($J246="wagon",2.73,81.25)</f>
        <v>6093.75</v>
      </c>
      <c r="BT24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6" s="1" t="n">
        <v>2</v>
      </c>
      <c r="CC246" s="1" t="s">
        <v>367</v>
      </c>
      <c r="CD246" s="1" t="str">
        <f aca="false">VLOOKUP(M246,Eras!$A$2:$C$10, 2, TRUE())</f>
        <v>dsl</v>
      </c>
      <c r="CE246" s="1" t="s">
        <v>824</v>
      </c>
      <c r="CF246" s="1" t="str">
        <f aca="false">CONCATENATE(CD246,"_",CE246)</f>
        <v>dsl_DMU</v>
      </c>
      <c r="CG246" s="1" t="str">
        <f aca="false">_xlfn.CONCAT(K246, "_",L246)</f>
        <v>diesel_RAIL</v>
      </c>
      <c r="CH246" s="7" t="str">
        <f aca="false">_xlfn.CONCAT("{BLACK}Length: {GOLD}", TEXT(ROUNDUP(IF(AS246&lt;&gt;"",SUM(VALUE(_xlfn.TEXTSPLIT(AS246, ","))), SUM(VALUE(_xlfn.TEXTSPLIT(AP246, ",")))*IF(P246, P246, 1))/16, 1), "#,##0.0"), " tiles{}")</f>
        <v>{BLACK}Length: {GOLD}2.5 tiles{}</v>
      </c>
      <c r="CI246" s="1" t="str">
        <f aca="false">IF(0, VLOOKUP($CG246, Constants!$M:$N, 2, FALSE()),"")</f>
        <v/>
      </c>
      <c r="CJ246" s="1" t="str">
        <f aca="false">IF(P246&gt;1,_xlfn.CONCAT("{BLACK}Cars: {GOLD}", P246),"")</f>
        <v>{BLACK}Cars: {GOLD}4</v>
      </c>
      <c r="CK246" s="1" t="s">
        <v>825</v>
      </c>
      <c r="CL246" s="1" t="str">
        <f aca="false">IF($BX246="concept_trains","{GREEN}Concept Vehicle",IF($BX246="!param_no_gameplay_units","{GREEN}Included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{GOLD}4{}{BLACK}Length: {GOLD}2.5 tiles{}{SILVER}The Class 101 has a four speed gearbox with a manual shift. It was exceptionally long-lived, the final examples being retired in December 2003.</v>
      </c>
    </row>
    <row r="247" customFormat="false" ht="14.25" hidden="false" customHeight="false" outlineLevel="0" collapsed="false">
      <c r="A247" s="1" t="s">
        <v>821</v>
      </c>
      <c r="B247" s="15" t="s">
        <v>841</v>
      </c>
      <c r="C247" s="1" t="n">
        <v>4229</v>
      </c>
      <c r="D247" s="1" t="n">
        <v>222</v>
      </c>
      <c r="E247" s="1" t="n">
        <v>311</v>
      </c>
      <c r="F247" s="1" t="s">
        <v>162</v>
      </c>
      <c r="G247" s="1" t="str">
        <f aca="false">IF($F247&lt;&gt;"",_xlfn.CONCAT(VLOOKUP($CE247, Constants!$T:$U, 2, FALSE()),",",$F247),VLOOKUP($CE247, Constants!$T:$U, 2, FALSE()))</f>
        <v>role/passenger,_ww_livery/brgreen</v>
      </c>
      <c r="H247" s="1" t="str">
        <f aca="false">IF($G247&lt;&gt;"",_xlfn.CONCAT(VLOOKUP($CG247, Constants!$M:$P, 4, FALSE()),",",$G247),VLOOKUP($CG247, Constants!$M:$P, 4, FALSE()))</f>
        <v>flag/GB,power/diesel,role/passenger,_ww_livery/brgreen</v>
      </c>
      <c r="I247" s="1" t="s">
        <v>241</v>
      </c>
      <c r="J247" s="1" t="s">
        <v>466</v>
      </c>
      <c r="K247" s="1" t="s">
        <v>525</v>
      </c>
      <c r="L247" s="1" t="s">
        <v>192</v>
      </c>
      <c r="M247" s="1" t="n">
        <v>1956</v>
      </c>
      <c r="N247" s="1" t="n">
        <v>1960</v>
      </c>
      <c r="O247" s="1" t="n">
        <v>2003</v>
      </c>
      <c r="P247" s="1" t="n">
        <v>2</v>
      </c>
      <c r="Q247" s="1" t="n">
        <v>600</v>
      </c>
      <c r="Z247" s="1" t="n">
        <f aca="false">32.5+25</f>
        <v>57.5</v>
      </c>
      <c r="AB247" s="1" t="n">
        <v>5</v>
      </c>
      <c r="AC247" s="1" t="n">
        <v>85</v>
      </c>
      <c r="AD247" s="4" t="n">
        <f aca="false">IF(AND(Z247&gt;0,AC247&gt;0),(AC247/((Z247+AA247)*10)),"")</f>
        <v>0.147826086956522</v>
      </c>
      <c r="AE247" s="1" t="n">
        <v>70</v>
      </c>
      <c r="AF247" s="1" t="n">
        <f aca="false">ROUND(AE247*1.6, 0)</f>
        <v>112</v>
      </c>
      <c r="AH247" s="1" t="n">
        <v>17.37</v>
      </c>
      <c r="AI247" s="1" t="n">
        <v>17.37</v>
      </c>
      <c r="AK247" s="1" t="n">
        <v>3.77</v>
      </c>
      <c r="AL247" s="5" t="n">
        <v>51</v>
      </c>
      <c r="AM247" s="1" t="str">
        <f aca="false">CONCATENATE(VLOOKUP(AN247, 'Voxel Sizes'!$A$2:$B$18,2,FALSE()),"x",INT(AJ247*15), "x", INT(AK247*15))</f>
        <v>164x0x56</v>
      </c>
      <c r="AN247" s="1" t="n">
        <f aca="false">ROUND(15*((AI247*10)/256),0)</f>
        <v>10</v>
      </c>
      <c r="AP247" s="1" t="str">
        <f aca="false">CONCATENATE(VLOOKUP(AN247,Constants!$A$2:$C$16,IF(AO247&lt;&gt;"", 3, 2), FALSE()),IF(AO247&lt;&gt;"",CONCATENATE(",",VLOOKUP(AO247,$B:$AP,41,FALSE())),""))</f>
        <v>4,2,4</v>
      </c>
      <c r="AQ247" s="1" t="n">
        <v>3</v>
      </c>
      <c r="AT247" s="1" t="s">
        <v>842</v>
      </c>
      <c r="AV247" s="1" t="s">
        <v>815</v>
      </c>
      <c r="AZ247" s="1" t="n">
        <v>45</v>
      </c>
      <c r="BA247" s="16" t="n">
        <f aca="false">IF(O247&lt;&gt;"",MAX(16,(O247-M247)+8),"")</f>
        <v>55</v>
      </c>
      <c r="BB247" s="1" t="n">
        <v>-10</v>
      </c>
      <c r="BC247" s="1" t="n">
        <v>-15</v>
      </c>
      <c r="BD247" s="1" t="n">
        <f aca="false">MIN(AE247/150, 1)*30</f>
        <v>14</v>
      </c>
      <c r="BE247" s="1" t="n">
        <f aca="false">MIN(Q247/4000, 1)*20</f>
        <v>3</v>
      </c>
      <c r="BF247" s="1" t="n">
        <f aca="false">MIN(AC247/400,1)*20</f>
        <v>4.25</v>
      </c>
      <c r="BG247" s="4" t="n">
        <f aca="false">1-(MAX(M247-1900, 0)/750)</f>
        <v>0.925333333333333</v>
      </c>
      <c r="BH247" s="1" t="n">
        <f aca="false">((MAX($P247,1)*MIN($AL247/300,1)))*IF(J247="Wagon",50,10)</f>
        <v>3.4</v>
      </c>
      <c r="BI247" s="1" t="n">
        <f aca="false">VLOOKUP($K247,Constants!$I:$K, 2, FALSE())</f>
        <v>1</v>
      </c>
      <c r="BJ247" s="1" t="n">
        <f aca="false">VLOOKUP($K247,Constants!$I:$K, 3, FALSE())*IF(AND(J247="multiple_unit",AE247&lt;110),0.75,1)</f>
        <v>1.5</v>
      </c>
      <c r="BK247" s="1" t="n">
        <f aca="false">INT(POWER(((Constants!$G$2+$BD247+$BE247+$BF247+$BH247)*$BG247)*$BJ247, 1.05))+$BC247</f>
        <v>34</v>
      </c>
      <c r="BL247" s="1" t="n">
        <f aca="false">INT(POWER((((Constants!$G$1+$BD247+$BE247+$BF247+$BH247)*($BG247))*$BI247),IF($J247="wagon",1,1.2)))+$BB247</f>
        <v>65</v>
      </c>
      <c r="BM247" s="17" t="n">
        <f aca="false">BK247*IF($J247="wagon",62.5,781.25)</f>
        <v>26562.5</v>
      </c>
      <c r="BN247" s="17" t="n">
        <f aca="false">BL247*IF($J247="wagon",2.73,81.25)</f>
        <v>5281.25</v>
      </c>
      <c r="BT24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7" s="1" t="n">
        <v>2</v>
      </c>
      <c r="CC247" s="1" t="s">
        <v>367</v>
      </c>
      <c r="CD247" s="1" t="str">
        <f aca="false">VLOOKUP(M247,Eras!$A$2:$C$10, 2, TRUE())</f>
        <v>dsl</v>
      </c>
      <c r="CE247" s="1" t="s">
        <v>824</v>
      </c>
      <c r="CF247" s="1" t="str">
        <f aca="false">CONCATENATE(CD247,"_",CE247)</f>
        <v>dsl_DMU</v>
      </c>
      <c r="CG247" s="1" t="str">
        <f aca="false">_xlfn.CONCAT(K247, "_",L247)</f>
        <v>diesel_RAIL</v>
      </c>
      <c r="CH247" s="7" t="str">
        <f aca="false">_xlfn.CONCAT("{BLACK}Length: {GOLD}", TEXT(ROUNDUP(IF(AS247&lt;&gt;"",SUM(VALUE(_xlfn.TEXTSPLIT(AS247, ","))), SUM(VALUE(_xlfn.TEXTSPLIT(AP247, ",")))*IF(P247, P247, 1))/16, 1), "#,##0.0"), " tiles{}")</f>
        <v>{BLACK}Length: {GOLD}1.3 tiles{}</v>
      </c>
      <c r="CI247" s="1" t="str">
        <f aca="false">IF(0, VLOOKUP($CG247, Constants!$M:$N, 2, FALSE()),"")</f>
        <v/>
      </c>
      <c r="CJ247" s="1" t="str">
        <f aca="false">IF(P247&gt;1,_xlfn.CONCAT("{BLACK}Cars: {GOLD}", P247),"")</f>
        <v>{BLACK}Cars: {GOLD}2</v>
      </c>
      <c r="CK247" s="1" t="s">
        <v>825</v>
      </c>
      <c r="CL247" s="1" t="str">
        <f aca="false">IF($BX247="concept_trains","{GREEN}Concept Vehicle",IF($BX247="!param_no_gameplay_units","{GREEN}Included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{GOLD}2{}{BLACK}Length: {GOLD}1.3 tiles{}{SILVER}The Class 101 has a four speed gearbox with a manual shift. It was exceptionally long-lived, the final examples being retired in December 2003.</v>
      </c>
    </row>
    <row r="248" customFormat="false" ht="14.25" hidden="false" customHeight="false" outlineLevel="0" collapsed="false">
      <c r="A248" s="1" t="s">
        <v>826</v>
      </c>
      <c r="B248" s="15" t="s">
        <v>843</v>
      </c>
      <c r="C248" s="1" t="n">
        <v>4230</v>
      </c>
      <c r="D248" s="1" t="n">
        <v>222</v>
      </c>
      <c r="E248" s="1" t="n">
        <v>312</v>
      </c>
      <c r="F248" s="1" t="s">
        <v>162</v>
      </c>
      <c r="G248" s="1" t="str">
        <f aca="false">IF($F248&lt;&gt;"",_xlfn.CONCAT(VLOOKUP($CE248, Constants!$T:$U, 2, FALSE()),",",$F248),VLOOKUP($CE248, Constants!$T:$U, 2, FALSE()))</f>
        <v>role/passenger,_ww_livery/brgreen</v>
      </c>
      <c r="H248" s="1" t="str">
        <f aca="false">IF($G248&lt;&gt;"",_xlfn.CONCAT(VLOOKUP($CG248, Constants!$M:$P, 4, FALSE()),",",$G248),VLOOKUP($CG248, Constants!$M:$P, 4, FALSE()))</f>
        <v>flag/GB,power/diesel,role/passenger,_ww_livery/brgreen</v>
      </c>
      <c r="I248" s="1" t="s">
        <v>241</v>
      </c>
      <c r="J248" s="1" t="s">
        <v>466</v>
      </c>
      <c r="K248" s="1" t="s">
        <v>525</v>
      </c>
      <c r="L248" s="1" t="s">
        <v>192</v>
      </c>
      <c r="M248" s="1" t="n">
        <v>1956</v>
      </c>
      <c r="N248" s="1" t="n">
        <v>1960</v>
      </c>
      <c r="O248" s="1" t="n">
        <v>2003</v>
      </c>
      <c r="P248" s="1" t="n">
        <v>3</v>
      </c>
      <c r="Q248" s="1" t="n">
        <v>600</v>
      </c>
      <c r="Z248" s="1" t="n">
        <f aca="false">32.5+25+32.5</f>
        <v>90</v>
      </c>
      <c r="AB248" s="1" t="n">
        <v>5</v>
      </c>
      <c r="AC248" s="1" t="n">
        <v>85</v>
      </c>
      <c r="AD248" s="4" t="n">
        <f aca="false">IF(AND(Z248&gt;0,AC248&gt;0),(AC248/((Z248+AA248)*10)),"")</f>
        <v>0.0944444444444444</v>
      </c>
      <c r="AE248" s="1" t="n">
        <v>70</v>
      </c>
      <c r="AF248" s="1" t="n">
        <f aca="false">ROUND(AE248*1.6, 0)</f>
        <v>112</v>
      </c>
      <c r="AH248" s="1" t="n">
        <v>17.37</v>
      </c>
      <c r="AI248" s="1" t="n">
        <v>17.37</v>
      </c>
      <c r="AK248" s="1" t="n">
        <v>3.77</v>
      </c>
      <c r="AL248" s="5" t="n">
        <v>55</v>
      </c>
      <c r="AM248" s="1" t="str">
        <f aca="false">CONCATENATE(VLOOKUP(AN248, 'Voxel Sizes'!$A$2:$B$18,2,FALSE()),"x",INT(AJ248*15), "x", INT(AK248*15))</f>
        <v>164x0x56</v>
      </c>
      <c r="AN248" s="1" t="n">
        <f aca="false">ROUND(15*((AI248*10)/256),0)</f>
        <v>10</v>
      </c>
      <c r="AP248" s="1" t="str">
        <f aca="false">CONCATENATE(VLOOKUP(AN248,Constants!$A$2:$C$16,IF(AO248&lt;&gt;"", 3, 2), FALSE()),IF(AO248&lt;&gt;"",CONCATENATE(",",VLOOKUP(AO248,$B:$AP,41,FALSE())),""))</f>
        <v>4,2,4</v>
      </c>
      <c r="AQ248" s="1" t="s">
        <v>828</v>
      </c>
      <c r="AT248" s="1" t="s">
        <v>844</v>
      </c>
      <c r="AV248" s="1" t="s">
        <v>845</v>
      </c>
      <c r="AW248" s="1" t="s">
        <v>841</v>
      </c>
      <c r="AZ248" s="1" t="n">
        <v>45</v>
      </c>
      <c r="BA248" s="16" t="n">
        <f aca="false">IF(O248&lt;&gt;"",MAX(16,(O248-M248)+8),"")</f>
        <v>55</v>
      </c>
      <c r="BB248" s="1" t="n">
        <v>-10</v>
      </c>
      <c r="BC248" s="1" t="n">
        <v>-15</v>
      </c>
      <c r="BD248" s="1" t="n">
        <f aca="false">MIN(AE248/150, 1)*30</f>
        <v>14</v>
      </c>
      <c r="BE248" s="1" t="n">
        <f aca="false">MIN(Q248/4000, 1)*20</f>
        <v>3</v>
      </c>
      <c r="BF248" s="1" t="n">
        <f aca="false">MIN(AC248/400,1)*20</f>
        <v>4.25</v>
      </c>
      <c r="BG248" s="4" t="n">
        <f aca="false">1-(MAX(M248-1900, 0)/750)</f>
        <v>0.925333333333333</v>
      </c>
      <c r="BH248" s="1" t="n">
        <f aca="false">((MAX($P248,1)*MIN($AL248/300,1)))*IF(J248="Wagon",50,10)</f>
        <v>5.5</v>
      </c>
      <c r="BI248" s="1" t="n">
        <f aca="false">VLOOKUP($K248,Constants!$I:$K, 2, FALSE())</f>
        <v>1</v>
      </c>
      <c r="BJ248" s="1" t="n">
        <f aca="false">VLOOKUP($K248,Constants!$I:$K, 3, FALSE())*IF(AND(J248="multiple_unit",AE248&lt;110),0.75,1)</f>
        <v>1.5</v>
      </c>
      <c r="BK248" s="1" t="n">
        <f aca="false">INT(POWER(((Constants!$G$2+$BD248+$BE248+$BF248+$BH248)*$BG248)*$BJ248, 1.05))+$BC248</f>
        <v>38</v>
      </c>
      <c r="BL248" s="1" t="n">
        <f aca="false">INT(POWER((((Constants!$G$1+$BD248+$BE248+$BF248+$BH248)*($BG248))*$BI248),IF($J248="wagon",1,1.2)))+$BB248</f>
        <v>70</v>
      </c>
      <c r="BM248" s="17" t="n">
        <f aca="false">BK248*IF($J248="wagon",62.5,781.25)</f>
        <v>29687.5</v>
      </c>
      <c r="BN248" s="17" t="n">
        <f aca="false">BL248*IF($J248="wagon",2.73,81.25)</f>
        <v>5687.5</v>
      </c>
      <c r="BT24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8" s="1" t="n">
        <v>2</v>
      </c>
      <c r="CC248" s="1" t="s">
        <v>367</v>
      </c>
      <c r="CD248" s="1" t="str">
        <f aca="false">VLOOKUP(M248,Eras!$A$2:$C$10, 2, TRUE())</f>
        <v>dsl</v>
      </c>
      <c r="CE248" s="1" t="s">
        <v>824</v>
      </c>
      <c r="CF248" s="1" t="str">
        <f aca="false">CONCATENATE(CD248,"_",CE248)</f>
        <v>dsl_DMU</v>
      </c>
      <c r="CG248" s="1" t="str">
        <f aca="false">_xlfn.CONCAT(K248, "_",L248)</f>
        <v>diesel_RAIL</v>
      </c>
      <c r="CH248" s="7" t="str">
        <f aca="false">_xlfn.CONCAT("{BLACK}Length: {GOLD}", TEXT(ROUNDUP(IF(AS248&lt;&gt;"",SUM(VALUE(_xlfn.TEXTSPLIT(AS248, ","))), SUM(VALUE(_xlfn.TEXTSPLIT(AP248, ",")))*IF(P248, P248, 1))/16, 1), "#,##0.0"), " tiles{}")</f>
        <v>{BLACK}Length: {GOLD}1.9 tiles{}</v>
      </c>
      <c r="CI248" s="1" t="str">
        <f aca="false">IF(0, VLOOKUP($CG248, Constants!$M:$N, 2, FALSE()),"")</f>
        <v/>
      </c>
      <c r="CJ248" s="1" t="str">
        <f aca="false">IF(P248&gt;1,_xlfn.CONCAT("{BLACK}Cars: {GOLD}", P248),"")</f>
        <v>{BLACK}Cars: {GOLD}3</v>
      </c>
      <c r="CK248" s="1" t="s">
        <v>825</v>
      </c>
      <c r="CL248" s="1" t="str">
        <f aca="false">IF($BX248="concept_trains","{GREEN}Concept Vehicle",IF($BX248="!param_no_gameplay_units","{GREEN}Included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{GOLD}3{}{BLACK}Length: {GOLD}1.9 tiles{}{SILVER}The Class 101 has a four speed gearbox with a manual shift. It was exceptionally long-lived, the final examples being retired in December 2003.</v>
      </c>
    </row>
    <row r="249" customFormat="false" ht="14.25" hidden="false" customHeight="false" outlineLevel="0" collapsed="false">
      <c r="A249" s="1" t="s">
        <v>830</v>
      </c>
      <c r="B249" s="15" t="s">
        <v>846</v>
      </c>
      <c r="C249" s="1" t="n">
        <v>4231</v>
      </c>
      <c r="D249" s="1" t="n">
        <v>222</v>
      </c>
      <c r="E249" s="1" t="n">
        <v>313</v>
      </c>
      <c r="F249" s="1" t="s">
        <v>162</v>
      </c>
      <c r="G249" s="1" t="str">
        <f aca="false">IF($F249&lt;&gt;"",_xlfn.CONCAT(VLOOKUP($CE249, Constants!$T:$U, 2, FALSE()),",",$F249),VLOOKUP($CE249, Constants!$T:$U, 2, FALSE()))</f>
        <v>role/passenger,_ww_livery/brgreen</v>
      </c>
      <c r="H249" s="1" t="str">
        <f aca="false">IF($G249&lt;&gt;"",_xlfn.CONCAT(VLOOKUP($CG249, Constants!$M:$P, 4, FALSE()),",",$G249),VLOOKUP($CG249, Constants!$M:$P, 4, FALSE()))</f>
        <v>flag/GB,power/diesel,role/passenger,_ww_livery/brgreen</v>
      </c>
      <c r="I249" s="1" t="s">
        <v>241</v>
      </c>
      <c r="J249" s="1" t="s">
        <v>466</v>
      </c>
      <c r="K249" s="1" t="s">
        <v>525</v>
      </c>
      <c r="L249" s="1" t="s">
        <v>192</v>
      </c>
      <c r="M249" s="1" t="n">
        <v>1956</v>
      </c>
      <c r="N249" s="1" t="n">
        <v>1960</v>
      </c>
      <c r="O249" s="1" t="n">
        <v>2003</v>
      </c>
      <c r="P249" s="1" t="n">
        <v>4</v>
      </c>
      <c r="Q249" s="1" t="n">
        <v>600</v>
      </c>
      <c r="Z249" s="1" t="n">
        <f aca="false">32.5+25+25+32.5</f>
        <v>115</v>
      </c>
      <c r="AB249" s="1" t="n">
        <v>5</v>
      </c>
      <c r="AC249" s="1" t="n">
        <v>85</v>
      </c>
      <c r="AD249" s="4" t="n">
        <f aca="false">IF(AND(Z249&gt;0,AC249&gt;0),(AC249/((Z249+AA249)*10)),"")</f>
        <v>0.0739130434782609</v>
      </c>
      <c r="AE249" s="1" t="n">
        <v>70</v>
      </c>
      <c r="AF249" s="1" t="n">
        <f aca="false">ROUND(AE249*1.6, 0)</f>
        <v>112</v>
      </c>
      <c r="AH249" s="1" t="n">
        <v>17.37</v>
      </c>
      <c r="AI249" s="1" t="n">
        <v>17.37</v>
      </c>
      <c r="AK249" s="1" t="n">
        <v>3.77</v>
      </c>
      <c r="AL249" s="5" t="n">
        <v>58</v>
      </c>
      <c r="AM249" s="1" t="str">
        <f aca="false">CONCATENATE(VLOOKUP(AN249, 'Voxel Sizes'!$A$2:$B$18,2,FALSE()),"x",INT(AJ249*15), "x", INT(AK249*15))</f>
        <v>164x0x56</v>
      </c>
      <c r="AN249" s="1" t="n">
        <f aca="false">ROUND(15*((AI249*10)/256),0)</f>
        <v>10</v>
      </c>
      <c r="AP249" s="1" t="str">
        <f aca="false">CONCATENATE(VLOOKUP(AN249,Constants!$A$2:$C$16,IF(AO249&lt;&gt;"", 3, 2), FALSE()),IF(AO249&lt;&gt;"",CONCATENATE(",",VLOOKUP(AO249,$B:$AP,41,FALSE())),""))</f>
        <v>4,2,4</v>
      </c>
      <c r="AQ249" s="1" t="s">
        <v>832</v>
      </c>
      <c r="AT249" s="1" t="s">
        <v>847</v>
      </c>
      <c r="AV249" s="1" t="s">
        <v>834</v>
      </c>
      <c r="AW249" s="1" t="s">
        <v>841</v>
      </c>
      <c r="AZ249" s="1" t="n">
        <v>45</v>
      </c>
      <c r="BA249" s="16" t="n">
        <f aca="false">IF(O249&lt;&gt;"",MAX(16,(O249-M249)+8),"")</f>
        <v>55</v>
      </c>
      <c r="BB249" s="1" t="n">
        <v>-10</v>
      </c>
      <c r="BC249" s="1" t="n">
        <v>-15</v>
      </c>
      <c r="BD249" s="1" t="n">
        <f aca="false">MIN(AE249/150, 1)*30</f>
        <v>14</v>
      </c>
      <c r="BE249" s="1" t="n">
        <f aca="false">MIN(Q249/4000, 1)*20</f>
        <v>3</v>
      </c>
      <c r="BF249" s="1" t="n">
        <f aca="false">MIN(AC249/400,1)*20</f>
        <v>4.25</v>
      </c>
      <c r="BG249" s="4" t="n">
        <f aca="false">1-(MAX(M249-1900, 0)/750)</f>
        <v>0.925333333333333</v>
      </c>
      <c r="BH249" s="1" t="n">
        <f aca="false">((MAX($P249,1)*MIN($AL249/300,1)))*IF(J249="Wagon",50,10)</f>
        <v>7.73333333333333</v>
      </c>
      <c r="BI249" s="1" t="n">
        <f aca="false">VLOOKUP($K249,Constants!$I:$K, 2, FALSE())</f>
        <v>1</v>
      </c>
      <c r="BJ249" s="1" t="n">
        <f aca="false">VLOOKUP($K249,Constants!$I:$K, 3, FALSE())*IF(AND(J249="multiple_unit",AE249&lt;110),0.75,1)</f>
        <v>1.5</v>
      </c>
      <c r="BK249" s="1" t="n">
        <f aca="false">INT(POWER(((Constants!$G$2+$BD249+$BE249+$BF249+$BH249)*$BG249)*$BJ249, 1.05))+$BC249</f>
        <v>42</v>
      </c>
      <c r="BL249" s="1" t="n">
        <f aca="false">INT(POWER((((Constants!$G$1+$BD249+$BE249+$BF249+$BH249)*($BG249))*$BI249),IF($J249="wagon",1,1.2)))+$BB249</f>
        <v>75</v>
      </c>
      <c r="BM249" s="17" t="n">
        <f aca="false">BK249*IF($J249="wagon",62.5,781.25)</f>
        <v>32812.5</v>
      </c>
      <c r="BN249" s="17" t="n">
        <f aca="false">BL249*IF($J249="wagon",2.73,81.25)</f>
        <v>6093.75</v>
      </c>
      <c r="BT24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9" s="1" t="n">
        <v>2</v>
      </c>
      <c r="CC249" s="1" t="s">
        <v>367</v>
      </c>
      <c r="CD249" s="1" t="str">
        <f aca="false">VLOOKUP(M249,Eras!$A$2:$C$10, 2, TRUE())</f>
        <v>dsl</v>
      </c>
      <c r="CE249" s="1" t="s">
        <v>824</v>
      </c>
      <c r="CF249" s="1" t="str">
        <f aca="false">CONCATENATE(CD249,"_",CE249)</f>
        <v>dsl_DMU</v>
      </c>
      <c r="CG249" s="1" t="str">
        <f aca="false">_xlfn.CONCAT(K249, "_",L249)</f>
        <v>diesel_RAIL</v>
      </c>
      <c r="CH249" s="7" t="str">
        <f aca="false">_xlfn.CONCAT("{BLACK}Length: {GOLD}", TEXT(ROUNDUP(IF(AS249&lt;&gt;"",SUM(VALUE(_xlfn.TEXTSPLIT(AS249, ","))), SUM(VALUE(_xlfn.TEXTSPLIT(AP249, ",")))*IF(P249, P249, 1))/16, 1), "#,##0.0"), " tiles{}")</f>
        <v>{BLACK}Length: {GOLD}2.5 tiles{}</v>
      </c>
      <c r="CI249" s="1" t="str">
        <f aca="false">IF(0, VLOOKUP($CG249, Constants!$M:$N, 2, FALSE()),"")</f>
        <v/>
      </c>
      <c r="CJ249" s="1" t="str">
        <f aca="false">IF(P249&gt;1,_xlfn.CONCAT("{BLACK}Cars: {GOLD}", P249),"")</f>
        <v>{BLACK}Cars: {GOLD}4</v>
      </c>
      <c r="CK249" s="1" t="s">
        <v>825</v>
      </c>
      <c r="CL249" s="1" t="str">
        <f aca="false">IF($BX249="concept_trains","{GREEN}Concept Vehicle",IF($BX249="!param_no_gameplay_units","{GREEN}Included for gameplay purposes",""))</f>
        <v/>
      </c>
      <c r="CM249" s="1" t="str">
        <f aca="false">IF(CA249="buffet","{YELLOW}25% long distance bonus for consist{}",IF(CC249="BRAKE","{YELLOW}Speed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{GOLD}4{}{BLACK}Length: {GOLD}2.5 tiles{}{SILVER}The Class 101 has a four speed gearbox with a manual shift. It was exceptionally long-lived, the final examples being retired in December 2003.</v>
      </c>
    </row>
    <row r="250" customFormat="false" ht="14.25" hidden="false" customHeight="false" outlineLevel="0" collapsed="false">
      <c r="A250" s="1" t="s">
        <v>821</v>
      </c>
      <c r="B250" s="15" t="s">
        <v>848</v>
      </c>
      <c r="C250" s="1" t="n">
        <v>4233</v>
      </c>
      <c r="D250" s="1" t="n">
        <v>222</v>
      </c>
      <c r="E250" s="1" t="n">
        <v>314</v>
      </c>
      <c r="F250" s="1" t="s">
        <v>165</v>
      </c>
      <c r="G250" s="1" t="str">
        <f aca="false">IF($F250&lt;&gt;"",_xlfn.CONCAT(VLOOKUP($CE250, Constants!$T:$U, 2, FALSE()),",",$F250),VLOOKUP($CE250, Constants!$T:$U, 2, FALSE()))</f>
        <v>role/passenger,_ww_livery/brgreen_yp</v>
      </c>
      <c r="H250" s="1" t="str">
        <f aca="false">IF($G250&lt;&gt;"",_xlfn.CONCAT(VLOOKUP($CG250, Constants!$M:$P, 4, FALSE()),",",$G250),VLOOKUP($CG250, Constants!$M:$P, 4, FALSE()))</f>
        <v>flag/GB,power/diesel,role/passenger,_ww_livery/brgreen_yp</v>
      </c>
      <c r="I250" s="1" t="s">
        <v>241</v>
      </c>
      <c r="J250" s="1" t="s">
        <v>466</v>
      </c>
      <c r="K250" s="1" t="s">
        <v>525</v>
      </c>
      <c r="L250" s="1" t="s">
        <v>192</v>
      </c>
      <c r="M250" s="1" t="n">
        <v>1956</v>
      </c>
      <c r="N250" s="1" t="n">
        <v>1960</v>
      </c>
      <c r="O250" s="1" t="n">
        <v>2003</v>
      </c>
      <c r="P250" s="1" t="n">
        <v>2</v>
      </c>
      <c r="Q250" s="1" t="n">
        <v>600</v>
      </c>
      <c r="Z250" s="1" t="n">
        <f aca="false">32.5+25</f>
        <v>57.5</v>
      </c>
      <c r="AB250" s="1" t="n">
        <v>5</v>
      </c>
      <c r="AC250" s="1" t="n">
        <v>85</v>
      </c>
      <c r="AD250" s="4" t="n">
        <f aca="false">IF(AND(Z250&gt;0,AC250&gt;0),(AC250/((Z250+AA250)*10)),"")</f>
        <v>0.147826086956522</v>
      </c>
      <c r="AE250" s="1" t="n">
        <v>70</v>
      </c>
      <c r="AF250" s="1" t="n">
        <f aca="false">ROUND(AE250*1.6, 0)</f>
        <v>112</v>
      </c>
      <c r="AH250" s="1" t="n">
        <v>17.37</v>
      </c>
      <c r="AI250" s="1" t="n">
        <v>17.37</v>
      </c>
      <c r="AK250" s="1" t="n">
        <v>3.77</v>
      </c>
      <c r="AL250" s="5" t="n">
        <v>51</v>
      </c>
      <c r="AM250" s="1" t="str">
        <f aca="false">CONCATENATE(VLOOKUP(AN250, 'Voxel Sizes'!$A$2:$B$18,2,FALSE()),"x",INT(AJ250*15), "x", INT(AK250*15))</f>
        <v>164x0x56</v>
      </c>
      <c r="AN250" s="1" t="n">
        <f aca="false">ROUND(15*((AI250*10)/256),0)</f>
        <v>10</v>
      </c>
      <c r="AP250" s="1" t="str">
        <f aca="false">CONCATENATE(VLOOKUP(AN250,Constants!$A$2:$C$16,IF(AO250&lt;&gt;"", 3, 2), FALSE()),IF(AO250&lt;&gt;"",CONCATENATE(",",VLOOKUP(AO250,$B:$AP,41,FALSE())),""))</f>
        <v>4,2,4</v>
      </c>
      <c r="AQ250" s="1" t="n">
        <v>3</v>
      </c>
      <c r="AT250" s="1" t="s">
        <v>849</v>
      </c>
      <c r="AV250" s="1" t="s">
        <v>815</v>
      </c>
      <c r="AZ250" s="1" t="n">
        <v>45</v>
      </c>
      <c r="BA250" s="16" t="n">
        <f aca="false">IF(O250&lt;&gt;"",MAX(16,(O250-M250)+8),"")</f>
        <v>55</v>
      </c>
      <c r="BB250" s="1" t="n">
        <v>-10</v>
      </c>
      <c r="BC250" s="1" t="n">
        <v>-15</v>
      </c>
      <c r="BD250" s="1" t="n">
        <f aca="false">MIN(AE250/150, 1)*30</f>
        <v>14</v>
      </c>
      <c r="BE250" s="1" t="n">
        <f aca="false">MIN(Q250/4000, 1)*20</f>
        <v>3</v>
      </c>
      <c r="BF250" s="1" t="n">
        <f aca="false">MIN(AC250/400,1)*20</f>
        <v>4.25</v>
      </c>
      <c r="BG250" s="4" t="n">
        <f aca="false">1-(MAX(M250-1900, 0)/750)</f>
        <v>0.925333333333333</v>
      </c>
      <c r="BH250" s="1" t="n">
        <f aca="false">((MAX($P250,1)*MIN($AL250/300,1)))*IF(J250="Wagon",50,10)</f>
        <v>3.4</v>
      </c>
      <c r="BI250" s="1" t="n">
        <f aca="false">VLOOKUP($K250,Constants!$I:$K, 2, FALSE())</f>
        <v>1</v>
      </c>
      <c r="BJ250" s="1" t="n">
        <f aca="false">VLOOKUP($K250,Constants!$I:$K, 3, FALSE())*IF(AND(J250="multiple_unit",AE250&lt;110),0.75,1)</f>
        <v>1.5</v>
      </c>
      <c r="BK250" s="1" t="n">
        <f aca="false">INT(POWER(((Constants!$G$2+$BD250+$BE250+$BF250+$BH250)*$BG250)*$BJ250, 1.05))+$BC250</f>
        <v>34</v>
      </c>
      <c r="BL250" s="1" t="n">
        <f aca="false">INT(POWER((((Constants!$G$1+$BD250+$BE250+$BF250+$BH250)*($BG250))*$BI250),IF($J250="wagon",1,1.2)))+$BB250</f>
        <v>65</v>
      </c>
      <c r="BM250" s="17" t="n">
        <f aca="false">BK250*IF($J250="wagon",62.5,781.25)</f>
        <v>26562.5</v>
      </c>
      <c r="BN250" s="17" t="n">
        <f aca="false">BL250*IF($J250="wagon",2.73,81.25)</f>
        <v>5281.25</v>
      </c>
      <c r="BT25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0" s="1" t="n">
        <v>2</v>
      </c>
      <c r="CC250" s="1" t="s">
        <v>367</v>
      </c>
      <c r="CD250" s="1" t="str">
        <f aca="false">VLOOKUP(M250,Eras!$A$2:$C$10, 2, TRUE())</f>
        <v>dsl</v>
      </c>
      <c r="CE250" s="1" t="s">
        <v>824</v>
      </c>
      <c r="CF250" s="1" t="str">
        <f aca="false">CONCATENATE(CD250,"_",CE250)</f>
        <v>dsl_DMU</v>
      </c>
      <c r="CG250" s="1" t="str">
        <f aca="false">_xlfn.CONCAT(K250, "_",L250)</f>
        <v>diesel_RAIL</v>
      </c>
      <c r="CH250" s="7" t="str">
        <f aca="false">_xlfn.CONCAT("{BLACK}Length: {GOLD}", TEXT(ROUNDUP(IF(AS250&lt;&gt;"",SUM(VALUE(_xlfn.TEXTSPLIT(AS250, ","))), SUM(VALUE(_xlfn.TEXTSPLIT(AP250, ",")))*IF(P250, P250, 1))/16, 1), "#,##0.0"), " tiles{}")</f>
        <v>{BLACK}Length: {GOLD}1.3 tiles{}</v>
      </c>
      <c r="CI250" s="1" t="str">
        <f aca="false">IF(0, VLOOKUP($CG250, Constants!$M:$N, 2, FALSE()),"")</f>
        <v/>
      </c>
      <c r="CJ250" s="1" t="str">
        <f aca="false">IF(P250&gt;1,_xlfn.CONCAT("{BLACK}Cars: {GOLD}", P250),"")</f>
        <v>{BLACK}Cars: {GOLD}2</v>
      </c>
      <c r="CK250" s="1" t="s">
        <v>825</v>
      </c>
      <c r="CL250" s="1" t="str">
        <f aca="false">IF($BX250="concept_trains","{GREEN}Concept Vehicle",IF($BX250="!param_no_gameplay_units","{GREEN}Included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{GOLD}1.3 tiles{}{SILVER}The Class 101 has a four speed gearbox with a manual shift. It was exceptionally long-lived, the final examples being retired in December 2003.</v>
      </c>
    </row>
    <row r="251" customFormat="false" ht="14.25" hidden="false" customHeight="false" outlineLevel="0" collapsed="false">
      <c r="A251" s="1" t="s">
        <v>826</v>
      </c>
      <c r="B251" s="15" t="s">
        <v>850</v>
      </c>
      <c r="C251" s="1" t="n">
        <v>4234</v>
      </c>
      <c r="D251" s="1" t="n">
        <v>222</v>
      </c>
      <c r="E251" s="1" t="n">
        <v>315</v>
      </c>
      <c r="F251" s="1" t="s">
        <v>165</v>
      </c>
      <c r="G251" s="1" t="str">
        <f aca="false">IF($F251&lt;&gt;"",_xlfn.CONCAT(VLOOKUP($CE251, Constants!$T:$U, 2, FALSE()),",",$F251),VLOOKUP($CE251, Constants!$T:$U, 2, FALSE()))</f>
        <v>role/passenger,_ww_livery/brgreen_yp</v>
      </c>
      <c r="H251" s="1" t="str">
        <f aca="false">IF($G251&lt;&gt;"",_xlfn.CONCAT(VLOOKUP($CG251, Constants!$M:$P, 4, FALSE()),",",$G251),VLOOKUP($CG251, Constants!$M:$P, 4, FALSE()))</f>
        <v>flag/GB,power/diesel,role/passenger,_ww_livery/brgreen_yp</v>
      </c>
      <c r="I251" s="1" t="s">
        <v>241</v>
      </c>
      <c r="J251" s="1" t="s">
        <v>466</v>
      </c>
      <c r="K251" s="1" t="s">
        <v>525</v>
      </c>
      <c r="L251" s="1" t="s">
        <v>192</v>
      </c>
      <c r="M251" s="1" t="n">
        <v>1956</v>
      </c>
      <c r="N251" s="1" t="n">
        <v>1960</v>
      </c>
      <c r="O251" s="1" t="n">
        <v>2003</v>
      </c>
      <c r="P251" s="1" t="n">
        <v>3</v>
      </c>
      <c r="Q251" s="1" t="n">
        <v>600</v>
      </c>
      <c r="Z251" s="1" t="n">
        <f aca="false">32.5+25+32.5</f>
        <v>90</v>
      </c>
      <c r="AB251" s="1" t="n">
        <v>5</v>
      </c>
      <c r="AC251" s="1" t="n">
        <v>85</v>
      </c>
      <c r="AD251" s="4" t="n">
        <f aca="false">IF(AND(Z251&gt;0,AC251&gt;0),(AC251/((Z251+AA251)*10)),"")</f>
        <v>0.0944444444444444</v>
      </c>
      <c r="AE251" s="1" t="n">
        <v>70</v>
      </c>
      <c r="AF251" s="1" t="n">
        <f aca="false">ROUND(AE251*1.6, 0)</f>
        <v>112</v>
      </c>
      <c r="AH251" s="1" t="n">
        <v>17.37</v>
      </c>
      <c r="AI251" s="1" t="n">
        <v>17.37</v>
      </c>
      <c r="AK251" s="1" t="n">
        <v>3.77</v>
      </c>
      <c r="AL251" s="5" t="n">
        <v>55</v>
      </c>
      <c r="AM251" s="1" t="str">
        <f aca="false">CONCATENATE(VLOOKUP(AN251, 'Voxel Sizes'!$A$2:$B$18,2,FALSE()),"x",INT(AJ251*15), "x", INT(AK251*15))</f>
        <v>164x0x56</v>
      </c>
      <c r="AN251" s="1" t="n">
        <f aca="false">ROUND(15*((AI251*10)/256),0)</f>
        <v>10</v>
      </c>
      <c r="AP251" s="1" t="str">
        <f aca="false">CONCATENATE(VLOOKUP(AN251,Constants!$A$2:$C$16,IF(AO251&lt;&gt;"", 3, 2), FALSE()),IF(AO251&lt;&gt;"",CONCATENATE(",",VLOOKUP(AO251,$B:$AP,41,FALSE())),""))</f>
        <v>4,2,4</v>
      </c>
      <c r="AQ251" s="1" t="s">
        <v>828</v>
      </c>
      <c r="AT251" s="1" t="s">
        <v>851</v>
      </c>
      <c r="AV251" s="1" t="s">
        <v>845</v>
      </c>
      <c r="AW251" s="1" t="s">
        <v>848</v>
      </c>
      <c r="AZ251" s="1" t="n">
        <v>45</v>
      </c>
      <c r="BA251" s="16" t="n">
        <f aca="false">IF(O251&lt;&gt;"",MAX(16,(O251-M251)+8),"")</f>
        <v>55</v>
      </c>
      <c r="BB251" s="1" t="n">
        <v>-10</v>
      </c>
      <c r="BC251" s="1" t="n">
        <v>-15</v>
      </c>
      <c r="BD251" s="1" t="n">
        <f aca="false">MIN(AE251/150, 1)*30</f>
        <v>14</v>
      </c>
      <c r="BE251" s="1" t="n">
        <f aca="false">MIN(Q251/4000, 1)*20</f>
        <v>3</v>
      </c>
      <c r="BF251" s="1" t="n">
        <f aca="false">MIN(AC251/400,1)*20</f>
        <v>4.25</v>
      </c>
      <c r="BG251" s="4" t="n">
        <f aca="false">1-(MAX(M251-1900, 0)/750)</f>
        <v>0.925333333333333</v>
      </c>
      <c r="BH251" s="1" t="n">
        <f aca="false">((MAX($P251,1)*MIN($AL251/300,1)))*IF(J251="Wagon",50,10)</f>
        <v>5.5</v>
      </c>
      <c r="BI251" s="1" t="n">
        <f aca="false">VLOOKUP($K251,Constants!$I:$K, 2, FALSE())</f>
        <v>1</v>
      </c>
      <c r="BJ251" s="1" t="n">
        <f aca="false">VLOOKUP($K251,Constants!$I:$K, 3, FALSE())*IF(AND(J251="multiple_unit",AE251&lt;110),0.75,1)</f>
        <v>1.5</v>
      </c>
      <c r="BK251" s="1" t="n">
        <f aca="false">INT(POWER(((Constants!$G$2+$BD251+$BE251+$BF251+$BH251)*$BG251)*$BJ251, 1.05))+$BC251</f>
        <v>38</v>
      </c>
      <c r="BL251" s="1" t="n">
        <f aca="false">INT(POWER((((Constants!$G$1+$BD251+$BE251+$BF251+$BH251)*($BG251))*$BI251),IF($J251="wagon",1,1.2)))+$BB251</f>
        <v>70</v>
      </c>
      <c r="BM251" s="17" t="n">
        <f aca="false">BK251*IF($J251="wagon",62.5,781.25)</f>
        <v>29687.5</v>
      </c>
      <c r="BN251" s="17" t="n">
        <f aca="false">BL251*IF($J251="wagon",2.73,81.25)</f>
        <v>5687.5</v>
      </c>
      <c r="BT25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1" s="1" t="n">
        <v>2</v>
      </c>
      <c r="CC251" s="1" t="s">
        <v>367</v>
      </c>
      <c r="CD251" s="1" t="str">
        <f aca="false">VLOOKUP(M251,Eras!$A$2:$C$10, 2, TRUE())</f>
        <v>dsl</v>
      </c>
      <c r="CE251" s="1" t="s">
        <v>824</v>
      </c>
      <c r="CF251" s="1" t="str">
        <f aca="false">CONCATENATE(CD251,"_",CE251)</f>
        <v>dsl_DMU</v>
      </c>
      <c r="CG251" s="1" t="str">
        <f aca="false">_xlfn.CONCAT(K251, "_",L251)</f>
        <v>diesel_RAIL</v>
      </c>
      <c r="CH251" s="7" t="str">
        <f aca="false">_xlfn.CONCAT("{BLACK}Length: {GOLD}", TEXT(ROUNDUP(IF(AS251&lt;&gt;"",SUM(VALUE(_xlfn.TEXTSPLIT(AS251, ","))), SUM(VALUE(_xlfn.TEXTSPLIT(AP251, ",")))*IF(P251, P251, 1))/16, 1), "#,##0.0"), " tiles{}")</f>
        <v>{BLACK}Length: {GOLD}1.9 tiles{}</v>
      </c>
      <c r="CI251" s="1" t="str">
        <f aca="false">IF(0, VLOOKUP($CG251, Constants!$M:$N, 2, FALSE()),"")</f>
        <v/>
      </c>
      <c r="CJ251" s="1" t="str">
        <f aca="false">IF(P251&gt;1,_xlfn.CONCAT("{BLACK}Cars: {GOLD}", P251),"")</f>
        <v>{BLACK}Cars: {GOLD}3</v>
      </c>
      <c r="CK251" s="1" t="s">
        <v>825</v>
      </c>
      <c r="CL251" s="1" t="str">
        <f aca="false">IF($BX251="concept_trains","{GREEN}Concept Vehicle",IF($BX251="!param_no_gameplay_units","{GREEN}Included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{GOLD}3{}{BLACK}Length: {GOLD}1.9 tiles{}{SILVER}The Class 101 has a four speed gearbox with a manual shift. It was exceptionally long-lived, the final examples being retired in December 2003.</v>
      </c>
    </row>
    <row r="252" customFormat="false" ht="14.25" hidden="false" customHeight="false" outlineLevel="0" collapsed="false">
      <c r="A252" s="1" t="s">
        <v>830</v>
      </c>
      <c r="B252" s="15" t="s">
        <v>852</v>
      </c>
      <c r="C252" s="1" t="n">
        <v>4235</v>
      </c>
      <c r="D252" s="1" t="n">
        <v>222</v>
      </c>
      <c r="E252" s="1" t="n">
        <v>316</v>
      </c>
      <c r="F252" s="1" t="s">
        <v>165</v>
      </c>
      <c r="G252" s="1" t="str">
        <f aca="false">IF($F252&lt;&gt;"",_xlfn.CONCAT(VLOOKUP($CE252, Constants!$T:$U, 2, FALSE()),",",$F252),VLOOKUP($CE252, Constants!$T:$U, 2, FALSE()))</f>
        <v>role/passenger,_ww_livery/brgreen_yp</v>
      </c>
      <c r="H252" s="1" t="str">
        <f aca="false">IF($G252&lt;&gt;"",_xlfn.CONCAT(VLOOKUP($CG252, Constants!$M:$P, 4, FALSE()),",",$G252),VLOOKUP($CG252, Constants!$M:$P, 4, FALSE()))</f>
        <v>flag/GB,power/diesel,role/passenger,_ww_livery/brgreen_yp</v>
      </c>
      <c r="I252" s="1" t="s">
        <v>241</v>
      </c>
      <c r="J252" s="1" t="s">
        <v>466</v>
      </c>
      <c r="K252" s="1" t="s">
        <v>525</v>
      </c>
      <c r="L252" s="1" t="s">
        <v>192</v>
      </c>
      <c r="M252" s="1" t="n">
        <v>1956</v>
      </c>
      <c r="N252" s="1" t="n">
        <v>1960</v>
      </c>
      <c r="O252" s="1" t="n">
        <v>2003</v>
      </c>
      <c r="P252" s="1" t="n">
        <v>4</v>
      </c>
      <c r="Q252" s="1" t="n">
        <v>600</v>
      </c>
      <c r="Z252" s="1" t="n">
        <f aca="false">32.5+25+25+32.5</f>
        <v>115</v>
      </c>
      <c r="AB252" s="1" t="n">
        <v>5</v>
      </c>
      <c r="AC252" s="1" t="n">
        <v>85</v>
      </c>
      <c r="AD252" s="4" t="n">
        <f aca="false">IF(AND(Z252&gt;0,AC252&gt;0),(AC252/((Z252+AA252)*10)),"")</f>
        <v>0.0739130434782609</v>
      </c>
      <c r="AE252" s="1" t="n">
        <v>70</v>
      </c>
      <c r="AF252" s="1" t="n">
        <f aca="false">ROUND(AE252*1.6, 0)</f>
        <v>112</v>
      </c>
      <c r="AH252" s="1" t="n">
        <v>17.37</v>
      </c>
      <c r="AI252" s="1" t="n">
        <v>17.37</v>
      </c>
      <c r="AK252" s="1" t="n">
        <v>3.77</v>
      </c>
      <c r="AL252" s="5" t="n">
        <v>58</v>
      </c>
      <c r="AM252" s="1" t="str">
        <f aca="false">CONCATENATE(VLOOKUP(AN252, 'Voxel Sizes'!$A$2:$B$18,2,FALSE()),"x",INT(AJ252*15), "x", INT(AK252*15))</f>
        <v>164x0x56</v>
      </c>
      <c r="AN252" s="1" t="n">
        <f aca="false">ROUND(15*((AI252*10)/256),0)</f>
        <v>10</v>
      </c>
      <c r="AP252" s="1" t="str">
        <f aca="false">CONCATENATE(VLOOKUP(AN252,Constants!$A$2:$C$16,IF(AO252&lt;&gt;"", 3, 2), FALSE()),IF(AO252&lt;&gt;"",CONCATENATE(",",VLOOKUP(AO252,$B:$AP,41,FALSE())),""))</f>
        <v>4,2,4</v>
      </c>
      <c r="AQ252" s="1" t="s">
        <v>832</v>
      </c>
      <c r="AT252" s="1" t="s">
        <v>853</v>
      </c>
      <c r="AV252" s="1" t="s">
        <v>834</v>
      </c>
      <c r="AW252" s="1" t="s">
        <v>848</v>
      </c>
      <c r="AZ252" s="1" t="n">
        <v>45</v>
      </c>
      <c r="BA252" s="16" t="n">
        <f aca="false">IF(O252&lt;&gt;"",MAX(16,(O252-M252)+8),"")</f>
        <v>55</v>
      </c>
      <c r="BB252" s="1" t="n">
        <v>-10</v>
      </c>
      <c r="BC252" s="1" t="n">
        <v>-15</v>
      </c>
      <c r="BD252" s="1" t="n">
        <f aca="false">MIN(AE252/150, 1)*30</f>
        <v>14</v>
      </c>
      <c r="BE252" s="1" t="n">
        <f aca="false">MIN(Q252/4000, 1)*20</f>
        <v>3</v>
      </c>
      <c r="BF252" s="1" t="n">
        <f aca="false">MIN(AC252/400,1)*20</f>
        <v>4.25</v>
      </c>
      <c r="BG252" s="4" t="n">
        <f aca="false">1-(MAX(M252-1900, 0)/750)</f>
        <v>0.925333333333333</v>
      </c>
      <c r="BH252" s="1" t="n">
        <f aca="false">((MAX($P252,1)*MIN($AL252/300,1)))*IF(J252="Wagon",50,10)</f>
        <v>7.73333333333333</v>
      </c>
      <c r="BI252" s="1" t="n">
        <f aca="false">VLOOKUP($K252,Constants!$I:$K, 2, FALSE())</f>
        <v>1</v>
      </c>
      <c r="BJ252" s="1" t="n">
        <f aca="false">VLOOKUP($K252,Constants!$I:$K, 3, FALSE())*IF(AND(J252="multiple_unit",AE252&lt;110),0.75,1)</f>
        <v>1.5</v>
      </c>
      <c r="BK252" s="1" t="n">
        <f aca="false">INT(POWER(((Constants!$G$2+$BD252+$BE252+$BF252+$BH252)*$BG252)*$BJ252, 1.05))+$BC252</f>
        <v>42</v>
      </c>
      <c r="BL252" s="1" t="n">
        <f aca="false">INT(POWER((((Constants!$G$1+$BD252+$BE252+$BF252+$BH252)*($BG252))*$BI252),IF($J252="wagon",1,1.2)))+$BB252</f>
        <v>75</v>
      </c>
      <c r="BM252" s="17" t="n">
        <f aca="false">BK252*IF($J252="wagon",62.5,781.25)</f>
        <v>32812.5</v>
      </c>
      <c r="BN252" s="17" t="n">
        <f aca="false">BL252*IF($J252="wagon",2.73,81.25)</f>
        <v>6093.75</v>
      </c>
      <c r="BT25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2" s="1" t="n">
        <v>2</v>
      </c>
      <c r="CC252" s="1" t="s">
        <v>367</v>
      </c>
      <c r="CD252" s="1" t="str">
        <f aca="false">VLOOKUP(M252,Eras!$A$2:$C$10, 2, TRUE())</f>
        <v>dsl</v>
      </c>
      <c r="CE252" s="1" t="s">
        <v>824</v>
      </c>
      <c r="CF252" s="1" t="str">
        <f aca="false">CONCATENATE(CD252,"_",CE252)</f>
        <v>dsl_DMU</v>
      </c>
      <c r="CG252" s="1" t="str">
        <f aca="false">_xlfn.CONCAT(K252, "_",L252)</f>
        <v>diesel_RAIL</v>
      </c>
      <c r="CH252" s="7" t="str">
        <f aca="false">_xlfn.CONCAT("{BLACK}Length: {GOLD}", TEXT(ROUNDUP(IF(AS252&lt;&gt;"",SUM(VALUE(_xlfn.TEXTSPLIT(AS252, ","))), SUM(VALUE(_xlfn.TEXTSPLIT(AP252, ",")))*IF(P252, P252, 1))/16, 1), "#,##0.0"), " tiles{}")</f>
        <v>{BLACK}Length: {GOLD}2.5 tiles{}</v>
      </c>
      <c r="CI252" s="1" t="str">
        <f aca="false">IF(0, VLOOKUP($CG252, Constants!$M:$N, 2, FALSE()),"")</f>
        <v/>
      </c>
      <c r="CJ252" s="1" t="str">
        <f aca="false">IF(P252&gt;1,_xlfn.CONCAT("{BLACK}Cars: {GOLD}", P252),"")</f>
        <v>{BLACK}Cars: {GOLD}4</v>
      </c>
      <c r="CK252" s="1" t="s">
        <v>825</v>
      </c>
      <c r="CL252" s="1" t="str">
        <f aca="false">IF($BX252="concept_trains","{GREEN}Concept Vehicle",IF($BX252="!param_no_gameplay_units","{GREEN}Included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{GOLD}2.5 tiles{}{SILVER}The Class 101 has a four speed gearbox with a manual shift. It was exceptionally long-lived, the final examples being retired in December 2003.</v>
      </c>
    </row>
    <row r="253" s="26" customFormat="true" ht="14.25" hidden="false" customHeight="false" outlineLevel="0" collapsed="false">
      <c r="A253" s="26" t="s">
        <v>854</v>
      </c>
      <c r="B253" s="27" t="s">
        <v>855</v>
      </c>
      <c r="C253" s="1" t="n">
        <v>3010</v>
      </c>
      <c r="E253" s="1" t="n">
        <v>317</v>
      </c>
      <c r="G253" s="1" t="str">
        <f aca="false">IF($F253&lt;&gt;"",_xlfn.CONCAT(VLOOKUP($CE253, Constants!$T:$U, 2, FALSE()),",",$F253),VLOOKUP($CE253, Constants!$T:$U, 2, FALSE()))</f>
        <v>role/passenger</v>
      </c>
      <c r="H253" s="1" t="str">
        <f aca="false">IF($G253&lt;&gt;"",_xlfn.CONCAT(VLOOKUP($CG253, Constants!$M:$P, 4, FALSE()),",",$G253),VLOOKUP($CG253, Constants!$M:$P, 4, FALSE()))</f>
        <v>flag/GB,power/electric,role/passenger</v>
      </c>
      <c r="I253" s="26" t="s">
        <v>241</v>
      </c>
      <c r="J253" s="26" t="s">
        <v>466</v>
      </c>
      <c r="K253" s="26" t="s">
        <v>388</v>
      </c>
      <c r="L253" s="26" t="s">
        <v>389</v>
      </c>
      <c r="M253" s="26" t="n">
        <v>1907</v>
      </c>
      <c r="O253" s="26" t="n">
        <v>1955</v>
      </c>
      <c r="P253" s="26" t="n">
        <v>1</v>
      </c>
      <c r="Q253" s="26" t="n">
        <v>360</v>
      </c>
      <c r="R253" s="2"/>
      <c r="S253" s="3"/>
      <c r="T253" s="3"/>
      <c r="U253" s="3"/>
      <c r="V253" s="3"/>
      <c r="W253" s="3"/>
      <c r="X253" s="3"/>
      <c r="Y253" s="3"/>
      <c r="Z253" s="26" t="n">
        <v>37.5</v>
      </c>
      <c r="AA253" s="2"/>
      <c r="AB253" s="26" t="n">
        <v>5</v>
      </c>
      <c r="AC253" s="26" t="n">
        <v>48</v>
      </c>
      <c r="AD253" s="4" t="n">
        <f aca="false">IF(AND(Z253&gt;0,AC253&gt;0),(AC253/((Z253+AA253)*10)),"")</f>
        <v>0.128</v>
      </c>
      <c r="AE253" s="26" t="n">
        <v>60</v>
      </c>
      <c r="AF253" s="26" t="n">
        <f aca="false">ROUND(AE253*1.6, 0)</f>
        <v>96</v>
      </c>
      <c r="AI253" s="26" t="n">
        <v>17</v>
      </c>
      <c r="AL253" s="5" t="n">
        <v>42</v>
      </c>
      <c r="AM253" s="1" t="str">
        <f aca="false">CONCATENATE(VLOOKUP(AN253, 'Voxel Sizes'!$A$2:$B$18,2,FALSE()),"x",INT(AJ253*15), "x", INT(AK253*15))</f>
        <v>164x0x0</v>
      </c>
      <c r="AN253" s="26" t="n">
        <f aca="false">ROUND(15*((AI253*10)/256),0)</f>
        <v>10</v>
      </c>
      <c r="AP253" s="1" t="str">
        <f aca="false">CONCATENATE(VLOOKUP(AN253,Constants!$A$2:$C$16,IF(AO253&lt;&gt;"", 3, 2), FALSE()),IF(AO253&lt;&gt;"",CONCATENATE(",",VLOOKUP(AO253,$B:$AP,41,FALSE())),""))</f>
        <v>4,2,4</v>
      </c>
      <c r="AR253" s="6"/>
      <c r="AS253" s="6"/>
      <c r="AT253" s="26" t="s">
        <v>856</v>
      </c>
      <c r="AV253" s="26" t="n">
        <v>1</v>
      </c>
      <c r="AW253" s="26" t="s">
        <v>856</v>
      </c>
      <c r="AZ253" s="26" t="n">
        <v>25</v>
      </c>
      <c r="BA253" s="16" t="n">
        <f aca="false">IF(O253&lt;&gt;"",MAX(16,(O253-M253)+8),"")</f>
        <v>56</v>
      </c>
      <c r="BB253" s="26" t="n">
        <v>-10</v>
      </c>
      <c r="BC253" s="26" t="n">
        <v>-25</v>
      </c>
      <c r="BD253" s="26" t="n">
        <f aca="false">MIN(AE253/150, 1)*30</f>
        <v>12</v>
      </c>
      <c r="BE253" s="26" t="n">
        <f aca="false">MIN(Q253/4000, 1)*20</f>
        <v>1.8</v>
      </c>
      <c r="BF253" s="26" t="n">
        <f aca="false">MIN(AC253/400,1)*20</f>
        <v>2.4</v>
      </c>
      <c r="BG253" s="4" t="n">
        <f aca="false">1-(MAX(M253-1900, 0)/750)</f>
        <v>0.990666666666667</v>
      </c>
      <c r="BH253" s="26" t="n">
        <f aca="false">((MAX($P253,1)*MIN($AL253/300,1)))*IF(J253="Wagon",50,10)</f>
        <v>1.4</v>
      </c>
      <c r="BI253" s="1" t="n">
        <f aca="false">VLOOKUP($K253,Constants!$I:$K, 2, FALSE())</f>
        <v>0.85</v>
      </c>
      <c r="BJ253" s="1" t="n">
        <f aca="false">VLOOKUP($K253,Constants!$I:$K, 3, FALSE())*IF(AND(J253="multiple_unit",AE253&lt;110),0.75,1)</f>
        <v>1.725</v>
      </c>
      <c r="BK253" s="1" t="n">
        <f aca="false">INT(POWER(((Constants!$G$2+$BD253+$BE253+$BF253+$BH253)*$BG253)*$BJ253, 1.05))+$BC253</f>
        <v>21</v>
      </c>
      <c r="BL253" s="1" t="n">
        <f aca="false">INT(POWER((((Constants!$G$1+$BD253+$BE253+$BF253+$BH253)*($BG253))*$BI253),IF($J253="wagon",1,1.2)))+$BB253</f>
        <v>43</v>
      </c>
      <c r="BM253" s="17" t="n">
        <f aca="false">BK253*IF($J253="wagon",62.5,781.25)</f>
        <v>16406.25</v>
      </c>
      <c r="BN253" s="17" t="n">
        <f aca="false">BL253*IF($J253="wagon",2.73,81.25)</f>
        <v>3493.75</v>
      </c>
      <c r="BT253" s="26" t="s">
        <v>857</v>
      </c>
      <c r="BU253" s="1" t="str">
        <f aca="false">IF(J253="locomotive","B","")</f>
        <v/>
      </c>
      <c r="BV253" s="1" t="str">
        <f aca="false">IF($J253="locomotive","B","")</f>
        <v/>
      </c>
      <c r="BY253" s="26" t="n">
        <v>6</v>
      </c>
      <c r="BZ253" s="26" t="n">
        <v>185</v>
      </c>
      <c r="CC253" s="26" t="s">
        <v>367</v>
      </c>
      <c r="CD253" s="26" t="s">
        <v>382</v>
      </c>
      <c r="CE253" s="26" t="s">
        <v>858</v>
      </c>
      <c r="CF253" s="26" t="str">
        <f aca="false">CONCATENATE(CD253,"_",CE253)</f>
        <v>edw_EMU</v>
      </c>
      <c r="CG253" s="26" t="str">
        <f aca="false">_xlfn.CONCAT(K253, "_",L253)</f>
        <v>electric_ELRL</v>
      </c>
      <c r="CH253" s="7" t="str">
        <f aca="false">_xlfn.CONCAT("{BLACK}Length: {GOLD}", TEXT(ROUNDUP(IF(AS253&lt;&gt;"",SUM(VALUE(_xlfn.TEXTSPLIT(AS253, ","))), SUM(VALUE(_xlfn.TEXTSPLIT(AP253, ",")))*IF(P253, P253, 1))/16, 1), "#,##0.0"), " tiles{}")</f>
        <v>{BLACK}Length: {GOLD}0.7 tiles{}</v>
      </c>
      <c r="CI253" s="1" t="str">
        <f aca="false">IF(0, VLOOKUP($CG253, Constants!$M:$N, 2, FALSE()),"")</f>
        <v/>
      </c>
      <c r="CJ253" s="1" t="str">
        <f aca="false">IF(P253&gt;1,_xlfn.CONCAT("{BLACK}Cars: {GOLD}", P253),"")</f>
        <v/>
      </c>
      <c r="CK253" s="26" t="s">
        <v>859</v>
      </c>
      <c r="CL253" s="1" t="str">
        <f aca="false">IF($BX253="concept_trains","{GREEN}Concept Vehicle",IF($BX253="!param_no_gameplay_units","{GREEN}Included for gameplay purposes",""))</f>
        <v/>
      </c>
      <c r="CM253" s="26" t="str">
        <f aca="false">IF($BY253="!param_no_gameplay_units","{GREEN}Included for gameplay purposes","")</f>
        <v/>
      </c>
      <c r="CN253" s="1" t="str">
        <f aca="false">_xlfn.CONCAT(CI253,IF(CI253&lt;&gt;""," ",""),CJ253,IF(OR(CJ253&lt;&gt;"",CI253&lt;&gt;""),"{}",""),CH253,CM253,"{SILVER}",CK253,IF(CL253&lt;&gt;"","{}{}",""),CL253)</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53" s="1"/>
    </row>
    <row r="254" s="26" customFormat="true" ht="14.25" hidden="false" customHeight="false" outlineLevel="0" collapsed="false">
      <c r="A254" s="26" t="s">
        <v>860</v>
      </c>
      <c r="B254" s="27" t="s">
        <v>861</v>
      </c>
      <c r="C254" s="1" t="n">
        <v>3011</v>
      </c>
      <c r="D254" s="26" t="n">
        <v>3010</v>
      </c>
      <c r="E254" s="1" t="n">
        <v>318</v>
      </c>
      <c r="G254" s="1" t="str">
        <f aca="false">IF($F254&lt;&gt;"",_xlfn.CONCAT(VLOOKUP($CE254, Constants!$T:$U, 2, FALSE()),",",$F254),VLOOKUP($CE254, Constants!$T:$U, 2, FALSE()))</f>
        <v>role/passenger</v>
      </c>
      <c r="H254" s="1" t="str">
        <f aca="false">IF($G254&lt;&gt;"",_xlfn.CONCAT(VLOOKUP($CG254, Constants!$M:$P, 4, FALSE()),",",$G254),VLOOKUP($CG254, Constants!$M:$P, 4, FALSE()))</f>
        <v>flag/GB,power/electric,role/passenger</v>
      </c>
      <c r="I254" s="26" t="s">
        <v>241</v>
      </c>
      <c r="J254" s="26" t="s">
        <v>466</v>
      </c>
      <c r="K254" s="26" t="s">
        <v>388</v>
      </c>
      <c r="L254" s="26" t="s">
        <v>389</v>
      </c>
      <c r="M254" s="26" t="n">
        <v>1907</v>
      </c>
      <c r="O254" s="26" t="n">
        <v>1955</v>
      </c>
      <c r="P254" s="26" t="n">
        <v>2</v>
      </c>
      <c r="Q254" s="26" t="n">
        <v>360</v>
      </c>
      <c r="R254" s="2"/>
      <c r="S254" s="3"/>
      <c r="T254" s="3"/>
      <c r="U254" s="3"/>
      <c r="V254" s="3"/>
      <c r="W254" s="3"/>
      <c r="X254" s="3"/>
      <c r="Y254" s="3"/>
      <c r="Z254" s="26" t="n">
        <f aca="false">37.5+31</f>
        <v>68.5</v>
      </c>
      <c r="AA254" s="2"/>
      <c r="AB254" s="26" t="n">
        <v>5</v>
      </c>
      <c r="AC254" s="26" t="n">
        <v>48</v>
      </c>
      <c r="AD254" s="4" t="n">
        <f aca="false">IF(AND(Z254&gt;0,AC254&gt;0),(AC254/((Z254+AA254)*10)),"")</f>
        <v>0.0700729927007299</v>
      </c>
      <c r="AE254" s="26" t="n">
        <v>60</v>
      </c>
      <c r="AF254" s="26" t="n">
        <f aca="false">ROUND(AE254*1.6, 0)</f>
        <v>96</v>
      </c>
      <c r="AI254" s="26" t="n">
        <v>17</v>
      </c>
      <c r="AL254" s="5" t="n">
        <v>47</v>
      </c>
      <c r="AM254" s="1" t="str">
        <f aca="false">CONCATENATE(VLOOKUP(AN254, 'Voxel Sizes'!$A$2:$B$18,2,FALSE()),"x",INT(AJ254*15), "x", INT(AK254*15))</f>
        <v>164x0x0</v>
      </c>
      <c r="AN254" s="26" t="n">
        <f aca="false">ROUND(15*((AI254*10)/256),0)</f>
        <v>10</v>
      </c>
      <c r="AP254" s="1" t="str">
        <f aca="false">CONCATENATE(VLOOKUP(AN254,Constants!$A$2:$C$16,IF(AO254&lt;&gt;"", 3, 2), FALSE()),IF(AO254&lt;&gt;"",CONCATENATE(",",VLOOKUP(AO254,$B:$AP,41,FALSE())),""))</f>
        <v>4,2,4</v>
      </c>
      <c r="AR254" s="6"/>
      <c r="AS254" s="6"/>
      <c r="AT254" s="26" t="s">
        <v>862</v>
      </c>
      <c r="AV254" s="26" t="s">
        <v>863</v>
      </c>
      <c r="AW254" s="26" t="s">
        <v>864</v>
      </c>
      <c r="AZ254" s="26" t="n">
        <v>25</v>
      </c>
      <c r="BA254" s="16" t="n">
        <f aca="false">IF(O254&lt;&gt;"",MAX(16,(O254-M254)+8),"")</f>
        <v>56</v>
      </c>
      <c r="BB254" s="26" t="n">
        <v>-10</v>
      </c>
      <c r="BC254" s="26" t="n">
        <v>-25</v>
      </c>
      <c r="BD254" s="26" t="n">
        <f aca="false">MIN(AE254/150, 1)*30</f>
        <v>12</v>
      </c>
      <c r="BE254" s="26" t="n">
        <f aca="false">MIN(Q254/4000, 1)*20</f>
        <v>1.8</v>
      </c>
      <c r="BF254" s="26" t="n">
        <f aca="false">MIN(AC254/400,1)*20</f>
        <v>2.4</v>
      </c>
      <c r="BG254" s="4" t="n">
        <f aca="false">1-(MAX(M254-1900, 0)/750)</f>
        <v>0.990666666666667</v>
      </c>
      <c r="BH254" s="26" t="n">
        <f aca="false">((MAX($P254,1)*MIN($AL254/300,1)))*IF(J254="Wagon",50,10)</f>
        <v>3.13333333333333</v>
      </c>
      <c r="BI254" s="1" t="n">
        <f aca="false">VLOOKUP($K254,Constants!$I:$K, 2, FALSE())</f>
        <v>0.85</v>
      </c>
      <c r="BJ254" s="1" t="n">
        <f aca="false">VLOOKUP($K254,Constants!$I:$K, 3, FALSE())*IF(AND(J254="multiple_unit",AE254&lt;110),0.75,1)</f>
        <v>1.725</v>
      </c>
      <c r="BK254" s="1" t="n">
        <f aca="false">INT(POWER(((Constants!$G$2+$BD254+$BE254+$BF254+$BH254)*$BG254)*$BJ254, 1.05))+$BC254</f>
        <v>25</v>
      </c>
      <c r="BL254" s="1" t="n">
        <f aca="false">INT(POWER((((Constants!$G$1+$BD254+$BE254+$BF254+$BH254)*($BG254))*$BI254),IF($J254="wagon",1,1.2)))+$BB254</f>
        <v>46</v>
      </c>
      <c r="BM254" s="17" t="n">
        <f aca="false">BK254*IF($J254="wagon",62.5,781.25)</f>
        <v>19531.25</v>
      </c>
      <c r="BN254" s="17" t="n">
        <f aca="false">BL254*IF($J254="wagon",2.73,81.25)</f>
        <v>3737.5</v>
      </c>
      <c r="BT254" s="26" t="s">
        <v>865</v>
      </c>
      <c r="BU254" s="1" t="str">
        <f aca="false">IF(J254="locomotive","B","")</f>
        <v/>
      </c>
      <c r="BV254" s="1" t="str">
        <f aca="false">IF($J254="locomotive","B","")</f>
        <v/>
      </c>
      <c r="BY254" s="26" t="n">
        <v>6</v>
      </c>
      <c r="BZ254" s="26" t="n">
        <v>185</v>
      </c>
      <c r="CC254" s="26" t="s">
        <v>367</v>
      </c>
      <c r="CD254" s="26" t="s">
        <v>382</v>
      </c>
      <c r="CE254" s="26" t="s">
        <v>858</v>
      </c>
      <c r="CF254" s="26" t="str">
        <f aca="false">CONCATENATE(CD254,"_",CE254)</f>
        <v>edw_EMU</v>
      </c>
      <c r="CG254" s="26" t="str">
        <f aca="false">_xlfn.CONCAT(K254, "_",L254)</f>
        <v>electric_ELRL</v>
      </c>
      <c r="CH254" s="7" t="str">
        <f aca="false">_xlfn.CONCAT("{BLACK}Length: {GOLD}", TEXT(ROUNDUP(IF(AS254&lt;&gt;"",SUM(VALUE(_xlfn.TEXTSPLIT(AS254, ","))), SUM(VALUE(_xlfn.TEXTSPLIT(AP254, ",")))*IF(P254, P254, 1))/16, 1), "#,##0.0"), " tiles{}")</f>
        <v>{BLACK}Length: {GOLD}1.3 tiles{}</v>
      </c>
      <c r="CI254" s="1" t="str">
        <f aca="false">IF(0, VLOOKUP($CG254, Constants!$M:$N, 2, FALSE()),"")</f>
        <v/>
      </c>
      <c r="CJ254" s="1" t="str">
        <f aca="false">IF(P254&gt;1,_xlfn.CONCAT("{BLACK}Cars: {GOLD}", P254),"")</f>
        <v>{BLACK}Cars: {GOLD}2</v>
      </c>
      <c r="CK254" s="26" t="s">
        <v>859</v>
      </c>
      <c r="CL254" s="1" t="str">
        <f aca="false">IF($BX254="concept_trains","{GREEN}Concept Vehicle",IF($BX254="!param_no_gameplay_units","{GREEN}Included for gameplay purposes",""))</f>
        <v/>
      </c>
      <c r="CM254" s="26" t="str">
        <f aca="false">IF($BY254="!param_no_gameplay_units","{GREEN}Included for gameplay purposes","")</f>
        <v/>
      </c>
      <c r="CN254" s="1" t="str">
        <f aca="false">_xlfn.CONCAT(CI254,IF(CI254&lt;&gt;""," ",""),CJ254,IF(OR(CJ254&lt;&gt;"",CI254&lt;&gt;""),"{}",""),CH254,CM254,"{SILVER}",CK254,IF(CL254&lt;&gt;"","{}{}",""),CL254)</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54" s="1"/>
    </row>
    <row r="255" s="26" customFormat="true" ht="14.25" hidden="false" customHeight="false" outlineLevel="0" collapsed="false">
      <c r="A255" s="26" t="s">
        <v>866</v>
      </c>
      <c r="B255" s="27" t="s">
        <v>867</v>
      </c>
      <c r="C255" s="1" t="n">
        <v>3012</v>
      </c>
      <c r="D255" s="26" t="n">
        <v>3010</v>
      </c>
      <c r="E255" s="1" t="n">
        <v>319</v>
      </c>
      <c r="G255" s="1" t="str">
        <f aca="false">IF($F255&lt;&gt;"",_xlfn.CONCAT(VLOOKUP($CE255, Constants!$T:$U, 2, FALSE()),",",$F255),VLOOKUP($CE255, Constants!$T:$U, 2, FALSE()))</f>
        <v>role/passenger</v>
      </c>
      <c r="H255" s="1" t="str">
        <f aca="false">IF($G255&lt;&gt;"",_xlfn.CONCAT(VLOOKUP($CG255, Constants!$M:$P, 4, FALSE()),",",$G255),VLOOKUP($CG255, Constants!$M:$P, 4, FALSE()))</f>
        <v>flag/GB,power/electric,role/passenger</v>
      </c>
      <c r="I255" s="26" t="s">
        <v>241</v>
      </c>
      <c r="J255" s="26" t="s">
        <v>466</v>
      </c>
      <c r="K255" s="26" t="s">
        <v>388</v>
      </c>
      <c r="L255" s="26" t="s">
        <v>389</v>
      </c>
      <c r="M255" s="26" t="n">
        <v>1907</v>
      </c>
      <c r="O255" s="26" t="n">
        <v>1955</v>
      </c>
      <c r="P255" s="26" t="n">
        <v>3</v>
      </c>
      <c r="Q255" s="26" t="n">
        <v>360</v>
      </c>
      <c r="R255" s="2"/>
      <c r="S255" s="3"/>
      <c r="T255" s="3"/>
      <c r="U255" s="3"/>
      <c r="V255" s="3"/>
      <c r="W255" s="3"/>
      <c r="X255" s="3"/>
      <c r="Y255" s="3"/>
      <c r="Z255" s="26" t="n">
        <f aca="false">37.5+31+31</f>
        <v>99.5</v>
      </c>
      <c r="AA255" s="2"/>
      <c r="AB255" s="26" t="n">
        <v>5</v>
      </c>
      <c r="AC255" s="26" t="n">
        <v>48</v>
      </c>
      <c r="AD255" s="4" t="n">
        <f aca="false">IF(AND(Z255&gt;0,AC255&gt;0),(AC255/((Z255+AA255)*10)),"")</f>
        <v>0.0482412060301508</v>
      </c>
      <c r="AE255" s="26" t="n">
        <v>60</v>
      </c>
      <c r="AF255" s="26" t="n">
        <f aca="false">ROUND(AE255*1.6, 0)</f>
        <v>96</v>
      </c>
      <c r="AI255" s="26" t="n">
        <v>17</v>
      </c>
      <c r="AL255" s="5" t="n">
        <v>48</v>
      </c>
      <c r="AM255" s="1" t="str">
        <f aca="false">CONCATENATE(VLOOKUP(AN255, 'Voxel Sizes'!$A$2:$B$18,2,FALSE()),"x",INT(AJ255*15), "x", INT(AK255*15))</f>
        <v>164x0x0</v>
      </c>
      <c r="AN255" s="26" t="n">
        <f aca="false">ROUND(15*((AI255*10)/256),0)</f>
        <v>10</v>
      </c>
      <c r="AP255" s="1" t="str">
        <f aca="false">CONCATENATE(VLOOKUP(AN255,Constants!$A$2:$C$16,IF(AO255&lt;&gt;"", 3, 2), FALSE()),IF(AO255&lt;&gt;"",CONCATENATE(",",VLOOKUP(AO255,$B:$AP,41,FALSE())),""))</f>
        <v>4,2,4</v>
      </c>
      <c r="AR255" s="6"/>
      <c r="AS255" s="6"/>
      <c r="AT255" s="26" t="s">
        <v>868</v>
      </c>
      <c r="AV255" s="26" t="s">
        <v>869</v>
      </c>
      <c r="AW255" s="26" t="s">
        <v>864</v>
      </c>
      <c r="AZ255" s="26" t="n">
        <v>25</v>
      </c>
      <c r="BA255" s="16" t="n">
        <f aca="false">IF(O255&lt;&gt;"",MAX(16,(O255-M255)+8),"")</f>
        <v>56</v>
      </c>
      <c r="BB255" s="26" t="n">
        <v>-10</v>
      </c>
      <c r="BC255" s="26" t="n">
        <v>-25</v>
      </c>
      <c r="BD255" s="26" t="n">
        <f aca="false">MIN(AE255/150, 1)*30</f>
        <v>12</v>
      </c>
      <c r="BE255" s="26" t="n">
        <f aca="false">MIN(Q255/4000, 1)*20</f>
        <v>1.8</v>
      </c>
      <c r="BF255" s="26" t="n">
        <f aca="false">MIN(AC255/400,1)*20</f>
        <v>2.4</v>
      </c>
      <c r="BG255" s="4" t="n">
        <f aca="false">1-(MAX(M255-1900, 0)/750)</f>
        <v>0.990666666666667</v>
      </c>
      <c r="BH255" s="26" t="n">
        <f aca="false">((MAX($P255,1)*MIN($AL255/300,1)))*IF(J255="Wagon",50,10)</f>
        <v>4.8</v>
      </c>
      <c r="BI255" s="1" t="n">
        <f aca="false">VLOOKUP($K255,Constants!$I:$K, 2, FALSE())</f>
        <v>0.85</v>
      </c>
      <c r="BJ255" s="1" t="n">
        <f aca="false">VLOOKUP($K255,Constants!$I:$K, 3, FALSE())*IF(AND(J255="multiple_unit",AE255&lt;110),0.75,1)</f>
        <v>1.725</v>
      </c>
      <c r="BK255" s="1" t="n">
        <f aca="false">INT(POWER(((Constants!$G$2+$BD255+$BE255+$BF255+$BH255)*$BG255)*$BJ255, 1.05))+$BC255</f>
        <v>28</v>
      </c>
      <c r="BL255" s="1" t="n">
        <f aca="false">INT(POWER((((Constants!$G$1+$BD255+$BE255+$BF255+$BH255)*($BG255))*$BI255),IF($J255="wagon",1,1.2)))+$BB255</f>
        <v>49</v>
      </c>
      <c r="BM255" s="17" t="n">
        <f aca="false">BK255*IF($J255="wagon",62.5,781.25)</f>
        <v>21875</v>
      </c>
      <c r="BN255" s="17" t="n">
        <f aca="false">BL255*IF($J255="wagon",2.73,81.25)</f>
        <v>3981.25</v>
      </c>
      <c r="BT255" s="26" t="s">
        <v>870</v>
      </c>
      <c r="BU255" s="1" t="str">
        <f aca="false">IF(J255="locomotive","B","")</f>
        <v/>
      </c>
      <c r="BV255" s="1" t="str">
        <f aca="false">IF($J255="locomotive","B","")</f>
        <v/>
      </c>
      <c r="BY255" s="26" t="n">
        <v>6</v>
      </c>
      <c r="BZ255" s="26" t="n">
        <v>185</v>
      </c>
      <c r="CC255" s="26" t="s">
        <v>367</v>
      </c>
      <c r="CD255" s="26" t="s">
        <v>382</v>
      </c>
      <c r="CE255" s="26" t="s">
        <v>858</v>
      </c>
      <c r="CF255" s="26" t="str">
        <f aca="false">CONCATENATE(CD255,"_",CE255)</f>
        <v>edw_EMU</v>
      </c>
      <c r="CG255" s="26" t="str">
        <f aca="false">_xlfn.CONCAT(K255, "_",L255)</f>
        <v>electric_ELRL</v>
      </c>
      <c r="CH255" s="7" t="str">
        <f aca="false">_xlfn.CONCAT("{BLACK}Length: {GOLD}", TEXT(ROUNDUP(IF(AS255&lt;&gt;"",SUM(VALUE(_xlfn.TEXTSPLIT(AS255, ","))), SUM(VALUE(_xlfn.TEXTSPLIT(AP255, ",")))*IF(P255, P255, 1))/16, 1), "#,##0.0"), " tiles{}")</f>
        <v>{BLACK}Length: {GOLD}1.9 tiles{}</v>
      </c>
      <c r="CI255" s="1" t="str">
        <f aca="false">IF(0, VLOOKUP($CG255, Constants!$M:$N, 2, FALSE()),"")</f>
        <v/>
      </c>
      <c r="CJ255" s="1" t="str">
        <f aca="false">IF(P255&gt;1,_xlfn.CONCAT("{BLACK}Cars: {GOLD}", P255),"")</f>
        <v>{BLACK}Cars: {GOLD}3</v>
      </c>
      <c r="CK255" s="26" t="s">
        <v>859</v>
      </c>
      <c r="CL255" s="1" t="str">
        <f aca="false">IF($BX255="concept_trains","{GREEN}Concept Vehicle",IF($BX255="!param_no_gameplay_units","{GREEN}Included for gameplay purposes",""))</f>
        <v/>
      </c>
      <c r="CM255" s="26" t="str">
        <f aca="false">IF($BY255="!param_no_gameplay_units","{GREEN}Included for gameplay purposes","")</f>
        <v/>
      </c>
      <c r="CN255" s="1" t="str">
        <f aca="false">_xlfn.CONCAT(CI255,IF(CI255&lt;&gt;""," ",""),CJ255,IF(OR(CJ255&lt;&gt;"",CI255&lt;&gt;""),"{}",""),CH255,CM255,"{SILVER}",CK255,IF(CL255&lt;&gt;"","{}{}",""),CL255)</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55" s="1"/>
    </row>
    <row r="256" s="26" customFormat="true" ht="14.25" hidden="false" customHeight="false" outlineLevel="0" collapsed="false">
      <c r="A256" s="26" t="s">
        <v>871</v>
      </c>
      <c r="B256" s="27" t="s">
        <v>872</v>
      </c>
      <c r="C256" s="1" t="n">
        <v>3013</v>
      </c>
      <c r="E256" s="1" t="n">
        <v>320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241</v>
      </c>
      <c r="J256" s="26" t="s">
        <v>466</v>
      </c>
      <c r="K256" s="26" t="s">
        <v>388</v>
      </c>
      <c r="L256" s="26" t="s">
        <v>389</v>
      </c>
      <c r="M256" s="26" t="n">
        <v>1911</v>
      </c>
      <c r="O256" s="26" t="n">
        <v>1955</v>
      </c>
      <c r="P256" s="26" t="n">
        <v>2</v>
      </c>
      <c r="Q256" s="26" t="n">
        <v>600</v>
      </c>
      <c r="R256" s="2"/>
      <c r="S256" s="3"/>
      <c r="T256" s="3"/>
      <c r="U256" s="3"/>
      <c r="V256" s="3"/>
      <c r="W256" s="3"/>
      <c r="X256" s="3"/>
      <c r="Y256" s="3"/>
      <c r="Z256" s="26" t="n">
        <f aca="false">52+25</f>
        <v>77</v>
      </c>
      <c r="AA256" s="2"/>
      <c r="AB256" s="26" t="n">
        <v>5</v>
      </c>
      <c r="AC256" s="26" t="n">
        <v>48</v>
      </c>
      <c r="AD256" s="4" t="n">
        <f aca="false">IF(AND(Z256&gt;0,AC256&gt;0),(AC256/((Z256+AA256)*10)),"")</f>
        <v>0.0623376623376623</v>
      </c>
      <c r="AE256" s="26" t="n">
        <v>60</v>
      </c>
      <c r="AF256" s="26" t="n">
        <f aca="false">ROUND(AE256*1.6, 0)</f>
        <v>96</v>
      </c>
      <c r="AI256" s="26" t="n">
        <v>17.5</v>
      </c>
      <c r="AL256" s="5" t="n">
        <v>48</v>
      </c>
      <c r="AM256" s="1" t="str">
        <f aca="false">CONCATENATE(VLOOKUP(AN256, 'Voxel Sizes'!$A$2:$B$18,2,FALSE()),"x",INT(AJ256*15), "x", INT(AK256*15))</f>
        <v>164x0x0</v>
      </c>
      <c r="AN256" s="26" t="n">
        <f aca="false">ROUND(15*((AI256*10)/256),0)</f>
        <v>10</v>
      </c>
      <c r="AP256" s="1" t="str">
        <f aca="false">CONCATENATE(VLOOKUP(AN256,Constants!$A$2:$C$16,IF(AO256&lt;&gt;"", 3, 2), FALSE()),IF(AO256&lt;&gt;"",CONCATENATE(",",VLOOKUP(AO256,$B:$AP,41,FALSE())),""))</f>
        <v>4,2,4</v>
      </c>
      <c r="AR256" s="6"/>
      <c r="AS256" s="6"/>
      <c r="AT256" s="26" t="s">
        <v>873</v>
      </c>
      <c r="AV256" s="26" t="s">
        <v>815</v>
      </c>
      <c r="AW256" s="26" t="s">
        <v>874</v>
      </c>
      <c r="AZ256" s="26" t="n">
        <v>25</v>
      </c>
      <c r="BA256" s="16" t="n">
        <f aca="false">IF(O256&lt;&gt;"",MAX(16,(O256-M256)+8),"")</f>
        <v>52</v>
      </c>
      <c r="BB256" s="26" t="n">
        <v>-10</v>
      </c>
      <c r="BC256" s="26" t="n">
        <v>-25</v>
      </c>
      <c r="BD256" s="26" t="n">
        <f aca="false">MIN(AE256/150, 1)*30</f>
        <v>12</v>
      </c>
      <c r="BE256" s="26" t="n">
        <f aca="false">MIN(Q256/4000, 1)*20</f>
        <v>3</v>
      </c>
      <c r="BF256" s="26" t="n">
        <f aca="false">MIN(AC256/400,1)*20</f>
        <v>2.4</v>
      </c>
      <c r="BG256" s="4" t="n">
        <f aca="false">1-(MAX(M256-1900, 0)/750)</f>
        <v>0.985333333333333</v>
      </c>
      <c r="BH256" s="26" t="n">
        <f aca="false">((MAX($P256,1)*MIN($AL256/300,1)))*IF(J256="Wagon",50,10)</f>
        <v>3.2</v>
      </c>
      <c r="BI256" s="1" t="n">
        <f aca="false">VLOOKUP($K256,Constants!$I:$K, 2, FALSE())</f>
        <v>0.85</v>
      </c>
      <c r="BJ256" s="1" t="n">
        <f aca="false">VLOOKUP($K256,Constants!$I:$K, 3, FALSE())*IF(AND(J256="multiple_unit",AE256&lt;110),0.75,1)</f>
        <v>1.725</v>
      </c>
      <c r="BK256" s="1" t="n">
        <f aca="false">INT(POWER(((Constants!$G$2+$BD256+$BE256+$BF256+$BH256)*$BG256)*$BJ256, 1.05))+$BC256</f>
        <v>27</v>
      </c>
      <c r="BL256" s="1" t="n">
        <f aca="false">INT(POWER((((Constants!$G$1+$BD256+$BE256+$BF256+$BH256)*($BG256))*$BI256),IF($J256="wagon",1,1.2)))+$BB256</f>
        <v>48</v>
      </c>
      <c r="BM256" s="17" t="n">
        <f aca="false">BK256*IF($J256="wagon",62.5,781.25)</f>
        <v>21093.75</v>
      </c>
      <c r="BN256" s="17" t="n">
        <f aca="false">BL256*IF($J256="wagon",2.73,81.25)</f>
        <v>3900</v>
      </c>
      <c r="BT256" s="26" t="s">
        <v>875</v>
      </c>
      <c r="BU256" s="1" t="str">
        <f aca="false">IF(J256="locomotive","B","")</f>
        <v/>
      </c>
      <c r="BV256" s="1" t="str">
        <f aca="false">IF($J256="locomotive","B","")</f>
        <v/>
      </c>
      <c r="BY256" s="26" t="n">
        <v>6</v>
      </c>
      <c r="BZ256" s="26" t="n">
        <v>185</v>
      </c>
      <c r="CC256" s="26" t="s">
        <v>367</v>
      </c>
      <c r="CD256" s="26" t="s">
        <v>382</v>
      </c>
      <c r="CE256" s="26" t="s">
        <v>858</v>
      </c>
      <c r="CF256" s="26" t="str">
        <f aca="false">CONCATENATE(CD256,"_",CE256)</f>
        <v>edw_EMU</v>
      </c>
      <c r="CG256" s="26" t="str">
        <f aca="false">_xlfn.CONCAT(K256, "_",L256)</f>
        <v>electric_ELRL</v>
      </c>
      <c r="CH256" s="7" t="str">
        <f aca="false">_xlfn.CONCAT("{BLACK}Length: {GOLD}", TEXT(ROUNDUP(IF(AS256&lt;&gt;"",SUM(VALUE(_xlfn.TEXTSPLIT(AS256, ","))), SUM(VALUE(_xlfn.TEXTSPLIT(AP256, ",")))*IF(P256, P256, 1))/16, 1), "#,##0.0"), " tiles{}")</f>
        <v>{BLACK}Length: {GOLD}1.3 tiles{}</v>
      </c>
      <c r="CI256" s="1" t="str">
        <f aca="false">IF(0, VLOOKUP($CG256, Constants!$M:$N, 2, FALSE()),"")</f>
        <v/>
      </c>
      <c r="CJ256" s="1" t="str">
        <f aca="false">IF(P256&gt;1,_xlfn.CONCAT("{BLACK}Cars: {GOLD}", P256),"")</f>
        <v>{BLACK}Cars: {GOLD}2</v>
      </c>
      <c r="CK256" s="26" t="s">
        <v>876</v>
      </c>
      <c r="CL256" s="1" t="str">
        <f aca="false">IF($BX256="concept_trains","{GREEN}Concept Vehicle",IF($BX256="!param_no_gameplay_units","{GREEN}Included for gameplay purposes",""))</f>
        <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{BLACK}Cars: {GOLD}2{}{BLACK}Length: {GOLD}1.3 tiles{}{SILVER}The LB&amp;SCR (Later SR) “CP” EMUs were a nightmare of different build dates and vehicle sizes, designed for use on the “Elevated Electric” line into London.</v>
      </c>
      <c r="XFD256" s="1"/>
    </row>
    <row r="257" s="26" customFormat="true" ht="14.25" hidden="false" customHeight="false" outlineLevel="0" collapsed="false">
      <c r="A257" s="26" t="s">
        <v>877</v>
      </c>
      <c r="B257" s="27" t="s">
        <v>878</v>
      </c>
      <c r="C257" s="1" t="n">
        <v>3014</v>
      </c>
      <c r="D257" s="26" t="n">
        <v>3013</v>
      </c>
      <c r="E257" s="1" t="n">
        <v>321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241</v>
      </c>
      <c r="J257" s="26" t="s">
        <v>466</v>
      </c>
      <c r="K257" s="26" t="s">
        <v>388</v>
      </c>
      <c r="L257" s="26" t="s">
        <v>389</v>
      </c>
      <c r="M257" s="26" t="n">
        <v>1911</v>
      </c>
      <c r="O257" s="26" t="n">
        <v>1955</v>
      </c>
      <c r="P257" s="26" t="n">
        <v>3</v>
      </c>
      <c r="Q257" s="26" t="n">
        <v>600</v>
      </c>
      <c r="R257" s="2"/>
      <c r="S257" s="3"/>
      <c r="T257" s="3"/>
      <c r="U257" s="3"/>
      <c r="V257" s="3"/>
      <c r="W257" s="3"/>
      <c r="X257" s="3"/>
      <c r="Y257" s="3"/>
      <c r="Z257" s="26" t="n">
        <f aca="false">52+25*2</f>
        <v>102</v>
      </c>
      <c r="AA257" s="2"/>
      <c r="AB257" s="26" t="n">
        <v>5</v>
      </c>
      <c r="AC257" s="26" t="n">
        <v>48</v>
      </c>
      <c r="AD257" s="4" t="n">
        <f aca="false">IF(AND(Z257&gt;0,AC257&gt;0),(AC257/((Z257+AA257)*10)),"")</f>
        <v>0.0470588235294118</v>
      </c>
      <c r="AE257" s="26" t="n">
        <v>60</v>
      </c>
      <c r="AF257" s="26" t="n">
        <f aca="false">ROUND(AE257*1.6, 0)</f>
        <v>96</v>
      </c>
      <c r="AI257" s="26" t="n">
        <v>17.5</v>
      </c>
      <c r="AL257" s="5" t="n">
        <v>48</v>
      </c>
      <c r="AM257" s="1" t="str">
        <f aca="false">CONCATENATE(VLOOKUP(AN257, 'Voxel Sizes'!$A$2:$B$18,2,FALSE()),"x",INT(AJ257*15), "x", INT(AK257*15))</f>
        <v>164x0x0</v>
      </c>
      <c r="AN257" s="26" t="n">
        <f aca="false">ROUND(15*((AI257*10)/256),0)</f>
        <v>10</v>
      </c>
      <c r="AP257" s="1" t="str">
        <f aca="false">CONCATENATE(VLOOKUP(AN257,Constants!$A$2:$C$16,IF(AO257&lt;&gt;"", 3, 2), FALSE()),IF(AO257&lt;&gt;"",CONCATENATE(",",VLOOKUP(AO257,$B:$AP,41,FALSE())),""))</f>
        <v>4,2,4</v>
      </c>
      <c r="AR257" s="6"/>
      <c r="AS257" s="6"/>
      <c r="AT257" s="26" t="s">
        <v>879</v>
      </c>
      <c r="AV257" s="26" t="s">
        <v>880</v>
      </c>
      <c r="AW257" s="26" t="s">
        <v>874</v>
      </c>
      <c r="AZ257" s="26" t="n">
        <v>25</v>
      </c>
      <c r="BA257" s="16" t="n">
        <f aca="false">IF(O257&lt;&gt;"",MAX(16,(O257-M257)+8),"")</f>
        <v>52</v>
      </c>
      <c r="BB257" s="26" t="n">
        <v>-10</v>
      </c>
      <c r="BC257" s="26" t="n">
        <v>-25</v>
      </c>
      <c r="BD257" s="26" t="n">
        <f aca="false">MIN(AE257/150, 1)*30</f>
        <v>12</v>
      </c>
      <c r="BE257" s="26" t="n">
        <f aca="false">MIN(Q257/4000, 1)*20</f>
        <v>3</v>
      </c>
      <c r="BF257" s="26" t="n">
        <f aca="false">MIN(AC257/400,1)*20</f>
        <v>2.4</v>
      </c>
      <c r="BG257" s="4" t="n">
        <f aca="false">1-(MAX(M257-1900, 0)/750)</f>
        <v>0.985333333333333</v>
      </c>
      <c r="BH257" s="26" t="n">
        <f aca="false">((MAX($P257,1)*MIN($AL257/300,1)))*IF(J257="Wagon",50,10)</f>
        <v>4.8</v>
      </c>
      <c r="BI257" s="1" t="n">
        <f aca="false">VLOOKUP($K257,Constants!$I:$K, 2, FALSE())</f>
        <v>0.85</v>
      </c>
      <c r="BJ257" s="1" t="n">
        <f aca="false">VLOOKUP($K257,Constants!$I:$K, 3, FALSE())*IF(AND(J257="multiple_unit",AE257&lt;110),0.75,1)</f>
        <v>1.725</v>
      </c>
      <c r="BK257" s="1" t="n">
        <f aca="false">INT(POWER(((Constants!$G$2+$BD257+$BE257+$BF257+$BH257)*$BG257)*$BJ257, 1.05))+$BC257</f>
        <v>31</v>
      </c>
      <c r="BL257" s="1" t="n">
        <f aca="false">INT(POWER((((Constants!$G$1+$BD257+$BE257+$BF257+$BH257)*($BG257))*$BI257),IF($J257="wagon",1,1.2)))+$BB257</f>
        <v>51</v>
      </c>
      <c r="BM257" s="17" t="n">
        <f aca="false">BK257*IF($J257="wagon",62.5,781.25)</f>
        <v>24218.75</v>
      </c>
      <c r="BN257" s="17" t="n">
        <f aca="false">BL257*IF($J257="wagon",2.73,81.25)</f>
        <v>4143.75</v>
      </c>
      <c r="BT257" s="26" t="s">
        <v>881</v>
      </c>
      <c r="BU257" s="1" t="str">
        <f aca="false">IF(J257="locomotive","B","")</f>
        <v/>
      </c>
      <c r="BV257" s="1" t="str">
        <f aca="false">IF($J257="locomotive","B","")</f>
        <v/>
      </c>
      <c r="BY257" s="26" t="n">
        <v>6</v>
      </c>
      <c r="BZ257" s="26" t="n">
        <v>185</v>
      </c>
      <c r="CC257" s="26" t="s">
        <v>367</v>
      </c>
      <c r="CD257" s="26" t="s">
        <v>382</v>
      </c>
      <c r="CE257" s="26" t="s">
        <v>858</v>
      </c>
      <c r="CF257" s="26" t="str">
        <f aca="false">CONCATENATE(CD257,"_",CE257)</f>
        <v>edw_EMU</v>
      </c>
      <c r="CG257" s="26" t="str">
        <f aca="false">_xlfn.CONCAT(K257, "_",L257)</f>
        <v>electric_ELRL</v>
      </c>
      <c r="CH257" s="7" t="str">
        <f aca="false">_xlfn.CONCAT("{BLACK}Length: {GOLD}", TEXT(ROUNDUP(IF(AS257&lt;&gt;"",SUM(VALUE(_xlfn.TEXTSPLIT(AS257, ","))), SUM(VALUE(_xlfn.TEXTSPLIT(AP257, ",")))*IF(P257, P257, 1))/16, 1), "#,##0.0"), " tiles{}")</f>
        <v>{BLACK}Length: {GOLD}1.9 tiles{}</v>
      </c>
      <c r="CI257" s="1" t="str">
        <f aca="false">IF(0, VLOOKUP($CG257, Constants!$M:$N, 2, FALSE()),"")</f>
        <v/>
      </c>
      <c r="CJ257" s="1" t="str">
        <f aca="false">IF(P257&gt;1,_xlfn.CONCAT("{BLACK}Cars: {GOLD}", P257),"")</f>
        <v>{BLACK}Cars: {GOLD}3</v>
      </c>
      <c r="CK257" s="26" t="s">
        <v>876</v>
      </c>
      <c r="CL257" s="1" t="str">
        <f aca="false">IF($BX257="concept_trains","{GREEN}Concept Vehicle",IF($BX257="!param_no_gameplay_units","{GREEN}Included for gameplay purposes",""))</f>
        <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{GOLD}3{}{BLACK}Length: {GOLD}1.9 tiles{}{SILVER}The LB&amp;SCR (Later SR) “CP” EMUs were a nightmare of different build dates and vehicle sizes, designed for use on the “Elevated Electric” line into London.</v>
      </c>
      <c r="XFD257" s="1"/>
    </row>
    <row r="258" s="26" customFormat="true" ht="14.25" hidden="false" customHeight="false" outlineLevel="0" collapsed="false">
      <c r="A258" s="26" t="s">
        <v>882</v>
      </c>
      <c r="B258" s="27" t="s">
        <v>883</v>
      </c>
      <c r="C258" s="1" t="n">
        <v>3015</v>
      </c>
      <c r="D258" s="26" t="n">
        <v>3013</v>
      </c>
      <c r="E258" s="1" t="n">
        <v>322</v>
      </c>
      <c r="G258" s="1" t="str">
        <f aca="false">IF($F258&lt;&gt;"",_xlfn.CONCAT(VLOOKUP($CE258, Constants!$T:$U, 2, FALSE()),",",$F258),VLOOKUP($CE258, Constants!$T:$U, 2, FALSE()))</f>
        <v>role/passenger</v>
      </c>
      <c r="H258" s="1" t="str">
        <f aca="false">IF($G258&lt;&gt;"",_xlfn.CONCAT(VLOOKUP($CG258, Constants!$M:$P, 4, FALSE()),",",$G258),VLOOKUP($CG258, Constants!$M:$P, 4, FALSE()))</f>
        <v>flag/GB,power/electric,role/passenger</v>
      </c>
      <c r="I258" s="26" t="s">
        <v>241</v>
      </c>
      <c r="J258" s="26" t="s">
        <v>466</v>
      </c>
      <c r="K258" s="26" t="s">
        <v>388</v>
      </c>
      <c r="L258" s="26" t="s">
        <v>389</v>
      </c>
      <c r="M258" s="26" t="n">
        <v>1911</v>
      </c>
      <c r="O258" s="26" t="n">
        <v>1955</v>
      </c>
      <c r="P258" s="26" t="n">
        <v>4</v>
      </c>
      <c r="Q258" s="26" t="n">
        <v>600</v>
      </c>
      <c r="R258" s="2"/>
      <c r="S258" s="3"/>
      <c r="T258" s="3"/>
      <c r="U258" s="3"/>
      <c r="V258" s="3"/>
      <c r="W258" s="3"/>
      <c r="X258" s="3"/>
      <c r="Y258" s="3"/>
      <c r="Z258" s="26" t="n">
        <f aca="false">52+25*3</f>
        <v>127</v>
      </c>
      <c r="AA258" s="2"/>
      <c r="AB258" s="26" t="n">
        <v>5</v>
      </c>
      <c r="AC258" s="26" t="n">
        <v>48</v>
      </c>
      <c r="AD258" s="4" t="n">
        <f aca="false">IF(AND(Z258&gt;0,AC258&gt;0),(AC258/((Z258+AA258)*10)),"")</f>
        <v>0.0377952755905512</v>
      </c>
      <c r="AE258" s="26" t="n">
        <v>60</v>
      </c>
      <c r="AF258" s="26" t="n">
        <f aca="false">ROUND(AE258*1.6, 0)</f>
        <v>96</v>
      </c>
      <c r="AI258" s="26" t="n">
        <v>17.5</v>
      </c>
      <c r="AL258" s="5" t="n">
        <v>48</v>
      </c>
      <c r="AM258" s="1" t="str">
        <f aca="false">CONCATENATE(VLOOKUP(AN258, 'Voxel Sizes'!$A$2:$B$18,2,FALSE()),"x",INT(AJ258*15), "x", INT(AK258*15))</f>
        <v>164x0x0</v>
      </c>
      <c r="AN258" s="26" t="n">
        <f aca="false">ROUND(15*((AI258*10)/256),0)</f>
        <v>10</v>
      </c>
      <c r="AP258" s="1" t="str">
        <f aca="false">CONCATENATE(VLOOKUP(AN258,Constants!$A$2:$C$16,IF(AO258&lt;&gt;"", 3, 2), FALSE()),IF(AO258&lt;&gt;"",CONCATENATE(",",VLOOKUP(AO258,$B:$AP,41,FALSE())),""))</f>
        <v>4,2,4</v>
      </c>
      <c r="AR258" s="6"/>
      <c r="AS258" s="6"/>
      <c r="AT258" s="26" t="s">
        <v>884</v>
      </c>
      <c r="AV258" s="26" t="s">
        <v>834</v>
      </c>
      <c r="AW258" s="26" t="s">
        <v>874</v>
      </c>
      <c r="AZ258" s="26" t="n">
        <v>25</v>
      </c>
      <c r="BA258" s="16" t="n">
        <f aca="false">IF(O258&lt;&gt;"",MAX(16,(O258-M258)+8),"")</f>
        <v>52</v>
      </c>
      <c r="BB258" s="26" t="n">
        <v>-10</v>
      </c>
      <c r="BC258" s="26" t="n">
        <v>-25</v>
      </c>
      <c r="BD258" s="26" t="n">
        <f aca="false">MIN(AE258/150, 1)*30</f>
        <v>12</v>
      </c>
      <c r="BE258" s="26" t="n">
        <f aca="false">MIN(Q258/4000, 1)*20</f>
        <v>3</v>
      </c>
      <c r="BF258" s="26" t="n">
        <f aca="false">MIN(AC258/400,1)*20</f>
        <v>2.4</v>
      </c>
      <c r="BG258" s="4" t="n">
        <f aca="false">1-(MAX(M258-1900, 0)/750)</f>
        <v>0.985333333333333</v>
      </c>
      <c r="BH258" s="26" t="n">
        <f aca="false">((MAX($P258,1)*MIN($AL258/300,1)))*IF(J258="Wagon",50,10)</f>
        <v>6.4</v>
      </c>
      <c r="BI258" s="1" t="n">
        <f aca="false">VLOOKUP($K258,Constants!$I:$K, 2, FALSE())</f>
        <v>0.85</v>
      </c>
      <c r="BJ258" s="1" t="n">
        <f aca="false">VLOOKUP($K258,Constants!$I:$K, 3, FALSE())*IF(AND(J258="multiple_unit",AE258&lt;110),0.75,1)</f>
        <v>1.725</v>
      </c>
      <c r="BK258" s="1" t="n">
        <f aca="false">INT(POWER(((Constants!$G$2+$BD258+$BE258+$BF258+$BH258)*$BG258)*$BJ258, 1.05))+$BC258</f>
        <v>34</v>
      </c>
      <c r="BL258" s="1" t="n">
        <f aca="false">INT(POWER((((Constants!$G$1+$BD258+$BE258+$BF258+$BH258)*($BG258))*$BI258),IF($J258="wagon",1,1.2)))+$BB258</f>
        <v>55</v>
      </c>
      <c r="BM258" s="17" t="n">
        <f aca="false">BK258*IF($J258="wagon",62.5,781.25)</f>
        <v>26562.5</v>
      </c>
      <c r="BN258" s="17" t="n">
        <f aca="false">BL258*IF($J258="wagon",2.73,81.25)</f>
        <v>4468.75</v>
      </c>
      <c r="BT258" s="26" t="s">
        <v>885</v>
      </c>
      <c r="BU258" s="1" t="str">
        <f aca="false">IF(J258="locomotive","B","")</f>
        <v/>
      </c>
      <c r="BV258" s="1" t="str">
        <f aca="false">IF($J258="locomotive","B","")</f>
        <v/>
      </c>
      <c r="BY258" s="26" t="n">
        <v>6</v>
      </c>
      <c r="BZ258" s="26" t="n">
        <v>185</v>
      </c>
      <c r="CC258" s="26" t="s">
        <v>367</v>
      </c>
      <c r="CD258" s="26" t="s">
        <v>382</v>
      </c>
      <c r="CE258" s="26" t="s">
        <v>858</v>
      </c>
      <c r="CF258" s="26" t="str">
        <f aca="false">CONCATENATE(CD258,"_",CE258)</f>
        <v>edw_EMU</v>
      </c>
      <c r="CG258" s="26" t="str">
        <f aca="false">_xlfn.CONCAT(K258, "_",L258)</f>
        <v>electric_ELRL</v>
      </c>
      <c r="CH258" s="7" t="str">
        <f aca="false">_xlfn.CONCAT("{BLACK}Length: {GOLD}", TEXT(ROUNDUP(IF(AS258&lt;&gt;"",SUM(VALUE(_xlfn.TEXTSPLIT(AS258, ","))), SUM(VALUE(_xlfn.TEXTSPLIT(AP258, ",")))*IF(P258, P258, 1))/16, 1), "#,##0.0"), " tiles{}")</f>
        <v>{BLACK}Length: {GOLD}2.5 tiles{}</v>
      </c>
      <c r="CI258" s="1" t="str">
        <f aca="false">IF(0, VLOOKUP($CG258, Constants!$M:$N, 2, FALSE()),"")</f>
        <v/>
      </c>
      <c r="CJ258" s="1" t="str">
        <f aca="false">IF(P258&gt;1,_xlfn.CONCAT("{BLACK}Cars: {GOLD}", P258),"")</f>
        <v>{BLACK}Cars: {GOLD}4</v>
      </c>
      <c r="CK258" s="26" t="s">
        <v>876</v>
      </c>
      <c r="CL258" s="1" t="str">
        <f aca="false">IF($BX258="concept_trains","{GREEN}Concept Vehicle",IF($BX258="!param_no_gameplay_units","{GREEN}Included for gameplay purposes",""))</f>
        <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{GOLD}4{}{BLACK}Length: {GOLD}2.5 tiles{}{SILVER}The LB&amp;SCR (Later SR) “CP” EMUs were a nightmare of different build dates and vehicle sizes, designed for use on the “Elevated Electric” line into London.</v>
      </c>
      <c r="XFD258" s="1"/>
    </row>
    <row r="259" s="26" customFormat="true" ht="14.25" hidden="false" customHeight="false" outlineLevel="0" collapsed="false">
      <c r="A259" s="26" t="s">
        <v>886</v>
      </c>
      <c r="B259" s="27" t="s">
        <v>887</v>
      </c>
      <c r="C259" s="1" t="n">
        <v>3016</v>
      </c>
      <c r="D259" s="26" t="n">
        <v>3013</v>
      </c>
      <c r="E259" s="1" t="n">
        <v>323</v>
      </c>
      <c r="G259" s="1" t="str">
        <f aca="false">IF($F259&lt;&gt;"",_xlfn.CONCAT(VLOOKUP($CE259, Constants!$T:$U, 2, FALSE()),",",$F259),VLOOKUP($CE259, Constants!$T:$U, 2, FALSE()))</f>
        <v>role/passenger</v>
      </c>
      <c r="H259" s="1" t="str">
        <f aca="false">IF($G259&lt;&gt;"",_xlfn.CONCAT(VLOOKUP($CG259, Constants!$M:$P, 4, FALSE()),",",$G259),VLOOKUP($CG259, Constants!$M:$P, 4, FALSE()))</f>
        <v>flag/GB,power/electric,role/passenger</v>
      </c>
      <c r="I259" s="26" t="s">
        <v>241</v>
      </c>
      <c r="J259" s="26" t="s">
        <v>466</v>
      </c>
      <c r="K259" s="26" t="s">
        <v>388</v>
      </c>
      <c r="L259" s="26" t="s">
        <v>389</v>
      </c>
      <c r="M259" s="26" t="n">
        <v>1911</v>
      </c>
      <c r="O259" s="26" t="n">
        <v>1955</v>
      </c>
      <c r="P259" s="26" t="n">
        <v>5</v>
      </c>
      <c r="Q259" s="26" t="n">
        <v>600</v>
      </c>
      <c r="R259" s="2"/>
      <c r="S259" s="3"/>
      <c r="T259" s="3"/>
      <c r="U259" s="3"/>
      <c r="V259" s="3"/>
      <c r="W259" s="3"/>
      <c r="X259" s="3"/>
      <c r="Y259" s="3"/>
      <c r="Z259" s="26" t="n">
        <f aca="false">52+25*4</f>
        <v>152</v>
      </c>
      <c r="AA259" s="2"/>
      <c r="AB259" s="26" t="n">
        <v>5</v>
      </c>
      <c r="AC259" s="26" t="n">
        <v>48</v>
      </c>
      <c r="AD259" s="4" t="n">
        <f aca="false">IF(AND(Z259&gt;0,AC259&gt;0),(AC259/((Z259+AA259)*10)),"")</f>
        <v>0.0315789473684211</v>
      </c>
      <c r="AE259" s="26" t="n">
        <v>60</v>
      </c>
      <c r="AF259" s="26" t="n">
        <f aca="false">ROUND(AE259*1.6, 0)</f>
        <v>96</v>
      </c>
      <c r="AI259" s="26" t="n">
        <v>17.5</v>
      </c>
      <c r="AL259" s="5" t="n">
        <v>48</v>
      </c>
      <c r="AM259" s="1" t="str">
        <f aca="false">CONCATENATE(VLOOKUP(AN259, 'Voxel Sizes'!$A$2:$B$18,2,FALSE()),"x",INT(AJ259*15), "x", INT(AK259*15))</f>
        <v>164x0x0</v>
      </c>
      <c r="AN259" s="26" t="n">
        <f aca="false">ROUND(15*((AI259*10)/256),0)</f>
        <v>10</v>
      </c>
      <c r="AP259" s="1" t="str">
        <f aca="false">CONCATENATE(VLOOKUP(AN259,Constants!$A$2:$C$16,IF(AO259&lt;&gt;"", 3, 2), FALSE()),IF(AO259&lt;&gt;"",CONCATENATE(",",VLOOKUP(AO259,$B:$AP,41,FALSE())),""))</f>
        <v>4,2,4</v>
      </c>
      <c r="AR259" s="6"/>
      <c r="AS259" s="6"/>
      <c r="AT259" s="26" t="s">
        <v>888</v>
      </c>
      <c r="AV259" s="26" t="s">
        <v>889</v>
      </c>
      <c r="AW259" s="26" t="s">
        <v>874</v>
      </c>
      <c r="AZ259" s="26" t="n">
        <v>25</v>
      </c>
      <c r="BA259" s="16" t="n">
        <f aca="false">IF(O259&lt;&gt;"",MAX(16,(O259-M259)+8),"")</f>
        <v>52</v>
      </c>
      <c r="BB259" s="26" t="n">
        <v>-10</v>
      </c>
      <c r="BC259" s="26" t="n">
        <v>-25</v>
      </c>
      <c r="BD259" s="26" t="n">
        <f aca="false">MIN(AE259/150, 1)*30</f>
        <v>12</v>
      </c>
      <c r="BE259" s="26" t="n">
        <f aca="false">MIN(Q259/4000, 1)*20</f>
        <v>3</v>
      </c>
      <c r="BF259" s="26" t="n">
        <f aca="false">MIN(AC259/400,1)*20</f>
        <v>2.4</v>
      </c>
      <c r="BG259" s="4" t="n">
        <f aca="false">1-(MAX(M259-1900, 0)/750)</f>
        <v>0.985333333333333</v>
      </c>
      <c r="BH259" s="26" t="n">
        <f aca="false">((MAX($P259,1)*MIN($AL259/300,1)))*IF(J259="Wagon",50,10)</f>
        <v>8</v>
      </c>
      <c r="BI259" s="1" t="n">
        <f aca="false">VLOOKUP($K259,Constants!$I:$K, 2, FALSE())</f>
        <v>0.85</v>
      </c>
      <c r="BJ259" s="1" t="n">
        <f aca="false">VLOOKUP($K259,Constants!$I:$K, 3, FALSE())*IF(AND(J259="multiple_unit",AE259&lt;110),0.75,1)</f>
        <v>1.725</v>
      </c>
      <c r="BK259" s="1" t="n">
        <f aca="false">INT(POWER(((Constants!$G$2+$BD259+$BE259+$BF259+$BH259)*$BG259)*$BJ259, 1.05))+$BC259</f>
        <v>37</v>
      </c>
      <c r="BL259" s="1" t="n">
        <f aca="false">INT(POWER((((Constants!$G$1+$BD259+$BE259+$BF259+$BH259)*($BG259))*$BI259),IF($J259="wagon",1,1.2)))+$BB259</f>
        <v>58</v>
      </c>
      <c r="BM259" s="17" t="n">
        <f aca="false">BK259*IF($J259="wagon",62.5,781.25)</f>
        <v>28906.25</v>
      </c>
      <c r="BN259" s="17" t="n">
        <f aca="false">BL259*IF($J259="wagon",2.73,81.25)</f>
        <v>4712.5</v>
      </c>
      <c r="BT259" s="26" t="s">
        <v>890</v>
      </c>
      <c r="BU259" s="1" t="str">
        <f aca="false">IF(J259="locomotive","B","")</f>
        <v/>
      </c>
      <c r="BV259" s="1" t="str">
        <f aca="false">IF($J259="locomotive","B","")</f>
        <v/>
      </c>
      <c r="BY259" s="26" t="n">
        <v>6</v>
      </c>
      <c r="BZ259" s="26" t="n">
        <v>185</v>
      </c>
      <c r="CC259" s="26" t="s">
        <v>367</v>
      </c>
      <c r="CD259" s="26" t="s">
        <v>382</v>
      </c>
      <c r="CE259" s="26" t="s">
        <v>858</v>
      </c>
      <c r="CF259" s="26" t="str">
        <f aca="false">CONCATENATE(CD259,"_",CE259)</f>
        <v>edw_EMU</v>
      </c>
      <c r="CG259" s="26" t="str">
        <f aca="false">_xlfn.CONCAT(K259, "_",L259)</f>
        <v>electric_ELRL</v>
      </c>
      <c r="CH259" s="7" t="str">
        <f aca="false">_xlfn.CONCAT("{BLACK}Length: {GOLD}", TEXT(ROUNDUP(IF(AS259&lt;&gt;"",SUM(VALUE(_xlfn.TEXTSPLIT(AS259, ","))), SUM(VALUE(_xlfn.TEXTSPLIT(AP259, ",")))*IF(P259, P259, 1))/16, 1), "#,##0.0"), " tiles{}")</f>
        <v>{BLACK}Length: {GOLD}3.2 tiles{}</v>
      </c>
      <c r="CI259" s="1" t="str">
        <f aca="false">IF(0, VLOOKUP($CG259, Constants!$M:$N, 2, FALSE()),"")</f>
        <v/>
      </c>
      <c r="CJ259" s="1" t="str">
        <f aca="false">IF(P259&gt;1,_xlfn.CONCAT("{BLACK}Cars: {GOLD}", P259),"")</f>
        <v>{BLACK}Cars: {GOLD}5</v>
      </c>
      <c r="CK259" s="26" t="s">
        <v>876</v>
      </c>
      <c r="CL259" s="1" t="str">
        <f aca="false">IF($BX259="concept_trains","{GREEN}Concept Vehicle",IF($BX259="!param_no_gameplay_units","{GREEN}Included for gameplay purposes",""))</f>
        <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{GOLD}5{}{BLACK}Length: {GOLD}3.2 tiles{}{SILVER}The LB&amp;SCR (Later SR) “CP” EMUs were a nightmare of different build dates and vehicle sizes, designed for use on the “Elevated Electric” line into London.</v>
      </c>
      <c r="XFD259" s="1"/>
    </row>
    <row r="260" s="26" customFormat="true" ht="14.25" hidden="false" customHeight="false" outlineLevel="0" collapsed="false">
      <c r="A260" s="26" t="s">
        <v>891</v>
      </c>
      <c r="B260" s="27" t="s">
        <v>892</v>
      </c>
      <c r="C260" s="1" t="n">
        <v>3017</v>
      </c>
      <c r="D260" s="26" t="n">
        <v>3013</v>
      </c>
      <c r="E260" s="1" t="n">
        <v>324</v>
      </c>
      <c r="G260" s="1" t="str">
        <f aca="false">IF($F260&lt;&gt;"",_xlfn.CONCAT(VLOOKUP($CE260, Constants!$T:$U, 2, FALSE()),",",$F260),VLOOKUP($CE260, Constants!$T:$U, 2, FALSE()))</f>
        <v>role/passenger</v>
      </c>
      <c r="H260" s="1" t="str">
        <f aca="false">IF($G260&lt;&gt;"",_xlfn.CONCAT(VLOOKUP($CG260, Constants!$M:$P, 4, FALSE()),",",$G260),VLOOKUP($CG260, Constants!$M:$P, 4, FALSE()))</f>
        <v>flag/GB,power/electric,role/passenger</v>
      </c>
      <c r="I260" s="26" t="s">
        <v>241</v>
      </c>
      <c r="J260" s="26" t="s">
        <v>466</v>
      </c>
      <c r="K260" s="26" t="s">
        <v>388</v>
      </c>
      <c r="L260" s="26" t="s">
        <v>389</v>
      </c>
      <c r="M260" s="26" t="n">
        <v>1911</v>
      </c>
      <c r="O260" s="26" t="n">
        <v>1955</v>
      </c>
      <c r="P260" s="26" t="n">
        <v>6</v>
      </c>
      <c r="Q260" s="26" t="n">
        <v>600</v>
      </c>
      <c r="R260" s="2"/>
      <c r="S260" s="3"/>
      <c r="T260" s="3"/>
      <c r="U260" s="3"/>
      <c r="V260" s="3"/>
      <c r="W260" s="3"/>
      <c r="X260" s="3"/>
      <c r="Y260" s="3"/>
      <c r="Z260" s="26" t="n">
        <f aca="false">52+25*5</f>
        <v>177</v>
      </c>
      <c r="AA260" s="2"/>
      <c r="AB260" s="26" t="n">
        <v>5</v>
      </c>
      <c r="AC260" s="26" t="n">
        <v>48</v>
      </c>
      <c r="AD260" s="4" t="n">
        <f aca="false">IF(AND(Z260&gt;0,AC260&gt;0),(AC260/((Z260+AA260)*10)),"")</f>
        <v>0.0271186440677966</v>
      </c>
      <c r="AE260" s="26" t="n">
        <v>60</v>
      </c>
      <c r="AF260" s="26" t="n">
        <f aca="false">ROUND(AE260*1.6, 0)</f>
        <v>96</v>
      </c>
      <c r="AI260" s="26" t="n">
        <v>17.5</v>
      </c>
      <c r="AL260" s="5" t="n">
        <v>48</v>
      </c>
      <c r="AM260" s="1" t="str">
        <f aca="false">CONCATENATE(VLOOKUP(AN260, 'Voxel Sizes'!$A$2:$B$18,2,FALSE()),"x",INT(AJ260*15), "x", INT(AK260*15))</f>
        <v>164x0x0</v>
      </c>
      <c r="AN260" s="26" t="n">
        <f aca="false">ROUND(15*((AI260*10)/256),0)</f>
        <v>10</v>
      </c>
      <c r="AP260" s="1" t="str">
        <f aca="false">CONCATENATE(VLOOKUP(AN260,Constants!$A$2:$C$16,IF(AO260&lt;&gt;"", 3, 2), FALSE()),IF(AO260&lt;&gt;"",CONCATENATE(",",VLOOKUP(AO260,$B:$AP,41,FALSE())),""))</f>
        <v>4,2,4</v>
      </c>
      <c r="AR260" s="6"/>
      <c r="AS260" s="6"/>
      <c r="AT260" s="26" t="s">
        <v>893</v>
      </c>
      <c r="AV260" s="26" t="s">
        <v>894</v>
      </c>
      <c r="AW260" s="26" t="s">
        <v>874</v>
      </c>
      <c r="AZ260" s="26" t="n">
        <v>25</v>
      </c>
      <c r="BA260" s="16" t="n">
        <f aca="false">IF(O260&lt;&gt;"",MAX(16,(O260-M260)+8),"")</f>
        <v>52</v>
      </c>
      <c r="BB260" s="26" t="n">
        <v>-10</v>
      </c>
      <c r="BC260" s="26" t="n">
        <v>-25</v>
      </c>
      <c r="BD260" s="26" t="n">
        <f aca="false">MIN(AE260/150, 1)*30</f>
        <v>12</v>
      </c>
      <c r="BE260" s="26" t="n">
        <f aca="false">MIN(Q260/4000, 1)*20</f>
        <v>3</v>
      </c>
      <c r="BF260" s="26" t="n">
        <f aca="false">MIN(AC260/400,1)*20</f>
        <v>2.4</v>
      </c>
      <c r="BG260" s="4" t="n">
        <f aca="false">1-(MAX(M260-1900, 0)/750)</f>
        <v>0.985333333333333</v>
      </c>
      <c r="BH260" s="26" t="n">
        <f aca="false">((MAX($P260,1)*MIN($AL260/300,1)))*IF(J260="Wagon",50,10)</f>
        <v>9.6</v>
      </c>
      <c r="BI260" s="1" t="n">
        <f aca="false">VLOOKUP($K260,Constants!$I:$K, 2, FALSE())</f>
        <v>0.85</v>
      </c>
      <c r="BJ260" s="1" t="n">
        <f aca="false">VLOOKUP($K260,Constants!$I:$K, 3, FALSE())*IF(AND(J260="multiple_unit",AE260&lt;110),0.75,1)</f>
        <v>1.725</v>
      </c>
      <c r="BK260" s="1" t="n">
        <f aca="false">INT(POWER(((Constants!$G$2+$BD260+$BE260+$BF260+$BH260)*$BG260)*$BJ260, 1.05))+$BC260</f>
        <v>41</v>
      </c>
      <c r="BL260" s="1" t="n">
        <f aca="false">INT(POWER((((Constants!$G$1+$BD260+$BE260+$BF260+$BH260)*($BG260))*$BI260),IF($J260="wagon",1,1.2)))+$BB260</f>
        <v>61</v>
      </c>
      <c r="BM260" s="17" t="n">
        <f aca="false">BK260*IF($J260="wagon",62.5,781.25)</f>
        <v>32031.25</v>
      </c>
      <c r="BN260" s="17" t="n">
        <f aca="false">BL260*IF($J260="wagon",2.73,81.25)</f>
        <v>4956.25</v>
      </c>
      <c r="BT260" s="26" t="s">
        <v>895</v>
      </c>
      <c r="BU260" s="1" t="str">
        <f aca="false">IF(J260="locomotive","B","")</f>
        <v/>
      </c>
      <c r="BV260" s="1" t="str">
        <f aca="false">IF($J260="locomotive","B","")</f>
        <v/>
      </c>
      <c r="BY260" s="26" t="n">
        <v>6</v>
      </c>
      <c r="BZ260" s="26" t="n">
        <v>185</v>
      </c>
      <c r="CC260" s="26" t="s">
        <v>367</v>
      </c>
      <c r="CD260" s="26" t="s">
        <v>382</v>
      </c>
      <c r="CE260" s="26" t="s">
        <v>858</v>
      </c>
      <c r="CF260" s="26" t="str">
        <f aca="false">CONCATENATE(CD260,"_",CE260)</f>
        <v>edw_EMU</v>
      </c>
      <c r="CG260" s="26" t="str">
        <f aca="false">_xlfn.CONCAT(K260, "_",L260)</f>
        <v>electric_ELRL</v>
      </c>
      <c r="CH260" s="7" t="str">
        <f aca="false">_xlfn.CONCAT("{BLACK}Length: {GOLD}", TEXT(ROUNDUP(IF(AS260&lt;&gt;"",SUM(VALUE(_xlfn.TEXTSPLIT(AS260, ","))), SUM(VALUE(_xlfn.TEXTSPLIT(AP260, ",")))*IF(P260, P260, 1))/16, 1), "#,##0.0"), " tiles{}")</f>
        <v>{BLACK}Length: {GOLD}3.8 tiles{}</v>
      </c>
      <c r="CI260" s="1" t="str">
        <f aca="false">IF(0, VLOOKUP($CG260, Constants!$M:$N, 2, FALSE()),"")</f>
        <v/>
      </c>
      <c r="CJ260" s="1" t="str">
        <f aca="false">IF(P260&gt;1,_xlfn.CONCAT("{BLACK}Cars: {GOLD}", P260),"")</f>
        <v>{BLACK}Cars: {GOLD}6</v>
      </c>
      <c r="CK260" s="26" t="s">
        <v>876</v>
      </c>
      <c r="CL260" s="1" t="str">
        <f aca="false">IF($BX260="concept_trains","{GREEN}Concept Vehicle",IF($BX260="!param_no_gameplay_units","{GREEN}Included for gameplay purposes",""))</f>
        <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{GOLD}6{}{BLACK}Length: {GOLD}3.8 tiles{}{SILVER}The LB&amp;SCR (Later SR) “CP” EMUs were a nightmare of different build dates and vehicle sizes, designed for use on the “Elevated Electric” line into London.</v>
      </c>
      <c r="XFD260" s="1"/>
    </row>
    <row r="261" s="26" customFormat="true" ht="14.25" hidden="false" customHeight="false" outlineLevel="0" collapsed="false">
      <c r="A261" s="26" t="s">
        <v>896</v>
      </c>
      <c r="B261" s="27" t="s">
        <v>897</v>
      </c>
      <c r="C261" s="1" t="n">
        <v>3019</v>
      </c>
      <c r="E261" s="1" t="n">
        <v>325</v>
      </c>
      <c r="G261" s="1" t="str">
        <f aca="false">IF($F261&lt;&gt;"",_xlfn.CONCAT(VLOOKUP($CE261, Constants!$T:$U, 2, FALSE()),",",$F261),VLOOKUP($CE261, Constants!$T:$U, 2, FALSE()))</f>
        <v>role/passenger</v>
      </c>
      <c r="H261" s="1" t="str">
        <f aca="false">IF($G261&lt;&gt;"",_xlfn.CONCAT(VLOOKUP($CG261, Constants!$M:$P, 4, FALSE()),",",$G261),VLOOKUP($CG261, Constants!$M:$P, 4, FALSE()))</f>
        <v>flag/GB,power/electric,role/passenger</v>
      </c>
      <c r="I261" s="26" t="s">
        <v>241</v>
      </c>
      <c r="J261" s="26" t="s">
        <v>249</v>
      </c>
      <c r="K261" s="26" t="s">
        <v>388</v>
      </c>
      <c r="L261" s="26" t="s">
        <v>389</v>
      </c>
      <c r="M261" s="26" t="n">
        <v>1925</v>
      </c>
      <c r="O261" s="26" t="n">
        <v>1955</v>
      </c>
      <c r="Q261" s="26" t="n">
        <v>1000</v>
      </c>
      <c r="R261" s="2"/>
      <c r="S261" s="3"/>
      <c r="T261" s="3"/>
      <c r="U261" s="3"/>
      <c r="V261" s="3"/>
      <c r="W261" s="3"/>
      <c r="X261" s="3"/>
      <c r="Y261" s="3"/>
      <c r="Z261" s="26" t="n">
        <v>62</v>
      </c>
      <c r="AA261" s="2"/>
      <c r="AB261" s="26" t="n">
        <v>5</v>
      </c>
      <c r="AC261" s="26" t="n">
        <v>48</v>
      </c>
      <c r="AD261" s="4" t="n">
        <f aca="false">IF(AND(Z261&gt;0,AC261&gt;0),(AC261/((Z261+AA261)*10)),"")</f>
        <v>0.0774193548387097</v>
      </c>
      <c r="AE261" s="26" t="n">
        <v>60</v>
      </c>
      <c r="AF261" s="26" t="n">
        <f aca="false">ROUND(AE261*1.6, 0)</f>
        <v>96</v>
      </c>
      <c r="AI261" s="26" t="n">
        <v>12.8</v>
      </c>
      <c r="AL261" s="5" t="n">
        <v>60</v>
      </c>
      <c r="AM261" s="1" t="str">
        <f aca="false">CONCATENATE(VLOOKUP(AN261, 'Voxel Sizes'!$A$2:$B$18,2,FALSE()),"x",INT(AJ261*15), "x", INT(AK261*15))</f>
        <v>136x0x0</v>
      </c>
      <c r="AN261" s="26" t="n">
        <f aca="false">ROUND(15*((AI261*10)/256),0)</f>
        <v>8</v>
      </c>
      <c r="AP261" s="1" t="str">
        <f aca="false">CONCATENATE(VLOOKUP(AN261,Constants!$A$2:$C$16,IF(AO261&lt;&gt;"", 3, 2), FALSE()),IF(AO261&lt;&gt;"",CONCATENATE(",",VLOOKUP(AO261,$B:$AP,41,FALSE())),""))</f>
        <v>2,4,2</v>
      </c>
      <c r="AR261" s="6"/>
      <c r="AS261" s="6"/>
      <c r="AZ261" s="26" t="n">
        <v>25</v>
      </c>
      <c r="BA261" s="16" t="n">
        <f aca="false">IF(O261&lt;&gt;"",MAX(16,(O261-M261)+8),"")</f>
        <v>38</v>
      </c>
      <c r="BB261" s="26" t="n">
        <v>-10</v>
      </c>
      <c r="BC261" s="26" t="n">
        <v>-25</v>
      </c>
      <c r="BD261" s="26" t="n">
        <f aca="false">MIN(AE261/150, 1)*30</f>
        <v>12</v>
      </c>
      <c r="BE261" s="26" t="n">
        <f aca="false">MIN(Q261/4000, 1)*20</f>
        <v>5</v>
      </c>
      <c r="BF261" s="26" t="n">
        <f aca="false">MIN(AC261/400,1)*20</f>
        <v>2.4</v>
      </c>
      <c r="BG261" s="4" t="n">
        <f aca="false">1-(MAX(M261-1900, 0)/750)</f>
        <v>0.966666666666667</v>
      </c>
      <c r="BH261" s="26" t="n">
        <f aca="false">((MAX($P261,1)*MIN($AL261/300,1)))*IF(J261="Wagon",50,10)</f>
        <v>2</v>
      </c>
      <c r="BI261" s="1" t="n">
        <f aca="false">VLOOKUP($K261,Constants!$I:$K, 2, FALSE())</f>
        <v>0.85</v>
      </c>
      <c r="BJ261" s="1" t="n">
        <f aca="false">VLOOKUP($K261,Constants!$I:$K, 3, FALSE())*IF(AND(J261="multiple_unit",AE261&lt;110),0.75,1)</f>
        <v>2.3</v>
      </c>
      <c r="BK261" s="1" t="n">
        <f aca="false">INT(POWER(((Constants!$G$2+$BD261+$BE261+$BF261+$BH261)*$BG261)*$BJ261, 1.05))+$BC261</f>
        <v>46</v>
      </c>
      <c r="BL261" s="1" t="n">
        <f aca="false">INT(POWER((((Constants!$G$1+$BD261+$BE261+$BF261+$BH261)*($BG261))*$BI261),IF($J261="wagon",1,1.2)))+$BB261</f>
        <v>49</v>
      </c>
      <c r="BM261" s="17" t="n">
        <f aca="false">BK261*IF($J261="wagon",62.5,781.25)</f>
        <v>35937.5</v>
      </c>
      <c r="BN261" s="17" t="n">
        <f aca="false">BL261*IF($J261="wagon",2.73,81.25)</f>
        <v>3981.25</v>
      </c>
      <c r="BU261" s="1" t="str">
        <f aca="false">IF(J261="locomotive","B","")</f>
        <v>B</v>
      </c>
      <c r="BV261" s="1" t="str">
        <f aca="false">IF($J261="locomotive","B","")</f>
        <v>B</v>
      </c>
      <c r="BY261" s="26" t="n">
        <v>6</v>
      </c>
      <c r="BZ261" s="26" t="n">
        <v>185</v>
      </c>
      <c r="CC261" s="26" t="s">
        <v>706</v>
      </c>
      <c r="CD261" s="26" t="s">
        <v>471</v>
      </c>
      <c r="CE261" s="26" t="s">
        <v>858</v>
      </c>
      <c r="CF261" s="26" t="str">
        <f aca="false">CONCATENATE(CD261,"_",CE261)</f>
        <v>big4_EMU</v>
      </c>
      <c r="CG261" s="26" t="str">
        <f aca="false">_xlfn.CONCAT(K261, "_",L261)</f>
        <v>electric_ELRL</v>
      </c>
      <c r="CH261" s="7" t="str">
        <f aca="false">_xlfn.CONCAT("{BLACK}Length: {GOLD}", TEXT(ROUNDUP(IF(AS261&lt;&gt;"",SUM(VALUE(_xlfn.TEXTSPLIT(AS261, ","))), SUM(VALUE(_xlfn.TEXTSPLIT(AP261, ",")))*IF(P261, P261, 1))/16, 1), "#,##0.0"), " tiles{}")</f>
        <v>{BLACK}Length: {GOLD}0.5 tiles{}</v>
      </c>
      <c r="CI261" s="1" t="str">
        <f aca="false">IF(0, VLOOKUP($CG261, Constants!$M:$N, 2, FALSE()),"")</f>
        <v/>
      </c>
      <c r="CJ261" s="1" t="str">
        <f aca="false">IF(P261&gt;1,_xlfn.CONCAT("{BLACK}Cars: {GOLD}", P261),"")</f>
        <v/>
      </c>
      <c r="CK261" s="26" t="s">
        <v>898</v>
      </c>
      <c r="CL261" s="1" t="str">
        <f aca="false">IF($BX261="concept_trains","{GREEN}Concept Vehicle",IF($BX261="!param_no_gameplay_units","{GREEN}Included for gameplay purposes",""))</f>
        <v/>
      </c>
      <c r="CM261" s="26" t="str">
        <f aca="false">IF(CA261="buffet","{YELLOW}25% long distance bonus for consist{}",IF(CD261="BRAKE","{YELLOW}Speed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{GOLD}0.5 tiles{}{SILVER}The motor luggage vans powering the CW EMUs were usable locomotives in their own right, and could operate independantly if needed.</v>
      </c>
      <c r="XFD261" s="1"/>
    </row>
    <row r="262" s="26" customFormat="true" ht="14.25" hidden="false" customHeight="false" outlineLevel="0" collapsed="false">
      <c r="A262" s="26" t="s">
        <v>899</v>
      </c>
      <c r="B262" s="27" t="s">
        <v>900</v>
      </c>
      <c r="C262" s="1" t="n">
        <v>3018</v>
      </c>
      <c r="E262" s="1" t="n">
        <v>326</v>
      </c>
      <c r="G262" s="1" t="str">
        <f aca="false">IF($F262&lt;&gt;"",_xlfn.CONCAT(VLOOKUP($CE262, Constants!$T:$U, 2, FALSE()),",",$F262),VLOOKUP($CE262, Constants!$T:$U, 2, FALSE()))</f>
        <v>role/passenger</v>
      </c>
      <c r="H262" s="1" t="str">
        <f aca="false">IF($G262&lt;&gt;"",_xlfn.CONCAT(VLOOKUP($CG262, Constants!$M:$P, 4, FALSE()),",",$G262),VLOOKUP($CG262, Constants!$M:$P, 4, FALSE()))</f>
        <v>flag/GB,power/electric,role/passenger</v>
      </c>
      <c r="I262" s="26" t="s">
        <v>241</v>
      </c>
      <c r="J262" s="26" t="s">
        <v>466</v>
      </c>
      <c r="K262" s="26" t="s">
        <v>388</v>
      </c>
      <c r="L262" s="26" t="s">
        <v>389</v>
      </c>
      <c r="M262" s="26" t="n">
        <v>1925</v>
      </c>
      <c r="O262" s="26" t="n">
        <v>1955</v>
      </c>
      <c r="P262" s="26" t="n">
        <v>5</v>
      </c>
      <c r="Q262" s="26" t="n">
        <v>1000</v>
      </c>
      <c r="R262" s="2"/>
      <c r="S262" s="3"/>
      <c r="T262" s="3"/>
      <c r="U262" s="3"/>
      <c r="V262" s="3"/>
      <c r="W262" s="3"/>
      <c r="X262" s="3"/>
      <c r="Y262" s="3"/>
      <c r="Z262" s="26" t="n">
        <v>160</v>
      </c>
      <c r="AA262" s="2"/>
      <c r="AB262" s="26" t="n">
        <v>5</v>
      </c>
      <c r="AC262" s="26" t="n">
        <v>48</v>
      </c>
      <c r="AD262" s="4" t="n">
        <f aca="false">IF(AND(Z262&gt;0,AC262&gt;0),(AC262/((Z262+AA262)*10)),"")</f>
        <v>0.03</v>
      </c>
      <c r="AE262" s="26" t="n">
        <v>60</v>
      </c>
      <c r="AF262" s="26" t="n">
        <f aca="false">ROUND(AE262*1.6, 0)</f>
        <v>96</v>
      </c>
      <c r="AI262" s="26" t="n">
        <v>12.8</v>
      </c>
      <c r="AL262" s="5" t="n">
        <v>60</v>
      </c>
      <c r="AM262" s="1" t="str">
        <f aca="false">CONCATENATE(VLOOKUP(AN262, 'Voxel Sizes'!$A$2:$B$18,2,FALSE()),"x",INT(AJ262*15), "x", INT(AK262*15))</f>
        <v>136x0x0</v>
      </c>
      <c r="AN262" s="26" t="n">
        <f aca="false">ROUND(15*((AI262*10)/256),0)</f>
        <v>8</v>
      </c>
      <c r="AP262" s="1" t="str">
        <f aca="false">CONCATENATE(VLOOKUP(AN262,Constants!$A$2:$C$16,IF(AO262&lt;&gt;"", 3, 2), FALSE()),IF(AO262&lt;&gt;"",CONCATENATE(",",VLOOKUP(AO262,$B:$AP,41,FALSE())),""))</f>
        <v>2,4,2</v>
      </c>
      <c r="AR262" s="6" t="s">
        <v>901</v>
      </c>
      <c r="AS262" s="6" t="s">
        <v>902</v>
      </c>
      <c r="AT262" s="26" t="s">
        <v>903</v>
      </c>
      <c r="AV262" s="26" t="s">
        <v>889</v>
      </c>
      <c r="AW262" s="26" t="s">
        <v>874</v>
      </c>
      <c r="AZ262" s="26" t="n">
        <v>25</v>
      </c>
      <c r="BA262" s="16" t="n">
        <f aca="false">IF(O262&lt;&gt;"",MAX(16,(O262-M262)+8),"")</f>
        <v>38</v>
      </c>
      <c r="BB262" s="26" t="n">
        <v>-10</v>
      </c>
      <c r="BC262" s="26" t="n">
        <v>-25</v>
      </c>
      <c r="BD262" s="26" t="n">
        <f aca="false">MIN(AE262/150, 1)*30</f>
        <v>12</v>
      </c>
      <c r="BE262" s="26" t="n">
        <f aca="false">MIN(Q262/4000, 1)*20</f>
        <v>5</v>
      </c>
      <c r="BF262" s="26" t="n">
        <f aca="false">MIN(AC262/400,1)*20</f>
        <v>2.4</v>
      </c>
      <c r="BG262" s="4" t="n">
        <f aca="false">1-(MAX(M262-1900, 0)/750)</f>
        <v>0.966666666666667</v>
      </c>
      <c r="BH262" s="26" t="n">
        <f aca="false">((MAX($P262,1)*MIN($AL262/300,1)))*IF(J262="Wagon",50,10)</f>
        <v>10</v>
      </c>
      <c r="BI262" s="1" t="n">
        <f aca="false">VLOOKUP($K262,Constants!$I:$K, 2, FALSE())</f>
        <v>0.85</v>
      </c>
      <c r="BJ262" s="1" t="n">
        <f aca="false">VLOOKUP($K262,Constants!$I:$K, 3, FALSE())*IF(AND(J262="multiple_unit",AE262&lt;110),0.75,1)</f>
        <v>1.725</v>
      </c>
      <c r="BK262" s="1" t="n">
        <f aca="false">INT(POWER(((Constants!$G$2+$BD262+$BE262+$BF262+$BH262)*$BG262)*$BJ262, 1.05))+$BC262</f>
        <v>45</v>
      </c>
      <c r="BL262" s="1" t="n">
        <f aca="false">INT(POWER((((Constants!$G$1+$BD262+$BE262+$BF262+$BH262)*($BG262))*$BI262),IF($J262="wagon",1,1.2)))+$BB262</f>
        <v>64</v>
      </c>
      <c r="BM262" s="17" t="n">
        <f aca="false">BK262*IF($J262="wagon",62.5,781.25)</f>
        <v>35156.25</v>
      </c>
      <c r="BN262" s="17" t="n">
        <f aca="false">BL262*IF($J262="wagon",2.73,81.25)</f>
        <v>5200</v>
      </c>
      <c r="BU262" s="1" t="str">
        <f aca="false">IF(J262="locomotive","B","")</f>
        <v/>
      </c>
      <c r="BV262" s="1" t="str">
        <f aca="false">IF($J262="locomotive","B","")</f>
        <v/>
      </c>
      <c r="BY262" s="26" t="n">
        <v>6</v>
      </c>
      <c r="BZ262" s="26" t="n">
        <v>185</v>
      </c>
      <c r="CC262" s="26" t="s">
        <v>367</v>
      </c>
      <c r="CD262" s="26" t="s">
        <v>471</v>
      </c>
      <c r="CE262" s="26" t="s">
        <v>858</v>
      </c>
      <c r="CF262" s="26" t="str">
        <f aca="false">CONCATENATE(CD262,"_",CE262)</f>
        <v>big4_EMU</v>
      </c>
      <c r="CG262" s="26" t="str">
        <f aca="false">_xlfn.CONCAT(K262, "_",L262)</f>
        <v>electric_ELRL</v>
      </c>
      <c r="CH262" s="7" t="str">
        <f aca="false">_xlfn.CONCAT("{BLACK}Length: {GOLD}", TEXT(ROUNDUP(IF(AS262&lt;&gt;"",SUM(VALUE(_xlfn.TEXTSPLIT(AS262, ","))), SUM(VALUE(_xlfn.TEXTSPLIT(AP262, ",")))*IF(P262, P262, 1))/16, 1), "#,##0.0"), " tiles{}")</f>
        <v>{BLACK}Length: {GOLD}3.0 tiles{}</v>
      </c>
      <c r="CI262" s="1" t="str">
        <f aca="false">IF(0, VLOOKUP($CG262, Constants!$M:$N, 2, FALSE()),"")</f>
        <v/>
      </c>
      <c r="CJ262" s="1" t="str">
        <f aca="false">IF(P262&gt;1,_xlfn.CONCAT("{BLACK}Cars: {GOLD}", P262),"")</f>
        <v>{BLACK}Cars: {GOLD}5</v>
      </c>
      <c r="CK262" s="26" t="s">
        <v>904</v>
      </c>
      <c r="CL262" s="1" t="str">
        <f aca="false">IF($BX262="concept_trains","{GREEN}Concept Vehicle",IF($BX262="!param_no_gameplay_units","{GREEN}Included for gameplay purposes",""))</f>
        <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62" s="1"/>
    </row>
    <row r="263" customFormat="false" ht="14.25" hidden="false" customHeight="false" outlineLevel="0" collapsed="false">
      <c r="A263" s="1" t="s">
        <v>905</v>
      </c>
      <c r="B263" s="15" t="s">
        <v>906</v>
      </c>
      <c r="C263" s="1" t="n">
        <v>224</v>
      </c>
      <c r="E263" s="1" t="n">
        <v>327</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1" t="s">
        <v>241</v>
      </c>
      <c r="J263" s="1" t="s">
        <v>466</v>
      </c>
      <c r="K263" s="1" t="s">
        <v>388</v>
      </c>
      <c r="L263" s="1" t="s">
        <v>541</v>
      </c>
      <c r="M263" s="1" t="n">
        <v>1914</v>
      </c>
      <c r="O263" s="1" t="n">
        <v>1960</v>
      </c>
      <c r="P263" s="1" t="n">
        <v>3</v>
      </c>
      <c r="Q263" s="1" t="n">
        <v>1000</v>
      </c>
      <c r="Z263" s="1" t="n">
        <v>117</v>
      </c>
      <c r="AB263" s="1" t="n">
        <v>5</v>
      </c>
      <c r="AC263" s="1" t="n">
        <v>112</v>
      </c>
      <c r="AD263" s="4" t="n">
        <f aca="false">IF(AND(Z263&gt;0,AC263&gt;0),(AC263/((Z263+AA263)*10)),"")</f>
        <v>0.0957264957264957</v>
      </c>
      <c r="AE263" s="1" t="n">
        <v>60</v>
      </c>
      <c r="AF263" s="1" t="n">
        <f aca="false">ROUND(AE263*1.6, 0)</f>
        <v>96</v>
      </c>
      <c r="AI263" s="1" t="n">
        <v>17.7</v>
      </c>
      <c r="AL263" s="5" t="n">
        <v>45</v>
      </c>
      <c r="AM263" s="1" t="str">
        <f aca="false">CONCATENATE(VLOOKUP(AN263, 'Voxel Sizes'!$A$2:$B$18,2,FALSE()),"x",INT(AJ263*15), "x", INT(AK263*15))</f>
        <v>164x0x0</v>
      </c>
      <c r="AN263" s="1" t="n">
        <f aca="false">ROUND(15*((AI263*10)/256),0)</f>
        <v>10</v>
      </c>
      <c r="AP263" s="1" t="str">
        <f aca="false">CONCATENATE(VLOOKUP(AN263,Constants!$A$2:$C$16,IF(AO263&lt;&gt;"", 3, 2), FALSE()),IF(AO263&lt;&gt;"",CONCATENATE(",",VLOOKUP(AO263,$B:$AP,41,FALSE())),""))</f>
        <v>4,2,4</v>
      </c>
      <c r="AT263" s="1" t="s">
        <v>907</v>
      </c>
      <c r="AV263" s="1" t="s">
        <v>468</v>
      </c>
      <c r="AZ263" s="1" t="n">
        <v>25</v>
      </c>
      <c r="BA263" s="16" t="n">
        <f aca="false">IF(O263&lt;&gt;"",MAX(16,(O263-M263)+8),"")</f>
        <v>54</v>
      </c>
      <c r="BB263" s="1" t="n">
        <v>-10</v>
      </c>
      <c r="BC263" s="1" t="n">
        <v>-15</v>
      </c>
      <c r="BD263" s="1" t="n">
        <f aca="false">MIN(AE263/150, 1)*30</f>
        <v>12</v>
      </c>
      <c r="BE263" s="1" t="n">
        <f aca="false">MIN(Q263/4000, 1)*20</f>
        <v>5</v>
      </c>
      <c r="BF263" s="1" t="n">
        <f aca="false">MIN(AC263/400,1)*20</f>
        <v>5.6</v>
      </c>
      <c r="BG263" s="4" t="n">
        <f aca="false">1-(MAX(M263-1900, 0)/750)</f>
        <v>0.981333333333333</v>
      </c>
      <c r="BH263" s="1" t="n">
        <f aca="false">((MAX($P263,1)*MIN($AL263/300,1)))*IF(J263="Wagon",50,10)</f>
        <v>4.5</v>
      </c>
      <c r="BI263" s="1" t="n">
        <f aca="false">VLOOKUP($K263,Constants!$I:$K, 2, FALSE())</f>
        <v>0.85</v>
      </c>
      <c r="BJ263" s="1" t="n">
        <f aca="false">VLOOKUP($K263,Constants!$I:$K, 3, FALSE())*IF(AND(J263="multiple_unit",AE263&lt;110),0.75,1)</f>
        <v>1.725</v>
      </c>
      <c r="BK263" s="1" t="n">
        <f aca="false">INT(POWER(((Constants!$G$2+$BD263+$BE263+$BF263+$BH263)*$BG263)*$BJ263, 1.05))+$BC263</f>
        <v>51</v>
      </c>
      <c r="BL263" s="1" t="n">
        <f aca="false">INT(POWER((((Constants!$G$1+$BD263+$BE263+$BF263+$BH263)*($BG263))*$BI263),IF($J263="wagon",1,1.2)))+$BB263</f>
        <v>61</v>
      </c>
      <c r="BM263" s="17" t="n">
        <f aca="false">BK263*IF($J263="wagon",62.5,781.25)</f>
        <v>39843.75</v>
      </c>
      <c r="BN263" s="17" t="n">
        <f aca="false">BL263*IF($J263="wagon",2.73,81.25)</f>
        <v>4956.25</v>
      </c>
      <c r="BU263" s="1" t="str">
        <f aca="false">IF(J263="locomotive","B","")</f>
        <v/>
      </c>
      <c r="BV263" s="1" t="str">
        <f aca="false">IF($J263="locomotive","B","")</f>
        <v/>
      </c>
      <c r="BY263" s="1" t="n">
        <v>6</v>
      </c>
      <c r="BZ263" s="1" t="n">
        <v>185</v>
      </c>
      <c r="CC263" s="1" t="s">
        <v>367</v>
      </c>
      <c r="CD263" s="1" t="str">
        <f aca="false">VLOOKUP(M263,Eras!$A$2:$C$10, 2, TRUE())</f>
        <v>edw</v>
      </c>
      <c r="CE263" s="1" t="s">
        <v>858</v>
      </c>
      <c r="CF263" s="1" t="str">
        <f aca="false">CONCATENATE(CD263,"_",CE263)</f>
        <v>edw_EMU</v>
      </c>
      <c r="CG263" s="1" t="str">
        <f aca="false">_xlfn.CONCAT(K263, "_",L263)</f>
        <v>electric_THIRD_RAIL</v>
      </c>
      <c r="CH263" s="7" t="str">
        <f aca="false">_xlfn.CONCAT("{BLACK}Length: {GOLD}", TEXT(ROUNDUP(IF(AS263&lt;&gt;"",SUM(VALUE(_xlfn.TEXTSPLIT(AS263, ","))), SUM(VALUE(_xlfn.TEXTSPLIT(AP263, ",")))*IF(P263, P263, 1))/16, 1), "#,##0.0"), " tiles{}")</f>
        <v>{BLACK}Length: {GOLD}1.9 tiles{}</v>
      </c>
      <c r="CI263" s="1" t="str">
        <f aca="false">IF(0, VLOOKUP($CG263, Constants!$M:$N, 2, FALSE()),"")</f>
        <v/>
      </c>
      <c r="CJ263" s="1" t="str">
        <f aca="false">IF(P263&gt;1,_xlfn.CONCAT("{BLACK}Cars: {GOLD}", P263),"")</f>
        <v>{BLACK}Cars: {GOLD}3</v>
      </c>
      <c r="CK263" s="1" t="s">
        <v>908</v>
      </c>
      <c r="CL263" s="1" t="str">
        <f aca="false">IF($BX263="concept_trains","{GREEN}Concept Vehicle",IF($BX263="!param_no_gameplay_units","{GREEN}Included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{GOLD}3{}{BLACK}Length: {GOLD}1.9 tiles{}{SILVER}The LNWR built electric multiple units for its inner suburban London routes, sharing track with the Bakerloo and District lines.</v>
      </c>
    </row>
    <row r="264" customFormat="false" ht="14.25" hidden="false" customHeight="false" outlineLevel="0" collapsed="false">
      <c r="A264" s="1" t="s">
        <v>909</v>
      </c>
      <c r="B264" s="15" t="s">
        <v>910</v>
      </c>
      <c r="C264" s="1" t="n">
        <v>225</v>
      </c>
      <c r="E264" s="1" t="n">
        <v>328</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1" t="s">
        <v>241</v>
      </c>
      <c r="J264" s="1" t="s">
        <v>466</v>
      </c>
      <c r="K264" s="1" t="s">
        <v>388</v>
      </c>
      <c r="L264" s="1" t="s">
        <v>541</v>
      </c>
      <c r="M264" s="1" t="n">
        <v>1932</v>
      </c>
      <c r="O264" s="1" t="n">
        <v>1972</v>
      </c>
      <c r="P264" s="1" t="n">
        <v>5</v>
      </c>
      <c r="Q264" s="1" t="n">
        <v>1800</v>
      </c>
      <c r="Z264" s="1" t="n">
        <v>253</v>
      </c>
      <c r="AB264" s="1" t="n">
        <v>5</v>
      </c>
      <c r="AC264" s="1" t="n">
        <v>145</v>
      </c>
      <c r="AD264" s="4" t="n">
        <f aca="false">IF(AND(Z264&gt;0,AC264&gt;0),(AC264/((Z264+AA264)*10)),"")</f>
        <v>0.0573122529644269</v>
      </c>
      <c r="AE264" s="1" t="n">
        <v>75</v>
      </c>
      <c r="AF264" s="1" t="n">
        <f aca="false">ROUND(AE264*1.6, 0)</f>
        <v>120</v>
      </c>
      <c r="AH264" s="1" t="n">
        <v>20.11</v>
      </c>
      <c r="AI264" s="1" t="n">
        <v>20.11</v>
      </c>
      <c r="AL264" s="5" t="n">
        <v>33</v>
      </c>
      <c r="AM264" s="1" t="str">
        <f aca="false">CONCATENATE(VLOOKUP(AN264, 'Voxel Sizes'!$A$2:$B$18,2,FALSE()),"x",INT(AJ264*15), "x", INT(AK264*15))</f>
        <v>198x0x0</v>
      </c>
      <c r="AN264" s="1" t="n">
        <f aca="false">ROUND(15*((AI264*10)/256),0)</f>
        <v>12</v>
      </c>
      <c r="AP264" s="1" t="str">
        <f aca="false">CONCATENATE(VLOOKUP(AN264,Constants!$A$2:$C$16,IF(AO264&lt;&gt;"", 3, 2), FALSE()),IF(AO264&lt;&gt;"",CONCATENATE(",",VLOOKUP(AO264,$B:$AP,41,FALSE())),""))</f>
        <v>4,4,4</v>
      </c>
      <c r="AT264" s="1" t="s">
        <v>911</v>
      </c>
      <c r="AV264" s="1" t="s">
        <v>912</v>
      </c>
      <c r="AZ264" s="1" t="n">
        <v>28</v>
      </c>
      <c r="BA264" s="16" t="n">
        <f aca="false">IF(O264&lt;&gt;"",MAX(16,(O264-M264)+8),"")</f>
        <v>48</v>
      </c>
      <c r="BB264" s="1" t="n">
        <v>-10</v>
      </c>
      <c r="BC264" s="1" t="n">
        <v>-10</v>
      </c>
      <c r="BD264" s="1" t="n">
        <f aca="false">MIN(AE264/150, 1)*30</f>
        <v>15</v>
      </c>
      <c r="BE264" s="1" t="n">
        <f aca="false">MIN(Q264/4000, 1)*20</f>
        <v>9</v>
      </c>
      <c r="BF264" s="1" t="n">
        <f aca="false">MIN(AC264/400,1)*20</f>
        <v>7.25</v>
      </c>
      <c r="BG264" s="4" t="n">
        <f aca="false">1-(MAX(M264-1900, 0)/750)</f>
        <v>0.957333333333333</v>
      </c>
      <c r="BH264" s="1" t="n">
        <f aca="false">((MAX($P264,1)*MIN($AL264/300,1)))*IF(J264="Wagon",50,10)</f>
        <v>5.5</v>
      </c>
      <c r="BI264" s="1" t="n">
        <f aca="false">VLOOKUP($K264,Constants!$I:$K, 2, FALSE())</f>
        <v>0.85</v>
      </c>
      <c r="BJ264" s="1" t="n">
        <f aca="false">VLOOKUP($K264,Constants!$I:$K, 3, FALSE())*IF(AND(J264="multiple_unit",AE264&lt;110),0.75,1)</f>
        <v>1.725</v>
      </c>
      <c r="BK264" s="1" t="n">
        <f aca="false">INT(POWER(((Constants!$G$2+$BD264+$BE264+$BF264+$BH264)*$BG264)*$BJ264, 1.05))+$BC264</f>
        <v>75</v>
      </c>
      <c r="BL264" s="1" t="n">
        <f aca="false">INT(POWER((((Constants!$G$1+$BD264+$BE264+$BF264+$BH264)*($BG264))*$BI264),IF($J264="wagon",1,1.2)))+$BB264</f>
        <v>78</v>
      </c>
      <c r="BM264" s="17" t="n">
        <f aca="false">BK264*IF($J264="wagon",62.5,781.25)</f>
        <v>58593.75</v>
      </c>
      <c r="BN264" s="17" t="n">
        <f aca="false">BL264*IF($J264="wagon",2.73,81.25)</f>
        <v>6337.5</v>
      </c>
      <c r="BU264" s="1" t="str">
        <f aca="false">IF(J264="locomotive","B","")</f>
        <v/>
      </c>
      <c r="BV264" s="1" t="str">
        <f aca="false">IF($J264="locomotive","B","")</f>
        <v/>
      </c>
      <c r="BY264" s="1" t="n">
        <v>7</v>
      </c>
      <c r="BZ264" s="1" t="n">
        <v>260</v>
      </c>
      <c r="CC264" s="1" t="s">
        <v>367</v>
      </c>
      <c r="CD264" s="1" t="str">
        <f aca="false">VLOOKUP(M264,Eras!$A$2:$C$10, 2, TRUE())</f>
        <v>big4</v>
      </c>
      <c r="CE264" s="1" t="s">
        <v>913</v>
      </c>
      <c r="CF264" s="1" t="str">
        <f aca="false">CONCATENATE(CD264,"_",CE264)</f>
        <v>big4_EMU (Express)</v>
      </c>
      <c r="CG264" s="1" t="str">
        <f aca="false">_xlfn.CONCAT(K264, "_",L264)</f>
        <v>electric_THIRD_RAIL</v>
      </c>
      <c r="CH264" s="7" t="str">
        <f aca="false">_xlfn.CONCAT("{BLACK}Length: {GOLD}", TEXT(ROUNDUP(IF(AS264&lt;&gt;"",SUM(VALUE(_xlfn.TEXTSPLIT(AS264, ","))), SUM(VALUE(_xlfn.TEXTSPLIT(AP264, ",")))*IF(P264, P264, 1))/16, 1), "#,##0.0"), " tiles{}")</f>
        <v>{BLACK}Length: {GOLD}3.8 tiles{}</v>
      </c>
      <c r="CI264" s="1" t="str">
        <f aca="false">IF(0, VLOOKUP($CG264, Constants!$M:$N, 2, FALSE()),"")</f>
        <v/>
      </c>
      <c r="CJ264" s="1" t="str">
        <f aca="false">IF(P264&gt;1,_xlfn.CONCAT("{BLACK}Cars: {GOLD}", P264),"")</f>
        <v>{BLACK}Cars: {GOLD}5</v>
      </c>
      <c r="CK264" s="1" t="s">
        <v>914</v>
      </c>
      <c r="CL264" s="1" t="str">
        <f aca="false">IF($BX264="concept_trains","{GREEN}Concept Vehicle",IF($BX264="!param_no_gameplay_units","{GREEN}Included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{YELLOW}40% bonus for long distance travel{}</v>
      </c>
      <c r="CN264" s="1" t="str">
        <f aca="false">_xlfn.CONCAT(CI264,IF(CI264&lt;&gt;""," ",""),CJ264,IF(OR(CJ264&lt;&gt;"",CI264&lt;&gt;""),"{}",""),CH264,CM264,"{SILVER}",CK264,IF(CL264&lt;&gt;"","{}{}",""),CL264)</f>
        <v>{BLACK}Cars: {GOLD}5{}{BLACK}Length: {GOLD}3.8 tiles{}{YELLOW}40% bonus for long distance travel{}{SILVER}The Southern Railway's "Brighton Belle" used Pullman coaches and remained in use well into the BR era.</v>
      </c>
    </row>
    <row r="265" customFormat="false" ht="14.25" hidden="false" customHeight="false" outlineLevel="0" collapsed="false">
      <c r="A265" s="1" t="s">
        <v>915</v>
      </c>
      <c r="B265" s="15" t="s">
        <v>916</v>
      </c>
      <c r="C265" s="1" t="n">
        <v>226</v>
      </c>
      <c r="E265" s="1" t="n">
        <v>329</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1" t="s">
        <v>241</v>
      </c>
      <c r="J265" s="1" t="s">
        <v>466</v>
      </c>
      <c r="K265" s="1" t="s">
        <v>388</v>
      </c>
      <c r="L265" s="1" t="s">
        <v>541</v>
      </c>
      <c r="M265" s="1" t="n">
        <v>1937</v>
      </c>
      <c r="N265" s="1" t="n">
        <v>1938</v>
      </c>
      <c r="O265" s="1" t="n">
        <v>1972</v>
      </c>
      <c r="P265" s="1" t="n">
        <v>4</v>
      </c>
      <c r="Q265" s="1" t="n">
        <v>900</v>
      </c>
      <c r="Z265" s="1" t="n">
        <v>160.8</v>
      </c>
      <c r="AB265" s="1" t="n">
        <v>5</v>
      </c>
      <c r="AC265" s="1" t="n">
        <v>120</v>
      </c>
      <c r="AD265" s="4" t="n">
        <f aca="false">IF(AND(Z265&gt;0,AC265&gt;0),(AC265/((Z265+AA265)*10)),"")</f>
        <v>0.0746268656716418</v>
      </c>
      <c r="AE265" s="1" t="n">
        <v>75</v>
      </c>
      <c r="AF265" s="1" t="n">
        <f aca="false">ROUND(AE265*1.6, 0)</f>
        <v>120</v>
      </c>
      <c r="AH265" s="1" t="n">
        <v>20</v>
      </c>
      <c r="AI265" s="1" t="n">
        <v>20</v>
      </c>
      <c r="AL265" s="5" t="n">
        <v>57</v>
      </c>
      <c r="AM265" s="1" t="str">
        <f aca="false">CONCATENATE(VLOOKUP(AN265, 'Voxel Sizes'!$A$2:$B$18,2,FALSE()),"x",INT(AJ265*15), "x", INT(AK265*15))</f>
        <v>198x0x0</v>
      </c>
      <c r="AN265" s="1" t="n">
        <f aca="false">ROUND(15*((AI265*10)/256),0)</f>
        <v>12</v>
      </c>
      <c r="AP265" s="1" t="str">
        <f aca="false">CONCATENATE(VLOOKUP(AN265,Constants!$A$2:$C$16,IF(AO265&lt;&gt;"", 3, 2), FALSE()),IF(AO265&lt;&gt;"",CONCATENATE(",",VLOOKUP(AO265,$B:$AP,41,FALSE())),""))</f>
        <v>4,4,4</v>
      </c>
      <c r="AT265" s="1" t="s">
        <v>917</v>
      </c>
      <c r="AV265" s="1" t="s">
        <v>918</v>
      </c>
      <c r="AZ265" s="1" t="n">
        <v>36</v>
      </c>
      <c r="BA265" s="16" t="n">
        <f aca="false">IF(O265&lt;&gt;"",MAX(16,(O265-M265)+8),"")</f>
        <v>43</v>
      </c>
      <c r="BB265" s="1" t="n">
        <v>-10</v>
      </c>
      <c r="BC265" s="1" t="n">
        <v>-15</v>
      </c>
      <c r="BD265" s="1" t="n">
        <f aca="false">MIN(AE265/150, 1)*30</f>
        <v>15</v>
      </c>
      <c r="BE265" s="1" t="n">
        <f aca="false">MIN(Q265/4000, 1)*20</f>
        <v>4.5</v>
      </c>
      <c r="BF265" s="1" t="n">
        <f aca="false">MIN(AC265/400,1)*20</f>
        <v>6</v>
      </c>
      <c r="BG265" s="4" t="n">
        <f aca="false">1-(MAX(M265-1900, 0)/750)</f>
        <v>0.950666666666667</v>
      </c>
      <c r="BH265" s="1" t="n">
        <f aca="false">((MAX($P265,1)*MIN($AL265/300,1)))*IF(J265="Wagon",50,10)</f>
        <v>7.6</v>
      </c>
      <c r="BI265" s="1" t="n">
        <f aca="false">VLOOKUP($K265,Constants!$I:$K, 2, FALSE())</f>
        <v>0.85</v>
      </c>
      <c r="BJ265" s="1" t="n">
        <f aca="false">VLOOKUP($K265,Constants!$I:$K, 3, FALSE())*IF(AND(J265="multiple_unit",AE265&lt;110),0.75,1)</f>
        <v>1.725</v>
      </c>
      <c r="BK265" s="1" t="n">
        <f aca="false">INT(POWER(((Constants!$G$2+$BD265+$BE265+$BF265+$BH265)*$BG265)*$BJ265, 1.05))+$BC265</f>
        <v>61</v>
      </c>
      <c r="BL265" s="1" t="n">
        <f aca="false">INT(POWER((((Constants!$G$1+$BD265+$BE265+$BF265+$BH265)*($BG265))*$BI265),IF($J265="wagon",1,1.2)))+$BB265</f>
        <v>70</v>
      </c>
      <c r="BM265" s="17" t="n">
        <f aca="false">BK265*IF($J265="wagon",62.5,781.25)</f>
        <v>47656.25</v>
      </c>
      <c r="BN265" s="17" t="n">
        <f aca="false">BL265*IF($J265="wagon",2.73,81.25)</f>
        <v>5687.5</v>
      </c>
      <c r="BU265" s="1" t="str">
        <f aca="false">IF(J265="locomotive","B","")</f>
        <v/>
      </c>
      <c r="BV265" s="1" t="str">
        <f aca="false">IF($J265="locomotive","B","")</f>
        <v/>
      </c>
      <c r="BY265" s="1" t="n">
        <v>8</v>
      </c>
      <c r="BZ265" s="1" t="n">
        <v>185</v>
      </c>
      <c r="CC265" s="1" t="s">
        <v>367</v>
      </c>
      <c r="CD265" s="1" t="str">
        <f aca="false">VLOOKUP(M265,Eras!$A$2:$C$10, 2, TRUE())</f>
        <v>big4</v>
      </c>
      <c r="CE265" s="1" t="s">
        <v>858</v>
      </c>
      <c r="CF265" s="1" t="str">
        <f aca="false">CONCATENATE(CD265,"_",CE265)</f>
        <v>big4_EMU</v>
      </c>
      <c r="CG265" s="1" t="str">
        <f aca="false">_xlfn.CONCAT(K265, "_",L265)</f>
        <v>electric_THIRD_RAIL</v>
      </c>
      <c r="CH265" s="7" t="str">
        <f aca="false">_xlfn.CONCAT("{BLACK}Length: {GOLD}", TEXT(ROUNDUP(IF(AS265&lt;&gt;"",SUM(VALUE(_xlfn.TEXTSPLIT(AS265, ","))), SUM(VALUE(_xlfn.TEXTSPLIT(AP265, ",")))*IF(P265, P265, 1))/16, 1), "#,##0.0"), " tiles{}")</f>
        <v>{BLACK}Length: {GOLD}3.0 tiles{}</v>
      </c>
      <c r="CI265" s="1" t="str">
        <f aca="false">IF(0, VLOOKUP($CG265, Constants!$M:$N, 2, FALSE()),"")</f>
        <v/>
      </c>
      <c r="CJ265" s="1" t="str">
        <f aca="false">IF(P265&gt;1,_xlfn.CONCAT("{BLACK}Cars: {GOLD}", P265),"")</f>
        <v>{BLACK}Cars: {GOLD}4</v>
      </c>
      <c r="CK265" s="1" t="s">
        <v>919</v>
      </c>
      <c r="CL265" s="1" t="str">
        <f aca="false">IF($BX265="concept_trains","{GREEN}Concept Vehicle",IF($BX265="!param_no_gameplay_units","{GREEN}Included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Southern Railway was an early pioneer of electrification, with 4-COR units used between London Waterloo and Portsmouth.</v>
      </c>
    </row>
    <row r="266" customFormat="false" ht="14.25" hidden="false" customHeight="false" outlineLevel="0" collapsed="false">
      <c r="A266" s="1" t="s">
        <v>920</v>
      </c>
      <c r="B266" s="15" t="s">
        <v>921</v>
      </c>
      <c r="C266" s="1" t="n">
        <v>227</v>
      </c>
      <c r="E266" s="1" t="n">
        <v>330</v>
      </c>
      <c r="F266" s="1" t="s">
        <v>171</v>
      </c>
      <c r="G266" s="1" t="str">
        <f aca="false">IF($F266&lt;&gt;"",_xlfn.CONCAT(VLOOKUP($CE266, Constants!$T:$U, 2, FALSE()),",",$F266),VLOOKUP($CE266, Constants!$T:$U, 2, FALSE()))</f>
        <v>role/passenger,_ww_livery/brblue</v>
      </c>
      <c r="H266" s="1" t="str">
        <f aca="false">IF($G266&lt;&gt;"",_xlfn.CONCAT(VLOOKUP($CG266, Constants!$M:$P, 4, FALSE()),",",$G266),VLOOKUP($CG266, Constants!$M:$P, 4, FALSE()))</f>
        <v>flag/GB,power/electric,role/passenger,_ww_livery/brblue</v>
      </c>
      <c r="I266" s="1" t="s">
        <v>241</v>
      </c>
      <c r="J266" s="1" t="s">
        <v>466</v>
      </c>
      <c r="K266" s="1" t="s">
        <v>388</v>
      </c>
      <c r="L266" s="1" t="s">
        <v>541</v>
      </c>
      <c r="M266" s="1" t="n">
        <v>1938</v>
      </c>
      <c r="N266" s="1" t="n">
        <v>1939</v>
      </c>
      <c r="O266" s="1" t="n">
        <v>1971</v>
      </c>
      <c r="P266" s="1" t="n">
        <v>2</v>
      </c>
      <c r="Q266" s="1" t="n">
        <v>550</v>
      </c>
      <c r="Z266" s="1" t="n">
        <v>77</v>
      </c>
      <c r="AB266" s="1" t="n">
        <v>5</v>
      </c>
      <c r="AC266" s="1" t="n">
        <v>120</v>
      </c>
      <c r="AD266" s="4" t="n">
        <f aca="false">IF(AND(Z266&gt;0,AC266&gt;0),(AC266/((Z266+AA266)*10)),"")</f>
        <v>0.155844155844156</v>
      </c>
      <c r="AE266" s="1" t="n">
        <v>75</v>
      </c>
      <c r="AF266" s="1" t="n">
        <f aca="false">ROUND(AE266*1.6, 0)</f>
        <v>120</v>
      </c>
      <c r="AH266" s="1" t="n">
        <v>20</v>
      </c>
      <c r="AI266" s="1" t="n">
        <v>20</v>
      </c>
      <c r="AL266" s="5" t="n">
        <f aca="false">(24+102)/2</f>
        <v>63</v>
      </c>
      <c r="AM266" s="1" t="str">
        <f aca="false">CONCATENATE(VLOOKUP(AN266, 'Voxel Sizes'!$A$2:$B$18,2,FALSE()),"x",INT(AJ266*15), "x", INT(AK266*15))</f>
        <v>198x0x0</v>
      </c>
      <c r="AN266" s="1" t="n">
        <f aca="false">ROUND(15*((AI266*10)/256),0)</f>
        <v>12</v>
      </c>
      <c r="AP266" s="1" t="str">
        <f aca="false">CONCATENATE(VLOOKUP(AN266,Constants!$A$2:$C$16,IF(AO266&lt;&gt;"", 3, 2), FALSE()),IF(AO266&lt;&gt;"",CONCATENATE(",",VLOOKUP(AO266,$B:$AP,41,FALSE())),""))</f>
        <v>4,4,4</v>
      </c>
      <c r="AT266" s="1" t="s">
        <v>922</v>
      </c>
      <c r="AV266" s="1" t="s">
        <v>815</v>
      </c>
      <c r="AZ266" s="1" t="n">
        <v>36</v>
      </c>
      <c r="BA266" s="16" t="n">
        <f aca="false">IF(O266&lt;&gt;"",MAX(16,(O266-M266)+8),"")</f>
        <v>41</v>
      </c>
      <c r="BB266" s="1" t="n">
        <v>-10</v>
      </c>
      <c r="BC266" s="1" t="n">
        <v>-15</v>
      </c>
      <c r="BD266" s="1" t="n">
        <f aca="false">MIN(AE266/150, 1)*30</f>
        <v>15</v>
      </c>
      <c r="BE266" s="1" t="n">
        <f aca="false">MIN(Q266/4000, 1)*20</f>
        <v>2.75</v>
      </c>
      <c r="BF266" s="1" t="n">
        <f aca="false">MIN(AC266/400,1)*20</f>
        <v>6</v>
      </c>
      <c r="BG266" s="4" t="n">
        <f aca="false">1-(MAX(M266-1900, 0)/750)</f>
        <v>0.949333333333333</v>
      </c>
      <c r="BH266" s="1" t="n">
        <f aca="false">((MAX($P266,1)*MIN($AL266/300,1)))*IF(J266="Wagon",50,10)</f>
        <v>4.2</v>
      </c>
      <c r="BI266" s="1" t="n">
        <f aca="false">VLOOKUP($K266,Constants!$I:$K, 2, FALSE())</f>
        <v>0.85</v>
      </c>
      <c r="BJ266" s="1" t="n">
        <f aca="false">VLOOKUP($K266,Constants!$I:$K, 3, FALSE())*IF(AND(J266="multiple_unit",AE266&lt;110),0.75,1)</f>
        <v>1.725</v>
      </c>
      <c r="BK266" s="1" t="n">
        <f aca="false">INT(POWER(((Constants!$G$2+$BD266+$BE266+$BF266+$BH266)*$BG266)*$BJ266, 1.05))+$BC266</f>
        <v>50</v>
      </c>
      <c r="BL266" s="1" t="n">
        <f aca="false">INT(POWER((((Constants!$G$1+$BD266+$BE266+$BF266+$BH266)*($BG266))*$BI266),IF($J266="wagon",1,1.2)))+$BB266</f>
        <v>60</v>
      </c>
      <c r="BM266" s="17" t="n">
        <f aca="false">BK266*IF($J266="wagon",62.5,781.25)</f>
        <v>39062.5</v>
      </c>
      <c r="BN266" s="17" t="n">
        <f aca="false">BL266*IF($J266="wagon",2.73,81.25)</f>
        <v>4875</v>
      </c>
      <c r="BU266" s="1" t="str">
        <f aca="false">IF(J266="locomotive","B","")</f>
        <v/>
      </c>
      <c r="BV266" s="1" t="str">
        <f aca="false">IF($J266="locomotive","B","")</f>
        <v/>
      </c>
      <c r="BY266" s="1" t="n">
        <v>9</v>
      </c>
      <c r="BZ266" s="1" t="n">
        <v>185</v>
      </c>
      <c r="CC266" s="1" t="s">
        <v>367</v>
      </c>
      <c r="CD266" s="1" t="str">
        <f aca="false">VLOOKUP(M266,Eras!$A$2:$C$10, 2, TRUE())</f>
        <v>big4</v>
      </c>
      <c r="CE266" s="1" t="s">
        <v>858</v>
      </c>
      <c r="CF266" s="1" t="str">
        <f aca="false">CONCATENATE(CD266,"_",CE266)</f>
        <v>big4_EMU</v>
      </c>
      <c r="CG266" s="1" t="str">
        <f aca="false">_xlfn.CONCAT(K266, "_",L266)</f>
        <v>electric_THIRD_RAIL</v>
      </c>
      <c r="CH266" s="7" t="str">
        <f aca="false">_xlfn.CONCAT("{BLACK}Length: {GOLD}", TEXT(ROUNDUP(IF(AS266&lt;&gt;"",SUM(VALUE(_xlfn.TEXTSPLIT(AS266, ","))), SUM(VALUE(_xlfn.TEXTSPLIT(AP266, ",")))*IF(P266, P266, 1))/16, 1), "#,##0.0"), " tiles{}")</f>
        <v>{BLACK}Length: {GOLD}1.5 tiles{}</v>
      </c>
      <c r="CI266" s="1" t="str">
        <f aca="false">IF(0, VLOOKUP($CG266, Constants!$M:$N, 2, FALSE()),"")</f>
        <v/>
      </c>
      <c r="CJ266" s="1" t="str">
        <f aca="false">IF(P266&gt;1,_xlfn.CONCAT("{BLACK}Cars: {GOLD}", P266),"")</f>
        <v>{BLACK}Cars: {GOLD}2</v>
      </c>
      <c r="CK266" s="1" t="s">
        <v>923</v>
      </c>
      <c r="CL266" s="1" t="str">
        <f aca="false">IF($BX266="concept_trains","{GREEN}Concept Vehicle",IF($BX266="!param_no_gameplay_units","{GREEN}Included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{GOLD}2{}{BLACK}Length: {GOLD}1.5 tiles{}{SILVER}The 2-HAL (named for 2 units, Half Lavatory) is designed for suburban commuter services.</v>
      </c>
    </row>
    <row r="267" customFormat="false" ht="14.25" hidden="false" customHeight="false" outlineLevel="0" collapsed="false">
      <c r="A267" s="1" t="s">
        <v>924</v>
      </c>
      <c r="B267" s="19" t="s">
        <v>925</v>
      </c>
      <c r="C267" s="1" t="n">
        <v>1051</v>
      </c>
      <c r="E267" s="1" t="n">
        <v>331</v>
      </c>
      <c r="F267" s="1" t="s">
        <v>171</v>
      </c>
      <c r="G267" s="1" t="str">
        <f aca="false">IF($F267&lt;&gt;"",_xlfn.CONCAT(VLOOKUP($CE267, Constants!$T:$U, 2, FALSE()),",",$F267),VLOOKUP($CE267, Constants!$T:$U, 2, FALSE()))</f>
        <v>role/passenger,_ww_livery/brblue</v>
      </c>
      <c r="H267" s="1" t="str">
        <f aca="false">IF($G267&lt;&gt;"",_xlfn.CONCAT(VLOOKUP($CG267, Constants!$M:$P, 4, FALSE()),",",$G267),VLOOKUP($CG267, Constants!$M:$P, 4, FALSE()))</f>
        <v>flag/GB,power/electric,role/passenger,_ww_livery/brblue</v>
      </c>
      <c r="I267" s="1" t="s">
        <v>241</v>
      </c>
      <c r="J267" s="1" t="s">
        <v>466</v>
      </c>
      <c r="K267" s="1" t="s">
        <v>388</v>
      </c>
      <c r="L267" s="1" t="s">
        <v>541</v>
      </c>
      <c r="M267" s="1" t="n">
        <v>1949</v>
      </c>
      <c r="O267" s="1" t="n">
        <v>1971</v>
      </c>
      <c r="P267" s="1" t="n">
        <v>4</v>
      </c>
      <c r="Q267" s="1" t="n">
        <v>900</v>
      </c>
      <c r="Z267" s="1" t="n">
        <v>135</v>
      </c>
      <c r="AB267" s="1" t="n">
        <v>3</v>
      </c>
      <c r="AC267" s="1" t="n">
        <v>120</v>
      </c>
      <c r="AD267" s="4" t="n">
        <f aca="false">IF(AND(Z267&gt;0,AC267&gt;0),(AC267/((Z267+AA267)*10)),"")</f>
        <v>0.0888888888888889</v>
      </c>
      <c r="AE267" s="1" t="n">
        <v>75</v>
      </c>
      <c r="AF267" s="1" t="n">
        <f aca="false">ROUND(AE267*1.6, 0)</f>
        <v>120</v>
      </c>
      <c r="AH267" s="1" t="n">
        <v>19.6</v>
      </c>
      <c r="AI267" s="1" t="n">
        <v>19.6</v>
      </c>
      <c r="AJ267" s="1" t="n">
        <v>2.82</v>
      </c>
      <c r="AL267" s="5" t="n">
        <v>69</v>
      </c>
      <c r="AM267" s="1" t="str">
        <f aca="false">CONCATENATE(VLOOKUP(AN267, 'Voxel Sizes'!$A$2:$B$18,2,FALSE()),"x",INT(AJ267*15), "x", INT(AK267*15))</f>
        <v>186x42x0</v>
      </c>
      <c r="AN267" s="16" t="n">
        <f aca="false">ROUND(15*((AI267*10)/256),0)</f>
        <v>11</v>
      </c>
      <c r="AP267" s="1" t="str">
        <f aca="false">CONCATENATE(VLOOKUP(AN267,Constants!$A$2:$C$16,IF(AO267&lt;&gt;"", 3, 2), FALSE()),IF(AO267&lt;&gt;"",CONCATENATE(",",VLOOKUP(AO267,$B:$AP,41,FALSE())),""))</f>
        <v>4,3,4</v>
      </c>
      <c r="AT267" s="1" t="s">
        <v>926</v>
      </c>
      <c r="AV267" s="1" t="s">
        <v>918</v>
      </c>
      <c r="AZ267" s="1" t="n">
        <v>23</v>
      </c>
      <c r="BA267" s="16" t="n">
        <f aca="false">IF(O267&lt;&gt;"",MAX(16,(O267-M267)+8),"")</f>
        <v>30</v>
      </c>
      <c r="BB267" s="1" t="n">
        <v>-10</v>
      </c>
      <c r="BC267" s="1" t="n">
        <v>-15</v>
      </c>
      <c r="BD267" s="20" t="n">
        <f aca="false">MIN(AE267/150, 1)*30</f>
        <v>15</v>
      </c>
      <c r="BE267" s="20" t="n">
        <f aca="false">MIN(Q267/4000, 1)*20</f>
        <v>4.5</v>
      </c>
      <c r="BF267" s="20" t="n">
        <f aca="false">MIN(AC267/400,1)*20</f>
        <v>6</v>
      </c>
      <c r="BG267" s="21" t="n">
        <f aca="false">1-(MAX(M267-1900, 0)/750)</f>
        <v>0.934666666666667</v>
      </c>
      <c r="BH267" s="20" t="n">
        <f aca="false">((MAX($P267,1)*MIN($AL267/300,1)))*IF(J267="Wagon",50,10)</f>
        <v>9.2</v>
      </c>
      <c r="BI267" s="1" t="n">
        <f aca="false">VLOOKUP($K267,Constants!$I:$K, 2, FALSE())</f>
        <v>0.85</v>
      </c>
      <c r="BJ267" s="1" t="n">
        <f aca="false">VLOOKUP($K267,Constants!$I:$K, 3, FALSE())*IF(AND(J267="multiple_unit",AE267&lt;110),0.75,1)</f>
        <v>1.725</v>
      </c>
      <c r="BK267" s="1" t="n">
        <f aca="false">INT(POWER(((Constants!$G$2+$BD267+$BE267+$BF267+$BH267)*$BG267)*$BJ267, 1.05))+$BC267</f>
        <v>63</v>
      </c>
      <c r="BL267" s="1" t="n">
        <f aca="false">INT(POWER((((Constants!$G$1+$BD267+$BE267+$BF267+$BH267)*($BG267))*$BI267),IF($J267="wagon",1,1.2)))+$BB267</f>
        <v>72</v>
      </c>
      <c r="BM267" s="22" t="n">
        <f aca="false">BK267*IF($J267="wagon",62.5,781.25)</f>
        <v>49218.75</v>
      </c>
      <c r="BN267" s="22" t="n">
        <f aca="false">BL267*IF($J267="wagon",2.73,81.25)</f>
        <v>5850</v>
      </c>
      <c r="BU267" s="1" t="str">
        <f aca="false">IF(J267="locomotive","B","")</f>
        <v/>
      </c>
      <c r="BV267" s="1" t="str">
        <f aca="false">IF($J267="locomotive","B","")</f>
        <v/>
      </c>
      <c r="BY267" s="1" t="n">
        <v>8</v>
      </c>
      <c r="BZ267" s="1" t="n">
        <v>165</v>
      </c>
      <c r="CB267" s="1" t="s">
        <v>366</v>
      </c>
      <c r="CC267" s="1" t="s">
        <v>367</v>
      </c>
      <c r="CD267" s="23" t="s">
        <v>580</v>
      </c>
      <c r="CE267" s="1" t="s">
        <v>824</v>
      </c>
      <c r="CF267" s="23" t="str">
        <f aca="false">CONCATENATE(CD267,"_",CE267)</f>
        <v>ebr_DMU</v>
      </c>
      <c r="CG267" s="23" t="str">
        <f aca="false">_xlfn.CONCAT(K267, "_",L267)</f>
        <v>electric_THIRD_RAIL</v>
      </c>
      <c r="CH267" s="7" t="str">
        <f aca="false">_xlfn.CONCAT("{BLACK}Length: {GOLD}", TEXT(ROUNDUP(IF(AS267&lt;&gt;"",SUM(VALUE(_xlfn.TEXTSPLIT(AS267, ","))), SUM(VALUE(_xlfn.TEXTSPLIT(AP267, ",")))*IF(P267, P267, 1))/16, 1), "#,##0.0"), " tiles{}")</f>
        <v>{BLACK}Length: {GOLD}2.8 tiles{}</v>
      </c>
      <c r="CI267" s="1" t="str">
        <f aca="false">IF(0, VLOOKUP($CG267, Constants!$M:$N, 2, FALSE()),"")</f>
        <v/>
      </c>
      <c r="CJ267" s="1" t="str">
        <f aca="false">IF(P267&gt;1,_xlfn.CONCAT("{BLACK}Cars: {GOLD}", P267),"")</f>
        <v>{BLACK}Cars: {GOLD}4</v>
      </c>
      <c r="CK267" s="1" t="s">
        <v>927</v>
      </c>
      <c r="CL267" s="1" t="str">
        <f aca="false">IF($BX267="concept_trains","{GREEN}Concept Vehicle",IF($BX267="!param_no_gameplay_units","{GREEN}Included for gameplay purposes",""))</f>
        <v/>
      </c>
      <c r="CM267" s="1" t="str">
        <f aca="false">IF(CA267="buffet","{YELLOW}25% long distance bonus for consist{}",IF(CB267="DANDY","{YELLOW}Faster downhill speeds for horse-drawn trains (1 required per 2 horses){}",IF(CB267="BRAKE","{YELLOW}Speed bonus for slow wagons{}",IF(CB267="NGPassengers","{YELLOW}Preserved railway bonus: passengers pay more when hauled by old locomotives{}",IF(AND(BZ267&gt;190,NOT(AND(L267="NARROW_GAUGE",CB267&lt;&gt;"PASS"))),CONCATENATE("{YELLOW}",INT((BZ267-185)/1.85),"% bonus for long distance travel{}"),IF(AND(BZ267&lt;180,BZ267&lt;&gt;0),CONCATENATE("{YELLOW}",INT((185-BZ267)/1.85),"% penalty for long distance travel{}"),""))))))</f>
        <v>{YELLOW}10% penalty for long distance travel{}</v>
      </c>
      <c r="CN267" s="1" t="str">
        <f aca="false">_xlfn.CONCAT(CI267,IF(CI267&lt;&gt;""," ",""),CJ267,IF(OR(CJ267&lt;&gt;"",CI267&lt;&gt;""),"{}",""),CH267,CM267,"{SILVER}",CK267,IF(CL267&lt;&gt;"","{}{}",""),CL267)</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68" customFormat="false" ht="14.25" hidden="false" customHeight="false" outlineLevel="0" collapsed="false">
      <c r="A268" s="1" t="s">
        <v>928</v>
      </c>
      <c r="B268" s="15" t="s">
        <v>929</v>
      </c>
      <c r="C268" s="1" t="n">
        <v>228</v>
      </c>
      <c r="E268" s="1" t="n">
        <v>332</v>
      </c>
      <c r="F268" s="1" t="s">
        <v>174</v>
      </c>
      <c r="G268" s="1" t="str">
        <f aca="false">IF($F268&lt;&gt;"",_xlfn.CONCAT(VLOOKUP($CE268, Constants!$T:$U, 2, FALSE()),",",$F268),VLOOKUP($CE268, Constants!$T:$U, 2, FALSE()))</f>
        <v>role/passenger,_ww_livery/brbluegrey</v>
      </c>
      <c r="H268" s="1" t="str">
        <f aca="false">IF($G268&lt;&gt;"",_xlfn.CONCAT(VLOOKUP($CG268, Constants!$M:$P, 4, FALSE()),",",$G268),VLOOKUP($CG268, Constants!$M:$P, 4, FALSE()))</f>
        <v>flag/GB,power/electric,role/passenger,_ww_livery/brbluegrey</v>
      </c>
      <c r="I268" s="1" t="s">
        <v>241</v>
      </c>
      <c r="J268" s="1" t="s">
        <v>466</v>
      </c>
      <c r="K268" s="1" t="s">
        <v>388</v>
      </c>
      <c r="L268" s="1" t="s">
        <v>389</v>
      </c>
      <c r="M268" s="1" t="n">
        <v>1954</v>
      </c>
      <c r="O268" s="1" t="n">
        <v>1984</v>
      </c>
      <c r="P268" s="1" t="n">
        <v>3</v>
      </c>
      <c r="Q268" s="1" t="n">
        <v>740</v>
      </c>
      <c r="Z268" s="1" t="n">
        <f aca="false">51.4+26.8+27.9</f>
        <v>106.1</v>
      </c>
      <c r="AB268" s="1" t="n">
        <v>5</v>
      </c>
      <c r="AC268" s="1" t="n">
        <v>110</v>
      </c>
      <c r="AD268" s="4" t="n">
        <f aca="false">IF(AND(Z268&gt;0,AC268&gt;0),(AC268/((Z268+AA268)*10)),"")</f>
        <v>0.103675777568332</v>
      </c>
      <c r="AE268" s="1" t="n">
        <v>75</v>
      </c>
      <c r="AF268" s="1" t="n">
        <f aca="false">ROUND(AE268*1.6, 0)</f>
        <v>120</v>
      </c>
      <c r="AH268" s="1" t="n">
        <v>18.1</v>
      </c>
      <c r="AI268" s="1" t="n">
        <v>18.1</v>
      </c>
      <c r="AJ268" s="1" t="n">
        <v>2.82</v>
      </c>
      <c r="AK268" s="1" t="n">
        <v>3.87</v>
      </c>
      <c r="AL268" s="5" t="n">
        <v>57</v>
      </c>
      <c r="AM268" s="1" t="str">
        <f aca="false">CONCATENATE(VLOOKUP(AN268, 'Voxel Sizes'!$A$2:$B$18,2,FALSE()),"x",INT(AJ268*15), "x", INT(AK268*15))</f>
        <v>186x42x58</v>
      </c>
      <c r="AN268" s="1" t="n">
        <f aca="false">ROUND(15*((AI268*10)/256),0)</f>
        <v>11</v>
      </c>
      <c r="AP268" s="1" t="str">
        <f aca="false">CONCATENATE(VLOOKUP(AN268,Constants!$A$2:$C$16,IF(AO268&lt;&gt;"", 3, 2), FALSE()),IF(AO268&lt;&gt;"",CONCATENATE(",",VLOOKUP(AO268,$B:$AP,41,FALSE())),""))</f>
        <v>4,3,4</v>
      </c>
      <c r="AT268" s="1" t="s">
        <v>930</v>
      </c>
      <c r="AV268" s="1" t="s">
        <v>468</v>
      </c>
      <c r="AZ268" s="1" t="n">
        <v>35</v>
      </c>
      <c r="BA268" s="16" t="n">
        <f aca="false">IF(O268&lt;&gt;"",MAX(16,(O268-M268)+8),"")</f>
        <v>38</v>
      </c>
      <c r="BB268" s="1" t="n">
        <v>-10</v>
      </c>
      <c r="BC268" s="1" t="n">
        <v>-15</v>
      </c>
      <c r="BD268" s="1" t="n">
        <f aca="false">MIN(AE268/150, 1)*30</f>
        <v>15</v>
      </c>
      <c r="BE268" s="1" t="n">
        <f aca="false">MIN(Q268/4000, 1)*20</f>
        <v>3.7</v>
      </c>
      <c r="BF268" s="1" t="n">
        <f aca="false">MIN(AC268/400,1)*20</f>
        <v>5.5</v>
      </c>
      <c r="BG268" s="4" t="n">
        <f aca="false">1-(MAX(M268-1900, 0)/750)</f>
        <v>0.928</v>
      </c>
      <c r="BH268" s="1" t="n">
        <f aca="false">((MAX($P268,1)*MIN($AL268/300,1)))*IF(J268="Wagon",50,10)</f>
        <v>5.7</v>
      </c>
      <c r="BI268" s="1" t="n">
        <f aca="false">VLOOKUP($K268,Constants!$I:$K, 2, FALSE())</f>
        <v>0.85</v>
      </c>
      <c r="BJ268" s="1" t="n">
        <f aca="false">VLOOKUP($K268,Constants!$I:$K, 3, FALSE())*IF(AND(J268="multiple_unit",AE268&lt;110),0.75,1)</f>
        <v>1.725</v>
      </c>
      <c r="BK268" s="1" t="n">
        <f aca="false">INT(POWER(((Constants!$G$2+$BD268+$BE268+$BF268+$BH268)*$BG268)*$BJ268, 1.05))+$BC268</f>
        <v>53</v>
      </c>
      <c r="BL268" s="1" t="n">
        <f aca="false">INT(POWER((((Constants!$G$1+$BD268+$BE268+$BF268+$BH268)*($BG268))*$BI268),IF($J268="wagon",1,1.2)))+$BB268</f>
        <v>62</v>
      </c>
      <c r="BM268" s="17" t="n">
        <f aca="false">BK268*IF($J268="wagon",62.5,781.25)</f>
        <v>41406.25</v>
      </c>
      <c r="BN268" s="17" t="n">
        <f aca="false">BL268*IF($J268="wagon",2.73,81.25)</f>
        <v>5037.5</v>
      </c>
      <c r="BU268" s="1" t="str">
        <f aca="false">IF(J268="locomotive","B","")</f>
        <v/>
      </c>
      <c r="BV268" s="1" t="str">
        <f aca="false">IF($J268="locomotive","B","")</f>
        <v/>
      </c>
      <c r="BY268" s="1" t="n">
        <v>10</v>
      </c>
      <c r="BZ268" s="1" t="n">
        <v>185</v>
      </c>
      <c r="CC268" s="1" t="s">
        <v>367</v>
      </c>
      <c r="CD268" s="1" t="str">
        <f aca="false">VLOOKUP(M268,Eras!$A$2:$C$10, 2, TRUE())</f>
        <v>ebr</v>
      </c>
      <c r="CE268" s="1" t="s">
        <v>858</v>
      </c>
      <c r="CF268" s="1" t="str">
        <f aca="false">CONCATENATE(CD268,"_",CE268)</f>
        <v>ebr_EMU</v>
      </c>
      <c r="CG268" s="1" t="str">
        <f aca="false">_xlfn.CONCAT(K268, "_",L268)</f>
        <v>electric_ELRL</v>
      </c>
      <c r="CH268" s="7" t="str">
        <f aca="false">_xlfn.CONCAT("{BLACK}Length: {GOLD}", TEXT(ROUNDUP(IF(AS268&lt;&gt;"",SUM(VALUE(_xlfn.TEXTSPLIT(AS268, ","))), SUM(VALUE(_xlfn.TEXTSPLIT(AP268, ",")))*IF(P268, P268, 1))/16, 1), "#,##0.0"), " tiles{}")</f>
        <v>{BLACK}Length: {GOLD}2.1 tiles{}</v>
      </c>
      <c r="CI268" s="1" t="str">
        <f aca="false">IF(0, VLOOKUP($CG268, Constants!$M:$N, 2, FALSE()),"")</f>
        <v/>
      </c>
      <c r="CJ268" s="1" t="str">
        <f aca="false">IF(P268&gt;1,_xlfn.CONCAT("{BLACK}Cars: {GOLD}", P268),"")</f>
        <v>{BLACK}Cars: {GOLD}3</v>
      </c>
      <c r="CK268" s="1" t="s">
        <v>931</v>
      </c>
      <c r="CL268" s="1" t="str">
        <f aca="false">IF($BX268="concept_trains","{GREEN}Concept Vehicle",IF($BX268="!param_no_gameplay_units","{GREEN}Included for gameplay purposes",""))</f>
        <v/>
      </c>
      <c r="CM268" s="1" t="str">
        <f aca="false">IF(CA268="buffet","{YELLOW}25% long distance bonus for consist{}",IF(CC268="BRAKE","{YELLOW}Speed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{GOLD}3{}{BLACK}Length: {GOLD}2.1 tiles{}{SILVER}The Class 506 was built by Metro Cammell and BRCW for the Woodhead Line.</v>
      </c>
    </row>
    <row r="269" customFormat="false" ht="14.25" hidden="false" customHeight="false" outlineLevel="0" collapsed="false">
      <c r="A269" s="1" t="s">
        <v>932</v>
      </c>
      <c r="B269" s="19" t="s">
        <v>933</v>
      </c>
      <c r="C269" s="1" t="n">
        <v>1049</v>
      </c>
      <c r="E269" s="1" t="n">
        <v>333</v>
      </c>
      <c r="F269" s="1" t="s">
        <v>174</v>
      </c>
      <c r="G269" s="1" t="str">
        <f aca="false">IF($F269&lt;&gt;"",_xlfn.CONCAT(VLOOKUP($CE269, Constants!$T:$U, 2, FALSE()),",",$F269),VLOOKUP($CE269, Constants!$T:$U, 2, FALSE()))</f>
        <v>role/passenger,_ww_livery/brbluegrey</v>
      </c>
      <c r="H269" s="1" t="str">
        <f aca="false">IF($G269&lt;&gt;"",_xlfn.CONCAT(VLOOKUP($CG269, Constants!$M:$P, 4, FALSE()),",",$G269),VLOOKUP($CG269, Constants!$M:$P, 4, FALSE()))</f>
        <v>flag/GB,power/diesel,role/passenger,_ww_livery/brbluegrey</v>
      </c>
      <c r="I269" s="1" t="s">
        <v>241</v>
      </c>
      <c r="J269" s="1" t="s">
        <v>466</v>
      </c>
      <c r="K269" s="1" t="s">
        <v>525</v>
      </c>
      <c r="L269" s="1" t="s">
        <v>192</v>
      </c>
      <c r="M269" s="1" t="n">
        <v>1956</v>
      </c>
      <c r="N269" s="1" t="n">
        <v>1959</v>
      </c>
      <c r="O269" s="1" t="n">
        <v>1988</v>
      </c>
      <c r="P269" s="1" t="n">
        <v>2</v>
      </c>
      <c r="Q269" s="1" t="n">
        <v>300</v>
      </c>
      <c r="Z269" s="1" t="n">
        <f aca="false">30.5*2</f>
        <v>61</v>
      </c>
      <c r="AB269" s="1" t="n">
        <v>5</v>
      </c>
      <c r="AC269" s="1" t="n">
        <v>65</v>
      </c>
      <c r="AD269" s="4" t="n">
        <f aca="false">IF(AND(Z269&gt;0,AC269&gt;0),(AC269/((Z269+AA269)*10)),"")</f>
        <v>0.10655737704918</v>
      </c>
      <c r="AE269" s="1" t="n">
        <v>70</v>
      </c>
      <c r="AF269" s="1" t="n">
        <f aca="false">ROUND(AE269*1.6, 0)</f>
        <v>112</v>
      </c>
      <c r="AH269" s="1" t="n">
        <v>17.53</v>
      </c>
      <c r="AI269" s="1" t="n">
        <v>17.53</v>
      </c>
      <c r="AK269" s="1" t="n">
        <v>3.84</v>
      </c>
      <c r="AL269" s="5" t="n">
        <v>54</v>
      </c>
      <c r="AM269" s="1" t="str">
        <f aca="false">CONCATENATE(VLOOKUP(AN269, 'Voxel Sizes'!$A$2:$B$18,2,FALSE()),"x",INT(AJ269*15), "x", INT(AK269*15))</f>
        <v>164x0x57</v>
      </c>
      <c r="AN269" s="16" t="n">
        <f aca="false">ROUND(15*((AI269*10)/256),0)</f>
        <v>10</v>
      </c>
      <c r="AP269" s="1" t="str">
        <f aca="false">CONCATENATE(VLOOKUP(AN269,Constants!$A$2:$C$16,IF(AO269&lt;&gt;"", 3, 2), FALSE()),IF(AO269&lt;&gt;"",CONCATENATE(",",VLOOKUP(AO269,$B:$AP,41,FALSE())),""))</f>
        <v>4,2,4</v>
      </c>
      <c r="AT269" s="1" t="s">
        <v>934</v>
      </c>
      <c r="AV269" s="1" t="s">
        <v>815</v>
      </c>
      <c r="AZ269" s="1" t="n">
        <v>45</v>
      </c>
      <c r="BA269" s="16" t="n">
        <v>45</v>
      </c>
      <c r="BB269" s="1" t="n">
        <v>-13</v>
      </c>
      <c r="BC269" s="1" t="n">
        <v>-22</v>
      </c>
      <c r="BD269" s="20" t="n">
        <f aca="false">MIN(AE269/150, 1)*30</f>
        <v>14</v>
      </c>
      <c r="BE269" s="20" t="n">
        <f aca="false">MIN(Q269/4000, 1)*20</f>
        <v>1.5</v>
      </c>
      <c r="BF269" s="20" t="n">
        <f aca="false">MIN(AC269/400,1)*20</f>
        <v>3.25</v>
      </c>
      <c r="BG269" s="21" t="n">
        <f aca="false">1-(MAX(M269-1900, 0)/750)</f>
        <v>0.925333333333333</v>
      </c>
      <c r="BH269" s="20" t="n">
        <f aca="false">((MAX($P269,1)*MIN($AL269/300,1)))*IF(J269="Wagon",50,10)</f>
        <v>3.6</v>
      </c>
      <c r="BI269" s="1" t="n">
        <f aca="false">VLOOKUP($K269,Constants!$I:$K, 2, FALSE())</f>
        <v>1</v>
      </c>
      <c r="BJ269" s="1" t="n">
        <f aca="false">VLOOKUP($K269,Constants!$I:$K, 3, FALSE())*IF(AND(J269="multiple_unit",AE269&lt;110),0.75,1)</f>
        <v>1.5</v>
      </c>
      <c r="BK269" s="1" t="n">
        <f aca="false">INT(POWER(((Constants!$G$2+$BD269+$BE269+$BF269+$BH269)*$BG269)*$BJ269, 1.05))+$BC269</f>
        <v>23</v>
      </c>
      <c r="BL269" s="1" t="n">
        <f aca="false">INT(POWER((((Constants!$G$1+$BD269+$BE269+$BF269+$BH269)*($BG269))*$BI269),IF($J269="wagon",1,1.2)))+$BB269</f>
        <v>57</v>
      </c>
      <c r="BM269" s="22" t="n">
        <f aca="false">BK269*IF($J269="wagon",62.5,781.25)</f>
        <v>17968.75</v>
      </c>
      <c r="BN269" s="22" t="n">
        <f aca="false">BL269*IF($J269="wagon",2.73,81.25)</f>
        <v>4631.25</v>
      </c>
      <c r="BT26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69" s="1" t="str">
        <f aca="false">IF(J269="locomotive","B","")</f>
        <v/>
      </c>
      <c r="BV269" s="1" t="str">
        <f aca="false">IF($J269="locomotive","B","")</f>
        <v/>
      </c>
      <c r="BY269" s="1" t="n">
        <v>11</v>
      </c>
      <c r="BZ269" s="1" t="n">
        <v>185</v>
      </c>
      <c r="CB269" s="1" t="s">
        <v>366</v>
      </c>
      <c r="CC269" s="1" t="s">
        <v>367</v>
      </c>
      <c r="CD269" s="23" t="s">
        <v>611</v>
      </c>
      <c r="CE269" s="1" t="s">
        <v>824</v>
      </c>
      <c r="CF269" s="23" t="str">
        <f aca="false">CONCATENATE(CD269,"_",CE269)</f>
        <v>dsl_DMU</v>
      </c>
      <c r="CG269" s="23" t="str">
        <f aca="false">_xlfn.CONCAT(K269, "_",L269)</f>
        <v>diesel_RAIL</v>
      </c>
      <c r="CH269" s="7" t="str">
        <f aca="false">_xlfn.CONCAT("{BLACK}Length: {GOLD}", TEXT(ROUNDUP(IF(AS269&lt;&gt;"",SUM(VALUE(_xlfn.TEXTSPLIT(AS269, ","))), SUM(VALUE(_xlfn.TEXTSPLIT(AP269, ",")))*IF(P269, P269, 1))/16, 1), "#,##0.0"), " tiles{}")</f>
        <v>{BLACK}Length: {GOLD}1.3 tiles{}</v>
      </c>
      <c r="CI269" s="1" t="str">
        <f aca="false">IF(0, VLOOKUP($CG269, Constants!$M:$N, 2, FALSE()),"")</f>
        <v/>
      </c>
      <c r="CJ269" s="1" t="str">
        <f aca="false">IF(P269&gt;1,_xlfn.CONCAT("{BLACK}Cars: {GOLD}", P269),"")</f>
        <v>{BLACK}Cars: {GOLD}2</v>
      </c>
      <c r="CK269" s="1" t="s">
        <v>935</v>
      </c>
      <c r="CL269" s="1" t="str">
        <f aca="false">IF($BX269="concept_trains","{GREEN}Concept Vehicle",IF($BX269="!param_no_gameplay_units","{GREEN}Included for gameplay purposes",""))</f>
        <v/>
      </c>
      <c r="CM269" s="1" t="str">
        <f aca="false">IF(CA269="buffet","{YELLOW}25% long distance bonus for consist{}",IF(CB269="DANDY","{YELLOW}Faster downhill speeds for horse-drawn trains (1 required per 2 horses){}",IF(CB269="BRAKE","{YELLOW}Speed bonus for slow wagons{}",IF(CB269="NGPassengers","{YELLOW}Preserved railway bonus: passengers pay more when hauled by old locomotives{}",IF(AND(BZ269&gt;190,NOT(AND(L269="NARROW_GAUGE",CB269&lt;&gt;"PASS"))),CONCATENATE("{YELLOW}",INT((BZ269-185)/1.85),"%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{GOLD}2{}{BLACK}Length: {GOLD}1.3 tiles{}{SILVER}The Class 105 had a long and hard life on British Railways, mostly around the Eastern Region. Sadly this meant few survived in a viable condition for preservation.</v>
      </c>
    </row>
    <row r="270" s="26" customFormat="true" ht="14.25" hidden="false" customHeight="false" outlineLevel="0" collapsed="false">
      <c r="A270" s="26" t="s">
        <v>936</v>
      </c>
      <c r="B270" s="27" t="s">
        <v>937</v>
      </c>
      <c r="C270" s="1" t="n">
        <v>3022</v>
      </c>
      <c r="E270" s="1" t="n">
        <v>334</v>
      </c>
      <c r="F270" s="1" t="s">
        <v>174</v>
      </c>
      <c r="G270" s="1" t="str">
        <f aca="false">IF($F270&lt;&gt;"",_xlfn.CONCAT(VLOOKUP($CE270, Constants!$T:$U, 2, FALSE()),",",$F270),VLOOKUP($CE270, Constants!$T:$U, 2, FALSE()))</f>
        <v>role/passenger,_ww_livery/brbluegrey</v>
      </c>
      <c r="H270" s="1" t="str">
        <f aca="false">IF($G270&lt;&gt;"",_xlfn.CONCAT(VLOOKUP($CG270, Constants!$M:$P, 4, FALSE()),",",$G270),VLOOKUP($CG270, Constants!$M:$P, 4, FALSE()))</f>
        <v>flag/GB,power/diesel,role/passenger,_ww_livery/brbluegrey</v>
      </c>
      <c r="I270" s="26" t="s">
        <v>241</v>
      </c>
      <c r="J270" s="26" t="s">
        <v>466</v>
      </c>
      <c r="K270" s="26" t="s">
        <v>525</v>
      </c>
      <c r="L270" s="26" t="s">
        <v>192</v>
      </c>
      <c r="M270" s="26" t="n">
        <v>1956</v>
      </c>
      <c r="N270" s="26" t="n">
        <v>1989</v>
      </c>
      <c r="O270" s="26" t="n">
        <v>2004</v>
      </c>
      <c r="P270" s="26" t="n">
        <v>4</v>
      </c>
      <c r="Q270" s="26" t="n">
        <v>1000</v>
      </c>
      <c r="R270" s="2"/>
      <c r="S270" s="3"/>
      <c r="T270" s="3"/>
      <c r="U270" s="3"/>
      <c r="V270" s="3"/>
      <c r="W270" s="3"/>
      <c r="X270" s="3"/>
      <c r="Y270" s="3"/>
      <c r="Z270" s="26" t="n">
        <v>180</v>
      </c>
      <c r="AA270" s="2"/>
      <c r="AB270" s="26" t="n">
        <v>5</v>
      </c>
      <c r="AC270" s="26" t="n">
        <v>85</v>
      </c>
      <c r="AD270" s="4" t="n">
        <f aca="false">IF(AND(Z270&gt;0,AC270&gt;0),(AC270/((Z270+AA270)*10)),"")</f>
        <v>0.0472222222222222</v>
      </c>
      <c r="AE270" s="26" t="n">
        <v>75</v>
      </c>
      <c r="AF270" s="26" t="n">
        <f aca="false">ROUND(AE270*1.6, 0)</f>
        <v>120</v>
      </c>
      <c r="AH270" s="26" t="n">
        <v>17.37</v>
      </c>
      <c r="AI270" s="26" t="n">
        <v>18</v>
      </c>
      <c r="AJ270" s="26" t="n">
        <v>2.5</v>
      </c>
      <c r="AK270" s="26" t="n">
        <v>3.77</v>
      </c>
      <c r="AL270" s="5" t="n">
        <v>37</v>
      </c>
      <c r="AM270" s="1" t="str">
        <f aca="false">CONCATENATE(VLOOKUP(AN270, 'Voxel Sizes'!$A$2:$B$18,2,FALSE()),"x",INT(AJ270*15), "x", INT(AK270*15))</f>
        <v>186x37x56</v>
      </c>
      <c r="AN270" s="26" t="n">
        <f aca="false">ROUND(15*((AI270*10)/256),0)</f>
        <v>11</v>
      </c>
      <c r="AP270" s="1" t="str">
        <f aca="false">CONCATENATE(VLOOKUP(AN270,Constants!$A$2:$C$16,IF(AO270&lt;&gt;"", 3, 2), FALSE()),IF(AO270&lt;&gt;"",CONCATENATE(",",VLOOKUP(AO270,$B:$AP,41,FALSE())),""))</f>
        <v>4,3,4</v>
      </c>
      <c r="AQ270" s="26" t="s">
        <v>938</v>
      </c>
      <c r="AR270" s="6"/>
      <c r="AS270" s="6"/>
      <c r="AT270" s="26" t="s">
        <v>939</v>
      </c>
      <c r="AV270" s="26" t="s">
        <v>918</v>
      </c>
      <c r="AW270" s="26" t="s">
        <v>940</v>
      </c>
      <c r="AZ270" s="26" t="n">
        <v>45</v>
      </c>
      <c r="BA270" s="16" t="n">
        <f aca="false">IF(O270&lt;&gt;"",MAX(16,(O270-M270)+8),"")</f>
        <v>56</v>
      </c>
      <c r="BB270" s="26" t="n">
        <v>-10</v>
      </c>
      <c r="BC270" s="26" t="n">
        <v>-15</v>
      </c>
      <c r="BD270" s="26" t="n">
        <f aca="false">MIN(AE270/150, 1)*30</f>
        <v>15</v>
      </c>
      <c r="BE270" s="26" t="n">
        <f aca="false">MIN(Q270/4000, 1)*20</f>
        <v>5</v>
      </c>
      <c r="BF270" s="26" t="n">
        <f aca="false">MIN(AC270/400,1)*20</f>
        <v>4.25</v>
      </c>
      <c r="BG270" s="4" t="n">
        <f aca="false">1-(MAX(M270-1900, 0)/750)</f>
        <v>0.925333333333333</v>
      </c>
      <c r="BH270" s="26" t="n">
        <f aca="false">((MAX($P270,1)*MIN($AL270/300,1)))*IF(J270="Wagon",50,10)</f>
        <v>4.93333333333333</v>
      </c>
      <c r="BI270" s="1" t="n">
        <f aca="false">VLOOKUP($K270,Constants!$I:$K, 2, FALSE())</f>
        <v>1</v>
      </c>
      <c r="BJ270" s="1" t="n">
        <f aca="false">VLOOKUP($K270,Constants!$I:$K, 3, FALSE())*IF(AND(J270="multiple_unit",AE270&lt;110),0.75,1)</f>
        <v>1.5</v>
      </c>
      <c r="BK270" s="1" t="n">
        <f aca="false">INT(POWER(((Constants!$G$2+$BD270+$BE270+$BF270+$BH270)*$BG270)*$BJ270, 1.05))+$BC270</f>
        <v>42</v>
      </c>
      <c r="BL270" s="1" t="n">
        <f aca="false">INT(POWER((((Constants!$G$1+$BD270+$BE270+$BF270+$BH270)*($BG270))*$BI270),IF($J270="wagon",1,1.2)))+$BB270</f>
        <v>75</v>
      </c>
      <c r="BM270" s="17" t="n">
        <f aca="false">BK270*IF($J270="wagon",62.5,781.25)</f>
        <v>32812.5</v>
      </c>
      <c r="BN270" s="17" t="n">
        <f aca="false">BL270*IF($J270="wagon",2.73,81.25)</f>
        <v>6093.75</v>
      </c>
      <c r="BT270" s="26" t="s">
        <v>941</v>
      </c>
      <c r="BU270" s="1" t="str">
        <f aca="false">IF(J270="locomotive","B","")</f>
        <v/>
      </c>
      <c r="BV270" s="1" t="str">
        <f aca="false">IF($J270="locomotive","B","")</f>
        <v/>
      </c>
      <c r="BY270" s="26" t="n">
        <v>2</v>
      </c>
      <c r="CC270" s="26" t="s">
        <v>367</v>
      </c>
      <c r="CD270" s="26" t="str">
        <f aca="false">VLOOKUP(M270,[1]Eras!$A$2:$C$10, 2, TRUE())</f>
        <v>dsl</v>
      </c>
      <c r="CE270" s="26" t="s">
        <v>824</v>
      </c>
      <c r="CF270" s="26" t="str">
        <f aca="false">CONCATENATE(CD270,"_",CE270)</f>
        <v>dsl_DMU</v>
      </c>
      <c r="CG270" s="26" t="str">
        <f aca="false">_xlfn.CONCAT(K270, "_",L270)</f>
        <v>diesel_RAIL</v>
      </c>
      <c r="CH270" s="7" t="str">
        <f aca="false">_xlfn.CONCAT("{BLACK}Length: {GOLD}", TEXT(ROUNDUP(IF(AS270&lt;&gt;"",SUM(VALUE(_xlfn.TEXTSPLIT(AS270, ","))), SUM(VALUE(_xlfn.TEXTSPLIT(AP270, ",")))*IF(P270, P270, 1))/16, 1), "#,##0.0"), " tiles{}")</f>
        <v>{BLACK}Length: {GOLD}2.8 tiles{}</v>
      </c>
      <c r="CI270" s="1" t="str">
        <f aca="false">IF(0, VLOOKUP($CG270, Constants!$M:$N, 2, FALSE()),"")</f>
        <v/>
      </c>
      <c r="CJ270" s="1" t="str">
        <f aca="false">IF(P270&gt;1,_xlfn.CONCAT("{BLACK}Cars: {GOLD}", P270),"")</f>
        <v>{BLACK}Cars: {GOLD}4</v>
      </c>
      <c r="CK270" s="26" t="s">
        <v>942</v>
      </c>
      <c r="CL270" s="1" t="str">
        <f aca="false">IF($BX270="concept_trains","{GREEN}Concept Vehicle",IF($BX270="!param_no_gameplay_units","{GREEN}Included for gameplay purposes",""))</f>
        <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{GOLD}4{}{BLACK}Length: {GOLD}2.8 tiles{}{SILVER}Class 201 ‘Hastings’ Units were constructed to a narrow loading gauge to work through a number of limited clearance tunnels in the southern region. Southern DEMUs of the time had their engines mounted above the frames.</v>
      </c>
      <c r="XFD270" s="1"/>
    </row>
    <row r="271" s="26" customFormat="true" ht="14.25" hidden="false" customHeight="false" outlineLevel="0" collapsed="false">
      <c r="A271" s="26" t="s">
        <v>943</v>
      </c>
      <c r="B271" s="27" t="s">
        <v>944</v>
      </c>
      <c r="C271" s="1" t="n">
        <v>3023</v>
      </c>
      <c r="D271" s="26" t="n">
        <v>3022</v>
      </c>
      <c r="E271" s="1" t="n">
        <v>335</v>
      </c>
      <c r="F271" s="1" t="s">
        <v>174</v>
      </c>
      <c r="G271" s="1" t="str">
        <f aca="false">IF($F271&lt;&gt;"",_xlfn.CONCAT(VLOOKUP($CE271, Constants!$T:$U, 2, FALSE()),",",$F271),VLOOKUP($CE271, Constants!$T:$U, 2, FALSE()))</f>
        <v>role/passenger,_ww_livery/brbluegrey</v>
      </c>
      <c r="H271" s="1" t="str">
        <f aca="false">IF($G271&lt;&gt;"",_xlfn.CONCAT(VLOOKUP($CG271, Constants!$M:$P, 4, FALSE()),",",$G271),VLOOKUP($CG271, Constants!$M:$P, 4, FALSE()))</f>
        <v>flag/GB,power/diesel,role/passenger,_ww_livery/brbluegrey</v>
      </c>
      <c r="I271" s="26" t="s">
        <v>241</v>
      </c>
      <c r="J271" s="26" t="s">
        <v>466</v>
      </c>
      <c r="K271" s="26" t="s">
        <v>525</v>
      </c>
      <c r="L271" s="26" t="s">
        <v>192</v>
      </c>
      <c r="M271" s="26" t="n">
        <v>1956</v>
      </c>
      <c r="N271" s="26" t="n">
        <v>1989</v>
      </c>
      <c r="O271" s="26" t="n">
        <v>2004</v>
      </c>
      <c r="P271" s="26" t="n">
        <v>6</v>
      </c>
      <c r="Q271" s="26" t="n">
        <v>1000</v>
      </c>
      <c r="R271" s="2"/>
      <c r="S271" s="3"/>
      <c r="T271" s="3"/>
      <c r="U271" s="3"/>
      <c r="V271" s="3"/>
      <c r="W271" s="3"/>
      <c r="X271" s="3"/>
      <c r="Y271" s="3"/>
      <c r="Z271" s="26" t="n">
        <v>238</v>
      </c>
      <c r="AA271" s="2"/>
      <c r="AB271" s="26" t="n">
        <v>5</v>
      </c>
      <c r="AC271" s="26" t="n">
        <v>85</v>
      </c>
      <c r="AD271" s="4" t="n">
        <f aca="false">IF(AND(Z271&gt;0,AC271&gt;0),(AC271/((Z271+AA271)*10)),"")</f>
        <v>0.0357142857142857</v>
      </c>
      <c r="AE271" s="26" t="n">
        <v>75</v>
      </c>
      <c r="AF271" s="26" t="n">
        <f aca="false">ROUND(AE271*1.6, 0)</f>
        <v>120</v>
      </c>
      <c r="AH271" s="26" t="n">
        <v>17.37</v>
      </c>
      <c r="AI271" s="26" t="n">
        <v>18</v>
      </c>
      <c r="AJ271" s="26" t="n">
        <v>2.5</v>
      </c>
      <c r="AK271" s="26" t="n">
        <v>3.77</v>
      </c>
      <c r="AL271" s="5" t="n">
        <v>42</v>
      </c>
      <c r="AM271" s="1" t="str">
        <f aca="false">CONCATENATE(VLOOKUP(AN271, 'Voxel Sizes'!$A$2:$B$18,2,FALSE()),"x",INT(AJ271*15), "x", INT(AK271*15))</f>
        <v>186x37x56</v>
      </c>
      <c r="AN271" s="26" t="n">
        <f aca="false">ROUND(15*((AI271*10)/256),0)</f>
        <v>11</v>
      </c>
      <c r="AP271" s="1" t="str">
        <f aca="false">CONCATENATE(VLOOKUP(AN271,Constants!$A$2:$C$16,IF(AO271&lt;&gt;"", 3, 2), FALSE()),IF(AO271&lt;&gt;"",CONCATENATE(",",VLOOKUP(AO271,$B:$AP,41,FALSE())),""))</f>
        <v>4,3,4</v>
      </c>
      <c r="AQ271" s="26" t="s">
        <v>945</v>
      </c>
      <c r="AR271" s="6"/>
      <c r="AS271" s="6"/>
      <c r="AT271" s="26" t="s">
        <v>946</v>
      </c>
      <c r="AV271" s="26" t="s">
        <v>894</v>
      </c>
      <c r="AW271" s="26" t="s">
        <v>940</v>
      </c>
      <c r="AZ271" s="26" t="n">
        <v>45</v>
      </c>
      <c r="BA271" s="16" t="n">
        <f aca="false">IF(O271&lt;&gt;"",MAX(16,(O271-M271)+8),"")</f>
        <v>56</v>
      </c>
      <c r="BB271" s="26" t="n">
        <v>-10</v>
      </c>
      <c r="BC271" s="26" t="n">
        <v>-15</v>
      </c>
      <c r="BD271" s="26" t="n">
        <f aca="false">MIN(AE271/150, 1)*30</f>
        <v>15</v>
      </c>
      <c r="BE271" s="26" t="n">
        <f aca="false">MIN(Q271/4000, 1)*20</f>
        <v>5</v>
      </c>
      <c r="BF271" s="26" t="n">
        <f aca="false">MIN(AC271/400,1)*20</f>
        <v>4.25</v>
      </c>
      <c r="BG271" s="4" t="n">
        <f aca="false">1-(MAX(M271-1900, 0)/750)</f>
        <v>0.925333333333333</v>
      </c>
      <c r="BH271" s="26" t="n">
        <f aca="false">((MAX($P271,1)*MIN($AL271/300,1)))*IF(J271="Wagon",50,10)</f>
        <v>8.4</v>
      </c>
      <c r="BI271" s="1" t="n">
        <f aca="false">VLOOKUP($K271,Constants!$I:$K, 2, FALSE())</f>
        <v>1</v>
      </c>
      <c r="BJ271" s="1" t="n">
        <f aca="false">VLOOKUP($K271,Constants!$I:$K, 3, FALSE())*IF(AND(J271="multiple_unit",AE271&lt;110),0.75,1)</f>
        <v>1.5</v>
      </c>
      <c r="BK271" s="1" t="n">
        <f aca="false">INT(POWER(((Constants!$G$2+$BD271+$BE271+$BF271+$BH271)*$BG271)*$BJ271, 1.05))+$BC271</f>
        <v>48</v>
      </c>
      <c r="BL271" s="1" t="n">
        <f aca="false">INT(POWER((((Constants!$G$1+$BD271+$BE271+$BF271+$BH271)*($BG271))*$BI271),IF($J271="wagon",1,1.2)))+$BB271</f>
        <v>84</v>
      </c>
      <c r="BM271" s="17" t="n">
        <f aca="false">BK271*IF($J271="wagon",62.5,781.25)</f>
        <v>37500</v>
      </c>
      <c r="BN271" s="17" t="n">
        <f aca="false">BL271*IF($J271="wagon",2.73,81.25)</f>
        <v>6825</v>
      </c>
      <c r="BT271" s="26" t="s">
        <v>947</v>
      </c>
      <c r="BU271" s="1" t="str">
        <f aca="false">IF(J271="locomotive","B","")</f>
        <v/>
      </c>
      <c r="BV271" s="1" t="str">
        <f aca="false">IF($J271="locomotive","B","")</f>
        <v/>
      </c>
      <c r="BY271" s="26" t="n">
        <v>2</v>
      </c>
      <c r="CC271" s="26" t="s">
        <v>367</v>
      </c>
      <c r="CD271" s="26" t="str">
        <f aca="false">VLOOKUP(M271,[1]Eras!$A$2:$C$10, 2, TRUE())</f>
        <v>dsl</v>
      </c>
      <c r="CE271" s="26" t="s">
        <v>824</v>
      </c>
      <c r="CF271" s="26" t="str">
        <f aca="false">CONCATENATE(CD271,"_",CE271)</f>
        <v>dsl_DMU</v>
      </c>
      <c r="CG271" s="26" t="str">
        <f aca="false">_xlfn.CONCAT(K271, "_",L271)</f>
        <v>diesel_RAIL</v>
      </c>
      <c r="CH271" s="7" t="str">
        <f aca="false">_xlfn.CONCAT("{BLACK}Length: {GOLD}", TEXT(ROUNDUP(IF(AS271&lt;&gt;"",SUM(VALUE(_xlfn.TEXTSPLIT(AS271, ","))), SUM(VALUE(_xlfn.TEXTSPLIT(AP271, ",")))*IF(P271, P271, 1))/16, 1), "#,##0.0"), " tiles{}")</f>
        <v>{BLACK}Length: {GOLD}4.2 tiles{}</v>
      </c>
      <c r="CI271" s="1" t="str">
        <f aca="false">IF(0, VLOOKUP($CG271, Constants!$M:$N, 2, FALSE()),"")</f>
        <v/>
      </c>
      <c r="CJ271" s="1" t="str">
        <f aca="false">IF(P271&gt;1,_xlfn.CONCAT("{BLACK}Cars: {GOLD}", P271),"")</f>
        <v>{BLACK}Cars: {GOLD}6</v>
      </c>
      <c r="CK271" s="26" t="s">
        <v>942</v>
      </c>
      <c r="CL271" s="1" t="str">
        <f aca="false">IF($BX271="concept_trains","{GREEN}Concept Vehicle",IF($BX271="!param_no_gameplay_units","{GREEN}Included for gameplay purposes",""))</f>
        <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{GOLD}6{}{BLACK}Length: {GOLD}4.2 tiles{}{SILVER}Class 201 ‘Hastings’ Units were constructed to a narrow loading gauge to work through a number of limited clearance tunnels in the southern region. Southern DEMUs of the time had their engines mounted above the frames.</v>
      </c>
      <c r="XFD271" s="1"/>
    </row>
    <row r="272" s="26" customFormat="true" ht="14.25" hidden="false" customHeight="false" outlineLevel="0" collapsed="false">
      <c r="A272" s="26" t="s">
        <v>948</v>
      </c>
      <c r="B272" s="27" t="s">
        <v>949</v>
      </c>
      <c r="C272" s="1" t="n">
        <v>3024</v>
      </c>
      <c r="E272" s="1" t="n">
        <v>336</v>
      </c>
      <c r="F272" s="1" t="s">
        <v>171</v>
      </c>
      <c r="G272" s="1" t="str">
        <f aca="false">IF($F272&lt;&gt;"",_xlfn.CONCAT(VLOOKUP($CE272, Constants!$T:$U, 2, FALSE()),",",$F272),VLOOKUP($CE272, Constants!$T:$U, 2, FALSE()))</f>
        <v>role/passenger,_ww_livery/brblue</v>
      </c>
      <c r="H272" s="1" t="str">
        <f aca="false">IF($G272&lt;&gt;"",_xlfn.CONCAT(VLOOKUP($CG272, Constants!$M:$P, 4, FALSE()),",",$G272),VLOOKUP($CG272, Constants!$M:$P, 4, FALSE()))</f>
        <v>flag/GB,power/diesel,role/passenger,_ww_livery/brblue</v>
      </c>
      <c r="I272" s="26" t="s">
        <v>241</v>
      </c>
      <c r="J272" s="26" t="s">
        <v>466</v>
      </c>
      <c r="K272" s="26" t="s">
        <v>525</v>
      </c>
      <c r="L272" s="26" t="s">
        <v>192</v>
      </c>
      <c r="M272" s="26" t="n">
        <v>1957</v>
      </c>
      <c r="N272" s="26" t="n">
        <v>1989</v>
      </c>
      <c r="O272" s="26" t="n">
        <v>2004</v>
      </c>
      <c r="P272" s="26" t="n">
        <v>3</v>
      </c>
      <c r="Q272" s="26" t="n">
        <v>600</v>
      </c>
      <c r="R272" s="2"/>
      <c r="S272" s="3"/>
      <c r="T272" s="3"/>
      <c r="U272" s="3"/>
      <c r="V272" s="3"/>
      <c r="W272" s="3"/>
      <c r="X272" s="3"/>
      <c r="Y272" s="3"/>
      <c r="Z272" s="26" t="n">
        <f aca="false">32.5+25</f>
        <v>57.5</v>
      </c>
      <c r="AA272" s="2"/>
      <c r="AB272" s="26" t="n">
        <v>5</v>
      </c>
      <c r="AC272" s="26" t="n">
        <v>85</v>
      </c>
      <c r="AD272" s="4" t="n">
        <f aca="false">IF(AND(Z272&gt;0,AC272&gt;0),(AC272/((Z272+AA272)*10)),"")</f>
        <v>0.147826086956522</v>
      </c>
      <c r="AE272" s="26" t="n">
        <v>75</v>
      </c>
      <c r="AF272" s="26" t="n">
        <f aca="false">ROUND(AE272*1.6, 0)</f>
        <v>120</v>
      </c>
      <c r="AH272" s="26" t="n">
        <v>19.5</v>
      </c>
      <c r="AI272" s="26" t="n">
        <v>20</v>
      </c>
      <c r="AJ272" s="26" t="n">
        <v>2.7</v>
      </c>
      <c r="AK272" s="26" t="n">
        <v>3.77</v>
      </c>
      <c r="AL272" s="5" t="n">
        <v>51</v>
      </c>
      <c r="AM272" s="1" t="str">
        <f aca="false">CONCATENATE(VLOOKUP(AN272, 'Voxel Sizes'!$A$2:$B$18,2,FALSE()),"x",INT(AJ272*15), "x", INT(AK272*15))</f>
        <v>198x40x56</v>
      </c>
      <c r="AN272" s="26" t="n">
        <f aca="false">ROUND(15*((AI272*10)/256),0)</f>
        <v>12</v>
      </c>
      <c r="AP272" s="1" t="str">
        <f aca="false">CONCATENATE(VLOOKUP(AN272,Constants!$A$2:$C$16,IF(AO272&lt;&gt;"", 3, 2), FALSE()),IF(AO272&lt;&gt;"",CONCATENATE(",",VLOOKUP(AO272,$B:$AP,41,FALSE())),""))</f>
        <v>4,4,4</v>
      </c>
      <c r="AR272" s="6"/>
      <c r="AS272" s="6"/>
      <c r="AT272" s="26" t="s">
        <v>950</v>
      </c>
      <c r="AV272" s="26" t="s">
        <v>468</v>
      </c>
      <c r="AW272" s="26" t="s">
        <v>951</v>
      </c>
      <c r="AZ272" s="26" t="n">
        <v>45</v>
      </c>
      <c r="BA272" s="16" t="n">
        <f aca="false">IF(O272&lt;&gt;"",MAX(16,(O272-M272)+8),"")</f>
        <v>55</v>
      </c>
      <c r="BB272" s="26" t="n">
        <v>-10</v>
      </c>
      <c r="BC272" s="26" t="n">
        <v>-15</v>
      </c>
      <c r="BD272" s="26" t="n">
        <f aca="false">MIN(AE272/150, 1)*30</f>
        <v>15</v>
      </c>
      <c r="BE272" s="26" t="n">
        <f aca="false">MIN(Q272/4000, 1)*20</f>
        <v>3</v>
      </c>
      <c r="BF272" s="26" t="n">
        <f aca="false">MIN(AC272/400,1)*20</f>
        <v>4.25</v>
      </c>
      <c r="BG272" s="4" t="n">
        <f aca="false">1-(MAX(M272-1900, 0)/750)</f>
        <v>0.924</v>
      </c>
      <c r="BH272" s="26" t="n">
        <f aca="false">((MAX($P272,1)*MIN($AL272/300,1)))*IF(J272="Wagon",50,10)</f>
        <v>5.1</v>
      </c>
      <c r="BI272" s="1" t="n">
        <f aca="false">VLOOKUP($K272,Constants!$I:$K, 2, FALSE())</f>
        <v>1</v>
      </c>
      <c r="BJ272" s="1" t="n">
        <f aca="false">VLOOKUP($K272,Constants!$I:$K, 3, FALSE())*IF(AND(J272="multiple_unit",AE272&lt;110),0.75,1)</f>
        <v>1.5</v>
      </c>
      <c r="BK272" s="1" t="n">
        <f aca="false">INT(POWER(((Constants!$G$2+$BD272+$BE272+$BF272+$BH272)*$BG272)*$BJ272, 1.05))+$BC272</f>
        <v>39</v>
      </c>
      <c r="BL272" s="1" t="n">
        <f aca="false">INT(POWER((((Constants!$G$1+$BD272+$BE272+$BF272+$BH272)*($BG272))*$BI272),IF($J272="wagon",1,1.2)))+$BB272</f>
        <v>71</v>
      </c>
      <c r="BM272" s="17" t="n">
        <f aca="false">BK272*IF($J272="wagon",62.5,781.25)</f>
        <v>30468.75</v>
      </c>
      <c r="BN272" s="17" t="n">
        <f aca="false">BL272*IF($J272="wagon",2.73,81.25)</f>
        <v>5768.75</v>
      </c>
      <c r="BT272" s="26" t="s">
        <v>952</v>
      </c>
      <c r="BU272" s="1" t="str">
        <f aca="false">IF(J272="locomotive","B","")</f>
        <v/>
      </c>
      <c r="BV272" s="1" t="str">
        <f aca="false">IF($J272="locomotive","B","")</f>
        <v/>
      </c>
      <c r="BY272" s="26" t="n">
        <v>2</v>
      </c>
      <c r="CC272" s="26" t="s">
        <v>367</v>
      </c>
      <c r="CD272" s="26" t="str">
        <f aca="false">VLOOKUP(M272,[1]Eras!$A$2:$C$10, 2, TRUE())</f>
        <v>dsl</v>
      </c>
      <c r="CE272" s="26" t="s">
        <v>824</v>
      </c>
      <c r="CF272" s="26" t="str">
        <f aca="false">CONCATENATE(CD272,"_",CE272)</f>
        <v>dsl_DMU</v>
      </c>
      <c r="CG272" s="26" t="str">
        <f aca="false">_xlfn.CONCAT(K272, "_",L272)</f>
        <v>diesel_RAIL</v>
      </c>
      <c r="CH272" s="7" t="str">
        <f aca="false">_xlfn.CONCAT("{BLACK}Length: {GOLD}", TEXT(ROUNDUP(IF(AS272&lt;&gt;"",SUM(VALUE(_xlfn.TEXTSPLIT(AS272, ","))), SUM(VALUE(_xlfn.TEXTSPLIT(AP272, ",")))*IF(P272, P272, 1))/16, 1), "#,##0.0"), " tiles{}")</f>
        <v>{BLACK}Length: {GOLD}2.3 tiles{}</v>
      </c>
      <c r="CI272" s="1" t="str">
        <f aca="false">IF(0, VLOOKUP($CG272, Constants!$M:$N, 2, FALSE()),"")</f>
        <v/>
      </c>
      <c r="CJ272" s="1" t="str">
        <f aca="false">IF(P272&gt;1,_xlfn.CONCAT("{BLACK}Cars: {GOLD}", P272),"")</f>
        <v>{BLACK}Cars: {GOLD}3</v>
      </c>
      <c r="CK272" s="26" t="s">
        <v>953</v>
      </c>
      <c r="CL272" s="1" t="str">
        <f aca="false">IF($BX272="concept_trains","{GREEN}Concept Vehicle",IF($BX272="!param_no_gameplay_units","{GREEN}Included for gameplay purposes",""))</f>
        <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{GOLD}3{}{BLACK}Length: {GOLD}2.3 tiles{}{SILVER}Class 205 units were a relatively numerous class of high-density non-corridor multiple units that worked services across Hampshire. In many ways they were the classic ‘Thumper’ unit.</v>
      </c>
      <c r="XFD272" s="1"/>
    </row>
    <row r="273" s="26" customFormat="true" ht="14.25" hidden="false" customHeight="false" outlineLevel="0" collapsed="false">
      <c r="A273" s="26" t="s">
        <v>954</v>
      </c>
      <c r="B273" s="27" t="s">
        <v>955</v>
      </c>
      <c r="C273" s="1" t="n">
        <v>3025</v>
      </c>
      <c r="D273" s="26" t="n">
        <v>3024</v>
      </c>
      <c r="E273" s="1" t="n">
        <v>337</v>
      </c>
      <c r="F273" s="1" t="s">
        <v>171</v>
      </c>
      <c r="G273" s="1" t="str">
        <f aca="false">IF($F273&lt;&gt;"",_xlfn.CONCAT(VLOOKUP($CE273, Constants!$T:$U, 2, FALSE()),",",$F273),VLOOKUP($CE273, Constants!$T:$U, 2, FALSE()))</f>
        <v>role/passenger,_ww_livery/brblue</v>
      </c>
      <c r="H273" s="1" t="str">
        <f aca="false">IF($G273&lt;&gt;"",_xlfn.CONCAT(VLOOKUP($CG273, Constants!$M:$P, 4, FALSE()),",",$G273),VLOOKUP($CG273, Constants!$M:$P, 4, FALSE()))</f>
        <v>flag/GB,power/diesel,role/passenger,_ww_livery/brblue</v>
      </c>
      <c r="I273" s="26" t="s">
        <v>241</v>
      </c>
      <c r="J273" s="26" t="s">
        <v>466</v>
      </c>
      <c r="K273" s="26" t="s">
        <v>525</v>
      </c>
      <c r="L273" s="26" t="s">
        <v>192</v>
      </c>
      <c r="M273" s="26" t="n">
        <v>1957</v>
      </c>
      <c r="N273" s="26" t="n">
        <v>1989</v>
      </c>
      <c r="O273" s="26" t="n">
        <v>2004</v>
      </c>
      <c r="P273" s="26" t="n">
        <v>2</v>
      </c>
      <c r="Q273" s="26" t="n">
        <v>600</v>
      </c>
      <c r="R273" s="2"/>
      <c r="S273" s="3"/>
      <c r="T273" s="3"/>
      <c r="U273" s="3"/>
      <c r="V273" s="3"/>
      <c r="W273" s="3"/>
      <c r="X273" s="3"/>
      <c r="Y273" s="3"/>
      <c r="Z273" s="26" t="n">
        <f aca="false">32.5+25</f>
        <v>57.5</v>
      </c>
      <c r="AA273" s="2"/>
      <c r="AB273" s="26" t="n">
        <v>5</v>
      </c>
      <c r="AC273" s="26" t="n">
        <v>85</v>
      </c>
      <c r="AD273" s="4" t="n">
        <f aca="false">IF(AND(Z273&gt;0,AC273&gt;0),(AC273/((Z273+AA273)*10)),"")</f>
        <v>0.147826086956522</v>
      </c>
      <c r="AE273" s="26" t="n">
        <v>75</v>
      </c>
      <c r="AF273" s="26" t="n">
        <f aca="false">ROUND(AE273*1.6, 0)</f>
        <v>120</v>
      </c>
      <c r="AH273" s="26" t="n">
        <v>19.5</v>
      </c>
      <c r="AI273" s="26" t="n">
        <v>20</v>
      </c>
      <c r="AJ273" s="26" t="n">
        <v>2.7</v>
      </c>
      <c r="AK273" s="26" t="n">
        <v>3.77</v>
      </c>
      <c r="AL273" s="5" t="n">
        <v>51</v>
      </c>
      <c r="AM273" s="1" t="str">
        <f aca="false">CONCATENATE(VLOOKUP(AN273, 'Voxel Sizes'!$A$2:$B$18,2,FALSE()),"x",INT(AJ273*15), "x", INT(AK273*15))</f>
        <v>198x40x56</v>
      </c>
      <c r="AN273" s="26" t="n">
        <f aca="false">ROUND(15*((AI273*10)/256),0)</f>
        <v>12</v>
      </c>
      <c r="AP273" s="1" t="str">
        <f aca="false">CONCATENATE(VLOOKUP(AN273,Constants!$A$2:$C$16,IF(AO273&lt;&gt;"", 3, 2), FALSE()),IF(AO273&lt;&gt;"",CONCATENATE(",",VLOOKUP(AO273,$B:$AP,41,FALSE())),""))</f>
        <v>4,4,4</v>
      </c>
      <c r="AR273" s="6"/>
      <c r="AS273" s="6"/>
      <c r="AT273" s="26" t="s">
        <v>956</v>
      </c>
      <c r="AV273" s="26" t="s">
        <v>957</v>
      </c>
      <c r="AW273" s="26" t="s">
        <v>951</v>
      </c>
      <c r="AZ273" s="26" t="n">
        <v>45</v>
      </c>
      <c r="BA273" s="16" t="n">
        <f aca="false">IF(O273&lt;&gt;"",MAX(16,(O273-M273)+8),"")</f>
        <v>55</v>
      </c>
      <c r="BB273" s="26" t="n">
        <v>-10</v>
      </c>
      <c r="BC273" s="26" t="n">
        <v>-15</v>
      </c>
      <c r="BD273" s="26" t="n">
        <f aca="false">MIN(AE273/150, 1)*30</f>
        <v>15</v>
      </c>
      <c r="BE273" s="26" t="n">
        <f aca="false">MIN(Q273/4000, 1)*20</f>
        <v>3</v>
      </c>
      <c r="BF273" s="26" t="n">
        <f aca="false">MIN(AC273/400,1)*20</f>
        <v>4.25</v>
      </c>
      <c r="BG273" s="4" t="n">
        <f aca="false">1-(MAX(M273-1900, 0)/750)</f>
        <v>0.924</v>
      </c>
      <c r="BH273" s="26" t="n">
        <f aca="false">((MAX($P273,1)*MIN($AL273/300,1)))*IF(J273="Wagon",50,10)</f>
        <v>3.4</v>
      </c>
      <c r="BI273" s="1" t="n">
        <f aca="false">VLOOKUP($K273,Constants!$I:$K, 2, FALSE())</f>
        <v>1</v>
      </c>
      <c r="BJ273" s="1" t="n">
        <f aca="false">VLOOKUP($K273,Constants!$I:$K, 3, FALSE())*IF(AND(J273="multiple_unit",AE273&lt;110),0.75,1)</f>
        <v>1.5</v>
      </c>
      <c r="BK273" s="1" t="n">
        <f aca="false">INT(POWER(((Constants!$G$2+$BD273+$BE273+$BF273+$BH273)*$BG273)*$BJ273, 1.05))+$BC273</f>
        <v>36</v>
      </c>
      <c r="BL273" s="1" t="n">
        <f aca="false">INT(POWER((((Constants!$G$1+$BD273+$BE273+$BF273+$BH273)*($BG273))*$BI273),IF($J273="wagon",1,1.2)))+$BB273</f>
        <v>67</v>
      </c>
      <c r="BM273" s="17" t="n">
        <f aca="false">BK273*IF($J273="wagon",62.5,781.25)</f>
        <v>28125</v>
      </c>
      <c r="BN273" s="17" t="n">
        <f aca="false">BL273*IF($J273="wagon",2.73,81.25)</f>
        <v>5443.75</v>
      </c>
      <c r="BT273" s="26" t="s">
        <v>958</v>
      </c>
      <c r="BU273" s="1" t="str">
        <f aca="false">IF(J273="locomotive","B","")</f>
        <v/>
      </c>
      <c r="BV273" s="1" t="str">
        <f aca="false">IF($J273="locomotive","B","")</f>
        <v/>
      </c>
      <c r="BY273" s="26" t="n">
        <v>2</v>
      </c>
      <c r="CC273" s="26" t="s">
        <v>367</v>
      </c>
      <c r="CD273" s="26" t="str">
        <f aca="false">VLOOKUP(M273,[1]Eras!$A$2:$C$10, 2, TRUE())</f>
        <v>dsl</v>
      </c>
      <c r="CE273" s="26" t="s">
        <v>824</v>
      </c>
      <c r="CF273" s="26" t="str">
        <f aca="false">CONCATENATE(CD273,"_",CE273)</f>
        <v>dsl_DMU</v>
      </c>
      <c r="CG273" s="26" t="str">
        <f aca="false">_xlfn.CONCAT(K273, "_",L273)</f>
        <v>diesel_RAIL</v>
      </c>
      <c r="CH273" s="7" t="str">
        <f aca="false">_xlfn.CONCAT("{BLACK}Length: {GOLD}", TEXT(ROUNDUP(IF(AS273&lt;&gt;"",SUM(VALUE(_xlfn.TEXTSPLIT(AS273, ","))), SUM(VALUE(_xlfn.TEXTSPLIT(AP273, ",")))*IF(P273, P273, 1))/16, 1), "#,##0.0"), " tiles{}")</f>
        <v>{BLACK}Length: {GOLD}1.5 tiles{}</v>
      </c>
      <c r="CI273" s="1" t="str">
        <f aca="false">IF(0, VLOOKUP($CG273, Constants!$M:$N, 2, FALSE()),"")</f>
        <v/>
      </c>
      <c r="CJ273" s="1" t="str">
        <f aca="false">IF(P273&gt;1,_xlfn.CONCAT("{BLACK}Cars: {GOLD}", P273),"")</f>
        <v>{BLACK}Cars: {GOLD}2</v>
      </c>
      <c r="CK273" s="26" t="s">
        <v>953</v>
      </c>
      <c r="CL273" s="1" t="str">
        <f aca="false">IF($BX273="concept_trains","{GREEN}Concept Vehicle",IF($BX273="!param_no_gameplay_units","{GREEN}Included for gameplay purposes",""))</f>
        <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tiles{}{SILVER}Class 205 units were a relatively numerous class of high-density non-corridor multiple units that worked services across Hampshire. In many ways they were the classic ‘Thumper’ unit.</v>
      </c>
      <c r="XFD273" s="1"/>
    </row>
    <row r="274" customFormat="false" ht="14.25" hidden="false" customHeight="false" outlineLevel="0" collapsed="false">
      <c r="A274" s="1" t="s">
        <v>959</v>
      </c>
      <c r="B274" s="15" t="s">
        <v>960</v>
      </c>
      <c r="C274" s="1" t="n">
        <v>229</v>
      </c>
      <c r="E274" s="1" t="n">
        <v>338</v>
      </c>
      <c r="F274" s="1" t="s">
        <v>171</v>
      </c>
      <c r="G274" s="1" t="str">
        <f aca="false">IF($F274&lt;&gt;"",_xlfn.CONCAT(VLOOKUP($CE274, Constants!$T:$U, 2, FALSE()),",",$F274),VLOOKUP($CE274, Constants!$T:$U, 2, FALSE()))</f>
        <v>role/express_passenger,_ww_livery/brblue</v>
      </c>
      <c r="H274" s="1" t="str">
        <f aca="false">IF($G274&lt;&gt;"",_xlfn.CONCAT(VLOOKUP($CG274, Constants!$M:$P, 4, FALSE()),",",$G274),VLOOKUP($CG274, Constants!$M:$P, 4, FALSE()))</f>
        <v>flag/GB,power/electric,role/express_passenger,_ww_livery/brblue</v>
      </c>
      <c r="I274" s="1" t="s">
        <v>241</v>
      </c>
      <c r="J274" s="1" t="s">
        <v>466</v>
      </c>
      <c r="K274" s="1" t="s">
        <v>388</v>
      </c>
      <c r="L274" s="1" t="s">
        <v>541</v>
      </c>
      <c r="M274" s="1" t="n">
        <v>1956</v>
      </c>
      <c r="O274" s="1" t="n">
        <v>1995</v>
      </c>
      <c r="P274" s="1" t="n">
        <v>2</v>
      </c>
      <c r="Q274" s="1" t="n">
        <v>500</v>
      </c>
      <c r="Z274" s="1" t="n">
        <f aca="false">40+32</f>
        <v>72</v>
      </c>
      <c r="AB274" s="1" t="n">
        <v>5</v>
      </c>
      <c r="AC274" s="1" t="n">
        <v>95</v>
      </c>
      <c r="AD274" s="4" t="n">
        <f aca="false">IF(AND(Z274&gt;0,AC274&gt;0),(AC274/((Z274+AA274)*10)),"")</f>
        <v>0.131944444444444</v>
      </c>
      <c r="AE274" s="1" t="n">
        <v>90</v>
      </c>
      <c r="AF274" s="1" t="n">
        <f aca="false">ROUND(AE274*1.6, 0)</f>
        <v>144</v>
      </c>
      <c r="AH274" s="1" t="n">
        <v>19.05</v>
      </c>
      <c r="AI274" s="1" t="n">
        <v>19.05</v>
      </c>
      <c r="AJ274" s="1" t="n">
        <v>2.82</v>
      </c>
      <c r="AK274" s="1" t="n">
        <v>3.89</v>
      </c>
      <c r="AL274" s="5" t="n">
        <v>54</v>
      </c>
      <c r="AM274" s="1" t="str">
        <f aca="false">CONCATENATE(VLOOKUP(AN274, 'Voxel Sizes'!$A$2:$B$18,2,FALSE()),"x",INT(AJ274*15), "x", INT(AK274*15))</f>
        <v>186x42x58</v>
      </c>
      <c r="AN274" s="1" t="n">
        <f aca="false">ROUND(15*((AI274*10)/256),0)</f>
        <v>11</v>
      </c>
      <c r="AP274" s="1" t="str">
        <f aca="false">CONCATENATE(VLOOKUP(AN274,Constants!$A$2:$C$16,IF(AO274&lt;&gt;"", 3, 2), FALSE()),IF(AO274&lt;&gt;"",CONCATENATE(",",VLOOKUP(AO274,$B:$AP,41,FALSE())),""))</f>
        <v>4,3,4</v>
      </c>
      <c r="AT274" s="1" t="s">
        <v>961</v>
      </c>
      <c r="AV274" s="1" t="s">
        <v>815</v>
      </c>
      <c r="AZ274" s="1" t="n">
        <v>33</v>
      </c>
      <c r="BA274" s="16" t="n">
        <f aca="false">IF(O274&lt;&gt;"",MAX(16,(O274-M274)+8),"")</f>
        <v>47</v>
      </c>
      <c r="BB274" s="1" t="n">
        <v>-10</v>
      </c>
      <c r="BC274" s="1" t="n">
        <v>-15</v>
      </c>
      <c r="BD274" s="1" t="n">
        <f aca="false">MIN(AE274/150, 1)*30</f>
        <v>18</v>
      </c>
      <c r="BE274" s="1" t="n">
        <f aca="false">MIN(Q274/4000, 1)*20</f>
        <v>2.5</v>
      </c>
      <c r="BF274" s="1" t="n">
        <f aca="false">MIN(AC274/400,1)*20</f>
        <v>4.75</v>
      </c>
      <c r="BG274" s="4" t="n">
        <f aca="false">1-(MAX(M274-1900, 0)/750)</f>
        <v>0.925333333333333</v>
      </c>
      <c r="BH274" s="1" t="n">
        <f aca="false">((MAX($P274,1)*MIN($AL274/300,1)))*IF(J274="Wagon",50,10)</f>
        <v>3.6</v>
      </c>
      <c r="BI274" s="1" t="n">
        <f aca="false">VLOOKUP($K274,Constants!$I:$K, 2, FALSE())</f>
        <v>0.85</v>
      </c>
      <c r="BJ274" s="1" t="n">
        <f aca="false">VLOOKUP($K274,Constants!$I:$K, 3, FALSE())*IF(AND(J274="multiple_unit",AE274&lt;110),0.75,1)</f>
        <v>1.725</v>
      </c>
      <c r="BK274" s="1" t="n">
        <f aca="false">INT(POWER(((Constants!$G$2+$BD274+$BE274+$BF274+$BH274)*$BG274)*$BJ274, 1.05))+$BC274</f>
        <v>50</v>
      </c>
      <c r="BL274" s="1" t="n">
        <f aca="false">INT(POWER((((Constants!$G$1+$BD274+$BE274+$BF274+$BH274)*($BG274))*$BI274),IF($J274="wagon",1,1.2)))+$BB274</f>
        <v>60</v>
      </c>
      <c r="BM274" s="17" t="n">
        <f aca="false">BK274*IF($J274="wagon",62.5,781.25)</f>
        <v>39062.5</v>
      </c>
      <c r="BN274" s="17" t="n">
        <f aca="false">BL274*IF($J274="wagon",2.73,81.25)</f>
        <v>4875</v>
      </c>
      <c r="BT274" s="1" t="str">
        <f aca="false">SREXPRESSEMU</f>
        <v>br_class_419,br_class_489,br_class_411,br_class_412,br_2hap,brel_class_421</v>
      </c>
      <c r="BU274" s="1" t="str">
        <f aca="false">IF(J274="locomotive","B","")</f>
        <v/>
      </c>
      <c r="BV274" s="1" t="str">
        <f aca="false">IF($J274="locomotive","B","")</f>
        <v/>
      </c>
      <c r="BY274" s="1" t="n">
        <v>12</v>
      </c>
      <c r="BZ274" s="1" t="n">
        <v>185</v>
      </c>
      <c r="CC274" s="1" t="s">
        <v>367</v>
      </c>
      <c r="CD274" s="1" t="str">
        <f aca="false">VLOOKUP(M274,Eras!$A$2:$C$10, 2, TRUE())</f>
        <v>dsl</v>
      </c>
      <c r="CE274" s="1" t="s">
        <v>913</v>
      </c>
      <c r="CF274" s="1" t="str">
        <f aca="false">CONCATENATE(CD274,"_",CE274)</f>
        <v>dsl_EMU (Express)</v>
      </c>
      <c r="CG274" s="1" t="str">
        <f aca="false">_xlfn.CONCAT(K274, "_",L274)</f>
        <v>electric_THIRD_RAIL</v>
      </c>
      <c r="CH274" s="7" t="str">
        <f aca="false">_xlfn.CONCAT("{BLACK}Length: {GOLD}", TEXT(ROUNDUP(IF(AS274&lt;&gt;"",SUM(VALUE(_xlfn.TEXTSPLIT(AS274, ","))), SUM(VALUE(_xlfn.TEXTSPLIT(AP274, ",")))*IF(P274, P274, 1))/16, 1), "#,##0.0"), " tiles{}")</f>
        <v>{BLACK}Length: {GOLD}1.4 tiles{}</v>
      </c>
      <c r="CI274" s="1" t="str">
        <f aca="false">IF(0, VLOOKUP($CG274, Constants!$M:$N, 2, FALSE()),"")</f>
        <v/>
      </c>
      <c r="CJ274" s="1" t="str">
        <f aca="false">IF(P274&gt;1,_xlfn.CONCAT("{BLACK}Cars: {GOLD}", P274),"")</f>
        <v>{BLACK}Cars: {GOLD}2</v>
      </c>
      <c r="CK274" s="1" t="s">
        <v>962</v>
      </c>
      <c r="CL274" s="1" t="str">
        <f aca="false">IF($BX274="concept_trains","{GREEN}Concept Vehicle",IF($BX274="!param_no_gameplay_units","{GREEN}Included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{GOLD}2{}{BLACK}Length: {GOLD}1.4 tiles{}{SILVER}The Class 414 2 HAP (Half Lavatory, electro-Pneumatic brake) is a Southern Region electric multiple unit, geared for express duties.</v>
      </c>
    </row>
    <row r="275" s="26" customFormat="true" ht="14.25" hidden="false" customHeight="false" outlineLevel="0" collapsed="false">
      <c r="A275" s="26" t="s">
        <v>963</v>
      </c>
      <c r="B275" s="27" t="s">
        <v>964</v>
      </c>
      <c r="C275" s="1" t="n">
        <v>3036</v>
      </c>
      <c r="E275" s="1" t="n">
        <v>339</v>
      </c>
      <c r="F275" s="1" t="s">
        <v>174</v>
      </c>
      <c r="G275" s="1" t="str">
        <f aca="false">IF($F275&lt;&gt;"",_xlfn.CONCAT(VLOOKUP($CE275, Constants!$T:$U, 2, FALSE()),",",$F275),VLOOKUP($CE275, Constants!$T:$U, 2, FALSE()))</f>
        <v>role/passenger,_ww_livery/brbluegrey</v>
      </c>
      <c r="H275" s="1" t="str">
        <f aca="false">IF($G275&lt;&gt;"",_xlfn.CONCAT(VLOOKUP($CG275, Constants!$M:$P, 4, FALSE()),",",$G275),VLOOKUP($CG275, Constants!$M:$P, 4, FALSE()))</f>
        <v>flag/GB,power/electric,role/passenger,_ww_livery/brbluegrey</v>
      </c>
      <c r="I275" s="26" t="s">
        <v>241</v>
      </c>
      <c r="J275" s="26" t="s">
        <v>466</v>
      </c>
      <c r="K275" s="26" t="s">
        <v>388</v>
      </c>
      <c r="L275" s="26" t="s">
        <v>541</v>
      </c>
      <c r="M275" s="26" t="n">
        <v>1956</v>
      </c>
      <c r="N275" s="26" t="n">
        <v>1989</v>
      </c>
      <c r="O275" s="26" t="n">
        <v>2004</v>
      </c>
      <c r="P275" s="26" t="n">
        <v>4</v>
      </c>
      <c r="Q275" s="26" t="n">
        <v>1000</v>
      </c>
      <c r="R275" s="2"/>
      <c r="S275" s="3"/>
      <c r="T275" s="3"/>
      <c r="U275" s="3"/>
      <c r="V275" s="3"/>
      <c r="W275" s="3"/>
      <c r="X275" s="3"/>
      <c r="Y275" s="3"/>
      <c r="Z275" s="26" t="n">
        <v>159.4</v>
      </c>
      <c r="AA275" s="2"/>
      <c r="AB275" s="26" t="n">
        <v>5</v>
      </c>
      <c r="AC275" s="26" t="n">
        <v>95</v>
      </c>
      <c r="AD275" s="4" t="n">
        <f aca="false">IF(AND(Z275&gt;0,AC275&gt;0),(AC275/((Z275+AA275)*10)),"")</f>
        <v>0.0595984943538269</v>
      </c>
      <c r="AE275" s="26" t="n">
        <v>90</v>
      </c>
      <c r="AF275" s="26" t="n">
        <f aca="false">ROUND(AE275*1.6, 0)</f>
        <v>144</v>
      </c>
      <c r="AH275" s="26" t="n">
        <v>19.64</v>
      </c>
      <c r="AI275" s="26" t="n">
        <v>20</v>
      </c>
      <c r="AJ275" s="26" t="n">
        <v>2.7</v>
      </c>
      <c r="AK275" s="26" t="n">
        <v>3.77</v>
      </c>
      <c r="AL275" s="5" t="n">
        <v>68</v>
      </c>
      <c r="AM275" s="1" t="str">
        <f aca="false">CONCATENATE(VLOOKUP(AN275, 'Voxel Sizes'!$A$2:$B$18,2,FALSE()),"x",INT(AJ275*15), "x", INT(AK275*15))</f>
        <v>198x40x56</v>
      </c>
      <c r="AN275" s="26" t="n">
        <f aca="false">ROUND(15*((AI275*10)/256),0)</f>
        <v>12</v>
      </c>
      <c r="AP275" s="1" t="str">
        <f aca="false">CONCATENATE(VLOOKUP(AN275,Constants!$A$2:$C$16,IF(AO275&lt;&gt;"", 3, 2), FALSE()),IF(AO275&lt;&gt;"",CONCATENATE(",",VLOOKUP(AO275,$B:$AP,41,FALSE())),""))</f>
        <v>4,4,4</v>
      </c>
      <c r="AR275" s="6"/>
      <c r="AS275" s="6"/>
      <c r="AT275" s="26" t="s">
        <v>965</v>
      </c>
      <c r="AV275" s="26" t="s">
        <v>966</v>
      </c>
      <c r="AW275" s="26" t="s">
        <v>967</v>
      </c>
      <c r="AZ275" s="26" t="n">
        <v>45</v>
      </c>
      <c r="BA275" s="16" t="n">
        <f aca="false">IF(O275&lt;&gt;"",MAX(16,(O275-M275)+8),"")</f>
        <v>56</v>
      </c>
      <c r="BB275" s="26" t="n">
        <v>-10</v>
      </c>
      <c r="BD275" s="26" t="n">
        <f aca="false">MIN(AE275/150, 1)*30</f>
        <v>18</v>
      </c>
      <c r="BE275" s="26" t="n">
        <f aca="false">MIN(Q275/4000, 1)*20</f>
        <v>5</v>
      </c>
      <c r="BF275" s="26" t="n">
        <f aca="false">MIN(AC275/400,1)*20</f>
        <v>4.75</v>
      </c>
      <c r="BG275" s="4" t="n">
        <f aca="false">1-(MAX(M275-1900, 0)/750)</f>
        <v>0.925333333333333</v>
      </c>
      <c r="BH275" s="26" t="n">
        <f aca="false">((MAX($P275,1)*MIN($AL275/300,1)))*IF(J275="Wagon",50,10)</f>
        <v>9.06666666666667</v>
      </c>
      <c r="BI275" s="1" t="n">
        <f aca="false">VLOOKUP($K275,Constants!$I:$K, 2, FALSE())</f>
        <v>0.85</v>
      </c>
      <c r="BJ275" s="1" t="n">
        <f aca="false">VLOOKUP($K275,Constants!$I:$K, 3, FALSE())*IF(AND(J275="multiple_unit",AE275&lt;110),0.75,1)</f>
        <v>1.725</v>
      </c>
      <c r="BK275" s="1" t="n">
        <f aca="false">INT(POWER(((Constants!$G$2+$BD275+$BE275+$BF275+$BH275)*$BG275)*$BJ275, 1.05))+$BC275</f>
        <v>82</v>
      </c>
      <c r="BL275" s="1" t="n">
        <f aca="false">INT(POWER((((Constants!$G$1+$BD275+$BE275+$BF275+$BH275)*($BG275))*$BI275),IF($J275="wagon",1,1.2)))+$BB275</f>
        <v>75</v>
      </c>
      <c r="BM275" s="17" t="n">
        <f aca="false">BK275*IF($J275="wagon",62.5,781.25)</f>
        <v>64062.5</v>
      </c>
      <c r="BN275" s="17" t="n">
        <f aca="false">BL275*IF($J275="wagon",2.73,81.25)</f>
        <v>6093.75</v>
      </c>
      <c r="BT275" s="1" t="str">
        <f aca="false">SREXPRESSEMU</f>
        <v>br_class_419,br_class_489,br_class_411,br_class_412,br_2hap,brel_class_421</v>
      </c>
      <c r="BU275" s="1" t="str">
        <f aca="false">IF(J275="locomotive","B","")</f>
        <v/>
      </c>
      <c r="BV275" s="1" t="str">
        <f aca="false">IF($J275="locomotive","B","")</f>
        <v/>
      </c>
      <c r="BY275" s="26" t="n">
        <v>2</v>
      </c>
      <c r="CC275" s="26" t="s">
        <v>367</v>
      </c>
      <c r="CD275" s="1" t="str">
        <f aca="false">VLOOKUP(M275,Eras!$A$2:$C$10, 2, TRUE())</f>
        <v>dsl</v>
      </c>
      <c r="CE275" s="26" t="s">
        <v>858</v>
      </c>
      <c r="CF275" s="26" t="str">
        <f aca="false">CONCATENATE(CD275,"_",CE275)</f>
        <v>dsl_EMU</v>
      </c>
      <c r="CG275" s="26" t="str">
        <f aca="false">_xlfn.CONCAT(K275, "_",L275)</f>
        <v>electric_THIRD_RAIL</v>
      </c>
      <c r="CH275" s="7" t="str">
        <f aca="false">_xlfn.CONCAT("{BLACK}Length: {GOLD}", TEXT(ROUNDUP(IF(AS275&lt;&gt;"",SUM(VALUE(_xlfn.TEXTSPLIT(AS275, ","))), SUM(VALUE(_xlfn.TEXTSPLIT(AP275, ",")))*IF(P275, P275, 1))/16, 1), "#,##0.0"), " tiles{}")</f>
        <v>{BLACK}Length: {GOLD}3.0 tiles{}</v>
      </c>
      <c r="CI275" s="1" t="str">
        <f aca="false">IF(0, VLOOKUP($CG275, Constants!$M:$N, 2, FALSE()),"")</f>
        <v/>
      </c>
      <c r="CJ275" s="1" t="str">
        <f aca="false">IF(P275&gt;1,_xlfn.CONCAT("{BLACK}Cars: {GOLD}", P275),"")</f>
        <v>{BLACK}Cars: {GOLD}4</v>
      </c>
      <c r="CK275" s="26" t="s">
        <v>968</v>
      </c>
      <c r="CL275" s="1" t="str">
        <f aca="false">IF($BX275="concept_trains","{GREEN}Concept Vehicle",IF($BX275="!param_no_gameplay_units","{GREEN}Included for gameplay purposes",""))</f>
        <v/>
      </c>
      <c r="CM275" s="26"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archetypal Mk1 Express EMU – 4CEP units were an evolution of the earlier southern 4COR units. 133 were built and they enjoyed a long career into the early 2000s.</v>
      </c>
      <c r="XFD275" s="1"/>
    </row>
    <row r="276" customFormat="false" ht="14.25" hidden="false" customHeight="false" outlineLevel="0" collapsed="false">
      <c r="A276" s="26" t="s">
        <v>969</v>
      </c>
      <c r="B276" s="25" t="s">
        <v>970</v>
      </c>
      <c r="C276" s="1" t="n">
        <v>4036</v>
      </c>
      <c r="D276" s="26" t="n">
        <v>3036</v>
      </c>
      <c r="E276" s="1" t="n">
        <v>340</v>
      </c>
      <c r="F276" s="1" t="s">
        <v>174</v>
      </c>
      <c r="G276" s="1" t="str">
        <f aca="false">IF($F276&lt;&gt;"",_xlfn.CONCAT(VLOOKUP($CE276, Constants!$T:$U, 2, FALSE()),",",$F276),VLOOKUP($CE276, Constants!$T:$U, 2, FALSE()))</f>
        <v>role/passenger,_ww_livery/brbluegrey</v>
      </c>
      <c r="H276" s="1" t="str">
        <f aca="false">IF($G276&lt;&gt;"",_xlfn.CONCAT(VLOOKUP($CG276, Constants!$M:$P, 4, FALSE()),",",$G276),VLOOKUP($CG276, Constants!$M:$P, 4, FALSE()))</f>
        <v>flag/GB,power/electric,role/passenger,_ww_livery/brbluegrey</v>
      </c>
      <c r="I276" s="26" t="s">
        <v>241</v>
      </c>
      <c r="J276" s="26" t="s">
        <v>466</v>
      </c>
      <c r="K276" s="26" t="s">
        <v>388</v>
      </c>
      <c r="L276" s="26" t="s">
        <v>541</v>
      </c>
      <c r="M276" s="26" t="n">
        <v>1956</v>
      </c>
      <c r="N276" s="26" t="n">
        <v>1989</v>
      </c>
      <c r="O276" s="26" t="n">
        <v>2004</v>
      </c>
      <c r="P276" s="26" t="n">
        <v>4</v>
      </c>
      <c r="Q276" s="26" t="n">
        <v>1000</v>
      </c>
      <c r="Z276" s="26" t="n">
        <v>161</v>
      </c>
      <c r="AB276" s="26" t="n">
        <v>5</v>
      </c>
      <c r="AC276" s="26" t="n">
        <v>95</v>
      </c>
      <c r="AD276" s="4" t="n">
        <f aca="false">IF(AND(Z276&gt;0,AC276&gt;0),(AC276/((Z276+AA276)*10)),"")</f>
        <v>0.0590062111801242</v>
      </c>
      <c r="AE276" s="26" t="n">
        <v>90</v>
      </c>
      <c r="AF276" s="26" t="n">
        <f aca="false">ROUND(AE276*1.6, 0)</f>
        <v>144</v>
      </c>
      <c r="AG276" s="26"/>
      <c r="AH276" s="26" t="n">
        <v>19.64</v>
      </c>
      <c r="AI276" s="26" t="n">
        <v>20</v>
      </c>
      <c r="AJ276" s="26" t="n">
        <v>2.7</v>
      </c>
      <c r="AK276" s="26" t="n">
        <v>3.77</v>
      </c>
      <c r="AL276" s="5" t="n">
        <v>58</v>
      </c>
      <c r="AM276" s="1" t="str">
        <f aca="false">CONCATENATE(VLOOKUP(AN276, 'Voxel Sizes'!$A$2:$B$18,2,FALSE()),"x",INT(AJ276*15), "x", INT(AK276*15))</f>
        <v>198x40x56</v>
      </c>
      <c r="AN276" s="26" t="n">
        <f aca="false">ROUND(15*((AI276*10)/256),0)</f>
        <v>12</v>
      </c>
      <c r="AO276" s="26"/>
      <c r="AP276" s="1" t="str">
        <f aca="false">CONCATENATE(VLOOKUP(AN276,Constants!$A$2:$C$16,IF(AO276&lt;&gt;"", 3, 2), FALSE()),IF(AO276&lt;&gt;"",CONCATENATE(",",VLOOKUP(AO276,$B:$AP,41,FALSE())),""))</f>
        <v>4,4,4</v>
      </c>
      <c r="AQ276" s="26"/>
      <c r="AT276" s="26" t="s">
        <v>971</v>
      </c>
      <c r="AU276" s="26"/>
      <c r="AV276" s="26" t="s">
        <v>972</v>
      </c>
      <c r="AW276" s="26" t="s">
        <v>967</v>
      </c>
      <c r="AX276" s="26"/>
      <c r="AY276" s="26"/>
      <c r="AZ276" s="26" t="n">
        <v>45</v>
      </c>
      <c r="BA276" s="16" t="n">
        <f aca="false">IF(O276&lt;&gt;"",MAX(16,(O276-M276)+8),"")</f>
        <v>56</v>
      </c>
      <c r="BB276" s="26"/>
      <c r="BC276" s="26" t="n">
        <v>10</v>
      </c>
      <c r="BD276" s="26" t="n">
        <f aca="false">MIN(AE276/150, 1)*30</f>
        <v>18</v>
      </c>
      <c r="BE276" s="26" t="n">
        <f aca="false">MIN(Q276/4000, 1)*20</f>
        <v>5</v>
      </c>
      <c r="BF276" s="26" t="n">
        <f aca="false">MIN(AC276/400,1)*20</f>
        <v>4.75</v>
      </c>
      <c r="BG276" s="4" t="n">
        <f aca="false">1-(MAX(M276-1900, 0)/750)</f>
        <v>0.925333333333333</v>
      </c>
      <c r="BH276" s="26" t="n">
        <f aca="false">((MAX($P276,1)*MIN($AL276/300,1)))*IF(J276="Wagon",50,10)</f>
        <v>7.73333333333333</v>
      </c>
      <c r="BI276" s="1" t="n">
        <f aca="false">VLOOKUP($K276,Constants!$I:$K, 2, FALSE())</f>
        <v>0.85</v>
      </c>
      <c r="BJ276" s="1" t="n">
        <f aca="false">VLOOKUP($K276,Constants!$I:$K, 3, FALSE())*IF(AND(J276="multiple_unit",AE276&lt;110),0.75,1)</f>
        <v>1.725</v>
      </c>
      <c r="BK276" s="1" t="n">
        <f aca="false">INT(POWER(((Constants!$G$2+$BD276+$BE276+$BF276+$BH276)*$BG276)*$BJ276, 1.05))+$BC276</f>
        <v>89</v>
      </c>
      <c r="BL276" s="1" t="n">
        <f aca="false">INT(POWER((((Constants!$G$1+$BD276+$BE276+$BF276+$BH276)*($BG276))*$BI276),IF($J276="wagon",1,1.2)))+$BB276</f>
        <v>82</v>
      </c>
      <c r="BM276" s="17" t="n">
        <f aca="false">BK276*IF($J276="wagon",62.5,781.25)</f>
        <v>69531.25</v>
      </c>
      <c r="BN276" s="17" t="n">
        <f aca="false">BL276*IF($J276="wagon",2.73,81.25)</f>
        <v>6662.5</v>
      </c>
      <c r="BO276" s="26"/>
      <c r="BP276" s="26"/>
      <c r="BQ276" s="26"/>
      <c r="BR276" s="26"/>
      <c r="BS276" s="26"/>
      <c r="BT276" s="1" t="str">
        <f aca="false">SREXPRESSEMU</f>
        <v>br_class_419,br_class_489,br_class_411,br_class_412,br_2hap,brel_class_421</v>
      </c>
      <c r="BU276" s="1" t="str">
        <f aca="false">IF(J276="locomotive","B","")</f>
        <v/>
      </c>
      <c r="BV276" s="1" t="str">
        <f aca="false">IF($J276="locomotive","B","")</f>
        <v/>
      </c>
      <c r="BW276" s="26"/>
      <c r="BX276" s="26"/>
      <c r="BY276" s="26" t="n">
        <v>2</v>
      </c>
      <c r="BZ276" s="26"/>
      <c r="CA276" s="26" t="s">
        <v>973</v>
      </c>
      <c r="CB276" s="26"/>
      <c r="CC276" s="26" t="s">
        <v>367</v>
      </c>
      <c r="CD276" s="1" t="str">
        <f aca="false">VLOOKUP(M276,Eras!$A$2:$C$10, 2, TRUE())</f>
        <v>dsl</v>
      </c>
      <c r="CE276" s="26" t="s">
        <v>858</v>
      </c>
      <c r="CF276" s="26" t="str">
        <f aca="false">CONCATENATE(CD276,"_",CE276)</f>
        <v>dsl_EMU</v>
      </c>
      <c r="CG276" s="26" t="str">
        <f aca="false">_xlfn.CONCAT(K276, "_",L276)</f>
        <v>electric_THIRD_RAIL</v>
      </c>
      <c r="CH276" s="7" t="str">
        <f aca="false">_xlfn.CONCAT("{BLACK}Length: {GOLD}", TEXT(ROUNDUP(IF(AS276&lt;&gt;"",SUM(VALUE(_xlfn.TEXTSPLIT(AS276, ","))), SUM(VALUE(_xlfn.TEXTSPLIT(AP276, ",")))*IF(P276, P276, 1))/16, 1), "#,##0.0"), " tiles{}")</f>
        <v>{BLACK}Length: {GOLD}3.0 tiles{}</v>
      </c>
      <c r="CI276" s="1" t="str">
        <f aca="false">IF(0, VLOOKUP($CG276, Constants!$M:$N, 2, FALSE()),"")</f>
        <v/>
      </c>
      <c r="CJ276" s="1" t="str">
        <f aca="false">IF(P276&gt;1,_xlfn.CONCAT("{BLACK}Cars: {GOLD}", P276),"")</f>
        <v>{BLACK}Cars: {GOLD}4</v>
      </c>
      <c r="CK276" s="26" t="s">
        <v>974</v>
      </c>
      <c r="CL276" s="1" t="str">
        <f aca="false">IF($BX276="concept_trains","{GREEN}Concept Vehicle",IF($BX276="!param_no_gameplay_units","{GREEN}Included for gameplay purposes",""))</f>
        <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{YELLOW}25% long distance bonus for consist{}</v>
      </c>
      <c r="CN276" s="1" t="str">
        <f aca="false">_xlfn.CONCAT(CI276,IF(CI276&lt;&gt;""," ",""),CJ276,IF(OR(CJ276&lt;&gt;"",CI276&lt;&gt;""),"{}",""),CH276,CM276,"{SILVER}",CK276,IF(CL276&lt;&gt;"","{}{}",""),CL276)</f>
        <v>{BLACK}Cars: {GOLD}4{}{BLACK}Length: {GOLD}3.0 tiles{}{YELLOW}25% long distance bonus for consist{}{SILVER}22 4BEP units were built to provide catering in trains otherwise comprised of 4CEP stock. They were replaced by Class 444 ‘Desiro’ trains, mostly retiring in 2004.</v>
      </c>
      <c r="CO276" s="26"/>
      <c r="CP276" s="26"/>
    </row>
    <row r="277" customFormat="false" ht="14.9" hidden="false" customHeight="true" outlineLevel="0" collapsed="false">
      <c r="A277" s="1" t="s">
        <v>975</v>
      </c>
      <c r="B277" s="25" t="s">
        <v>976</v>
      </c>
      <c r="C277" s="1" t="n">
        <v>4049</v>
      </c>
      <c r="E277" s="1" t="n">
        <v>341</v>
      </c>
      <c r="F277" s="1" t="s">
        <v>171</v>
      </c>
      <c r="G277" s="1" t="str">
        <f aca="false">IF($F277&lt;&gt;"",_xlfn.CONCAT(VLOOKUP($CE277, Constants!$T:$U, 2, FALSE()),",",$F277),VLOOKUP($CE277, Constants!$T:$U, 2, FALSE()))</f>
        <v>role/passenger,_ww_livery/brblue</v>
      </c>
      <c r="H277" s="1" t="str">
        <f aca="false">IF($G277&lt;&gt;"",_xlfn.CONCAT(VLOOKUP($CG277, Constants!$M:$P, 4, FALSE()),",",$G277),VLOOKUP($CG277, Constants!$M:$P, 4, FALSE()))</f>
        <v>flag/GB,power/diesel,role/passenger,_ww_livery/brblue</v>
      </c>
      <c r="I277" s="1" t="s">
        <v>241</v>
      </c>
      <c r="J277" s="1" t="s">
        <v>466</v>
      </c>
      <c r="K277" s="1" t="s">
        <v>525</v>
      </c>
      <c r="L277" s="1" t="s">
        <v>192</v>
      </c>
      <c r="M277" s="1" t="n">
        <v>1958</v>
      </c>
      <c r="N277" s="1" t="n">
        <v>1959</v>
      </c>
      <c r="O277" s="1" t="n">
        <v>1988</v>
      </c>
      <c r="P277" s="1" t="n">
        <v>4</v>
      </c>
      <c r="Q277" s="1" t="n">
        <v>952</v>
      </c>
      <c r="Z277" s="1" t="n">
        <v>139</v>
      </c>
      <c r="AB277" s="1" t="n">
        <v>5</v>
      </c>
      <c r="AC277" s="1" t="n">
        <v>65</v>
      </c>
      <c r="AD277" s="4" t="n">
        <f aca="false">IF(AND(Z277&gt;0,AC277&gt;0),(AC277/((Z277+AA277)*10)),"")</f>
        <v>0.0467625899280576</v>
      </c>
      <c r="AE277" s="1" t="n">
        <v>70</v>
      </c>
      <c r="AF277" s="1" t="n">
        <f aca="false">ROUND(AE277*1.6, 0)</f>
        <v>112</v>
      </c>
      <c r="AH277" s="1" t="n">
        <v>19.51</v>
      </c>
      <c r="AI277" s="1" t="n">
        <v>19.51</v>
      </c>
      <c r="AJ277" s="1" t="n">
        <v>2.82</v>
      </c>
      <c r="AK277" s="1" t="n">
        <v>3.77</v>
      </c>
      <c r="AL277" s="5" t="n">
        <v>77</v>
      </c>
      <c r="AM277" s="1" t="str">
        <f aca="false">CONCATENATE(VLOOKUP(AN277, 'Voxel Sizes'!$A$2:$B$18,2,FALSE()),"x",INT(AJ277*15), "x", INT(AK277*15))</f>
        <v>186x42x56</v>
      </c>
      <c r="AN277" s="16" t="n">
        <f aca="false">ROUND(15*((AI277*10)/256),0)</f>
        <v>11</v>
      </c>
      <c r="AP277" s="1" t="str">
        <f aca="false">CONCATENATE(VLOOKUP(AN277,Constants!$A$2:$C$16,IF(AO277&lt;&gt;"", 3, 2), FALSE()),IF(AO277&lt;&gt;"",CONCATENATE(",",VLOOKUP(AO277,$B:$AP,41,FALSE())),""))</f>
        <v>4,3,4</v>
      </c>
      <c r="AQ277" s="1" t="s">
        <v>977</v>
      </c>
      <c r="AT277" s="1" t="s">
        <v>978</v>
      </c>
      <c r="AV277" s="1" t="s">
        <v>966</v>
      </c>
      <c r="AW277" s="1" t="s">
        <v>979</v>
      </c>
      <c r="AZ277" s="1" t="n">
        <v>45</v>
      </c>
      <c r="BA277" s="16" t="n">
        <v>45</v>
      </c>
      <c r="BB277" s="1" t="n">
        <v>-13</v>
      </c>
      <c r="BC277" s="1" t="n">
        <v>-12</v>
      </c>
      <c r="BD277" s="20" t="n">
        <f aca="false">MIN(AE277/150, 1)*30</f>
        <v>14</v>
      </c>
      <c r="BE277" s="20" t="n">
        <f aca="false">MIN(Q277/4000, 1)*20</f>
        <v>4.76</v>
      </c>
      <c r="BF277" s="20" t="n">
        <f aca="false">MIN(AC277/400,1)*20</f>
        <v>3.25</v>
      </c>
      <c r="BG277" s="21" t="n">
        <f aca="false">1-(MAX(M277-1900, 0)/750)</f>
        <v>0.922666666666667</v>
      </c>
      <c r="BH277" s="20" t="n">
        <f aca="false">((MAX($P277,1)*MIN($AL277/300,1)))*IF(J277="Wagon",50,10)</f>
        <v>10.2666666666667</v>
      </c>
      <c r="BI277" s="1" t="n">
        <f aca="false">VLOOKUP($K277,Constants!$I:$K, 2, FALSE())</f>
        <v>1</v>
      </c>
      <c r="BJ277" s="1" t="n">
        <f aca="false">VLOOKUP($K277,Constants!$I:$K, 3, FALSE())*IF(AND(J277="multiple_unit",AE277&lt;110),0.75,1)</f>
        <v>1.5</v>
      </c>
      <c r="BK277" s="1" t="n">
        <f aca="false">INT(POWER(((Constants!$G$2+$BD277+$BE277+$BF277+$BH277)*$BG277)*$BJ277, 1.05))+$BC277</f>
        <v>50</v>
      </c>
      <c r="BL277" s="1" t="n">
        <f aca="false">INT(POWER((((Constants!$G$1+$BD277+$BE277+$BF277+$BH277)*($BG277))*$BI277),IF($J277="wagon",1,1.2)))+$BB277</f>
        <v>79</v>
      </c>
      <c r="BM277" s="22" t="n">
        <f aca="false">BK277*IF($J277="wagon",62.5,781.25)</f>
        <v>39062.5</v>
      </c>
      <c r="BN277" s="22" t="n">
        <f aca="false">BL277*IF($J277="wagon",2.73,81.25)</f>
        <v>6418.75</v>
      </c>
      <c r="BT27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7" s="1" t="str">
        <f aca="false">IF(J277="locomotive","B","")</f>
        <v/>
      </c>
      <c r="BV277" s="1" t="str">
        <f aca="false">IF($J277="locomotive","B","")</f>
        <v/>
      </c>
      <c r="BY277" s="1" t="n">
        <v>11</v>
      </c>
      <c r="BZ277" s="1" t="n">
        <v>148</v>
      </c>
      <c r="CB277" s="1" t="s">
        <v>366</v>
      </c>
      <c r="CC277" s="1" t="s">
        <v>367</v>
      </c>
      <c r="CD277" s="23" t="s">
        <v>611</v>
      </c>
      <c r="CE277" s="1" t="s">
        <v>824</v>
      </c>
      <c r="CF277" s="23" t="str">
        <f aca="false">CONCATENATE(CD277,"_",CE277)</f>
        <v>dsl_DMU</v>
      </c>
      <c r="CG277" s="23" t="str">
        <f aca="false">_xlfn.CONCAT(K277, "_",L277)</f>
        <v>diesel_RAIL</v>
      </c>
      <c r="CH277" s="7" t="str">
        <f aca="false">_xlfn.CONCAT("{BLACK}Length: {GOLD}", TEXT(ROUNDUP(IF(AS277&lt;&gt;"",SUM(VALUE(_xlfn.TEXTSPLIT(AS277, ","))), SUM(VALUE(_xlfn.TEXTSPLIT(AP277, ",")))*IF(P277, P277, 1))/16, 1), "#,##0.0"), " tiles{}")</f>
        <v>{BLACK}Length: {GOLD}2.8 tiles{}</v>
      </c>
      <c r="CI277" s="1" t="str">
        <f aca="false">IF(0, VLOOKUP($CG277, Constants!$M:$N, 2, FALSE()),"")</f>
        <v/>
      </c>
      <c r="CJ277" s="1" t="str">
        <f aca="false">IF(P277&gt;1,_xlfn.CONCAT("{BLACK}Cars: {GOLD}", P277),"")</f>
        <v>{BLACK}Cars: {GOLD}4</v>
      </c>
      <c r="CK277" s="1" t="s">
        <v>980</v>
      </c>
      <c r="CL277" s="1" t="str">
        <f aca="false">IF($BX277="concept_trains","{GREEN}Concept Vehicle",IF($BX277="!param_no_gameplay_units","{GREEN}Included for gameplay purposes",""))</f>
        <v/>
      </c>
      <c r="CM277" s="1" t="str">
        <f aca="false">IF(CA277="buffet","{YELLOW}25% long distance bonus for consist{}",IF(CB277="DANDY","{YELLOW}Faster downhill speeds for horse-drawn trains (1 required per 2 horses){}",IF(CB277="BRAKE","{YELLOW}Speed bonus for slow wagons{}",IF(CB277="NGPassengers","{YELLOW}Preserved railway bonus: passengers pay more when hauled by old locomotives{}",IF(AND(BZ277&gt;190,NOT(AND(L277="NARROW_GAUGE",CB277&lt;&gt;"PASS"))),CONCATENATE("{YELLOW}",INT((BZ277-185)/1.85),"% bonus for long distance travel{}"),IF(AND(BZ277&lt;180,BZ277&lt;&gt;0),CONCATENATE("{YELLOW}",INT((185-BZ277)/1.85),"% penalty for long distance travel{}"),""))))))</f>
        <v>{YELLOW}20% penalty for long distance travel{}</v>
      </c>
      <c r="CN277" s="1" t="str">
        <f aca="false">_xlfn.CONCAT(CI277,IF(CI277&lt;&gt;""," ",""),CJ277,IF(OR(CJ277&lt;&gt;"",CI277&lt;&gt;""),"{}",""),CH277,CM277,"{SILVER}",CK277,IF(CL277&lt;&gt;"","{}{}",""),CL277)</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78" customFormat="false" ht="14.25" hidden="false" customHeight="false" outlineLevel="0" collapsed="false">
      <c r="A278" s="1" t="s">
        <v>975</v>
      </c>
      <c r="B278" s="25" t="s">
        <v>981</v>
      </c>
      <c r="C278" s="1" t="n">
        <v>4050</v>
      </c>
      <c r="D278" s="1" t="n">
        <v>4049</v>
      </c>
      <c r="E278" s="1" t="n">
        <v>342</v>
      </c>
      <c r="F278" s="1" t="s">
        <v>174</v>
      </c>
      <c r="G278" s="1" t="str">
        <f aca="false">IF($F278&lt;&gt;"",_xlfn.CONCAT(VLOOKUP($CE278, Constants!$T:$U, 2, FALSE()),",",$F278),VLOOKUP($CE278, Constants!$T:$U, 2, FALSE()))</f>
        <v>role/passenger,_ww_livery/brbluegrey</v>
      </c>
      <c r="H278" s="1" t="str">
        <f aca="false">IF($G278&lt;&gt;"",_xlfn.CONCAT(VLOOKUP($CG278, Constants!$M:$P, 4, FALSE()),",",$G278),VLOOKUP($CG278, Constants!$M:$P, 4, FALSE()))</f>
        <v>flag/GB,power/diesel,role/passenger,_ww_livery/brbluegrey</v>
      </c>
      <c r="I278" s="1" t="s">
        <v>241</v>
      </c>
      <c r="J278" s="1" t="s">
        <v>466</v>
      </c>
      <c r="K278" s="1" t="s">
        <v>525</v>
      </c>
      <c r="L278" s="1" t="s">
        <v>192</v>
      </c>
      <c r="M278" s="1" t="n">
        <v>1958</v>
      </c>
      <c r="N278" s="1" t="n">
        <v>1959</v>
      </c>
      <c r="O278" s="1" t="n">
        <v>1988</v>
      </c>
      <c r="P278" s="1" t="n">
        <v>4</v>
      </c>
      <c r="Q278" s="1" t="n">
        <v>952</v>
      </c>
      <c r="Z278" s="1" t="n">
        <v>139</v>
      </c>
      <c r="AB278" s="1" t="n">
        <v>5</v>
      </c>
      <c r="AC278" s="1" t="n">
        <v>65</v>
      </c>
      <c r="AD278" s="4" t="n">
        <f aca="false">IF(AND(Z278&gt;0,AC278&gt;0),(AC278/((Z278+AA278)*10)),"")</f>
        <v>0.0467625899280576</v>
      </c>
      <c r="AE278" s="1" t="n">
        <v>70</v>
      </c>
      <c r="AF278" s="1" t="n">
        <f aca="false">ROUND(AE278*1.6, 0)</f>
        <v>112</v>
      </c>
      <c r="AH278" s="1" t="n">
        <v>19.51</v>
      </c>
      <c r="AI278" s="1" t="n">
        <v>19.51</v>
      </c>
      <c r="AJ278" s="1" t="n">
        <v>2.82</v>
      </c>
      <c r="AK278" s="1" t="n">
        <v>3.77</v>
      </c>
      <c r="AL278" s="5" t="n">
        <v>77</v>
      </c>
      <c r="AM278" s="1" t="str">
        <f aca="false">CONCATENATE(VLOOKUP(AN278, 'Voxel Sizes'!$A$2:$B$18,2,FALSE()),"x",INT(AJ278*15), "x", INT(AK278*15))</f>
        <v>186x42x56</v>
      </c>
      <c r="AN278" s="16" t="n">
        <f aca="false">ROUND(15*((AI278*10)/256),0)</f>
        <v>11</v>
      </c>
      <c r="AP278" s="1" t="str">
        <f aca="false">CONCATENATE(VLOOKUP(AN278,Constants!$A$2:$C$16,IF(AO278&lt;&gt;"", 3, 2), FALSE()),IF(AO278&lt;&gt;"",CONCATENATE(",",VLOOKUP(AO278,$B:$AP,41,FALSE())),""))</f>
        <v>4,3,4</v>
      </c>
      <c r="AQ278" s="1" t="s">
        <v>977</v>
      </c>
      <c r="AT278" s="1" t="s">
        <v>982</v>
      </c>
      <c r="AV278" s="1" t="s">
        <v>966</v>
      </c>
      <c r="AW278" s="1" t="s">
        <v>983</v>
      </c>
      <c r="AZ278" s="1" t="n">
        <v>45</v>
      </c>
      <c r="BA278" s="16" t="n">
        <v>45</v>
      </c>
      <c r="BB278" s="1" t="n">
        <v>-13</v>
      </c>
      <c r="BC278" s="1" t="n">
        <v>-12</v>
      </c>
      <c r="BD278" s="20" t="n">
        <f aca="false">MIN(AE278/150, 1)*30</f>
        <v>14</v>
      </c>
      <c r="BE278" s="20" t="n">
        <f aca="false">MIN(Q278/4000, 1)*20</f>
        <v>4.76</v>
      </c>
      <c r="BF278" s="20" t="n">
        <f aca="false">MIN(AC278/400,1)*20</f>
        <v>3.25</v>
      </c>
      <c r="BG278" s="21" t="n">
        <f aca="false">1-(MAX(M278-1900, 0)/750)</f>
        <v>0.922666666666667</v>
      </c>
      <c r="BH278" s="20" t="n">
        <f aca="false">((MAX($P278,1)*MIN($AL278/300,1)))*IF(J278="Wagon",50,10)</f>
        <v>10.2666666666667</v>
      </c>
      <c r="BI278" s="1" t="n">
        <f aca="false">VLOOKUP($K278,Constants!$I:$K, 2, FALSE())</f>
        <v>1</v>
      </c>
      <c r="BJ278" s="1" t="n">
        <f aca="false">VLOOKUP($K278,Constants!$I:$K, 3, FALSE())*IF(AND(J278="multiple_unit",AE278&lt;110),0.75,1)</f>
        <v>1.5</v>
      </c>
      <c r="BK278" s="1" t="n">
        <f aca="false">INT(POWER(((Constants!$G$2+$BD278+$BE278+$BF278+$BH278)*$BG278)*$BJ278, 1.05))+$BC278</f>
        <v>50</v>
      </c>
      <c r="BL278" s="1" t="n">
        <f aca="false">INT(POWER((((Constants!$G$1+$BD278+$BE278+$BF278+$BH278)*($BG278))*$BI278),IF($J278="wagon",1,1.2)))+$BB278</f>
        <v>79</v>
      </c>
      <c r="BM278" s="22" t="n">
        <f aca="false">BK278*IF($J278="wagon",62.5,781.25)</f>
        <v>39062.5</v>
      </c>
      <c r="BN278" s="22" t="n">
        <f aca="false">BL278*IF($J278="wagon",2.73,81.25)</f>
        <v>6418.75</v>
      </c>
      <c r="BT27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8" s="1" t="str">
        <f aca="false">IF(J278="locomotive","B","")</f>
        <v/>
      </c>
      <c r="BV278" s="1" t="str">
        <f aca="false">IF($J278="locomotive","B","")</f>
        <v/>
      </c>
      <c r="BY278" s="1" t="n">
        <v>11</v>
      </c>
      <c r="BZ278" s="1" t="n">
        <v>148</v>
      </c>
      <c r="CB278" s="1" t="s">
        <v>366</v>
      </c>
      <c r="CC278" s="1" t="s">
        <v>367</v>
      </c>
      <c r="CD278" s="23" t="s">
        <v>611</v>
      </c>
      <c r="CE278" s="1" t="s">
        <v>824</v>
      </c>
      <c r="CF278" s="23" t="str">
        <f aca="false">CONCATENATE(CD278,"_",CE278)</f>
        <v>dsl_DMU</v>
      </c>
      <c r="CG278" s="23" t="str">
        <f aca="false">_xlfn.CONCAT(K278, "_",L278)</f>
        <v>diesel_RAIL</v>
      </c>
      <c r="CH278" s="7" t="str">
        <f aca="false">_xlfn.CONCAT("{BLACK}Length: {GOLD}", TEXT(ROUNDUP(IF(AS278&lt;&gt;"",SUM(VALUE(_xlfn.TEXTSPLIT(AS278, ","))), SUM(VALUE(_xlfn.TEXTSPLIT(AP278, ",")))*IF(P278, P278, 1))/16, 1), "#,##0.0"), " tiles{}")</f>
        <v>{BLACK}Length: {GOLD}2.8 tiles{}</v>
      </c>
      <c r="CI278" s="1" t="str">
        <f aca="false">IF(0, VLOOKUP($CG278, Constants!$M:$N, 2, FALSE()),"")</f>
        <v/>
      </c>
      <c r="CJ278" s="1" t="str">
        <f aca="false">IF(P278&gt;1,_xlfn.CONCAT("{BLACK}Cars: {GOLD}", P278),"")</f>
        <v>{BLACK}Cars: {GOLD}4</v>
      </c>
      <c r="CK278" s="1" t="s">
        <v>980</v>
      </c>
      <c r="CL278" s="1" t="str">
        <f aca="false">IF($BX278="concept_trains","{GREEN}Concept Vehicle",IF($BX278="!param_no_gameplay_units","{GREEN}Included for gameplay purposes",""))</f>
        <v/>
      </c>
      <c r="CM278" s="1" t="str">
        <f aca="false">IF(CA278="buffet","{YELLOW}25% long distance bonus for consist{}",IF(CB278="DANDY","{YELLOW}Faster downhill speeds for horse-drawn trains (1 required per 2 horses){}",IF(CB278="BRAKE","{YELLOW}Speed bonus for slow wagons{}",IF(CB278="NGPassengers","{YELLOW}Preserved railway bonus: passengers pay more when hauled by old locomotives{}",IF(AND(BZ278&gt;190,NOT(AND(L278="NARROW_GAUGE",CB278&lt;&gt;"PASS"))),CONCATENATE("{YELLOW}",INT((BZ278-185)/1.85),"% bonus for long distance travel{}"),IF(AND(BZ278&lt;180,BZ278&lt;&gt;0),CONCATENATE("{YELLOW}",INT((185-BZ278)/1.85),"% penalty for long distance travel{}"),""))))))</f>
        <v>{YELLOW}20% penalty for long distance travel{}</v>
      </c>
      <c r="CN278" s="1" t="str">
        <f aca="false">_xlfn.CONCAT(CI278,IF(CI278&lt;&gt;""," ",""),CJ278,IF(OR(CJ278&lt;&gt;"",CI278&lt;&gt;""),"{}",""),CH278,CM278,"{SILVER}",CK278,IF(CL278&lt;&gt;"","{}{}",""),CL278)</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79" customFormat="false" ht="14.25" hidden="false" customHeight="false" outlineLevel="0" collapsed="false">
      <c r="A279" s="1" t="s">
        <v>984</v>
      </c>
      <c r="B279" s="19" t="s">
        <v>985</v>
      </c>
      <c r="C279" s="1" t="n">
        <v>1052</v>
      </c>
      <c r="E279" s="1" t="n">
        <v>343</v>
      </c>
      <c r="F279" s="1" t="s">
        <v>171</v>
      </c>
      <c r="G279" s="1" t="str">
        <f aca="false">IF($F279&lt;&gt;"",_xlfn.CONCAT(VLOOKUP($CE279, Constants!$T:$U, 2, FALSE()),",",$F279),VLOOKUP($CE279, Constants!$T:$U, 2, FALSE()))</f>
        <v>role/mail,_ww_livery/brblue</v>
      </c>
      <c r="H279" s="1" t="str">
        <f aca="false">IF($G279&lt;&gt;"",_xlfn.CONCAT(VLOOKUP($CG279, Constants!$M:$P, 4, FALSE()),",",$G279),VLOOKUP($CG279, Constants!$M:$P, 4, FALSE()))</f>
        <v>flag/GB,power/diesel,role/mail,_ww_livery/brblue</v>
      </c>
      <c r="I279" s="1" t="s">
        <v>241</v>
      </c>
      <c r="J279" s="1" t="s">
        <v>466</v>
      </c>
      <c r="K279" s="1" t="s">
        <v>525</v>
      </c>
      <c r="L279" s="1" t="s">
        <v>192</v>
      </c>
      <c r="M279" s="1" t="n">
        <v>1959</v>
      </c>
      <c r="O279" s="1" t="n">
        <v>1991</v>
      </c>
      <c r="P279" s="1" t="n">
        <v>1</v>
      </c>
      <c r="Q279" s="1" t="n">
        <v>460</v>
      </c>
      <c r="Z279" s="1" t="n">
        <v>41</v>
      </c>
      <c r="AB279" s="1" t="n">
        <v>6</v>
      </c>
      <c r="AC279" s="1" t="n">
        <v>65</v>
      </c>
      <c r="AD279" s="4" t="n">
        <f aca="false">IF(AND(Z279&gt;0,AC279&gt;0),(AC279/((Z279+AA279)*10)),"")</f>
        <v>0.158536585365854</v>
      </c>
      <c r="AE279" s="1" t="n">
        <v>70</v>
      </c>
      <c r="AF279" s="1" t="n">
        <f aca="false">ROUND(AE279*1.6, 0)</f>
        <v>112</v>
      </c>
      <c r="AH279" s="1" t="n">
        <v>19.66</v>
      </c>
      <c r="AI279" s="1" t="n">
        <v>19.66</v>
      </c>
      <c r="AK279" s="1" t="n">
        <v>3.77</v>
      </c>
      <c r="AL279" s="5" t="n">
        <v>72</v>
      </c>
      <c r="AM279" s="1" t="str">
        <f aca="false">CONCATENATE(VLOOKUP(AN279, 'Voxel Sizes'!$A$2:$B$18,2,FALSE()),"x",INT(AJ279*15), "x", INT(AK279*15))</f>
        <v>198x0x56</v>
      </c>
      <c r="AN279" s="16" t="n">
        <f aca="false">ROUND(15*((AI279*10)/256),0)</f>
        <v>12</v>
      </c>
      <c r="AP279" s="1" t="str">
        <f aca="false">CONCATENATE(VLOOKUP(AN279,Constants!$A$2:$C$16,IF(AO279&lt;&gt;"", 3, 2), FALSE()),IF(AO279&lt;&gt;"",CONCATENATE(",",VLOOKUP(AO279,$B:$AP,41,FALSE())),""))</f>
        <v>4,4,4</v>
      </c>
      <c r="AT279" s="1" t="s">
        <v>985</v>
      </c>
      <c r="AV279" s="1" t="n">
        <v>1</v>
      </c>
      <c r="AZ279" s="1" t="n">
        <v>45</v>
      </c>
      <c r="BA279" s="16" t="n">
        <f aca="false">IF(O279&lt;&gt;"",MAX(16,(O279-M279)+8),"")</f>
        <v>40</v>
      </c>
      <c r="BB279" s="1" t="n">
        <v>-10</v>
      </c>
      <c r="BC279" s="1" t="n">
        <v>-15</v>
      </c>
      <c r="BD279" s="20" t="n">
        <f aca="false">MIN(AE279/150, 1)*30</f>
        <v>14</v>
      </c>
      <c r="BE279" s="20" t="n">
        <f aca="false">MIN(Q279/4000, 1)*20</f>
        <v>2.3</v>
      </c>
      <c r="BF279" s="20" t="n">
        <f aca="false">MIN(AC279/400,1)*20</f>
        <v>3.25</v>
      </c>
      <c r="BG279" s="21" t="n">
        <f aca="false">1-(MAX(M279-1900, 0)/750)</f>
        <v>0.921333333333333</v>
      </c>
      <c r="BH279" s="20" t="n">
        <f aca="false">((MAX($P279,1)*MIN($AL279/300,1)))*IF(J279="Wagon",50,10)</f>
        <v>2.4</v>
      </c>
      <c r="BI279" s="1" t="n">
        <f aca="false">VLOOKUP($K279,Constants!$I:$K, 2, FALSE())</f>
        <v>1</v>
      </c>
      <c r="BJ279" s="1" t="n">
        <f aca="false">VLOOKUP($K279,Constants!$I:$K, 3, FALSE())*IF(AND(J279="multiple_unit",AE279&lt;110),0.75,1)</f>
        <v>1.5</v>
      </c>
      <c r="BK279" s="1" t="n">
        <f aca="false">INT(POWER(((Constants!$G$2+$BD279+$BE279+$BF279+$BH279)*$BG279)*$BJ279, 1.05))+$BC279</f>
        <v>29</v>
      </c>
      <c r="BL279" s="1" t="n">
        <f aca="false">INT(POWER((((Constants!$G$1+$BD279+$BE279+$BF279+$BH279)*($BG279))*$BI279),IF($J279="wagon",1,1.2)))+$BB279</f>
        <v>58</v>
      </c>
      <c r="BM279" s="22" t="n">
        <f aca="false">BK279*IF($J279="wagon",62.5,781.25)</f>
        <v>22656.25</v>
      </c>
      <c r="BN279" s="22" t="n">
        <f aca="false">BL279*IF($J279="wagon",2.73,81.25)</f>
        <v>4712.5</v>
      </c>
      <c r="BQ279" s="1" t="n">
        <v>1</v>
      </c>
      <c r="BT27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9" s="1" t="str">
        <f aca="false">IF(J279="locomotive","B","")</f>
        <v/>
      </c>
      <c r="BV279" s="1" t="str">
        <f aca="false">IF($J279="locomotive","B","")</f>
        <v/>
      </c>
      <c r="BY279" s="1" t="n">
        <v>4</v>
      </c>
      <c r="BZ279" s="1" t="n">
        <v>185</v>
      </c>
      <c r="CC279" s="1" t="s">
        <v>706</v>
      </c>
      <c r="CD279" s="23" t="s">
        <v>611</v>
      </c>
      <c r="CE279" s="1" t="s">
        <v>144</v>
      </c>
      <c r="CF279" s="23" t="str">
        <f aca="false">CONCATENATE(CD279,"_",CE279)</f>
        <v>dsl_Mail</v>
      </c>
      <c r="CG279" s="23" t="str">
        <f aca="false">_xlfn.CONCAT(K279, "_",L279)</f>
        <v>diesel_RAIL</v>
      </c>
      <c r="CH279" s="7" t="str">
        <f aca="false">_xlfn.CONCAT("{BLACK}Length: {GOLD}", TEXT(ROUNDUP(IF(AS279&lt;&gt;"",SUM(VALUE(_xlfn.TEXTSPLIT(AS279, ","))), SUM(VALUE(_xlfn.TEXTSPLIT(AP279, ",")))*IF(P279, P279, 1))/16, 1), "#,##0.0"), " tiles{}")</f>
        <v>{BLACK}Length: {GOLD}0.8 tiles{}</v>
      </c>
      <c r="CI279" s="1" t="str">
        <f aca="false">IF(0, VLOOKUP($CG279, Constants!$M:$N, 2, FALSE()),"")</f>
        <v/>
      </c>
      <c r="CJ279" s="1" t="str">
        <f aca="false">IF(P279&gt;1,_xlfn.CONCAT("{BLACK}Cars: {GOLD}", P279),"")</f>
        <v/>
      </c>
      <c r="CK279" s="1" t="s">
        <v>986</v>
      </c>
      <c r="CL279" s="1" t="str">
        <f aca="false">IF($BX279="concept_trains","{GREEN}Concept Vehicle",IF($BX279="!param_no_gameplay_units","{GREEN}Included for gameplay purposes",""))</f>
        <v/>
      </c>
      <c r="CM279" s="1" t="str">
        <f aca="false">IF(CA279="buffet","{YELLOW}25% long distance bonus for consist{}",IF(CB279="DANDY","{YELLOW}Faster downhill speeds for horse-drawn trains (1 required per 2 horses){}",IF(CB279="BRAKE","{YELLOW}Speed bonus for slow wagons{}",IF(CB279="NGPassengers","{YELLOW}Preserved railway bonus: passengers pay more when hauled by old locomotives{}",IF(AND(BZ279&gt;190,NOT(AND(L279="NARROW_GAUGE",CB279&lt;&gt;"PASS"))),CONCATENATE("{YELLOW}",INT((BZ279-185)/1.85),"%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{BLACK}Length: {GOLD}0.8 tiles{}{SILVER}The Class 128 was built specifically for carrying parcels by the Gloucester Railway Carriage and Wagon Company.</v>
      </c>
    </row>
    <row r="280" customFormat="false" ht="14.25" hidden="false" customHeight="false" outlineLevel="0" collapsed="false">
      <c r="A280" s="1" t="s">
        <v>987</v>
      </c>
      <c r="B280" s="19" t="s">
        <v>988</v>
      </c>
      <c r="C280" s="1" t="n">
        <v>1050</v>
      </c>
      <c r="E280" s="1" t="n">
        <v>344</v>
      </c>
      <c r="F280" s="1" t="s">
        <v>174</v>
      </c>
      <c r="G280" s="1" t="str">
        <f aca="false">IF($F280&lt;&gt;"",_xlfn.CONCAT(VLOOKUP($CE280, Constants!$T:$U, 2, FALSE()),",",$F280),VLOOKUP($CE280, Constants!$T:$U, 2, FALSE()))</f>
        <v>role/passenger,_ww_livery/brbluegrey</v>
      </c>
      <c r="H280" s="1" t="str">
        <f aca="false">IF($G280&lt;&gt;"",_xlfn.CONCAT(VLOOKUP($CG280, Constants!$M:$P, 4, FALSE()),",",$G280),VLOOKUP($CG280, Constants!$M:$P, 4, FALSE()))</f>
        <v>flag/GB,power/diesel,role/passenger,_ww_livery/brbluegrey</v>
      </c>
      <c r="I280" s="1" t="s">
        <v>241</v>
      </c>
      <c r="J280" s="1" t="s">
        <v>466</v>
      </c>
      <c r="K280" s="1" t="s">
        <v>525</v>
      </c>
      <c r="L280" s="1" t="s">
        <v>192</v>
      </c>
      <c r="M280" s="1" t="n">
        <v>1959</v>
      </c>
      <c r="N280" s="1" t="n">
        <v>1961</v>
      </c>
      <c r="O280" s="1" t="n">
        <v>1999</v>
      </c>
      <c r="P280" s="1" t="n">
        <v>3</v>
      </c>
      <c r="Q280" s="1" t="n">
        <v>600</v>
      </c>
      <c r="Z280" s="1" t="n">
        <f aca="false">36.6+36.6+30.5</f>
        <v>103.7</v>
      </c>
      <c r="AB280" s="1" t="n">
        <v>6</v>
      </c>
      <c r="AC280" s="1" t="n">
        <v>83</v>
      </c>
      <c r="AD280" s="4" t="n">
        <f aca="false">IF(AND(Z280&gt;0,AC280&gt;0),(AC280/((Z280+AA280)*10)),"")</f>
        <v>0.0800385728061717</v>
      </c>
      <c r="AE280" s="1" t="n">
        <v>70</v>
      </c>
      <c r="AF280" s="1" t="n">
        <f aca="false">ROUND(AE280*1.6, 0)</f>
        <v>112</v>
      </c>
      <c r="AH280" s="1" t="n">
        <v>19.5</v>
      </c>
      <c r="AI280" s="1" t="n">
        <v>19.5</v>
      </c>
      <c r="AK280" s="1" t="n">
        <v>3.77</v>
      </c>
      <c r="AL280" s="5" t="n">
        <v>60</v>
      </c>
      <c r="AM280" s="1" t="str">
        <f aca="false">CONCATENATE(VLOOKUP(AN280, 'Voxel Sizes'!$A$2:$B$18,2,FALSE()),"x",INT(AJ280*15), "x", INT(AK280*15))</f>
        <v>186x0x56</v>
      </c>
      <c r="AN280" s="16" t="n">
        <f aca="false">ROUND(15*((AI280*10)/256),0)</f>
        <v>11</v>
      </c>
      <c r="AP280" s="1" t="str">
        <f aca="false">CONCATENATE(VLOOKUP(AN280,Constants!$A$2:$C$16,IF(AO280&lt;&gt;"", 3, 2), FALSE()),IF(AO280&lt;&gt;"",CONCATENATE(",",VLOOKUP(AO280,$B:$AP,41,FALSE())),""))</f>
        <v>4,3,4</v>
      </c>
      <c r="AT280" s="1" t="s">
        <v>989</v>
      </c>
      <c r="AV280" s="1" t="s">
        <v>468</v>
      </c>
      <c r="AZ280" s="1" t="n">
        <v>42</v>
      </c>
      <c r="BA280" s="16" t="n">
        <f aca="false">IF(O280&lt;&gt;"",MAX(16,(O280-M280)+8),"")</f>
        <v>48</v>
      </c>
      <c r="BB280" s="1" t="n">
        <v>-10</v>
      </c>
      <c r="BC280" s="1" t="n">
        <v>-15</v>
      </c>
      <c r="BD280" s="20" t="n">
        <f aca="false">MIN(AE280/150, 1)*30</f>
        <v>14</v>
      </c>
      <c r="BE280" s="20" t="n">
        <f aca="false">MIN(Q280/4000, 1)*20</f>
        <v>3</v>
      </c>
      <c r="BF280" s="20" t="n">
        <f aca="false">MIN(AC280/400,1)*20</f>
        <v>4.15</v>
      </c>
      <c r="BG280" s="21" t="n">
        <f aca="false">1-(MAX(M280-1900, 0)/750)</f>
        <v>0.921333333333333</v>
      </c>
      <c r="BH280" s="20" t="n">
        <f aca="false">((MAX($P280,1)*MIN($AL280/300,1)))*IF(J280="Wagon",50,10)</f>
        <v>6</v>
      </c>
      <c r="BI280" s="1" t="n">
        <f aca="false">VLOOKUP($K280,Constants!$I:$K, 2, FALSE())</f>
        <v>1</v>
      </c>
      <c r="BJ280" s="1" t="n">
        <f aca="false">VLOOKUP($K280,Constants!$I:$K, 3, FALSE())*IF(AND(J280="multiple_unit",AE280&lt;110),0.75,1)</f>
        <v>1.5</v>
      </c>
      <c r="BK280" s="1" t="n">
        <f aca="false">INT(POWER(((Constants!$G$2+$BD280+$BE280+$BF280+$BH280)*$BG280)*$BJ280, 1.05))+$BC280</f>
        <v>38</v>
      </c>
      <c r="BL280" s="1" t="n">
        <f aca="false">INT(POWER((((Constants!$G$1+$BD280+$BE280+$BF280+$BH280)*($BG280))*$BI280),IF($J280="wagon",1,1.2)))+$BB280</f>
        <v>70</v>
      </c>
      <c r="BM280" s="22" t="n">
        <f aca="false">BK280*IF($J280="wagon",62.5,781.25)</f>
        <v>29687.5</v>
      </c>
      <c r="BN280" s="22" t="n">
        <f aca="false">BL280*IF($J280="wagon",2.73,81.25)</f>
        <v>5687.5</v>
      </c>
      <c r="BT28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0" s="1" t="str">
        <f aca="false">IF(J280="locomotive","B","")</f>
        <v/>
      </c>
      <c r="BV280" s="1" t="str">
        <f aca="false">IF($J280="locomotive","B","")</f>
        <v/>
      </c>
      <c r="BY280" s="1" t="n">
        <v>5</v>
      </c>
      <c r="CB280" s="1" t="s">
        <v>366</v>
      </c>
      <c r="CC280" s="1" t="s">
        <v>367</v>
      </c>
      <c r="CD280" s="23" t="s">
        <v>611</v>
      </c>
      <c r="CE280" s="1" t="s">
        <v>824</v>
      </c>
      <c r="CF280" s="23" t="str">
        <f aca="false">CONCATENATE(CD280,"_",CE280)</f>
        <v>dsl_DMU</v>
      </c>
      <c r="CG280" s="23" t="str">
        <f aca="false">_xlfn.CONCAT(K280, "_",L280)</f>
        <v>diesel_RAIL</v>
      </c>
      <c r="CH280" s="7" t="str">
        <f aca="false">_xlfn.CONCAT("{BLACK}Length: {GOLD}", TEXT(ROUNDUP(IF(AS280&lt;&gt;"",SUM(VALUE(_xlfn.TEXTSPLIT(AS280, ","))), SUM(VALUE(_xlfn.TEXTSPLIT(AP280, ",")))*IF(P280, P280, 1))/16, 1), "#,##0.0"), " tiles{}")</f>
        <v>{BLACK}Length: {GOLD}2.1 tiles{}</v>
      </c>
      <c r="CI280" s="1" t="str">
        <f aca="false">IF(0, VLOOKUP($CG280, Constants!$M:$N, 2, FALSE()),"")</f>
        <v/>
      </c>
      <c r="CJ280" s="1" t="str">
        <f aca="false">IF(P280&gt;1,_xlfn.CONCAT("{BLACK}Cars: {GOLD}", P280),"")</f>
        <v>{BLACK}Cars: {GOLD}3</v>
      </c>
      <c r="CK280" s="1" t="s">
        <v>990</v>
      </c>
      <c r="CL280" s="1" t="str">
        <f aca="false">IF($BX280="concept_trains","{GREEN}Concept Vehicle",IF($BX280="!param_no_gameplay_units","{GREEN}Included for gameplay purposes",""))</f>
        <v/>
      </c>
      <c r="CM280" s="1" t="str">
        <f aca="false">IF(CA280="buffet","{YELLOW}25% long distance bonus for consist{}",IF(CB280="DANDY","{YELLOW}Faster downhill speeds for horse-drawn trains (1 required per 2 horses){}",IF(CB280="BRAKE","{YELLOW}Speed bonus for slow wagons{}",IF(CB280="NGPassengers","{YELLOW}Preserved railway bonus: passengers pay more when hauled by old locomotives{}",IF(AND(BZ280&gt;190,NOT(AND(L280="NARROW_GAUGE",CB280&lt;&gt;"PASS"))),CONCATENATE("{YELLOW}",INT((BZ280-185)/1.85),"%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{GOLD}3{}{BLACK}Length: {GOLD}2.1 tiles{}{SILVER}The Class 117 was built under licence by Pressed Steel, being a variant of the Class 116 built by BRCW Derby.</v>
      </c>
    </row>
    <row r="281" s="26" customFormat="true" ht="14.25" hidden="false" customHeight="false" outlineLevel="0" collapsed="false">
      <c r="A281" s="26" t="s">
        <v>991</v>
      </c>
      <c r="B281" s="27" t="s">
        <v>992</v>
      </c>
      <c r="C281" s="1" t="n">
        <v>3037</v>
      </c>
      <c r="E281" s="1" t="n">
        <v>345</v>
      </c>
      <c r="F281" s="1" t="s">
        <v>171</v>
      </c>
      <c r="G281" s="1" t="str">
        <f aca="false">IF($F281&lt;&gt;"",_xlfn.CONCAT(VLOOKUP($CE281, Constants!$T:$U, 2, FALSE()),",",$F281),VLOOKUP($CE281, Constants!$T:$U, 2, FALSE()))</f>
        <v>role/passenger,_ww_livery/brblue</v>
      </c>
      <c r="H281" s="1" t="str">
        <f aca="false">IF($G281&lt;&gt;"",_xlfn.CONCAT(VLOOKUP($CG281, Constants!$M:$P, 4, FALSE()),",",$G281),VLOOKUP($CG281, Constants!$M:$P, 4, FALSE()))</f>
        <v>flag/GB,power/battery,role/passenger,_ww_livery/brblue</v>
      </c>
      <c r="I281" s="26" t="s">
        <v>241</v>
      </c>
      <c r="J281" s="26" t="s">
        <v>249</v>
      </c>
      <c r="K281" s="26" t="s">
        <v>678</v>
      </c>
      <c r="L281" s="26" t="s">
        <v>993</v>
      </c>
      <c r="M281" s="26" t="n">
        <v>1959</v>
      </c>
      <c r="N281" s="26" t="n">
        <v>1989</v>
      </c>
      <c r="O281" s="26" t="n">
        <v>2004</v>
      </c>
      <c r="P281" s="26" t="n">
        <v>1</v>
      </c>
      <c r="Q281" s="26" t="n">
        <v>500</v>
      </c>
      <c r="R281" s="2"/>
      <c r="S281" s="3"/>
      <c r="T281" s="3"/>
      <c r="U281" s="3"/>
      <c r="V281" s="3"/>
      <c r="W281" s="3"/>
      <c r="X281" s="3"/>
      <c r="Y281" s="3"/>
      <c r="Z281" s="26" t="n">
        <v>46.2</v>
      </c>
      <c r="AA281" s="2"/>
      <c r="AB281" s="26" t="n">
        <v>5</v>
      </c>
      <c r="AC281" s="26" t="n">
        <v>95</v>
      </c>
      <c r="AD281" s="4" t="n">
        <f aca="false">IF(AND(Z281&gt;0,AC281&gt;0),(AC281/((Z281+AA281)*10)),"")</f>
        <v>0.205627705627706</v>
      </c>
      <c r="AE281" s="26" t="n">
        <v>90</v>
      </c>
      <c r="AF281" s="26" t="n">
        <f aca="false">ROUND(AE281*1.6, 0)</f>
        <v>144</v>
      </c>
      <c r="AH281" s="26" t="n">
        <v>19.64</v>
      </c>
      <c r="AI281" s="26" t="n">
        <v>20</v>
      </c>
      <c r="AJ281" s="26" t="n">
        <v>2.7</v>
      </c>
      <c r="AK281" s="26" t="n">
        <v>3.77</v>
      </c>
      <c r="AL281" s="5" t="n">
        <v>38</v>
      </c>
      <c r="AM281" s="1" t="str">
        <f aca="false">CONCATENATE(VLOOKUP(AN281, 'Voxel Sizes'!$A$2:$B$18,2,FALSE()),"x",INT(AJ281*15), "x", INT(AK281*15))</f>
        <v>198x40x56</v>
      </c>
      <c r="AN281" s="26" t="n">
        <f aca="false">ROUND(15*((AI281*10)/256),0)</f>
        <v>12</v>
      </c>
      <c r="AP281" s="1" t="str">
        <f aca="false">CONCATENATE(VLOOKUP(AN281,Constants!$A$2:$C$16,IF(AO281&lt;&gt;"", 3, 2), FALSE()),IF(AO281&lt;&gt;"",CONCATENATE(",",VLOOKUP(AO281,$B:$AP,41,FALSE())),""))</f>
        <v>4,4,4</v>
      </c>
      <c r="AR281" s="6"/>
      <c r="AS281" s="6"/>
      <c r="AT281" s="26" t="s">
        <v>992</v>
      </c>
      <c r="AV281" s="26" t="n">
        <v>1</v>
      </c>
      <c r="AZ281" s="26" t="n">
        <v>45</v>
      </c>
      <c r="BA281" s="16" t="n">
        <f aca="false">IF(O281&lt;&gt;"",MAX(16,(O281-M281)+8),"")</f>
        <v>53</v>
      </c>
      <c r="BC281" s="26" t="n">
        <v>-45</v>
      </c>
      <c r="BD281" s="26" t="n">
        <f aca="false">MIN(AE281/150, 1)*30</f>
        <v>18</v>
      </c>
      <c r="BE281" s="26" t="n">
        <f aca="false">MIN(Q281/4000, 1)*20</f>
        <v>2.5</v>
      </c>
      <c r="BF281" s="26" t="n">
        <f aca="false">MIN(AC281/400,1)*20</f>
        <v>4.75</v>
      </c>
      <c r="BG281" s="4" t="n">
        <f aca="false">1-(MAX(M281-1900, 0)/750)</f>
        <v>0.921333333333333</v>
      </c>
      <c r="BH281" s="26" t="n">
        <f aca="false">((MAX($P281,1)*MIN($AL281/300,1)))*IF(J281="Wagon",50,10)</f>
        <v>1.26666666666667</v>
      </c>
      <c r="BI281" s="1" t="n">
        <f aca="false">VLOOKUP($K281,Constants!$I:$K, 2, FALSE())</f>
        <v>0.9</v>
      </c>
      <c r="BJ281" s="1" t="n">
        <f aca="false">VLOOKUP($K281,Constants!$I:$K, 3, FALSE())*IF(AND(J281="multiple_unit",AE281&lt;110),0.75,1)</f>
        <v>2.5</v>
      </c>
      <c r="BK281" s="1" t="n">
        <f aca="false">INT(POWER(((Constants!$G$2+$BD281+$BE281+$BF281+$BH281)*$BG281)*$BJ281, 1.05))+$BC281</f>
        <v>44</v>
      </c>
      <c r="BL281" s="1" t="n">
        <f aca="false">INT(POWER((((Constants!$G$1+$BD281+$BE281+$BF281+$BH281)*($BG281))*$BI281),IF($J281="wagon",1,1.2)))+$BB281</f>
        <v>69</v>
      </c>
      <c r="BM281" s="17" t="n">
        <f aca="false">BK281*IF($J281="wagon",62.5,781.25)</f>
        <v>34375</v>
      </c>
      <c r="BN281" s="17" t="n">
        <f aca="false">BL281*IF($J281="wagon",2.73,81.25)</f>
        <v>5606.25</v>
      </c>
      <c r="BT281" s="1" t="str">
        <f aca="false">SREXPRESSEMU</f>
        <v>br_class_419,br_class_489,br_class_411,br_class_412,br_2hap,brel_class_421</v>
      </c>
      <c r="BU281" s="1" t="str">
        <f aca="false">IF(J281="locomotive","B","")</f>
        <v>B</v>
      </c>
      <c r="BV281" s="1" t="str">
        <f aca="false">IF($J281="locomotive","B","")</f>
        <v>B</v>
      </c>
      <c r="BY281" s="26" t="n">
        <v>2</v>
      </c>
      <c r="CC281" s="26" t="s">
        <v>706</v>
      </c>
      <c r="CD281" s="26" t="str">
        <f aca="false">VLOOKUP(M281,[1]Eras!$A$2:$C$10, 2, TRUE())</f>
        <v>dsl</v>
      </c>
      <c r="CE281" s="26" t="s">
        <v>858</v>
      </c>
      <c r="CF281" s="26" t="str">
        <f aca="false">CONCATENATE(CD281,"_",CE281)</f>
        <v>dsl_EMU</v>
      </c>
      <c r="CG281" s="26" t="str">
        <f aca="false">_xlfn.CONCAT(K281, "_",L281)</f>
        <v>dual_power_BATTERY</v>
      </c>
      <c r="CH281" s="7" t="str">
        <f aca="false">_xlfn.CONCAT("{BLACK}Length: {GOLD}", TEXT(ROUNDUP(IF(AS281&lt;&gt;"",SUM(VALUE(_xlfn.TEXTSPLIT(AS281, ","))), SUM(VALUE(_xlfn.TEXTSPLIT(AP281, ",")))*IF(P281, P281, 1))/16, 1), "#,##0.0"), " tiles{}")</f>
        <v>{BLACK}Length: {GOLD}0.8 tiles{}</v>
      </c>
      <c r="CI281" s="1" t="str">
        <f aca="false">IF(0, VLOOKUP($CG281, Constants!$M:$N, 2, FALSE()),"")</f>
        <v/>
      </c>
      <c r="CJ281" s="1" t="str">
        <f aca="false">IF(P281&gt;1,_xlfn.CONCAT("{BLACK}Cars: {GOLD}", P281),"")</f>
        <v/>
      </c>
      <c r="CK281" s="26" t="s">
        <v>994</v>
      </c>
      <c r="CL281" s="1" t="str">
        <f aca="false">IF($BX281="concept_trains","{GREEN}Concept Vehicle",IF($BX281="!param_no_gameplay_units","{GREEN}Included for gameplay purposes",""))</f>
        <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{BLACK}Length: {GOLD}0.8 tiles{}{SILVER}The Class 419 Motor Luggage Van was used to extend the luggage capacity of express services and was capable of running on it’s own batteries within non-electrified areas.</v>
      </c>
      <c r="XFD281" s="1"/>
    </row>
    <row r="282" s="26" customFormat="true" ht="14.25" hidden="false" customHeight="false" outlineLevel="0" collapsed="false">
      <c r="A282" s="26" t="s">
        <v>995</v>
      </c>
      <c r="B282" s="27" t="s">
        <v>996</v>
      </c>
      <c r="C282" s="1" t="n">
        <v>3038</v>
      </c>
      <c r="E282" s="1" t="n">
        <v>346</v>
      </c>
      <c r="F282" s="1" t="s">
        <v>174</v>
      </c>
      <c r="G282" s="1" t="str">
        <f aca="false">IF($F282&lt;&gt;"",_xlfn.CONCAT(VLOOKUP($CE282, Constants!$T:$U, 2, FALSE()),",",$F282),VLOOKUP($CE282, Constants!$T:$U, 2, FALSE()))</f>
        <v>role/passenger,_ww_livery/brbluegrey</v>
      </c>
      <c r="H282" s="1" t="str">
        <f aca="false">IF($G282&lt;&gt;"",_xlfn.CONCAT(VLOOKUP($CG282, Constants!$M:$P, 4, FALSE()),",",$G282),VLOOKUP($CG282, Constants!$M:$P, 4, FALSE()))</f>
        <v>flag/GB,power/electric,role/passenger,_ww_livery/brbluegrey</v>
      </c>
      <c r="I282" s="26" t="s">
        <v>241</v>
      </c>
      <c r="J282" s="26" t="s">
        <v>249</v>
      </c>
      <c r="K282" s="26" t="s">
        <v>388</v>
      </c>
      <c r="L282" s="26" t="s">
        <v>541</v>
      </c>
      <c r="M282" s="26" t="n">
        <v>1959</v>
      </c>
      <c r="N282" s="26" t="n">
        <v>1989</v>
      </c>
      <c r="O282" s="26" t="n">
        <v>2005</v>
      </c>
      <c r="P282" s="26" t="n">
        <v>1</v>
      </c>
      <c r="Q282" s="26" t="n">
        <v>500</v>
      </c>
      <c r="R282" s="2"/>
      <c r="S282" s="3"/>
      <c r="T282" s="3"/>
      <c r="U282" s="3"/>
      <c r="V282" s="3"/>
      <c r="W282" s="3"/>
      <c r="X282" s="3"/>
      <c r="Y282" s="3"/>
      <c r="Z282" s="26" t="n">
        <v>40.5</v>
      </c>
      <c r="AA282" s="2"/>
      <c r="AB282" s="26" t="n">
        <v>5</v>
      </c>
      <c r="AC282" s="26" t="n">
        <v>95</v>
      </c>
      <c r="AD282" s="4" t="n">
        <f aca="false">IF(AND(Z282&gt;0,AC282&gt;0),(AC282/((Z282+AA282)*10)),"")</f>
        <v>0.234567901234568</v>
      </c>
      <c r="AE282" s="26" t="n">
        <v>90</v>
      </c>
      <c r="AF282" s="26" t="n">
        <f aca="false">ROUND(AE282*1.6, 0)</f>
        <v>144</v>
      </c>
      <c r="AH282" s="26" t="n">
        <v>19.64</v>
      </c>
      <c r="AI282" s="26" t="n">
        <v>20</v>
      </c>
      <c r="AJ282" s="26" t="n">
        <v>2.7</v>
      </c>
      <c r="AK282" s="26" t="n">
        <v>3.77</v>
      </c>
      <c r="AL282" s="5" t="n">
        <v>38</v>
      </c>
      <c r="AM282" s="1" t="str">
        <f aca="false">CONCATENATE(VLOOKUP(AN282, 'Voxel Sizes'!$A$2:$B$18,2,FALSE()),"x",INT(AJ282*15), "x", INT(AK282*15))</f>
        <v>198x40x56</v>
      </c>
      <c r="AN282" s="26" t="n">
        <f aca="false">ROUND(15*((AI282*10)/256),0)</f>
        <v>12</v>
      </c>
      <c r="AP282" s="1" t="str">
        <f aca="false">CONCATENATE(VLOOKUP(AN282,Constants!$A$2:$C$16,IF(AO282&lt;&gt;"", 3, 2), FALSE()),IF(AO282&lt;&gt;"",CONCATENATE(",",VLOOKUP(AO282,$B:$AP,41,FALSE())),""))</f>
        <v>4,4,4</v>
      </c>
      <c r="AR282" s="6"/>
      <c r="AS282" s="6"/>
      <c r="AT282" s="26" t="s">
        <v>996</v>
      </c>
      <c r="AV282" s="26" t="n">
        <v>1</v>
      </c>
      <c r="AZ282" s="26" t="n">
        <v>45</v>
      </c>
      <c r="BA282" s="16" t="n">
        <f aca="false">IF(O282&lt;&gt;"",MAX(16,(O282-M282)+8),"")</f>
        <v>54</v>
      </c>
      <c r="BC282" s="26" t="n">
        <v>-45</v>
      </c>
      <c r="BD282" s="26" t="n">
        <f aca="false">MIN(AE282/150, 1)*30</f>
        <v>18</v>
      </c>
      <c r="BE282" s="26" t="n">
        <f aca="false">MIN(Q282/4000, 1)*20</f>
        <v>2.5</v>
      </c>
      <c r="BF282" s="26" t="n">
        <f aca="false">MIN(AC282/400,1)*20</f>
        <v>4.75</v>
      </c>
      <c r="BG282" s="4" t="n">
        <f aca="false">1-(MAX(M282-1900, 0)/750)</f>
        <v>0.921333333333333</v>
      </c>
      <c r="BH282" s="26" t="n">
        <f aca="false">((MAX($P282,1)*MIN($AL282/300,1)))*IF(J282="Wagon",50,10)</f>
        <v>1.26666666666667</v>
      </c>
      <c r="BI282" s="1" t="n">
        <f aca="false">VLOOKUP($K282,Constants!$I:$K, 2, FALSE())</f>
        <v>0.85</v>
      </c>
      <c r="BJ282" s="1" t="n">
        <f aca="false">VLOOKUP($K282,Constants!$I:$K, 3, FALSE())*IF(AND(J282="multiple_unit",AE282&lt;110),0.75,1)</f>
        <v>2.3</v>
      </c>
      <c r="BK282" s="1" t="n">
        <f aca="false">INT(POWER(((Constants!$G$2+$BD282+$BE282+$BF282+$BH282)*$BG282)*$BJ282, 1.05))+$BC282</f>
        <v>37</v>
      </c>
      <c r="BL282" s="1" t="n">
        <f aca="false">INT(POWER((((Constants!$G$1+$BD282+$BE282+$BF282+$BH282)*($BG282))*$BI282),IF($J282="wagon",1,1.2)))+$BB282</f>
        <v>65</v>
      </c>
      <c r="BM282" s="17" t="n">
        <f aca="false">BK282*IF($J282="wagon",62.5,781.25)</f>
        <v>28906.25</v>
      </c>
      <c r="BN282" s="17" t="n">
        <f aca="false">BL282*IF($J282="wagon",2.73,81.25)</f>
        <v>5281.25</v>
      </c>
      <c r="BO282" s="26" t="n">
        <v>1</v>
      </c>
      <c r="BP282" s="26" t="n">
        <v>1</v>
      </c>
      <c r="BT282" s="1" t="str">
        <f aca="false">SREXPRESSEMU</f>
        <v>br_class_419,br_class_489,br_class_411,br_class_412,br_2hap,brel_class_421</v>
      </c>
      <c r="BU282" s="1" t="str">
        <f aca="false">IF(J282="locomotive","B","")</f>
        <v>B</v>
      </c>
      <c r="BV282" s="1" t="str">
        <f aca="false">IF(OR($J282="locomotive",$J282="wagon"),"B","")</f>
        <v>B</v>
      </c>
      <c r="BY282" s="26" t="n">
        <v>2</v>
      </c>
      <c r="CC282" s="26" t="s">
        <v>706</v>
      </c>
      <c r="CD282" s="26" t="str">
        <f aca="false">VLOOKUP(M282,[1]Eras!$A$2:$C$10, 2, TRUE())</f>
        <v>dsl</v>
      </c>
      <c r="CE282" s="26" t="s">
        <v>858</v>
      </c>
      <c r="CF282" s="26" t="str">
        <f aca="false">CONCATENATE(CD282,"_",CE282)</f>
        <v>dsl_EMU</v>
      </c>
      <c r="CG282" s="26" t="str">
        <f aca="false">_xlfn.CONCAT(K282, "_",L282)</f>
        <v>electric_THIRD_RAIL</v>
      </c>
      <c r="CH282" s="7" t="str">
        <f aca="false">_xlfn.CONCAT("{BLACK}Length: {GOLD}", TEXT(ROUNDUP(IF(AS282&lt;&gt;"",SUM(VALUE(_xlfn.TEXTSPLIT(AS282, ","))), SUM(VALUE(_xlfn.TEXTSPLIT(AP282, ",")))*IF(P282, P282, 1))/16, 1), "#,##0.0"), " tiles{}")</f>
        <v>{BLACK}Length: {GOLD}0.8 tiles{}</v>
      </c>
      <c r="CI282" s="1" t="str">
        <f aca="false">IF(0, VLOOKUP($CG282, Constants!$M:$N, 2, FALSE()),"")</f>
        <v/>
      </c>
      <c r="CJ282" s="1" t="str">
        <f aca="false">IF(P282&gt;1,_xlfn.CONCAT("{BLACK}Cars: {GOLD}", P282),"")</f>
        <v/>
      </c>
      <c r="CK282" s="26" t="s">
        <v>997</v>
      </c>
      <c r="CL282" s="1" t="str">
        <f aca="false">IF($BX282="concept_trains","{GREEN}Concept Vehicle",IF($BX282="!param_no_gameplay_units","{GREEN}Included for gameplay purposes",""))</f>
        <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{BLACK}Length: {GOLD}0.8 tiles{}{SILVER}A late conversion of the 2HAP driving motor to a cab and luggage car for Gatwick Express services</v>
      </c>
      <c r="XFD282" s="1"/>
    </row>
    <row r="283" s="26" customFormat="true" ht="14.25" hidden="false" customHeight="false" outlineLevel="0" collapsed="false">
      <c r="A283" s="26" t="s">
        <v>998</v>
      </c>
      <c r="B283" s="27" t="s">
        <v>999</v>
      </c>
      <c r="C283" s="1" t="n">
        <v>3030</v>
      </c>
      <c r="E283" s="1" t="n">
        <v>347</v>
      </c>
      <c r="F283" s="1" t="s">
        <v>171</v>
      </c>
      <c r="G283" s="1" t="str">
        <f aca="false">IF($F283&lt;&gt;"",_xlfn.CONCAT(VLOOKUP($CE283, Constants!$T:$U, 2, FALSE()),",",$F283),VLOOKUP($CE283, Constants!$T:$U, 2, FALSE()))</f>
        <v>role/passenger,_ww_livery/brblue</v>
      </c>
      <c r="H283" s="1" t="str">
        <f aca="false">IF($G283&lt;&gt;"",_xlfn.CONCAT(VLOOKUP($CG283, Constants!$M:$P, 4, FALSE()),",",$G283),VLOOKUP($CG283, Constants!$M:$P, 4, FALSE()))</f>
        <v>flag/GB,power/electric,role/passenger,_ww_livery/brblue</v>
      </c>
      <c r="I283" s="26" t="s">
        <v>241</v>
      </c>
      <c r="J283" s="26" t="s">
        <v>466</v>
      </c>
      <c r="K283" s="26" t="s">
        <v>388</v>
      </c>
      <c r="L283" s="26" t="s">
        <v>389</v>
      </c>
      <c r="M283" s="26" t="n">
        <v>1959</v>
      </c>
      <c r="N283" s="26" t="n">
        <v>1982</v>
      </c>
      <c r="O283" s="26" t="n">
        <v>1992</v>
      </c>
      <c r="P283" s="26" t="n">
        <v>4</v>
      </c>
      <c r="Q283" s="26" t="n">
        <v>768</v>
      </c>
      <c r="R283" s="2"/>
      <c r="S283" s="3"/>
      <c r="T283" s="3"/>
      <c r="U283" s="3"/>
      <c r="V283" s="3"/>
      <c r="W283" s="3"/>
      <c r="X283" s="3"/>
      <c r="Y283" s="3"/>
      <c r="Z283" s="26" t="n">
        <v>157</v>
      </c>
      <c r="AA283" s="2"/>
      <c r="AB283" s="26" t="n">
        <v>5</v>
      </c>
      <c r="AC283" s="26" t="n">
        <v>130</v>
      </c>
      <c r="AD283" s="4" t="n">
        <f aca="false">IF(AND(Z283&gt;0,AC283&gt;0),(AC283/((Z283+AA283)*10)),"")</f>
        <v>0.0828025477707006</v>
      </c>
      <c r="AE283" s="26" t="n">
        <v>75</v>
      </c>
      <c r="AF283" s="26" t="n">
        <f aca="false">ROUND(AE283*1.6, 0)</f>
        <v>120</v>
      </c>
      <c r="AH283" s="26" t="n">
        <v>20.3</v>
      </c>
      <c r="AI283" s="26" t="n">
        <v>20</v>
      </c>
      <c r="AJ283" s="26" t="n">
        <v>2.82</v>
      </c>
      <c r="AK283" s="26" t="n">
        <v>3.97</v>
      </c>
      <c r="AL283" s="5" t="n">
        <v>57</v>
      </c>
      <c r="AM283" s="1" t="str">
        <f aca="false">CONCATENATE(VLOOKUP(AN283, 'Voxel Sizes'!$A$2:$B$18,2,FALSE()),"x",INT(AJ283*15), "x", INT(AK283*15))</f>
        <v>198x42x59</v>
      </c>
      <c r="AN283" s="26" t="n">
        <f aca="false">ROUND(15*((AI283*10)/256),0)</f>
        <v>12</v>
      </c>
      <c r="AP283" s="1" t="str">
        <f aca="false">CONCATENATE(VLOOKUP(AN283,Constants!$A$2:$C$16,IF(AO283&lt;&gt;"", 3, 2), FALSE()),IF(AO283&lt;&gt;"",CONCATENATE(",",VLOOKUP(AO283,$B:$AP,41,FALSE())),""))</f>
        <v>4,4,4</v>
      </c>
      <c r="AQ283" s="26" t="n">
        <v>6</v>
      </c>
      <c r="AR283" s="6"/>
      <c r="AS283" s="6"/>
      <c r="AT283" s="26" t="s">
        <v>1000</v>
      </c>
      <c r="AV283" s="26" t="s">
        <v>966</v>
      </c>
      <c r="AW283" s="26" t="s">
        <v>1001</v>
      </c>
      <c r="AZ283" s="26" t="n">
        <v>32</v>
      </c>
      <c r="BA283" s="16" t="n">
        <f aca="false">IF(O283&lt;&gt;"",MAX(16,(O283-M283)+8),"")</f>
        <v>41</v>
      </c>
      <c r="BB283" s="26" t="n">
        <v>-10</v>
      </c>
      <c r="BC283" s="26" t="n">
        <v>-20</v>
      </c>
      <c r="BD283" s="26" t="n">
        <f aca="false">MIN(AE283/150, 1)*30</f>
        <v>15</v>
      </c>
      <c r="BE283" s="26" t="n">
        <f aca="false">MIN(Q283/4000, 1)*20</f>
        <v>3.84</v>
      </c>
      <c r="BF283" s="26" t="n">
        <f aca="false">MIN(AC283/400,1)*20</f>
        <v>6.5</v>
      </c>
      <c r="BG283" s="4" t="n">
        <f aca="false">1-(MAX(M283-1900, 0)/750)</f>
        <v>0.921333333333333</v>
      </c>
      <c r="BH283" s="26" t="n">
        <f aca="false">((MAX($P283,1)*MIN($AL283/300,1)))*IF(J283="Wagon",50,10)</f>
        <v>7.6</v>
      </c>
      <c r="BI283" s="1" t="n">
        <f aca="false">VLOOKUP($K283,Constants!$I:$K, 2, FALSE())</f>
        <v>0.85</v>
      </c>
      <c r="BJ283" s="1" t="n">
        <f aca="false">VLOOKUP($K283,Constants!$I:$K, 3, FALSE())*IF(AND(J283="multiple_unit",AE283&lt;110),0.75,1)</f>
        <v>1.725</v>
      </c>
      <c r="BK283" s="1" t="n">
        <f aca="false">INT(POWER(((Constants!$G$2+$BD283+$BE283+$BF283+$BH283)*$BG283)*$BJ283, 1.05))+$BC283</f>
        <v>54</v>
      </c>
      <c r="BL283" s="1" t="n">
        <f aca="false">INT(POWER((((Constants!$G$1+$BD283+$BE283+$BF283+$BH283)*($BG283))*$BI283),IF($J283="wagon",1,1.2)))+$BB283</f>
        <v>67</v>
      </c>
      <c r="BM283" s="17" t="n">
        <f aca="false">BK283*IF($J283="wagon",62.5,781.25)</f>
        <v>42187.5</v>
      </c>
      <c r="BN283" s="17" t="n">
        <f aca="false">BL283*IF($J283="wagon",2.73,81.25)</f>
        <v>5443.75</v>
      </c>
      <c r="BT283" s="26" t="s">
        <v>1002</v>
      </c>
      <c r="BU283" s="1" t="str">
        <f aca="false">IF(J283="locomotive","B","")</f>
        <v/>
      </c>
      <c r="BV283" s="1" t="str">
        <f aca="false">IF(OR($J283="locomotive",$J283="wagon"),"B","")</f>
        <v/>
      </c>
      <c r="BY283" s="26" t="n">
        <v>6</v>
      </c>
      <c r="BZ283" s="26" t="n">
        <v>185</v>
      </c>
      <c r="CC283" s="26" t="s">
        <v>367</v>
      </c>
      <c r="CD283" s="26" t="s">
        <v>611</v>
      </c>
      <c r="CE283" s="26" t="s">
        <v>858</v>
      </c>
      <c r="CF283" s="26" t="str">
        <f aca="false">CONCATENATE(CD283,"_",CE283)</f>
        <v>dsl_EMU</v>
      </c>
      <c r="CG283" s="26" t="str">
        <f aca="false">_xlfn.CONCAT(K283, "_",L283)</f>
        <v>electric_ELRL</v>
      </c>
      <c r="CH283" s="7" t="str">
        <f aca="false">_xlfn.CONCAT("{BLACK}Length: {GOLD}", TEXT(ROUNDUP(IF(AS283&lt;&gt;"",SUM(VALUE(_xlfn.TEXTSPLIT(AS283, ","))), SUM(VALUE(_xlfn.TEXTSPLIT(AP283, ",")))*IF(P283, P283, 1))/16, 1), "#,##0.0"), " tiles{}")</f>
        <v>{BLACK}Length: {GOLD}3.0 tiles{}</v>
      </c>
      <c r="CI283" s="1" t="str">
        <f aca="false">IF(0, VLOOKUP($CG283, Constants!$M:$N, 2, FALSE()),"")</f>
        <v/>
      </c>
      <c r="CJ283" s="1" t="str">
        <f aca="false">IF(P283&gt;1,_xlfn.CONCAT("{BLACK}Cars: {GOLD}", P283),"")</f>
        <v>{BLACK}Cars: {GOLD}4</v>
      </c>
      <c r="CK283" s="26" t="s">
        <v>1003</v>
      </c>
      <c r="CL283" s="1" t="str">
        <f aca="false">IF($BX283="concept_trains","{GREEN}Concept Vehicle",IF($BX283="!param_no_gameplay_units","{GREEN}Included for gameplay purposes",""))</f>
        <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tiles{}{SILVER}A suburban Mk1 EMU that mainly operated out of East London on the LT&amp;S line. Here we represent the refurbished condition of these units, which lasted until 1998.</v>
      </c>
      <c r="XFD283" s="1"/>
    </row>
    <row r="284" s="26" customFormat="true" ht="14.25" hidden="false" customHeight="false" outlineLevel="0" collapsed="false">
      <c r="A284" s="26" t="s">
        <v>1004</v>
      </c>
      <c r="B284" s="27" t="s">
        <v>1005</v>
      </c>
      <c r="C284" s="1" t="n">
        <v>3031</v>
      </c>
      <c r="D284" s="26" t="n">
        <v>3030</v>
      </c>
      <c r="E284" s="1" t="n">
        <v>348</v>
      </c>
      <c r="G284" s="1" t="str">
        <f aca="false">IF($F284&lt;&gt;"",_xlfn.CONCAT(VLOOKUP($CE284, Constants!$T:$U, 2, FALSE()),",",$F284),VLOOKUP($CE284, Constants!$T:$U, 2, FALSE()))</f>
        <v>role/mail</v>
      </c>
      <c r="H284" s="1" t="str">
        <f aca="false">IF($G284&lt;&gt;"",_xlfn.CONCAT(VLOOKUP($CG284, Constants!$M:$P, 4, FALSE()),",",$G284),VLOOKUP($CG284, Constants!$M:$P, 4, FALSE()))</f>
        <v>flag/GB,power/electric,role/mail</v>
      </c>
      <c r="I284" s="26" t="s">
        <v>241</v>
      </c>
      <c r="J284" s="26" t="s">
        <v>466</v>
      </c>
      <c r="K284" s="26" t="s">
        <v>388</v>
      </c>
      <c r="L284" s="26" t="s">
        <v>389</v>
      </c>
      <c r="M284" s="26" t="n">
        <v>1959</v>
      </c>
      <c r="N284" s="26" t="n">
        <v>1982</v>
      </c>
      <c r="O284" s="26" t="n">
        <v>1992</v>
      </c>
      <c r="P284" s="26" t="n">
        <v>3</v>
      </c>
      <c r="Q284" s="26" t="n">
        <v>768</v>
      </c>
      <c r="R284" s="2"/>
      <c r="S284" s="3"/>
      <c r="T284" s="3"/>
      <c r="U284" s="3"/>
      <c r="V284" s="3"/>
      <c r="W284" s="3"/>
      <c r="X284" s="3"/>
      <c r="Y284" s="3"/>
      <c r="Z284" s="26" t="n">
        <v>124</v>
      </c>
      <c r="AA284" s="2"/>
      <c r="AB284" s="26" t="n">
        <v>5</v>
      </c>
      <c r="AC284" s="26" t="n">
        <v>130</v>
      </c>
      <c r="AD284" s="4" t="n">
        <f aca="false">IF(AND(Z284&gt;0,AC284&gt;0),(AC284/((Z284+AA284)*10)),"")</f>
        <v>0.104838709677419</v>
      </c>
      <c r="AE284" s="26" t="n">
        <v>75</v>
      </c>
      <c r="AF284" s="26" t="n">
        <f aca="false">ROUND(AE284*1.6, 0)</f>
        <v>120</v>
      </c>
      <c r="AH284" s="26" t="n">
        <v>20.3</v>
      </c>
      <c r="AI284" s="26" t="n">
        <v>20</v>
      </c>
      <c r="AJ284" s="26" t="n">
        <v>2.82</v>
      </c>
      <c r="AK284" s="26" t="n">
        <v>3.97</v>
      </c>
      <c r="AL284" s="5" t="n">
        <v>57</v>
      </c>
      <c r="AM284" s="1" t="str">
        <f aca="false">CONCATENATE(VLOOKUP(AN284, 'Voxel Sizes'!$A$2:$B$18,2,FALSE()),"x",INT(AJ284*15), "x", INT(AK284*15))</f>
        <v>198x42x59</v>
      </c>
      <c r="AN284" s="26" t="n">
        <f aca="false">ROUND(15*((AI284*10)/256),0)</f>
        <v>12</v>
      </c>
      <c r="AP284" s="1" t="str">
        <f aca="false">CONCATENATE(VLOOKUP(AN284,Constants!$A$2:$C$16,IF(AO284&lt;&gt;"", 3, 2), FALSE()),IF(AO284&lt;&gt;"",CONCATENATE(",",VLOOKUP(AO284,$B:$AP,41,FALSE())),""))</f>
        <v>4,4,4</v>
      </c>
      <c r="AQ284" s="26" t="n">
        <v>3</v>
      </c>
      <c r="AR284" s="6"/>
      <c r="AS284" s="6"/>
      <c r="AT284" s="26" t="s">
        <v>1006</v>
      </c>
      <c r="AV284" s="26" t="s">
        <v>468</v>
      </c>
      <c r="AW284" s="26" t="s">
        <v>1007</v>
      </c>
      <c r="AZ284" s="26" t="n">
        <v>32</v>
      </c>
      <c r="BA284" s="16" t="n">
        <f aca="false">IF(O284&lt;&gt;"",MAX(16,(O284-M284)+8),"")</f>
        <v>41</v>
      </c>
      <c r="BB284" s="26" t="n">
        <v>-15</v>
      </c>
      <c r="BC284" s="26" t="n">
        <v>-20</v>
      </c>
      <c r="BD284" s="26" t="n">
        <f aca="false">MIN(AE284/150, 1)*30</f>
        <v>15</v>
      </c>
      <c r="BE284" s="26" t="n">
        <f aca="false">MIN(Q284/4000, 1)*20</f>
        <v>3.84</v>
      </c>
      <c r="BF284" s="26" t="n">
        <f aca="false">MIN(AC284/400,1)*20</f>
        <v>6.5</v>
      </c>
      <c r="BG284" s="4" t="n">
        <f aca="false">1-(MAX(M284-1900, 0)/750)</f>
        <v>0.921333333333333</v>
      </c>
      <c r="BH284" s="26" t="n">
        <f aca="false">((MAX($P284,1)*MIN($AL284/300,1)))*IF(J284="Wagon",50,10)</f>
        <v>5.7</v>
      </c>
      <c r="BI284" s="1" t="n">
        <f aca="false">VLOOKUP($K284,Constants!$I:$K, 2, FALSE())</f>
        <v>0.85</v>
      </c>
      <c r="BJ284" s="1" t="n">
        <f aca="false">VLOOKUP($K284,Constants!$I:$K, 3, FALSE())*IF(AND(J284="multiple_unit",AE284&lt;110),0.75,1)</f>
        <v>1.725</v>
      </c>
      <c r="BK284" s="1" t="n">
        <f aca="false">INT(POWER(((Constants!$G$2+$BD284+$BE284+$BF284+$BH284)*$BG284)*$BJ284, 1.05))+$BC284</f>
        <v>50</v>
      </c>
      <c r="BL284" s="1" t="n">
        <f aca="false">INT(POWER((((Constants!$G$1+$BD284+$BE284+$BF284+$BH284)*($BG284))*$BI284),IF($J284="wagon",1,1.2)))+$BB284</f>
        <v>58</v>
      </c>
      <c r="BM284" s="17" t="n">
        <f aca="false">BK284*IF($J284="wagon",62.5,781.25)</f>
        <v>39062.5</v>
      </c>
      <c r="BN284" s="17" t="n">
        <f aca="false">BL284*IF($J284="wagon",2.73,81.25)</f>
        <v>4712.5</v>
      </c>
      <c r="BT284" s="26" t="s">
        <v>1008</v>
      </c>
      <c r="BU284" s="1" t="str">
        <f aca="false">IF(J284="locomotive","B","")</f>
        <v/>
      </c>
      <c r="BV284" s="1" t="str">
        <f aca="false">IF(OR($J284="locomotive",$J284="wagon"),"B","")</f>
        <v/>
      </c>
      <c r="BY284" s="26" t="n">
        <v>6</v>
      </c>
      <c r="BZ284" s="26" t="n">
        <v>185</v>
      </c>
      <c r="CC284" s="26" t="s">
        <v>706</v>
      </c>
      <c r="CD284" s="26" t="s">
        <v>611</v>
      </c>
      <c r="CE284" s="1" t="s">
        <v>144</v>
      </c>
      <c r="CF284" s="26" t="str">
        <f aca="false">CONCATENATE(CD284,"_",CE284)</f>
        <v>dsl_Mail</v>
      </c>
      <c r="CG284" s="26" t="str">
        <f aca="false">_xlfn.CONCAT(K284, "_",L284)</f>
        <v>electric_ELRL</v>
      </c>
      <c r="CH284" s="7" t="str">
        <f aca="false">_xlfn.CONCAT("{BLACK}Length: {GOLD}", TEXT(ROUNDUP(IF(AS284&lt;&gt;"",SUM(VALUE(_xlfn.TEXTSPLIT(AS284, ","))), SUM(VALUE(_xlfn.TEXTSPLIT(AP284, ",")))*IF(P284, P284, 1))/16, 1), "#,##0.0"), " tiles{}")</f>
        <v>{BLACK}Length: {GOLD}2.3 tiles{}</v>
      </c>
      <c r="CI284" s="1" t="str">
        <f aca="false">IF(0, VLOOKUP($CG284, Constants!$M:$N, 2, FALSE()),"")</f>
        <v/>
      </c>
      <c r="CJ284" s="1" t="str">
        <f aca="false">IF(P284&gt;1,_xlfn.CONCAT("{BLACK}Cars: {GOLD}", P284),"")</f>
        <v>{BLACK}Cars: {GOLD}3</v>
      </c>
      <c r="CK284" s="26" t="s">
        <v>1009</v>
      </c>
      <c r="CL284" s="1" t="str">
        <f aca="false">IF($BX284="concept_trains","{GREEN}Concept Vehicle",IF($BX284="!param_no_gameplay_units","{GREEN}Included for gameplay purposes",""))</f>
        <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
      </c>
      <c r="CN284" s="1" t="str">
        <f aca="false">_xlfn.CONCAT(CI284,IF(CI284&lt;&gt;""," ",""),CJ284,IF(OR(CJ284&lt;&gt;"",CI284&lt;&gt;""),"{}",""),CH284,CM284,"{SILVER}",CK284,IF(CL284&lt;&gt;"","{}{}",""),CL284)</f>
        <v>{BLACK}Cars: {GOLD}3{}{BLACK}Length: {GOLD}2.3 tiles{}{SILVER}A later conversion of the Class 302 to a parcels unit involved the addition of roller doors to the bodyside for faster loading and unloading. The prototypes were also painted in a striking Royal Mail red livery.</v>
      </c>
      <c r="XFD284" s="1"/>
    </row>
    <row r="285" s="26" customFormat="true" ht="14.25" hidden="false" customHeight="false" outlineLevel="0" collapsed="false">
      <c r="A285" s="26" t="s">
        <v>1010</v>
      </c>
      <c r="B285" s="27" t="s">
        <v>1011</v>
      </c>
      <c r="C285" s="1" t="n">
        <v>3028</v>
      </c>
      <c r="E285" s="1" t="n">
        <v>349</v>
      </c>
      <c r="F285" s="1" t="s">
        <v>174</v>
      </c>
      <c r="G285" s="1" t="str">
        <f aca="false">IF($F285&lt;&gt;"",_xlfn.CONCAT(VLOOKUP($CE285, Constants!$T:$U, 2, FALSE()),",",$F285),VLOOKUP($CE285, Constants!$T:$U, 2, FALSE()))</f>
        <v>role/express_passenger,_ww_livery/brbluegrey</v>
      </c>
      <c r="H285" s="1" t="str">
        <f aca="false">IF($G285&lt;&gt;"",_xlfn.CONCAT(VLOOKUP($CG285, Constants!$M:$P, 4, FALSE()),",",$G285),VLOOKUP($CG285, Constants!$M:$P, 4, FALSE()))</f>
        <v>flag/GB,power/diesel,role/express_passenger,_ww_livery/brbluegrey</v>
      </c>
      <c r="I285" s="26" t="s">
        <v>241</v>
      </c>
      <c r="J285" s="26" t="s">
        <v>466</v>
      </c>
      <c r="K285" s="26" t="s">
        <v>525</v>
      </c>
      <c r="L285" s="26" t="s">
        <v>192</v>
      </c>
      <c r="M285" s="26" t="n">
        <v>1960</v>
      </c>
      <c r="O285" s="26" t="n">
        <v>1973</v>
      </c>
      <c r="P285" s="26" t="n">
        <v>6</v>
      </c>
      <c r="Q285" s="26" t="n">
        <v>2000</v>
      </c>
      <c r="R285" s="2"/>
      <c r="S285" s="3"/>
      <c r="T285" s="3"/>
      <c r="U285" s="3"/>
      <c r="V285" s="3"/>
      <c r="W285" s="3"/>
      <c r="X285" s="3"/>
      <c r="Y285" s="3"/>
      <c r="Z285" s="1" t="n">
        <v>304</v>
      </c>
      <c r="AA285" s="2"/>
      <c r="AB285" s="26" t="n">
        <v>3</v>
      </c>
      <c r="AC285" s="26" t="n">
        <v>190</v>
      </c>
      <c r="AD285" s="4" t="n">
        <f aca="false">IF(AND(Z285&gt;0,AC285&gt;0),(AC285/((Z285+AA285)*10)),"")</f>
        <v>0.0625</v>
      </c>
      <c r="AE285" s="26" t="n">
        <v>90</v>
      </c>
      <c r="AF285" s="26" t="n">
        <f aca="false">ROUND(AE285*1.6, 0)</f>
        <v>144</v>
      </c>
      <c r="AH285" s="26" t="n">
        <v>20.26</v>
      </c>
      <c r="AI285" s="26" t="n">
        <v>20</v>
      </c>
      <c r="AJ285" s="26" t="n">
        <v>2.9</v>
      </c>
      <c r="AK285" s="26" t="n">
        <v>3.77</v>
      </c>
      <c r="AL285" s="5" t="n">
        <v>36</v>
      </c>
      <c r="AM285" s="1" t="str">
        <f aca="false">CONCATENATE(VLOOKUP(AN285, 'Voxel Sizes'!$A$2:$B$18,2,FALSE()),"x",INT(AJ285*15), "x", INT(AK285*15))</f>
        <v>198x43x56</v>
      </c>
      <c r="AN285" s="26" t="n">
        <f aca="false">ROUND(15*((AI285*10)/256),0)</f>
        <v>12</v>
      </c>
      <c r="AP285" s="1" t="str">
        <f aca="false">CONCATENATE(VLOOKUP(AN285,Constants!$A$2:$C$16,IF(AO285&lt;&gt;"", 3, 2), FALSE()),IF(AO285&lt;&gt;"",CONCATENATE(",",VLOOKUP(AO285,$B:$AP,41,FALSE())),""))</f>
        <v>4,4,4</v>
      </c>
      <c r="AQ285" s="26" t="s">
        <v>945</v>
      </c>
      <c r="AR285" s="6"/>
      <c r="AS285" s="6"/>
      <c r="AT285" s="26" t="s">
        <v>1012</v>
      </c>
      <c r="AV285" s="26" t="s">
        <v>1013</v>
      </c>
      <c r="AW285" s="26" t="s">
        <v>1014</v>
      </c>
      <c r="AZ285" s="26" t="n">
        <v>22</v>
      </c>
      <c r="BA285" s="16" t="n">
        <f aca="false">IF(O285&lt;&gt;"",MAX(16,(O285-M285)+8),"")</f>
        <v>21</v>
      </c>
      <c r="BB285" s="26" t="n">
        <v>-10</v>
      </c>
      <c r="BC285" s="26" t="n">
        <v>-15</v>
      </c>
      <c r="BD285" s="26" t="n">
        <f aca="false">MIN(AE285/150, 1)*30</f>
        <v>18</v>
      </c>
      <c r="BE285" s="26" t="n">
        <f aca="false">MIN(Q285/4000, 1)*20</f>
        <v>10</v>
      </c>
      <c r="BF285" s="26" t="n">
        <f aca="false">MIN(AC285/400,1)*20</f>
        <v>9.5</v>
      </c>
      <c r="BG285" s="4" t="n">
        <f aca="false">1-(MAX(M285-1900, 0)/750)</f>
        <v>0.92</v>
      </c>
      <c r="BH285" s="26" t="n">
        <f aca="false">((MAX($P285,1)*MIN($AL285/300,1)))*IF(J285="Wagon",50,10)</f>
        <v>7.2</v>
      </c>
      <c r="BI285" s="1" t="n">
        <f aca="false">VLOOKUP($K285,Constants!$I:$K, 2, FALSE())</f>
        <v>1</v>
      </c>
      <c r="BJ285" s="1" t="n">
        <f aca="false">VLOOKUP($K285,Constants!$I:$K, 3, FALSE())*IF(AND(J285="multiple_unit",AE285&lt;110),0.75,1)</f>
        <v>1.5</v>
      </c>
      <c r="BK285" s="1" t="n">
        <f aca="false">INT(POWER(((Constants!$G$2+$BD285+$BE285+$BF285+$BH285)*$BG285)*$BJ285, 1.05))+$BC285</f>
        <v>69</v>
      </c>
      <c r="BL285" s="1" t="n">
        <f aca="false">INT(POWER((((Constants!$G$1+$BD285+$BE285+$BF285+$BH285)*($BG285))*$BI285),IF($J285="wagon",1,1.2)))+$BB285</f>
        <v>112</v>
      </c>
      <c r="BM285" s="17" t="n">
        <f aca="false">BK285*IF($J285="wagon",62.5,781.25)</f>
        <v>53906.25</v>
      </c>
      <c r="BN285" s="17" t="n">
        <f aca="false">BL285*IF($J285="wagon",2.73,81.25)</f>
        <v>9100</v>
      </c>
      <c r="BU285" s="1" t="str">
        <f aca="false">IF(J285="locomotive","B","")</f>
        <v/>
      </c>
      <c r="BV285" s="1" t="str">
        <f aca="false">IF(OR($J285="locomotive",$J285="wagon"),"B","")</f>
        <v/>
      </c>
      <c r="BX285" s="26" t="s">
        <v>1015</v>
      </c>
      <c r="BY285" s="26" t="n">
        <v>2</v>
      </c>
      <c r="BZ285" s="26" t="n">
        <v>222</v>
      </c>
      <c r="CC285" s="26" t="s">
        <v>367</v>
      </c>
      <c r="CD285" s="26" t="s">
        <v>611</v>
      </c>
      <c r="CE285" s="26" t="s">
        <v>1016</v>
      </c>
      <c r="CF285" s="26" t="str">
        <f aca="false">CONCATENATE(CD285,"_",CE285)</f>
        <v>dsl_DMU (Express)</v>
      </c>
      <c r="CG285" s="26" t="str">
        <f aca="false">_xlfn.CONCAT(K285, "_",L285)</f>
        <v>diesel_RAIL</v>
      </c>
      <c r="CH285" s="7" t="str">
        <f aca="false">_xlfn.CONCAT("{BLACK}Length: {GOLD}", TEXT(ROUNDUP(IF(AS285&lt;&gt;"",SUM(VALUE(_xlfn.TEXTSPLIT(AS285, ","))), SUM(VALUE(_xlfn.TEXTSPLIT(AP285, ",")))*IF(P285, P285, 1))/16, 1), "#,##0.0"), " tiles{}")</f>
        <v>{BLACK}Length: {GOLD}4.5 tiles{}</v>
      </c>
      <c r="CI285" s="1" t="str">
        <f aca="false">IF(0, VLOOKUP($CG285, Constants!$M:$N, 2, FALSE()),"")</f>
        <v/>
      </c>
      <c r="CJ285" s="1" t="str">
        <f aca="false">IF(P285&gt;1,_xlfn.CONCAT("{BLACK}Cars: {GOLD}", P285),"")</f>
        <v>{BLACK}Cars: {GOLD}6</v>
      </c>
      <c r="CK285" s="26" t="s">
        <v>1017</v>
      </c>
      <c r="CL285" s="1" t="str">
        <f aca="false">IF($BX285="concept_trains","{GREEN}Concept Vehicle",IF($BX285="!param_no_gameplay_units","{GREEN}Included for gameplay purposes",""))</f>
        <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{YELLOW}20% bonus for long distance travel{}</v>
      </c>
      <c r="CN285" s="1" t="str">
        <f aca="false">_xlfn.CONCAT(CI285,IF(CI285&lt;&gt;""," ",""),CJ285,IF(OR(CJ285&lt;&gt;"",CI285&lt;&gt;""),"{}",""),CH285,CM285,"{SILVER}",CK285,IF(CL285&lt;&gt;"","{}{}",""),CL285)</f>
        <v>{BLACK}Cars: {GOLD}6{}{BLACK}Length: {GOLD}4.5 tiles{}{YELLOW}20% bonus for long distance travel{}{SILVER}The Blue Pullman is an express diesel multiple unit, designed to tempt motorists from their cars with a luxurious inter-city service. This is the 6-car “Midland Region” layout.</v>
      </c>
      <c r="XFD285" s="1"/>
    </row>
    <row r="286" s="26" customFormat="true" ht="14.25" hidden="false" customHeight="false" outlineLevel="0" collapsed="false">
      <c r="A286" s="26" t="s">
        <v>1010</v>
      </c>
      <c r="B286" s="27" t="s">
        <v>1018</v>
      </c>
      <c r="C286" s="1" t="n">
        <v>3029</v>
      </c>
      <c r="D286" s="26" t="n">
        <v>3028</v>
      </c>
      <c r="E286" s="1" t="n">
        <v>350</v>
      </c>
      <c r="F286" s="1" t="s">
        <v>174</v>
      </c>
      <c r="G286" s="1" t="str">
        <f aca="false">IF($F286&lt;&gt;"",_xlfn.CONCAT(VLOOKUP($CE286, Constants!$T:$U, 2, FALSE()),",",$F286),VLOOKUP($CE286, Constants!$T:$U, 2, FALSE()))</f>
        <v>role/express_passenger,_ww_livery/brbluegrey</v>
      </c>
      <c r="H286" s="1" t="str">
        <f aca="false">IF($G286&lt;&gt;"",_xlfn.CONCAT(VLOOKUP($CG286, Constants!$M:$P, 4, FALSE()),",",$G286),VLOOKUP($CG286, Constants!$M:$P, 4, FALSE()))</f>
        <v>flag/GB,power/diesel,role/express_passenger,_ww_livery/brbluegrey</v>
      </c>
      <c r="I286" s="26" t="s">
        <v>241</v>
      </c>
      <c r="J286" s="26" t="s">
        <v>466</v>
      </c>
      <c r="K286" s="26" t="s">
        <v>525</v>
      </c>
      <c r="L286" s="26" t="s">
        <v>192</v>
      </c>
      <c r="M286" s="26" t="n">
        <v>1960</v>
      </c>
      <c r="O286" s="26" t="n">
        <v>1973</v>
      </c>
      <c r="P286" s="26" t="n">
        <v>8</v>
      </c>
      <c r="Q286" s="26" t="n">
        <v>2000</v>
      </c>
      <c r="R286" s="2"/>
      <c r="S286" s="3"/>
      <c r="T286" s="3"/>
      <c r="U286" s="3"/>
      <c r="V286" s="3"/>
      <c r="W286" s="3"/>
      <c r="X286" s="3"/>
      <c r="Y286" s="3"/>
      <c r="Z286" s="26" t="n">
        <v>370</v>
      </c>
      <c r="AA286" s="2"/>
      <c r="AB286" s="26" t="n">
        <v>3</v>
      </c>
      <c r="AC286" s="26" t="n">
        <v>190</v>
      </c>
      <c r="AD286" s="4" t="n">
        <f aca="false">IF(AND(Z286&gt;0,AC286&gt;0),(AC286/((Z286+AA286)*10)),"")</f>
        <v>0.0513513513513514</v>
      </c>
      <c r="AE286" s="26" t="n">
        <v>90</v>
      </c>
      <c r="AF286" s="26" t="n">
        <f aca="false">ROUND(AE286*1.6, 0)</f>
        <v>144</v>
      </c>
      <c r="AH286" s="26" t="n">
        <v>20.26</v>
      </c>
      <c r="AI286" s="26" t="n">
        <v>20</v>
      </c>
      <c r="AJ286" s="26" t="n">
        <v>2.9</v>
      </c>
      <c r="AK286" s="26" t="n">
        <v>3.77</v>
      </c>
      <c r="AL286" s="5" t="n">
        <v>38</v>
      </c>
      <c r="AM286" s="1" t="str">
        <f aca="false">CONCATENATE(VLOOKUP(AN286, 'Voxel Sizes'!$A$2:$B$18,2,FALSE()),"x",INT(AJ286*15), "x", INT(AK286*15))</f>
        <v>198x43x56</v>
      </c>
      <c r="AN286" s="26" t="n">
        <f aca="false">ROUND(15*((AI286*10)/256),0)</f>
        <v>12</v>
      </c>
      <c r="AP286" s="1" t="str">
        <f aca="false">CONCATENATE(VLOOKUP(AN286,Constants!$A$2:$C$16,IF(AO286&lt;&gt;"", 3, 2), FALSE()),IF(AO286&lt;&gt;"",CONCATENATE(",",VLOOKUP(AO286,$B:$AP,41,FALSE())),""))</f>
        <v>4,4,4</v>
      </c>
      <c r="AQ286" s="26" t="s">
        <v>1019</v>
      </c>
      <c r="AR286" s="6"/>
      <c r="AS286" s="6"/>
      <c r="AT286" s="26" t="s">
        <v>1020</v>
      </c>
      <c r="AV286" s="26" t="s">
        <v>1021</v>
      </c>
      <c r="AW286" s="26" t="s">
        <v>1014</v>
      </c>
      <c r="AZ286" s="26" t="n">
        <v>22</v>
      </c>
      <c r="BA286" s="16" t="n">
        <f aca="false">IF(O286&lt;&gt;"",MAX(16,(O286-M286)+8),"")</f>
        <v>21</v>
      </c>
      <c r="BB286" s="26" t="n">
        <v>-10</v>
      </c>
      <c r="BC286" s="26" t="n">
        <v>-15</v>
      </c>
      <c r="BD286" s="26" t="n">
        <f aca="false">MIN(AE286/150, 1)*30</f>
        <v>18</v>
      </c>
      <c r="BE286" s="26" t="n">
        <f aca="false">MIN(Q286/4000, 1)*20</f>
        <v>10</v>
      </c>
      <c r="BF286" s="26" t="n">
        <f aca="false">MIN(AC286/400,1)*20</f>
        <v>9.5</v>
      </c>
      <c r="BG286" s="4" t="n">
        <f aca="false">1-(MAX(M286-1900, 0)/750)</f>
        <v>0.92</v>
      </c>
      <c r="BH286" s="26" t="n">
        <f aca="false">((MAX($P286,1)*MIN($AL286/300,1)))*IF(J286="Wagon",50,10)</f>
        <v>10.1333333333333</v>
      </c>
      <c r="BI286" s="1" t="n">
        <f aca="false">VLOOKUP($K286,Constants!$I:$K, 2, FALSE())</f>
        <v>1</v>
      </c>
      <c r="BJ286" s="1" t="n">
        <f aca="false">VLOOKUP($K286,Constants!$I:$K, 3, FALSE())*IF(AND(J286="multiple_unit",AE286&lt;110),0.75,1)</f>
        <v>1.5</v>
      </c>
      <c r="BK286" s="1" t="n">
        <f aca="false">INT(POWER(((Constants!$G$2+$BD286+$BE286+$BF286+$BH286)*$BG286)*$BJ286, 1.05))+$BC286</f>
        <v>74</v>
      </c>
      <c r="BL286" s="1" t="n">
        <f aca="false">INT(POWER((((Constants!$G$1+$BD286+$BE286+$BF286+$BH286)*($BG286))*$BI286),IF($J286="wagon",1,1.2)))+$BB286</f>
        <v>119</v>
      </c>
      <c r="BM286" s="17" t="n">
        <f aca="false">BK286*IF($J286="wagon",62.5,781.25)</f>
        <v>57812.5</v>
      </c>
      <c r="BN286" s="17" t="n">
        <f aca="false">BL286*IF($J286="wagon",2.73,81.25)</f>
        <v>9668.75</v>
      </c>
      <c r="BU286" s="1" t="str">
        <f aca="false">IF(J286="locomotive","B","")</f>
        <v/>
      </c>
      <c r="BV286" s="1" t="str">
        <f aca="false">IF(OR($J286="locomotive",$J286="wagon"),"B","")</f>
        <v/>
      </c>
      <c r="BX286" s="26" t="s">
        <v>1015</v>
      </c>
      <c r="BY286" s="26" t="n">
        <v>2</v>
      </c>
      <c r="BZ286" s="26" t="n">
        <v>222</v>
      </c>
      <c r="CC286" s="26" t="s">
        <v>367</v>
      </c>
      <c r="CD286" s="26" t="s">
        <v>611</v>
      </c>
      <c r="CE286" s="26" t="s">
        <v>1016</v>
      </c>
      <c r="CF286" s="26" t="str">
        <f aca="false">CONCATENATE(CD286,"_",CE286)</f>
        <v>dsl_DMU (Express)</v>
      </c>
      <c r="CG286" s="26" t="str">
        <f aca="false">_xlfn.CONCAT(K286, "_",L286)</f>
        <v>diesel_RAIL</v>
      </c>
      <c r="CH286" s="7" t="str">
        <f aca="false">_xlfn.CONCAT("{BLACK}Length: {GOLD}", TEXT(ROUNDUP(IF(AS286&lt;&gt;"",SUM(VALUE(_xlfn.TEXTSPLIT(AS286, ","))), SUM(VALUE(_xlfn.TEXTSPLIT(AP286, ",")))*IF(P286, P286, 1))/16, 1), "#,##0.0"), " tiles{}")</f>
        <v>{BLACK}Length: {GOLD}6.0 tiles{}</v>
      </c>
      <c r="CI286" s="1" t="str">
        <f aca="false">IF(0, VLOOKUP($CG286, Constants!$M:$N, 2, FALSE()),"")</f>
        <v/>
      </c>
      <c r="CJ286" s="1" t="str">
        <f aca="false">IF(P286&gt;1,_xlfn.CONCAT("{BLACK}Cars: {GOLD}", P286),"")</f>
        <v>{BLACK}Cars: {GOLD}8</v>
      </c>
      <c r="CK286" s="26" t="s">
        <v>1022</v>
      </c>
      <c r="CL286" s="1" t="str">
        <f aca="false">IF($BX286="concept_trains","{GREEN}Concept Vehicle",IF($BX286="!param_no_gameplay_units","{GREEN}Included for gameplay purposes",""))</f>
        <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{YELLOW}20% bonus for long distance travel{}</v>
      </c>
      <c r="CN286" s="1" t="str">
        <f aca="false">_xlfn.CONCAT(CI286,IF(CI286&lt;&gt;""," ",""),CJ286,IF(OR(CJ286&lt;&gt;"",CI286&lt;&gt;""),"{}",""),CH286,CM286,"{SILVER}",CK286,IF(CL286&lt;&gt;"","{}{}",""),CL286)</f>
        <v>{BLACK}Cars: {GOLD}8{}{BLACK}Length: {GOLD}6.0 tiles{}{YELLOW}20% bonus for long distance travel{}{SILVER}The Blue Pullman is an express diesel multiple unit, designed to tempt motorists from their cars with a luxurious inter-city service. This is the 8-car “Western Region” set layout.</v>
      </c>
      <c r="XFD286" s="1"/>
    </row>
    <row r="287" customFormat="false" ht="14.25" hidden="false" customHeight="false" outlineLevel="0" collapsed="false">
      <c r="A287" s="1" t="s">
        <v>1023</v>
      </c>
      <c r="B287" s="15" t="s">
        <v>1024</v>
      </c>
      <c r="C287" s="1" t="n">
        <v>232</v>
      </c>
      <c r="E287" s="1" t="n">
        <v>351</v>
      </c>
      <c r="F287" s="1" t="s">
        <v>171</v>
      </c>
      <c r="G287" s="1" t="str">
        <f aca="false">IF($F287&lt;&gt;"",_xlfn.CONCAT(VLOOKUP($CE287, Constants!$T:$U, 2, FALSE()),",",$F287),VLOOKUP($CE287, Constants!$T:$U, 2, FALSE()))</f>
        <v>role/passenger,_ww_livery/brblue</v>
      </c>
      <c r="H287" s="1" t="str">
        <f aca="false">IF($G287&lt;&gt;"",_xlfn.CONCAT(VLOOKUP($CG287, Constants!$M:$P, 4, FALSE()),",",$G287),VLOOKUP($CG287, Constants!$M:$P, 4, FALSE()))</f>
        <v>flag/GB,power/diesel,role/passenger,_ww_livery/brblue</v>
      </c>
      <c r="I287" s="1" t="s">
        <v>241</v>
      </c>
      <c r="J287" s="1" t="s">
        <v>466</v>
      </c>
      <c r="K287" s="1" t="s">
        <v>525</v>
      </c>
      <c r="L287" s="1" t="s">
        <v>192</v>
      </c>
      <c r="M287" s="1" t="n">
        <v>1960</v>
      </c>
      <c r="O287" s="1" t="n">
        <v>2017</v>
      </c>
      <c r="P287" s="1" t="n">
        <v>1</v>
      </c>
      <c r="Q287" s="1" t="n">
        <v>300</v>
      </c>
      <c r="Z287" s="1" t="n">
        <v>38</v>
      </c>
      <c r="AB287" s="1" t="n">
        <v>5</v>
      </c>
      <c r="AC287" s="1" t="n">
        <v>65</v>
      </c>
      <c r="AD287" s="4" t="n">
        <f aca="false">IF(AND(Z287&gt;0,AC287&gt;0),(AC287/((Z287+AA287)*10)),"")</f>
        <v>0.171052631578947</v>
      </c>
      <c r="AE287" s="1" t="n">
        <v>70</v>
      </c>
      <c r="AF287" s="1" t="n">
        <f aca="false">ROUND(AE287*1.6, 0)</f>
        <v>112</v>
      </c>
      <c r="AH287" s="1" t="n">
        <v>19.66</v>
      </c>
      <c r="AI287" s="1" t="n">
        <v>19.66</v>
      </c>
      <c r="AK287" s="1" t="n">
        <v>3.77</v>
      </c>
      <c r="AL287" s="5" t="n">
        <v>66</v>
      </c>
      <c r="AM287" s="1" t="str">
        <f aca="false">CONCATENATE(VLOOKUP(AN287, 'Voxel Sizes'!$A$2:$B$18,2,FALSE()),"x",INT(AJ287*15), "x", INT(AK287*15))</f>
        <v>198x0x56</v>
      </c>
      <c r="AN287" s="1" t="n">
        <f aca="false">ROUND(15*((AI287*10)/256),0)</f>
        <v>12</v>
      </c>
      <c r="AP287" s="1" t="str">
        <f aca="false">CONCATENATE(VLOOKUP(AN287,Constants!$A$2:$C$16,IF(AO287&lt;&gt;"", 3, 2), FALSE()),IF(AO287&lt;&gt;"",CONCATENATE(",",VLOOKUP(AO287,$B:$AP,41,FALSE())),""))</f>
        <v>4,4,4</v>
      </c>
      <c r="AT287" s="1" t="s">
        <v>1024</v>
      </c>
      <c r="AV287" s="1" t="n">
        <v>1</v>
      </c>
      <c r="AZ287" s="1" t="n">
        <v>50</v>
      </c>
      <c r="BA287" s="16" t="n">
        <f aca="false">IF(O287&lt;&gt;"",MAX(16,(O287-M287)+8),"")</f>
        <v>65</v>
      </c>
      <c r="BB287" s="1" t="n">
        <v>-10</v>
      </c>
      <c r="BC287" s="1" t="n">
        <v>-15</v>
      </c>
      <c r="BD287" s="1" t="n">
        <f aca="false">MIN(AE287/150, 1)*30</f>
        <v>14</v>
      </c>
      <c r="BE287" s="1" t="n">
        <f aca="false">MIN(Q287/4000, 1)*20</f>
        <v>1.5</v>
      </c>
      <c r="BF287" s="1" t="n">
        <f aca="false">MIN(AC287/400,1)*20</f>
        <v>3.25</v>
      </c>
      <c r="BG287" s="4" t="n">
        <f aca="false">1-(MAX(M287-1900, 0)/750)</f>
        <v>0.92</v>
      </c>
      <c r="BH287" s="1" t="n">
        <f aca="false">((MAX($P287,1)*MIN($AL287/300,1)))*IF(J287="Wagon",50,10)</f>
        <v>2.2</v>
      </c>
      <c r="BI287" s="1" t="n">
        <f aca="false">VLOOKUP($K287,Constants!$I:$K, 2, FALSE())</f>
        <v>1</v>
      </c>
      <c r="BJ287" s="1" t="n">
        <f aca="false">VLOOKUP($K287,Constants!$I:$K, 3, FALSE())*IF(AND(J287="multiple_unit",AE287&lt;110),0.75,1)</f>
        <v>1.5</v>
      </c>
      <c r="BK287" s="1" t="n">
        <f aca="false">INT(POWER(((Constants!$G$2+$BD287+$BE287+$BF287+$BH287)*$BG287)*$BJ287, 1.05))+$BC287</f>
        <v>27</v>
      </c>
      <c r="BL287" s="1" t="n">
        <f aca="false">INT(POWER((((Constants!$G$1+$BD287+$BE287+$BF287+$BH287)*($BG287))*$BI287),IF($J287="wagon",1,1.2)))+$BB287</f>
        <v>56</v>
      </c>
      <c r="BM287" s="17" t="n">
        <f aca="false">BK287*IF($J287="wagon",62.5,781.25)</f>
        <v>21093.75</v>
      </c>
      <c r="BN287" s="17" t="n">
        <f aca="false">BL287*IF($J287="wagon",2.73,81.25)</f>
        <v>4550</v>
      </c>
      <c r="BT28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7" s="1" t="str">
        <f aca="false">IF(J287="locomotive","B","")</f>
        <v/>
      </c>
      <c r="BV287" s="1" t="str">
        <f aca="false">IF(OR($J287="locomotive",$J287="wagon"),"B","")</f>
        <v/>
      </c>
      <c r="BY287" s="1" t="n">
        <v>4</v>
      </c>
      <c r="BZ287" s="1" t="n">
        <v>185</v>
      </c>
      <c r="CC287" s="1" t="s">
        <v>367</v>
      </c>
      <c r="CD287" s="1" t="str">
        <f aca="false">VLOOKUP(M287,Eras!$A$2:$C$10, 2, TRUE())</f>
        <v>dsl</v>
      </c>
      <c r="CE287" s="1" t="s">
        <v>824</v>
      </c>
      <c r="CF287" s="1" t="str">
        <f aca="false">CONCATENATE(CD287,"_",CE287)</f>
        <v>dsl_DMU</v>
      </c>
      <c r="CG287" s="1" t="str">
        <f aca="false">_xlfn.CONCAT(K287, "_",L287)</f>
        <v>diesel_RAIL</v>
      </c>
      <c r="CH287" s="7" t="str">
        <f aca="false">_xlfn.CONCAT("{BLACK}Length: {GOLD}", TEXT(ROUNDUP(IF(AS287&lt;&gt;"",SUM(VALUE(_xlfn.TEXTSPLIT(AS287, ","))), SUM(VALUE(_xlfn.TEXTSPLIT(AP287, ",")))*IF(P287, P287, 1))/16, 1), "#,##0.0"), " tiles{}")</f>
        <v>{BLACK}Length: {GOLD}0.8 tiles{}</v>
      </c>
      <c r="CI287" s="1" t="str">
        <f aca="false">IF(0, VLOOKUP($CG287, Constants!$M:$N, 2, FALSE()),"")</f>
        <v/>
      </c>
      <c r="CJ287" s="1" t="str">
        <f aca="false">IF(P287&gt;1,_xlfn.CONCAT("{BLACK}Cars: {GOLD}", P287),"")</f>
        <v/>
      </c>
      <c r="CK287" s="1" t="s">
        <v>1025</v>
      </c>
      <c r="CL287" s="1" t="str">
        <f aca="false">IF($BX287="concept_trains","{GREEN}Concept Vehicle",IF($BX287="!param_no_gameplay_units","{GREEN}Included for gameplay purposes",""))</f>
        <v/>
      </c>
      <c r="CM287" s="1" t="str">
        <f aca="false">IF(CA287="buffet","{YELLOW}25% long distance bonus for consist{}",IF(CC287="BRAKE","{YELLOW}Speed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{BLACK}Length: {GOLD}0.8 tiles{}{SILVER}The "Bubble Car" units saw a long life on branch lines and rural railways. Two six-cylinder AEC or Leyland engines of 150hp each drive the wheels through a mechanical transmission.</v>
      </c>
    </row>
    <row r="288" customFormat="false" ht="14.25" hidden="false" customHeight="false" outlineLevel="0" collapsed="false">
      <c r="A288" s="1" t="s">
        <v>1023</v>
      </c>
      <c r="B288" s="15" t="s">
        <v>1026</v>
      </c>
      <c r="C288" s="1" t="n">
        <v>4232</v>
      </c>
      <c r="D288" s="1" t="n">
        <v>232</v>
      </c>
      <c r="E288" s="1" t="n">
        <v>352</v>
      </c>
      <c r="F288" s="1" t="s">
        <v>174</v>
      </c>
      <c r="G288" s="1" t="str">
        <f aca="false">IF($F288&lt;&gt;"",_xlfn.CONCAT(VLOOKUP($CE288, Constants!$T:$U, 2, FALSE()),",",$F288),VLOOKUP($CE288, Constants!$T:$U, 2, FALSE()))</f>
        <v>role/passenger,_ww_livery/brbluegrey</v>
      </c>
      <c r="H288" s="1" t="str">
        <f aca="false">IF($G288&lt;&gt;"",_xlfn.CONCAT(VLOOKUP($CG288, Constants!$M:$P, 4, FALSE()),",",$G288),VLOOKUP($CG288, Constants!$M:$P, 4, FALSE()))</f>
        <v>flag/GB,power/diesel,role/passenger,_ww_livery/brbluegrey</v>
      </c>
      <c r="I288" s="1" t="s">
        <v>241</v>
      </c>
      <c r="J288" s="1" t="s">
        <v>466</v>
      </c>
      <c r="K288" s="1" t="s">
        <v>525</v>
      </c>
      <c r="L288" s="1" t="s">
        <v>192</v>
      </c>
      <c r="M288" s="1" t="n">
        <v>1960</v>
      </c>
      <c r="O288" s="1" t="n">
        <v>2017</v>
      </c>
      <c r="P288" s="1" t="n">
        <v>1</v>
      </c>
      <c r="Q288" s="1" t="n">
        <v>300</v>
      </c>
      <c r="Z288" s="1" t="n">
        <v>38</v>
      </c>
      <c r="AB288" s="1" t="n">
        <v>5</v>
      </c>
      <c r="AC288" s="1" t="n">
        <v>65</v>
      </c>
      <c r="AD288" s="4" t="n">
        <f aca="false">IF(AND(Z288&gt;0,AC288&gt;0),(AC288/((Z288+AA288)*10)),"")</f>
        <v>0.171052631578947</v>
      </c>
      <c r="AE288" s="1" t="n">
        <v>70</v>
      </c>
      <c r="AF288" s="1" t="n">
        <f aca="false">ROUND(AE288*1.6, 0)</f>
        <v>112</v>
      </c>
      <c r="AH288" s="1" t="n">
        <v>19.66</v>
      </c>
      <c r="AI288" s="1" t="n">
        <v>19.66</v>
      </c>
      <c r="AK288" s="1" t="n">
        <v>3.77</v>
      </c>
      <c r="AL288" s="5" t="n">
        <v>66</v>
      </c>
      <c r="AM288" s="1" t="str">
        <f aca="false">CONCATENATE(VLOOKUP(AN288, 'Voxel Sizes'!$A$2:$B$18,2,FALSE()),"x",INT(AJ288*15), "x", INT(AK288*15))</f>
        <v>198x0x56</v>
      </c>
      <c r="AN288" s="1" t="n">
        <f aca="false">ROUND(15*((AI288*10)/256),0)</f>
        <v>12</v>
      </c>
      <c r="AP288" s="1" t="str">
        <f aca="false">CONCATENATE(VLOOKUP(AN288,Constants!$A$2:$C$16,IF(AO288&lt;&gt;"", 3, 2), FALSE()),IF(AO288&lt;&gt;"",CONCATENATE(",",VLOOKUP(AO288,$B:$AP,41,FALSE())),""))</f>
        <v>4,4,4</v>
      </c>
      <c r="AT288" s="1" t="s">
        <v>1026</v>
      </c>
      <c r="AV288" s="1" t="n">
        <v>1</v>
      </c>
      <c r="AZ288" s="1" t="n">
        <v>50</v>
      </c>
      <c r="BA288" s="16" t="n">
        <f aca="false">IF(O288&lt;&gt;"",MAX(16,(O288-M288)+8),"")</f>
        <v>65</v>
      </c>
      <c r="BB288" s="1" t="n">
        <v>-10</v>
      </c>
      <c r="BC288" s="1" t="n">
        <v>-15</v>
      </c>
      <c r="BD288" s="1" t="n">
        <f aca="false">MIN(AE288/150, 1)*30</f>
        <v>14</v>
      </c>
      <c r="BE288" s="1" t="n">
        <f aca="false">MIN(Q288/4000, 1)*20</f>
        <v>1.5</v>
      </c>
      <c r="BF288" s="1" t="n">
        <f aca="false">MIN(AC288/400,1)*20</f>
        <v>3.25</v>
      </c>
      <c r="BG288" s="4" t="n">
        <f aca="false">1-(MAX(M288-1900, 0)/750)</f>
        <v>0.92</v>
      </c>
      <c r="BH288" s="1" t="n">
        <f aca="false">((MAX($P288,1)*MIN($AL288/300,1)))*IF(J288="Wagon",50,10)</f>
        <v>2.2</v>
      </c>
      <c r="BI288" s="1" t="n">
        <f aca="false">VLOOKUP($K288,Constants!$I:$K, 2, FALSE())</f>
        <v>1</v>
      </c>
      <c r="BJ288" s="1" t="n">
        <f aca="false">VLOOKUP($K288,Constants!$I:$K, 3, FALSE())*IF(AND(J288="multiple_unit",AE288&lt;110),0.75,1)</f>
        <v>1.5</v>
      </c>
      <c r="BK288" s="1" t="n">
        <f aca="false">INT(POWER(((Constants!$G$2+$BD288+$BE288+$BF288+$BH288)*$BG288)*$BJ288, 1.05))+$BC288</f>
        <v>27</v>
      </c>
      <c r="BL288" s="1" t="n">
        <f aca="false">INT(POWER((((Constants!$G$1+$BD288+$BE288+$BF288+$BH288)*($BG288))*$BI288),IF($J288="wagon",1,1.2)))+$BB288</f>
        <v>56</v>
      </c>
      <c r="BM288" s="17" t="n">
        <f aca="false">BK288*IF($J288="wagon",62.5,781.25)</f>
        <v>21093.75</v>
      </c>
      <c r="BN288" s="17" t="n">
        <f aca="false">BL288*IF($J288="wagon",2.73,81.25)</f>
        <v>4550</v>
      </c>
      <c r="BT28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8" s="1" t="str">
        <f aca="false">IF(J288="locomotive","B","")</f>
        <v/>
      </c>
      <c r="BV288" s="1" t="str">
        <f aca="false">IF(OR($J288="locomotive",$J288="wagon"),"B","")</f>
        <v/>
      </c>
      <c r="BY288" s="1" t="n">
        <v>4</v>
      </c>
      <c r="BZ288" s="1" t="n">
        <v>185</v>
      </c>
      <c r="CC288" s="1" t="s">
        <v>367</v>
      </c>
      <c r="CD288" s="1" t="str">
        <f aca="false">VLOOKUP(M288,Eras!$A$2:$C$10, 2, TRUE())</f>
        <v>dsl</v>
      </c>
      <c r="CE288" s="1" t="s">
        <v>824</v>
      </c>
      <c r="CF288" s="1" t="str">
        <f aca="false">CONCATENATE(CD288,"_",CE288)</f>
        <v>dsl_DMU</v>
      </c>
      <c r="CG288" s="1" t="str">
        <f aca="false">_xlfn.CONCAT(K288, "_",L288)</f>
        <v>diesel_RAIL</v>
      </c>
      <c r="CH288" s="7" t="str">
        <f aca="false">_xlfn.CONCAT("{BLACK}Length: {GOLD}", TEXT(ROUNDUP(IF(AS288&lt;&gt;"",SUM(VALUE(_xlfn.TEXTSPLIT(AS288, ","))), SUM(VALUE(_xlfn.TEXTSPLIT(AP288, ",")))*IF(P288, P288, 1))/16, 1), "#,##0.0"), " tiles{}")</f>
        <v>{BLACK}Length: {GOLD}0.8 tiles{}</v>
      </c>
      <c r="CI288" s="1" t="str">
        <f aca="false">IF(0, VLOOKUP($CG288, Constants!$M:$N, 2, FALSE()),"")</f>
        <v/>
      </c>
      <c r="CJ288" s="1" t="str">
        <f aca="false">IF(P288&gt;1,_xlfn.CONCAT("{BLACK}Cars: {GOLD}", P288),"")</f>
        <v/>
      </c>
      <c r="CK288" s="1" t="s">
        <v>1025</v>
      </c>
      <c r="CL288" s="1" t="str">
        <f aca="false">IF($BX288="concept_trains","{GREEN}Concept Vehicle",IF($BX288="!param_no_gameplay_units","{GREEN}Included for gameplay purposes",""))</f>
        <v/>
      </c>
      <c r="CM288" s="1" t="str">
        <f aca="false">IF(CA288="buffet","{YELLOW}25% long distance bonus for consist{}",IF(CC288="BRAKE","{YELLOW}Speed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{BLACK}Length: {GOLD}0.8 tiles{}{SILVER}The "Bubble Car" units saw a long life on branch lines and rural railways. Two six-cylinder AEC or Leyland engines of 150hp each drive the wheels through a mechanical transmission.</v>
      </c>
    </row>
    <row r="289" s="26" customFormat="true" ht="14.25" hidden="false" customHeight="false" outlineLevel="0" collapsed="false">
      <c r="A289" s="26" t="s">
        <v>1027</v>
      </c>
      <c r="B289" s="27" t="s">
        <v>1028</v>
      </c>
      <c r="C289" s="1" t="n">
        <v>3032</v>
      </c>
      <c r="D289" s="26" t="n">
        <v>3033</v>
      </c>
      <c r="E289" s="1" t="n">
        <v>353</v>
      </c>
      <c r="F289" s="1" t="s">
        <v>174</v>
      </c>
      <c r="G289" s="1" t="str">
        <f aca="false">IF($F289&lt;&gt;"",_xlfn.CONCAT(VLOOKUP($CE289, Constants!$T:$U, 2, FALSE()),",",$F289),VLOOKUP($CE289, Constants!$T:$U, 2, FALSE()))</f>
        <v>role/express_passenger,_ww_livery/brbluegrey</v>
      </c>
      <c r="H289" s="1" t="str">
        <f aca="false">IF($G289&lt;&gt;"",_xlfn.CONCAT(VLOOKUP($CG289, Constants!$M:$P, 4, FALSE()),",",$G289),VLOOKUP($CG289, Constants!$M:$P, 4, FALSE()))</f>
        <v>flag/GB,power/electric,role/express_passenger,_ww_livery/brbluegrey</v>
      </c>
      <c r="I289" s="26" t="s">
        <v>241</v>
      </c>
      <c r="J289" s="26" t="s">
        <v>466</v>
      </c>
      <c r="K289" s="26" t="s">
        <v>388</v>
      </c>
      <c r="L289" s="26" t="s">
        <v>389</v>
      </c>
      <c r="M289" s="26" t="n">
        <v>1962</v>
      </c>
      <c r="N289" s="26" t="n">
        <v>1990</v>
      </c>
      <c r="O289" s="26" t="n">
        <v>2000</v>
      </c>
      <c r="P289" s="26" t="n">
        <v>2</v>
      </c>
      <c r="Q289" s="26" t="n">
        <v>1128</v>
      </c>
      <c r="R289" s="2"/>
      <c r="S289" s="3"/>
      <c r="T289" s="3"/>
      <c r="U289" s="3"/>
      <c r="V289" s="3"/>
      <c r="W289" s="3"/>
      <c r="X289" s="3"/>
      <c r="Y289" s="3"/>
      <c r="Z289" s="26" t="n">
        <v>101</v>
      </c>
      <c r="AA289" s="2"/>
      <c r="AB289" s="26" t="n">
        <v>5</v>
      </c>
      <c r="AC289" s="26" t="n">
        <v>205</v>
      </c>
      <c r="AD289" s="4" t="n">
        <f aca="false">IF(AND(Z289&gt;0,AC289&gt;0),(AC289/((Z289+AA289)*10)),"")</f>
        <v>0.202970297029703</v>
      </c>
      <c r="AE289" s="26" t="n">
        <v>100</v>
      </c>
      <c r="AF289" s="26" t="n">
        <f aca="false">ROUND(AE289*1.6, 0)</f>
        <v>160</v>
      </c>
      <c r="AH289" s="26" t="n">
        <v>20.3</v>
      </c>
      <c r="AI289" s="26" t="n">
        <v>20</v>
      </c>
      <c r="AJ289" s="26" t="n">
        <v>2.82</v>
      </c>
      <c r="AK289" s="26" t="n">
        <v>3.97</v>
      </c>
      <c r="AL289" s="5" t="n">
        <v>54</v>
      </c>
      <c r="AM289" s="1" t="str">
        <f aca="false">CONCATENATE(VLOOKUP(AN289, 'Voxel Sizes'!$A$2:$B$18,2,FALSE()),"x",INT(AJ289*15), "x", INT(AK289*15))</f>
        <v>198x42x59</v>
      </c>
      <c r="AN289" s="26" t="n">
        <f aca="false">ROUND(15*((AI289*10)/256),0)</f>
        <v>12</v>
      </c>
      <c r="AP289" s="1" t="str">
        <f aca="false">CONCATENATE(VLOOKUP(AN289,Constants!$A$2:$C$16,IF(AO289&lt;&gt;"", 3, 2), FALSE()),IF(AO289&lt;&gt;"",CONCATENATE(",",VLOOKUP(AO289,$B:$AP,41,FALSE())),""))</f>
        <v>4,4,4</v>
      </c>
      <c r="AQ289" s="26" t="n">
        <v>6</v>
      </c>
      <c r="AR289" s="6"/>
      <c r="AS289" s="6"/>
      <c r="AT289" s="26" t="s">
        <v>1029</v>
      </c>
      <c r="AV289" s="26" t="s">
        <v>815</v>
      </c>
      <c r="AW289" s="26" t="s">
        <v>1030</v>
      </c>
      <c r="AZ289" s="26" t="n">
        <v>35</v>
      </c>
      <c r="BA289" s="16" t="n">
        <f aca="false">IF(O289&lt;&gt;"",MAX(16,(O289-M289)+8),"")</f>
        <v>46</v>
      </c>
      <c r="BB289" s="26" t="n">
        <v>-15</v>
      </c>
      <c r="BC289" s="26" t="n">
        <v>-50</v>
      </c>
      <c r="BD289" s="26" t="n">
        <f aca="false">MIN(AE289/150, 1)*30</f>
        <v>20</v>
      </c>
      <c r="BE289" s="26" t="n">
        <f aca="false">MIN(Q289/4000, 1)*20</f>
        <v>5.64</v>
      </c>
      <c r="BF289" s="26" t="n">
        <f aca="false">MIN(AC289/400,1)*20</f>
        <v>10.25</v>
      </c>
      <c r="BG289" s="4" t="n">
        <f aca="false">1-(MAX(M289-1900, 0)/750)</f>
        <v>0.917333333333333</v>
      </c>
      <c r="BH289" s="26" t="n">
        <f aca="false">((MAX($P289,1)*MIN($AL289/300,1)))*IF(J289="Wagon",50,10)</f>
        <v>3.6</v>
      </c>
      <c r="BI289" s="1" t="n">
        <f aca="false">VLOOKUP($K289,Constants!$I:$K, 2, FALSE())</f>
        <v>0.85</v>
      </c>
      <c r="BJ289" s="1" t="n">
        <f aca="false">VLOOKUP($K289,Constants!$I:$K, 3, FALSE())*IF(AND(J289="multiple_unit",AE289&lt;110),0.75,1)</f>
        <v>1.725</v>
      </c>
      <c r="BK289" s="1" t="n">
        <f aca="false">INT(POWER(((Constants!$G$2+$BD289+$BE289+$BF289+$BH289)*$BG289)*$BJ289, 1.05))+$BC289</f>
        <v>37</v>
      </c>
      <c r="BL289" s="1" t="n">
        <f aca="false">INT(POWER((((Constants!$G$1+$BD289+$BE289+$BF289+$BH289)*($BG289))*$BI289),IF($J289="wagon",1,1.2)))+$BB289</f>
        <v>74</v>
      </c>
      <c r="BM289" s="17" t="n">
        <f aca="false">BK289*IF($J289="wagon",62.5,781.25)</f>
        <v>28906.25</v>
      </c>
      <c r="BN289" s="17" t="n">
        <f aca="false">BL289*IF($J289="wagon",2.73,81.25)</f>
        <v>6012.5</v>
      </c>
      <c r="BT289" s="26" t="s">
        <v>1031</v>
      </c>
      <c r="BU289" s="1" t="str">
        <f aca="false">IF(J289="locomotive","B","")</f>
        <v/>
      </c>
      <c r="BV289" s="1" t="str">
        <f aca="false">IF(OR($J289="locomotive",$J289="wagon"),"B","")</f>
        <v/>
      </c>
      <c r="BY289" s="26" t="n">
        <v>6</v>
      </c>
      <c r="BZ289" s="26" t="n">
        <v>185</v>
      </c>
      <c r="CB289" s="26" t="s">
        <v>366</v>
      </c>
      <c r="CC289" s="26" t="s">
        <v>367</v>
      </c>
      <c r="CD289" s="26" t="s">
        <v>611</v>
      </c>
      <c r="CE289" s="26" t="s">
        <v>913</v>
      </c>
      <c r="CF289" s="26" t="str">
        <f aca="false">CONCATENATE(CD289,"_",CE289)</f>
        <v>dsl_EMU (Express)</v>
      </c>
      <c r="CG289" s="26" t="str">
        <f aca="false">_xlfn.CONCAT(K289, "_",L289)</f>
        <v>electric_ELRL</v>
      </c>
      <c r="CH289" s="7" t="str">
        <f aca="false">_xlfn.CONCAT("{BLACK}Length: {GOLD}", TEXT(ROUNDUP(IF(AS289&lt;&gt;"",SUM(VALUE(_xlfn.TEXTSPLIT(AS289, ","))), SUM(VALUE(_xlfn.TEXTSPLIT(AP289, ",")))*IF(P289, P289, 1))/16, 1), "#,##0.0"), " tiles{}")</f>
        <v>{BLACK}Length: {GOLD}1.5 tiles{}</v>
      </c>
      <c r="CI289" s="1" t="str">
        <f aca="false">IF(0, VLOOKUP($CG289, Constants!$M:$N, 2, FALSE()),"")</f>
        <v/>
      </c>
      <c r="CJ289" s="1" t="str">
        <f aca="false">IF(P289&gt;1,_xlfn.CONCAT("{BLACK}Cars: {GOLD}", P289),"")</f>
        <v>{BLACK}Cars: {GOLD}2</v>
      </c>
      <c r="CK289" s="26" t="s">
        <v>1032</v>
      </c>
      <c r="CL289" s="1" t="str">
        <f aca="false">IF($BX289="concept_trains","{GREEN}Concept Vehicle",IF($BX289="!param_no_gameplay_units","{GREEN}Included for gameplay purposes",""))</f>
        <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{GOLD}1.5 tiles{}{SILVER}The ‘Clacton’ units were iconic express EMUs of the GEML’s early electrification. This subclass represents a 2 car formation, used to boost 2nd class capacity and power on peak time services.</v>
      </c>
      <c r="XFD289" s="1"/>
    </row>
    <row r="290" s="26" customFormat="true" ht="14.25" hidden="false" customHeight="false" outlineLevel="0" collapsed="false">
      <c r="A290" s="26" t="s">
        <v>1033</v>
      </c>
      <c r="B290" s="27" t="s">
        <v>1034</v>
      </c>
      <c r="C290" s="1" t="n">
        <v>3033</v>
      </c>
      <c r="E290" s="1" t="n">
        <v>354</v>
      </c>
      <c r="F290" s="1" t="s">
        <v>174</v>
      </c>
      <c r="G290" s="1" t="str">
        <f aca="false">IF($F290&lt;&gt;"",_xlfn.CONCAT(VLOOKUP($CE290, Constants!$T:$U, 2, FALSE()),",",$F290),VLOOKUP($CE290, Constants!$T:$U, 2, FALSE()))</f>
        <v>role/express_passenger,_ww_livery/brbluegrey</v>
      </c>
      <c r="H290" s="1" t="str">
        <f aca="false">IF($G290&lt;&gt;"",_xlfn.CONCAT(VLOOKUP($CG290, Constants!$M:$P, 4, FALSE()),",",$G290),VLOOKUP($CG290, Constants!$M:$P, 4, FALSE()))</f>
        <v>flag/GB,power/electric,role/express_passenger,_ww_livery/brbluegrey</v>
      </c>
      <c r="I290" s="26" t="s">
        <v>241</v>
      </c>
      <c r="J290" s="26" t="s">
        <v>466</v>
      </c>
      <c r="K290" s="26" t="s">
        <v>388</v>
      </c>
      <c r="L290" s="26" t="s">
        <v>389</v>
      </c>
      <c r="M290" s="26" t="n">
        <v>1962</v>
      </c>
      <c r="N290" s="26" t="n">
        <v>1990</v>
      </c>
      <c r="O290" s="26" t="n">
        <v>2000</v>
      </c>
      <c r="P290" s="26" t="n">
        <v>4</v>
      </c>
      <c r="Q290" s="26" t="n">
        <v>1128</v>
      </c>
      <c r="R290" s="2"/>
      <c r="S290" s="3"/>
      <c r="T290" s="3"/>
      <c r="U290" s="3"/>
      <c r="V290" s="3"/>
      <c r="W290" s="3"/>
      <c r="X290" s="3"/>
      <c r="Y290" s="3"/>
      <c r="Z290" s="26" t="n">
        <v>171</v>
      </c>
      <c r="AA290" s="2"/>
      <c r="AB290" s="26" t="n">
        <v>5</v>
      </c>
      <c r="AC290" s="26" t="n">
        <v>205</v>
      </c>
      <c r="AD290" s="4" t="n">
        <f aca="false">IF(AND(Z290&gt;0,AC290&gt;0),(AC290/((Z290+AA290)*10)),"")</f>
        <v>0.119883040935673</v>
      </c>
      <c r="AE290" s="26" t="n">
        <v>100</v>
      </c>
      <c r="AF290" s="26" t="n">
        <f aca="false">ROUND(AE290*1.6, 0)</f>
        <v>160</v>
      </c>
      <c r="AH290" s="26" t="n">
        <v>20.3</v>
      </c>
      <c r="AI290" s="26" t="n">
        <v>20</v>
      </c>
      <c r="AJ290" s="26" t="n">
        <v>2.82</v>
      </c>
      <c r="AK290" s="26" t="n">
        <v>3.97</v>
      </c>
      <c r="AL290" s="5" t="n">
        <v>41</v>
      </c>
      <c r="AM290" s="1" t="str">
        <f aca="false">CONCATENATE(VLOOKUP(AN290, 'Voxel Sizes'!$A$2:$B$18,2,FALSE()),"x",INT(AJ290*15), "x", INT(AK290*15))</f>
        <v>198x42x59</v>
      </c>
      <c r="AN290" s="26" t="n">
        <f aca="false">ROUND(15*((AI290*10)/256),0)</f>
        <v>12</v>
      </c>
      <c r="AP290" s="1" t="str">
        <f aca="false">CONCATENATE(VLOOKUP(AN290,Constants!$A$2:$C$16,IF(AO290&lt;&gt;"", 3, 2), FALSE()),IF(AO290&lt;&gt;"",CONCATENATE(",",VLOOKUP(AO290,$B:$AP,41,FALSE())),""))</f>
        <v>4,4,4</v>
      </c>
      <c r="AQ290" s="26" t="n">
        <v>6</v>
      </c>
      <c r="AR290" s="6"/>
      <c r="AS290" s="6"/>
      <c r="AT290" s="26" t="s">
        <v>1035</v>
      </c>
      <c r="AV290" s="26" t="s">
        <v>1036</v>
      </c>
      <c r="AW290" s="26" t="s">
        <v>1037</v>
      </c>
      <c r="AZ290" s="26" t="n">
        <v>35</v>
      </c>
      <c r="BA290" s="16" t="n">
        <f aca="false">IF(O290&lt;&gt;"",MAX(16,(O290-M290)+8),"")</f>
        <v>46</v>
      </c>
      <c r="BB290" s="26" t="n">
        <v>25</v>
      </c>
      <c r="BC290" s="26" t="n">
        <v>-15</v>
      </c>
      <c r="BD290" s="26" t="n">
        <f aca="false">MIN(AE290/150, 1)*30</f>
        <v>20</v>
      </c>
      <c r="BE290" s="26" t="n">
        <f aca="false">MIN(Q290/4000, 1)*20</f>
        <v>5.64</v>
      </c>
      <c r="BF290" s="26" t="n">
        <f aca="false">MIN(AC290/400,1)*20</f>
        <v>10.25</v>
      </c>
      <c r="BG290" s="4" t="n">
        <f aca="false">1-(MAX(M290-1900, 0)/750)</f>
        <v>0.917333333333333</v>
      </c>
      <c r="BH290" s="26" t="n">
        <f aca="false">((MAX($P290,1)*MIN($AL290/300,1)))*IF(J290="Wagon",50,10)</f>
        <v>5.46666666666667</v>
      </c>
      <c r="BI290" s="1" t="n">
        <f aca="false">VLOOKUP($K290,Constants!$I:$K, 2, FALSE())</f>
        <v>0.85</v>
      </c>
      <c r="BJ290" s="1" t="n">
        <f aca="false">VLOOKUP($K290,Constants!$I:$K, 3, FALSE())*IF(AND(J290="multiple_unit",AE290&lt;110),0.75,1)</f>
        <v>1.725</v>
      </c>
      <c r="BK290" s="1" t="n">
        <f aca="false">INT(POWER(((Constants!$G$2+$BD290+$BE290+$BF290+$BH290)*$BG290)*$BJ290, 1.05))+$BC290</f>
        <v>75</v>
      </c>
      <c r="BL290" s="1" t="n">
        <f aca="false">INT(POWER((((Constants!$G$1+$BD290+$BE290+$BF290+$BH290)*($BG290))*$BI290),IF($J290="wagon",1,1.2)))+$BB290</f>
        <v>118</v>
      </c>
      <c r="BM290" s="17" t="n">
        <f aca="false">BK290*IF($J290="wagon",62.5,781.25)</f>
        <v>58593.75</v>
      </c>
      <c r="BN290" s="17" t="n">
        <f aca="false">BL290*IF($J290="wagon",2.73,81.25)</f>
        <v>9587.5</v>
      </c>
      <c r="BT290" s="26" t="s">
        <v>1038</v>
      </c>
      <c r="BU290" s="1" t="str">
        <f aca="false">IF(J290="locomotive","B","")</f>
        <v/>
      </c>
      <c r="BV290" s="1" t="str">
        <f aca="false">IF(OR($J290="locomotive",$J290="wagon"),"B","")</f>
        <v/>
      </c>
      <c r="BY290" s="26" t="n">
        <v>6</v>
      </c>
      <c r="BZ290" s="26" t="n">
        <v>185</v>
      </c>
      <c r="CA290" s="26" t="s">
        <v>973</v>
      </c>
      <c r="CB290" s="26" t="s">
        <v>366</v>
      </c>
      <c r="CC290" s="26" t="s">
        <v>367</v>
      </c>
      <c r="CD290" s="26" t="s">
        <v>611</v>
      </c>
      <c r="CE290" s="26" t="s">
        <v>913</v>
      </c>
      <c r="CF290" s="26" t="str">
        <f aca="false">CONCATENATE(CD290,"_",CE290)</f>
        <v>dsl_EMU (Express)</v>
      </c>
      <c r="CG290" s="26" t="str">
        <f aca="false">_xlfn.CONCAT(K290, "_",L290)</f>
        <v>electric_ELRL</v>
      </c>
      <c r="CH290" s="7" t="str">
        <f aca="false">_xlfn.CONCAT("{BLACK}Length: {GOLD}", TEXT(ROUNDUP(IF(AS290&lt;&gt;"",SUM(VALUE(_xlfn.TEXTSPLIT(AS290, ","))), SUM(VALUE(_xlfn.TEXTSPLIT(AP290, ",")))*IF(P290, P290, 1))/16, 1), "#,##0.0"), " tiles{}")</f>
        <v>{BLACK}Length: {GOLD}3.0 tiles{}</v>
      </c>
      <c r="CI290" s="1" t="str">
        <f aca="false">IF(0, VLOOKUP($CG290, Constants!$M:$N, 2, FALSE()),"")</f>
        <v/>
      </c>
      <c r="CJ290" s="1" t="str">
        <f aca="false">IF(P290&gt;1,_xlfn.CONCAT("{BLACK}Cars: {GOLD}", P290),"")</f>
        <v>{BLACK}Cars: {GOLD}4</v>
      </c>
      <c r="CK290" s="26" t="s">
        <v>1039</v>
      </c>
      <c r="CL290" s="1" t="str">
        <f aca="false">IF($BX290="concept_trains","{GREEN}Concept Vehicle",IF($BX290="!param_no_gameplay_units","{GREEN}Included for gameplay purposes",""))</f>
        <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{YELLOW}25% long distance bonus for consist{}</v>
      </c>
      <c r="CN290" s="1" t="str">
        <f aca="false">_xlfn.CONCAT(CI290,IF(CI290&lt;&gt;""," ",""),CJ290,IF(OR(CJ290&lt;&gt;"",CI290&lt;&gt;""),"{}",""),CH290,CM290,"{SILVER}",CK290,IF(CL290&lt;&gt;"","{}{}",""),CL290)</f>
        <v>{BLACK}Cars: {GOLD}4{}{BLACK}Length: {GOLD}3.0 tiles{}{YELLOW}25% long distance bonus for consist{}{SILVER}The ‘Clacton’ units were iconic express EMUs of the GEML’s early electrification. This subclass represents a 4 car formation complete with the famous ‘Griddle Car’ restaurant.</v>
      </c>
      <c r="XFD290" s="1"/>
    </row>
    <row r="291" s="26" customFormat="true" ht="14.25" hidden="false" customHeight="false" outlineLevel="0" collapsed="false">
      <c r="A291" s="26" t="s">
        <v>1040</v>
      </c>
      <c r="B291" s="27" t="s">
        <v>1041</v>
      </c>
      <c r="C291" s="1" t="n">
        <v>3034</v>
      </c>
      <c r="D291" s="26" t="n">
        <v>3033</v>
      </c>
      <c r="E291" s="1" t="n">
        <v>355</v>
      </c>
      <c r="F291" s="1" t="s">
        <v>174</v>
      </c>
      <c r="G291" s="1" t="str">
        <f aca="false">IF($F291&lt;&gt;"",_xlfn.CONCAT(VLOOKUP($CE291, Constants!$T:$U, 2, FALSE()),",",$F291),VLOOKUP($CE291, Constants!$T:$U, 2, FALSE()))</f>
        <v>role/express_passenger,_ww_livery/brbluegrey</v>
      </c>
      <c r="H291" s="1" t="str">
        <f aca="false">IF($G291&lt;&gt;"",_xlfn.CONCAT(VLOOKUP($CG291, Constants!$M:$P, 4, FALSE()),",",$G291),VLOOKUP($CG291, Constants!$M:$P, 4, FALSE()))</f>
        <v>flag/GB,power/electric,role/express_passenger,_ww_livery/brbluegrey</v>
      </c>
      <c r="I291" s="26" t="s">
        <v>241</v>
      </c>
      <c r="J291" s="26" t="s">
        <v>466</v>
      </c>
      <c r="K291" s="26" t="s">
        <v>388</v>
      </c>
      <c r="L291" s="26" t="s">
        <v>389</v>
      </c>
      <c r="M291" s="26" t="n">
        <v>1962</v>
      </c>
      <c r="N291" s="26" t="n">
        <v>1990</v>
      </c>
      <c r="O291" s="26" t="n">
        <v>2000</v>
      </c>
      <c r="P291" s="26" t="n">
        <v>4</v>
      </c>
      <c r="Q291" s="26" t="n">
        <v>1128</v>
      </c>
      <c r="R291" s="2"/>
      <c r="S291" s="3"/>
      <c r="T291" s="3"/>
      <c r="U291" s="3"/>
      <c r="V291" s="3"/>
      <c r="W291" s="3"/>
      <c r="X291" s="3"/>
      <c r="Y291" s="3"/>
      <c r="Z291" s="26" t="n">
        <v>170</v>
      </c>
      <c r="AA291" s="2"/>
      <c r="AB291" s="26" t="n">
        <v>5</v>
      </c>
      <c r="AC291" s="26" t="n">
        <v>205</v>
      </c>
      <c r="AD291" s="4" t="n">
        <f aca="false">IF(AND(Z291&gt;0,AC291&gt;0),(AC291/((Z291+AA291)*10)),"")</f>
        <v>0.120588235294118</v>
      </c>
      <c r="AE291" s="26" t="n">
        <v>100</v>
      </c>
      <c r="AF291" s="26" t="n">
        <f aca="false">ROUND(AE291*1.6, 0)</f>
        <v>160</v>
      </c>
      <c r="AH291" s="26" t="n">
        <v>20.3</v>
      </c>
      <c r="AI291" s="26" t="n">
        <v>20</v>
      </c>
      <c r="AJ291" s="26" t="n">
        <v>2.82</v>
      </c>
      <c r="AK291" s="26" t="n">
        <v>3.97</v>
      </c>
      <c r="AL291" s="5" t="n">
        <v>53</v>
      </c>
      <c r="AM291" s="1" t="str">
        <f aca="false">CONCATENATE(VLOOKUP(AN291, 'Voxel Sizes'!$A$2:$B$18,2,FALSE()),"x",INT(AJ291*15), "x", INT(AK291*15))</f>
        <v>198x42x59</v>
      </c>
      <c r="AN291" s="26" t="n">
        <f aca="false">ROUND(15*((AI291*10)/256),0)</f>
        <v>12</v>
      </c>
      <c r="AP291" s="1" t="str">
        <f aca="false">CONCATENATE(VLOOKUP(AN291,Constants!$A$2:$C$16,IF(AO291&lt;&gt;"", 3, 2), FALSE()),IF(AO291&lt;&gt;"",CONCATENATE(",",VLOOKUP(AO291,$B:$AP,41,FALSE())),""))</f>
        <v>4,4,4</v>
      </c>
      <c r="AQ291" s="26" t="n">
        <v>6</v>
      </c>
      <c r="AR291" s="6"/>
      <c r="AS291" s="6"/>
      <c r="AT291" s="26" t="s">
        <v>1042</v>
      </c>
      <c r="AV291" s="26" t="s">
        <v>972</v>
      </c>
      <c r="AW291" s="26" t="s">
        <v>1037</v>
      </c>
      <c r="AZ291" s="26" t="n">
        <v>35</v>
      </c>
      <c r="BA291" s="16" t="n">
        <f aca="false">IF(O291&lt;&gt;"",MAX(16,(O291-M291)+8),"")</f>
        <v>46</v>
      </c>
      <c r="BB291" s="26" t="n">
        <v>-10</v>
      </c>
      <c r="BC291" s="26" t="n">
        <v>-30</v>
      </c>
      <c r="BD291" s="26" t="n">
        <f aca="false">MIN(AE291/150, 1)*30</f>
        <v>20</v>
      </c>
      <c r="BE291" s="26" t="n">
        <f aca="false">MIN(Q291/4000, 1)*20</f>
        <v>5.64</v>
      </c>
      <c r="BF291" s="26" t="n">
        <f aca="false">MIN(AC291/400,1)*20</f>
        <v>10.25</v>
      </c>
      <c r="BG291" s="4" t="n">
        <f aca="false">1-(MAX(M291-1900, 0)/750)</f>
        <v>0.917333333333333</v>
      </c>
      <c r="BH291" s="26" t="n">
        <f aca="false">((MAX($P291,1)*MIN($AL291/300,1)))*IF(J291="Wagon",50,10)</f>
        <v>7.06666666666667</v>
      </c>
      <c r="BI291" s="1" t="n">
        <f aca="false">VLOOKUP($K291,Constants!$I:$K, 2, FALSE())</f>
        <v>0.85</v>
      </c>
      <c r="BJ291" s="1" t="n">
        <f aca="false">VLOOKUP($K291,Constants!$I:$K, 3, FALSE())*IF(AND(J291="multiple_unit",AE291&lt;110),0.75,1)</f>
        <v>1.725</v>
      </c>
      <c r="BK291" s="1" t="n">
        <f aca="false">INT(POWER(((Constants!$G$2+$BD291+$BE291+$BF291+$BH291)*$BG291)*$BJ291, 1.05))+$BC291</f>
        <v>64</v>
      </c>
      <c r="BL291" s="1" t="n">
        <f aca="false">INT(POWER((((Constants!$G$1+$BD291+$BE291+$BF291+$BH291)*($BG291))*$BI291),IF($J291="wagon",1,1.2)))+$BB291</f>
        <v>86</v>
      </c>
      <c r="BM291" s="17" t="n">
        <f aca="false">BK291*IF($J291="wagon",62.5,781.25)</f>
        <v>50000</v>
      </c>
      <c r="BN291" s="17" t="n">
        <f aca="false">BL291*IF($J291="wagon",2.73,81.25)</f>
        <v>6987.5</v>
      </c>
      <c r="BT291" s="26" t="s">
        <v>1043</v>
      </c>
      <c r="BU291" s="1" t="str">
        <f aca="false">IF(J291="locomotive","B","")</f>
        <v/>
      </c>
      <c r="BV291" s="1" t="str">
        <f aca="false">IF(OR($J291="locomotive",$J291="wagon"),"B","")</f>
        <v/>
      </c>
      <c r="BY291" s="26" t="n">
        <v>6</v>
      </c>
      <c r="BZ291" s="26" t="n">
        <v>185</v>
      </c>
      <c r="CB291" s="26" t="s">
        <v>366</v>
      </c>
      <c r="CC291" s="26" t="s">
        <v>367</v>
      </c>
      <c r="CD291" s="26" t="s">
        <v>611</v>
      </c>
      <c r="CE291" s="26" t="s">
        <v>913</v>
      </c>
      <c r="CF291" s="26" t="str">
        <f aca="false">CONCATENATE(CD291,"_",CE291)</f>
        <v>dsl_EMU (Express)</v>
      </c>
      <c r="CG291" s="26" t="str">
        <f aca="false">_xlfn.CONCAT(K291, "_",L291)</f>
        <v>electric_ELRL</v>
      </c>
      <c r="CH291" s="7" t="str">
        <f aca="false">_xlfn.CONCAT("{BLACK}Length: {GOLD}", TEXT(ROUNDUP(IF(AS291&lt;&gt;"",SUM(VALUE(_xlfn.TEXTSPLIT(AS291, ","))), SUM(VALUE(_xlfn.TEXTSPLIT(AP291, ",")))*IF(P291, P291, 1))/16, 1), "#,##0.0"), " tiles{}")</f>
        <v>{BLACK}Length: {GOLD}3.0 tiles{}</v>
      </c>
      <c r="CI291" s="1" t="str">
        <f aca="false">IF(0, VLOOKUP($CG291, Constants!$M:$N, 2, FALSE()),"")</f>
        <v/>
      </c>
      <c r="CJ291" s="1" t="str">
        <f aca="false">IF(P291&gt;1,_xlfn.CONCAT("{BLACK}Cars: {GOLD}", P291),"")</f>
        <v>{BLACK}Cars: {GOLD}4</v>
      </c>
      <c r="CK291" s="26" t="s">
        <v>1044</v>
      </c>
      <c r="CL291" s="1" t="str">
        <f aca="false">IF($BX291="concept_trains","{GREEN}Concept Vehicle",IF($BX291="!param_no_gameplay_units","{GREEN}Included for gameplay purposes",""))</f>
        <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{GOLD}4{}{BLACK}Length: {GOLD}3.0 tiles{}{SILVER}The ‘Clacton’ units were iconic express EMUs of the GEML’s early electrification. This subclass represents a basic 4 car formation complete.</v>
      </c>
      <c r="XFD291" s="1"/>
    </row>
    <row r="292" customFormat="false" ht="14.25" hidden="false" customHeight="false" outlineLevel="0" collapsed="false">
      <c r="A292" s="1" t="s">
        <v>1045</v>
      </c>
      <c r="B292" s="15" t="s">
        <v>1046</v>
      </c>
      <c r="C292" s="1" t="n">
        <v>233</v>
      </c>
      <c r="E292" s="1" t="n">
        <v>356</v>
      </c>
      <c r="F292" s="1" t="s">
        <v>174</v>
      </c>
      <c r="G292" s="1" t="str">
        <f aca="false">IF($F292&lt;&gt;"",_xlfn.CONCAT(VLOOKUP($CE292, Constants!$T:$U, 2, FALSE()),",",$F292),VLOOKUP($CE292, Constants!$T:$U, 2, FALSE()))</f>
        <v>role/express_passenger,_ww_livery/brbluegrey</v>
      </c>
      <c r="H292" s="1" t="str">
        <f aca="false">IF($G292&lt;&gt;"",_xlfn.CONCAT(VLOOKUP($CG292, Constants!$M:$P, 4, FALSE()),",",$G292),VLOOKUP($CG292, Constants!$M:$P, 4, FALSE()))</f>
        <v>flag/GB,power/electric,role/express_passenger,_ww_livery/brbluegrey</v>
      </c>
      <c r="I292" s="1" t="s">
        <v>241</v>
      </c>
      <c r="J292" s="1" t="s">
        <v>466</v>
      </c>
      <c r="K292" s="1" t="s">
        <v>388</v>
      </c>
      <c r="L292" s="1" t="s">
        <v>541</v>
      </c>
      <c r="M292" s="1" t="n">
        <v>1964</v>
      </c>
      <c r="N292" s="1" t="n">
        <v>1972</v>
      </c>
      <c r="O292" s="1" t="n">
        <v>2005</v>
      </c>
      <c r="P292" s="1" t="n">
        <v>4</v>
      </c>
      <c r="Q292" s="1" t="n">
        <v>1000</v>
      </c>
      <c r="Z292" s="1" t="n">
        <v>152</v>
      </c>
      <c r="AB292" s="1" t="n">
        <v>5</v>
      </c>
      <c r="AC292" s="1" t="n">
        <v>125</v>
      </c>
      <c r="AD292" s="4" t="n">
        <f aca="false">IF(AND(Z292&gt;0,AC292&gt;0),(AC292/((Z292+AA292)*10)),"")</f>
        <v>0.0822368421052632</v>
      </c>
      <c r="AE292" s="1" t="n">
        <v>90</v>
      </c>
      <c r="AF292" s="1" t="n">
        <f aca="false">ROUND(AE292*1.6, 0)</f>
        <v>144</v>
      </c>
      <c r="AH292" s="1" t="n">
        <f aca="false">80.98/4</f>
        <v>20.245</v>
      </c>
      <c r="AI292" s="1" t="n">
        <v>20.24</v>
      </c>
      <c r="AJ292" s="1" t="n">
        <v>2.82</v>
      </c>
      <c r="AK292" s="1" t="n">
        <v>3.89</v>
      </c>
      <c r="AL292" s="5" t="n">
        <v>54</v>
      </c>
      <c r="AM292" s="1" t="str">
        <f aca="false">CONCATENATE(VLOOKUP(AN292, 'Voxel Sizes'!$A$2:$B$18,2,FALSE()),"x",INT(AJ292*15), "x", INT(AK292*15))</f>
        <v>198x42x58</v>
      </c>
      <c r="AN292" s="1" t="n">
        <f aca="false">ROUND(15*((AI292*10)/256),0)</f>
        <v>12</v>
      </c>
      <c r="AP292" s="1" t="str">
        <f aca="false">CONCATENATE(VLOOKUP(AN292,Constants!$A$2:$C$16,IF(AO292&lt;&gt;"", 3, 2), FALSE()),IF(AO292&lt;&gt;"",CONCATENATE(",",VLOOKUP(AO292,$B:$AP,41,FALSE())),""))</f>
        <v>4,4,4</v>
      </c>
      <c r="AT292" s="1" t="s">
        <v>1047</v>
      </c>
      <c r="AV292" s="1" t="s">
        <v>918</v>
      </c>
      <c r="AZ292" s="1" t="n">
        <v>40</v>
      </c>
      <c r="BA292" s="16" t="n">
        <f aca="false">IF(O292&lt;&gt;"",MAX(16,(O292-M292)+8),"")</f>
        <v>49</v>
      </c>
      <c r="BB292" s="1" t="n">
        <v>-10</v>
      </c>
      <c r="BC292" s="1" t="n">
        <v>-20</v>
      </c>
      <c r="BD292" s="1" t="n">
        <f aca="false">MIN(AE292/150, 1)*30</f>
        <v>18</v>
      </c>
      <c r="BE292" s="1" t="n">
        <f aca="false">MIN(Q292/4000, 1)*20</f>
        <v>5</v>
      </c>
      <c r="BF292" s="1" t="n">
        <f aca="false">MIN(AC292/400,1)*20</f>
        <v>6.25</v>
      </c>
      <c r="BG292" s="4" t="n">
        <f aca="false">1-(MAX(M292-1900, 0)/750)</f>
        <v>0.914666666666667</v>
      </c>
      <c r="BH292" s="1" t="n">
        <f aca="false">((MAX($P292,1)*MIN($AL292/300,1)))*IF(J292="Wagon",50,10)</f>
        <v>7.2</v>
      </c>
      <c r="BI292" s="1" t="n">
        <f aca="false">VLOOKUP($K292,Constants!$I:$K, 2, FALSE())</f>
        <v>0.85</v>
      </c>
      <c r="BJ292" s="1" t="n">
        <f aca="false">VLOOKUP($K292,Constants!$I:$K, 3, FALSE())*IF(AND(J292="multiple_unit",AE292&lt;110),0.75,1)</f>
        <v>1.725</v>
      </c>
      <c r="BK292" s="1" t="n">
        <f aca="false">INT(POWER(((Constants!$G$2+$BD292+$BE292+$BF292+$BH292)*$BG292)*$BJ292, 1.05))+$BC292</f>
        <v>60</v>
      </c>
      <c r="BL292" s="1" t="n">
        <f aca="false">INT(POWER((((Constants!$G$1+$BD292+$BE292+$BF292+$BH292)*($BG292))*$BI292),IF($J292="wagon",1,1.2)))+$BB292</f>
        <v>73</v>
      </c>
      <c r="BM292" s="17" t="n">
        <f aca="false">BK292*IF($J292="wagon",62.5,781.25)</f>
        <v>46875</v>
      </c>
      <c r="BN292" s="17" t="n">
        <f aca="false">BL292*IF($J292="wagon",2.73,81.25)</f>
        <v>5931.25</v>
      </c>
      <c r="BT292" s="1" t="str">
        <f aca="false">SREXPRESSEMU</f>
        <v>br_class_419,br_class_489,br_class_411,br_class_412,br_2hap,brel_class_421</v>
      </c>
      <c r="BU292" s="1" t="str">
        <f aca="false">IF(J292="locomotive","B","")</f>
        <v/>
      </c>
      <c r="BV292" s="1" t="str">
        <f aca="false">IF(OR($J292="locomotive",$J292="wagon"),"B","")</f>
        <v/>
      </c>
      <c r="BY292" s="1" t="n">
        <v>5</v>
      </c>
      <c r="BZ292" s="1" t="n">
        <v>185</v>
      </c>
      <c r="CC292" s="1" t="s">
        <v>367</v>
      </c>
      <c r="CD292" s="1" t="str">
        <f aca="false">VLOOKUP(M292,Eras!$A$2:$C$10, 2, TRUE())</f>
        <v>dsl</v>
      </c>
      <c r="CE292" s="1" t="s">
        <v>913</v>
      </c>
      <c r="CF292" s="1" t="str">
        <f aca="false">CONCATENATE(CD292,"_",CE292)</f>
        <v>dsl_EMU (Express)</v>
      </c>
      <c r="CG292" s="1" t="str">
        <f aca="false">_xlfn.CONCAT(K292, "_",L292)</f>
        <v>electric_THIRD_RAIL</v>
      </c>
      <c r="CH292" s="7" t="str">
        <f aca="false">_xlfn.CONCAT("{BLACK}Length: {GOLD}", TEXT(ROUNDUP(IF(AS292&lt;&gt;"",SUM(VALUE(_xlfn.TEXTSPLIT(AS292, ","))), SUM(VALUE(_xlfn.TEXTSPLIT(AP292, ",")))*IF(P292, P292, 1))/16, 1), "#,##0.0"), " tiles{}")</f>
        <v>{BLACK}Length: {GOLD}3.0 tiles{}</v>
      </c>
      <c r="CI292" s="1" t="str">
        <f aca="false">IF(0, VLOOKUP($CG292, Constants!$M:$N, 2, FALSE()),"")</f>
        <v/>
      </c>
      <c r="CJ292" s="1" t="str">
        <f aca="false">IF(P292&gt;1,_xlfn.CONCAT("{BLACK}Cars: {GOLD}", P292),"")</f>
        <v>{BLACK}Cars: {GOLD}4</v>
      </c>
      <c r="CK292" s="1" t="s">
        <v>1048</v>
      </c>
      <c r="CL292" s="1" t="str">
        <f aca="false">IF($BX292="concept_trains","{GREEN}Concept Vehicle",IF($BX292="!param_no_gameplay_units","{GREEN}Included for gameplay purposes",""))</f>
        <v/>
      </c>
      <c r="CM292" s="1" t="str">
        <f aca="false">IF(CA292="buffet","{YELLOW}25% long distance bonus for consist{}",IF(CC292="BRAKE","{YELLOW}Speed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{BLACK}Cars: {GOLD}4{}{BLACK}Length: {GOLD}3.0 tiles{}{SILVER}The Class 421 4 CIG (Corridor, brIGhton) was a third rail EMU with express gearing, used in the Southern Region. It was based on the Mk1 carriage design.</v>
      </c>
    </row>
    <row r="293" customFormat="false" ht="14.25" hidden="false" customHeight="false" outlineLevel="0" collapsed="false">
      <c r="A293" s="1" t="s">
        <v>1049</v>
      </c>
      <c r="B293" s="15" t="s">
        <v>1050</v>
      </c>
      <c r="C293" s="1" t="n">
        <v>234</v>
      </c>
      <c r="E293" s="1" t="n">
        <v>357</v>
      </c>
      <c r="F293" s="1" t="s">
        <v>174</v>
      </c>
      <c r="G293" s="1" t="str">
        <f aca="false">IF($F293&lt;&gt;"",_xlfn.CONCAT(VLOOKUP($CE293, Constants!$T:$U, 2, FALSE()),",",$F293),VLOOKUP($CE293, Constants!$T:$U, 2, FALSE()))</f>
        <v>role/express_passenger,_ww_livery/brbluegrey</v>
      </c>
      <c r="H293" s="1" t="str">
        <f aca="false">IF($G293&lt;&gt;"",_xlfn.CONCAT(VLOOKUP($CG293, Constants!$M:$P, 4, FALSE()),",",$G293),VLOOKUP($CG293, Constants!$M:$P, 4, FALSE()))</f>
        <v>flag/GB,power/electric,role/express_passenger,_ww_livery/brbluegrey</v>
      </c>
      <c r="I293" s="1" t="s">
        <v>241</v>
      </c>
      <c r="J293" s="1" t="s">
        <v>466</v>
      </c>
      <c r="K293" s="1" t="s">
        <v>388</v>
      </c>
      <c r="L293" s="1" t="s">
        <v>389</v>
      </c>
      <c r="M293" s="1" t="n">
        <v>1965</v>
      </c>
      <c r="O293" s="1" t="n">
        <v>2002</v>
      </c>
      <c r="P293" s="1" t="n">
        <v>4</v>
      </c>
      <c r="Q293" s="1" t="n">
        <v>1080</v>
      </c>
      <c r="Z293" s="1" t="n">
        <v>158</v>
      </c>
      <c r="AB293" s="1" t="n">
        <v>5</v>
      </c>
      <c r="AC293" s="1" t="n">
        <v>130</v>
      </c>
      <c r="AD293" s="4" t="n">
        <f aca="false">IF(AND(Z293&gt;0,AC293&gt;0),(AC293/((Z293+AA293)*10)),"")</f>
        <v>0.0822784810126582</v>
      </c>
      <c r="AE293" s="1" t="n">
        <v>75</v>
      </c>
      <c r="AF293" s="1" t="n">
        <f aca="false">ROUND(AE293*1.6, 0)</f>
        <v>120</v>
      </c>
      <c r="AH293" s="1" t="n">
        <v>19.85</v>
      </c>
      <c r="AI293" s="1" t="n">
        <v>19.85</v>
      </c>
      <c r="AJ293" s="1" t="n">
        <v>2.82</v>
      </c>
      <c r="AK293" s="1" t="n">
        <v>3.97</v>
      </c>
      <c r="AL293" s="5" t="n">
        <v>57</v>
      </c>
      <c r="AM293" s="1" t="str">
        <f aca="false">CONCATENATE(VLOOKUP(AN293, 'Voxel Sizes'!$A$2:$B$18,2,FALSE()),"x",INT(AJ293*15), "x", INT(AK293*15))</f>
        <v>198x42x59</v>
      </c>
      <c r="AN293" s="1" t="n">
        <f aca="false">ROUND(15*((AI293*10)/256),0)</f>
        <v>12</v>
      </c>
      <c r="AP293" s="1" t="str">
        <f aca="false">CONCATENATE(VLOOKUP(AN293,Constants!$A$2:$C$16,IF(AO293&lt;&gt;"", 3, 2), FALSE()),IF(AO293&lt;&gt;"",CONCATENATE(",",VLOOKUP(AO293,$B:$AP,41,FALSE())),""))</f>
        <v>4,4,4</v>
      </c>
      <c r="AT293" s="1" t="s">
        <v>1051</v>
      </c>
      <c r="AV293" s="1" t="s">
        <v>966</v>
      </c>
      <c r="AZ293" s="1" t="n">
        <v>32</v>
      </c>
      <c r="BA293" s="16" t="n">
        <f aca="false">IF(O293&lt;&gt;"",MAX(16,(O293-M293)+8),"")</f>
        <v>45</v>
      </c>
      <c r="BB293" s="1" t="n">
        <v>-10</v>
      </c>
      <c r="BC293" s="1" t="n">
        <v>-20</v>
      </c>
      <c r="BD293" s="1" t="n">
        <f aca="false">MIN(AE293/150, 1)*30</f>
        <v>15</v>
      </c>
      <c r="BE293" s="1" t="n">
        <f aca="false">MIN(Q293/4000, 1)*20</f>
        <v>5.4</v>
      </c>
      <c r="BF293" s="1" t="n">
        <f aca="false">MIN(AC293/400,1)*20</f>
        <v>6.5</v>
      </c>
      <c r="BG293" s="4" t="n">
        <f aca="false">1-(MAX(M293-1900, 0)/750)</f>
        <v>0.913333333333333</v>
      </c>
      <c r="BH293" s="1" t="n">
        <f aca="false">((MAX($P293,1)*MIN($AL293/300,1)))*IF(J293="Wagon",50,10)</f>
        <v>7.6</v>
      </c>
      <c r="BI293" s="1" t="n">
        <f aca="false">VLOOKUP($K293,Constants!$I:$K, 2, FALSE())</f>
        <v>0.85</v>
      </c>
      <c r="BJ293" s="1" t="n">
        <f aca="false">VLOOKUP($K293,Constants!$I:$K, 3, FALSE())*IF(AND(J293="multiple_unit",AE293&lt;110),0.75,1)</f>
        <v>1.725</v>
      </c>
      <c r="BK293" s="1" t="n">
        <f aca="false">INT(POWER(((Constants!$G$2+$BD293+$BE293+$BF293+$BH293)*$BG293)*$BJ293, 1.05))+$BC293</f>
        <v>56</v>
      </c>
      <c r="BL293" s="1" t="n">
        <f aca="false">INT(POWER((((Constants!$G$1+$BD293+$BE293+$BF293+$BH293)*($BG293))*$BI293),IF($J293="wagon",1,1.2)))+$BB293</f>
        <v>69</v>
      </c>
      <c r="BM293" s="17" t="n">
        <f aca="false">BK293*IF($J293="wagon",62.5,781.25)</f>
        <v>43750</v>
      </c>
      <c r="BN293" s="17" t="n">
        <f aca="false">BL293*IF($J293="wagon",2.73,81.25)</f>
        <v>5606.25</v>
      </c>
      <c r="BU293" s="1" t="str">
        <f aca="false">IF(J293="locomotive","B","")</f>
        <v/>
      </c>
      <c r="BV293" s="1" t="str">
        <f aca="false">IF(OR($J293="locomotive",$J293="wagon"),"B","")</f>
        <v/>
      </c>
      <c r="BY293" s="1" t="n">
        <v>6</v>
      </c>
      <c r="BZ293" s="1" t="n">
        <v>185</v>
      </c>
      <c r="CC293" s="1" t="s">
        <v>367</v>
      </c>
      <c r="CD293" s="1" t="str">
        <f aca="false">VLOOKUP(M293,Eras!$A$2:$C$10, 2, TRUE())</f>
        <v>dsl</v>
      </c>
      <c r="CE293" s="1" t="s">
        <v>1016</v>
      </c>
      <c r="CF293" s="1" t="str">
        <f aca="false">CONCATENATE(CD293,"_",CE293)</f>
        <v>dsl_DMU (Express)</v>
      </c>
      <c r="CG293" s="1" t="str">
        <f aca="false">_xlfn.CONCAT(K293, "_",L293)</f>
        <v>electric_ELRL</v>
      </c>
      <c r="CH293" s="7" t="str">
        <f aca="false">_xlfn.CONCAT("{BLACK}Length: {GOLD}", TEXT(ROUNDUP(IF(AS293&lt;&gt;"",SUM(VALUE(_xlfn.TEXTSPLIT(AS293, ","))), SUM(VALUE(_xlfn.TEXTSPLIT(AP293, ",")))*IF(P293, P293, 1))/16, 1), "#,##0.0"), " tiles{}")</f>
        <v>{BLACK}Length: {GOLD}3.0 tiles{}</v>
      </c>
      <c r="CI293" s="1" t="str">
        <f aca="false">IF(0, VLOOKUP($CG293, Constants!$M:$N, 2, FALSE()),"")</f>
        <v/>
      </c>
      <c r="CJ293" s="1" t="str">
        <f aca="false">IF(P293&gt;1,_xlfn.CONCAT("{BLACK}Cars: {GOLD}", P293),"")</f>
        <v>{BLACK}Cars: {GOLD}4</v>
      </c>
      <c r="CK293" s="1" t="s">
        <v>1052</v>
      </c>
      <c r="CL293" s="1" t="str">
        <f aca="false">IF($BX293="concept_trains","{GREEN}Concept Vehicle",IF($BX293="!param_no_gameplay_units","{GREEN}Included for gameplay purposes",""))</f>
        <v/>
      </c>
      <c r="CM293" s="1" t="str">
        <f aca="false">IF(CA293="buffet","{YELLOW}25% long distance bonus for consist{}",IF(CC293="BRAKE","{YELLOW}Speed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{BLACK}Cars: {GOLD}4{}{BLACK}Length: {GOLD}3.0 tiles{}{SILVER}The AM10 was the first EMU to be based on the Mk2 carriage bodyshell. They were introduced as part of the West Coast Main Line electrification.</v>
      </c>
    </row>
    <row r="294" s="26" customFormat="true" ht="14.25" hidden="false" customHeight="false" outlineLevel="0" collapsed="false">
      <c r="A294" s="26" t="s">
        <v>1053</v>
      </c>
      <c r="B294" s="27" t="s">
        <v>1054</v>
      </c>
      <c r="C294" s="1" t="n">
        <v>3035</v>
      </c>
      <c r="E294" s="1" t="n">
        <v>358</v>
      </c>
      <c r="G294" s="1" t="str">
        <f aca="false">IF($F294&lt;&gt;"",_xlfn.CONCAT(VLOOKUP($CE294, Constants!$T:$U, 2, FALSE()),",",$F294),VLOOKUP($CE294, Constants!$T:$U, 2, FALSE()))</f>
        <v>role/passenger</v>
      </c>
      <c r="H294" s="1" t="str">
        <f aca="false">IF($G294&lt;&gt;"",_xlfn.CONCAT(VLOOKUP($CG294, Constants!$M:$P, 4, FALSE()),",",$G294),VLOOKUP($CG294, Constants!$M:$P, 4, FALSE()))</f>
        <v>flag/GB,power/electric,role/passenger</v>
      </c>
      <c r="I294" s="26" t="s">
        <v>241</v>
      </c>
      <c r="J294" s="26" t="s">
        <v>466</v>
      </c>
      <c r="K294" s="26" t="s">
        <v>388</v>
      </c>
      <c r="L294" s="26" t="s">
        <v>389</v>
      </c>
      <c r="M294" s="26" t="n">
        <v>1975</v>
      </c>
      <c r="N294" s="26" t="n">
        <v>2010</v>
      </c>
      <c r="O294" s="26" t="n">
        <v>2015</v>
      </c>
      <c r="P294" s="26" t="n">
        <v>2</v>
      </c>
      <c r="Q294" s="26" t="n">
        <v>248</v>
      </c>
      <c r="R294" s="2"/>
      <c r="S294" s="3"/>
      <c r="T294" s="3"/>
      <c r="U294" s="3"/>
      <c r="V294" s="3"/>
      <c r="W294" s="3"/>
      <c r="X294" s="3"/>
      <c r="Y294" s="3"/>
      <c r="Z294" s="26" t="n">
        <v>40</v>
      </c>
      <c r="AA294" s="2"/>
      <c r="AB294" s="26" t="n">
        <v>5</v>
      </c>
      <c r="AC294" s="26" t="n">
        <v>40</v>
      </c>
      <c r="AD294" s="4" t="n">
        <f aca="false">IF(AND(Z294&gt;0,AC294&gt;0),(AC294/((Z294+AA294)*10)),"")</f>
        <v>0.1</v>
      </c>
      <c r="AE294" s="26" t="n">
        <v>50</v>
      </c>
      <c r="AF294" s="26" t="n">
        <f aca="false">ROUND(AE294*1.6, 0)</f>
        <v>80</v>
      </c>
      <c r="AH294" s="26" t="n">
        <v>13.9</v>
      </c>
      <c r="AI294" s="26" t="n">
        <v>13.9</v>
      </c>
      <c r="AJ294" s="26" t="n">
        <v>2.65</v>
      </c>
      <c r="AK294" s="26" t="n">
        <v>3.16</v>
      </c>
      <c r="AL294" s="5" t="n">
        <v>54</v>
      </c>
      <c r="AM294" s="1" t="str">
        <f aca="false">CONCATENATE(VLOOKUP(AN294, 'Voxel Sizes'!$A$2:$B$18,2,FALSE()),"x",INT(AJ294*15), "x", INT(AK294*15))</f>
        <v>136x39x47</v>
      </c>
      <c r="AN294" s="26" t="n">
        <f aca="false">ROUND(15*((AI294*10)/256),0)</f>
        <v>8</v>
      </c>
      <c r="AP294" s="1" t="str">
        <f aca="false">CONCATENATE(VLOOKUP(AN294,Constants!$A$2:$C$16,IF(AO294&lt;&gt;"", 3, 2), FALSE()),IF(AO294&lt;&gt;"",CONCATENATE(",",VLOOKUP(AO294,$B:$AP,41,FALSE())),""))</f>
        <v>2,4,2</v>
      </c>
      <c r="AQ294" s="26" t="n">
        <v>2</v>
      </c>
      <c r="AR294" s="6"/>
      <c r="AS294" s="6"/>
      <c r="AT294" s="26" t="s">
        <v>1055</v>
      </c>
      <c r="AV294" s="26" t="s">
        <v>815</v>
      </c>
      <c r="AW294" s="26" t="s">
        <v>1056</v>
      </c>
      <c r="AZ294" s="26" t="n">
        <v>45</v>
      </c>
      <c r="BA294" s="16" t="n">
        <v>120</v>
      </c>
      <c r="BC294" s="26" t="n">
        <v>-10</v>
      </c>
      <c r="BD294" s="26" t="n">
        <f aca="false">MIN(AE294/150, 1)*30</f>
        <v>10</v>
      </c>
      <c r="BE294" s="26" t="n">
        <f aca="false">MIN(Q294/4000, 1)*20</f>
        <v>1.24</v>
      </c>
      <c r="BF294" s="26" t="n">
        <f aca="false">MIN(AC294/400,1)*20</f>
        <v>2</v>
      </c>
      <c r="BG294" s="4" t="n">
        <f aca="false">1-(MAX(M294-1900, 0)/750)</f>
        <v>0.9</v>
      </c>
      <c r="BH294" s="26" t="n">
        <f aca="false">((MAX($P294,1)*MIN($AL294/300,1)))*IF(J294="Wagon",50,10)</f>
        <v>3.6</v>
      </c>
      <c r="BI294" s="1" t="n">
        <f aca="false">VLOOKUP($K294,Constants!$I:$K, 2, FALSE())</f>
        <v>0.85</v>
      </c>
      <c r="BJ294" s="1" t="n">
        <f aca="false">VLOOKUP($K294,Constants!$I:$K, 3, FALSE())*IF(AND(J294="multiple_unit",AE294&lt;110),0.75,1)</f>
        <v>1.725</v>
      </c>
      <c r="BK294" s="1" t="n">
        <f aca="false">INT(POWER(((Constants!$G$2+$BD294+$BE294+$BF294+$BH294)*$BG294)*$BJ294, 1.05))+$BC294</f>
        <v>30</v>
      </c>
      <c r="BL294" s="1" t="n">
        <f aca="false">INT(POWER((((Constants!$G$1+$BD294+$BE294+$BF294+$BH294)*($BG294))*$BI294),IF($J294="wagon",1,1.2)))+$BB294</f>
        <v>46</v>
      </c>
      <c r="BM294" s="17" t="n">
        <f aca="false">BK294*IF($J294="wagon",62.5,781.25)</f>
        <v>23437.5</v>
      </c>
      <c r="BN294" s="17" t="n">
        <f aca="false">BL294*IF($J294="wagon",2.73,81.25)</f>
        <v>3737.5</v>
      </c>
      <c r="BU294" s="1" t="str">
        <f aca="false">IF(J294="locomotive","B","")</f>
        <v/>
      </c>
      <c r="BV294" s="1" t="str">
        <f aca="false">IF(OR($J294="locomotive",$J294="wagon"),"B","")</f>
        <v/>
      </c>
      <c r="BY294" s="26" t="n">
        <v>9</v>
      </c>
      <c r="BZ294" s="26" t="n">
        <v>148</v>
      </c>
      <c r="CB294" s="26" t="s">
        <v>366</v>
      </c>
      <c r="CC294" s="26" t="s">
        <v>367</v>
      </c>
      <c r="CD294" s="26" t="s">
        <v>647</v>
      </c>
      <c r="CE294" s="26" t="s">
        <v>858</v>
      </c>
      <c r="CF294" s="26" t="str">
        <f aca="false">CONCATENATE(CD294,"_",CE294)</f>
        <v>lbr_EMU</v>
      </c>
      <c r="CG294" s="26" t="str">
        <f aca="false">_xlfn.CONCAT(K294, "_",L294)</f>
        <v>electric_ELRL</v>
      </c>
      <c r="CH294" s="7" t="str">
        <f aca="false">_xlfn.CONCAT("{BLACK}Length: {GOLD}", TEXT(ROUNDUP(IF(AS294&lt;&gt;"",SUM(VALUE(_xlfn.TEXTSPLIT(AS294, ","))), SUM(VALUE(_xlfn.TEXTSPLIT(AP294, ",")))*IF(P294, P294, 1))/16, 1), "#,##0.0"), " tiles{}")</f>
        <v>{BLACK}Length: {GOLD}1.0 tiles{}</v>
      </c>
      <c r="CI294" s="1" t="str">
        <f aca="false">IF(0, VLOOKUP($CG294, Constants!$M:$N, 2, FALSE()),"")</f>
        <v/>
      </c>
      <c r="CJ294" s="1" t="str">
        <f aca="false">IF(P294&gt;1,_xlfn.CONCAT("{BLACK}Cars: {GOLD}", P294),"")</f>
        <v>{BLACK}Cars: {GOLD}2</v>
      </c>
      <c r="CK294" s="26" t="s">
        <v>1057</v>
      </c>
      <c r="CL294" s="1" t="str">
        <f aca="false">IF($BX294="concept_trains","{GREEN}Concept Vehicle",IF($BX294="!param_no_gameplay_units","{GREEN}Included for gameplay purposes",""))</f>
        <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{YELLOW}20% penalty for long distance travel{}</v>
      </c>
      <c r="CN294" s="1" t="str">
        <f aca="false">_xlfn.CONCAT(CI294,IF(CI294&lt;&gt;""," ",""),CJ294,IF(OR(CJ294&lt;&gt;"",CI294&lt;&gt;""),"{}",""),CH294,CM294,"{SILVER}",CK294,IF(CL294&lt;&gt;"","{}{}",""),CL294)</f>
        <v>{BLACK}Cars: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294" s="1"/>
    </row>
    <row r="295" customFormat="false" ht="14.25" hidden="false" customHeight="false" outlineLevel="0" collapsed="false">
      <c r="A295" s="1" t="s">
        <v>1058</v>
      </c>
      <c r="B295" s="15" t="s">
        <v>1059</v>
      </c>
      <c r="C295" s="1" t="n">
        <v>235</v>
      </c>
      <c r="E295" s="1" t="n">
        <v>359</v>
      </c>
      <c r="F295" s="1" t="s">
        <v>183</v>
      </c>
      <c r="G295" s="1" t="str">
        <f aca="false">IF($F295&lt;&gt;"",_xlfn.CONCAT(VLOOKUP($CE295, Constants!$T:$U, 2, FALSE()),",",$F295),VLOOKUP($CE295, Constants!$T:$U, 2, FALSE()))</f>
        <v>role/passenger,_ww_livery/nse</v>
      </c>
      <c r="H295" s="1" t="str">
        <f aca="false">IF($G295&lt;&gt;"",_xlfn.CONCAT(VLOOKUP($CG295, Constants!$M:$P, 4, FALSE()),",",$G295),VLOOKUP($CG295, Constants!$M:$P, 4, FALSE()))</f>
        <v>flag/GB,power/electric,role/passenger,_ww_livery/nse</v>
      </c>
      <c r="I295" s="1" t="s">
        <v>241</v>
      </c>
      <c r="J295" s="1" t="s">
        <v>466</v>
      </c>
      <c r="K295" s="1" t="s">
        <v>710</v>
      </c>
      <c r="L295" s="1" t="s">
        <v>753</v>
      </c>
      <c r="M295" s="1" t="n">
        <v>1976</v>
      </c>
      <c r="N295" s="1" t="n">
        <v>1977</v>
      </c>
      <c r="P295" s="1" t="n">
        <v>3</v>
      </c>
      <c r="Q295" s="1" t="n">
        <v>880</v>
      </c>
      <c r="Z295" s="1" t="n">
        <v>104.5</v>
      </c>
      <c r="AB295" s="1" t="n">
        <v>5</v>
      </c>
      <c r="AC295" s="1" t="n">
        <v>140</v>
      </c>
      <c r="AD295" s="4" t="n">
        <f aca="false">IF(AND(Z295&gt;0,AC295&gt;0),(AC295/((Z295+AA295)*10)),"")</f>
        <v>0.133971291866029</v>
      </c>
      <c r="AE295" s="1" t="n">
        <v>75</v>
      </c>
      <c r="AF295" s="1" t="n">
        <f aca="false">ROUND(AE295*1.6, 0)</f>
        <v>120</v>
      </c>
      <c r="AH295" s="1" t="n">
        <v>20.33</v>
      </c>
      <c r="AI295" s="1" t="n">
        <v>20.33</v>
      </c>
      <c r="AK295" s="1" t="n">
        <v>3.58</v>
      </c>
      <c r="AL295" s="5" t="n">
        <v>75</v>
      </c>
      <c r="AM295" s="1" t="str">
        <f aca="false">CONCATENATE(VLOOKUP(AN295, 'Voxel Sizes'!$A$2:$B$18,2,FALSE()),"x",INT(AJ295*15), "x", INT(AK295*15))</f>
        <v>198x0x53</v>
      </c>
      <c r="AN295" s="1" t="n">
        <f aca="false">ROUND(15*((AI295*10)/256),0)</f>
        <v>12</v>
      </c>
      <c r="AP295" s="1" t="str">
        <f aca="false">CONCATENATE(VLOOKUP(AN295,Constants!$A$2:$C$16,IF(AO295&lt;&gt;"", 3, 2), FALSE()),IF(AO295&lt;&gt;"",CONCATENATE(",",VLOOKUP(AO295,$B:$AP,41,FALSE())),""))</f>
        <v>4,4,4</v>
      </c>
      <c r="AT295" s="1" t="s">
        <v>1060</v>
      </c>
      <c r="AU295" s="1" t="s">
        <v>1061</v>
      </c>
      <c r="AV295" s="1" t="s">
        <v>468</v>
      </c>
      <c r="AZ295" s="1" t="n">
        <v>35</v>
      </c>
      <c r="BA295" s="16" t="str">
        <f aca="false">IF(O295&lt;&gt;"",MAX(16,(O295-M295)+8),"")</f>
        <v/>
      </c>
      <c r="BB295" s="1" t="n">
        <v>-10</v>
      </c>
      <c r="BC295" s="1" t="n">
        <v>-20</v>
      </c>
      <c r="BD295" s="1" t="n">
        <f aca="false">MIN(AE295/150, 1)*30</f>
        <v>15</v>
      </c>
      <c r="BE295" s="1" t="n">
        <f aca="false">MIN(Q295/4000, 1)*20</f>
        <v>4.4</v>
      </c>
      <c r="BF295" s="1" t="n">
        <f aca="false">MIN(AC295/400,1)*20</f>
        <v>7</v>
      </c>
      <c r="BG295" s="4" t="n">
        <f aca="false">1-(MAX(M295-1900, 0)/750)</f>
        <v>0.898666666666667</v>
      </c>
      <c r="BH295" s="1" t="n">
        <f aca="false">((MAX($P295,1)*MIN($AL295/300,1)))*IF(J295="Wagon",50,10)</f>
        <v>7.5</v>
      </c>
      <c r="BI295" s="1" t="n">
        <f aca="false">VLOOKUP($K295,Constants!$I:$K, 2, FALSE())</f>
        <v>0.85</v>
      </c>
      <c r="BJ295" s="1" t="n">
        <f aca="false">VLOOKUP($K295,Constants!$I:$K, 3, FALSE())*IF(AND(J295="multiple_unit",AE295&lt;110),0.75,1)</f>
        <v>1.8</v>
      </c>
      <c r="BK295" s="1" t="n">
        <f aca="false">INT(POWER(((Constants!$G$2+$BD295+$BE295+$BF295+$BH295)*$BG295)*$BJ295, 1.05))+$BC295</f>
        <v>57</v>
      </c>
      <c r="BL295" s="1" t="n">
        <f aca="false">INT(POWER((((Constants!$G$1+$BD295+$BE295+$BF295+$BH295)*($BG295))*$BI295),IF($J295="wagon",1,1.2)))+$BB295</f>
        <v>67</v>
      </c>
      <c r="BM295" s="17" t="n">
        <f aca="false">BK295*IF($J295="wagon",62.5,781.25)</f>
        <v>44531.25</v>
      </c>
      <c r="BN295" s="17" t="n">
        <f aca="false">BL295*IF($J295="wagon",2.73,81.25)</f>
        <v>5443.75</v>
      </c>
      <c r="BU295" s="1" t="str">
        <f aca="false">IF(J295="locomotive","B","")</f>
        <v/>
      </c>
      <c r="BV295" s="1" t="str">
        <f aca="false">IF(OR($J295="locomotive",$J295="wagon"),"B","")</f>
        <v/>
      </c>
      <c r="BY295" s="1" t="n">
        <v>7</v>
      </c>
      <c r="BZ295" s="1" t="n">
        <v>185</v>
      </c>
      <c r="CC295" s="1" t="s">
        <v>367</v>
      </c>
      <c r="CD295" s="1" t="str">
        <f aca="false">VLOOKUP(M295,Eras!$A$2:$C$10, 2, TRUE())</f>
        <v>lbr</v>
      </c>
      <c r="CE295" s="1" t="s">
        <v>858</v>
      </c>
      <c r="CF295" s="1" t="str">
        <f aca="false">CONCATENATE(CD295,"_",CE295)</f>
        <v>lbr_EMU</v>
      </c>
      <c r="CG295" s="1" t="str">
        <f aca="false">_xlfn.CONCAT(K295, "_",L295)</f>
        <v>dual_electric_DUAL_POWER</v>
      </c>
      <c r="CH295" s="7" t="str">
        <f aca="false">_xlfn.CONCAT("{BLACK}Length: {GOLD}", TEXT(ROUNDUP(IF(AS295&lt;&gt;"",SUM(VALUE(_xlfn.TEXTSPLIT(AS295, ","))), SUM(VALUE(_xlfn.TEXTSPLIT(AP295, ",")))*IF(P295, P295, 1))/16, 1), "#,##0.0"), " tiles{}")</f>
        <v>{BLACK}Length: {GOLD}2.3 tiles{}</v>
      </c>
      <c r="CI295" s="1" t="str">
        <f aca="false">IF(0, VLOOKUP($CG295, Constants!$M:$N, 2, FALSE()),"")</f>
        <v/>
      </c>
      <c r="CJ295" s="1" t="str">
        <f aca="false">IF(P295&gt;1,_xlfn.CONCAT("{BLACK}Cars: {GOLD}", P295),"")</f>
        <v>{BLACK}Cars: {GOLD}3</v>
      </c>
      <c r="CK295" s="1" t="s">
        <v>1062</v>
      </c>
      <c r="CL295" s="1" t="str">
        <f aca="false">IF($BX295="concept_trains","{GREEN}Concept Vehicle",IF($BX295="!param_no_gameplay_units","{GREEN}Included for gameplay purposes",""))</f>
        <v/>
      </c>
      <c r="CM295" s="1" t="str">
        <f aca="false">IF(CA295="buffet","{YELLOW}25% long distance bonus for consist{}",IF(CC295="BRAKE","{YELLOW}Speed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{GOLD}3{}{BLACK}Length: {GOLD}2.3 tiles{}{SILVER}The Class 313 is a dual voltage EMU capable of running both on overhead electrified lines and third rail systems.</v>
      </c>
    </row>
    <row r="296" s="1" customFormat="true" ht="14.25" hidden="false" customHeight="false" outlineLevel="0" collapsed="false">
      <c r="A296" s="1" t="s">
        <v>1063</v>
      </c>
      <c r="B296" s="27" t="s">
        <v>1064</v>
      </c>
      <c r="C296" s="1" t="n">
        <v>3039</v>
      </c>
      <c r="E296" s="1" t="n">
        <v>360</v>
      </c>
      <c r="F296" s="1" t="s">
        <v>180</v>
      </c>
      <c r="G296" s="1" t="str">
        <f aca="false">IF($F296&lt;&gt;"",_xlfn.CONCAT(VLOOKUP($CE296, Constants!$T:$U, 2, FALSE()),",",$F296),VLOOKUP($CE296, Constants!$T:$U, 2, FALSE()))</f>
        <v>role/passenger,_ww_livery/provincial</v>
      </c>
      <c r="H296" s="1" t="str">
        <f aca="false">IF($G296&lt;&gt;"",_xlfn.CONCAT(VLOOKUP($CG296, Constants!$M:$P, 4, FALSE()),",",$G296),VLOOKUP($CG296, Constants!$M:$P, 4, FALSE()))</f>
        <v>flag/GB,power/diesel,role/passenger,_ww_livery/provincial</v>
      </c>
      <c r="I296" s="1" t="s">
        <v>241</v>
      </c>
      <c r="J296" s="1" t="s">
        <v>466</v>
      </c>
      <c r="K296" s="1" t="s">
        <v>525</v>
      </c>
      <c r="L296" s="1" t="s">
        <v>192</v>
      </c>
      <c r="M296" s="1" t="n">
        <v>1979</v>
      </c>
      <c r="N296" s="1" t="n">
        <v>1983</v>
      </c>
      <c r="O296" s="1" t="n">
        <v>1987</v>
      </c>
      <c r="P296" s="1" t="n">
        <v>1</v>
      </c>
      <c r="Q296" s="1" t="n">
        <v>150</v>
      </c>
      <c r="R296" s="2"/>
      <c r="S296" s="3"/>
      <c r="T296" s="3"/>
      <c r="U296" s="3"/>
      <c r="V296" s="3"/>
      <c r="W296" s="3"/>
      <c r="X296" s="3"/>
      <c r="Y296" s="3"/>
      <c r="Z296" s="1" t="n">
        <f aca="false">24.3</f>
        <v>24.3</v>
      </c>
      <c r="AA296" s="2"/>
      <c r="AB296" s="1" t="n">
        <v>5</v>
      </c>
      <c r="AC296" s="1" t="n">
        <v>70</v>
      </c>
      <c r="AD296" s="4" t="n">
        <f aca="false">IF(AND(Z296&gt;0,AC296&gt;0),(AC296/((Z296+AA296)*10)),"")</f>
        <v>0.288065843621399</v>
      </c>
      <c r="AE296" s="1" t="n">
        <v>75</v>
      </c>
      <c r="AF296" s="1" t="n">
        <f aca="false">ROUND(AE296*1.6, 0)</f>
        <v>120</v>
      </c>
      <c r="AH296" s="1" t="n">
        <v>15.45</v>
      </c>
      <c r="AI296" s="1" t="n">
        <v>15.45</v>
      </c>
      <c r="AJ296" s="1" t="n">
        <v>2.5</v>
      </c>
      <c r="AK296" s="1" t="n">
        <v>3.9</v>
      </c>
      <c r="AL296" s="5" t="n">
        <v>42</v>
      </c>
      <c r="AM296" s="1" t="str">
        <f aca="false">CONCATENATE(VLOOKUP(AN296, 'Voxel Sizes'!$A$2:$B$18,2,FALSE()),"x",INT(AJ296*15), "x", INT(AK296*15))</f>
        <v>152x37x58</v>
      </c>
      <c r="AN296" s="1" t="n">
        <f aca="false">ROUND(15*((AI296*10)/256),0)</f>
        <v>9</v>
      </c>
      <c r="AP296" s="1" t="str">
        <f aca="false">CONCATENATE(VLOOKUP(AN296,Constants!$A$2:$C$16,IF(AO296&lt;&gt;"", 3, 2), FALSE()),IF(AO296&lt;&gt;"",CONCATENATE(",",VLOOKUP(AO296,$B:$AP,41,FALSE())),""))</f>
        <v>2,5,2</v>
      </c>
      <c r="AR296" s="6"/>
      <c r="AS296" s="6"/>
      <c r="AT296" s="1" t="s">
        <v>1064</v>
      </c>
      <c r="AV296" s="1" t="n">
        <v>1</v>
      </c>
      <c r="AZ296" s="1" t="n">
        <v>18</v>
      </c>
      <c r="BA296" s="16" t="n">
        <f aca="false">IF(O296&lt;&gt;"",MAX(16,(O296-M296)+8),"")</f>
        <v>16</v>
      </c>
      <c r="BB296" s="1" t="n">
        <v>-35</v>
      </c>
      <c r="BC296" s="1" t="n">
        <v>-25</v>
      </c>
      <c r="BD296" s="1" t="n">
        <f aca="false">MIN(AE296/150, 1)*30</f>
        <v>15</v>
      </c>
      <c r="BE296" s="1" t="n">
        <f aca="false">MIN(Q296/4000, 1)*20</f>
        <v>0.75</v>
      </c>
      <c r="BF296" s="1" t="n">
        <f aca="false">MIN(AC296/400,1)*20</f>
        <v>3.5</v>
      </c>
      <c r="BG296" s="4" t="n">
        <f aca="false">1-(MAX(M296-1900, 0)/750)</f>
        <v>0.894666666666667</v>
      </c>
      <c r="BH296" s="1" t="n">
        <f aca="false">((MAX($P296,1)*MIN($AL296/300,1)))*IF(J296="Wagon",50,10)</f>
        <v>1.4</v>
      </c>
      <c r="BI296" s="1" t="n">
        <f aca="false">VLOOKUP($K296,Constants!$I:$K, 2, FALSE())</f>
        <v>1</v>
      </c>
      <c r="BJ296" s="1" t="n">
        <f aca="false">VLOOKUP($K296,Constants!$I:$K, 3, FALSE())*IF(AND(J296="multiple_unit",AE296&lt;110),0.75,1)</f>
        <v>1.5</v>
      </c>
      <c r="BK296" s="1" t="n">
        <f aca="false">INT(POWER(((Constants!$G$2+$BD296+$BE296+$BF296+$BH296)*$BG296)*$BJ296, 1.05))+$BC296</f>
        <v>16</v>
      </c>
      <c r="BL296" s="1" t="n">
        <f aca="false">INT(POWER((((Constants!$G$1+$BD296+$BE296+$BF296+$BH296)*($BG296))*$BI296),IF($J296="wagon",1,1.2)))+$BB296</f>
        <v>28</v>
      </c>
      <c r="BM296" s="17" t="n">
        <f aca="false">BK296*IF($J296="wagon",62.5,781.25)</f>
        <v>12500</v>
      </c>
      <c r="BN296" s="17" t="n">
        <f aca="false">BL296*IF($J296="wagon",2.73,81.25)</f>
        <v>2275</v>
      </c>
      <c r="BU296" s="1" t="str">
        <f aca="false">IF(J296="locomotive","B","")</f>
        <v/>
      </c>
      <c r="BV296" s="1" t="str">
        <f aca="false">IF(OR($J296="locomotive",$J296="wagon"),"B","")</f>
        <v/>
      </c>
      <c r="BY296" s="1" t="n">
        <v>2</v>
      </c>
      <c r="BZ296" s="1" t="n">
        <v>148</v>
      </c>
      <c r="CC296" s="1" t="s">
        <v>367</v>
      </c>
      <c r="CD296" s="1" t="s">
        <v>647</v>
      </c>
      <c r="CE296" s="26" t="s">
        <v>805</v>
      </c>
      <c r="CF296" s="26" t="str">
        <f aca="false">CONCATENATE(CD296,"_",CE296)</f>
        <v>lbr_DMU (Cheap)</v>
      </c>
      <c r="CG296" s="26" t="str">
        <f aca="false">_xlfn.CONCAT(K296, "_",L296)</f>
        <v>diesel_RAIL</v>
      </c>
      <c r="CH296" s="7" t="str">
        <f aca="false">_xlfn.CONCAT("{BLACK}Length: {GOLD}", TEXT(ROUNDUP(IF(AS296&lt;&gt;"",SUM(VALUE(_xlfn.TEXTSPLIT(AS296, ","))), SUM(VALUE(_xlfn.TEXTSPLIT(AP296, ",")))*IF(P296, P296, 1))/16, 1), "#,##0.0"), " tiles{}")</f>
        <v>{BLACK}Length: {GOLD}0.6 tiles{}</v>
      </c>
      <c r="CI296" s="1" t="str">
        <f aca="false">IF(0, VLOOKUP($CG296, Constants!$M:$N, 2, FALSE()),"")</f>
        <v/>
      </c>
      <c r="CJ296" s="1" t="str">
        <f aca="false">IF(P296&gt;1,_xlfn.CONCAT("{BLACK}Cars: {GOLD}", P296),"")</f>
        <v/>
      </c>
      <c r="CK296" s="1" t="s">
        <v>1065</v>
      </c>
      <c r="CL296" s="1" t="str">
        <f aca="false">IF($BX296="concept_trains","{GREEN}Concept Vehicle",IF($BX296="!param_no_gameplay_units","{GREEN}Included for gameplay purposes",""))</f>
        <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{YELLOW}20% penalty for long distance travel{}</v>
      </c>
      <c r="CN296" s="1" t="str">
        <f aca="false">_xlfn.CONCAT(CI296,IF(CI296&lt;&gt;""," ",""),CJ296,IF(OR(CJ296&lt;&gt;"",CI296&lt;&gt;""),"{}",""),CH296,CM296,"{SILVER}",CK296,IF(CL296&lt;&gt;"","{}{}",""),CL296)</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97" s="26" customFormat="true" ht="14.25" hidden="false" customHeight="false" outlineLevel="0" collapsed="false">
      <c r="A297" s="26" t="s">
        <v>1066</v>
      </c>
      <c r="B297" s="27" t="s">
        <v>1067</v>
      </c>
      <c r="C297" s="1" t="n">
        <v>3051</v>
      </c>
      <c r="D297" s="26" t="n">
        <v>3053</v>
      </c>
      <c r="E297" s="1" t="n">
        <v>361</v>
      </c>
      <c r="G297" s="1" t="str">
        <f aca="false">IF($F297&lt;&gt;"",_xlfn.CONCAT(VLOOKUP($CE297, Constants!$T:$U, 2, FALSE()),",",$F297),VLOOKUP($CE297, Constants!$T:$U, 2, FALSE()))</f>
        <v>role/express_passenger</v>
      </c>
      <c r="H297" s="1" t="str">
        <f aca="false">IF($G297&lt;&gt;"",_xlfn.CONCAT(VLOOKUP($CG297, Constants!$M:$P, 4, FALSE()),",",$G297),VLOOKUP($CG297, Constants!$M:$P, 4, FALSE()))</f>
        <v>flag/GB,role/express_passenger</v>
      </c>
      <c r="I297" s="26" t="s">
        <v>241</v>
      </c>
      <c r="J297" s="26" t="s">
        <v>466</v>
      </c>
      <c r="K297" s="26" t="s">
        <v>1068</v>
      </c>
      <c r="L297" s="26" t="s">
        <v>192</v>
      </c>
      <c r="M297" s="26" t="n">
        <v>1979</v>
      </c>
      <c r="N297" s="26" t="n">
        <v>1986</v>
      </c>
      <c r="O297" s="26" t="n">
        <v>1988</v>
      </c>
      <c r="P297" s="26" t="n">
        <v>6</v>
      </c>
      <c r="Q297" s="26" t="n">
        <v>10</v>
      </c>
      <c r="R297" s="2"/>
      <c r="S297" s="3"/>
      <c r="T297" s="3"/>
      <c r="U297" s="3"/>
      <c r="V297" s="3"/>
      <c r="W297" s="3"/>
      <c r="X297" s="3"/>
      <c r="Y297" s="3"/>
      <c r="Z297" s="26" t="n">
        <v>164.8</v>
      </c>
      <c r="AA297" s="2"/>
      <c r="AB297" s="26" t="n">
        <v>4</v>
      </c>
      <c r="AC297" s="26" t="n">
        <v>5</v>
      </c>
      <c r="AD297" s="4" t="n">
        <f aca="false">IF(AND(Z297&gt;0,AC297&gt;0),(AC297/((Z297+AA297)*10)),"")</f>
        <v>0.00303398058252427</v>
      </c>
      <c r="AE297" s="26" t="n">
        <v>155</v>
      </c>
      <c r="AF297" s="26" t="n">
        <f aca="false">ROUND(AE297*1.6, 0)</f>
        <v>248</v>
      </c>
      <c r="AH297" s="26" t="n">
        <v>20.9</v>
      </c>
      <c r="AI297" s="26" t="n">
        <v>20.9</v>
      </c>
      <c r="AJ297" s="26" t="n">
        <v>2.7</v>
      </c>
      <c r="AK297" s="26" t="n">
        <v>3.5</v>
      </c>
      <c r="AL297" s="5" t="n">
        <v>44</v>
      </c>
      <c r="AM297" s="1" t="str">
        <f aca="false">CONCATENATE(VLOOKUP(AN297, 'Voxel Sizes'!$A$2:$B$18,2,FALSE()),"x",INT(AJ297*15), "x", INT(AK297*15))</f>
        <v>198x40x52</v>
      </c>
      <c r="AN297" s="26" t="n">
        <f aca="false">ROUND(15*((AI297*10)/256),0)</f>
        <v>12</v>
      </c>
      <c r="AP297" s="1" t="str">
        <f aca="false">CONCATENATE(VLOOKUP(AN297,Constants!$A$2:$C$16,IF(AO297&lt;&gt;"", 3, 2), FALSE()),IF(AO297&lt;&gt;"",CONCATENATE(",",VLOOKUP(AO297,$B:$AP,41,FALSE())),""))</f>
        <v>4,4,4</v>
      </c>
      <c r="AR297" s="6"/>
      <c r="AS297" s="6"/>
      <c r="AT297" s="26" t="s">
        <v>1069</v>
      </c>
      <c r="AV297" s="26" t="s">
        <v>1013</v>
      </c>
      <c r="AW297" s="26" t="s">
        <v>1070</v>
      </c>
      <c r="AZ297" s="26" t="n">
        <v>12</v>
      </c>
      <c r="BA297" s="16" t="n">
        <f aca="false">IF(O297&lt;&gt;"",MAX(16,(O297-M297)+8),"")</f>
        <v>17</v>
      </c>
      <c r="BC297" s="26" t="n">
        <v>-20</v>
      </c>
      <c r="BD297" s="26" t="n">
        <f aca="false">MIN(AE297/150, 1)*30</f>
        <v>30</v>
      </c>
      <c r="BE297" s="26" t="n">
        <f aca="false">MIN(Q297/4000, 1)*20</f>
        <v>0.05</v>
      </c>
      <c r="BF297" s="26" t="n">
        <f aca="false">MIN(AC297/400,1)*20</f>
        <v>0.25</v>
      </c>
      <c r="BG297" s="4" t="n">
        <f aca="false">1-(MAX(M297-1900, 0)/750)</f>
        <v>0.894666666666667</v>
      </c>
      <c r="BH297" s="26" t="n">
        <f aca="false">((MAX($P297,1)*MIN($AL297/300,1)))*IF(J297="Wagon",50,10)</f>
        <v>8.8</v>
      </c>
      <c r="BI297" s="1" t="n">
        <f aca="false">VLOOKUP($K297,Constants!$I:$K, 2, FALSE())</f>
        <v>1</v>
      </c>
      <c r="BJ297" s="1" t="n">
        <f aca="false">VLOOKUP($K297,Constants!$I:$K, 3, FALSE())*IF(AND(J297="multiple_unit",AE297&lt;110),0.75,1)</f>
        <v>1</v>
      </c>
      <c r="BK297" s="1" t="n">
        <f aca="false">INT(POWER(((Constants!$G$2+$BD297+$BE297+$BF297+$BH297)*$BG297)*$BJ297, 1.05))+$BC297</f>
        <v>27</v>
      </c>
      <c r="BL297" s="1" t="n">
        <f aca="false">INT(POWER((((Constants!$G$1+$BD297+$BE297+$BF297+$BH297)*($BG297))*$BI297),IF($J297="wagon",1,1.2)))+$BB297</f>
        <v>105</v>
      </c>
      <c r="BM297" s="17" t="n">
        <f aca="false">BK297*IF($J297="wagon",62.5,781.25)</f>
        <v>21093.75</v>
      </c>
      <c r="BN297" s="17" t="n">
        <f aca="false">BL297*IF($J297="wagon",2.73,81.25)</f>
        <v>8531.25</v>
      </c>
      <c r="BS297" s="26" t="n">
        <v>1</v>
      </c>
      <c r="BT297" s="26" t="s">
        <v>1071</v>
      </c>
      <c r="BU297" s="1" t="str">
        <f aca="false">IF(J297="locomotive","B","")</f>
        <v/>
      </c>
      <c r="BV297" s="1" t="str">
        <f aca="false">IF(OR($J297="locomotive",$J297="wagon"),"B","")</f>
        <v/>
      </c>
      <c r="BX297" s="26" t="s">
        <v>1015</v>
      </c>
      <c r="BY297" s="26" t="n">
        <v>8</v>
      </c>
      <c r="BZ297" s="26" t="n">
        <v>222</v>
      </c>
      <c r="CB297" s="26" t="s">
        <v>366</v>
      </c>
      <c r="CC297" s="26" t="s">
        <v>367</v>
      </c>
      <c r="CD297" s="26" t="str">
        <f aca="false">VLOOKUP(M297,[1]Eras!$A$2:$C$10, 2, TRUE())</f>
        <v>lbr</v>
      </c>
      <c r="CE297" s="26" t="s">
        <v>913</v>
      </c>
      <c r="CF297" s="26" t="str">
        <f aca="false">CONCATENATE(CD297,"_",CE297)</f>
        <v>lbr_EMU (Express)</v>
      </c>
      <c r="CG297" s="26" t="str">
        <f aca="false">_xlfn.CONCAT(K297, "_",L297)</f>
        <v>cab_RAIL</v>
      </c>
      <c r="CH297" s="7" t="str">
        <f aca="false">_xlfn.CONCAT("{BLACK}Length: {GOLD}", TEXT(ROUNDUP(IF(AS297&lt;&gt;"",SUM(VALUE(_xlfn.TEXTSPLIT(AS297, ","))), SUM(VALUE(_xlfn.TEXTSPLIT(AP297, ",")))*IF(P297, P297, 1))/16, 1), "#,##0.0"), " tiles{}")</f>
        <v>{BLACK}Length: {GOLD}4.5 tiles{}</v>
      </c>
      <c r="CI297" s="1" t="str">
        <f aca="false">IF(0, VLOOKUP($CG297, Constants!$M:$N, 2, FALSE()),"")</f>
        <v/>
      </c>
      <c r="CJ297" s="1" t="str">
        <f aca="false">IF(P297&gt;1,_xlfn.CONCAT("{BLACK}Cars: {GOLD}", P297),"")</f>
        <v>{BLACK}Cars: {GOLD}6</v>
      </c>
      <c r="CK297" s="26" t="s">
        <v>1072</v>
      </c>
      <c r="CL297" s="1" t="str">
        <f aca="false">IF($BX297="concept_trains","{GREEN}Concept Vehicle",IF($BX297="!param_no_gameplay_units","{GREEN}Included for gameplay purposes",""))</f>
        <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{YELLOW}20% bonus for long distance travel{}</v>
      </c>
      <c r="CN297" s="1" t="str">
        <f aca="false">_xlfn.CONCAT(CI297,IF(CI297&lt;&gt;""," ",""),CJ297,IF(OR(CJ297&lt;&gt;"",CI297&lt;&gt;""),"{}",""),CH297,CM297,"{SILVER}",CK297,IF(CL297&lt;&gt;"","{}{}",""),CL297)</f>
        <v>{BLACK}Cars: {GOLD}6{}{BLACK}Length: {GOLD}4.5 tiles{}{YELLOW}20% bonus for long distance travel{}{SILVER}A 6-car unpowered half-rake of APT-P vehicles. Pair with the Non-Driving power car and a reversed set for a complete unit.</v>
      </c>
      <c r="XFD297" s="1"/>
    </row>
    <row r="298" s="26" customFormat="true" ht="14.25" hidden="false" customHeight="false" outlineLevel="0" collapsed="false">
      <c r="A298" s="26" t="s">
        <v>1073</v>
      </c>
      <c r="B298" s="27" t="s">
        <v>1074</v>
      </c>
      <c r="C298" s="1" t="n">
        <v>3052</v>
      </c>
      <c r="D298" s="26" t="n">
        <v>3053</v>
      </c>
      <c r="E298" s="1" t="n">
        <v>362</v>
      </c>
      <c r="G298" s="1" t="str">
        <f aca="false">IF($F298&lt;&gt;"",_xlfn.CONCAT(VLOOKUP($CE298, Constants!$T:$U, 2, FALSE()),",",$F298),VLOOKUP($CE298, Constants!$T:$U, 2, FALSE()))</f>
        <v>role/express_passenger</v>
      </c>
      <c r="H298" s="1" t="str">
        <f aca="false">IF($G298&lt;&gt;"",_xlfn.CONCAT(VLOOKUP($CG298, Constants!$M:$P, 4, FALSE()),",",$G298),VLOOKUP($CG298, Constants!$M:$P, 4, FALSE()))</f>
        <v>flag/GB,role/express_passenger</v>
      </c>
      <c r="I298" s="26" t="s">
        <v>241</v>
      </c>
      <c r="J298" s="26" t="s">
        <v>1075</v>
      </c>
      <c r="K298" s="26" t="s">
        <v>1068</v>
      </c>
      <c r="L298" s="26" t="s">
        <v>192</v>
      </c>
      <c r="M298" s="26" t="n">
        <v>1979</v>
      </c>
      <c r="N298" s="26" t="n">
        <v>1986</v>
      </c>
      <c r="O298" s="26" t="n">
        <v>1988</v>
      </c>
      <c r="P298" s="26" t="n">
        <v>6</v>
      </c>
      <c r="Q298" s="26" t="n">
        <v>10</v>
      </c>
      <c r="R298" s="2"/>
      <c r="S298" s="3"/>
      <c r="T298" s="3"/>
      <c r="U298" s="3"/>
      <c r="V298" s="3"/>
      <c r="W298" s="3"/>
      <c r="X298" s="3"/>
      <c r="Y298" s="3"/>
      <c r="Z298" s="26" t="n">
        <v>164.8</v>
      </c>
      <c r="AA298" s="2"/>
      <c r="AB298" s="26" t="n">
        <v>4</v>
      </c>
      <c r="AC298" s="26" t="n">
        <v>5</v>
      </c>
      <c r="AD298" s="4" t="n">
        <f aca="false">IF(AND(Z298&gt;0,AC298&gt;0),(AC298/((Z298+AA298)*10)),"")</f>
        <v>0.00303398058252427</v>
      </c>
      <c r="AE298" s="26" t="n">
        <v>155</v>
      </c>
      <c r="AF298" s="26" t="n">
        <f aca="false">ROUND(AE298*1.6, 0)</f>
        <v>248</v>
      </c>
      <c r="AH298" s="26" t="n">
        <v>20.9</v>
      </c>
      <c r="AI298" s="26" t="n">
        <v>20.9</v>
      </c>
      <c r="AJ298" s="26" t="n">
        <v>2.7</v>
      </c>
      <c r="AK298" s="26" t="n">
        <v>3.5</v>
      </c>
      <c r="AL298" s="5" t="n">
        <v>44</v>
      </c>
      <c r="AM298" s="1" t="str">
        <f aca="false">CONCATENATE(VLOOKUP(AN298, 'Voxel Sizes'!$A$2:$B$18,2,FALSE()),"x",INT(AJ298*15), "x", INT(AK298*15))</f>
        <v>198x40x52</v>
      </c>
      <c r="AN298" s="26" t="n">
        <f aca="false">ROUND(15*((AI298*10)/256),0)</f>
        <v>12</v>
      </c>
      <c r="AP298" s="1" t="str">
        <f aca="false">CONCATENATE(VLOOKUP(AN298,Constants!$A$2:$C$16,IF(AO298&lt;&gt;"", 3, 2), FALSE()),IF(AO298&lt;&gt;"",CONCATENATE(",",VLOOKUP(AO298,$B:$AP,41,FALSE())),""))</f>
        <v>4,4,4</v>
      </c>
      <c r="AR298" s="6"/>
      <c r="AS298" s="6"/>
      <c r="AT298" s="26" t="s">
        <v>1076</v>
      </c>
      <c r="AV298" s="26" t="s">
        <v>1077</v>
      </c>
      <c r="AW298" s="26" t="s">
        <v>1078</v>
      </c>
      <c r="AZ298" s="26" t="n">
        <v>12</v>
      </c>
      <c r="BA298" s="16" t="n">
        <f aca="false">IF(O298&lt;&gt;"",MAX(16,(O298-M298)+8),"")</f>
        <v>17</v>
      </c>
      <c r="BB298" s="26" t="n">
        <v>-20</v>
      </c>
      <c r="BC298" s="26" t="n">
        <v>-20</v>
      </c>
      <c r="BD298" s="26" t="n">
        <f aca="false">MIN(AE298/150, 1)*30</f>
        <v>30</v>
      </c>
      <c r="BE298" s="26" t="n">
        <f aca="false">MIN(Q298/4000, 1)*20</f>
        <v>0.05</v>
      </c>
      <c r="BF298" s="26" t="n">
        <f aca="false">MIN(AC298/400,1)*20</f>
        <v>0.25</v>
      </c>
      <c r="BG298" s="4" t="n">
        <f aca="false">1-(MAX(M298-1900, 0)/750)</f>
        <v>0.894666666666667</v>
      </c>
      <c r="BH298" s="26" t="n">
        <f aca="false">((MAX($P298,1)*MIN($AL298/300,1)))*IF(J298="Wagon",50,10)</f>
        <v>8.8</v>
      </c>
      <c r="BI298" s="1" t="n">
        <f aca="false">VLOOKUP($K298,Constants!$I:$K, 2, FALSE())</f>
        <v>1</v>
      </c>
      <c r="BJ298" s="1" t="n">
        <f aca="false">VLOOKUP($K298,Constants!$I:$K, 3, FALSE())*IF(AND(J298="multiple_unit",AE298&lt;110),0.75,1)</f>
        <v>1</v>
      </c>
      <c r="BK298" s="1" t="n">
        <f aca="false">INT(POWER(((Constants!$G$2+$BD298+$BE298+$BF298+$BH298)*$BG298)*$BJ298, 1.05))+$BC298</f>
        <v>27</v>
      </c>
      <c r="BL298" s="1" t="n">
        <f aca="false">INT(POWER((((Constants!$G$1+$BD298+$BE298+$BF298+$BH298)*($BG298))*$BI298),IF($J298="wagon",1,1.2)))+$BB298</f>
        <v>85</v>
      </c>
      <c r="BM298" s="17" t="n">
        <f aca="false">BK298*IF($J298="wagon",62.5,781.25)</f>
        <v>21093.75</v>
      </c>
      <c r="BN298" s="17" t="n">
        <f aca="false">BL298*IF($J298="wagon",2.73,81.25)</f>
        <v>6906.25</v>
      </c>
      <c r="BR298" s="26" t="n">
        <v>1</v>
      </c>
      <c r="BS298" s="26" t="n">
        <v>1</v>
      </c>
      <c r="BT298" s="26" t="s">
        <v>1079</v>
      </c>
      <c r="BU298" s="1" t="str">
        <f aca="false">IF(J298="locomotive","B","")</f>
        <v/>
      </c>
      <c r="BV298" s="1" t="str">
        <f aca="false">IF(OR($J298="locomotive",$J298="wagon"),"B","")</f>
        <v/>
      </c>
      <c r="BX298" s="26" t="s">
        <v>1015</v>
      </c>
      <c r="BY298" s="26" t="n">
        <v>8</v>
      </c>
      <c r="BZ298" s="26" t="n">
        <v>222</v>
      </c>
      <c r="CB298" s="26" t="s">
        <v>366</v>
      </c>
      <c r="CC298" s="26" t="s">
        <v>367</v>
      </c>
      <c r="CD298" s="26" t="str">
        <f aca="false">VLOOKUP(M298,[1]Eras!$A$2:$C$10, 2, TRUE())</f>
        <v>lbr</v>
      </c>
      <c r="CE298" s="26" t="s">
        <v>913</v>
      </c>
      <c r="CF298" s="26" t="str">
        <f aca="false">CONCATENATE(CD298,"_",CE298)</f>
        <v>lbr_EMU (Express)</v>
      </c>
      <c r="CG298" s="26" t="str">
        <f aca="false">_xlfn.CONCAT(K298, "_",L298)</f>
        <v>cab_RAIL</v>
      </c>
      <c r="CH298" s="7" t="str">
        <f aca="false">_xlfn.CONCAT("{BLACK}Length: {GOLD}", TEXT(ROUNDUP(IF(AS298&lt;&gt;"",SUM(VALUE(_xlfn.TEXTSPLIT(AS298, ","))), SUM(VALUE(_xlfn.TEXTSPLIT(AP298, ",")))*IF(P298, P298, 1))/16, 1), "#,##0.0"), " tiles{}")</f>
        <v>{BLACK}Length: {GOLD}4.5 tiles{}</v>
      </c>
      <c r="CI298" s="1" t="str">
        <f aca="false">IF(0, VLOOKUP($CG298, Constants!$M:$N, 2, FALSE()),"")</f>
        <v/>
      </c>
      <c r="CJ298" s="1" t="str">
        <f aca="false">IF(P298&gt;1,_xlfn.CONCAT("{BLACK}Cars: {GOLD}", P298),"")</f>
        <v>{BLACK}Cars: {GOLD}6</v>
      </c>
      <c r="CK298" s="26" t="s">
        <v>1080</v>
      </c>
      <c r="CL298" s="1" t="str">
        <f aca="false">IF($BX298="concept_trains","{GREEN}Concept Vehicle",IF($BX298="!param_no_gameplay_units","{GREEN}Included for gameplay purposes",""))</f>
        <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{YELLOW}20% bonus for long distance travel{}</v>
      </c>
      <c r="CN298" s="1" t="str">
        <f aca="false">_xlfn.CONCAT(CI298,IF(CI298&lt;&gt;""," ",""),CJ298,IF(OR(CJ298&lt;&gt;"",CI298&lt;&gt;""),"{}",""),CH298,CM298,"{SILVER}",CK298,IF(CL298&lt;&gt;"","{}{}",""),CL298)</f>
        <v>{BLACK}Cars: {GOLD}6{}{BLACK}Length: {GOLD}4.5 tiles{}{YELLOW}20% bonus for long distance travel{}{SILVER}A 6-car half-rake of APT-P vehicles. This is the rear half of a formation.</v>
      </c>
      <c r="XFD298" s="1"/>
    </row>
    <row r="299" s="26" customFormat="true" ht="14.25" hidden="false" customHeight="false" outlineLevel="0" collapsed="false">
      <c r="A299" s="26" t="s">
        <v>1081</v>
      </c>
      <c r="B299" s="27" t="s">
        <v>1082</v>
      </c>
      <c r="C299" s="1" t="n">
        <v>3053</v>
      </c>
      <c r="E299" s="1" t="n">
        <v>363</v>
      </c>
      <c r="G299" s="1" t="str">
        <f aca="false">IF($F299&lt;&gt;"",_xlfn.CONCAT(VLOOKUP($CE299, Constants!$T:$U, 2, FALSE()),",",$F299),VLOOKUP($CE299, Constants!$T:$U, 2, FALSE()))</f>
        <v>role/express_passenger</v>
      </c>
      <c r="H299" s="1" t="str">
        <f aca="false">IF($G299&lt;&gt;"",_xlfn.CONCAT(VLOOKUP($CG299, Constants!$M:$P, 4, FALSE()),",",$G299),VLOOKUP($CG299, Constants!$M:$P, 4, FALSE()))</f>
        <v>flag/GB,role/express_passenger</v>
      </c>
      <c r="I299" s="26" t="s">
        <v>241</v>
      </c>
      <c r="J299" s="26" t="s">
        <v>466</v>
      </c>
      <c r="K299" s="26" t="s">
        <v>1068</v>
      </c>
      <c r="L299" s="26" t="s">
        <v>192</v>
      </c>
      <c r="M299" s="26" t="n">
        <v>1979</v>
      </c>
      <c r="N299" s="26" t="n">
        <v>1986</v>
      </c>
      <c r="O299" s="26" t="n">
        <v>1988</v>
      </c>
      <c r="P299" s="26" t="n">
        <v>2</v>
      </c>
      <c r="Q299" s="26" t="n">
        <v>10</v>
      </c>
      <c r="R299" s="2"/>
      <c r="S299" s="3"/>
      <c r="T299" s="3"/>
      <c r="U299" s="3"/>
      <c r="V299" s="3"/>
      <c r="W299" s="3"/>
      <c r="X299" s="3"/>
      <c r="Y299" s="3"/>
      <c r="Z299" s="26" t="n">
        <v>65.6</v>
      </c>
      <c r="AA299" s="2"/>
      <c r="AB299" s="26" t="n">
        <v>4</v>
      </c>
      <c r="AC299" s="26" t="n">
        <v>5</v>
      </c>
      <c r="AD299" s="4" t="n">
        <f aca="false">IF(AND(Z299&gt;0,AC299&gt;0),(AC299/((Z299+AA299)*10)),"")</f>
        <v>0.0076219512195122</v>
      </c>
      <c r="AE299" s="26" t="n">
        <v>155</v>
      </c>
      <c r="AF299" s="26" t="n">
        <f aca="false">ROUND(AE299*1.6, 0)</f>
        <v>248</v>
      </c>
      <c r="AH299" s="26" t="n">
        <v>20.9</v>
      </c>
      <c r="AI299" s="26" t="n">
        <v>20.9</v>
      </c>
      <c r="AJ299" s="26" t="n">
        <v>2.7</v>
      </c>
      <c r="AK299" s="26" t="n">
        <v>3.5</v>
      </c>
      <c r="AL299" s="5" t="n">
        <v>39</v>
      </c>
      <c r="AM299" s="1" t="str">
        <f aca="false">CONCATENATE(VLOOKUP(AN299, 'Voxel Sizes'!$A$2:$B$18,2,FALSE()),"x",INT(AJ299*15), "x", INT(AK299*15))</f>
        <v>198x40x52</v>
      </c>
      <c r="AN299" s="26" t="n">
        <f aca="false">ROUND(15*((AI299*10)/256),0)</f>
        <v>12</v>
      </c>
      <c r="AP299" s="1" t="str">
        <f aca="false">CONCATENATE(VLOOKUP(AN299,Constants!$A$2:$C$16,IF(AO299&lt;&gt;"", 3, 2), FALSE()),IF(AO299&lt;&gt;"",CONCATENATE(",",VLOOKUP(AO299,$B:$AP,41,FALSE())),""))</f>
        <v>4,4,4</v>
      </c>
      <c r="AR299" s="6"/>
      <c r="AS299" s="6"/>
      <c r="AT299" s="26" t="s">
        <v>1083</v>
      </c>
      <c r="AV299" s="26" t="s">
        <v>957</v>
      </c>
      <c r="AW299" s="26" t="s">
        <v>1070</v>
      </c>
      <c r="AZ299" s="26" t="n">
        <v>12</v>
      </c>
      <c r="BA299" s="16" t="n">
        <f aca="false">IF(O299&lt;&gt;"",MAX(16,(O299-M299)+8),"")</f>
        <v>17</v>
      </c>
      <c r="BB299" s="26" t="n">
        <v>-45</v>
      </c>
      <c r="BC299" s="26" t="n">
        <v>-65</v>
      </c>
      <c r="BD299" s="26" t="n">
        <f aca="false">MIN(AE299/150, 1)*30</f>
        <v>30</v>
      </c>
      <c r="BE299" s="26" t="n">
        <f aca="false">MIN(Q299/4000, 1)*20</f>
        <v>0.05</v>
      </c>
      <c r="BF299" s="26" t="n">
        <f aca="false">MIN(AC299/400,1)*20</f>
        <v>0.25</v>
      </c>
      <c r="BG299" s="4" t="n">
        <f aca="false">1-(MAX(M299-1900, 0)/750)</f>
        <v>0.894666666666667</v>
      </c>
      <c r="BH299" s="26" t="n">
        <f aca="false">((MAX($P299,1)*MIN($AL299/300,1)))*IF(J299="Wagon",50,10)</f>
        <v>2.6</v>
      </c>
      <c r="BI299" s="1" t="n">
        <f aca="false">VLOOKUP($K299,Constants!$I:$K, 2, FALSE())</f>
        <v>1</v>
      </c>
      <c r="BJ299" s="1" t="n">
        <f aca="false">VLOOKUP($K299,Constants!$I:$K, 3, FALSE())*IF(AND(J299="multiple_unit",AE299&lt;110),0.75,1)</f>
        <v>1</v>
      </c>
      <c r="BK299" s="1" t="n">
        <f aca="false">INT(POWER(((Constants!$G$2+$BD299+$BE299+$BF299+$BH299)*$BG299)*$BJ299, 1.05))+$BC299</f>
        <v>-25</v>
      </c>
      <c r="BL299" s="1" t="n">
        <f aca="false">INT(POWER((((Constants!$G$1+$BD299+$BE299+$BF299+$BH299)*($BG299))*$BI299),IF($J299="wagon",1,1.2)))+$BB299</f>
        <v>45</v>
      </c>
      <c r="BM299" s="17" t="n">
        <f aca="false">BK299*IF($J299="wagon",62.5,781.25)</f>
        <v>-19531.25</v>
      </c>
      <c r="BN299" s="17" t="n">
        <f aca="false">BL299*IF($J299="wagon",2.73,81.25)</f>
        <v>3656.25</v>
      </c>
      <c r="BS299" s="26" t="n">
        <v>1</v>
      </c>
      <c r="BT299" s="26" t="s">
        <v>1084</v>
      </c>
      <c r="BU299" s="1" t="str">
        <f aca="false">IF(J299="locomotive","B","")</f>
        <v/>
      </c>
      <c r="BV299" s="1" t="str">
        <f aca="false">IF(OR($J299="locomotive",$J299="wagon"),"B","")</f>
        <v/>
      </c>
      <c r="BY299" s="26" t="n">
        <v>8</v>
      </c>
      <c r="BZ299" s="26" t="n">
        <v>185</v>
      </c>
      <c r="CB299" s="26" t="s">
        <v>366</v>
      </c>
      <c r="CC299" s="26" t="s">
        <v>367</v>
      </c>
      <c r="CD299" s="26" t="str">
        <f aca="false">VLOOKUP(M299,[1]Eras!$A$2:$C$10, 2, TRUE())</f>
        <v>lbr</v>
      </c>
      <c r="CE299" s="26" t="s">
        <v>913</v>
      </c>
      <c r="CF299" s="26" t="str">
        <f aca="false">CONCATENATE(CD299,"_",CE299)</f>
        <v>lbr_EMU (Express)</v>
      </c>
      <c r="CG299" s="26" t="str">
        <f aca="false">_xlfn.CONCAT(K299, "_",L299)</f>
        <v>cab_RAIL</v>
      </c>
      <c r="CH299" s="7" t="str">
        <f aca="false">_xlfn.CONCAT("{BLACK}Length: {GOLD}", TEXT(ROUNDUP(IF(AS299&lt;&gt;"",SUM(VALUE(_xlfn.TEXTSPLIT(AS299, ","))), SUM(VALUE(_xlfn.TEXTSPLIT(AP299, ",")))*IF(P299, P299, 1))/16, 1), "#,##0.0"), " tiles{}")</f>
        <v>{BLACK}Length: {GOLD}1.5 tiles{}</v>
      </c>
      <c r="CI299" s="1" t="str">
        <f aca="false">IF(0, VLOOKUP($CG299, Constants!$M:$N, 2, FALSE()),"")</f>
        <v/>
      </c>
      <c r="CJ299" s="1" t="str">
        <f aca="false">IF(P299&gt;1,_xlfn.CONCAT("{BLACK}Cars: {GOLD}", P299),"")</f>
        <v>{BLACK}Cars: {GOLD}2</v>
      </c>
      <c r="CK299" s="26" t="s">
        <v>1085</v>
      </c>
      <c r="CL299" s="1" t="str">
        <f aca="false">IF($BX299="concept_trains","{GREEN}Concept Vehicle",IF($BX299="!param_no_gameplay_units","{GREEN}Included for gameplay purposes",""))</f>
        <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{GOLD}2{}{BLACK}Length: {GOLD}1.5 tiles{}{SILVER}A minimal 2-car half-rake of APT-P Vehicles. Lack of dining facilities makes this much less attractive for passengers. Pair with the Non-Driving power car and a reversed set for a complete unit.</v>
      </c>
      <c r="XFD299" s="1"/>
    </row>
    <row r="300" s="26" customFormat="true" ht="14.25" hidden="false" customHeight="false" outlineLevel="0" collapsed="false">
      <c r="A300" s="26" t="s">
        <v>1086</v>
      </c>
      <c r="B300" s="27" t="s">
        <v>1087</v>
      </c>
      <c r="C300" s="1" t="n">
        <v>3054</v>
      </c>
      <c r="D300" s="26" t="n">
        <v>3053</v>
      </c>
      <c r="E300" s="1" t="n">
        <v>364</v>
      </c>
      <c r="G300" s="1" t="str">
        <f aca="false">IF($F300&lt;&gt;"",_xlfn.CONCAT(VLOOKUP($CE300, Constants!$T:$U, 2, FALSE()),",",$F300),VLOOKUP($CE300, Constants!$T:$U, 2, FALSE()))</f>
        <v>role/express_passenger</v>
      </c>
      <c r="H300" s="1" t="str">
        <f aca="false">IF($G300&lt;&gt;"",_xlfn.CONCAT(VLOOKUP($CG300, Constants!$M:$P, 4, FALSE()),",",$G300),VLOOKUP($CG300, Constants!$M:$P, 4, FALSE()))</f>
        <v>flag/GB,role/express_passenger</v>
      </c>
      <c r="I300" s="26" t="s">
        <v>241</v>
      </c>
      <c r="J300" s="26" t="s">
        <v>1075</v>
      </c>
      <c r="K300" s="26" t="s">
        <v>1068</v>
      </c>
      <c r="L300" s="26" t="s">
        <v>192</v>
      </c>
      <c r="M300" s="26" t="n">
        <v>1979</v>
      </c>
      <c r="N300" s="26" t="n">
        <v>1986</v>
      </c>
      <c r="O300" s="26" t="n">
        <v>1988</v>
      </c>
      <c r="P300" s="26" t="n">
        <v>2</v>
      </c>
      <c r="Q300" s="26" t="n">
        <v>10</v>
      </c>
      <c r="R300" s="2"/>
      <c r="S300" s="3"/>
      <c r="T300" s="3"/>
      <c r="U300" s="3"/>
      <c r="V300" s="3"/>
      <c r="W300" s="3"/>
      <c r="X300" s="3"/>
      <c r="Y300" s="3"/>
      <c r="Z300" s="26" t="n">
        <v>65.6</v>
      </c>
      <c r="AA300" s="2"/>
      <c r="AB300" s="26" t="n">
        <v>4</v>
      </c>
      <c r="AC300" s="26" t="n">
        <v>5</v>
      </c>
      <c r="AD300" s="4" t="n">
        <f aca="false">IF(AND(Z300&gt;0,AC300&gt;0),(AC300/((Z300+AA300)*10)),"")</f>
        <v>0.0076219512195122</v>
      </c>
      <c r="AE300" s="26" t="n">
        <v>155</v>
      </c>
      <c r="AF300" s="26" t="n">
        <f aca="false">ROUND(AE300*1.6, 0)</f>
        <v>248</v>
      </c>
      <c r="AH300" s="26" t="n">
        <v>20.9</v>
      </c>
      <c r="AI300" s="26" t="n">
        <v>20.9</v>
      </c>
      <c r="AJ300" s="26" t="n">
        <v>2.7</v>
      </c>
      <c r="AK300" s="26" t="n">
        <v>3.5</v>
      </c>
      <c r="AL300" s="5" t="n">
        <v>39</v>
      </c>
      <c r="AM300" s="1" t="str">
        <f aca="false">CONCATENATE(VLOOKUP(AN300, 'Voxel Sizes'!$A$2:$B$18,2,FALSE()),"x",INT(AJ300*15), "x", INT(AK300*15))</f>
        <v>198x40x52</v>
      </c>
      <c r="AN300" s="26" t="n">
        <f aca="false">ROUND(15*((AI300*10)/256),0)</f>
        <v>12</v>
      </c>
      <c r="AP300" s="1" t="str">
        <f aca="false">CONCATENATE(VLOOKUP(AN300,Constants!$A$2:$C$16,IF(AO300&lt;&gt;"", 3, 2), FALSE()),IF(AO300&lt;&gt;"",CONCATENATE(",",VLOOKUP(AO300,$B:$AP,41,FALSE())),""))</f>
        <v>4,4,4</v>
      </c>
      <c r="AR300" s="6"/>
      <c r="AS300" s="6"/>
      <c r="AT300" s="26" t="s">
        <v>1088</v>
      </c>
      <c r="AV300" s="26" t="s">
        <v>957</v>
      </c>
      <c r="AW300" s="26" t="s">
        <v>1078</v>
      </c>
      <c r="AZ300" s="26" t="n">
        <v>12</v>
      </c>
      <c r="BA300" s="16" t="n">
        <f aca="false">IF(O300&lt;&gt;"",MAX(16,(O300-M300)+8),"")</f>
        <v>17</v>
      </c>
      <c r="BB300" s="26" t="n">
        <v>-60</v>
      </c>
      <c r="BC300" s="26" t="n">
        <v>-65</v>
      </c>
      <c r="BD300" s="26" t="n">
        <f aca="false">MIN(AE300/150, 1)*30</f>
        <v>30</v>
      </c>
      <c r="BE300" s="26" t="n">
        <f aca="false">MIN(Q300/4000, 1)*20</f>
        <v>0.05</v>
      </c>
      <c r="BF300" s="26" t="n">
        <f aca="false">MIN(AC300/400,1)*20</f>
        <v>0.25</v>
      </c>
      <c r="BG300" s="4" t="n">
        <f aca="false">1-(MAX(M300-1900, 0)/750)</f>
        <v>0.894666666666667</v>
      </c>
      <c r="BH300" s="26" t="n">
        <f aca="false">((MAX($P300,1)*MIN($AL300/300,1)))*IF(J300="Wagon",50,10)</f>
        <v>2.6</v>
      </c>
      <c r="BI300" s="1" t="n">
        <f aca="false">VLOOKUP($K300,Constants!$I:$K, 2, FALSE())</f>
        <v>1</v>
      </c>
      <c r="BJ300" s="1" t="n">
        <f aca="false">VLOOKUP($K300,Constants!$I:$K, 3, FALSE())*IF(AND(J300="multiple_unit",AE300&lt;110),0.75,1)</f>
        <v>1</v>
      </c>
      <c r="BK300" s="1" t="n">
        <f aca="false">INT(POWER(((Constants!$G$2+$BD300+$BE300+$BF300+$BH300)*$BG300)*$BJ300, 1.05))+$BC300</f>
        <v>-25</v>
      </c>
      <c r="BL300" s="1" t="n">
        <f aca="false">INT(POWER((((Constants!$G$1+$BD300+$BE300+$BF300+$BH300)*($BG300))*$BI300),IF($J300="wagon",1,1.2)))+$BB300</f>
        <v>30</v>
      </c>
      <c r="BM300" s="17" t="n">
        <f aca="false">BK300*IF($J300="wagon",62.5,781.25)</f>
        <v>-19531.25</v>
      </c>
      <c r="BN300" s="17" t="n">
        <f aca="false">BL300*IF($J300="wagon",2.73,81.25)</f>
        <v>2437.5</v>
      </c>
      <c r="BR300" s="26" t="n">
        <v>1</v>
      </c>
      <c r="BS300" s="26" t="n">
        <v>1</v>
      </c>
      <c r="BT300" s="26" t="s">
        <v>1089</v>
      </c>
      <c r="BU300" s="1" t="str">
        <f aca="false">IF(J300="locomotive","B","")</f>
        <v/>
      </c>
      <c r="BV300" s="1" t="str">
        <f aca="false">IF(OR($J300="locomotive",$J300="wagon"),"B","")</f>
        <v/>
      </c>
      <c r="BY300" s="26" t="n">
        <v>8</v>
      </c>
      <c r="BZ300" s="26" t="n">
        <v>185</v>
      </c>
      <c r="CB300" s="26" t="s">
        <v>366</v>
      </c>
      <c r="CC300" s="26" t="s">
        <v>367</v>
      </c>
      <c r="CD300" s="26" t="str">
        <f aca="false">VLOOKUP(M300,[1]Eras!$A$2:$C$10, 2, TRUE())</f>
        <v>lbr</v>
      </c>
      <c r="CE300" s="26" t="s">
        <v>913</v>
      </c>
      <c r="CF300" s="26" t="str">
        <f aca="false">CONCATENATE(CD300,"_",CE300)</f>
        <v>lbr_EMU (Express)</v>
      </c>
      <c r="CG300" s="26" t="str">
        <f aca="false">_xlfn.CONCAT(K300, "_",L300)</f>
        <v>cab_RAIL</v>
      </c>
      <c r="CH300" s="7" t="str">
        <f aca="false">_xlfn.CONCAT("{BLACK}Length: {GOLD}", TEXT(ROUNDUP(IF(AS300&lt;&gt;"",SUM(VALUE(_xlfn.TEXTSPLIT(AS300, ","))), SUM(VALUE(_xlfn.TEXTSPLIT(AP300, ",")))*IF(P300, P300, 1))/16, 1), "#,##0.0"), " tiles{}")</f>
        <v>{BLACK}Length: {GOLD}1.5 tiles{}</v>
      </c>
      <c r="CI300" s="1" t="str">
        <f aca="false">IF(0, VLOOKUP($CG300, Constants!$M:$N, 2, FALSE()),"")</f>
        <v/>
      </c>
      <c r="CJ300" s="1" t="str">
        <f aca="false">IF(P300&gt;1,_xlfn.CONCAT("{BLACK}Cars: {GOLD}", P300),"")</f>
        <v>{BLACK}Cars: {GOLD}2</v>
      </c>
      <c r="CK300" s="26" t="s">
        <v>1090</v>
      </c>
      <c r="CL300" s="1" t="str">
        <f aca="false">IF($BX300="concept_trains","{GREEN}Concept Vehicle",IF($BX300="!param_no_gameplay_units","{GREEN}Included for gameplay purposes",""))</f>
        <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{GOLD}2{}{BLACK}Length: {GOLD}1.5 tiles{}{SILVER}A minimal 2-car half-rake of APT-P Vehicles. Lack of dining facilities makes this much less attractive for passengers. This is the rear half of a formation.</v>
      </c>
      <c r="XFD300" s="1"/>
    </row>
    <row r="301" s="26" customFormat="true" ht="14.25" hidden="false" customHeight="false" outlineLevel="0" collapsed="false">
      <c r="A301" s="26" t="s">
        <v>1091</v>
      </c>
      <c r="B301" s="27" t="s">
        <v>1092</v>
      </c>
      <c r="C301" s="1" t="n">
        <v>3055</v>
      </c>
      <c r="D301" s="26" t="n">
        <v>3053</v>
      </c>
      <c r="E301" s="1" t="n">
        <v>365</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6" t="s">
        <v>241</v>
      </c>
      <c r="J301" s="26" t="s">
        <v>249</v>
      </c>
      <c r="K301" s="26" t="s">
        <v>388</v>
      </c>
      <c r="L301" s="26" t="s">
        <v>389</v>
      </c>
      <c r="M301" s="26" t="n">
        <v>1979</v>
      </c>
      <c r="N301" s="26" t="n">
        <v>1986</v>
      </c>
      <c r="O301" s="26" t="n">
        <v>1988</v>
      </c>
      <c r="Q301" s="26" t="n">
        <v>4000</v>
      </c>
      <c r="R301" s="2"/>
      <c r="S301" s="3"/>
      <c r="T301" s="3"/>
      <c r="U301" s="3"/>
      <c r="V301" s="3"/>
      <c r="W301" s="3"/>
      <c r="X301" s="3"/>
      <c r="Y301" s="3"/>
      <c r="Z301" s="26" t="n">
        <v>67.5</v>
      </c>
      <c r="AA301" s="2"/>
      <c r="AB301" s="26" t="n">
        <v>4</v>
      </c>
      <c r="AC301" s="26" t="n">
        <v>210</v>
      </c>
      <c r="AD301" s="4" t="n">
        <f aca="false">IF(AND(Z301&gt;0,AC301&gt;0),(AC301/((Z301+AA301)*10)),"")</f>
        <v>0.311111111111111</v>
      </c>
      <c r="AE301" s="26" t="n">
        <v>155</v>
      </c>
      <c r="AF301" s="26" t="n">
        <f aca="false">ROUND(AE301*1.6, 0)</f>
        <v>248</v>
      </c>
      <c r="AH301" s="26" t="n">
        <v>20.9</v>
      </c>
      <c r="AI301" s="26" t="n">
        <v>20.9</v>
      </c>
      <c r="AJ301" s="26" t="n">
        <v>2.7</v>
      </c>
      <c r="AK301" s="26" t="n">
        <v>3.5</v>
      </c>
      <c r="AL301" s="5" t="n">
        <v>0</v>
      </c>
      <c r="AM301" s="1" t="str">
        <f aca="false">CONCATENATE(VLOOKUP(AN301, 'Voxel Sizes'!$A$2:$B$18,2,FALSE()),"x",INT(AJ301*15), "x", INT(AK301*15))</f>
        <v>198x40x52</v>
      </c>
      <c r="AN301" s="26" t="n">
        <f aca="false">ROUND(15*((AI301*10)/256),0)</f>
        <v>12</v>
      </c>
      <c r="AP301" s="1" t="str">
        <f aca="false">CONCATENATE(VLOOKUP(AN301,Constants!$A$2:$C$16,IF(AO301&lt;&gt;"", 3, 2), FALSE()),IF(AO301&lt;&gt;"",CONCATENATE(",",VLOOKUP(AO301,$B:$AP,41,FALSE())),""))</f>
        <v>4,4,4</v>
      </c>
      <c r="AR301" s="6"/>
      <c r="AS301" s="6"/>
      <c r="AZ301" s="26" t="n">
        <v>12</v>
      </c>
      <c r="BA301" s="16" t="n">
        <f aca="false">IF(O301&lt;&gt;"",MAX(16,(O301-M301)+8),"")</f>
        <v>17</v>
      </c>
      <c r="BB301" s="26" t="n">
        <v>25</v>
      </c>
      <c r="BC301" s="26" t="n">
        <v>-90</v>
      </c>
      <c r="BD301" s="26" t="n">
        <f aca="false">MIN(AE301/150, 1)*30</f>
        <v>30</v>
      </c>
      <c r="BE301" s="26" t="n">
        <f aca="false">MIN(Q301/4000, 1)*20</f>
        <v>20</v>
      </c>
      <c r="BF301" s="26" t="n">
        <f aca="false">MIN(AC301/400,1)*20</f>
        <v>10.5</v>
      </c>
      <c r="BG301" s="4" t="n">
        <f aca="false">1-(MAX(M301-1900, 0)/750)</f>
        <v>0.894666666666667</v>
      </c>
      <c r="BH301" s="26" t="n">
        <f aca="false">((MAX($P301,1)*MIN($AL301/300,1)))*IF(J301="Wagon",50,10)</f>
        <v>0</v>
      </c>
      <c r="BI301" s="1" t="n">
        <f aca="false">VLOOKUP($K301,Constants!$I:$K, 2, FALSE())</f>
        <v>0.85</v>
      </c>
      <c r="BJ301" s="1" t="n">
        <f aca="false">VLOOKUP($K301,Constants!$I:$K, 3, FALSE())*IF(AND(J301="multiple_unit",AE301&lt;110),0.75,1)</f>
        <v>2.3</v>
      </c>
      <c r="BK301" s="1" t="n">
        <f aca="false">INT(POWER(((Constants!$G$2+$BD301+$BE301+$BF301+$BH301)*$BG301)*$BJ301, 1.05))+$BC301</f>
        <v>82</v>
      </c>
      <c r="BL301" s="1" t="n">
        <f aca="false">INT(POWER((((Constants!$G$1+$BD301+$BE301+$BF301+$BH301)*($BG301))*$BI301),IF($J301="wagon",1,1.2)))+$BB301</f>
        <v>154</v>
      </c>
      <c r="BM301" s="17" t="n">
        <f aca="false">BK301*IF($J301="wagon",62.5,781.25)</f>
        <v>64062.5</v>
      </c>
      <c r="BN301" s="17" t="n">
        <f aca="false">BL301*IF($J301="wagon",2.73,81.25)</f>
        <v>12512.5</v>
      </c>
      <c r="BO301" s="26" t="n">
        <v>2</v>
      </c>
      <c r="BR301" s="26" t="n">
        <v>1</v>
      </c>
      <c r="BS301" s="26" t="n">
        <v>1</v>
      </c>
      <c r="BT301" s="26" t="s">
        <v>1093</v>
      </c>
      <c r="BU301" s="1" t="str">
        <f aca="false">IF(J301="locomotive","B","")</f>
        <v>B</v>
      </c>
      <c r="BV301" s="1" t="str">
        <f aca="false">IF(OR($J301="locomotive",$J301="wagon"),"B","")</f>
        <v>B</v>
      </c>
      <c r="BY301" s="26" t="n">
        <v>8</v>
      </c>
      <c r="CD301" s="26" t="str">
        <f aca="false">VLOOKUP(M301,[1]Eras!$A$2:$C$10, 2, TRUE())</f>
        <v>lbr</v>
      </c>
      <c r="CE301" s="26" t="s">
        <v>913</v>
      </c>
      <c r="CF301" s="26" t="str">
        <f aca="false">CONCATENATE(CD301,"_",CE301)</f>
        <v>lbr_EMU (Express)</v>
      </c>
      <c r="CG301" s="26" t="str">
        <f aca="false">_xlfn.CONCAT(K301, "_",L301)</f>
        <v>electric_ELRL</v>
      </c>
      <c r="CH301" s="7" t="str">
        <f aca="false">_xlfn.CONCAT("{BLACK}Length: {GOLD}", TEXT(ROUNDUP(IF(AS301&lt;&gt;"",SUM(VALUE(_xlfn.TEXTSPLIT(AS301, ","))), SUM(VALUE(_xlfn.TEXTSPLIT(AP301, ",")))*IF(P301, P301, 1))/16, 1), "#,##0.0"), " tiles{}")</f>
        <v>{BLACK}Length: {GOLD}0.8 tiles{}</v>
      </c>
      <c r="CI301" s="1" t="str">
        <f aca="false">IF(0, VLOOKUP($CG301, Constants!$M:$N, 2, FALSE()),"")</f>
        <v/>
      </c>
      <c r="CJ301" s="1" t="str">
        <f aca="false">IF(P301&gt;1,_xlfn.CONCAT("{BLACK}Cars: {GOLD}", P301),"")</f>
        <v/>
      </c>
      <c r="CK301" s="26" t="s">
        <v>1094</v>
      </c>
      <c r="CL301" s="1" t="str">
        <f aca="false">IF($BX301="concept_trains","{GREEN}Concept Vehicle",IF($BX301="!param_no_gameplay_units","{GREEN}Included for gameplay purposes",""))</f>
        <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{BLACK}Length: {GOLD}0.8 tiles{}{SILVER}An APT-P centre power car</v>
      </c>
      <c r="XFD301" s="1"/>
    </row>
    <row r="302" customFormat="false" ht="14.25" hidden="false" customHeight="false" outlineLevel="0" collapsed="false">
      <c r="A302" s="1" t="s">
        <v>1095</v>
      </c>
      <c r="B302" s="15" t="s">
        <v>1096</v>
      </c>
      <c r="C302" s="1" t="n">
        <v>239</v>
      </c>
      <c r="E302" s="1" t="n">
        <v>366</v>
      </c>
      <c r="F302" s="1" t="s">
        <v>189</v>
      </c>
      <c r="G302" s="1" t="str">
        <f aca="false">IF($F302&lt;&gt;"",_xlfn.CONCAT(VLOOKUP($CE302, Constants!$T:$U, 2, FALSE()),",",$F302),VLOOKUP($CE302, Constants!$T:$U, 2, FALSE()))</f>
        <v>role/passenger,_ww_livery/overground</v>
      </c>
      <c r="H302" s="1" t="str">
        <f aca="false">IF($G302&lt;&gt;"",_xlfn.CONCAT(VLOOKUP($CG302, Constants!$M:$P, 4, FALSE()),",",$G302),VLOOKUP($CG302, Constants!$M:$P, 4, FALSE()))</f>
        <v>flag/GB,power/electric,role/passenger,_ww_livery/overground</v>
      </c>
      <c r="I302" s="1" t="s">
        <v>241</v>
      </c>
      <c r="J302" s="1" t="s">
        <v>466</v>
      </c>
      <c r="K302" s="1" t="s">
        <v>388</v>
      </c>
      <c r="L302" s="1" t="s">
        <v>389</v>
      </c>
      <c r="M302" s="1" t="n">
        <v>1980</v>
      </c>
      <c r="N302" s="1" t="n">
        <v>1981</v>
      </c>
      <c r="P302" s="1" t="n">
        <v>4</v>
      </c>
      <c r="Q302" s="1" t="n">
        <v>880</v>
      </c>
      <c r="Z302" s="1" t="n">
        <v>127.5</v>
      </c>
      <c r="AB302" s="1" t="n">
        <v>5</v>
      </c>
      <c r="AC302" s="1" t="n">
        <v>140</v>
      </c>
      <c r="AD302" s="4" t="n">
        <f aca="false">IF(AND(Z302&gt;0,AC302&gt;0),(AC302/((Z302+AA302)*10)),"")</f>
        <v>0.109803921568627</v>
      </c>
      <c r="AE302" s="1" t="n">
        <v>75</v>
      </c>
      <c r="AF302" s="1" t="n">
        <f aca="false">ROUND(AE302*1.6, 0)</f>
        <v>120</v>
      </c>
      <c r="AH302" s="1" t="n">
        <v>19.8</v>
      </c>
      <c r="AI302" s="1" t="n">
        <v>19.8</v>
      </c>
      <c r="AK302" s="1" t="n">
        <v>3.58</v>
      </c>
      <c r="AL302" s="5" t="n">
        <v>78</v>
      </c>
      <c r="AM302" s="1" t="str">
        <f aca="false">CONCATENATE(VLOOKUP(AN302, 'Voxel Sizes'!$A$2:$B$18,2,FALSE()),"x",INT(AJ302*15), "x", INT(AK302*15))</f>
        <v>198x0x53</v>
      </c>
      <c r="AN302" s="1" t="n">
        <f aca="false">ROUND(15*((AI302*10)/256),0)</f>
        <v>12</v>
      </c>
      <c r="AP302" s="1" t="str">
        <f aca="false">CONCATENATE(VLOOKUP(AN302,Constants!$A$2:$C$16,IF(AO302&lt;&gt;"", 3, 2), FALSE()),IF(AO302&lt;&gt;"",CONCATENATE(",",VLOOKUP(AO302,$B:$AP,41,FALSE())),""))</f>
        <v>4,4,4</v>
      </c>
      <c r="AT302" s="1" t="s">
        <v>1097</v>
      </c>
      <c r="AV302" s="1" t="s">
        <v>966</v>
      </c>
      <c r="AZ302" s="1" t="n">
        <v>35</v>
      </c>
      <c r="BA302" s="16" t="str">
        <f aca="false">IF(O302&lt;&gt;"",MAX(16,(O302-M302)+8),"")</f>
        <v/>
      </c>
      <c r="BB302" s="1" t="n">
        <v>-10</v>
      </c>
      <c r="BC302" s="1" t="n">
        <v>-20</v>
      </c>
      <c r="BD302" s="1" t="n">
        <f aca="false">MIN(AE302/150, 1)*30</f>
        <v>15</v>
      </c>
      <c r="BE302" s="1" t="n">
        <f aca="false">MIN(Q302/4000, 1)*20</f>
        <v>4.4</v>
      </c>
      <c r="BF302" s="1" t="n">
        <f aca="false">MIN(AC302/400,1)*20</f>
        <v>7</v>
      </c>
      <c r="BG302" s="4" t="n">
        <f aca="false">1-(MAX(M302-1900, 0)/750)</f>
        <v>0.893333333333333</v>
      </c>
      <c r="BH302" s="1" t="n">
        <f aca="false">((MAX($P302,1)*MIN($AL302/300,1)))*IF(J302="Wagon",50,10)</f>
        <v>10.4</v>
      </c>
      <c r="BI302" s="1" t="n">
        <f aca="false">VLOOKUP($K302,Constants!$I:$K, 2, FALSE())</f>
        <v>0.85</v>
      </c>
      <c r="BJ302" s="1" t="n">
        <f aca="false">VLOOKUP($K302,Constants!$I:$K, 3, FALSE())*IF(AND(J302="multiple_unit",AE302&lt;110),0.75,1)</f>
        <v>1.725</v>
      </c>
      <c r="BK302" s="1" t="n">
        <f aca="false">INT(POWER(((Constants!$G$2+$BD302+$BE302+$BF302+$BH302)*$BG302)*$BJ302, 1.05))+$BC302</f>
        <v>59</v>
      </c>
      <c r="BL302" s="1" t="n">
        <f aca="false">INT(POWER((((Constants!$G$1+$BD302+$BE302+$BF302+$BH302)*($BG302))*$BI302),IF($J302="wagon",1,1.2)))+$BB302</f>
        <v>71</v>
      </c>
      <c r="BM302" s="17" t="n">
        <f aca="false">BK302*IF($J302="wagon",62.5,781.25)</f>
        <v>46093.75</v>
      </c>
      <c r="BN302" s="17" t="n">
        <f aca="false">BL302*IF($J302="wagon",2.73,81.25)</f>
        <v>5768.75</v>
      </c>
      <c r="BU302" s="1" t="str">
        <f aca="false">IF(J302="locomotive","B","")</f>
        <v/>
      </c>
      <c r="BV302" s="1" t="str">
        <f aca="false">IF(OR($J302="locomotive",$J302="wagon"),"B","")</f>
        <v/>
      </c>
      <c r="BY302" s="1" t="n">
        <v>11</v>
      </c>
      <c r="BZ302" s="1" t="n">
        <v>185</v>
      </c>
      <c r="CC302" s="1" t="s">
        <v>367</v>
      </c>
      <c r="CD302" s="1" t="str">
        <f aca="false">VLOOKUP(M302,Eras!$A$2:$C$10, 2, TRUE())</f>
        <v>lbr</v>
      </c>
      <c r="CE302" s="1" t="s">
        <v>858</v>
      </c>
      <c r="CF302" s="1" t="str">
        <f aca="false">CONCATENATE(CD302,"_",CE302)</f>
        <v>lbr_EMU</v>
      </c>
      <c r="CG302" s="1" t="str">
        <f aca="false">_xlfn.CONCAT(K302, "_",L302)</f>
        <v>electric_ELRL</v>
      </c>
      <c r="CH302" s="7" t="str">
        <f aca="false">_xlfn.CONCAT("{BLACK}Length: {GOLD}", TEXT(ROUNDUP(IF(AS302&lt;&gt;"",SUM(VALUE(_xlfn.TEXTSPLIT(AS302, ","))), SUM(VALUE(_xlfn.TEXTSPLIT(AP302, ",")))*IF(P302, P302, 1))/16, 1), "#,##0.0"), " tiles{}")</f>
        <v>{BLACK}Length: {GOLD}3.0 tiles{}</v>
      </c>
      <c r="CI302" s="1" t="str">
        <f aca="false">IF(0, VLOOKUP($CG302, Constants!$M:$N, 2, FALSE()),"")</f>
        <v/>
      </c>
      <c r="CJ302" s="1" t="str">
        <f aca="false">IF(P302&gt;1,_xlfn.CONCAT("{BLACK}Cars: {GOLD}", P302),"")</f>
        <v>{BLACK}Cars: {GOLD}4</v>
      </c>
      <c r="CK302" s="1" t="s">
        <v>1098</v>
      </c>
      <c r="CL302" s="1" t="str">
        <f aca="false">IF($BX302="concept_trains","{GREEN}Concept Vehicle",IF($BX302="!param_no_gameplay_units","{GREEN}Included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{GOLD}4{}{BLACK}Length: {GOLD}3.0 tiles{}{SILVER}The Class 315 is the last class of the 1972 standard EMU design, running on 25kV overhead AC power and used for inner suburban services.</v>
      </c>
    </row>
    <row r="303" s="26" customFormat="true" ht="14.25" hidden="false" customHeight="false" outlineLevel="0" collapsed="false">
      <c r="A303" s="26" t="s">
        <v>1099</v>
      </c>
      <c r="B303" s="27" t="s">
        <v>1100</v>
      </c>
      <c r="C303" s="1" t="n">
        <v>3026</v>
      </c>
      <c r="E303" s="1" t="n">
        <v>367</v>
      </c>
      <c r="F303" s="1" t="s">
        <v>174</v>
      </c>
      <c r="G303" s="1" t="str">
        <f aca="false">IF($F303&lt;&gt;"",_xlfn.CONCAT(VLOOKUP($CE303, Constants!$T:$U, 2, FALSE()),",",$F303),VLOOKUP($CE303, Constants!$T:$U, 2, FALSE()))</f>
        <v>role/passenger,_ww_livery/brbluegrey</v>
      </c>
      <c r="H303" s="1" t="str">
        <f aca="false">IF($G303&lt;&gt;"",_xlfn.CONCAT(VLOOKUP($CG303, Constants!$M:$P, 4, FALSE()),",",$G303),VLOOKUP($CG303, Constants!$M:$P, 4, FALSE()))</f>
        <v>flag/GB,power/diesel,role/passenger,_ww_livery/brbluegrey</v>
      </c>
      <c r="I303" s="26" t="s">
        <v>241</v>
      </c>
      <c r="J303" s="26" t="s">
        <v>466</v>
      </c>
      <c r="K303" s="26" t="s">
        <v>525</v>
      </c>
      <c r="L303" s="26" t="s">
        <v>192</v>
      </c>
      <c r="M303" s="26" t="n">
        <v>1982</v>
      </c>
      <c r="N303" s="26" t="n">
        <v>2002</v>
      </c>
      <c r="O303" s="26" t="n">
        <v>2006</v>
      </c>
      <c r="P303" s="26" t="n">
        <v>4</v>
      </c>
      <c r="Q303" s="26" t="n">
        <v>1000</v>
      </c>
      <c r="R303" s="2"/>
      <c r="S303" s="3"/>
      <c r="T303" s="3"/>
      <c r="U303" s="3"/>
      <c r="V303" s="3"/>
      <c r="W303" s="3"/>
      <c r="X303" s="3"/>
      <c r="Y303" s="3"/>
      <c r="Z303" s="26" t="n">
        <v>144</v>
      </c>
      <c r="AA303" s="2"/>
      <c r="AB303" s="26" t="n">
        <v>5</v>
      </c>
      <c r="AC303" s="26" t="n">
        <v>92</v>
      </c>
      <c r="AD303" s="4" t="n">
        <f aca="false">IF(AND(Z303&gt;0,AC303&gt;0),(AC303/((Z303+AA303)*10)),"")</f>
        <v>0.0638888888888889</v>
      </c>
      <c r="AE303" s="26" t="n">
        <v>90</v>
      </c>
      <c r="AF303" s="26" t="n">
        <f aca="false">ROUND(AE303*1.6, 0)</f>
        <v>144</v>
      </c>
      <c r="AH303" s="26" t="n">
        <v>19.8</v>
      </c>
      <c r="AI303" s="26" t="n">
        <v>20</v>
      </c>
      <c r="AJ303" s="26" t="n">
        <v>2.5</v>
      </c>
      <c r="AK303" s="26" t="n">
        <v>3.77</v>
      </c>
      <c r="AL303" s="5" t="n">
        <v>64</v>
      </c>
      <c r="AM303" s="1" t="str">
        <f aca="false">CONCATENATE(VLOOKUP(AN303, 'Voxel Sizes'!$A$2:$B$18,2,FALSE()),"x",INT(AJ303*15), "x", INT(AK303*15))</f>
        <v>198x37x56</v>
      </c>
      <c r="AN303" s="26" t="n">
        <f aca="false">ROUND(15*((AI303*10)/256),0)</f>
        <v>12</v>
      </c>
      <c r="AP303" s="1" t="str">
        <f aca="false">CONCATENATE(VLOOKUP(AN303,Constants!$A$2:$C$16,IF(AO303&lt;&gt;"", 3, 2), FALSE()),IF(AO303&lt;&gt;"",CONCATENATE(",",VLOOKUP(AO303,$B:$AP,41,FALSE())),""))</f>
        <v>4,4,4</v>
      </c>
      <c r="AQ303" s="26" t="n">
        <v>1</v>
      </c>
      <c r="AR303" s="6"/>
      <c r="AS303" s="6"/>
      <c r="AT303" s="26" t="s">
        <v>1101</v>
      </c>
      <c r="AV303" s="26" t="s">
        <v>966</v>
      </c>
      <c r="AW303" s="26" t="s">
        <v>1102</v>
      </c>
      <c r="AZ303" s="26" t="n">
        <v>45</v>
      </c>
      <c r="BA303" s="16" t="n">
        <f aca="false">IF(O303&lt;&gt;"",MAX(16,(O303-M303)+8),"")</f>
        <v>32</v>
      </c>
      <c r="BB303" s="26" t="n">
        <v>10</v>
      </c>
      <c r="BD303" s="26" t="n">
        <f aca="false">MIN(AE303/150, 1)*30</f>
        <v>18</v>
      </c>
      <c r="BE303" s="26" t="n">
        <f aca="false">MIN(Q303/4000, 1)*20</f>
        <v>5</v>
      </c>
      <c r="BF303" s="26" t="n">
        <f aca="false">MIN(AC303/400,1)*20</f>
        <v>4.6</v>
      </c>
      <c r="BG303" s="4" t="n">
        <f aca="false">1-(MAX(M303-1900, 0)/750)</f>
        <v>0.890666666666667</v>
      </c>
      <c r="BH303" s="26" t="n">
        <f aca="false">((MAX($P303,1)*MIN($AL303/300,1)))*IF(J303="Wagon",50,10)</f>
        <v>8.53333333333333</v>
      </c>
      <c r="BI303" s="1" t="n">
        <f aca="false">VLOOKUP($K303,Constants!$I:$K, 2, FALSE())</f>
        <v>1</v>
      </c>
      <c r="BJ303" s="1" t="n">
        <f aca="false">VLOOKUP($K303,Constants!$I:$K, 3, FALSE())*IF(AND(J303="multiple_unit",AE303&lt;110),0.75,1)</f>
        <v>1.5</v>
      </c>
      <c r="BK303" s="1" t="n">
        <f aca="false">INT(POWER(((Constants!$G$2+$BD303+$BE303+$BF303+$BH303)*$BG303)*$BJ303, 1.05))+$BC303</f>
        <v>67</v>
      </c>
      <c r="BL303" s="1" t="n">
        <f aca="false">INT(POWER((((Constants!$G$1+$BD303+$BE303+$BF303+$BH303)*($BG303))*$BI303),IF($J303="wagon",1,1.2)))+$BB303</f>
        <v>107</v>
      </c>
      <c r="BM303" s="17" t="n">
        <f aca="false">BK303*IF($J303="wagon",62.5,781.25)</f>
        <v>52343.75</v>
      </c>
      <c r="BN303" s="17" t="n">
        <f aca="false">BL303*IF($J303="wagon",2.73,81.25)</f>
        <v>8693.75</v>
      </c>
      <c r="BT303" s="26" t="s">
        <v>1103</v>
      </c>
      <c r="BU303" s="1" t="str">
        <f aca="false">IF(J303="locomotive","B","")</f>
        <v/>
      </c>
      <c r="BV303" s="1" t="str">
        <f aca="false">IF(OR($J303="locomotive",$J303="wagon"),"B","")</f>
        <v/>
      </c>
      <c r="BY303" s="26" t="n">
        <v>2</v>
      </c>
      <c r="CC303" s="26" t="s">
        <v>367</v>
      </c>
      <c r="CD303" s="26" t="str">
        <f aca="false">VLOOKUP(M303,[1]Eras!$A$2:$C$10, 2, TRUE())</f>
        <v>lbr</v>
      </c>
      <c r="CE303" s="26" t="s">
        <v>824</v>
      </c>
      <c r="CF303" s="26" t="str">
        <f aca="false">CONCATENATE(CD303,"_",CE303)</f>
        <v>lbr_DMU</v>
      </c>
      <c r="CG303" s="26" t="str">
        <f aca="false">_xlfn.CONCAT(K303, "_",L303)</f>
        <v>diesel_RAIL</v>
      </c>
      <c r="CH303" s="7" t="str">
        <f aca="false">_xlfn.CONCAT("{BLACK}Length: {GOLD}", TEXT(ROUNDUP(IF(AS303&lt;&gt;"",SUM(VALUE(_xlfn.TEXTSPLIT(AS303, ","))), SUM(VALUE(_xlfn.TEXTSPLIT(AP303, ",")))*IF(P303, P303, 1))/16, 1), "#,##0.0"), " tiles{}")</f>
        <v>{BLACK}Length: {GOLD}3.0 tiles{}</v>
      </c>
      <c r="CI303" s="1" t="str">
        <f aca="false">IF(0, VLOOKUP($CG303, Constants!$M:$N, 2, FALSE()),"")</f>
        <v/>
      </c>
      <c r="CJ303" s="1" t="str">
        <f aca="false">IF(P303&gt;1,_xlfn.CONCAT("{BLACK}Cars: {GOLD}", P303),"")</f>
        <v>{BLACK}Cars: {GOLD}4</v>
      </c>
      <c r="CK303" s="26" t="s">
        <v>1104</v>
      </c>
      <c r="CL303" s="1" t="str">
        <f aca="false">IF($BX303="concept_trains","{GREEN}Concept Vehicle",IF($BX303="!param_no_gameplay_units","{GREEN}Included for gameplay purposes",""))</f>
        <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303" s="1"/>
    </row>
    <row r="304" s="26" customFormat="true" ht="14.25" hidden="false" customHeight="false" outlineLevel="0" collapsed="false">
      <c r="A304" s="26" t="s">
        <v>1105</v>
      </c>
      <c r="B304" s="27" t="s">
        <v>1103</v>
      </c>
      <c r="C304" s="1" t="n">
        <v>3027</v>
      </c>
      <c r="D304" s="26" t="n">
        <v>3026</v>
      </c>
      <c r="E304" s="1" t="n">
        <v>368</v>
      </c>
      <c r="F304" s="1" t="s">
        <v>174</v>
      </c>
      <c r="G304" s="1" t="str">
        <f aca="false">IF($F304&lt;&gt;"",_xlfn.CONCAT(VLOOKUP($CE304, Constants!$T:$U, 2, FALSE()),",",$F304),VLOOKUP($CE304, Constants!$T:$U, 2, FALSE()))</f>
        <v>role/passenger,_ww_livery/brbluegrey</v>
      </c>
      <c r="H304" s="1" t="str">
        <f aca="false">IF($G304&lt;&gt;"",_xlfn.CONCAT(VLOOKUP($CG304, Constants!$M:$P, 4, FALSE()),",",$G304),VLOOKUP($CG304, Constants!$M:$P, 4, FALSE()))</f>
        <v>flag/GB,power/diesel,role/passenger,_ww_livery/brbluegrey</v>
      </c>
      <c r="I304" s="26" t="s">
        <v>241</v>
      </c>
      <c r="J304" s="26" t="s">
        <v>466</v>
      </c>
      <c r="K304" s="26" t="s">
        <v>525</v>
      </c>
      <c r="L304" s="26" t="s">
        <v>192</v>
      </c>
      <c r="M304" s="26" t="n">
        <v>1982</v>
      </c>
      <c r="N304" s="26" t="n">
        <v>2002</v>
      </c>
      <c r="O304" s="26" t="n">
        <v>2006</v>
      </c>
      <c r="P304" s="26" t="n">
        <v>3</v>
      </c>
      <c r="Q304" s="26" t="n">
        <v>1000</v>
      </c>
      <c r="R304" s="2"/>
      <c r="S304" s="3"/>
      <c r="T304" s="3"/>
      <c r="U304" s="3"/>
      <c r="V304" s="3"/>
      <c r="W304" s="3"/>
      <c r="X304" s="3"/>
      <c r="Y304" s="3"/>
      <c r="Z304" s="26" t="n">
        <v>118</v>
      </c>
      <c r="AA304" s="2"/>
      <c r="AB304" s="26" t="n">
        <v>5</v>
      </c>
      <c r="AC304" s="26" t="n">
        <v>92</v>
      </c>
      <c r="AD304" s="4" t="n">
        <f aca="false">IF(AND(Z304&gt;0,AC304&gt;0),(AC304/((Z304+AA304)*10)),"")</f>
        <v>0.0779661016949153</v>
      </c>
      <c r="AE304" s="26" t="n">
        <v>90</v>
      </c>
      <c r="AF304" s="26" t="n">
        <f aca="false">ROUND(AE304*1.6, 0)</f>
        <v>144</v>
      </c>
      <c r="AH304" s="26" t="n">
        <v>19.8</v>
      </c>
      <c r="AI304" s="26" t="n">
        <v>20</v>
      </c>
      <c r="AJ304" s="26" t="n">
        <v>2.5</v>
      </c>
      <c r="AK304" s="26" t="n">
        <v>3.77</v>
      </c>
      <c r="AL304" s="5" t="n">
        <v>67</v>
      </c>
      <c r="AM304" s="1" t="str">
        <f aca="false">CONCATENATE(VLOOKUP(AN304, 'Voxel Sizes'!$A$2:$B$18,2,FALSE()),"x",INT(AJ304*15), "x", INT(AK304*15))</f>
        <v>198x37x56</v>
      </c>
      <c r="AN304" s="26" t="n">
        <f aca="false">ROUND(15*((AI304*10)/256),0)</f>
        <v>12</v>
      </c>
      <c r="AP304" s="1" t="str">
        <f aca="false">CONCATENATE(VLOOKUP(AN304,Constants!$A$2:$C$16,IF(AO304&lt;&gt;"", 3, 2), FALSE()),IF(AO304&lt;&gt;"",CONCATENATE(",",VLOOKUP(AO304,$B:$AP,41,FALSE())),""))</f>
        <v>4,4,4</v>
      </c>
      <c r="AQ304" s="26" t="n">
        <v>8</v>
      </c>
      <c r="AR304" s="6"/>
      <c r="AS304" s="6"/>
      <c r="AT304" s="26" t="s">
        <v>1106</v>
      </c>
      <c r="AV304" s="26" t="s">
        <v>469</v>
      </c>
      <c r="AW304" s="26" t="s">
        <v>1107</v>
      </c>
      <c r="AZ304" s="26" t="n">
        <v>45</v>
      </c>
      <c r="BA304" s="16" t="n">
        <f aca="false">IF(O304&lt;&gt;"",MAX(16,(O304-M304)+8),"")</f>
        <v>32</v>
      </c>
      <c r="BB304" s="26" t="n">
        <v>10</v>
      </c>
      <c r="BD304" s="26" t="n">
        <f aca="false">MIN(AE304/150, 1)*30</f>
        <v>18</v>
      </c>
      <c r="BE304" s="26" t="n">
        <f aca="false">MIN(Q304/4000, 1)*20</f>
        <v>5</v>
      </c>
      <c r="BF304" s="26" t="n">
        <f aca="false">MIN(AC304/400,1)*20</f>
        <v>4.6</v>
      </c>
      <c r="BG304" s="4" t="n">
        <f aca="false">1-(MAX(M304-1900, 0)/750)</f>
        <v>0.890666666666667</v>
      </c>
      <c r="BH304" s="26" t="n">
        <f aca="false">((MAX($P304,1)*MIN($AL304/300,1)))*IF(J304="Wagon",50,10)</f>
        <v>6.7</v>
      </c>
      <c r="BI304" s="1" t="n">
        <f aca="false">VLOOKUP($K304,Constants!$I:$K, 2, FALSE())</f>
        <v>1</v>
      </c>
      <c r="BJ304" s="1" t="n">
        <f aca="false">VLOOKUP($K304,Constants!$I:$K, 3, FALSE())*IF(AND(J304="multiple_unit",AE304&lt;110),0.75,1)</f>
        <v>1.5</v>
      </c>
      <c r="BK304" s="1" t="n">
        <f aca="false">INT(POWER(((Constants!$G$2+$BD304+$BE304+$BF304+$BH304)*$BG304)*$BJ304, 1.05))+$BC304</f>
        <v>64</v>
      </c>
      <c r="BL304" s="1" t="n">
        <f aca="false">INT(POWER((((Constants!$G$1+$BD304+$BE304+$BF304+$BH304)*($BG304))*$BI304),IF($J304="wagon",1,1.2)))+$BB304</f>
        <v>103</v>
      </c>
      <c r="BM304" s="17" t="n">
        <f aca="false">BK304*IF($J304="wagon",62.5,781.25)</f>
        <v>50000</v>
      </c>
      <c r="BN304" s="17" t="n">
        <f aca="false">BL304*IF($J304="wagon",2.73,81.25)</f>
        <v>8368.75</v>
      </c>
      <c r="BT304" s="26" t="s">
        <v>1100</v>
      </c>
      <c r="BU304" s="1" t="str">
        <f aca="false">IF(J304="locomotive","B","")</f>
        <v/>
      </c>
      <c r="BV304" s="1" t="str">
        <f aca="false">IF(OR($J304="locomotive",$J304="wagon"),"B","")</f>
        <v/>
      </c>
      <c r="BY304" s="26" t="n">
        <v>2</v>
      </c>
      <c r="CC304" s="26" t="s">
        <v>367</v>
      </c>
      <c r="CD304" s="26" t="str">
        <f aca="false">VLOOKUP(M304,[1]Eras!$A$2:$C$10, 2, TRUE())</f>
        <v>lbr</v>
      </c>
      <c r="CE304" s="26" t="s">
        <v>824</v>
      </c>
      <c r="CF304" s="26" t="str">
        <f aca="false">CONCATENATE(CD304,"_",CE304)</f>
        <v>lbr_DMU</v>
      </c>
      <c r="CG304" s="26" t="str">
        <f aca="false">_xlfn.CONCAT(K304, "_",L304)</f>
        <v>diesel_RAIL</v>
      </c>
      <c r="CH304" s="7" t="str">
        <f aca="false">_xlfn.CONCAT("{BLACK}Length: {GOLD}", TEXT(ROUNDUP(IF(AS304&lt;&gt;"",SUM(VALUE(_xlfn.TEXTSPLIT(AS304, ","))), SUM(VALUE(_xlfn.TEXTSPLIT(AP304, ",")))*IF(P304, P304, 1))/16, 1), "#,##0.0"), " tiles{}")</f>
        <v>{BLACK}Length: {GOLD}2.3 tiles{}</v>
      </c>
      <c r="CI304" s="1" t="str">
        <f aca="false">IF(0, VLOOKUP($CG304, Constants!$M:$N, 2, FALSE()),"")</f>
        <v/>
      </c>
      <c r="CJ304" s="1" t="str">
        <f aca="false">IF(P304&gt;1,_xlfn.CONCAT("{BLACK}Cars: {GOLD}", P304),"")</f>
        <v>{BLACK}Cars: {GOLD}3</v>
      </c>
      <c r="CK304" s="26" t="s">
        <v>1108</v>
      </c>
      <c r="CL304" s="1" t="str">
        <f aca="false">IF($BX304="concept_trains","{GREEN}Concept Vehicle",IF($BX304="!param_no_gameplay_units","{GREEN}Included for gameplay purposes",""))</f>
        <v/>
      </c>
      <c r="CM304" s="26" t="str">
        <f aca="false">IF(CA304="buffet","{YELLOW}25% long distance bonus for consist{}",IF(CD304="BRAKE","{YELLOW}Speed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304" s="1"/>
    </row>
    <row r="305" customFormat="false" ht="14.25" hidden="false" customHeight="false" outlineLevel="0" collapsed="false">
      <c r="A305" s="1" t="s">
        <v>1109</v>
      </c>
      <c r="B305" s="15" t="s">
        <v>1110</v>
      </c>
      <c r="C305" s="1" t="n">
        <v>240</v>
      </c>
      <c r="E305" s="1" t="n">
        <v>369</v>
      </c>
      <c r="F305" s="1" t="s">
        <v>183</v>
      </c>
      <c r="G305" s="1" t="str">
        <f aca="false">IF($F305&lt;&gt;"",_xlfn.CONCAT(VLOOKUP($CE305, Constants!$T:$U, 2, FALSE()),",",$F305),VLOOKUP($CE305, Constants!$T:$U, 2, FALSE()))</f>
        <v>role/passenger,_ww_livery/nse</v>
      </c>
      <c r="H305" s="1" t="str">
        <f aca="false">IF($G305&lt;&gt;"",_xlfn.CONCAT(VLOOKUP($CG305, Constants!$M:$P, 4, FALSE()),",",$G305),VLOOKUP($CG305, Constants!$M:$P, 4, FALSE()))</f>
        <v>flag/GB,power/electric,role/passenger,_ww_livery/nse</v>
      </c>
      <c r="I305" s="1" t="s">
        <v>241</v>
      </c>
      <c r="J305" s="1" t="s">
        <v>466</v>
      </c>
      <c r="K305" s="1" t="s">
        <v>388</v>
      </c>
      <c r="L305" s="1" t="s">
        <v>541</v>
      </c>
      <c r="M305" s="1" t="n">
        <v>1982</v>
      </c>
      <c r="P305" s="1" t="n">
        <v>4</v>
      </c>
      <c r="Q305" s="1" t="n">
        <v>992</v>
      </c>
      <c r="Z305" s="1" t="n">
        <v>136</v>
      </c>
      <c r="AB305" s="1" t="n">
        <v>5</v>
      </c>
      <c r="AC305" s="1" t="n">
        <v>150</v>
      </c>
      <c r="AD305" s="4" t="n">
        <f aca="false">IF(AND(Z305&gt;0,AC305&gt;0),(AC305/((Z305+AA305)*10)),"")</f>
        <v>0.110294117647059</v>
      </c>
      <c r="AE305" s="1" t="n">
        <v>75</v>
      </c>
      <c r="AF305" s="1" t="n">
        <f aca="false">ROUND(AE305*1.6, 0)</f>
        <v>120</v>
      </c>
      <c r="AH305" s="1" t="n">
        <v>19.8</v>
      </c>
      <c r="AI305" s="1" t="n">
        <v>19.8</v>
      </c>
      <c r="AL305" s="5" t="n">
        <v>78</v>
      </c>
      <c r="AM305" s="1" t="str">
        <f aca="false">CONCATENATE(VLOOKUP(AN305, 'Voxel Sizes'!$A$2:$B$18,2,FALSE()),"x",INT(AJ305*15), "x", INT(AK305*15))</f>
        <v>198x0x0</v>
      </c>
      <c r="AN305" s="1" t="n">
        <f aca="false">ROUND(15*((AI305*10)/256),0)</f>
        <v>12</v>
      </c>
      <c r="AP305" s="1" t="str">
        <f aca="false">CONCATENATE(VLOOKUP(AN305,Constants!$A$2:$C$16,IF(AO305&lt;&gt;"", 3, 2), FALSE()),IF(AO305&lt;&gt;"",CONCATENATE(",",VLOOKUP(AO305,$B:$AP,41,FALSE())),""))</f>
        <v>4,4,4</v>
      </c>
      <c r="AT305" s="1" t="s">
        <v>1111</v>
      </c>
      <c r="AV305" s="1" t="s">
        <v>918</v>
      </c>
      <c r="AZ305" s="1" t="n">
        <v>35</v>
      </c>
      <c r="BA305" s="16" t="str">
        <f aca="false">IF(O305&lt;&gt;"",MAX(16,(O305-M305)+8),"")</f>
        <v/>
      </c>
      <c r="BB305" s="1" t="n">
        <v>-10</v>
      </c>
      <c r="BC305" s="1" t="n">
        <v>-20</v>
      </c>
      <c r="BD305" s="1" t="n">
        <f aca="false">MIN(AE305/150, 1)*30</f>
        <v>15</v>
      </c>
      <c r="BE305" s="1" t="n">
        <f aca="false">MIN(Q305/4000, 1)*20</f>
        <v>4.96</v>
      </c>
      <c r="BF305" s="1" t="n">
        <f aca="false">MIN(AC305/400,1)*20</f>
        <v>7.5</v>
      </c>
      <c r="BG305" s="4" t="n">
        <f aca="false">1-(MAX(M305-1900, 0)/750)</f>
        <v>0.890666666666667</v>
      </c>
      <c r="BH305" s="1" t="n">
        <f aca="false">((MAX($P305,1)*MIN($AL305/300,1)))*IF(J305="Wagon",50,10)</f>
        <v>10.4</v>
      </c>
      <c r="BI305" s="1" t="n">
        <f aca="false">VLOOKUP($K305,Constants!$I:$K, 2, FALSE())</f>
        <v>0.85</v>
      </c>
      <c r="BJ305" s="1" t="n">
        <f aca="false">VLOOKUP($K305,Constants!$I:$K, 3, FALSE())*IF(AND(J305="multiple_unit",AE305&lt;110),0.75,1)</f>
        <v>1.725</v>
      </c>
      <c r="BK305" s="1" t="n">
        <f aca="false">INT(POWER(((Constants!$G$2+$BD305+$BE305+$BF305+$BH305)*$BG305)*$BJ305, 1.05))+$BC305</f>
        <v>61</v>
      </c>
      <c r="BL305" s="1" t="n">
        <f aca="false">INT(POWER((((Constants!$G$1+$BD305+$BE305+$BF305+$BH305)*($BG305))*$BI305),IF($J305="wagon",1,1.2)))+$BB305</f>
        <v>73</v>
      </c>
      <c r="BM305" s="17" t="n">
        <f aca="false">BK305*IF($J305="wagon",62.5,781.25)</f>
        <v>47656.25</v>
      </c>
      <c r="BN305" s="17" t="n">
        <f aca="false">BL305*IF($J305="wagon",2.73,81.25)</f>
        <v>5931.25</v>
      </c>
      <c r="BT305" s="1" t="s">
        <v>1112</v>
      </c>
      <c r="BU305" s="1" t="str">
        <f aca="false">IF(J305="locomotive","B","")</f>
        <v/>
      </c>
      <c r="BV305" s="1" t="str">
        <f aca="false">IF(OR($J305="locomotive",$J305="wagon"),"B","")</f>
        <v/>
      </c>
      <c r="BY305" s="1" t="n">
        <v>12</v>
      </c>
      <c r="BZ305" s="1" t="n">
        <v>185</v>
      </c>
      <c r="CC305" s="1" t="s">
        <v>367</v>
      </c>
      <c r="CD305" s="1" t="str">
        <f aca="false">VLOOKUP(M305,Eras!$A$2:$C$10, 2, TRUE())</f>
        <v>lbr</v>
      </c>
      <c r="CE305" s="1" t="s">
        <v>858</v>
      </c>
      <c r="CF305" s="1" t="str">
        <f aca="false">CONCATENATE(CD305,"_",CE305)</f>
        <v>lbr_EMU</v>
      </c>
      <c r="CG305" s="1" t="str">
        <f aca="false">_xlfn.CONCAT(K305, "_",L305)</f>
        <v>electric_THIRD_RAIL</v>
      </c>
      <c r="CH305" s="7" t="str">
        <f aca="false">_xlfn.CONCAT("{BLACK}Length: {GOLD}", TEXT(ROUNDUP(IF(AS305&lt;&gt;"",SUM(VALUE(_xlfn.TEXTSPLIT(AS305, ","))), SUM(VALUE(_xlfn.TEXTSPLIT(AP305, ",")))*IF(P305, P305, 1))/16, 1), "#,##0.0"), " tiles{}")</f>
        <v>{BLACK}Length: {GOLD}3.0 tiles{}</v>
      </c>
      <c r="CI305" s="1" t="str">
        <f aca="false">IF(0, VLOOKUP($CG305, Constants!$M:$N, 2, FALSE()),"")</f>
        <v/>
      </c>
      <c r="CJ305" s="1" t="str">
        <f aca="false">IF(P305&gt;1,_xlfn.CONCAT("{BLACK}Cars: {GOLD}", P305),"")</f>
        <v>{BLACK}Cars: {GOLD}4</v>
      </c>
      <c r="CK305" s="1" t="s">
        <v>1113</v>
      </c>
      <c r="CL305" s="1" t="str">
        <f aca="false">IF($BX305="concept_trains","{GREEN}Concept Vehicle",IF($BX305="!param_no_gameplay_units","{GREEN}Included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{GOLD}4{}{BLACK}Length: {GOLD}3.0 tiles{}{SILVER}The Class 455 is a DC third rail version of British Rail's second generation EMU design. Some units re-used existing carriages from the Class 508, recognisable by the different side profile.</v>
      </c>
    </row>
    <row r="306" s="1" customFormat="true" ht="14.25" hidden="false" customHeight="false" outlineLevel="0" collapsed="false">
      <c r="A306" s="1" t="s">
        <v>1114</v>
      </c>
      <c r="B306" s="27" t="s">
        <v>1115</v>
      </c>
      <c r="C306" s="1" t="n">
        <v>3040</v>
      </c>
      <c r="E306" s="1" t="n">
        <v>370</v>
      </c>
      <c r="F306" s="1" t="s">
        <v>180</v>
      </c>
      <c r="G306" s="1" t="str">
        <f aca="false">IF($F306&lt;&gt;"",_xlfn.CONCAT(VLOOKUP($CE306, Constants!$T:$U, 2, FALSE()),",",$F306),VLOOKUP($CE306, Constants!$T:$U, 2, FALSE()))</f>
        <v>role/passenger,_ww_livery/provincial</v>
      </c>
      <c r="H306" s="1" t="str">
        <f aca="false">IF($G306&lt;&gt;"",_xlfn.CONCAT(VLOOKUP($CG306, Constants!$M:$P, 4, FALSE()),",",$G306),VLOOKUP($CG306, Constants!$M:$P, 4, FALSE()))</f>
        <v>flag/GB,power/diesel,role/passenger,_ww_livery/provincial</v>
      </c>
      <c r="I306" s="1" t="s">
        <v>241</v>
      </c>
      <c r="J306" s="1" t="s">
        <v>466</v>
      </c>
      <c r="K306" s="1" t="s">
        <v>525</v>
      </c>
      <c r="L306" s="1" t="s">
        <v>192</v>
      </c>
      <c r="M306" s="1" t="n">
        <v>1984</v>
      </c>
      <c r="N306" s="1" t="n">
        <v>1988</v>
      </c>
      <c r="O306" s="1" t="n">
        <v>2005</v>
      </c>
      <c r="P306" s="1" t="n">
        <v>2</v>
      </c>
      <c r="Q306" s="1" t="n">
        <v>205</v>
      </c>
      <c r="R306" s="2"/>
      <c r="S306" s="3"/>
      <c r="T306" s="3"/>
      <c r="U306" s="3"/>
      <c r="V306" s="3"/>
      <c r="W306" s="3"/>
      <c r="X306" s="3"/>
      <c r="Y306" s="3"/>
      <c r="Z306" s="1" t="n">
        <f aca="false">26+26.5</f>
        <v>52.5</v>
      </c>
      <c r="AA306" s="2"/>
      <c r="AB306" s="1" t="n">
        <v>5</v>
      </c>
      <c r="AC306" s="1" t="n">
        <v>70</v>
      </c>
      <c r="AD306" s="4" t="n">
        <f aca="false">IF(AND(Z306&gt;0,AC306&gt;0),(AC306/((Z306+AA306)*10)),"")</f>
        <v>0.133333333333333</v>
      </c>
      <c r="AE306" s="1" t="n">
        <v>75</v>
      </c>
      <c r="AF306" s="1" t="n">
        <f aca="false">ROUND(AE306*1.6, 0)</f>
        <v>120</v>
      </c>
      <c r="AH306" s="1" t="n">
        <v>15.45</v>
      </c>
      <c r="AI306" s="1" t="n">
        <v>15.45</v>
      </c>
      <c r="AJ306" s="1" t="n">
        <v>2.5</v>
      </c>
      <c r="AK306" s="1" t="n">
        <v>3.9</v>
      </c>
      <c r="AL306" s="5" t="n">
        <v>46</v>
      </c>
      <c r="AM306" s="1" t="str">
        <f aca="false">CONCATENATE(VLOOKUP(AN306, 'Voxel Sizes'!$A$2:$B$18,2,FALSE()),"x",INT(AJ306*15), "x", INT(AK306*15))</f>
        <v>152x37x58</v>
      </c>
      <c r="AN306" s="1" t="n">
        <f aca="false">ROUND(15*((AI306*10)/256),0)</f>
        <v>9</v>
      </c>
      <c r="AP306" s="1" t="str">
        <f aca="false">CONCATENATE(VLOOKUP(AN306,Constants!$A$2:$C$16,IF(AO306&lt;&gt;"", 3, 2), FALSE()),IF(AO306&lt;&gt;"",CONCATENATE(",",VLOOKUP(AO306,$B:$AP,41,FALSE())),""))</f>
        <v>2,5,2</v>
      </c>
      <c r="AR306" s="6"/>
      <c r="AS306" s="6"/>
      <c r="AT306" s="1" t="s">
        <v>1116</v>
      </c>
      <c r="AV306" s="1" t="s">
        <v>815</v>
      </c>
      <c r="AW306" s="1" t="s">
        <v>1117</v>
      </c>
      <c r="AZ306" s="1" t="n">
        <v>18</v>
      </c>
      <c r="BA306" s="16" t="n">
        <f aca="false">IF(O306&lt;&gt;"",MAX(16,(O306-M306)+8),"")</f>
        <v>29</v>
      </c>
      <c r="BB306" s="1" t="n">
        <v>-35</v>
      </c>
      <c r="BC306" s="1" t="n">
        <v>-20</v>
      </c>
      <c r="BD306" s="1" t="n">
        <f aca="false">MIN(AE306/150, 1)*30</f>
        <v>15</v>
      </c>
      <c r="BE306" s="1" t="n">
        <f aca="false">MIN(Q306/4000, 1)*20</f>
        <v>1.025</v>
      </c>
      <c r="BF306" s="1" t="n">
        <f aca="false">MIN(AC306/400,1)*20</f>
        <v>3.5</v>
      </c>
      <c r="BG306" s="4" t="n">
        <f aca="false">1-(MAX(M306-1900, 0)/750)</f>
        <v>0.888</v>
      </c>
      <c r="BH306" s="1" t="n">
        <f aca="false">((MAX($P306,1)*MIN($AL306/300,1)))*IF(J306="Wagon",50,10)</f>
        <v>3.06666666666667</v>
      </c>
      <c r="BI306" s="1" t="n">
        <f aca="false">VLOOKUP($K306,Constants!$I:$K, 2, FALSE())</f>
        <v>1</v>
      </c>
      <c r="BJ306" s="1" t="n">
        <f aca="false">VLOOKUP($K306,Constants!$I:$K, 3, FALSE())*IF(AND(J306="multiple_unit",AE306&lt;110),0.75,1)</f>
        <v>1.5</v>
      </c>
      <c r="BK306" s="1" t="n">
        <f aca="false">INT(POWER(((Constants!$G$2+$BD306+$BE306+$BF306+$BH306)*$BG306)*$BJ306, 1.05))+$BC306</f>
        <v>24</v>
      </c>
      <c r="BL306" s="1" t="n">
        <f aca="false">INT(POWER((((Constants!$G$1+$BD306+$BE306+$BF306+$BH306)*($BG306))*$BI306),IF($J306="wagon",1,1.2)))+$BB306</f>
        <v>32</v>
      </c>
      <c r="BM306" s="17" t="n">
        <f aca="false">BK306*IF($J306="wagon",62.5,781.25)</f>
        <v>18750</v>
      </c>
      <c r="BN306" s="17" t="n">
        <f aca="false">BL306*IF($J306="wagon",2.73,81.25)</f>
        <v>2600</v>
      </c>
      <c r="BT306" s="1" t="s">
        <v>1118</v>
      </c>
      <c r="BU306" s="1" t="str">
        <f aca="false">IF(J306="locomotive","B","")</f>
        <v/>
      </c>
      <c r="BV306" s="1" t="str">
        <f aca="false">IF(OR($J306="locomotive",$J306="wagon"),"B","")</f>
        <v/>
      </c>
      <c r="BY306" s="1" t="n">
        <v>2</v>
      </c>
      <c r="BZ306" s="1" t="n">
        <v>148</v>
      </c>
      <c r="CC306" s="1" t="s">
        <v>367</v>
      </c>
      <c r="CD306" s="1" t="s">
        <v>647</v>
      </c>
      <c r="CE306" s="26" t="s">
        <v>805</v>
      </c>
      <c r="CF306" s="26" t="str">
        <f aca="false">CONCATENATE(CD306,"_",CE306)</f>
        <v>lbr_DMU (Cheap)</v>
      </c>
      <c r="CG306" s="26" t="str">
        <f aca="false">_xlfn.CONCAT(K306, "_",L306)</f>
        <v>diesel_RAIL</v>
      </c>
      <c r="CH306" s="7" t="str">
        <f aca="false">_xlfn.CONCAT("{BLACK}Length: {GOLD}", TEXT(ROUNDUP(IF(AS306&lt;&gt;"",SUM(VALUE(_xlfn.TEXTSPLIT(AS306, ","))), SUM(VALUE(_xlfn.TEXTSPLIT(AP306, ",")))*IF(P306, P306, 1))/16, 1), "#,##0.0"), " tiles{}")</f>
        <v>{BLACK}Length: {GOLD}1.2 tiles{}</v>
      </c>
      <c r="CI306" s="1" t="str">
        <f aca="false">IF(0, VLOOKUP($CG306, Constants!$M:$N, 2, FALSE()),"")</f>
        <v/>
      </c>
      <c r="CJ306" s="1" t="str">
        <f aca="false">IF(P306&gt;1,_xlfn.CONCAT("{BLACK}Cars: {GOLD}", P306),"")</f>
        <v>{BLACK}Cars: {GOLD}2</v>
      </c>
      <c r="CK306" s="1" t="s">
        <v>1119</v>
      </c>
      <c r="CL306" s="1" t="str">
        <f aca="false">IF($BX306="concept_trains","{GREEN}Concept Vehicle",IF($BX306="!param_no_gameplay_units","{GREEN}Included for gameplay purposes",""))</f>
        <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{YELLOW}20% penalty for long distance travel{}</v>
      </c>
      <c r="CN306" s="1" t="str">
        <f aca="false">_xlfn.CONCAT(CI306,IF(CI306&lt;&gt;""," ",""),CJ306,IF(OR(CJ306&lt;&gt;"",CI306&lt;&gt;""),"{}",""),CH306,CM306,"{SILVER}",CK306,IF(CL306&lt;&gt;"","{}{}",""),CL306)</f>
        <v>{BLACK}Cars: {GOLD}2{}{BLACK}Length: {GOLD}1.2 tiles{}{YELLOW}20% penalty for long distance travel{}{SILVER}The Class 141 is a multiple unit built from Leyland National bus parts. While cheap and light, it is criticised for its poor ride quality.</v>
      </c>
    </row>
    <row r="307" s="1" customFormat="true" ht="14.25" hidden="false" customHeight="false" outlineLevel="0" collapsed="false">
      <c r="A307" s="1" t="s">
        <v>1120</v>
      </c>
      <c r="B307" s="27" t="s">
        <v>1121</v>
      </c>
      <c r="C307" s="1" t="n">
        <v>3041</v>
      </c>
      <c r="E307" s="1" t="n">
        <v>371</v>
      </c>
      <c r="F307" s="1" t="s">
        <v>180</v>
      </c>
      <c r="G307" s="1" t="str">
        <f aca="false">IF($F307&lt;&gt;"",_xlfn.CONCAT(VLOOKUP($CE307, Constants!$T:$U, 2, FALSE()),",",$F307),VLOOKUP($CE307, Constants!$T:$U, 2, FALSE()))</f>
        <v>role/passenger,_ww_livery/provincial</v>
      </c>
      <c r="H307" s="1" t="str">
        <f aca="false">IF($G307&lt;&gt;"",_xlfn.CONCAT(VLOOKUP($CG307, Constants!$M:$P, 4, FALSE()),",",$G307),VLOOKUP($CG307, Constants!$M:$P, 4, FALSE()))</f>
        <v>flag/GB,power/diesel,role/passenger,_ww_livery/provincial</v>
      </c>
      <c r="I307" s="1" t="s">
        <v>241</v>
      </c>
      <c r="J307" s="1" t="s">
        <v>466</v>
      </c>
      <c r="K307" s="1" t="s">
        <v>525</v>
      </c>
      <c r="L307" s="1" t="s">
        <v>192</v>
      </c>
      <c r="M307" s="1" t="n">
        <v>1984</v>
      </c>
      <c r="N307" s="1" t="n">
        <v>1987</v>
      </c>
      <c r="P307" s="1" t="n">
        <v>2</v>
      </c>
      <c r="Q307" s="1" t="n">
        <f aca="false">286*2</f>
        <v>572</v>
      </c>
      <c r="R307" s="2"/>
      <c r="S307" s="3"/>
      <c r="T307" s="3"/>
      <c r="U307" s="3"/>
      <c r="V307" s="3"/>
      <c r="W307" s="3"/>
      <c r="X307" s="3"/>
      <c r="Y307" s="3"/>
      <c r="Z307" s="1" t="n">
        <f aca="false">35.8*2</f>
        <v>71.6</v>
      </c>
      <c r="AA307" s="2"/>
      <c r="AB307" s="1" t="n">
        <v>5</v>
      </c>
      <c r="AC307" s="1" t="n">
        <v>110</v>
      </c>
      <c r="AD307" s="4" t="n">
        <f aca="false">IF(AND(Z307&gt;0,AC307&gt;0),(AC307/((Z307+AA307)*10)),"")</f>
        <v>0.153631284916201</v>
      </c>
      <c r="AE307" s="1" t="n">
        <v>75</v>
      </c>
      <c r="AF307" s="1" t="n">
        <f aca="false">ROUND(AE307*1.6, 0)</f>
        <v>120</v>
      </c>
      <c r="AH307" s="1" t="n">
        <v>20</v>
      </c>
      <c r="AI307" s="1" t="n">
        <v>20</v>
      </c>
      <c r="AJ307" s="1" t="n">
        <v>2.81</v>
      </c>
      <c r="AK307" s="1" t="n">
        <v>3.7</v>
      </c>
      <c r="AL307" s="5" t="n">
        <v>63</v>
      </c>
      <c r="AM307" s="1" t="str">
        <f aca="false">CONCATENATE(VLOOKUP(AN307, 'Voxel Sizes'!$A$2:$B$18,2,FALSE()),"x",INT(AJ307*15), "x", INT(AK307*15))</f>
        <v>198x42x55</v>
      </c>
      <c r="AN307" s="1" t="n">
        <f aca="false">ROUND(15*((AI307*10)/256),0)</f>
        <v>12</v>
      </c>
      <c r="AP307" s="1" t="str">
        <f aca="false">CONCATENATE(VLOOKUP(AN307,Constants!$A$2:$C$16,IF(AO307&lt;&gt;"", 3, 2), FALSE()),IF(AO307&lt;&gt;"",CONCATENATE(",",VLOOKUP(AO307,$B:$AP,41,FALSE())),""))</f>
        <v>4,4,4</v>
      </c>
      <c r="AR307" s="6"/>
      <c r="AS307" s="6"/>
      <c r="AT307" s="1" t="s">
        <v>1122</v>
      </c>
      <c r="AV307" s="1" t="s">
        <v>815</v>
      </c>
      <c r="AW307" s="1" t="s">
        <v>1123</v>
      </c>
      <c r="AZ307" s="1" t="n">
        <v>28</v>
      </c>
      <c r="BA307" s="16" t="str">
        <f aca="false">IF(O307&lt;&gt;"",MAX(16,(O307-M307)+8),"")</f>
        <v/>
      </c>
      <c r="BB307" s="1" t="n">
        <v>-10</v>
      </c>
      <c r="BC307" s="1" t="n">
        <v>-15</v>
      </c>
      <c r="BD307" s="1" t="n">
        <f aca="false">MIN(AE307/150, 1)*30</f>
        <v>15</v>
      </c>
      <c r="BE307" s="1" t="n">
        <f aca="false">MIN(Q307/4000, 1)*20</f>
        <v>2.86</v>
      </c>
      <c r="BF307" s="1" t="n">
        <f aca="false">MIN(AC307/400,1)*20</f>
        <v>5.5</v>
      </c>
      <c r="BG307" s="4" t="n">
        <f aca="false">1-(MAX(M307-1900, 0)/750)</f>
        <v>0.888</v>
      </c>
      <c r="BH307" s="1" t="n">
        <f aca="false">((MAX($P307,1)*MIN($AL307/300,1)))*IF(J307="Wagon",50,10)</f>
        <v>4.2</v>
      </c>
      <c r="BI307" s="1" t="n">
        <f aca="false">VLOOKUP($K307,Constants!$I:$K, 2, FALSE())</f>
        <v>1</v>
      </c>
      <c r="BJ307" s="1" t="n">
        <f aca="false">VLOOKUP($K307,Constants!$I:$K, 3, FALSE())*IF(AND(J307="multiple_unit",AE307&lt;110),0.75,1)</f>
        <v>1.5</v>
      </c>
      <c r="BK307" s="1" t="n">
        <f aca="false">INT(POWER(((Constants!$G$2+$BD307+$BE307+$BF307+$BH307)*$BG307)*$BJ307, 1.05))+$BC307</f>
        <v>37</v>
      </c>
      <c r="BL307" s="1" t="n">
        <f aca="false">INT(POWER((((Constants!$G$1+$BD307+$BE307+$BF307+$BH307)*($BG307))*$BI307),IF($J307="wagon",1,1.2)))+$BB307</f>
        <v>68</v>
      </c>
      <c r="BM307" s="17" t="n">
        <f aca="false">BK307*IF($J307="wagon",62.5,781.25)</f>
        <v>28906.25</v>
      </c>
      <c r="BN307" s="17" t="n">
        <f aca="false">BL307*IF($J307="wagon",2.73,81.25)</f>
        <v>5525</v>
      </c>
      <c r="BT307" s="1" t="s">
        <v>1124</v>
      </c>
      <c r="BU307" s="1" t="str">
        <f aca="false">IF(J307="locomotive","B","")</f>
        <v/>
      </c>
      <c r="BV307" s="1" t="str">
        <f aca="false">IF(OR($J307="locomotive",$J307="wagon"),"B","")</f>
        <v/>
      </c>
      <c r="BY307" s="1" t="n">
        <v>1</v>
      </c>
      <c r="BZ307" s="1" t="n">
        <v>185</v>
      </c>
      <c r="CC307" s="1" t="s">
        <v>367</v>
      </c>
      <c r="CD307" s="1" t="s">
        <v>647</v>
      </c>
      <c r="CE307" s="26" t="s">
        <v>824</v>
      </c>
      <c r="CF307" s="1" t="str">
        <f aca="false">CONCATENATE(CD307,"_",CE307)</f>
        <v>lbr_DMU</v>
      </c>
      <c r="CG307" s="1" t="str">
        <f aca="false">_xlfn.CONCAT(K307, "_",L307)</f>
        <v>diesel_RAIL</v>
      </c>
      <c r="CH307" s="7" t="str">
        <f aca="false">_xlfn.CONCAT("{BLACK}Length: {GOLD}", TEXT(ROUNDUP(IF(AS307&lt;&gt;"",SUM(VALUE(_xlfn.TEXTSPLIT(AS307, ","))), SUM(VALUE(_xlfn.TEXTSPLIT(AP307, ",")))*IF(P307, P307, 1))/16, 1), "#,##0.0"), " tiles{}")</f>
        <v>{BLACK}Length: {GOLD}1.5 tiles{}</v>
      </c>
      <c r="CI307" s="1" t="str">
        <f aca="false">IF(0, VLOOKUP($CG307, Constants!$M:$N, 2, FALSE()),"")</f>
        <v/>
      </c>
      <c r="CJ307" s="1" t="str">
        <f aca="false">IF(P307&gt;1,_xlfn.CONCAT("{BLACK}Cars: {GOLD}", P307),"")</f>
        <v>{BLACK}Cars: {GOLD}2</v>
      </c>
      <c r="CK307" s="1" t="s">
        <v>1125</v>
      </c>
      <c r="CL307" s="1" t="str">
        <f aca="false">IF($BX307="concept_trains","{GREEN}Concept Vehicle",IF($BX307="!param_no_gameplay_units","{GREEN}Included for gameplay purposes",""))</f>
        <v/>
      </c>
      <c r="CN307" s="1" t="str">
        <f aca="false">_xlfn.CONCAT(CI307,IF(CI307&lt;&gt;""," ",""),CJ307,IF(OR(CJ307&lt;&gt;"",CI307&lt;&gt;""),"{}",""),CH307,CM307,"{SILVER}",CK307,IF(CL307&lt;&gt;"","{}{}",""),CL307)</f>
        <v>{BLACK}Cars: {GOLD}2{}{BLACK}Length: {GOLD}1.5 tiles{}{SILVER}The Sprinter replaced first-generation DMUs. Like other second-generation units it was based on the Mark 3 bodyshell. The name refers to its faster acceleration compared to the units it replaced.</v>
      </c>
    </row>
    <row r="308" s="26" customFormat="true" ht="14.25" hidden="false" customHeight="false" outlineLevel="0" collapsed="false">
      <c r="A308" s="26" t="s">
        <v>1126</v>
      </c>
      <c r="B308" s="27" t="s">
        <v>1127</v>
      </c>
      <c r="C308" s="1" t="n">
        <v>3042</v>
      </c>
      <c r="E308" s="1" t="n">
        <v>372</v>
      </c>
      <c r="F308" s="1" t="s">
        <v>180</v>
      </c>
      <c r="G308" s="1" t="str">
        <f aca="false">IF($F308&lt;&gt;"",_xlfn.CONCAT(VLOOKUP($CE308, Constants!$T:$U, 2, FALSE()),",",$F308),VLOOKUP($CE308, Constants!$T:$U, 2, FALSE()))</f>
        <v>role/passenger,_ww_livery/provincial</v>
      </c>
      <c r="H308" s="1" t="str">
        <f aca="false">IF($G308&lt;&gt;"",_xlfn.CONCAT(VLOOKUP($CG308, Constants!$M:$P, 4, FALSE()),",",$G308),VLOOKUP($CG308, Constants!$M:$P, 4, FALSE()))</f>
        <v>flag/GB,power/diesel,role/passenger,_ww_livery/provincial</v>
      </c>
      <c r="I308" s="26" t="s">
        <v>241</v>
      </c>
      <c r="J308" s="26" t="s">
        <v>466</v>
      </c>
      <c r="K308" s="26" t="s">
        <v>525</v>
      </c>
      <c r="L308" s="26" t="s">
        <v>192</v>
      </c>
      <c r="M308" s="26" t="n">
        <v>1985</v>
      </c>
      <c r="N308" s="26" t="n">
        <v>2015</v>
      </c>
      <c r="O308" s="26" t="n">
        <v>2025</v>
      </c>
      <c r="P308" s="26" t="n">
        <v>3</v>
      </c>
      <c r="Q308" s="26" t="n">
        <v>855</v>
      </c>
      <c r="R308" s="2"/>
      <c r="S308" s="3"/>
      <c r="T308" s="3"/>
      <c r="U308" s="3"/>
      <c r="V308" s="3"/>
      <c r="W308" s="3"/>
      <c r="X308" s="3"/>
      <c r="Y308" s="3"/>
      <c r="Z308" s="26" t="n">
        <v>97</v>
      </c>
      <c r="AA308" s="2"/>
      <c r="AB308" s="26" t="n">
        <v>5</v>
      </c>
      <c r="AC308" s="26" t="n">
        <v>145</v>
      </c>
      <c r="AD308" s="4" t="n">
        <f aca="false">IF(AND(Z308&gt;0,AC308&gt;0),(AC308/((Z308+AA308)*10)),"")</f>
        <v>0.149484536082474</v>
      </c>
      <c r="AE308" s="26" t="n">
        <v>75</v>
      </c>
      <c r="AF308" s="26" t="n">
        <f aca="false">ROUND(AE308*1.6, 0)</f>
        <v>120</v>
      </c>
      <c r="AH308" s="26" t="n">
        <v>19.9</v>
      </c>
      <c r="AI308" s="26" t="n">
        <v>20</v>
      </c>
      <c r="AJ308" s="26" t="n">
        <v>2.8</v>
      </c>
      <c r="AK308" s="26" t="n">
        <v>3.84</v>
      </c>
      <c r="AL308" s="5" t="n">
        <v>77</v>
      </c>
      <c r="AM308" s="1" t="str">
        <f aca="false">CONCATENATE(VLOOKUP(AN308, 'Voxel Sizes'!$A$2:$B$18,2,FALSE()),"x",INT(AJ308*15), "x", INT(AK308*15))</f>
        <v>198x42x57</v>
      </c>
      <c r="AN308" s="26" t="n">
        <f aca="false">ROUND(15*((AI308*10)/256),0)</f>
        <v>12</v>
      </c>
      <c r="AP308" s="1" t="str">
        <f aca="false">CONCATENATE(VLOOKUP(AN308,Constants!$A$2:$C$16,IF(AO308&lt;&gt;"", 3, 2), FALSE()),IF(AO308&lt;&gt;"",CONCATENATE(",",VLOOKUP(AO308,$B:$AP,41,FALSE())),""))</f>
        <v>4,4,4</v>
      </c>
      <c r="AQ308" s="26" t="n">
        <v>4</v>
      </c>
      <c r="AR308" s="6"/>
      <c r="AS308" s="6"/>
      <c r="AT308" s="26" t="s">
        <v>1128</v>
      </c>
      <c r="AV308" s="26" t="s">
        <v>468</v>
      </c>
      <c r="AW308" s="26" t="s">
        <v>1127</v>
      </c>
      <c r="AZ308" s="26" t="n">
        <v>27</v>
      </c>
      <c r="BA308" s="16" t="n">
        <f aca="false">IF(O308&lt;&gt;"",MAX(16,(O308-M308)+8),"")</f>
        <v>48</v>
      </c>
      <c r="BB308" s="26" t="n">
        <v>-15</v>
      </c>
      <c r="BC308" s="26" t="n">
        <v>-25</v>
      </c>
      <c r="BD308" s="26" t="n">
        <f aca="false">MIN(AE308/150, 1)*30</f>
        <v>15</v>
      </c>
      <c r="BE308" s="26" t="n">
        <f aca="false">MIN(Q308/4000, 1)*20</f>
        <v>4.275</v>
      </c>
      <c r="BF308" s="26" t="n">
        <f aca="false">MIN(AC308/400,1)*20</f>
        <v>7.25</v>
      </c>
      <c r="BG308" s="4" t="n">
        <f aca="false">1-(MAX(M308-1900, 0)/750)</f>
        <v>0.886666666666667</v>
      </c>
      <c r="BH308" s="26" t="n">
        <f aca="false">((MAX($P308,1)*MIN($AL308/300,1)))*IF(J308="Wagon",50,10)</f>
        <v>7.7</v>
      </c>
      <c r="BI308" s="1" t="n">
        <f aca="false">VLOOKUP($K308,Constants!$I:$K, 2, FALSE())</f>
        <v>1</v>
      </c>
      <c r="BJ308" s="1" t="n">
        <f aca="false">VLOOKUP($K308,Constants!$I:$K, 3, FALSE())*IF(AND(J308="multiple_unit",AE308&lt;110),0.75,1)</f>
        <v>1.5</v>
      </c>
      <c r="BK308" s="1" t="n">
        <f aca="false">INT(POWER(((Constants!$G$2+$BD308+$BE308+$BF308+$BH308)*$BG308)*$BJ308, 1.05))+$BC308</f>
        <v>38</v>
      </c>
      <c r="BL308" s="1" t="n">
        <f aca="false">INT(POWER((((Constants!$G$1+$BD308+$BE308+$BF308+$BH308)*($BG308))*$BI308),IF($J308="wagon",1,1.2)))+$BB308</f>
        <v>77</v>
      </c>
      <c r="BM308" s="17" t="n">
        <f aca="false">BK308*IF($J308="wagon",62.5,781.25)</f>
        <v>29687.5</v>
      </c>
      <c r="BN308" s="17" t="n">
        <f aca="false">BL308*IF($J308="wagon",2.73,81.25)</f>
        <v>6256.25</v>
      </c>
      <c r="BT308" s="1" t="s">
        <v>1129</v>
      </c>
      <c r="BU308" s="1" t="str">
        <f aca="false">IF(J308="locomotive","B","")</f>
        <v/>
      </c>
      <c r="BV308" s="1" t="str">
        <f aca="false">IF(OR($J308="locomotive",$J308="wagon"),"B","")</f>
        <v/>
      </c>
      <c r="BY308" s="26" t="n">
        <v>4</v>
      </c>
      <c r="BZ308" s="26" t="n">
        <v>185</v>
      </c>
      <c r="CC308" s="26" t="s">
        <v>367</v>
      </c>
      <c r="CD308" s="26" t="s">
        <v>647</v>
      </c>
      <c r="CE308" s="26" t="s">
        <v>824</v>
      </c>
      <c r="CF308" s="26" t="str">
        <f aca="false">CONCATENATE(CD308,"_",CE308)</f>
        <v>lbr_DMU</v>
      </c>
      <c r="CG308" s="26" t="str">
        <f aca="false">_xlfn.CONCAT(K308, "_",L308)</f>
        <v>diesel_RAIL</v>
      </c>
      <c r="CH308" s="7" t="str">
        <f aca="false">_xlfn.CONCAT("{BLACK}Length: {GOLD}", TEXT(ROUNDUP(IF(AS308&lt;&gt;"",SUM(VALUE(_xlfn.TEXTSPLIT(AS308, ","))), SUM(VALUE(_xlfn.TEXTSPLIT(AP308, ",")))*IF(P308, P308, 1))/16, 1), "#,##0.0"), " tiles{}")</f>
        <v>{BLACK}Length: {GOLD}2.3 tiles{}</v>
      </c>
      <c r="CI308" s="1" t="str">
        <f aca="false">IF(0, VLOOKUP($CG308, Constants!$M:$N, 2, FALSE()),"")</f>
        <v/>
      </c>
      <c r="CJ308" s="1" t="str">
        <f aca="false">IF(P308&gt;1,_xlfn.CONCAT("{BLACK}Cars: {GOLD}", P308),"")</f>
        <v>{BLACK}Cars: {GOLD}3</v>
      </c>
      <c r="CK308" s="26" t="s">
        <v>1130</v>
      </c>
      <c r="CL308" s="1" t="str">
        <f aca="false">IF($BX308="concept_trains","{GREEN}Concept Vehicle",IF($BX308="!param_no_gameplay_units","{GREEN}Included for gameplay purposes",""))</f>
        <v/>
      </c>
      <c r="CM308" s="26" t="str">
        <f aca="false">IF(CA308="buffet","{YELLOW}25% long distance bonus for consist{}",IF(CD308="BRAKE","{YELLOW}Speed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{GOLD}3{}{BLACK}Length: {GOLD}2.3 tiles{}{SILVER}A class of 2 prototype DMUs built to compete for the contract that became the Class 150 fleet purchase. These units suffered with gearbox issues and the BREL type won the contest instead.</v>
      </c>
      <c r="XFD308" s="1"/>
    </row>
    <row r="309" customFormat="false" ht="14.25" hidden="false" customHeight="false" outlineLevel="0" collapsed="false">
      <c r="A309" s="1" t="s">
        <v>1131</v>
      </c>
      <c r="B309" s="15" t="s">
        <v>1132</v>
      </c>
      <c r="C309" s="1" t="n">
        <v>243</v>
      </c>
      <c r="E309" s="1" t="n">
        <v>373</v>
      </c>
      <c r="F309" s="1" t="s">
        <v>183</v>
      </c>
      <c r="G309" s="1" t="str">
        <f aca="false">IF($F309&lt;&gt;"",_xlfn.CONCAT(VLOOKUP($CE309, Constants!$T:$U, 2, FALSE()),",",$F309),VLOOKUP($CE309, Constants!$T:$U, 2, FALSE()))</f>
        <v>role/passenger,_ww_livery/nse</v>
      </c>
      <c r="H309" s="1" t="str">
        <f aca="false">IF($G309&lt;&gt;"",_xlfn.CONCAT(VLOOKUP($CG309, Constants!$M:$P, 4, FALSE()),",",$G309),VLOOKUP($CG309, Constants!$M:$P, 4, FALSE()))</f>
        <v>flag/GB,power/electric,role/passenger,_ww_livery/nse</v>
      </c>
      <c r="I309" s="1" t="s">
        <v>241</v>
      </c>
      <c r="J309" s="1" t="s">
        <v>466</v>
      </c>
      <c r="K309" s="1" t="s">
        <v>710</v>
      </c>
      <c r="L309" s="1" t="s">
        <v>753</v>
      </c>
      <c r="M309" s="1" t="n">
        <v>1987</v>
      </c>
      <c r="N309" s="1" t="n">
        <v>1990</v>
      </c>
      <c r="P309" s="1" t="n">
        <v>4</v>
      </c>
      <c r="Q309" s="1" t="n">
        <f aca="false">4*332</f>
        <v>1328</v>
      </c>
      <c r="Z309" s="1" t="n">
        <v>140.3</v>
      </c>
      <c r="AB309" s="1" t="n">
        <v>5</v>
      </c>
      <c r="AC309" s="1" t="n">
        <v>160</v>
      </c>
      <c r="AD309" s="4" t="n">
        <f aca="false">IF(AND(Z309&gt;0,AC309&gt;0),(AC309/((Z309+AA309)*10)),"")</f>
        <v>0.114041339985745</v>
      </c>
      <c r="AE309" s="1" t="n">
        <v>100</v>
      </c>
      <c r="AF309" s="1" t="n">
        <f aca="false">ROUND(AE309*1.6, 0)</f>
        <v>160</v>
      </c>
      <c r="AH309" s="1" t="n">
        <v>19.83</v>
      </c>
      <c r="AI309" s="1" t="n">
        <v>19.83</v>
      </c>
      <c r="AK309" s="1" t="n">
        <v>3.58</v>
      </c>
      <c r="AL309" s="5" t="n">
        <v>78</v>
      </c>
      <c r="AM309" s="1" t="str">
        <f aca="false">CONCATENATE(VLOOKUP(AN309, 'Voxel Sizes'!$A$2:$B$18,2,FALSE()),"x",INT(AJ309*15), "x", INT(AK309*15))</f>
        <v>198x0x53</v>
      </c>
      <c r="AN309" s="1" t="n">
        <f aca="false">ROUND(15*((AI309*10)/256),0)</f>
        <v>12</v>
      </c>
      <c r="AP309" s="1" t="str">
        <f aca="false">CONCATENATE(VLOOKUP(AN309,Constants!$A$2:$C$16,IF(AO309&lt;&gt;"", 3, 2), FALSE()),IF(AO309&lt;&gt;"",CONCATENATE(",",VLOOKUP(AO309,$B:$AP,41,FALSE())),""))</f>
        <v>4,4,4</v>
      </c>
      <c r="AT309" s="1" t="s">
        <v>1133</v>
      </c>
      <c r="AU309" s="1" t="s">
        <v>1134</v>
      </c>
      <c r="AV309" s="1" t="s">
        <v>966</v>
      </c>
      <c r="AZ309" s="1" t="n">
        <v>32</v>
      </c>
      <c r="BA309" s="16" t="str">
        <f aca="false">IF(O309&lt;&gt;"",MAX(16,(O309-M309)+8),"")</f>
        <v/>
      </c>
      <c r="BB309" s="1" t="n">
        <v>-10</v>
      </c>
      <c r="BC309" s="1" t="n">
        <v>-20</v>
      </c>
      <c r="BD309" s="1" t="n">
        <f aca="false">MIN(AE309/150, 1)*30</f>
        <v>20</v>
      </c>
      <c r="BE309" s="1" t="n">
        <f aca="false">MIN(Q309/4000, 1)*20</f>
        <v>6.64</v>
      </c>
      <c r="BF309" s="1" t="n">
        <f aca="false">MIN(AC309/400,1)*20</f>
        <v>8</v>
      </c>
      <c r="BG309" s="4" t="n">
        <f aca="false">1-(MAX(M309-1900, 0)/750)</f>
        <v>0.884</v>
      </c>
      <c r="BH309" s="1" t="n">
        <f aca="false">((MAX($P309,1)*MIN($AL309/300,1)))*IF(J309="Wagon",50,10)</f>
        <v>10.4</v>
      </c>
      <c r="BI309" s="1" t="n">
        <f aca="false">VLOOKUP($K309,Constants!$I:$K, 2, FALSE())</f>
        <v>0.85</v>
      </c>
      <c r="BJ309" s="1" t="n">
        <f aca="false">VLOOKUP($K309,Constants!$I:$K, 3, FALSE())*IF(AND(J309="multiple_unit",AE309&lt;110),0.75,1)</f>
        <v>1.8</v>
      </c>
      <c r="BK309" s="1" t="n">
        <f aca="false">INT(POWER(((Constants!$G$2+$BD309+$BE309+$BF309+$BH309)*$BG309)*$BJ309, 1.05))+$BC309</f>
        <v>79</v>
      </c>
      <c r="BL309" s="1" t="n">
        <f aca="false">INT(POWER((((Constants!$G$1+$BD309+$BE309+$BF309+$BH309)*($BG309))*$BI309),IF($J309="wagon",1,1.2)))+$BB309</f>
        <v>86</v>
      </c>
      <c r="BM309" s="17" t="n">
        <f aca="false">BK309*IF($J309="wagon",62.5,781.25)</f>
        <v>61718.75</v>
      </c>
      <c r="BN309" s="17" t="n">
        <f aca="false">BL309*IF($J309="wagon",2.73,81.25)</f>
        <v>6987.5</v>
      </c>
      <c r="BU309" s="1" t="str">
        <f aca="false">IF(J309="locomotive","B","")</f>
        <v/>
      </c>
      <c r="BV309" s="1" t="str">
        <f aca="false">IF(OR($J309="locomotive",$J309="wagon"),"B","")</f>
        <v/>
      </c>
      <c r="BY309" s="1" t="n">
        <v>3</v>
      </c>
      <c r="BZ309" s="1" t="n">
        <v>185</v>
      </c>
      <c r="CC309" s="1" t="s">
        <v>367</v>
      </c>
      <c r="CD309" s="1" t="str">
        <f aca="false">VLOOKUP(M309,Eras!$A$2:$C$10, 2, TRUE())</f>
        <v>lbr</v>
      </c>
      <c r="CE309" s="1" t="s">
        <v>858</v>
      </c>
      <c r="CF309" s="1" t="str">
        <f aca="false">CONCATENATE(CD309,"_",CE309)</f>
        <v>lbr_EMU</v>
      </c>
      <c r="CG309" s="1" t="str">
        <f aca="false">_xlfn.CONCAT(K309, "_",L309)</f>
        <v>dual_electric_DUAL_POWER</v>
      </c>
      <c r="CH309" s="7" t="str">
        <f aca="false">_xlfn.CONCAT("{BLACK}Length: {GOLD}", TEXT(ROUNDUP(IF(AS309&lt;&gt;"",SUM(VALUE(_xlfn.TEXTSPLIT(AS309, ","))), SUM(VALUE(_xlfn.TEXTSPLIT(AP309, ",")))*IF(P309, P309, 1))/16, 1), "#,##0.0"), " tiles{}")</f>
        <v>{BLACK}Length: {GOLD}3.0 tiles{}</v>
      </c>
      <c r="CI309" s="1" t="str">
        <f aca="false">IF(0, VLOOKUP($CG309, Constants!$M:$N, 2, FALSE()),"")</f>
        <v/>
      </c>
      <c r="CJ309" s="1" t="str">
        <f aca="false">IF(P309&gt;1,_xlfn.CONCAT("{BLACK}Cars: {GOLD}", P309),"")</f>
        <v>{BLACK}Cars: {GOLD}4</v>
      </c>
      <c r="CK309" s="1" t="s">
        <v>1135</v>
      </c>
      <c r="CL309" s="1" t="str">
        <f aca="false">IF($BX309="concept_trains","{GREEN}Concept Vehicle",IF($BX309="!param_no_gameplay_units","{GREEN}Included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{GOLD}3.0 tiles{}{SILVER}The Class 319 is a dual-voltage EMU built for the then-new Thameslink service between Brighton and Bedford.</v>
      </c>
    </row>
    <row r="310" customFormat="false" ht="14.25" hidden="false" customHeight="false" outlineLevel="0" collapsed="false">
      <c r="A310" s="1" t="s">
        <v>1136</v>
      </c>
      <c r="B310" s="15" t="s">
        <v>1137</v>
      </c>
      <c r="C310" s="1" t="n">
        <v>244</v>
      </c>
      <c r="E310" s="1" t="n">
        <v>374</v>
      </c>
      <c r="G310" s="1" t="str">
        <f aca="false">IF($F310&lt;&gt;"",_xlfn.CONCAT(VLOOKUP($CE310, Constants!$T:$U, 2, FALSE()),",",$F310),VLOOKUP($CE310, Constants!$T:$U, 2, FALSE()))</f>
        <v>role/passenger</v>
      </c>
      <c r="H310" s="1" t="str">
        <f aca="false">IF($G310&lt;&gt;"",_xlfn.CONCAT(VLOOKUP($CG310, Constants!$M:$P, 4, FALSE()),",",$G310),VLOOKUP($CG310, Constants!$M:$P, 4, FALSE()))</f>
        <v>flag/GB,power/electric,role/passenger</v>
      </c>
      <c r="I310" s="1" t="s">
        <v>241</v>
      </c>
      <c r="J310" s="1" t="s">
        <v>466</v>
      </c>
      <c r="K310" s="1" t="s">
        <v>388</v>
      </c>
      <c r="L310" s="1" t="s">
        <v>389</v>
      </c>
      <c r="M310" s="1" t="n">
        <v>1988</v>
      </c>
      <c r="N310" s="1" t="n">
        <v>1991</v>
      </c>
      <c r="P310" s="1" t="n">
        <v>4</v>
      </c>
      <c r="Q310" s="1" t="n">
        <v>1438</v>
      </c>
      <c r="Z310" s="1" t="n">
        <v>137.9</v>
      </c>
      <c r="AB310" s="1" t="n">
        <v>5</v>
      </c>
      <c r="AC310" s="1" t="n">
        <v>150</v>
      </c>
      <c r="AD310" s="4" t="n">
        <f aca="false">IF(AND(Z310&gt;0,AC310&gt;0),(AC310/((Z310+AA310)*10)),"")</f>
        <v>0.108774474256708</v>
      </c>
      <c r="AE310" s="1" t="n">
        <v>100</v>
      </c>
      <c r="AF310" s="1" t="n">
        <f aca="false">ROUND(AE310*1.6, 0)</f>
        <v>160</v>
      </c>
      <c r="AH310" s="1" t="n">
        <v>19.95</v>
      </c>
      <c r="AI310" s="1" t="n">
        <v>19.95</v>
      </c>
      <c r="AK310" s="1" t="n">
        <v>3.78</v>
      </c>
      <c r="AL310" s="5" t="n">
        <v>78</v>
      </c>
      <c r="AM310" s="1" t="str">
        <f aca="false">CONCATENATE(VLOOKUP(AN310, 'Voxel Sizes'!$A$2:$B$18,2,FALSE()),"x",INT(AJ310*15), "x", INT(AK310*15))</f>
        <v>198x0x56</v>
      </c>
      <c r="AN310" s="1" t="n">
        <f aca="false">ROUND(15*((AI310*10)/256),0)</f>
        <v>12</v>
      </c>
      <c r="AP310" s="1" t="str">
        <f aca="false">CONCATENATE(VLOOKUP(AN310,Constants!$A$2:$C$16,IF(AO310&lt;&gt;"", 3, 2), FALSE()),IF(AO310&lt;&gt;"",CONCATENATE(",",VLOOKUP(AO310,$B:$AP,41,FALSE())),""))</f>
        <v>4,4,4</v>
      </c>
      <c r="AT310" s="1" t="s">
        <v>1138</v>
      </c>
      <c r="AV310" s="1" t="s">
        <v>966</v>
      </c>
      <c r="AZ310" s="1" t="n">
        <v>33</v>
      </c>
      <c r="BA310" s="16" t="str">
        <f aca="false">IF(O310&lt;&gt;"",MAX(16,(O310-M310)+8),"")</f>
        <v/>
      </c>
      <c r="BB310" s="1" t="n">
        <v>-10</v>
      </c>
      <c r="BC310" s="1" t="n">
        <v>-27</v>
      </c>
      <c r="BD310" s="1" t="n">
        <f aca="false">MIN(AE310/150, 1)*30</f>
        <v>20</v>
      </c>
      <c r="BE310" s="1" t="n">
        <f aca="false">MIN(Q310/4000, 1)*20</f>
        <v>7.19</v>
      </c>
      <c r="BF310" s="1" t="n">
        <f aca="false">MIN(AC310/400,1)*20</f>
        <v>7.5</v>
      </c>
      <c r="BG310" s="4" t="n">
        <f aca="false">1-(MAX(M310-1900, 0)/750)</f>
        <v>0.882666666666667</v>
      </c>
      <c r="BH310" s="1" t="n">
        <f aca="false">((MAX($P310,1)*MIN($AL310/300,1)))*IF(J310="Wagon",50,10)</f>
        <v>10.4</v>
      </c>
      <c r="BI310" s="1" t="n">
        <f aca="false">VLOOKUP($K310,Constants!$I:$K, 2, FALSE())</f>
        <v>0.85</v>
      </c>
      <c r="BJ310" s="1" t="n">
        <f aca="false">VLOOKUP($K310,Constants!$I:$K, 3, FALSE())*IF(AND(J310="multiple_unit",AE310&lt;110),0.75,1)</f>
        <v>1.725</v>
      </c>
      <c r="BK310" s="1" t="n">
        <f aca="false">INT(POWER(((Constants!$G$2+$BD310+$BE310+$BF310+$BH310)*$BG310)*$BJ310, 1.05))+$BC310</f>
        <v>67</v>
      </c>
      <c r="BL310" s="1" t="n">
        <f aca="false">INT(POWER((((Constants!$G$1+$BD310+$BE310+$BF310+$BH310)*($BG310))*$BI310),IF($J310="wagon",1,1.2)))+$BB310</f>
        <v>86</v>
      </c>
      <c r="BM310" s="17" t="n">
        <f aca="false">BK310*IF($J310="wagon",62.5,781.25)</f>
        <v>52343.75</v>
      </c>
      <c r="BN310" s="17" t="n">
        <f aca="false">BL310*IF($J310="wagon",2.73,81.25)</f>
        <v>6987.5</v>
      </c>
      <c r="BU310" s="1" t="str">
        <f aca="false">IF(J310="locomotive","B","")</f>
        <v/>
      </c>
      <c r="BV310" s="1" t="str">
        <f aca="false">IF(OR($J310="locomotive",$J310="wagon"),"B","")</f>
        <v/>
      </c>
      <c r="BY310" s="1" t="n">
        <v>9</v>
      </c>
      <c r="BZ310" s="1" t="n">
        <v>185</v>
      </c>
      <c r="CC310" s="1" t="s">
        <v>367</v>
      </c>
      <c r="CD310" s="1" t="str">
        <f aca="false">VLOOKUP(M310,Eras!$A$2:$C$10, 2, TRUE())</f>
        <v>lbr</v>
      </c>
      <c r="CE310" s="1" t="s">
        <v>858</v>
      </c>
      <c r="CF310" s="1" t="str">
        <f aca="false">CONCATENATE(CD310,"_",CE310)</f>
        <v>lbr_EMU</v>
      </c>
      <c r="CG310" s="1" t="str">
        <f aca="false">_xlfn.CONCAT(K310, "_",L310)</f>
        <v>electric_ELRL</v>
      </c>
      <c r="CH310" s="7" t="str">
        <f aca="false">_xlfn.CONCAT("{BLACK}Length: {GOLD}", TEXT(ROUNDUP(IF(AS310&lt;&gt;"",SUM(VALUE(_xlfn.TEXTSPLIT(AS310, ","))), SUM(VALUE(_xlfn.TEXTSPLIT(AP310, ",")))*IF(P310, P310, 1))/16, 1), "#,##0.0"), " tiles{}")</f>
        <v>{BLACK}Length: {GOLD}3.0 tiles{}</v>
      </c>
      <c r="CI310" s="1" t="str">
        <f aca="false">IF(0, VLOOKUP($CG310, Constants!$M:$N, 2, FALSE()),"")</f>
        <v/>
      </c>
      <c r="CJ310" s="1" t="str">
        <f aca="false">IF(P310&gt;1,_xlfn.CONCAT("{BLACK}Cars: {GOLD}", P310),"")</f>
        <v>{BLACK}Cars: {GOLD}4</v>
      </c>
      <c r="CK310" s="1" t="s">
        <v>1139</v>
      </c>
      <c r="CL310" s="1" t="str">
        <f aca="false">IF($BX310="concept_trains","{GREEN}Concept Vehicle",IF($BX310="!param_no_gameplay_units","{GREEN}Included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
      </c>
      <c r="CN310" s="1" t="str">
        <f aca="false">_xlfn.CONCAT(CI310,IF(CI310&lt;&gt;""," ",""),CJ310,IF(OR(CJ310&lt;&gt;"",CI310&lt;&gt;""),"{}",""),CH310,CM310,"{SILVER}",CK310,IF(CL310&lt;&gt;"","{}{}",""),CL310)</f>
        <v>{BLACK}Cars: {GOLD}4{}{BLACK}Length: {GOLD}3.0 tiles{}{SILVER}The Class 321 is an overhead-line EMU, originally built for Network South East services and Regional Railways services from Leeds.</v>
      </c>
    </row>
    <row r="311" s="1" customFormat="true" ht="14.25" hidden="false" customHeight="false" outlineLevel="0" collapsed="false">
      <c r="A311" s="1" t="s">
        <v>1140</v>
      </c>
      <c r="B311" s="27" t="s">
        <v>1141</v>
      </c>
      <c r="C311" s="1" t="n">
        <v>3066</v>
      </c>
      <c r="E311" s="1" t="n">
        <v>375</v>
      </c>
      <c r="F311" s="1" t="s">
        <v>183</v>
      </c>
      <c r="G311" s="1" t="str">
        <f aca="false">IF($F311&lt;&gt;"",_xlfn.CONCAT(VLOOKUP($CE311, Constants!$T:$U, 2, FALSE()),",",$F311),VLOOKUP($CE311, Constants!$T:$U, 2, FALSE()))</f>
        <v>role/express_passenger,_ww_livery/nse</v>
      </c>
      <c r="H311" s="1" t="str">
        <f aca="false">IF($G311&lt;&gt;"",_xlfn.CONCAT(VLOOKUP($CG311, Constants!$M:$P, 4, FALSE()),",",$G311),VLOOKUP($CG311, Constants!$M:$P, 4, FALSE()))</f>
        <v>flag/GB,power/electric,role/express_passenger,_ww_livery/nse</v>
      </c>
      <c r="I311" s="1" t="s">
        <v>241</v>
      </c>
      <c r="J311" s="1" t="s">
        <v>466</v>
      </c>
      <c r="K311" s="1" t="s">
        <v>388</v>
      </c>
      <c r="L311" s="1" t="s">
        <v>541</v>
      </c>
      <c r="M311" s="1" t="n">
        <v>1988</v>
      </c>
      <c r="P311" s="1" t="n">
        <v>5</v>
      </c>
      <c r="Q311" s="1" t="n">
        <v>1610</v>
      </c>
      <c r="R311" s="2"/>
      <c r="S311" s="3"/>
      <c r="T311" s="3"/>
      <c r="U311" s="3"/>
      <c r="V311" s="3"/>
      <c r="W311" s="3"/>
      <c r="X311" s="3"/>
      <c r="Y311" s="3"/>
      <c r="Z311" s="1" t="n">
        <v>202.8</v>
      </c>
      <c r="AA311" s="2"/>
      <c r="AB311" s="1" t="n">
        <v>5</v>
      </c>
      <c r="AC311" s="1" t="n">
        <v>190</v>
      </c>
      <c r="AD311" s="4" t="n">
        <f aca="false">IF(AND(Z311&gt;0,AC311&gt;0),(AC311/((Z311+AA311)*10)),"")</f>
        <v>0.0936883629191322</v>
      </c>
      <c r="AE311" s="1" t="n">
        <v>108</v>
      </c>
      <c r="AF311" s="1" t="n">
        <f aca="false">ROUND(AE311*1.6, 0)</f>
        <v>173</v>
      </c>
      <c r="AH311" s="1" t="n">
        <v>23</v>
      </c>
      <c r="AI311" s="1" t="n">
        <v>23</v>
      </c>
      <c r="AJ311" s="1" t="n">
        <v>2.74</v>
      </c>
      <c r="AK311" s="1" t="n">
        <v>3.81</v>
      </c>
      <c r="AL311" s="5" t="n">
        <v>66</v>
      </c>
      <c r="AM311" s="1" t="str">
        <f aca="false">CONCATENATE(VLOOKUP(AN311, 'Voxel Sizes'!$A$2:$B$18,2,FALSE()),"x",INT(AJ311*15), "x", INT(AK311*15))</f>
        <v>214x41x57</v>
      </c>
      <c r="AN311" s="1" t="n">
        <f aca="false">ROUND(15*((AI311*10)/256),0)</f>
        <v>13</v>
      </c>
      <c r="AP311" s="1" t="str">
        <f aca="false">CONCATENATE(VLOOKUP(AN311,Constants!$A$2:$C$16,IF(AO311&lt;&gt;"", 3, 2), FALSE()),IF(AO311&lt;&gt;"",CONCATENATE(",",VLOOKUP(AO311,$B:$AP,41,FALSE())),""))</f>
        <v>4,5,4</v>
      </c>
      <c r="AR311" s="6"/>
      <c r="AS311" s="6"/>
      <c r="AT311" s="1" t="s">
        <v>1142</v>
      </c>
      <c r="AV311" s="1" t="s">
        <v>1143</v>
      </c>
      <c r="AW311" s="1" t="s">
        <v>1144</v>
      </c>
      <c r="AZ311" s="1" t="n">
        <v>35</v>
      </c>
      <c r="BA311" s="16" t="str">
        <f aca="false">IF(O311&lt;&gt;"",MAX(16,(O311-M311)+8),"")</f>
        <v/>
      </c>
      <c r="BB311" s="1" t="n">
        <v>-10</v>
      </c>
      <c r="BC311" s="1" t="n">
        <v>-25</v>
      </c>
      <c r="BD311" s="1" t="n">
        <f aca="false">MIN(AE311/150, 1)*30</f>
        <v>21.6</v>
      </c>
      <c r="BE311" s="1" t="n">
        <f aca="false">MIN(Q311/4000, 1)*20</f>
        <v>8.05</v>
      </c>
      <c r="BF311" s="1" t="n">
        <f aca="false">MIN(AC311/400,1)*20</f>
        <v>9.5</v>
      </c>
      <c r="BG311" s="4" t="n">
        <f aca="false">1-(MAX(M311-1900, 0)/750)</f>
        <v>0.882666666666667</v>
      </c>
      <c r="BH311" s="1" t="n">
        <f aca="false">((MAX($P311,1)*MIN($AL311/300,1)))*IF(J311="Wagon",50,10)</f>
        <v>11</v>
      </c>
      <c r="BI311" s="1" t="n">
        <f aca="false">VLOOKUP($K311,Constants!$I:$K, 2, FALSE())</f>
        <v>0.85</v>
      </c>
      <c r="BJ311" s="1" t="n">
        <f aca="false">VLOOKUP($K311,Constants!$I:$K, 3, FALSE())*IF(AND(J311="multiple_unit",AE311&lt;110),0.75,1)</f>
        <v>1.725</v>
      </c>
      <c r="BK311" s="1" t="n">
        <f aca="false">INT(POWER(((Constants!$G$2+$BD311+$BE311+$BF311+$BH311)*$BG311)*$BJ311, 1.05))+$BC311</f>
        <v>79</v>
      </c>
      <c r="BL311" s="1" t="n">
        <f aca="false">INT(POWER((((Constants!$G$1+$BD311+$BE311+$BF311+$BH311)*($BG311))*$BI311),IF($J311="wagon",1,1.2)))+$BB311</f>
        <v>96</v>
      </c>
      <c r="BM311" s="17" t="n">
        <f aca="false">BK311*IF($J311="wagon",62.5,781.25)</f>
        <v>61718.75</v>
      </c>
      <c r="BN311" s="17" t="n">
        <f aca="false">BL311*IF($J311="wagon",2.73,81.25)</f>
        <v>7800</v>
      </c>
      <c r="BU311" s="1" t="str">
        <f aca="false">IF(J311="locomotive","B","")</f>
        <v/>
      </c>
      <c r="BV311" s="1" t="str">
        <f aca="false">IF(OR($J311="locomotive",$J311="wagon"),"B","")</f>
        <v/>
      </c>
      <c r="BY311" s="1" t="n">
        <v>5</v>
      </c>
      <c r="BZ311" s="1" t="n">
        <v>205</v>
      </c>
      <c r="CC311" s="1" t="s">
        <v>367</v>
      </c>
      <c r="CD311" s="1" t="s">
        <v>647</v>
      </c>
      <c r="CE311" s="26" t="s">
        <v>913</v>
      </c>
      <c r="CF311" s="1" t="str">
        <f aca="false">CONCATENATE(CD311,"_",CE311)</f>
        <v>lbr_EMU (Express)</v>
      </c>
      <c r="CG311" s="1" t="str">
        <f aca="false">_xlfn.CONCAT(K311, "_",L311)</f>
        <v>electric_THIRD_RAIL</v>
      </c>
      <c r="CH311" s="7" t="str">
        <f aca="false">_xlfn.CONCAT("{BLACK}Length: {GOLD}", TEXT(ROUNDUP(IF(AS311&lt;&gt;"",SUM(VALUE(_xlfn.TEXTSPLIT(AS311, ","))), SUM(VALUE(_xlfn.TEXTSPLIT(AP311, ",")))*IF(P311, P311, 1))/16, 1), "#,##0.0"), " tiles{}")</f>
        <v>{BLACK}Length: {GOLD}4.1 tiles{}</v>
      </c>
      <c r="CI311" s="1" t="str">
        <f aca="false">IF(0, VLOOKUP($CG311, Constants!$M:$N, 2, FALSE()),"")</f>
        <v/>
      </c>
      <c r="CJ311" s="1" t="str">
        <f aca="false">IF(P311&gt;1,_xlfn.CONCAT("{BLACK}Cars: {GOLD}", P311),"")</f>
        <v>{BLACK}Cars: {GOLD}5</v>
      </c>
      <c r="CK311" s="1" t="s">
        <v>1145</v>
      </c>
      <c r="CL311" s="1" t="str">
        <f aca="false">IF($BX311="concept_trains","{GREEN}Concept Vehicle",IF($BX311="!param_no_gameplay_units","{GREEN}Included for gameplay purposes",""))</f>
        <v/>
      </c>
      <c r="CM311" s="26" t="str">
        <f aca="false">IF(CA311="buffet","{YELLOW}25% long distance bonus for consist{}",IF(CD311="BRAKE","{YELLOW}Speed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{GOLD}5{}{BLACK}Length: {GOLD}4.1 tiles{}{YELLOW}10% bonus for long distance travel{}{SILVER}The Class 442 holds the speed record for a third rail EMU at 108mph. Unlike most of its generation of Mk3-based multiple units, it uses the full-length carriage bodyshell.</v>
      </c>
    </row>
    <row r="312" s="1" customFormat="true" ht="14.25" hidden="false" customHeight="false" outlineLevel="0" collapsed="false">
      <c r="A312" s="1" t="s">
        <v>1146</v>
      </c>
      <c r="B312" s="27" t="s">
        <v>1144</v>
      </c>
      <c r="C312" s="1" t="n">
        <v>3067</v>
      </c>
      <c r="D312" s="1" t="n">
        <v>3066</v>
      </c>
      <c r="E312" s="1" t="n">
        <v>376</v>
      </c>
      <c r="F312" s="1" t="s">
        <v>183</v>
      </c>
      <c r="G312" s="1" t="str">
        <f aca="false">IF($F312&lt;&gt;"",_xlfn.CONCAT(VLOOKUP($CE312, Constants!$T:$U, 2, FALSE()),",",$F312),VLOOKUP($CE312, Constants!$T:$U, 2, FALSE()))</f>
        <v>role/express_passenger,_ww_livery/nse</v>
      </c>
      <c r="H312" s="1" t="str">
        <f aca="false">IF($G312&lt;&gt;"",_xlfn.CONCAT(VLOOKUP($CG312, Constants!$M:$P, 4, FALSE()),",",$G312),VLOOKUP($CG312, Constants!$M:$P, 4, FALSE()))</f>
        <v>flag/GB,power/electric,role/express_passenger,_ww_livery/nse</v>
      </c>
      <c r="I312" s="1" t="s">
        <v>241</v>
      </c>
      <c r="J312" s="1" t="s">
        <v>466</v>
      </c>
      <c r="K312" s="1" t="s">
        <v>710</v>
      </c>
      <c r="L312" s="26" t="s">
        <v>753</v>
      </c>
      <c r="M312" s="1" t="n">
        <v>1988</v>
      </c>
      <c r="P312" s="1" t="n">
        <v>5</v>
      </c>
      <c r="Q312" s="1" t="n">
        <v>2250</v>
      </c>
      <c r="R312" s="2" t="n">
        <v>1610</v>
      </c>
      <c r="S312" s="3"/>
      <c r="T312" s="3"/>
      <c r="U312" s="3"/>
      <c r="V312" s="3"/>
      <c r="W312" s="3"/>
      <c r="X312" s="3"/>
      <c r="Y312" s="3"/>
      <c r="Z312" s="1" t="n">
        <v>208.8</v>
      </c>
      <c r="AA312" s="2"/>
      <c r="AB312" s="1" t="n">
        <v>5</v>
      </c>
      <c r="AC312" s="1" t="n">
        <v>190</v>
      </c>
      <c r="AD312" s="4" t="n">
        <f aca="false">IF(AND(Z312&gt;0,AC312&gt;0),(AC312/((Z312+AA312)*10)),"")</f>
        <v>0.0909961685823755</v>
      </c>
      <c r="AE312" s="1" t="n">
        <v>108</v>
      </c>
      <c r="AF312" s="1" t="n">
        <f aca="false">ROUND(AE312*1.6, 0)</f>
        <v>173</v>
      </c>
      <c r="AH312" s="1" t="n">
        <v>23</v>
      </c>
      <c r="AI312" s="1" t="n">
        <v>23</v>
      </c>
      <c r="AJ312" s="1" t="n">
        <v>2.74</v>
      </c>
      <c r="AK312" s="1" t="n">
        <v>3.81</v>
      </c>
      <c r="AL312" s="5" t="n">
        <v>66</v>
      </c>
      <c r="AM312" s="1" t="str">
        <f aca="false">CONCATENATE(VLOOKUP(AN312, 'Voxel Sizes'!$A$2:$B$18,2,FALSE()),"x",INT(AJ312*15), "x", INT(AK312*15))</f>
        <v>214x41x57</v>
      </c>
      <c r="AN312" s="1" t="n">
        <f aca="false">ROUND(15*((AI312*10)/256),0)</f>
        <v>13</v>
      </c>
      <c r="AP312" s="1" t="str">
        <f aca="false">CONCATENATE(VLOOKUP(AN312,Constants!$A$2:$C$16,IF(AO312&lt;&gt;"", 3, 2), FALSE()),IF(AO312&lt;&gt;"",CONCATENATE(",",VLOOKUP(AO312,$B:$AP,41,FALSE())),""))</f>
        <v>4,5,4</v>
      </c>
      <c r="AR312" s="6"/>
      <c r="AS312" s="6"/>
      <c r="AT312" s="1" t="s">
        <v>1147</v>
      </c>
      <c r="AU312" s="1" t="s">
        <v>1148</v>
      </c>
      <c r="AV312" s="1" t="s">
        <v>1149</v>
      </c>
      <c r="AZ312" s="1" t="n">
        <v>35</v>
      </c>
      <c r="BA312" s="16" t="str">
        <f aca="false">IF(O312&lt;&gt;"",MAX(16,(O312-M312)+8),"")</f>
        <v/>
      </c>
      <c r="BB312" s="1" t="n">
        <v>-10</v>
      </c>
      <c r="BC312" s="1" t="n">
        <v>-25</v>
      </c>
      <c r="BD312" s="1" t="n">
        <f aca="false">MIN(AE312/150, 1)*30</f>
        <v>21.6</v>
      </c>
      <c r="BE312" s="1" t="n">
        <f aca="false">MIN(Q312/4000, 1)*20</f>
        <v>11.25</v>
      </c>
      <c r="BF312" s="1" t="n">
        <f aca="false">MIN(AC312/400,1)*20</f>
        <v>9.5</v>
      </c>
      <c r="BG312" s="4" t="n">
        <f aca="false">1-(MAX(M312-1900, 0)/750)</f>
        <v>0.882666666666667</v>
      </c>
      <c r="BH312" s="1" t="n">
        <f aca="false">((MAX($P312,1)*MIN($AL312/300,1)))*IF(J312="Wagon",50,10)</f>
        <v>11</v>
      </c>
      <c r="BI312" s="1" t="n">
        <f aca="false">VLOOKUP($K312,Constants!$I:$K, 2, FALSE())</f>
        <v>0.85</v>
      </c>
      <c r="BJ312" s="1" t="n">
        <f aca="false">VLOOKUP($K312,Constants!$I:$K, 3, FALSE())*IF(AND(J312="multiple_unit",AE312&lt;110),0.75,1)</f>
        <v>1.8</v>
      </c>
      <c r="BK312" s="1" t="n">
        <f aca="false">INT(POWER(((Constants!$G$2+$BD312+$BE312+$BF312+$BH312)*$BG312)*$BJ312, 1.05))+$BC312</f>
        <v>91</v>
      </c>
      <c r="BL312" s="1" t="n">
        <f aca="false">INT(POWER((((Constants!$G$1+$BD312+$BE312+$BF312+$BH312)*($BG312))*$BI312),IF($J312="wagon",1,1.2)))+$BB312</f>
        <v>102</v>
      </c>
      <c r="BM312" s="17" t="n">
        <f aca="false">BK312*IF($J312="wagon",62.5,781.25)</f>
        <v>71093.75</v>
      </c>
      <c r="BN312" s="17" t="n">
        <f aca="false">BL312*IF($J312="wagon",2.73,81.25)</f>
        <v>8287.5</v>
      </c>
      <c r="BU312" s="1" t="str">
        <f aca="false">IF(J312="locomotive","B","")</f>
        <v/>
      </c>
      <c r="BV312" s="1" t="str">
        <f aca="false">IF(OR($J312="locomotive",$J312="wagon"),"B","")</f>
        <v/>
      </c>
      <c r="BX312" s="1" t="s">
        <v>691</v>
      </c>
      <c r="BY312" s="1" t="n">
        <v>5</v>
      </c>
      <c r="BZ312" s="1" t="n">
        <v>205</v>
      </c>
      <c r="CC312" s="1" t="s">
        <v>367</v>
      </c>
      <c r="CD312" s="1" t="s">
        <v>647</v>
      </c>
      <c r="CE312" s="26" t="s">
        <v>913</v>
      </c>
      <c r="CF312" s="1" t="str">
        <f aca="false">CONCATENATE(CD312,"_",CE312)</f>
        <v>lbr_EMU (Express)</v>
      </c>
      <c r="CG312" s="1" t="str">
        <f aca="false">_xlfn.CONCAT(K312, "_",L312)</f>
        <v>dual_electric_DUAL_POWER</v>
      </c>
      <c r="CH312" s="7" t="str">
        <f aca="false">_xlfn.CONCAT("{BLACK}Length: {GOLD}", TEXT(ROUNDUP(IF(AS312&lt;&gt;"",SUM(VALUE(_xlfn.TEXTSPLIT(AS312, ","))), SUM(VALUE(_xlfn.TEXTSPLIT(AP312, ",")))*IF(P312, P312, 1))/16, 1), "#,##0.0"), " tiles{}")</f>
        <v>{BLACK}Length: {GOLD}4.1 tiles{}</v>
      </c>
      <c r="CI312" s="1" t="str">
        <f aca="false">IF(0, VLOOKUP($CG312, Constants!$M:$N, 2, FALSE()),"")</f>
        <v/>
      </c>
      <c r="CJ312" s="1" t="str">
        <f aca="false">IF(P312&gt;1,_xlfn.CONCAT("{BLACK}Cars: {GOLD}", P312),"")</f>
        <v>{BLACK}Cars: {GOLD}5</v>
      </c>
      <c r="CK312" s="31" t="s">
        <v>1150</v>
      </c>
      <c r="CL312" s="1" t="str">
        <f aca="false">IF($BX312="concept_trains","{GREEN}Concept Vehicle",IF($BX312="!param_no_gameplay_units","{GREEN}Included for gameplay purposes",""))</f>
        <v>{GREEN}Concept Vehicle</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{GOLD}5{}{BLACK}Length: {GOLD}4.1 tiles{}{YELLOW}10% bonus for long distance travel{}{SILVER}What if the Class 442 had a dual-voltage conversion to allow through-running expresses and an end to 3rd rail power supply?{}{}{GREEN}Concept Vehicle</v>
      </c>
    </row>
    <row r="313" s="1" customFormat="true" ht="14.25" hidden="false" customHeight="false" outlineLevel="0" collapsed="false">
      <c r="A313" s="1" t="s">
        <v>1151</v>
      </c>
      <c r="B313" s="27" t="s">
        <v>1152</v>
      </c>
      <c r="C313" s="1" t="n">
        <v>3045</v>
      </c>
      <c r="E313" s="1" t="n">
        <v>377</v>
      </c>
      <c r="G313" s="1" t="str">
        <f aca="false">IF($F313&lt;&gt;"",_xlfn.CONCAT(VLOOKUP($CE313, Constants!$T:$U, 2, FALSE()),",",$F313),VLOOKUP($CE313, Constants!$T:$U, 2, FALSE()))</f>
        <v>role/passenger</v>
      </c>
      <c r="H313" s="1" t="str">
        <f aca="false">IF($G313&lt;&gt;"",_xlfn.CONCAT(VLOOKUP($CG313, Constants!$M:$P, 4, FALSE()),",",$G313),VLOOKUP($CG313, Constants!$M:$P, 4, FALSE()))</f>
        <v>flag/GB,power/diesel,role/passenger</v>
      </c>
      <c r="I313" s="1" t="s">
        <v>241</v>
      </c>
      <c r="J313" s="1" t="s">
        <v>466</v>
      </c>
      <c r="K313" s="1" t="s">
        <v>525</v>
      </c>
      <c r="L313" s="1" t="s">
        <v>192</v>
      </c>
      <c r="M313" s="1" t="n">
        <v>1988</v>
      </c>
      <c r="P313" s="1" t="n">
        <v>2</v>
      </c>
      <c r="Q313" s="1" t="n">
        <f aca="false">285*2</f>
        <v>570</v>
      </c>
      <c r="R313" s="2"/>
      <c r="S313" s="3"/>
      <c r="T313" s="3"/>
      <c r="U313" s="3"/>
      <c r="V313" s="3"/>
      <c r="W313" s="3"/>
      <c r="X313" s="3"/>
      <c r="Y313" s="3"/>
      <c r="Z313" s="1" t="n">
        <f aca="false">35.5+36.1</f>
        <v>71.6</v>
      </c>
      <c r="AA313" s="2"/>
      <c r="AB313" s="1" t="n">
        <v>5</v>
      </c>
      <c r="AC313" s="1" t="n">
        <v>110</v>
      </c>
      <c r="AD313" s="4" t="n">
        <f aca="false">IF(AND(Z313&gt;0,AC313&gt;0),(AC313/((Z313+AA313)*10)),"")</f>
        <v>0.153631284916201</v>
      </c>
      <c r="AE313" s="1" t="n">
        <v>75</v>
      </c>
      <c r="AF313" s="1" t="n">
        <f aca="false">ROUND(AE313*1.6, 0)</f>
        <v>120</v>
      </c>
      <c r="AH313" s="1" t="n">
        <v>23</v>
      </c>
      <c r="AI313" s="1" t="n">
        <v>23</v>
      </c>
      <c r="AJ313" s="1" t="n">
        <v>2.8</v>
      </c>
      <c r="AK313" s="1" t="n">
        <v>3.7</v>
      </c>
      <c r="AL313" s="5" t="n">
        <v>69</v>
      </c>
      <c r="AM313" s="1" t="str">
        <f aca="false">CONCATENATE(VLOOKUP(AN313, 'Voxel Sizes'!$A$2:$B$18,2,FALSE()),"x",INT(AJ313*15), "x", INT(AK313*15))</f>
        <v>214x42x55</v>
      </c>
      <c r="AN313" s="1" t="n">
        <f aca="false">ROUND(15*((AI313*10)/256),0)</f>
        <v>13</v>
      </c>
      <c r="AP313" s="1" t="str">
        <f aca="false">CONCATENATE(VLOOKUP(AN313,Constants!$A$2:$C$16,IF(AO313&lt;&gt;"", 3, 2), FALSE()),IF(AO313&lt;&gt;"",CONCATENATE(",",VLOOKUP(AO313,$B:$AP,41,FALSE())),""))</f>
        <v>4,5,4</v>
      </c>
      <c r="AR313" s="6"/>
      <c r="AS313" s="6"/>
      <c r="AT313" s="1" t="s">
        <v>1153</v>
      </c>
      <c r="AV313" s="1" t="s">
        <v>815</v>
      </c>
      <c r="AZ313" s="1" t="n">
        <v>33</v>
      </c>
      <c r="BA313" s="16" t="str">
        <f aca="false">IF(O313&lt;&gt;"",MAX(16,(O313-M313)+8),"")</f>
        <v/>
      </c>
      <c r="BB313" s="1" t="n">
        <v>-10</v>
      </c>
      <c r="BC313" s="1" t="n">
        <v>-15</v>
      </c>
      <c r="BD313" s="1" t="n">
        <f aca="false">MIN(AE313/150, 1)*30</f>
        <v>15</v>
      </c>
      <c r="BE313" s="1" t="n">
        <f aca="false">MIN(Q313/4000, 1)*20</f>
        <v>2.85</v>
      </c>
      <c r="BF313" s="1" t="n">
        <f aca="false">MIN(AC313/400,1)*20</f>
        <v>5.5</v>
      </c>
      <c r="BG313" s="4" t="n">
        <f aca="false">1-(MAX(M313-1900, 0)/750)</f>
        <v>0.882666666666667</v>
      </c>
      <c r="BH313" s="1" t="n">
        <f aca="false">((MAX($P313,1)*MIN($AL313/300,1)))*IF(J313="Wagon",50,10)</f>
        <v>4.6</v>
      </c>
      <c r="BI313" s="1" t="n">
        <f aca="false">VLOOKUP($K313,Constants!$I:$K, 2, FALSE())</f>
        <v>1</v>
      </c>
      <c r="BJ313" s="1" t="n">
        <f aca="false">VLOOKUP($K313,Constants!$I:$K, 3, FALSE())*IF(AND(J313="multiple_unit",AE313&lt;110),0.75,1)</f>
        <v>1.5</v>
      </c>
      <c r="BK313" s="1" t="n">
        <f aca="false">INT(POWER(((Constants!$G$2+$BD313+$BE313+$BF313+$BH313)*$BG313)*$BJ313, 1.05))+$BC313</f>
        <v>37</v>
      </c>
      <c r="BL313" s="1" t="n">
        <f aca="false">INT(POWER((((Constants!$G$1+$BD313+$BE313+$BF313+$BH313)*($BG313))*$BI313),IF($J313="wagon",1,1.2)))+$BB313</f>
        <v>68</v>
      </c>
      <c r="BM313" s="17" t="n">
        <f aca="false">BK313*IF($J313="wagon",62.5,781.25)</f>
        <v>28906.25</v>
      </c>
      <c r="BN313" s="17" t="n">
        <f aca="false">BL313*IF($J313="wagon",2.73,81.25)</f>
        <v>5525</v>
      </c>
      <c r="BT313" s="1" t="s">
        <v>1154</v>
      </c>
      <c r="BU313" s="1" t="str">
        <f aca="false">IF(J313="locomotive","B","")</f>
        <v/>
      </c>
      <c r="BV313" s="1" t="str">
        <f aca="false">IF(OR($J313="locomotive",$J313="wagon"),"B","")</f>
        <v/>
      </c>
      <c r="BY313" s="1" t="n">
        <v>4</v>
      </c>
      <c r="BZ313" s="1" t="n">
        <v>185</v>
      </c>
      <c r="CC313" s="1" t="s">
        <v>367</v>
      </c>
      <c r="CD313" s="1" t="s">
        <v>647</v>
      </c>
      <c r="CE313" s="26" t="s">
        <v>824</v>
      </c>
      <c r="CF313" s="1" t="str">
        <f aca="false">CONCATENATE(CD313,"_",CE313)</f>
        <v>lbr_DMU</v>
      </c>
      <c r="CG313" s="1" t="str">
        <f aca="false">_xlfn.CONCAT(K313, "_",L313)</f>
        <v>diesel_RAIL</v>
      </c>
      <c r="CH313" s="7" t="str">
        <f aca="false">_xlfn.CONCAT("{BLACK}Length: {GOLD}", TEXT(ROUNDUP(IF(AS313&lt;&gt;"",SUM(VALUE(_xlfn.TEXTSPLIT(AS313, ","))), SUM(VALUE(_xlfn.TEXTSPLIT(AP313, ",")))*IF(P313, P313, 1))/16, 1), "#,##0.0"), " tiles{}")</f>
        <v>{BLACK}Length: {GOLD}1.7 tiles{}</v>
      </c>
      <c r="CI313" s="1" t="str">
        <f aca="false">IF(0, VLOOKUP($CG313, Constants!$M:$N, 2, FALSE()),"")</f>
        <v/>
      </c>
      <c r="CJ313" s="1" t="str">
        <f aca="false">IF(P313&gt;1,_xlfn.CONCAT("{BLACK}Cars: {GOLD}", P313),"")</f>
        <v>{BLACK}Cars: {GOLD}2</v>
      </c>
      <c r="CK313" s="1" t="s">
        <v>1155</v>
      </c>
      <c r="CL313" s="1" t="str">
        <f aca="false">IF($BX313="concept_trains","{GREEN}Concept Vehicle",IF($BX313="!param_no_gameplay_units","{GREEN}Included for gameplay purposes",""))</f>
        <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
      </c>
      <c r="CN313" s="1" t="str">
        <f aca="false">_xlfn.CONCAT(CI313,IF(CI313&lt;&gt;""," ",""),CJ313,IF(OR(CJ313&lt;&gt;"",CI313&lt;&gt;""),"{}",""),CH313,CM313,"{SILVER}",CK313,IF(CL313&lt;&gt;"","{}{}",""),CL313)</f>
        <v>{BLACK}Cars: {GOLD}2{}{BLACK}Length: {GOLD}1.7 tiles{}{SILVER}The Class 156 is a member of the Sprinter family designed for longer journeys, with single doors at each end rather than the metro-style doors of the Class 150s.</v>
      </c>
    </row>
    <row r="314" s="1" customFormat="true" ht="14.25" hidden="false" customHeight="false" outlineLevel="0" collapsed="false">
      <c r="A314" s="1" t="s">
        <v>1156</v>
      </c>
      <c r="B314" s="27" t="s">
        <v>1157</v>
      </c>
      <c r="C314" s="1" t="n">
        <v>3046</v>
      </c>
      <c r="E314" s="1" t="n">
        <v>378</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241</v>
      </c>
      <c r="J314" s="1" t="s">
        <v>466</v>
      </c>
      <c r="K314" s="1" t="s">
        <v>525</v>
      </c>
      <c r="L314" s="1" t="s">
        <v>192</v>
      </c>
      <c r="M314" s="1" t="n">
        <v>1989</v>
      </c>
      <c r="N314" s="1" t="n">
        <v>1992</v>
      </c>
      <c r="P314" s="1" t="n">
        <v>2</v>
      </c>
      <c r="Q314" s="1" t="n">
        <f aca="false">350*2</f>
        <v>700</v>
      </c>
      <c r="R314" s="2"/>
      <c r="S314" s="3"/>
      <c r="T314" s="3"/>
      <c r="U314" s="3"/>
      <c r="V314" s="3"/>
      <c r="W314" s="3"/>
      <c r="X314" s="3"/>
      <c r="Y314" s="3"/>
      <c r="Z314" s="1" t="n">
        <f aca="false">38.5 * 2</f>
        <v>77</v>
      </c>
      <c r="AA314" s="2"/>
      <c r="AB314" s="1" t="n">
        <v>5</v>
      </c>
      <c r="AC314" s="1" t="n">
        <v>120</v>
      </c>
      <c r="AD314" s="4" t="n">
        <f aca="false">IF(AND(Z314&gt;0,AC314&gt;0),(AC314/((Z314+AA314)*10)),"")</f>
        <v>0.155844155844156</v>
      </c>
      <c r="AE314" s="1" t="n">
        <v>90</v>
      </c>
      <c r="AF314" s="1" t="n">
        <f aca="false">ROUND(AE314*1.6, 0)</f>
        <v>144</v>
      </c>
      <c r="AH314" s="1" t="n">
        <v>23.2</v>
      </c>
      <c r="AI314" s="1" t="n">
        <v>23</v>
      </c>
      <c r="AJ314" s="1" t="n">
        <v>2.7</v>
      </c>
      <c r="AL314" s="5" t="n">
        <v>69</v>
      </c>
      <c r="AM314" s="1" t="str">
        <f aca="false">CONCATENATE(VLOOKUP(AN314, 'Voxel Sizes'!$A$2:$B$18,2,FALSE()),"x",INT(AJ314*15), "x", INT(AK314*15))</f>
        <v>214x40x0</v>
      </c>
      <c r="AN314" s="1" t="n">
        <f aca="false">ROUND(15*((AI314*10)/256),0)</f>
        <v>13</v>
      </c>
      <c r="AP314" s="1" t="str">
        <f aca="false">CONCATENATE(VLOOKUP(AN314,Constants!$A$2:$C$16,IF(AO314&lt;&gt;"", 3, 2), FALSE()),IF(AO314&lt;&gt;"",CONCATENATE(",",VLOOKUP(AO314,$B:$AP,41,FALSE())),""))</f>
        <v>4,5,4</v>
      </c>
      <c r="AR314" s="6"/>
      <c r="AS314" s="6"/>
      <c r="AT314" s="1" t="s">
        <v>1158</v>
      </c>
      <c r="AV314" s="1" t="s">
        <v>815</v>
      </c>
      <c r="AW314" s="1" t="s">
        <v>1159</v>
      </c>
      <c r="AZ314" s="1" t="n">
        <v>33</v>
      </c>
      <c r="BA314" s="16" t="str">
        <f aca="false">IF(O314&lt;&gt;"",MAX(16,(O314-M314)+8),"")</f>
        <v/>
      </c>
      <c r="BB314" s="1" t="n">
        <v>-10</v>
      </c>
      <c r="BC314" s="1" t="n">
        <v>-15</v>
      </c>
      <c r="BD314" s="1" t="n">
        <f aca="false">MIN(AE314/150, 1)*30</f>
        <v>18</v>
      </c>
      <c r="BE314" s="1" t="n">
        <f aca="false">MIN(Q314/4000, 1)*20</f>
        <v>3.5</v>
      </c>
      <c r="BF314" s="1" t="n">
        <f aca="false">MIN(AC314/400,1)*20</f>
        <v>6</v>
      </c>
      <c r="BG314" s="4" t="n">
        <f aca="false">1-(MAX(M314-1900, 0)/750)</f>
        <v>0.881333333333333</v>
      </c>
      <c r="BH314" s="1" t="n">
        <f aca="false">((MAX($P314,1)*MIN($AL314/300,1)))*IF(J314="Wagon",50,10)</f>
        <v>4.6</v>
      </c>
      <c r="BI314" s="1" t="n">
        <f aca="false">VLOOKUP($K314,Constants!$I:$K, 2, FALSE())</f>
        <v>1</v>
      </c>
      <c r="BJ314" s="1" t="n">
        <f aca="false">VLOOKUP($K314,Constants!$I:$K, 3, FALSE())*IF(AND(J314="multiple_unit",AE314&lt;110),0.75,1)</f>
        <v>1.5</v>
      </c>
      <c r="BK314" s="1" t="n">
        <f aca="false">INT(POWER(((Constants!$G$2+$BD314+$BE314+$BF314+$BH314)*$BG314)*$BJ314, 1.05))+$BC314</f>
        <v>44</v>
      </c>
      <c r="BL314" s="1" t="n">
        <f aca="false">INT(POWER((((Constants!$G$1+$BD314+$BE314+$BF314+$BH314)*($BG314))*$BI314),IF($J314="wagon",1,1.2)))+$BB314</f>
        <v>77</v>
      </c>
      <c r="BM314" s="17" t="n">
        <f aca="false">BK314*IF($J314="wagon",62.5,781.25)</f>
        <v>34375</v>
      </c>
      <c r="BN314" s="17" t="n">
        <f aca="false">BL314*IF($J314="wagon",2.73,81.25)</f>
        <v>6256.25</v>
      </c>
      <c r="BT314" s="1" t="s">
        <v>1160</v>
      </c>
      <c r="BU314" s="1" t="str">
        <f aca="false">IF(J314="locomotive","B","")</f>
        <v/>
      </c>
      <c r="BV314" s="1" t="str">
        <f aca="false">IF(OR($J314="locomotive",$J314="wagon"),"B","")</f>
        <v/>
      </c>
      <c r="BY314" s="1" t="n">
        <v>7</v>
      </c>
      <c r="BZ314" s="1" t="n">
        <v>205</v>
      </c>
      <c r="CC314" s="1" t="s">
        <v>367</v>
      </c>
      <c r="CD314" s="1" t="s">
        <v>647</v>
      </c>
      <c r="CE314" s="26" t="s">
        <v>1016</v>
      </c>
      <c r="CF314" s="1" t="str">
        <f aca="false">CONCATENATE(CD314,"_",CE314)</f>
        <v>lbr_DMU (Express)</v>
      </c>
      <c r="CG314" s="1" t="str">
        <f aca="false">_xlfn.CONCAT(K314, "_",L314)</f>
        <v>diesel_RAIL</v>
      </c>
      <c r="CH314" s="7" t="str">
        <f aca="false">_xlfn.CONCAT("{BLACK}Length: {GOLD}", TEXT(ROUNDUP(IF(AS314&lt;&gt;"",SUM(VALUE(_xlfn.TEXTSPLIT(AS314, ","))), SUM(VALUE(_xlfn.TEXTSPLIT(AP314, ",")))*IF(P314, P314, 1))/16, 1), "#,##0.0"), " tiles{}")</f>
        <v>{BLACK}Length: {GOLD}1.7 tiles{}</v>
      </c>
      <c r="CI314" s="1" t="str">
        <f aca="false">IF(0, VLOOKUP($CG314, Constants!$M:$N, 2, FALSE()),"")</f>
        <v/>
      </c>
      <c r="CJ314" s="1" t="str">
        <f aca="false">IF(P314&gt;1,_xlfn.CONCAT("{BLACK}Cars: {GOLD}", P314),"")</f>
        <v>{BLACK}Cars: {GOLD}2</v>
      </c>
      <c r="CK314" s="1" t="s">
        <v>1161</v>
      </c>
      <c r="CL314" s="1" t="str">
        <f aca="false">IF($BX314="concept_trains","{GREEN}Concept Vehicle",IF($BX314="!param_no_gameplay_units","{GREEN}Included for gameplay purposes",""))</f>
        <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{GOLD}2{}{BLACK}Length: {GOLD}1.7 tiles{}{YELLOW}10% bonus for long distance travel{}{SILVER}The Class 158 has many improvements over earlier generation Sprinters, including air conditioning and a more comfortable ride.</v>
      </c>
    </row>
    <row r="315" s="1" customFormat="true" ht="14.25" hidden="false" customHeight="false" outlineLevel="0" collapsed="false">
      <c r="A315" s="1" t="s">
        <v>1156</v>
      </c>
      <c r="B315" s="27" t="s">
        <v>1162</v>
      </c>
      <c r="C315" s="1" t="n">
        <v>3047</v>
      </c>
      <c r="D315" s="1" t="n">
        <v>3046</v>
      </c>
      <c r="E315" s="1" t="n">
        <v>379</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241</v>
      </c>
      <c r="J315" s="1" t="s">
        <v>466</v>
      </c>
      <c r="K315" s="1" t="s">
        <v>525</v>
      </c>
      <c r="L315" s="1" t="s">
        <v>192</v>
      </c>
      <c r="M315" s="1" t="n">
        <v>1989</v>
      </c>
      <c r="N315" s="1" t="n">
        <v>1992</v>
      </c>
      <c r="P315" s="1" t="n">
        <v>3</v>
      </c>
      <c r="Q315" s="1" t="n">
        <f aca="false">350*3</f>
        <v>1050</v>
      </c>
      <c r="R315" s="2"/>
      <c r="S315" s="3"/>
      <c r="T315" s="3"/>
      <c r="U315" s="3"/>
      <c r="V315" s="3"/>
      <c r="W315" s="3"/>
      <c r="X315" s="3"/>
      <c r="Y315" s="3"/>
      <c r="Z315" s="1" t="n">
        <f aca="false">38.5 * 3</f>
        <v>115.5</v>
      </c>
      <c r="AA315" s="2"/>
      <c r="AB315" s="1" t="n">
        <v>5</v>
      </c>
      <c r="AC315" s="1" t="n">
        <v>120</v>
      </c>
      <c r="AD315" s="4" t="n">
        <f aca="false">IF(AND(Z315&gt;0,AC315&gt;0),(AC315/((Z315+AA315)*10)),"")</f>
        <v>0.103896103896104</v>
      </c>
      <c r="AE315" s="1" t="n">
        <v>90</v>
      </c>
      <c r="AF315" s="1" t="n">
        <f aca="false">ROUND(AE315*1.6, 0)</f>
        <v>144</v>
      </c>
      <c r="AH315" s="1" t="n">
        <v>23.2</v>
      </c>
      <c r="AI315" s="1" t="n">
        <v>23</v>
      </c>
      <c r="AJ315" s="1" t="n">
        <v>2.7</v>
      </c>
      <c r="AL315" s="5" t="n">
        <v>69</v>
      </c>
      <c r="AM315" s="1" t="str">
        <f aca="false">CONCATENATE(VLOOKUP(AN315, 'Voxel Sizes'!$A$2:$B$18,2,FALSE()),"x",INT(AJ315*15), "x", INT(AK315*15))</f>
        <v>214x40x0</v>
      </c>
      <c r="AN315" s="1" t="n">
        <f aca="false">ROUND(15*((AI315*10)/256),0)</f>
        <v>13</v>
      </c>
      <c r="AP315" s="1" t="str">
        <f aca="false">CONCATENATE(VLOOKUP(AN315,Constants!$A$2:$C$16,IF(AO315&lt;&gt;"", 3, 2), FALSE()),IF(AO315&lt;&gt;"",CONCATENATE(",",VLOOKUP(AO315,$B:$AP,41,FALSE())),""))</f>
        <v>4,5,4</v>
      </c>
      <c r="AR315" s="6"/>
      <c r="AS315" s="6"/>
      <c r="AT315" s="1" t="s">
        <v>1163</v>
      </c>
      <c r="AV315" s="1" t="s">
        <v>819</v>
      </c>
      <c r="AW315" s="1" t="s">
        <v>1159</v>
      </c>
      <c r="AZ315" s="1" t="n">
        <v>33</v>
      </c>
      <c r="BA315" s="16" t="str">
        <f aca="false">IF(O315&lt;&gt;"",MAX(16,(O315-M315)+8),"")</f>
        <v/>
      </c>
      <c r="BB315" s="1" t="n">
        <v>-10</v>
      </c>
      <c r="BC315" s="1" t="n">
        <v>-15</v>
      </c>
      <c r="BD315" s="1" t="n">
        <f aca="false">MIN(AE315/150, 1)*30</f>
        <v>18</v>
      </c>
      <c r="BE315" s="1" t="n">
        <f aca="false">MIN(Q315/4000, 1)*20</f>
        <v>5.25</v>
      </c>
      <c r="BF315" s="1" t="n">
        <f aca="false">MIN(AC315/400,1)*20</f>
        <v>6</v>
      </c>
      <c r="BG315" s="4" t="n">
        <f aca="false">1-(MAX(M315-1900, 0)/750)</f>
        <v>0.881333333333333</v>
      </c>
      <c r="BH315" s="1" t="n">
        <f aca="false">((MAX($P315,1)*MIN($AL315/300,1)))*IF(J315="Wagon",50,10)</f>
        <v>6.9</v>
      </c>
      <c r="BI315" s="1" t="n">
        <f aca="false">VLOOKUP($K315,Constants!$I:$K, 2, FALSE())</f>
        <v>1</v>
      </c>
      <c r="BJ315" s="1" t="n">
        <f aca="false">VLOOKUP($K315,Constants!$I:$K, 3, FALSE())*IF(AND(J315="multiple_unit",AE315&lt;110),0.75,1)</f>
        <v>1.5</v>
      </c>
      <c r="BK315" s="1" t="n">
        <f aca="false">INT(POWER(((Constants!$G$2+$BD315+$BE315+$BF315+$BH315)*$BG315)*$BJ315, 1.05))+$BC315</f>
        <v>51</v>
      </c>
      <c r="BL315" s="1" t="n">
        <f aca="false">INT(POWER((((Constants!$G$1+$BD315+$BE315+$BF315+$BH315)*($BG315))*$BI315),IF($J315="wagon",1,1.2)))+$BB315</f>
        <v>86</v>
      </c>
      <c r="BM315" s="17" t="n">
        <f aca="false">BK315*IF($J315="wagon",62.5,781.25)</f>
        <v>39843.75</v>
      </c>
      <c r="BN315" s="17" t="n">
        <f aca="false">BL315*IF($J315="wagon",2.73,81.25)</f>
        <v>6987.5</v>
      </c>
      <c r="BT315" s="1" t="s">
        <v>1164</v>
      </c>
      <c r="BU315" s="1" t="str">
        <f aca="false">IF(J315="locomotive","B","")</f>
        <v/>
      </c>
      <c r="BV315" s="1" t="str">
        <f aca="false">IF(OR($J315="locomotive",$J315="wagon"),"B","")</f>
        <v/>
      </c>
      <c r="BY315" s="1" t="n">
        <v>7</v>
      </c>
      <c r="BZ315" s="1" t="n">
        <v>205</v>
      </c>
      <c r="CC315" s="1" t="s">
        <v>367</v>
      </c>
      <c r="CD315" s="1" t="s">
        <v>647</v>
      </c>
      <c r="CE315" s="26" t="s">
        <v>1016</v>
      </c>
      <c r="CF315" s="1" t="str">
        <f aca="false">CONCATENATE(CD315,"_",CE315)</f>
        <v>lbr_DMU (Express)</v>
      </c>
      <c r="CG315" s="1" t="str">
        <f aca="false">_xlfn.CONCAT(K315, "_",L315)</f>
        <v>diesel_RAIL</v>
      </c>
      <c r="CH315" s="7" t="str">
        <f aca="false">_xlfn.CONCAT("{BLACK}Length: {GOLD}", TEXT(ROUNDUP(IF(AS315&lt;&gt;"",SUM(VALUE(_xlfn.TEXTSPLIT(AS315, ","))), SUM(VALUE(_xlfn.TEXTSPLIT(AP315, ",")))*IF(P315, P315, 1))/16, 1), "#,##0.0"), " tiles{}")</f>
        <v>{BLACK}Length: {GOLD}2.5 tiles{}</v>
      </c>
      <c r="CI315" s="1" t="str">
        <f aca="false">IF(0, VLOOKUP($CG315, Constants!$M:$N, 2, FALSE()),"")</f>
        <v/>
      </c>
      <c r="CJ315" s="1" t="str">
        <f aca="false">IF(P315&gt;1,_xlfn.CONCAT("{BLACK}Cars: {GOLD}", P315),"")</f>
        <v>{BLACK}Cars: {GOLD}3</v>
      </c>
      <c r="CK315" s="1" t="s">
        <v>1161</v>
      </c>
      <c r="CL315" s="1" t="str">
        <f aca="false">IF($BX315="concept_trains","{GREEN}Concept Vehicle",IF($BX315="!param_no_gameplay_units","{GREEN}Included for gameplay purposes",""))</f>
        <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{GOLD}3{}{BLACK}Length: {GOLD}2.5 tiles{}{YELLOW}10% bonus for long distance travel{}{SILVER}The Class 158 has many improvements over earlier generation Sprinters, including air conditioning and a more comfortable ride.</v>
      </c>
    </row>
    <row r="316" s="1" customFormat="true" ht="14.25" hidden="false" customHeight="false" outlineLevel="0" collapsed="false">
      <c r="A316" s="1" t="s">
        <v>1165</v>
      </c>
      <c r="B316" s="27" t="s">
        <v>1166</v>
      </c>
      <c r="C316" s="1" t="n">
        <v>3048</v>
      </c>
      <c r="D316" s="1" t="n">
        <v>3046</v>
      </c>
      <c r="E316" s="1" t="n">
        <v>380</v>
      </c>
      <c r="G316" s="1" t="str">
        <f aca="false">IF($F316&lt;&gt;"",_xlfn.CONCAT(VLOOKUP($CE316, Constants!$T:$U, 2, FALSE()),",",$F316),VLOOKUP($CE316, Constants!$T:$U, 2, FALSE()))</f>
        <v>role/passenger</v>
      </c>
      <c r="H316" s="1" t="str">
        <f aca="false">IF($G316&lt;&gt;"",_xlfn.CONCAT(VLOOKUP($CG316, Constants!$M:$P, 4, FALSE()),",",$G316),VLOOKUP($CG316, Constants!$M:$P, 4, FALSE()))</f>
        <v>flag/GB,power/diesel,role/passenger</v>
      </c>
      <c r="I316" s="1" t="s">
        <v>241</v>
      </c>
      <c r="J316" s="1" t="s">
        <v>466</v>
      </c>
      <c r="K316" s="1" t="s">
        <v>525</v>
      </c>
      <c r="L316" s="1" t="s">
        <v>192</v>
      </c>
      <c r="M316" s="1" t="n">
        <v>1989</v>
      </c>
      <c r="N316" s="1" t="n">
        <v>1992</v>
      </c>
      <c r="P316" s="1" t="n">
        <v>2</v>
      </c>
      <c r="Q316" s="1" t="n">
        <f aca="false">350+285</f>
        <v>635</v>
      </c>
      <c r="R316" s="2"/>
      <c r="S316" s="3"/>
      <c r="T316" s="3"/>
      <c r="U316" s="3"/>
      <c r="V316" s="3"/>
      <c r="W316" s="3"/>
      <c r="X316" s="3"/>
      <c r="Y316" s="3"/>
      <c r="Z316" s="1" t="n">
        <f aca="false">38.5+36.1</f>
        <v>74.6</v>
      </c>
      <c r="AA316" s="2"/>
      <c r="AB316" s="1" t="n">
        <v>5</v>
      </c>
      <c r="AC316" s="1" t="n">
        <v>120</v>
      </c>
      <c r="AD316" s="4" t="n">
        <f aca="false">IF(AND(Z316&gt;0,AC316&gt;0),(AC316/((Z316+AA316)*10)),"")</f>
        <v>0.160857908847185</v>
      </c>
      <c r="AE316" s="1" t="n">
        <v>75</v>
      </c>
      <c r="AF316" s="1" t="n">
        <f aca="false">ROUND(AE316*1.6, 0)</f>
        <v>120</v>
      </c>
      <c r="AH316" s="1" t="n">
        <v>23.2</v>
      </c>
      <c r="AI316" s="1" t="n">
        <v>23</v>
      </c>
      <c r="AJ316" s="1" t="n">
        <v>2.7</v>
      </c>
      <c r="AL316" s="5" t="n">
        <v>69</v>
      </c>
      <c r="AM316" s="1" t="str">
        <f aca="false">CONCATENATE(VLOOKUP(AN316, 'Voxel Sizes'!$A$2:$B$18,2,FALSE()),"x",INT(AJ316*15), "x", INT(AK316*15))</f>
        <v>214x40x0</v>
      </c>
      <c r="AN316" s="1" t="n">
        <f aca="false">ROUND(15*((AI316*10)/256),0)</f>
        <v>13</v>
      </c>
      <c r="AP316" s="1" t="str">
        <f aca="false">CONCATENATE(VLOOKUP(AN316,Constants!$A$2:$C$16,IF(AO316&lt;&gt;"", 3, 2), FALSE()),IF(AO316&lt;&gt;"",CONCATENATE(",",VLOOKUP(AO316,$B:$AP,41,FALSE())),""))</f>
        <v>4,5,4</v>
      </c>
      <c r="AR316" s="6"/>
      <c r="AS316" s="6"/>
      <c r="AT316" s="1" t="s">
        <v>1167</v>
      </c>
      <c r="AV316" s="1" t="s">
        <v>957</v>
      </c>
      <c r="AW316" s="1" t="s">
        <v>1159</v>
      </c>
      <c r="AZ316" s="1" t="n">
        <v>33</v>
      </c>
      <c r="BA316" s="16" t="str">
        <f aca="false">IF(O316&lt;&gt;"",MAX(16,(O316-M316)+8),"")</f>
        <v/>
      </c>
      <c r="BB316" s="1" t="n">
        <v>-10</v>
      </c>
      <c r="BC316" s="1" t="n">
        <v>-15</v>
      </c>
      <c r="BD316" s="1" t="n">
        <f aca="false">MIN(AE316/150, 1)*30</f>
        <v>15</v>
      </c>
      <c r="BE316" s="1" t="n">
        <f aca="false">MIN(Q316/4000, 1)*20</f>
        <v>3.175</v>
      </c>
      <c r="BF316" s="1" t="n">
        <f aca="false">MIN(AC316/400,1)*20</f>
        <v>6</v>
      </c>
      <c r="BG316" s="4" t="n">
        <f aca="false">1-(MAX(M316-1900, 0)/750)</f>
        <v>0.881333333333333</v>
      </c>
      <c r="BH316" s="1" t="n">
        <f aca="false">((MAX($P316,1)*MIN($AL316/300,1)))*IF(J316="Wagon",50,10)</f>
        <v>4.6</v>
      </c>
      <c r="BI316" s="1" t="n">
        <f aca="false">VLOOKUP($K316,Constants!$I:$K, 2, FALSE())</f>
        <v>1</v>
      </c>
      <c r="BJ316" s="1" t="n">
        <f aca="false">VLOOKUP($K316,Constants!$I:$K, 3, FALSE())*IF(AND(J316="multiple_unit",AE316&lt;110),0.75,1)</f>
        <v>1.5</v>
      </c>
      <c r="BK316" s="1" t="n">
        <f aca="false">INT(POWER(((Constants!$G$2+$BD316+$BE316+$BF316+$BH316)*$BG316)*$BJ316, 1.05))+$BC316</f>
        <v>38</v>
      </c>
      <c r="BL316" s="1" t="n">
        <f aca="false">INT(POWER((((Constants!$G$1+$BD316+$BE316+$BF316+$BH316)*($BG316))*$BI316),IF($J316="wagon",1,1.2)))+$BB316</f>
        <v>70</v>
      </c>
      <c r="BM316" s="17" t="n">
        <f aca="false">BK316*IF($J316="wagon",62.5,781.25)</f>
        <v>29687.5</v>
      </c>
      <c r="BN316" s="17" t="n">
        <f aca="false">BL316*IF($J316="wagon",2.73,81.25)</f>
        <v>5687.5</v>
      </c>
      <c r="BT316" s="1" t="s">
        <v>1168</v>
      </c>
      <c r="BU316" s="1" t="str">
        <f aca="false">IF(J316="locomotive","B","")</f>
        <v/>
      </c>
      <c r="BV316" s="1" t="str">
        <f aca="false">IF(OR($J316="locomotive",$J316="wagon"),"B","")</f>
        <v/>
      </c>
      <c r="BY316" s="1" t="n">
        <v>9</v>
      </c>
      <c r="BZ316" s="1" t="n">
        <v>185</v>
      </c>
      <c r="CC316" s="1" t="s">
        <v>367</v>
      </c>
      <c r="CD316" s="1" t="s">
        <v>647</v>
      </c>
      <c r="CE316" s="26" t="s">
        <v>824</v>
      </c>
      <c r="CF316" s="1" t="str">
        <f aca="false">CONCATENATE(CD316,"_",CE316)</f>
        <v>lbr_DMU</v>
      </c>
      <c r="CG316" s="1" t="str">
        <f aca="false">_xlfn.CONCAT(K316, "_",L316)</f>
        <v>diesel_RAIL</v>
      </c>
      <c r="CH316" s="7" t="str">
        <f aca="false">_xlfn.CONCAT("{BLACK}Length: {GOLD}", TEXT(ROUNDUP(IF(AS316&lt;&gt;"",SUM(VALUE(_xlfn.TEXTSPLIT(AS316, ","))), SUM(VALUE(_xlfn.TEXTSPLIT(AP316, ",")))*IF(P316, P316, 1))/16, 1), "#,##0.0"), " tiles{}")</f>
        <v>{BLACK}Length: {GOLD}1.7 tiles{}</v>
      </c>
      <c r="CI316" s="1" t="str">
        <f aca="false">IF(0, VLOOKUP($CG316, Constants!$M:$N, 2, FALSE()),"")</f>
        <v/>
      </c>
      <c r="CJ316" s="1" t="str">
        <f aca="false">IF(P316&gt;1,_xlfn.CONCAT("{BLACK}Cars: {GOLD}", P316),"")</f>
        <v>{BLACK}Cars: {GOLD}2</v>
      </c>
      <c r="CK316" s="1" t="s">
        <v>1169</v>
      </c>
      <c r="CL316" s="1" t="str">
        <f aca="false">IF($BX316="concept_trains","{GREEN}Concept Vehicle",IF($BX316="!param_no_gameplay_units","{GREEN}Included for gameplay purposes",""))</f>
        <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{GOLD}2{}{BLACK}Length: {GOLD}1.7 tiles{}{SILVER}When both Class 158 and Class 156 vehicles are unavailable, it’s possible to run hybrid units of the type, and these have been documented in passenger service on many occasions.</v>
      </c>
    </row>
    <row r="317" customFormat="false" ht="14.25" hidden="false" customHeight="false" outlineLevel="0" collapsed="false">
      <c r="A317" s="1" t="s">
        <v>1170</v>
      </c>
      <c r="B317" s="15" t="s">
        <v>1112</v>
      </c>
      <c r="C317" s="1" t="n">
        <v>249</v>
      </c>
      <c r="E317" s="1" t="n">
        <v>381</v>
      </c>
      <c r="F317" s="1" t="s">
        <v>183</v>
      </c>
      <c r="G317" s="1" t="str">
        <f aca="false">IF($F317&lt;&gt;"",_xlfn.CONCAT(VLOOKUP($CE317, Constants!$T:$U, 2, FALSE()),",",$F317),VLOOKUP($CE317, Constants!$T:$U, 2, FALSE()))</f>
        <v>role/passenger,_ww_livery/nse</v>
      </c>
      <c r="H317" s="1" t="str">
        <f aca="false">IF($G317&lt;&gt;"",_xlfn.CONCAT(VLOOKUP($CG317, Constants!$M:$P, 4, FALSE()),",",$G317),VLOOKUP($CG317, Constants!$M:$P, 4, FALSE()))</f>
        <v>flag/GB,power/electric,role/passenger,_ww_livery/nse</v>
      </c>
      <c r="I317" s="1" t="s">
        <v>241</v>
      </c>
      <c r="J317" s="1" t="s">
        <v>466</v>
      </c>
      <c r="K317" s="1" t="s">
        <v>388</v>
      </c>
      <c r="L317" s="1" t="s">
        <v>541</v>
      </c>
      <c r="M317" s="1" t="n">
        <v>1990</v>
      </c>
      <c r="P317" s="1" t="n">
        <v>2</v>
      </c>
      <c r="Q317" s="1" t="n">
        <v>500</v>
      </c>
      <c r="Z317" s="1" t="n">
        <v>72.5</v>
      </c>
      <c r="AB317" s="1" t="n">
        <v>5</v>
      </c>
      <c r="AC317" s="1" t="n">
        <v>120</v>
      </c>
      <c r="AD317" s="4" t="n">
        <f aca="false">IF(AND(Z317&gt;0,AC317&gt;0),(AC317/((Z317+AA317)*10)),"")</f>
        <v>0.16551724137931</v>
      </c>
      <c r="AE317" s="1" t="n">
        <v>75</v>
      </c>
      <c r="AF317" s="1" t="n">
        <f aca="false">ROUND(AE317*1.6, 0)</f>
        <v>120</v>
      </c>
      <c r="AH317" s="1" t="n">
        <v>19.8</v>
      </c>
      <c r="AI317" s="1" t="n">
        <v>19.8</v>
      </c>
      <c r="AL317" s="5" t="n">
        <v>75</v>
      </c>
      <c r="AM317" s="1" t="str">
        <f aca="false">CONCATENATE(VLOOKUP(AN317, 'Voxel Sizes'!$A$2:$B$18,2,FALSE()),"x",INT(AJ317*15), "x", INT(AK317*15))</f>
        <v>198x0x0</v>
      </c>
      <c r="AN317" s="1" t="n">
        <f aca="false">ROUND(15*((AI317*10)/256),0)</f>
        <v>12</v>
      </c>
      <c r="AP317" s="1" t="str">
        <f aca="false">CONCATENATE(VLOOKUP(AN317,Constants!$A$2:$C$16,IF(AO317&lt;&gt;"", 3, 2), FALSE()),IF(AO317&lt;&gt;"",CONCATENATE(",",VLOOKUP(AO317,$B:$AP,41,FALSE())),""))</f>
        <v>4,4,4</v>
      </c>
      <c r="AT317" s="1" t="s">
        <v>1171</v>
      </c>
      <c r="AV317" s="1" t="s">
        <v>815</v>
      </c>
      <c r="AZ317" s="1" t="n">
        <v>31</v>
      </c>
      <c r="BA317" s="16" t="str">
        <f aca="false">IF(O317&lt;&gt;"",MAX(16,(O317-M317)+8),"")</f>
        <v/>
      </c>
      <c r="BB317" s="1" t="n">
        <v>-10</v>
      </c>
      <c r="BC317" s="1" t="n">
        <v>-20</v>
      </c>
      <c r="BD317" s="1" t="n">
        <f aca="false">MIN(AE317/150, 1)*30</f>
        <v>15</v>
      </c>
      <c r="BE317" s="1" t="n">
        <f aca="false">MIN(Q317/4000, 1)*20</f>
        <v>2.5</v>
      </c>
      <c r="BF317" s="1" t="n">
        <f aca="false">MIN(AC317/400,1)*20</f>
        <v>6</v>
      </c>
      <c r="BG317" s="4" t="n">
        <f aca="false">1-(MAX(M317-1900, 0)/750)</f>
        <v>0.88</v>
      </c>
      <c r="BH317" s="1" t="n">
        <f aca="false">((MAX($P317,1)*MIN($AL317/300,1)))*IF(J317="Wagon",50,10)</f>
        <v>5</v>
      </c>
      <c r="BI317" s="1" t="n">
        <f aca="false">VLOOKUP($K317,Constants!$I:$K, 2, FALSE())</f>
        <v>0.85</v>
      </c>
      <c r="BJ317" s="1" t="n">
        <f aca="false">VLOOKUP($K317,Constants!$I:$K, 3, FALSE())*IF(AND(J317="multiple_unit",AE317&lt;110),0.75,1)</f>
        <v>1.725</v>
      </c>
      <c r="BK317" s="1" t="n">
        <f aca="false">INT(POWER(((Constants!$G$2+$BD317+$BE317+$BF317+$BH317)*$BG317)*$BJ317, 1.05))+$BC317</f>
        <v>41</v>
      </c>
      <c r="BL317" s="1" t="n">
        <f aca="false">INT(POWER((((Constants!$G$1+$BD317+$BE317+$BF317+$BH317)*($BG317))*$BI317),IF($J317="wagon",1,1.2)))+$BB317</f>
        <v>55</v>
      </c>
      <c r="BM317" s="17" t="n">
        <f aca="false">BK317*IF($J317="wagon",62.5,781.25)</f>
        <v>32031.25</v>
      </c>
      <c r="BN317" s="17" t="n">
        <f aca="false">BL317*IF($J317="wagon",2.73,81.25)</f>
        <v>4468.75</v>
      </c>
      <c r="BT317" s="1" t="s">
        <v>1110</v>
      </c>
      <c r="BU317" s="1" t="str">
        <f aca="false">IF(J317="locomotive","B","")</f>
        <v/>
      </c>
      <c r="BV317" s="1" t="str">
        <f aca="false">IF(OR($J317="locomotive",$J317="wagon"),"B","")</f>
        <v/>
      </c>
      <c r="BY317" s="1" t="n">
        <v>8</v>
      </c>
      <c r="BZ317" s="1" t="n">
        <v>185</v>
      </c>
      <c r="CC317" s="1" t="s">
        <v>367</v>
      </c>
      <c r="CD317" s="1" t="str">
        <f aca="false">VLOOKUP(M317,Eras!$A$2:$C$10, 2, TRUE())</f>
        <v>lbr</v>
      </c>
      <c r="CE317" s="1" t="s">
        <v>858</v>
      </c>
      <c r="CF317" s="1" t="str">
        <f aca="false">CONCATENATE(CD317,"_",CE317)</f>
        <v>lbr_EMU</v>
      </c>
      <c r="CG317" s="1" t="str">
        <f aca="false">_xlfn.CONCAT(K317, "_",L317)</f>
        <v>electric_THIRD_RAIL</v>
      </c>
      <c r="CH317" s="7" t="str">
        <f aca="false">_xlfn.CONCAT("{BLACK}Length: {GOLD}", TEXT(ROUNDUP(IF(AS317&lt;&gt;"",SUM(VALUE(_xlfn.TEXTSPLIT(AS317, ","))), SUM(VALUE(_xlfn.TEXTSPLIT(AP317, ",")))*IF(P317, P317, 1))/16, 1), "#,##0.0"), " tiles{}")</f>
        <v>{BLACK}Length: {GOLD}1.5 tiles{}</v>
      </c>
      <c r="CI317" s="1" t="str">
        <f aca="false">IF(0, VLOOKUP($CG317, Constants!$M:$N, 2, FALSE()),"")</f>
        <v/>
      </c>
      <c r="CJ317" s="1" t="str">
        <f aca="false">IF(P317&gt;1,_xlfn.CONCAT("{BLACK}Cars: {GOLD}", P317),"")</f>
        <v>{BLACK}Cars: {GOLD}2</v>
      </c>
      <c r="CK317" s="1" t="s">
        <v>1172</v>
      </c>
      <c r="CL317" s="1" t="str">
        <f aca="false">IF($BX317="concept_trains","{GREEN}Concept Vehicle",IF($BX317="!param_no_gameplay_units","{GREEN}Included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{BLACK}Cars: {GOLD}2{}{BLACK}Length: {GOLD}1.5 tiles{}{SILVER}The Class 456 is a two-car EMU used for inner suburban services - either as a single unit for services with low demand or coupled to other Class 456 or 455 units for higher capacity routes.</v>
      </c>
    </row>
    <row r="318" customFormat="false" ht="14.25" hidden="false" customHeight="false" outlineLevel="0" collapsed="false">
      <c r="A318" s="1" t="s">
        <v>1173</v>
      </c>
      <c r="B318" s="15" t="s">
        <v>1174</v>
      </c>
      <c r="C318" s="1" t="n">
        <v>250</v>
      </c>
      <c r="E318" s="1" t="n">
        <v>382</v>
      </c>
      <c r="G318" s="1" t="str">
        <f aca="false">IF($F318&lt;&gt;"",_xlfn.CONCAT(VLOOKUP($CE318, Constants!$T:$U, 2, FALSE()),",",$F318),VLOOKUP($CE318, Constants!$T:$U, 2, FALSE()))</f>
        <v>role/passenger</v>
      </c>
      <c r="H318" s="1" t="str">
        <f aca="false">IF($G318&lt;&gt;"",_xlfn.CONCAT(VLOOKUP($CG318, Constants!$M:$P, 4, FALSE()),",",$G318),VLOOKUP($CG318, Constants!$M:$P, 4, FALSE()))</f>
        <v>flag/GB,power/diesel,role/passenger</v>
      </c>
      <c r="I318" s="1" t="s">
        <v>241</v>
      </c>
      <c r="J318" s="1" t="s">
        <v>466</v>
      </c>
      <c r="K318" s="1" t="s">
        <v>525</v>
      </c>
      <c r="L318" s="1" t="s">
        <v>192</v>
      </c>
      <c r="M318" s="1" t="n">
        <v>1991</v>
      </c>
      <c r="N318" s="1" t="n">
        <v>1992</v>
      </c>
      <c r="P318" s="1" t="n">
        <v>2</v>
      </c>
      <c r="Q318" s="1" t="n">
        <f aca="false">350*2</f>
        <v>700</v>
      </c>
      <c r="Z318" s="1" t="n">
        <v>74</v>
      </c>
      <c r="AB318" s="1" t="n">
        <v>5</v>
      </c>
      <c r="AC318" s="1" t="n">
        <v>105</v>
      </c>
      <c r="AD318" s="4" t="n">
        <f aca="false">IF(AND(Z318&gt;0,AC318&gt;0),(AC318/((Z318+AA318)*10)),"")</f>
        <v>0.141891891891892</v>
      </c>
      <c r="AE318" s="1" t="n">
        <v>75</v>
      </c>
      <c r="AF318" s="1" t="n">
        <f aca="false">ROUND(AE318*1.6, 0)</f>
        <v>120</v>
      </c>
      <c r="AH318" s="1" t="n">
        <v>22.91</v>
      </c>
      <c r="AI318" s="1" t="n">
        <v>22.9</v>
      </c>
      <c r="AJ318" s="1" t="n">
        <v>2.8</v>
      </c>
      <c r="AK318" s="1" t="n">
        <v>3.8</v>
      </c>
      <c r="AL318" s="5" t="n">
        <v>93</v>
      </c>
      <c r="AM318" s="1" t="str">
        <f aca="false">CONCATENATE(VLOOKUP(AN318, 'Voxel Sizes'!$A$2:$B$18,2,FALSE()),"x",INT(AJ318*15), "x", INT(AK318*15))</f>
        <v>214x42x57</v>
      </c>
      <c r="AN318" s="1" t="n">
        <f aca="false">ROUND(15*((AI318*10)/256),0)</f>
        <v>13</v>
      </c>
      <c r="AP318" s="1" t="str">
        <f aca="false">CONCATENATE(VLOOKUP(AN318,Constants!$A$2:$C$16,IF(AO318&lt;&gt;"", 3, 2), FALSE()),IF(AO318&lt;&gt;"",CONCATENATE(",",VLOOKUP(AO318,$B:$AP,41,FALSE())),""))</f>
        <v>4,5,4</v>
      </c>
      <c r="AT318" s="1" t="s">
        <v>1175</v>
      </c>
      <c r="AV318" s="1" t="s">
        <v>815</v>
      </c>
      <c r="AZ318" s="1" t="n">
        <v>32</v>
      </c>
      <c r="BA318" s="16" t="str">
        <f aca="false">IF(O318&lt;&gt;"",MAX(16,(O318-M318)+8),"")</f>
        <v/>
      </c>
      <c r="BB318" s="1" t="n">
        <v>-10</v>
      </c>
      <c r="BC318" s="1" t="n">
        <v>-15</v>
      </c>
      <c r="BD318" s="1" t="n">
        <f aca="false">MIN(AE318/150, 1)*30</f>
        <v>15</v>
      </c>
      <c r="BE318" s="1" t="n">
        <f aca="false">MIN(Q318/4000, 1)*20</f>
        <v>3.5</v>
      </c>
      <c r="BF318" s="1" t="n">
        <f aca="false">MIN(AC318/400,1)*20</f>
        <v>5.25</v>
      </c>
      <c r="BG318" s="4" t="n">
        <f aca="false">1-(MAX(M318-1900, 0)/750)</f>
        <v>0.878666666666667</v>
      </c>
      <c r="BH318" s="1" t="n">
        <f aca="false">((MAX($P318,1)*MIN($AL318/300,1)))*IF(J318="Wagon",50,10)</f>
        <v>6.2</v>
      </c>
      <c r="BI318" s="1" t="n">
        <f aca="false">VLOOKUP($K318,Constants!$I:$K, 2, FALSE())</f>
        <v>1</v>
      </c>
      <c r="BJ318" s="1" t="n">
        <f aca="false">VLOOKUP($K318,Constants!$I:$K, 3, FALSE())*IF(AND(J318="multiple_unit",AE318&lt;110),0.75,1)</f>
        <v>1.5</v>
      </c>
      <c r="BK318" s="1" t="n">
        <f aca="false">INT(POWER(((Constants!$G$2+$BD318+$BE318+$BF318+$BH318)*$BG318)*$BJ318, 1.05))+$BC318</f>
        <v>40</v>
      </c>
      <c r="BL318" s="1" t="n">
        <f aca="false">INT(POWER((((Constants!$G$1+$BD318+$BE318+$BF318+$BH318)*($BG318))*$BI318),IF($J318="wagon",1,1.2)))+$BB318</f>
        <v>72</v>
      </c>
      <c r="BM318" s="17" t="n">
        <f aca="false">BK318*IF($J318="wagon",62.5,781.25)</f>
        <v>31250</v>
      </c>
      <c r="BN318" s="17" t="n">
        <f aca="false">BL318*IF($J318="wagon",2.73,81.25)</f>
        <v>5850</v>
      </c>
      <c r="BU318" s="1" t="str">
        <f aca="false">IF(J318="locomotive","B","")</f>
        <v/>
      </c>
      <c r="BV318" s="1" t="str">
        <f aca="false">IF(OR($J318="locomotive",$J318="wagon"),"B","")</f>
        <v/>
      </c>
      <c r="BY318" s="1" t="n">
        <v>9</v>
      </c>
      <c r="BZ318" s="1" t="n">
        <v>185</v>
      </c>
      <c r="CC318" s="1" t="s">
        <v>367</v>
      </c>
      <c r="CD318" s="1" t="str">
        <f aca="false">VLOOKUP(M318,Eras!$A$2:$C$10, 2, TRUE())</f>
        <v>lbr</v>
      </c>
      <c r="CE318" s="1" t="s">
        <v>824</v>
      </c>
      <c r="CF318" s="1" t="str">
        <f aca="false">CONCATENATE(CD318,"_",CE318)</f>
        <v>lbr_DMU</v>
      </c>
      <c r="CG318" s="1" t="str">
        <f aca="false">_xlfn.CONCAT(K318, "_",L318)</f>
        <v>diesel_RAIL</v>
      </c>
      <c r="CH318" s="7" t="str">
        <f aca="false">_xlfn.CONCAT("{BLACK}Length: {GOLD}", TEXT(ROUNDUP(IF(AS318&lt;&gt;"",SUM(VALUE(_xlfn.TEXTSPLIT(AS318, ","))), SUM(VALUE(_xlfn.TEXTSPLIT(AP318, ",")))*IF(P318, P318, 1))/16, 1), "#,##0.0"), " tiles{}")</f>
        <v>{BLACK}Length: {GOLD}1.7 tiles{}</v>
      </c>
      <c r="CI318" s="1" t="str">
        <f aca="false">IF(0, VLOOKUP($CG318, Constants!$M:$N, 2, FALSE()),"")</f>
        <v/>
      </c>
      <c r="CJ318" s="1" t="str">
        <f aca="false">IF(P318&gt;1,_xlfn.CONCAT("{BLACK}Cars: {GOLD}", P318),"")</f>
        <v>{BLACK}Cars: {GOLD}2</v>
      </c>
      <c r="CK318" s="1" t="s">
        <v>1176</v>
      </c>
      <c r="CL318" s="1" t="str">
        <f aca="false">IF($BX318="concept_trains","{GREEN}Concept Vehicle",IF($BX318="!param_no_gameplay_units","{GREEN}Included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{GOLD}2{}{BLACK}Length: {GOLD}1.7 tiles{}{SILVER}The Class 165 is a high capacity DMU with 2+3 seating.</v>
      </c>
    </row>
    <row r="319" s="26" customFormat="true" ht="14.25" hidden="false" customHeight="false" outlineLevel="0" collapsed="false">
      <c r="A319" s="26" t="s">
        <v>1177</v>
      </c>
      <c r="B319" s="27" t="s">
        <v>1178</v>
      </c>
      <c r="C319" s="1" t="n">
        <v>3043</v>
      </c>
      <c r="E319" s="1" t="n">
        <v>383</v>
      </c>
      <c r="G319" s="1" t="str">
        <f aca="false">IF($F319&lt;&gt;"",_xlfn.CONCAT(VLOOKUP($CE319, Constants!$T:$U, 2, FALSE()),",",$F319),VLOOKUP($CE319, Constants!$T:$U, 2, FALSE()))</f>
        <v>role/passenger</v>
      </c>
      <c r="H319" s="1" t="str">
        <f aca="false">IF($G319&lt;&gt;"",_xlfn.CONCAT(VLOOKUP($CG319, Constants!$M:$P, 4, FALSE()),",",$G319),VLOOKUP($CG319, Constants!$M:$P, 4, FALSE()))</f>
        <v>flag/GB,power/diesel,role/passenger</v>
      </c>
      <c r="I319" s="26" t="s">
        <v>241</v>
      </c>
      <c r="J319" s="26" t="s">
        <v>466</v>
      </c>
      <c r="K319" s="26" t="s">
        <v>525</v>
      </c>
      <c r="L319" s="26" t="s">
        <v>192</v>
      </c>
      <c r="M319" s="26" t="n">
        <v>1991</v>
      </c>
      <c r="P319" s="26" t="n">
        <v>1</v>
      </c>
      <c r="Q319" s="26" t="n">
        <v>285</v>
      </c>
      <c r="R319" s="2"/>
      <c r="S319" s="3"/>
      <c r="T319" s="3"/>
      <c r="U319" s="3"/>
      <c r="V319" s="3"/>
      <c r="W319" s="3"/>
      <c r="X319" s="3"/>
      <c r="Y319" s="3"/>
      <c r="Z319" s="26" t="n">
        <v>41.2</v>
      </c>
      <c r="AA319" s="2"/>
      <c r="AB319" s="26" t="n">
        <v>5</v>
      </c>
      <c r="AC319" s="26" t="n">
        <v>55</v>
      </c>
      <c r="AD319" s="4" t="n">
        <v>0.153631284916201</v>
      </c>
      <c r="AE319" s="26" t="n">
        <v>75</v>
      </c>
      <c r="AF319" s="26" t="n">
        <v>120</v>
      </c>
      <c r="AH319" s="26" t="n">
        <v>23.2</v>
      </c>
      <c r="AI319" s="26" t="n">
        <v>23.2</v>
      </c>
      <c r="AJ319" s="26" t="n">
        <v>2.7</v>
      </c>
      <c r="AK319" s="26" t="n">
        <v>3.7</v>
      </c>
      <c r="AL319" s="5" t="n">
        <v>72</v>
      </c>
      <c r="AM319" s="1" t="str">
        <f aca="false">CONCATENATE(VLOOKUP(AN319, 'Voxel Sizes'!$A$2:$B$18,2,FALSE()),"x",INT(AJ319*15), "x", INT(AK319*15))</f>
        <v>238x40x55</v>
      </c>
      <c r="AN319" s="26" t="n">
        <f aca="false">ROUND(15*((AI319*10)/256),0)</f>
        <v>14</v>
      </c>
      <c r="AP319" s="1" t="str">
        <f aca="false">CONCATENATE(VLOOKUP(AN319,Constants!$A$2:$C$16,IF(AO319&lt;&gt;"", 3, 2), FALSE()),IF(AO319&lt;&gt;"",CONCATENATE(",",VLOOKUP(AO319,$B:$AP,41,FALSE())),""))</f>
        <v>4,6,4</v>
      </c>
      <c r="AR319" s="6"/>
      <c r="AS319" s="6"/>
      <c r="AT319" s="26" t="s">
        <v>1178</v>
      </c>
      <c r="AV319" s="26" t="n">
        <v>1</v>
      </c>
      <c r="AZ319" s="26" t="n">
        <v>33</v>
      </c>
      <c r="BA319" s="16"/>
      <c r="BB319" s="26" t="n">
        <v>-10</v>
      </c>
      <c r="BC319" s="26" t="n">
        <v>-15</v>
      </c>
      <c r="BD319" s="26" t="n">
        <f aca="false">MIN(AE319/150, 1)*30</f>
        <v>15</v>
      </c>
      <c r="BE319" s="26" t="n">
        <f aca="false">MIN(Q319/4000, 1)*20</f>
        <v>1.425</v>
      </c>
      <c r="BF319" s="26" t="n">
        <f aca="false">MIN(AC319/400,1)*20</f>
        <v>2.75</v>
      </c>
      <c r="BG319" s="4" t="n">
        <f aca="false">1-(MAX(M319-1900, 0)/750)</f>
        <v>0.878666666666667</v>
      </c>
      <c r="BH319" s="26" t="n">
        <f aca="false">((MAX($P319,1)*MIN($AL319/300,1)))*IF(J319="Wagon",50,10)</f>
        <v>2.4</v>
      </c>
      <c r="BI319" s="1" t="n">
        <f aca="false">VLOOKUP($K319,Constants!$I:$K, 2, FALSE())</f>
        <v>1</v>
      </c>
      <c r="BJ319" s="1" t="n">
        <f aca="false">VLOOKUP($K319,Constants!$I:$K, 3, FALSE())*IF(AND(J319="multiple_unit",AE319&lt;110),0.75,1)</f>
        <v>1.5</v>
      </c>
      <c r="BK319" s="1" t="n">
        <f aca="false">INT(POWER(((Constants!$G$2+$BD319+$BE319+$BF319+$BH319)*$BG319)*$BJ319, 1.05))+$BC319</f>
        <v>26</v>
      </c>
      <c r="BL319" s="1" t="n">
        <f aca="false">INT(POWER((((Constants!$G$1+$BD319+$BE319+$BF319+$BH319)*($BG319))*$BI319),IF($J319="wagon",1,1.2)))+$BB319</f>
        <v>54</v>
      </c>
      <c r="BM319" s="17" t="n">
        <f aca="false">BK319*IF($J319="wagon",62.5,781.25)</f>
        <v>20312.5</v>
      </c>
      <c r="BN319" s="17" t="n">
        <f aca="false">BL319*IF($J319="wagon",2.73,81.25)</f>
        <v>4387.5</v>
      </c>
      <c r="BT319" s="1" t="s">
        <v>1179</v>
      </c>
      <c r="BU319" s="1" t="str">
        <f aca="false">IF(J319="locomotive","B","")</f>
        <v/>
      </c>
      <c r="BV319" s="1" t="str">
        <f aca="false">IF(OR($J319="locomotive",$J319="wagon"),"B","")</f>
        <v/>
      </c>
      <c r="BY319" s="26" t="n">
        <v>4</v>
      </c>
      <c r="BZ319" s="26" t="n">
        <v>185</v>
      </c>
      <c r="CC319" s="26" t="s">
        <v>367</v>
      </c>
      <c r="CD319" s="26" t="str">
        <f aca="false">VLOOKUP(M319,[1]Eras!$A$2:$C$10, 2, TRUE())</f>
        <v>lbr</v>
      </c>
      <c r="CE319" s="26" t="s">
        <v>824</v>
      </c>
      <c r="CF319" s="26" t="s">
        <v>1180</v>
      </c>
      <c r="CG319" s="26" t="s">
        <v>1181</v>
      </c>
      <c r="CH319" s="7" t="str">
        <f aca="false">_xlfn.CONCAT("{BLACK}Length: {GOLD}", TEXT(ROUNDUP(IF(AS319&lt;&gt;"",SUM(VALUE(_xlfn.TEXTSPLIT(AS319, ","))), SUM(VALUE(_xlfn.TEXTSPLIT(AP319, ",")))*IF(P319, P319, 1))/16, 1), "#,##0.0"), " tiles{}")</f>
        <v>{BLACK}Length: {GOLD}0.9 tiles{}</v>
      </c>
      <c r="CI319" s="1" t="str">
        <f aca="false">IF(0, VLOOKUP($CG319, Constants!$M:$N, 2, FALSE()),"")</f>
        <v/>
      </c>
      <c r="CJ319" s="1" t="str">
        <f aca="false">IF(P319&gt;1,_xlfn.CONCAT("{BLACK}Cars: {GOLD}", P319),"")</f>
        <v/>
      </c>
      <c r="CK319" s="26" t="s">
        <v>1182</v>
      </c>
      <c r="CL319" s="1" t="str">
        <f aca="false">IF($BX319="concept_trains","{GREEN}Concept Vehicle",IF($BX319="!param_no_gameplay_units","{GREEN}Included for gameplay purposes",""))</f>
        <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{BLACK}Length: {GOLD}0.9 tiles{}{SILVER}The Class 153 was a conversion of earlier Class 155 units, 35 of which were split in two with small cabs added at the inner ends.</v>
      </c>
      <c r="XFD319" s="1"/>
    </row>
    <row r="320" s="26" customFormat="true" ht="14.25" hidden="false" customHeight="false" outlineLevel="0" collapsed="false">
      <c r="A320" s="26" t="s">
        <v>1183</v>
      </c>
      <c r="B320" s="27" t="s">
        <v>1184</v>
      </c>
      <c r="C320" s="1" t="n">
        <v>3044</v>
      </c>
      <c r="D320" s="26" t="n">
        <v>3043</v>
      </c>
      <c r="E320" s="1" t="n">
        <v>384</v>
      </c>
      <c r="G320" s="1" t="str">
        <f aca="false">IF($F320&lt;&gt;"",_xlfn.CONCAT(VLOOKUP($CE320, Constants!$T:$U, 2, FALSE()),",",$F320),VLOOKUP($CE320, Constants!$T:$U, 2, FALSE()))</f>
        <v>role/mail</v>
      </c>
      <c r="H320" s="1" t="str">
        <f aca="false">IF($G320&lt;&gt;"",_xlfn.CONCAT(VLOOKUP($CG320, Constants!$M:$P, 4, FALSE()),",",$G320),VLOOKUP($CG320, Constants!$M:$P, 4, FALSE()))</f>
        <v>flag/GB,power/diesel,role/mail</v>
      </c>
      <c r="I320" s="26" t="s">
        <v>241</v>
      </c>
      <c r="J320" s="26" t="s">
        <v>466</v>
      </c>
      <c r="K320" s="26" t="s">
        <v>525</v>
      </c>
      <c r="L320" s="26" t="s">
        <v>192</v>
      </c>
      <c r="M320" s="26" t="n">
        <v>1991</v>
      </c>
      <c r="P320" s="26" t="n">
        <v>1</v>
      </c>
      <c r="Q320" s="26" t="n">
        <v>285</v>
      </c>
      <c r="R320" s="2"/>
      <c r="S320" s="3"/>
      <c r="T320" s="3"/>
      <c r="U320" s="3"/>
      <c r="V320" s="3"/>
      <c r="W320" s="3"/>
      <c r="X320" s="3"/>
      <c r="Y320" s="3"/>
      <c r="Z320" s="26" t="n">
        <v>41.2</v>
      </c>
      <c r="AA320" s="2"/>
      <c r="AB320" s="26" t="n">
        <v>5</v>
      </c>
      <c r="AC320" s="26" t="n">
        <v>55</v>
      </c>
      <c r="AD320" s="4" t="n">
        <v>0.153631284916201</v>
      </c>
      <c r="AE320" s="26" t="n">
        <v>75</v>
      </c>
      <c r="AF320" s="26" t="n">
        <v>120</v>
      </c>
      <c r="AH320" s="26" t="n">
        <v>23.2</v>
      </c>
      <c r="AI320" s="26" t="n">
        <v>23.2</v>
      </c>
      <c r="AJ320" s="26" t="n">
        <v>2.7</v>
      </c>
      <c r="AK320" s="26" t="n">
        <v>3.7</v>
      </c>
      <c r="AL320" s="5" t="n">
        <v>60</v>
      </c>
      <c r="AM320" s="1" t="str">
        <f aca="false">CONCATENATE(VLOOKUP(AN320, 'Voxel Sizes'!$A$2:$B$18,2,FALSE()),"x",INT(AJ320*15), "x", INT(AK320*15))</f>
        <v>238x40x55</v>
      </c>
      <c r="AN320" s="26" t="n">
        <f aca="false">ROUND(15*((AI320*10)/256),0)</f>
        <v>14</v>
      </c>
      <c r="AP320" s="1" t="str">
        <f aca="false">CONCATENATE(VLOOKUP(AN320,Constants!$A$2:$C$16,IF(AO320&lt;&gt;"", 3, 2), FALSE()),IF(AO320&lt;&gt;"",CONCATENATE(",",VLOOKUP(AO320,$B:$AP,41,FALSE())),""))</f>
        <v>4,6,4</v>
      </c>
      <c r="AR320" s="6"/>
      <c r="AS320" s="6"/>
      <c r="AT320" s="26" t="s">
        <v>1184</v>
      </c>
      <c r="AV320" s="26" t="n">
        <v>1</v>
      </c>
      <c r="AZ320" s="26" t="n">
        <v>33</v>
      </c>
      <c r="BA320" s="16"/>
      <c r="BB320" s="26" t="n">
        <v>-10</v>
      </c>
      <c r="BC320" s="26" t="n">
        <v>-15</v>
      </c>
      <c r="BD320" s="26" t="n">
        <f aca="false">MIN(AE320/150, 1)*30</f>
        <v>15</v>
      </c>
      <c r="BE320" s="26" t="n">
        <f aca="false">MIN(Q320/4000, 1)*20</f>
        <v>1.425</v>
      </c>
      <c r="BF320" s="26" t="n">
        <f aca="false">MIN(AC320/400,1)*20</f>
        <v>2.75</v>
      </c>
      <c r="BG320" s="4" t="n">
        <f aca="false">1-(MAX(M320-1900, 0)/750)</f>
        <v>0.878666666666667</v>
      </c>
      <c r="BH320" s="26" t="n">
        <f aca="false">((MAX($P320,1)*MIN($AL320/300,1)))*IF(J320="Wagon",50,10)</f>
        <v>2</v>
      </c>
      <c r="BI320" s="1" t="n">
        <f aca="false">VLOOKUP($K320,Constants!$I:$K, 2, FALSE())</f>
        <v>1</v>
      </c>
      <c r="BJ320" s="1" t="n">
        <f aca="false">VLOOKUP($K320,Constants!$I:$K, 3, FALSE())*IF(AND(J320="multiple_unit",AE320&lt;110),0.75,1)</f>
        <v>1.5</v>
      </c>
      <c r="BK320" s="1" t="n">
        <f aca="false">INT(POWER(((Constants!$G$2+$BD320+$BE320+$BF320+$BH320)*$BG320)*$BJ320, 1.05))+$BC320</f>
        <v>26</v>
      </c>
      <c r="BL320" s="1" t="n">
        <f aca="false">INT(POWER((((Constants!$G$1+$BD320+$BE320+$BF320+$BH320)*($BG320))*$BI320),IF($J320="wagon",1,1.2)))+$BB320</f>
        <v>53</v>
      </c>
      <c r="BM320" s="17" t="n">
        <f aca="false">BK320*IF($J320="wagon",62.5,781.25)</f>
        <v>20312.5</v>
      </c>
      <c r="BN320" s="17" t="n">
        <f aca="false">BL320*IF($J320="wagon",2.73,81.25)</f>
        <v>4306.25</v>
      </c>
      <c r="BT320" s="1" t="s">
        <v>1185</v>
      </c>
      <c r="BU320" s="1" t="str">
        <f aca="false">IF(J320="locomotive","B","")</f>
        <v/>
      </c>
      <c r="BV320" s="1" t="str">
        <f aca="false">IF(OR($J320="locomotive",$J320="wagon"),"B","")</f>
        <v/>
      </c>
      <c r="BX320" s="26" t="s">
        <v>691</v>
      </c>
      <c r="BY320" s="26" t="n">
        <v>4</v>
      </c>
      <c r="BZ320" s="26" t="n">
        <v>185</v>
      </c>
      <c r="CC320" s="26" t="s">
        <v>706</v>
      </c>
      <c r="CD320" s="26" t="str">
        <f aca="false">VLOOKUP(M320,[1]Eras!$A$2:$C$10, 2, TRUE())</f>
        <v>lbr</v>
      </c>
      <c r="CE320" s="1" t="s">
        <v>144</v>
      </c>
      <c r="CF320" s="26" t="s">
        <v>1180</v>
      </c>
      <c r="CG320" s="26" t="s">
        <v>1181</v>
      </c>
      <c r="CH320" s="7" t="str">
        <f aca="false">_xlfn.CONCAT("{BLACK}Length: {GOLD}", TEXT(ROUNDUP(IF(AS320&lt;&gt;"",SUM(VALUE(_xlfn.TEXTSPLIT(AS320, ","))), SUM(VALUE(_xlfn.TEXTSPLIT(AP320, ",")))*IF(P320, P320, 1))/16, 1), "#,##0.0"), " tiles{}")</f>
        <v>{BLACK}Length: {GOLD}0.9 tiles{}</v>
      </c>
      <c r="CI320" s="1" t="str">
        <f aca="false">IF(0, VLOOKUP($CG320, Constants!$M:$N, 2, FALSE()),"")</f>
        <v/>
      </c>
      <c r="CJ320" s="1" t="str">
        <f aca="false">IF(P320&gt;1,_xlfn.CONCAT("{BLACK}Cars: {GOLD}", P320),"")</f>
        <v/>
      </c>
      <c r="CK320" s="26" t="s">
        <v>1186</v>
      </c>
      <c r="CL320" s="1" t="str">
        <f aca="false">IF($BX320="concept_trains","{GREEN}Concept Vehicle",IF($BX320="!param_no_gameplay_units","{GREEN}Included for gameplay purposes",""))</f>
        <v>{GREEN}Concept Vehicle</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{BLACK}Length: {GOLD}0.9 tiles{}{SILVER}What if the class 153s were converted for parcels service rather than passenger use? This preceds the later use of the 153 as supplementary bike carriages or ‘active travel’ vehicles.{}{}{GREEN}Concept Vehicle</v>
      </c>
      <c r="XFD320" s="1"/>
    </row>
    <row r="321" customFormat="false" ht="14.25" hidden="false" customHeight="false" outlineLevel="0" collapsed="false">
      <c r="A321" s="1" t="s">
        <v>1187</v>
      </c>
      <c r="B321" s="15" t="s">
        <v>1188</v>
      </c>
      <c r="C321" s="1" t="n">
        <v>255</v>
      </c>
      <c r="E321" s="1" t="n">
        <v>385</v>
      </c>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1" t="s">
        <v>241</v>
      </c>
      <c r="J321" s="1" t="s">
        <v>466</v>
      </c>
      <c r="K321" s="1" t="s">
        <v>710</v>
      </c>
      <c r="L321" s="1" t="s">
        <v>753</v>
      </c>
      <c r="M321" s="1" t="n">
        <v>1995</v>
      </c>
      <c r="P321" s="1" t="n">
        <v>4</v>
      </c>
      <c r="Q321" s="1" t="n">
        <v>1328</v>
      </c>
      <c r="Z321" s="1" t="n">
        <v>138.5</v>
      </c>
      <c r="AB321" s="1" t="n">
        <v>5</v>
      </c>
      <c r="AC321" s="1" t="n">
        <v>160</v>
      </c>
      <c r="AD321" s="4" t="n">
        <f aca="false">IF(AND(Z321&gt;0,AC321&gt;0),(AC321/((Z321+AA321)*10)),"")</f>
        <v>0.115523465703971</v>
      </c>
      <c r="AE321" s="1" t="n">
        <v>100</v>
      </c>
      <c r="AF321" s="1" t="n">
        <f aca="false">ROUND(AE321*1.6, 0)</f>
        <v>160</v>
      </c>
      <c r="AH321" s="1" t="n">
        <v>19.83</v>
      </c>
      <c r="AI321" s="1" t="n">
        <v>19.8</v>
      </c>
      <c r="AJ321" s="1" t="n">
        <v>2.8</v>
      </c>
      <c r="AK321" s="1" t="n">
        <v>3.8</v>
      </c>
      <c r="AL321" s="5" t="n">
        <v>78</v>
      </c>
      <c r="AM321" s="1" t="str">
        <f aca="false">CONCATENATE(VLOOKUP(AN321, 'Voxel Sizes'!$A$2:$B$18,2,FALSE()),"x",INT(AJ321*15), "x", INT(AK321*15))</f>
        <v>198x42x57</v>
      </c>
      <c r="AN321" s="1" t="n">
        <f aca="false">ROUND(15*((AI321*10)/256),0)</f>
        <v>12</v>
      </c>
      <c r="AP321" s="1" t="str">
        <f aca="false">CONCATENATE(VLOOKUP(AN321,Constants!$A$2:$C$16,IF(AO321&lt;&gt;"", 3, 2), FALSE()),IF(AO321&lt;&gt;"",CONCATENATE(",",VLOOKUP(AO321,$B:$AP,41,FALSE())),""))</f>
        <v>4,4,4</v>
      </c>
      <c r="AT321" s="1" t="s">
        <v>1189</v>
      </c>
      <c r="AU321" s="1" t="s">
        <v>1190</v>
      </c>
      <c r="AV321" s="1" t="s">
        <v>966</v>
      </c>
      <c r="AZ321" s="1" t="n">
        <v>30</v>
      </c>
      <c r="BA321" s="16" t="str">
        <f aca="false">IF(O321&lt;&gt;"",MAX(16,(O321-M321)+8),"")</f>
        <v/>
      </c>
      <c r="BB321" s="1" t="n">
        <v>-15</v>
      </c>
      <c r="BC321" s="1" t="n">
        <v>-40</v>
      </c>
      <c r="BD321" s="1" t="n">
        <f aca="false">MIN(AE321/150, 1)*30</f>
        <v>20</v>
      </c>
      <c r="BE321" s="1" t="n">
        <f aca="false">MIN(Q321/4000, 1)*20</f>
        <v>6.64</v>
      </c>
      <c r="BF321" s="1" t="n">
        <f aca="false">MIN(AC321/400,1)*20</f>
        <v>8</v>
      </c>
      <c r="BG321" s="4" t="n">
        <f aca="false">1-(MAX(M321-1900, 0)/750)</f>
        <v>0.873333333333333</v>
      </c>
      <c r="BH321" s="1" t="n">
        <f aca="false">((MAX($P321,1)*MIN($AL321/300,1)))*IF(J321="Wagon",50,10)</f>
        <v>10.4</v>
      </c>
      <c r="BI321" s="1" t="n">
        <f aca="false">VLOOKUP($K321,Constants!$I:$K, 2, FALSE())</f>
        <v>0.85</v>
      </c>
      <c r="BJ321" s="1" t="n">
        <f aca="false">VLOOKUP($K321,Constants!$I:$K, 3, FALSE())*IF(AND(J321="multiple_unit",AE321&lt;110),0.75,1)</f>
        <v>1.8</v>
      </c>
      <c r="BK321" s="1" t="n">
        <f aca="false">INT(POWER(((Constants!$G$2+$BD321+$BE321+$BF321+$BH321)*$BG321)*$BJ321, 1.05))+$BC321</f>
        <v>57</v>
      </c>
      <c r="BL321" s="1" t="n">
        <f aca="false">INT(POWER((((Constants!$G$1+$BD321+$BE321+$BF321+$BH321)*($BG321))*$BI321),IF($J321="wagon",1,1.2)))+$BB321</f>
        <v>80</v>
      </c>
      <c r="BM321" s="17" t="n">
        <f aca="false">BK321*IF($J321="wagon",62.5,781.25)</f>
        <v>44531.25</v>
      </c>
      <c r="BN321" s="17" t="n">
        <f aca="false">BL321*IF($J321="wagon",2.73,81.25)</f>
        <v>6500</v>
      </c>
      <c r="BU321" s="1" t="str">
        <f aca="false">IF(J321="locomotive","B","")</f>
        <v/>
      </c>
      <c r="BV321" s="1" t="str">
        <f aca="false">IF(OR($J321="locomotive",$J321="wagon"),"B","")</f>
        <v/>
      </c>
      <c r="BY321" s="1" t="n">
        <v>2</v>
      </c>
      <c r="BZ321" s="1" t="n">
        <v>185</v>
      </c>
      <c r="CC321" s="1" t="s">
        <v>706</v>
      </c>
      <c r="CD321" s="1" t="str">
        <f aca="false">VLOOKUP(M321,Eras!$A$2:$C$10, 2, TRUE())</f>
        <v>prv</v>
      </c>
      <c r="CE321" s="1" t="s">
        <v>1016</v>
      </c>
      <c r="CF321" s="1" t="str">
        <f aca="false">CONCATENATE(CD321,"_",CE321)</f>
        <v>prv_DMU (Express)</v>
      </c>
      <c r="CG321" s="1" t="str">
        <f aca="false">_xlfn.CONCAT(K321, "_",L321)</f>
        <v>dual_electric_DUAL_POWER</v>
      </c>
      <c r="CH321" s="7" t="str">
        <f aca="false">_xlfn.CONCAT("{BLACK}Length: {GOLD}", TEXT(ROUNDUP(IF(AS321&lt;&gt;"",SUM(VALUE(_xlfn.TEXTSPLIT(AS321, ","))), SUM(VALUE(_xlfn.TEXTSPLIT(AP321, ",")))*IF(P321, P321, 1))/16, 1), "#,##0.0"), " tiles{}")</f>
        <v>{BLACK}Length: {GOLD}3.0 tiles{}</v>
      </c>
      <c r="CI321" s="1" t="str">
        <f aca="false">IF(0, VLOOKUP($CG321, Constants!$M:$N, 2, FALSE()),"")</f>
        <v/>
      </c>
      <c r="CJ321" s="1" t="str">
        <f aca="false">IF(P321&gt;1,_xlfn.CONCAT("{BLACK}Cars: {GOLD}", P321),"")</f>
        <v>{BLACK}Cars: {GOLD}4</v>
      </c>
      <c r="CK321" s="1" t="s">
        <v>1191</v>
      </c>
      <c r="CL321" s="1" t="str">
        <f aca="false">IF($BX321="concept_trains","{GREEN}Concept Vehicle",IF($BX321="!param_no_gameplay_units","{GREEN}Included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{BLACK}Cars: {GOLD}4{}{BLACK}Length: {GOLD}3.0 tiles{}{SILVER}The Class 325 is a multiple unit designed for carrying mail and parcels more economically than a locomotive-hauled train. It is based on Class 319 hardware.</v>
      </c>
    </row>
    <row r="322" s="26" customFormat="true" ht="14.25" hidden="false" customHeight="false" outlineLevel="0" collapsed="false">
      <c r="A322" s="26" t="s">
        <v>1192</v>
      </c>
      <c r="B322" s="27" t="s">
        <v>1193</v>
      </c>
      <c r="C322" s="1" t="n">
        <v>3068</v>
      </c>
      <c r="E322" s="1" t="n">
        <v>386</v>
      </c>
      <c r="G322" s="1" t="str">
        <f aca="false">IF($F322&lt;&gt;"",_xlfn.CONCAT(VLOOKUP($CE322, Constants!$T:$U, 2, FALSE()),",",$F322),VLOOKUP($CE322, Constants!$T:$U, 2, FALSE()))</f>
        <v>role/express_passenger</v>
      </c>
      <c r="H322" s="1" t="str">
        <f aca="false">IF($G322&lt;&gt;"",_xlfn.CONCAT(VLOOKUP($CG322, Constants!$M:$P, 4, FALSE()),",",$G322),VLOOKUP($CG322, Constants!$M:$P, 4, FALSE()))</f>
        <v>flag/GB,power/electric,role/express_passenger</v>
      </c>
      <c r="I322" s="26" t="s">
        <v>241</v>
      </c>
      <c r="J322" s="26" t="s">
        <v>466</v>
      </c>
      <c r="K322" s="26" t="s">
        <v>710</v>
      </c>
      <c r="L322" s="26" t="s">
        <v>753</v>
      </c>
      <c r="M322" s="26" t="n">
        <v>1992</v>
      </c>
      <c r="P322" s="26" t="n">
        <v>20</v>
      </c>
      <c r="Q322" s="26" t="n">
        <v>16400</v>
      </c>
      <c r="R322" s="2" t="n">
        <v>4600</v>
      </c>
      <c r="S322" s="3"/>
      <c r="T322" s="3"/>
      <c r="U322" s="3"/>
      <c r="V322" s="3"/>
      <c r="W322" s="3"/>
      <c r="X322" s="3"/>
      <c r="Y322" s="3"/>
      <c r="Z322" s="26" t="n">
        <v>752</v>
      </c>
      <c r="AA322" s="2"/>
      <c r="AB322" s="26" t="n">
        <v>4</v>
      </c>
      <c r="AC322" s="26" t="n">
        <v>220</v>
      </c>
      <c r="AD322" s="4" t="n">
        <f aca="false">IF(AND(Z322&gt;0,AC322&gt;0),(AC322/((Z322+AA322)*10)),"")</f>
        <v>0.0292553191489362</v>
      </c>
      <c r="AE322" s="26" t="n">
        <v>186</v>
      </c>
      <c r="AF322" s="26" t="n">
        <f aca="false">ROUND(AE322*1.6, 0)</f>
        <v>298</v>
      </c>
      <c r="AH322" s="26" t="n">
        <v>22.15</v>
      </c>
      <c r="AI322" s="26" t="n">
        <v>22.15</v>
      </c>
      <c r="AJ322" s="26" t="n">
        <v>2.81</v>
      </c>
      <c r="AL322" s="5" t="n">
        <v>35</v>
      </c>
      <c r="AM322" s="1" t="str">
        <f aca="false">CONCATENATE(VLOOKUP(AN322, 'Voxel Sizes'!$A$2:$B$18,2,FALSE()),"x",INT(AJ322*15), "x", INT(AK322*15))</f>
        <v>214x42x0</v>
      </c>
      <c r="AN322" s="26" t="n">
        <f aca="false">ROUND(15*((AI322*10)/256),0)</f>
        <v>13</v>
      </c>
      <c r="AP322" s="1" t="str">
        <f aca="false">CONCATENATE(VLOOKUP(AN322,Constants!$A$2:$C$16,IF(AO322&lt;&gt;"", 3, 2), FALSE()),IF(AO322&lt;&gt;"",CONCATENATE(",",VLOOKUP(AO322,$B:$AP,41,FALSE())),""))</f>
        <v>4,5,4</v>
      </c>
      <c r="AR322" s="29" t="s">
        <v>1194</v>
      </c>
      <c r="AS322" s="29" t="s">
        <v>1195</v>
      </c>
      <c r="AT322" s="26" t="s">
        <v>1196</v>
      </c>
      <c r="AU322" s="26" t="s">
        <v>1197</v>
      </c>
      <c r="AV322" s="26" t="s">
        <v>1198</v>
      </c>
      <c r="AZ322" s="26" t="n">
        <v>25</v>
      </c>
      <c r="BA322" s="16" t="str">
        <f aca="false">IF(O322&lt;&gt;"",MAX(16,(O322-M322)+8),"")</f>
        <v/>
      </c>
      <c r="BD322" s="26" t="n">
        <f aca="false">MIN(AE322/150, 1)*30</f>
        <v>30</v>
      </c>
      <c r="BE322" s="26" t="n">
        <f aca="false">MIN(Q322/4000, 1)*20</f>
        <v>20</v>
      </c>
      <c r="BF322" s="26" t="n">
        <f aca="false">MIN(AC322/400,1)*20</f>
        <v>11</v>
      </c>
      <c r="BG322" s="4" t="n">
        <f aca="false">1-(MAX(M322-1900, 0)/750)</f>
        <v>0.877333333333333</v>
      </c>
      <c r="BH322" s="26" t="n">
        <f aca="false">((MAX($P322,1)*MIN($AL322/300,1)))*IF(J322="Wagon",50,10)</f>
        <v>23.3333333333333</v>
      </c>
      <c r="BI322" s="1" t="n">
        <f aca="false">VLOOKUP($K322,Constants!$I:$K, 2, FALSE())</f>
        <v>0.85</v>
      </c>
      <c r="BJ322" s="1" t="n">
        <f aca="false">VLOOKUP($K322,Constants!$I:$K, 3, FALSE())*IF(AND(J322="multiple_unit",AE322&lt;110),0.75,1)</f>
        <v>2.4</v>
      </c>
      <c r="BK322" s="1" t="n">
        <f aca="false">INT(POWER(((Constants!$G$2+$BD322+$BE322+$BF322+$BH322)*$BG322)*$BJ322, 1.05))+$BC322</f>
        <v>244</v>
      </c>
      <c r="BL322" s="1" t="n">
        <f aca="false">INT(POWER((((Constants!$G$1+$BD322+$BE322+$BF322+$BH322)*($BG322))*$BI322),IF($J322="wagon",1,1.2)))+$BB322</f>
        <v>175</v>
      </c>
      <c r="BM322" s="17" t="n">
        <f aca="false">BK322*IF($J322="wagon",62.5,781.25)</f>
        <v>190625</v>
      </c>
      <c r="BN322" s="17" t="n">
        <f aca="false">BL322*IF($J322="wagon",2.73,81.25)</f>
        <v>14218.75</v>
      </c>
      <c r="BU322" s="1" t="str">
        <f aca="false">IF(J322="locomotive","B","")</f>
        <v/>
      </c>
      <c r="BV322" s="1" t="str">
        <f aca="false">IF(OR($J322="locomotive",$J322="wagon"),"B","")</f>
        <v/>
      </c>
      <c r="BX322" s="26" t="s">
        <v>1015</v>
      </c>
      <c r="BY322" s="26" t="n">
        <v>11</v>
      </c>
      <c r="BZ322" s="26" t="n">
        <v>232</v>
      </c>
      <c r="CC322" s="26" t="s">
        <v>367</v>
      </c>
      <c r="CD322" s="26" t="s">
        <v>647</v>
      </c>
      <c r="CE322" s="26" t="s">
        <v>913</v>
      </c>
      <c r="CF322" s="26" t="str">
        <f aca="false">CONCATENATE(CD322,"_",CE322)</f>
        <v>lbr_EMU (Express)</v>
      </c>
      <c r="CG322" s="26" t="str">
        <f aca="false">_xlfn.CONCAT(K322, "_",L322)</f>
        <v>dual_electric_DUAL_POWER</v>
      </c>
      <c r="CH322" s="7" t="str">
        <f aca="false">_xlfn.CONCAT("{BLACK}Length: {GOLD}", TEXT(ROUNDUP(IF(AS322&lt;&gt;"",SUM(VALUE(_xlfn.TEXTSPLIT(AS322, ","))), SUM(VALUE(_xlfn.TEXTSPLIT(AP322, ",")))*IF(P322, P322, 1))/16, 1), "#,##0.0"), " tiles{}")</f>
        <v>{BLACK}Length: {GOLD}14.5 tiles{}</v>
      </c>
      <c r="CI322" s="1" t="str">
        <f aca="false">IF(0, VLOOKUP($CG322, Constants!$M:$N, 2, FALSE()),"")</f>
        <v/>
      </c>
      <c r="CJ322" s="1" t="str">
        <f aca="false">IF(P322&gt;1,_xlfn.CONCAT("{BLACK}Cars: {GOLD}", P322),"")</f>
        <v>{BLACK}Cars: {GOLD}20</v>
      </c>
      <c r="CK322" s="26" t="s">
        <v>1199</v>
      </c>
      <c r="CL322" s="1" t="str">
        <f aca="false">IF($BX322="concept_trains","{GREEN}Concept Vehicle",IF($BX322="!param_no_gameplay_units","{GREEN}Included for gameplay purposes",""))</f>
        <v/>
      </c>
      <c r="CM322" s="26" t="str">
        <f aca="false">IF(CA322="buffet","{YELLOW}25% long distance bonus for consist{}",IF(CD322="BRAKE","{YELLOW}Speed bonus for slow wagons{}",IF(BZ322&gt;190,CONCATENATE("{YELLOW}",INT((BZ322-185)/1.85),"% bonus for long distance travel{}"),IF(AND(BZ322&lt;180,BZ322&lt;&gt;0),CONCATENATE("{YELLOW}",INT((185-BZ322)/1.85),"% penalty for long distance travel{}"),""))))</f>
        <v>{YELLOW}25% bonus for long distance travel{}</v>
      </c>
      <c r="CN322" s="1" t="str">
        <f aca="false">_xlfn.CONCAT(CI322,IF(CI322&lt;&gt;""," ",""),CJ322,IF(OR(CJ322&lt;&gt;"",CI322&lt;&gt;""),"{}",""),CH322,CM322,"{SILVER}",CK322,IF(CL322&lt;&gt;"","{}{}",""),CL322)</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22" s="1"/>
    </row>
    <row r="323" s="26" customFormat="true" ht="14.25" hidden="false" customHeight="false" outlineLevel="0" collapsed="false">
      <c r="A323" s="26" t="s">
        <v>1200</v>
      </c>
      <c r="B323" s="27" t="s">
        <v>1201</v>
      </c>
      <c r="C323" s="1" t="n">
        <v>3069</v>
      </c>
      <c r="D323" s="26" t="n">
        <v>3068</v>
      </c>
      <c r="E323" s="1" t="n">
        <v>387</v>
      </c>
      <c r="G323" s="1" t="str">
        <f aca="false">IF($F323&lt;&gt;"",_xlfn.CONCAT(VLOOKUP($CE323, Constants!$T:$U, 2, FALSE()),",",$F323),VLOOKUP($CE323, Constants!$T:$U, 2, FALSE()))</f>
        <v>role/express_passenger</v>
      </c>
      <c r="H323" s="1" t="str">
        <f aca="false">IF($G323&lt;&gt;"",_xlfn.CONCAT(VLOOKUP($CG323, Constants!$M:$P, 4, FALSE()),",",$G323),VLOOKUP($CG323, Constants!$M:$P, 4, FALSE()))</f>
        <v>flag/GB,power/electric,role/express_passenger</v>
      </c>
      <c r="I323" s="26" t="s">
        <v>241</v>
      </c>
      <c r="J323" s="26" t="s">
        <v>466</v>
      </c>
      <c r="K323" s="26" t="s">
        <v>710</v>
      </c>
      <c r="L323" s="26" t="s">
        <v>753</v>
      </c>
      <c r="M323" s="26" t="n">
        <v>1992</v>
      </c>
      <c r="P323" s="26" t="n">
        <v>16</v>
      </c>
      <c r="Q323" s="26" t="n">
        <v>16400</v>
      </c>
      <c r="R323" s="2" t="n">
        <v>4600</v>
      </c>
      <c r="S323" s="3"/>
      <c r="T323" s="3"/>
      <c r="U323" s="3"/>
      <c r="V323" s="3"/>
      <c r="W323" s="3"/>
      <c r="X323" s="3"/>
      <c r="Y323" s="3"/>
      <c r="Z323" s="26" t="n">
        <v>665</v>
      </c>
      <c r="AA323" s="2"/>
      <c r="AB323" s="26" t="n">
        <v>4</v>
      </c>
      <c r="AC323" s="26" t="n">
        <v>220</v>
      </c>
      <c r="AD323" s="4" t="n">
        <f aca="false">IF(AND(Z323&gt;0,AC323&gt;0),(AC323/((Z323+AA323)*10)),"")</f>
        <v>0.0330827067669173</v>
      </c>
      <c r="AE323" s="26" t="n">
        <v>186</v>
      </c>
      <c r="AF323" s="26" t="n">
        <f aca="false">ROUND(AE323*1.6, 0)</f>
        <v>298</v>
      </c>
      <c r="AH323" s="26" t="n">
        <v>22.15</v>
      </c>
      <c r="AI323" s="26" t="n">
        <v>22.15</v>
      </c>
      <c r="AJ323" s="26" t="n">
        <v>2.81</v>
      </c>
      <c r="AL323" s="5" t="n">
        <v>35</v>
      </c>
      <c r="AM323" s="1" t="str">
        <f aca="false">CONCATENATE(VLOOKUP(AN323, 'Voxel Sizes'!$A$2:$B$18,2,FALSE()),"x",INT(AJ323*15), "x", INT(AK323*15))</f>
        <v>214x42x0</v>
      </c>
      <c r="AN323" s="26" t="n">
        <f aca="false">ROUND(15*((AI323*10)/256),0)</f>
        <v>13</v>
      </c>
      <c r="AP323" s="1" t="str">
        <f aca="false">CONCATENATE(VLOOKUP(AN323,Constants!$A$2:$C$16,IF(AO323&lt;&gt;"", 3, 2), FALSE()),IF(AO323&lt;&gt;"",CONCATENATE(",",VLOOKUP(AO323,$B:$AP,41,FALSE())),""))</f>
        <v>4,5,4</v>
      </c>
      <c r="AR323" s="29" t="s">
        <v>1202</v>
      </c>
      <c r="AS323" s="29" t="s">
        <v>1203</v>
      </c>
      <c r="AT323" s="26" t="s">
        <v>1204</v>
      </c>
      <c r="AU323" s="26" t="s">
        <v>1205</v>
      </c>
      <c r="AV323" s="26" t="s">
        <v>1206</v>
      </c>
      <c r="AZ323" s="26" t="n">
        <v>25</v>
      </c>
      <c r="BA323" s="16" t="str">
        <f aca="false">IF(O323&lt;&gt;"",MAX(16,(O323-M323)+8),"")</f>
        <v/>
      </c>
      <c r="BD323" s="26" t="n">
        <f aca="false">MIN(AE323/150, 1)*30</f>
        <v>30</v>
      </c>
      <c r="BE323" s="26" t="n">
        <f aca="false">MIN(Q323/4000, 1)*20</f>
        <v>20</v>
      </c>
      <c r="BF323" s="26" t="n">
        <f aca="false">MIN(AC323/400,1)*20</f>
        <v>11</v>
      </c>
      <c r="BG323" s="4" t="n">
        <f aca="false">1-(MAX(M323-1900, 0)/750)</f>
        <v>0.877333333333333</v>
      </c>
      <c r="BH323" s="26" t="n">
        <f aca="false">((MAX($P323,1)*MIN($AL323/300,1)))*IF(J323="Wagon",50,10)</f>
        <v>18.6666666666667</v>
      </c>
      <c r="BI323" s="1" t="n">
        <f aca="false">VLOOKUP($K323,Constants!$I:$K, 2, FALSE())</f>
        <v>0.85</v>
      </c>
      <c r="BJ323" s="1" t="n">
        <f aca="false">VLOOKUP($K323,Constants!$I:$K, 3, FALSE())*IF(AND(J323="multiple_unit",AE323&lt;110),0.75,1)</f>
        <v>2.4</v>
      </c>
      <c r="BK323" s="1" t="n">
        <f aca="false">INT(POWER(((Constants!$G$2+$BD323+$BE323+$BF323+$BH323)*$BG323)*$BJ323, 1.05))+$BC323</f>
        <v>231</v>
      </c>
      <c r="BL323" s="1" t="n">
        <f aca="false">INT(POWER((((Constants!$G$1+$BD323+$BE323+$BF323+$BH323)*($BG323))*$BI323),IF($J323="wagon",1,1.2)))+$BB323</f>
        <v>165</v>
      </c>
      <c r="BM323" s="17" t="n">
        <f aca="false">BK323*IF($J323="wagon",62.5,781.25)</f>
        <v>180468.75</v>
      </c>
      <c r="BN323" s="17" t="n">
        <f aca="false">BL323*IF($J323="wagon",2.73,81.25)</f>
        <v>13406.25</v>
      </c>
      <c r="BU323" s="1" t="str">
        <f aca="false">IF(J323="locomotive","B","")</f>
        <v/>
      </c>
      <c r="BV323" s="1" t="str">
        <f aca="false">IF(OR($J323="locomotive",$J323="wagon"),"B","")</f>
        <v/>
      </c>
      <c r="BX323" s="26" t="s">
        <v>1015</v>
      </c>
      <c r="BY323" s="26" t="n">
        <v>11</v>
      </c>
      <c r="BZ323" s="26" t="n">
        <v>232</v>
      </c>
      <c r="CC323" s="26" t="s">
        <v>367</v>
      </c>
      <c r="CD323" s="26" t="s">
        <v>647</v>
      </c>
      <c r="CE323" s="26" t="s">
        <v>913</v>
      </c>
      <c r="CF323" s="26" t="str">
        <f aca="false">CONCATENATE(CD323,"_",CE323)</f>
        <v>lbr_EMU (Express)</v>
      </c>
      <c r="CG323" s="26" t="str">
        <f aca="false">_xlfn.CONCAT(K323, "_",L323)</f>
        <v>dual_electric_DUAL_POWER</v>
      </c>
      <c r="CH323" s="7" t="str">
        <f aca="false">_xlfn.CONCAT("{BLACK}Length: {GOLD}", TEXT(ROUNDUP(IF(AS323&lt;&gt;"",SUM(VALUE(_xlfn.TEXTSPLIT(AS323, ","))), SUM(VALUE(_xlfn.TEXTSPLIT(AP323, ",")))*IF(P323, P323, 1))/16, 1), "#,##0.0"), " tiles{}")</f>
        <v>{BLACK}Length: {GOLD}11.8 tiles{}</v>
      </c>
      <c r="CI323" s="1" t="str">
        <f aca="false">IF(0, VLOOKUP($CG323, Constants!$M:$N, 2, FALSE()),"")</f>
        <v/>
      </c>
      <c r="CJ323" s="1" t="str">
        <f aca="false">IF(P323&gt;1,_xlfn.CONCAT("{BLACK}Cars: {GOLD}", P323),"")</f>
        <v>{BLACK}Cars: {GOLD}16</v>
      </c>
      <c r="CK323" s="26" t="s">
        <v>1207</v>
      </c>
      <c r="CL323" s="1" t="str">
        <f aca="false">IF($BX323="concept_trains","{GREEN}Concept Vehicle",IF($BX323="!param_no_gameplay_units","{GREEN}Included for gameplay purposes",""))</f>
        <v/>
      </c>
      <c r="CM323" s="26" t="str">
        <f aca="false">IF(CA323="buffet","{YELLOW}25% long distance bonus for consist{}",IF(CD323="BRAKE","{YELLOW}Speed bonus for slow wagons{}",IF(BZ323&gt;190,CONCATENATE("{YELLOW}",INT((BZ323-185)/1.85),"% bonus for long distance travel{}"),IF(AND(BZ323&lt;180,BZ323&lt;&gt;0),CONCATENATE("{YELLOW}",INT((185-BZ323)/1.85),"% penalty for long distance travel{}"),""))))</f>
        <v>{YELLOW}25% bonus for long distance travel{}</v>
      </c>
      <c r="CN323" s="1" t="str">
        <f aca="false">_xlfn.CONCAT(CI323,IF(CI323&lt;&gt;""," ",""),CJ323,IF(OR(CJ323&lt;&gt;"",CI323&lt;&gt;""),"{}",""),CH323,CM323,"{SILVER}",CK323,IF(CL323&lt;&gt;"","{}{}",""),CL323)</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23" s="1"/>
    </row>
    <row r="324" s="26" customFormat="true" ht="14.25" hidden="false" customHeight="false" outlineLevel="0" collapsed="false">
      <c r="A324" s="26" t="s">
        <v>1208</v>
      </c>
      <c r="B324" s="27" t="s">
        <v>1209</v>
      </c>
      <c r="C324" s="1" t="n">
        <v>3070</v>
      </c>
      <c r="D324" s="26" t="n">
        <v>3068</v>
      </c>
      <c r="E324" s="1" t="n">
        <v>388</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26" t="s">
        <v>241</v>
      </c>
      <c r="J324" s="26" t="s">
        <v>466</v>
      </c>
      <c r="K324" s="26" t="s">
        <v>710</v>
      </c>
      <c r="L324" s="26" t="s">
        <v>753</v>
      </c>
      <c r="M324" s="26" t="n">
        <v>1992</v>
      </c>
      <c r="P324" s="26" t="n">
        <v>20</v>
      </c>
      <c r="Q324" s="26" t="n">
        <v>16400</v>
      </c>
      <c r="R324" s="2" t="n">
        <v>4600</v>
      </c>
      <c r="S324" s="3"/>
      <c r="T324" s="3"/>
      <c r="U324" s="3"/>
      <c r="V324" s="3"/>
      <c r="W324" s="3"/>
      <c r="X324" s="3"/>
      <c r="Y324" s="3"/>
      <c r="Z324" s="26" t="n">
        <v>752</v>
      </c>
      <c r="AA324" s="2"/>
      <c r="AB324" s="26" t="n">
        <v>4</v>
      </c>
      <c r="AC324" s="26" t="n">
        <v>220</v>
      </c>
      <c r="AD324" s="4" t="n">
        <f aca="false">IF(AND(Z324&gt;0,AC324&gt;0),(AC324/((Z324+AA324)*10)),"")</f>
        <v>0.0292553191489362</v>
      </c>
      <c r="AE324" s="26" t="n">
        <v>186</v>
      </c>
      <c r="AF324" s="26" t="n">
        <f aca="false">ROUND(AE324*1.6, 0)</f>
        <v>298</v>
      </c>
      <c r="AH324" s="26" t="n">
        <v>22.15</v>
      </c>
      <c r="AI324" s="26" t="n">
        <v>22.15</v>
      </c>
      <c r="AJ324" s="26" t="n">
        <v>2.81</v>
      </c>
      <c r="AL324" s="5" t="n">
        <v>35</v>
      </c>
      <c r="AM324" s="1" t="str">
        <f aca="false">CONCATENATE(VLOOKUP(AN324, 'Voxel Sizes'!$A$2:$B$18,2,FALSE()),"x",INT(AJ324*15), "x", INT(AK324*15))</f>
        <v>214x42x0</v>
      </c>
      <c r="AN324" s="26" t="n">
        <f aca="false">ROUND(15*((AI324*10)/256),0)</f>
        <v>13</v>
      </c>
      <c r="AP324" s="1" t="str">
        <f aca="false">CONCATENATE(VLOOKUP(AN324,Constants!$A$2:$C$16,IF(AO324&lt;&gt;"", 3, 2), FALSE()),IF(AO324&lt;&gt;"",CONCATENATE(",",VLOOKUP(AO324,$B:$AP,41,FALSE())),""))</f>
        <v>4,5,4</v>
      </c>
      <c r="AR324" s="29" t="s">
        <v>1194</v>
      </c>
      <c r="AS324" s="29" t="s">
        <v>1195</v>
      </c>
      <c r="AT324" s="26" t="s">
        <v>1210</v>
      </c>
      <c r="AU324" s="26" t="s">
        <v>1209</v>
      </c>
      <c r="AV324" s="26" t="s">
        <v>1211</v>
      </c>
      <c r="AW324" s="1"/>
      <c r="AZ324" s="26" t="n">
        <v>25</v>
      </c>
      <c r="BA324" s="16" t="str">
        <f aca="false">IF(O324&lt;&gt;"",MAX(16,(O324-M324)+8),"")</f>
        <v/>
      </c>
      <c r="BD324" s="26" t="n">
        <f aca="false">MIN(AE324/150, 1)*30</f>
        <v>30</v>
      </c>
      <c r="BE324" s="26" t="n">
        <f aca="false">MIN(Q324/4000, 1)*20</f>
        <v>20</v>
      </c>
      <c r="BF324" s="26" t="n">
        <f aca="false">MIN(AC324/400,1)*20</f>
        <v>11</v>
      </c>
      <c r="BG324" s="4" t="n">
        <f aca="false">1-(MAX(M324-1900, 0)/750)</f>
        <v>0.877333333333333</v>
      </c>
      <c r="BH324" s="26" t="n">
        <f aca="false">((MAX($P324,1)*MIN($AL324/300,1)))*IF(J324="Wagon",50,10)</f>
        <v>23.3333333333333</v>
      </c>
      <c r="BI324" s="1" t="n">
        <f aca="false">VLOOKUP($K324,Constants!$I:$K, 2, FALSE())</f>
        <v>0.85</v>
      </c>
      <c r="BJ324" s="1" t="n">
        <f aca="false">VLOOKUP($K324,Constants!$I:$K, 3, FALSE())*IF(AND(J324="multiple_unit",AE324&lt;110),0.75,1)</f>
        <v>2.4</v>
      </c>
      <c r="BK324" s="1" t="n">
        <f aca="false">INT(POWER(((Constants!$G$2+$BD324+$BE324+$BF324+$BH324)*$BG324)*$BJ324, 1.05))+$BC324</f>
        <v>244</v>
      </c>
      <c r="BL324" s="1" t="n">
        <f aca="false">INT(POWER((((Constants!$G$1+$BD324+$BE324+$BF324+$BH324)*($BG324))*$BI324),IF($J324="wagon",1,1.2)))+$BB324</f>
        <v>175</v>
      </c>
      <c r="BM324" s="17" t="n">
        <f aca="false">BK324*IF($J324="wagon",62.5,781.25)</f>
        <v>190625</v>
      </c>
      <c r="BN324" s="17" t="n">
        <f aca="false">BL324*IF($J324="wagon",2.73,81.25)</f>
        <v>14218.75</v>
      </c>
      <c r="BU324" s="1" t="str">
        <f aca="false">IF(J324="locomotive","B","")</f>
        <v/>
      </c>
      <c r="BV324" s="1" t="str">
        <f aca="false">IF(OR($J324="locomotive",$J324="wagon"),"B","")</f>
        <v/>
      </c>
      <c r="BX324" s="26" t="s">
        <v>1015</v>
      </c>
      <c r="BY324" s="26" t="n">
        <v>11</v>
      </c>
      <c r="BZ324" s="26" t="n">
        <v>232</v>
      </c>
      <c r="CC324" s="26" t="s">
        <v>367</v>
      </c>
      <c r="CD324" s="26" t="s">
        <v>647</v>
      </c>
      <c r="CE324" s="26" t="s">
        <v>913</v>
      </c>
      <c r="CF324" s="26" t="str">
        <f aca="false">CONCATENATE(CD324,"_",CE324)</f>
        <v>lbr_EMU (Express)</v>
      </c>
      <c r="CG324" s="26" t="str">
        <f aca="false">_xlfn.CONCAT(K324, "_",L324)</f>
        <v>dual_electric_DUAL_POWER</v>
      </c>
      <c r="CH324" s="7" t="str">
        <f aca="false">_xlfn.CONCAT("{BLACK}Length: {GOLD}", TEXT(ROUNDUP(IF(AS324&lt;&gt;"",SUM(VALUE(_xlfn.TEXTSPLIT(AS324, ","))), SUM(VALUE(_xlfn.TEXTSPLIT(AP324, ",")))*IF(P324, P324, 1))/16, 1), "#,##0.0"), " tiles{}")</f>
        <v>{BLACK}Length: {GOLD}14.5 tiles{}</v>
      </c>
      <c r="CI324" s="1" t="str">
        <f aca="false">IF(0, VLOOKUP($CG324, Constants!$M:$N, 2, FALSE()),"")</f>
        <v/>
      </c>
      <c r="CJ324" s="1" t="str">
        <f aca="false">IF(P324&gt;1,_xlfn.CONCAT("{BLACK}Cars: {GOLD}", P324),"")</f>
        <v>{BLACK}Cars: {GOLD}20</v>
      </c>
      <c r="CK324" s="26" t="s">
        <v>1199</v>
      </c>
      <c r="CL324" s="1" t="str">
        <f aca="false">IF($BX324="concept_trains","{GREEN}Concept Vehicle",IF($BX324="!param_no_gameplay_units","{GREEN}Included for gameplay purposes",""))</f>
        <v/>
      </c>
      <c r="CM324" s="26" t="str">
        <f aca="false">IF(CA324="buffet","{YELLOW}25% long distance bonus for consist{}",IF(CD324="BRAKE","{YELLOW}Speed bonus for slow wagons{}",IF(BZ324&gt;190,CONCATENATE("{YELLOW}",INT((BZ324-185)/1.85),"% bonus for long distance travel{}"),IF(AND(BZ324&lt;180,BZ324&lt;&gt;0),CONCATENATE("{YELLOW}",INT((185-BZ324)/1.85),"% penalty for long distance travel{}"),""))))</f>
        <v>{YELLOW}25% bonus for long distance travel{}</v>
      </c>
      <c r="CN324" s="1" t="str">
        <f aca="false">_xlfn.CONCAT(CI324,IF(CI324&lt;&gt;""," ",""),CJ324,IF(OR(CJ324&lt;&gt;"",CI324&lt;&gt;""),"{}",""),CH324,CM324,"{SILVER}",CK324,IF(CL324&lt;&gt;"","{}{}",""),CL324)</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24" s="1"/>
    </row>
    <row r="325" s="26" customFormat="true" ht="14.25" hidden="false" customHeight="false" outlineLevel="0" collapsed="false">
      <c r="A325" s="26" t="s">
        <v>1208</v>
      </c>
      <c r="B325" s="27" t="s">
        <v>1212</v>
      </c>
      <c r="C325" s="1" t="n">
        <v>3071</v>
      </c>
      <c r="D325" s="26" t="n">
        <v>3068</v>
      </c>
      <c r="E325" s="1" t="n">
        <v>389</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26" t="s">
        <v>241</v>
      </c>
      <c r="J325" s="26" t="s">
        <v>466</v>
      </c>
      <c r="K325" s="26" t="s">
        <v>710</v>
      </c>
      <c r="L325" s="26" t="s">
        <v>753</v>
      </c>
      <c r="M325" s="26" t="n">
        <v>1992</v>
      </c>
      <c r="P325" s="26" t="n">
        <v>16</v>
      </c>
      <c r="Q325" s="26" t="n">
        <v>16400</v>
      </c>
      <c r="R325" s="2" t="n">
        <v>4600</v>
      </c>
      <c r="S325" s="3"/>
      <c r="T325" s="3"/>
      <c r="U325" s="3"/>
      <c r="V325" s="3"/>
      <c r="W325" s="3"/>
      <c r="X325" s="3"/>
      <c r="Y325" s="3"/>
      <c r="Z325" s="26" t="n">
        <v>665</v>
      </c>
      <c r="AA325" s="2"/>
      <c r="AB325" s="26" t="n">
        <v>4</v>
      </c>
      <c r="AC325" s="26" t="n">
        <v>220</v>
      </c>
      <c r="AD325" s="4" t="n">
        <f aca="false">IF(AND(Z325&gt;0,AC325&gt;0),(AC325/((Z325+AA325)*10)),"")</f>
        <v>0.0330827067669173</v>
      </c>
      <c r="AE325" s="26" t="n">
        <v>186</v>
      </c>
      <c r="AF325" s="26" t="n">
        <f aca="false">ROUND(AE325*1.6, 0)</f>
        <v>298</v>
      </c>
      <c r="AH325" s="26" t="n">
        <v>22.15</v>
      </c>
      <c r="AI325" s="26" t="n">
        <v>22.15</v>
      </c>
      <c r="AJ325" s="26" t="n">
        <v>2.81</v>
      </c>
      <c r="AL325" s="5" t="n">
        <v>35</v>
      </c>
      <c r="AM325" s="1" t="str">
        <f aca="false">CONCATENATE(VLOOKUP(AN325, 'Voxel Sizes'!$A$2:$B$18,2,FALSE()),"x",INT(AJ325*15), "x", INT(AK325*15))</f>
        <v>214x42x0</v>
      </c>
      <c r="AN325" s="26" t="n">
        <f aca="false">ROUND(15*((AI325*10)/256),0)</f>
        <v>13</v>
      </c>
      <c r="AP325" s="1" t="str">
        <f aca="false">CONCATENATE(VLOOKUP(AN325,Constants!$A$2:$C$16,IF(AO325&lt;&gt;"", 3, 2), FALSE()),IF(AO325&lt;&gt;"",CONCATENATE(",",VLOOKUP(AO325,$B:$AP,41,FALSE())),""))</f>
        <v>4,5,4</v>
      </c>
      <c r="AR325" s="29" t="s">
        <v>1202</v>
      </c>
      <c r="AS325" s="29" t="s">
        <v>1203</v>
      </c>
      <c r="AT325" s="26" t="s">
        <v>1213</v>
      </c>
      <c r="AU325" s="26" t="s">
        <v>1209</v>
      </c>
      <c r="AV325" s="26" t="s">
        <v>1214</v>
      </c>
      <c r="AW325" s="1" t="s">
        <v>1209</v>
      </c>
      <c r="AZ325" s="26" t="n">
        <v>25</v>
      </c>
      <c r="BA325" s="16" t="str">
        <f aca="false">IF(O325&lt;&gt;"",MAX(16,(O325-M325)+8),"")</f>
        <v/>
      </c>
      <c r="BD325" s="26" t="n">
        <f aca="false">MIN(AE325/150, 1)*30</f>
        <v>30</v>
      </c>
      <c r="BE325" s="26" t="n">
        <f aca="false">MIN(Q325/4000, 1)*20</f>
        <v>20</v>
      </c>
      <c r="BF325" s="26" t="n">
        <f aca="false">MIN(AC325/400,1)*20</f>
        <v>11</v>
      </c>
      <c r="BG325" s="4" t="n">
        <f aca="false">1-(MAX(M325-1900, 0)/750)</f>
        <v>0.877333333333333</v>
      </c>
      <c r="BH325" s="26" t="n">
        <f aca="false">((MAX($P325,1)*MIN($AL325/300,1)))*IF(J325="Wagon",50,10)</f>
        <v>18.6666666666667</v>
      </c>
      <c r="BI325" s="1" t="n">
        <f aca="false">VLOOKUP($K325,Constants!$I:$K, 2, FALSE())</f>
        <v>0.85</v>
      </c>
      <c r="BJ325" s="1" t="n">
        <f aca="false">VLOOKUP($K325,Constants!$I:$K, 3, FALSE())*IF(AND(J325="multiple_unit",AE325&lt;110),0.75,1)</f>
        <v>2.4</v>
      </c>
      <c r="BK325" s="1" t="n">
        <f aca="false">INT(POWER(((Constants!$G$2+$BD325+$BE325+$BF325+$BH325)*$BG325)*$BJ325, 1.05))+$BC325</f>
        <v>231</v>
      </c>
      <c r="BL325" s="1" t="n">
        <f aca="false">INT(POWER((((Constants!$G$1+$BD325+$BE325+$BF325+$BH325)*($BG325))*$BI325),IF($J325="wagon",1,1.2)))+$BB325</f>
        <v>165</v>
      </c>
      <c r="BM325" s="17" t="n">
        <f aca="false">BK325*IF($J325="wagon",62.5,781.25)</f>
        <v>180468.75</v>
      </c>
      <c r="BN325" s="17" t="n">
        <f aca="false">BL325*IF($J325="wagon",2.73,81.25)</f>
        <v>13406.25</v>
      </c>
      <c r="BU325" s="1" t="str">
        <f aca="false">IF(J325="locomotive","B","")</f>
        <v/>
      </c>
      <c r="BV325" s="1" t="str">
        <f aca="false">IF(OR($J325="locomotive",$J325="wagon"),"B","")</f>
        <v/>
      </c>
      <c r="BX325" s="26" t="s">
        <v>1015</v>
      </c>
      <c r="BY325" s="26" t="n">
        <v>11</v>
      </c>
      <c r="BZ325" s="26" t="n">
        <v>232</v>
      </c>
      <c r="CC325" s="26" t="s">
        <v>367</v>
      </c>
      <c r="CD325" s="26" t="s">
        <v>647</v>
      </c>
      <c r="CE325" s="26" t="s">
        <v>913</v>
      </c>
      <c r="CF325" s="26" t="str">
        <f aca="false">CONCATENATE(CD325,"_",CE325)</f>
        <v>lbr_EMU (Express)</v>
      </c>
      <c r="CG325" s="26" t="str">
        <f aca="false">_xlfn.CONCAT(K325, "_",L325)</f>
        <v>dual_electric_DUAL_POWER</v>
      </c>
      <c r="CH325" s="7" t="str">
        <f aca="false">_xlfn.CONCAT("{BLACK}Length: {GOLD}", TEXT(ROUNDUP(IF(AS325&lt;&gt;"",SUM(VALUE(_xlfn.TEXTSPLIT(AS325, ","))), SUM(VALUE(_xlfn.TEXTSPLIT(AP325, ",")))*IF(P325, P325, 1))/16, 1), "#,##0.0"), " tiles{}")</f>
        <v>{BLACK}Length: {GOLD}11.8 tiles{}</v>
      </c>
      <c r="CI325" s="1" t="str">
        <f aca="false">IF(0, VLOOKUP($CG325, Constants!$M:$N, 2, FALSE()),"")</f>
        <v/>
      </c>
      <c r="CJ325" s="1" t="str">
        <f aca="false">IF(P325&gt;1,_xlfn.CONCAT("{BLACK}Cars: {GOLD}", P325),"")</f>
        <v>{BLACK}Cars: {GOLD}16</v>
      </c>
      <c r="CK325" s="26" t="s">
        <v>1207</v>
      </c>
      <c r="CL325" s="1" t="str">
        <f aca="false">IF($BX325="concept_trains","{GREEN}Concept Vehicle",IF($BX325="!param_no_gameplay_units","{GREEN}Included for gameplay purposes",""))</f>
        <v/>
      </c>
      <c r="CM325" s="26" t="str">
        <f aca="false">IF(CA325="buffet","{YELLOW}25% long distance bonus for consist{}",IF(CD325="BRAKE","{YELLOW}Speed bonus for slow wagons{}",IF(BZ325&gt;190,CONCATENATE("{YELLOW}",INT((BZ325-185)/1.85),"% bonus for long distance travel{}"),IF(AND(BZ325&lt;180,BZ325&lt;&gt;0),CONCATENATE("{YELLOW}",INT((185-BZ325)/1.85),"% penalty for long distance travel{}"),""))))</f>
        <v>{YELLOW}25% bonus for long distance travel{}</v>
      </c>
      <c r="CN325" s="1" t="str">
        <f aca="false">_xlfn.CONCAT(CI325,IF(CI325&lt;&gt;""," ",""),CJ325,IF(OR(CJ325&lt;&gt;"",CI325&lt;&gt;""),"{}",""),CH325,CM325,"{SILVER}",CK325,IF(CL325&lt;&gt;"","{}{}",""),CL325)</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25" s="1"/>
    </row>
    <row r="326" s="1" customFormat="true" ht="14.25" hidden="false" customHeight="false" outlineLevel="0" collapsed="false">
      <c r="A326" s="1" t="s">
        <v>1215</v>
      </c>
      <c r="B326" s="27" t="s">
        <v>1216</v>
      </c>
      <c r="C326" s="1" t="n">
        <v>3072</v>
      </c>
      <c r="E326" s="1" t="n">
        <v>390</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241</v>
      </c>
      <c r="J326" s="1" t="s">
        <v>466</v>
      </c>
      <c r="K326" s="1" t="s">
        <v>710</v>
      </c>
      <c r="L326" s="26" t="s">
        <v>753</v>
      </c>
      <c r="M326" s="1" t="n">
        <v>1994</v>
      </c>
      <c r="O326" s="1" t="n">
        <v>2022</v>
      </c>
      <c r="P326" s="1" t="n">
        <v>4</v>
      </c>
      <c r="Q326" s="1" t="n">
        <v>1684</v>
      </c>
      <c r="R326" s="2"/>
      <c r="S326" s="3"/>
      <c r="T326" s="3"/>
      <c r="U326" s="3"/>
      <c r="V326" s="3"/>
      <c r="W326" s="3"/>
      <c r="X326" s="3"/>
      <c r="Y326" s="3"/>
      <c r="Z326" s="1" t="n">
        <v>136</v>
      </c>
      <c r="AA326" s="2"/>
      <c r="AB326" s="1" t="n">
        <v>5</v>
      </c>
      <c r="AC326" s="1" t="n">
        <v>165</v>
      </c>
      <c r="AD326" s="4" t="n">
        <f aca="false">IF(AND(Z326&gt;0,AC326&gt;0),(AC326/((Z326+AA326)*10)),"")</f>
        <v>0.121323529411765</v>
      </c>
      <c r="AE326" s="1" t="n">
        <v>100</v>
      </c>
      <c r="AF326" s="1" t="n">
        <f aca="false">ROUND(AE326*1.6, 0)</f>
        <v>160</v>
      </c>
      <c r="AH326" s="1" t="n">
        <v>20.89</v>
      </c>
      <c r="AI326" s="1" t="n">
        <v>20.89</v>
      </c>
      <c r="AK326" s="1" t="n">
        <v>3.77</v>
      </c>
      <c r="AL326" s="5" t="n">
        <v>66</v>
      </c>
      <c r="AM326" s="1" t="str">
        <f aca="false">CONCATENATE(VLOOKUP(AN326, 'Voxel Sizes'!$A$2:$B$18,2,FALSE()),"x",INT(AJ326*15), "x", INT(AK326*15))</f>
        <v>198x0x56</v>
      </c>
      <c r="AN326" s="1" t="n">
        <f aca="false">ROUND(15*((AI326*10)/256),0)</f>
        <v>12</v>
      </c>
      <c r="AP326" s="1" t="str">
        <f aca="false">CONCATENATE(VLOOKUP(AN326,Constants!$A$2:$C$16,IF(AO326&lt;&gt;"", 3, 2), FALSE()),IF(AO326&lt;&gt;"",CONCATENATE(",",VLOOKUP(AO326,$B:$AP,41,FALSE())),""))</f>
        <v>4,4,4</v>
      </c>
      <c r="AQ326" s="1" t="n">
        <v>7</v>
      </c>
      <c r="AR326" s="6"/>
      <c r="AS326" s="6"/>
      <c r="AT326" s="1" t="s">
        <v>1217</v>
      </c>
      <c r="AU326" s="1" t="s">
        <v>1218</v>
      </c>
      <c r="AV326" s="1" t="s">
        <v>966</v>
      </c>
      <c r="AW326" s="26"/>
      <c r="AZ326" s="1" t="n">
        <v>32</v>
      </c>
      <c r="BA326" s="16" t="n">
        <f aca="false">IF(O326&lt;&gt;"",MAX(16,(O326-M326)+8),"")</f>
        <v>36</v>
      </c>
      <c r="BD326" s="1" t="n">
        <f aca="false">MIN(AE326/150, 1)*30</f>
        <v>20</v>
      </c>
      <c r="BE326" s="1" t="n">
        <f aca="false">MIN(Q326/4000, 1)*20</f>
        <v>8.42</v>
      </c>
      <c r="BF326" s="1" t="n">
        <f aca="false">MIN(AC326/400,1)*20</f>
        <v>8.25</v>
      </c>
      <c r="BG326" s="4" t="n">
        <f aca="false">1-(MAX(M326-1900, 0)/750)</f>
        <v>0.874666666666667</v>
      </c>
      <c r="BH326" s="1" t="n">
        <f aca="false">((MAX($P326,1)*MIN($AL326/300,1)))*IF(J326="Wagon",50,10)</f>
        <v>8.8</v>
      </c>
      <c r="BI326" s="1" t="n">
        <f aca="false">VLOOKUP($K326,Constants!$I:$K, 2, FALSE())</f>
        <v>0.85</v>
      </c>
      <c r="BJ326" s="1" t="n">
        <f aca="false">VLOOKUP($K326,Constants!$I:$K, 3, FALSE())*IF(AND(J326="multiple_unit",AE326&lt;110),0.75,1)</f>
        <v>1.8</v>
      </c>
      <c r="BK326" s="1" t="n">
        <f aca="false">INT(POWER(((Constants!$G$2+$BD326+$BE326+$BF326+$BH326)*$BG326)*$BJ326, 1.05))+$BC326</f>
        <v>98</v>
      </c>
      <c r="BL326" s="1" t="n">
        <f aca="false">INT(POWER((((Constants!$G$1+$BD326+$BE326+$BF326+$BH326)*($BG326))*$BI326),IF($J326="wagon",1,1.2)))+$BB326</f>
        <v>96</v>
      </c>
      <c r="BM326" s="17" t="n">
        <f aca="false">BK326*IF($J326="wagon",62.5,781.25)</f>
        <v>76562.5</v>
      </c>
      <c r="BN326" s="17" t="n">
        <f aca="false">BL326*IF($J326="wagon",2.73,81.25)</f>
        <v>7800</v>
      </c>
      <c r="BU326" s="1" t="str">
        <f aca="false">IF(J326="locomotive","B","")</f>
        <v/>
      </c>
      <c r="BV326" s="1" t="str">
        <f aca="false">IF(OR($J326="locomotive",$J326="wagon"),"B","")</f>
        <v/>
      </c>
      <c r="BY326" s="1" t="n">
        <v>4</v>
      </c>
      <c r="BZ326" s="1" t="n">
        <v>185</v>
      </c>
      <c r="CC326" s="1" t="s">
        <v>367</v>
      </c>
      <c r="CD326" s="1" t="s">
        <v>647</v>
      </c>
      <c r="CE326" s="26" t="s">
        <v>858</v>
      </c>
      <c r="CF326" s="1" t="str">
        <f aca="false">CONCATENATE(CD326,"_",CE326)</f>
        <v>lbr_EMU</v>
      </c>
      <c r="CG326" s="1" t="str">
        <f aca="false">_xlfn.CONCAT(K326, "_",L326)</f>
        <v>dual_electric_DUAL_POWER</v>
      </c>
      <c r="CH326" s="7" t="str">
        <f aca="false">_xlfn.CONCAT("{BLACK}Length: {GOLD}", TEXT(ROUNDUP(IF(AS326&lt;&gt;"",SUM(VALUE(_xlfn.TEXTSPLIT(AS326, ","))), SUM(VALUE(_xlfn.TEXTSPLIT(AP326, ",")))*IF(P326, P326, 1))/16, 1), "#,##0.0"), " tiles{}")</f>
        <v>{BLACK}Length: {GOLD}3.0 tiles{}</v>
      </c>
      <c r="CI326" s="1" t="str">
        <f aca="false">IF(0, VLOOKUP($CG326, Constants!$M:$N, 2, FALSE()),"")</f>
        <v/>
      </c>
      <c r="CJ326" s="1" t="str">
        <f aca="false">IF(P326&gt;1,_xlfn.CONCAT("{BLACK}Cars: {GOLD}", P326),"")</f>
        <v>{BLACK}Cars: {GOLD}4</v>
      </c>
      <c r="CK326" s="1" t="s">
        <v>1219</v>
      </c>
      <c r="CL326" s="1" t="str">
        <f aca="false">IF($BX326="concept_trains","{GREEN}Concept Vehicle",IF($BX326="!param_no_gameplay_units","{GREEN}Included for gameplay purposes",""))</f>
        <v/>
      </c>
      <c r="CM326" s="26" t="str">
        <f aca="false">IF(CA326="buffet","{YELLOW}25% long distance bonus for consist{}",IF(CD326="BRAKE","{YELLOW}Speed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{GOLD}4{}{BLACK}Length: {GOLD}3.0 tiles{}{SILVER}Amongst the last passenger vehicles built at the former BREL Holgate Road works, the Class 365s began to be delivered at the very end of British Rail operations.</v>
      </c>
    </row>
    <row r="327" s="1" customFormat="true" ht="14.25" hidden="false" customHeight="false" outlineLevel="0" collapsed="false">
      <c r="A327" s="1" t="s">
        <v>1220</v>
      </c>
      <c r="B327" s="27" t="s">
        <v>1221</v>
      </c>
      <c r="C327" s="1" t="n">
        <v>3073</v>
      </c>
      <c r="E327" s="1" t="n">
        <v>391</v>
      </c>
      <c r="G327" s="1" t="str">
        <f aca="false">IF($F327&lt;&gt;"",_xlfn.CONCAT(VLOOKUP($CE327, Constants!$T:$U, 2, FALSE()),",",$F327),VLOOKUP($CE327, Constants!$T:$U, 2, FALSE()))</f>
        <v>role/passenger</v>
      </c>
      <c r="H327" s="1" t="str">
        <f aca="false">IF($G327&lt;&gt;"",_xlfn.CONCAT(VLOOKUP($CG327, Constants!$M:$P, 4, FALSE()),",",$G327),VLOOKUP($CG327, Constants!$M:$P, 4, FALSE()))</f>
        <v>flag/GB,power/electric,role/passenger</v>
      </c>
      <c r="I327" s="1" t="s">
        <v>241</v>
      </c>
      <c r="J327" s="1" t="s">
        <v>466</v>
      </c>
      <c r="K327" s="1" t="s">
        <v>388</v>
      </c>
      <c r="L327" s="1" t="s">
        <v>541</v>
      </c>
      <c r="M327" s="1" t="n">
        <v>1992</v>
      </c>
      <c r="N327" s="1" t="n">
        <v>1994</v>
      </c>
      <c r="P327" s="1" t="n">
        <v>4</v>
      </c>
      <c r="Q327" s="1" t="n">
        <v>1608</v>
      </c>
      <c r="R327" s="2"/>
      <c r="S327" s="3"/>
      <c r="T327" s="3"/>
      <c r="U327" s="3"/>
      <c r="V327" s="3"/>
      <c r="W327" s="3"/>
      <c r="X327" s="3"/>
      <c r="Y327" s="3"/>
      <c r="Z327" s="1" t="n">
        <v>136</v>
      </c>
      <c r="AA327" s="2"/>
      <c r="AB327" s="1" t="n">
        <v>5</v>
      </c>
      <c r="AC327" s="1" t="n">
        <v>165</v>
      </c>
      <c r="AD327" s="4" t="n">
        <f aca="false">IF(AND(Z327&gt;0,AC327&gt;0),(AC327/((Z327+AA327)*10)),"")</f>
        <v>0.121323529411765</v>
      </c>
      <c r="AE327" s="1" t="n">
        <v>75</v>
      </c>
      <c r="AF327" s="1" t="n">
        <f aca="false">ROUND(AE327*1.6, 0)</f>
        <v>120</v>
      </c>
      <c r="AH327" s="1" t="n">
        <v>20.89</v>
      </c>
      <c r="AI327" s="1" t="n">
        <v>20.89</v>
      </c>
      <c r="AK327" s="1" t="n">
        <v>3.77</v>
      </c>
      <c r="AL327" s="5" t="n">
        <v>81</v>
      </c>
      <c r="AM327" s="1" t="str">
        <f aca="false">CONCATENATE(VLOOKUP(AN327, 'Voxel Sizes'!$A$2:$B$18,2,FALSE()),"x",INT(AJ327*15), "x", INT(AK327*15))</f>
        <v>198x0x56</v>
      </c>
      <c r="AN327" s="1" t="n">
        <f aca="false">ROUND(15*((AI327*10)/256),0)</f>
        <v>12</v>
      </c>
      <c r="AP327" s="1" t="str">
        <f aca="false">CONCATENATE(VLOOKUP(AN327,Constants!$A$2:$C$16,IF(AO327&lt;&gt;"", 3, 2), FALSE()),IF(AO327&lt;&gt;"",CONCATENATE(",",VLOOKUP(AO327,$B:$AP,41,FALSE())),""))</f>
        <v>4,4,4</v>
      </c>
      <c r="AQ327" s="1" t="n">
        <v>0</v>
      </c>
      <c r="AR327" s="6"/>
      <c r="AS327" s="6"/>
      <c r="AT327" s="1" t="s">
        <v>1222</v>
      </c>
      <c r="AV327" s="1" t="s">
        <v>918</v>
      </c>
      <c r="AW327" s="26" t="s">
        <v>1223</v>
      </c>
      <c r="AZ327" s="1" t="n">
        <v>32</v>
      </c>
      <c r="BA327" s="16" t="str">
        <f aca="false">IF(O327&lt;&gt;"",MAX(16,(O327-M327)+8),"")</f>
        <v/>
      </c>
      <c r="BB327" s="1" t="n">
        <v>-10</v>
      </c>
      <c r="BC327" s="1" t="n">
        <v>-20</v>
      </c>
      <c r="BD327" s="1" t="n">
        <f aca="false">MIN(AE327/150, 1)*30</f>
        <v>15</v>
      </c>
      <c r="BE327" s="1" t="n">
        <f aca="false">MIN(Q327/4000, 1)*20</f>
        <v>8.04</v>
      </c>
      <c r="BF327" s="1" t="n">
        <f aca="false">MIN(AC327/400,1)*20</f>
        <v>8.25</v>
      </c>
      <c r="BG327" s="4" t="n">
        <f aca="false">1-(MAX(M327-1900, 0)/750)</f>
        <v>0.877333333333333</v>
      </c>
      <c r="BH327" s="1" t="n">
        <f aca="false">((MAX($P327,1)*MIN($AL327/300,1)))*IF(J327="Wagon",50,10)</f>
        <v>10.8</v>
      </c>
      <c r="BI327" s="1" t="n">
        <f aca="false">VLOOKUP($K327,Constants!$I:$K, 2, FALSE())</f>
        <v>0.85</v>
      </c>
      <c r="BJ327" s="1" t="n">
        <f aca="false">VLOOKUP($K327,Constants!$I:$K, 3, FALSE())*IF(AND(J327="multiple_unit",AE327&lt;110),0.75,1)</f>
        <v>1.725</v>
      </c>
      <c r="BK327" s="1" t="n">
        <f aca="false">INT(POWER(((Constants!$G$2+$BD327+$BE327+$BF327+$BH327)*$BG327)*$BJ327, 1.05))+$BC327</f>
        <v>68</v>
      </c>
      <c r="BL327" s="1" t="n">
        <f aca="false">INT(POWER((((Constants!$G$1+$BD327+$BE327+$BF327+$BH327)*($BG327))*$BI327),IF($J327="wagon",1,1.2)))+$BB327</f>
        <v>80</v>
      </c>
      <c r="BM327" s="17" t="n">
        <f aca="false">BK327*IF($J327="wagon",62.5,781.25)</f>
        <v>53125</v>
      </c>
      <c r="BN327" s="17" t="n">
        <f aca="false">BL327*IF($J327="wagon",2.73,81.25)</f>
        <v>6500</v>
      </c>
      <c r="BT327" s="1" t="s">
        <v>1224</v>
      </c>
      <c r="BU327" s="1" t="str">
        <f aca="false">IF(J327="locomotive","B","")</f>
        <v/>
      </c>
      <c r="BV327" s="1" t="str">
        <f aca="false">IF(OR($J327="locomotive",$J327="wagon"),"B","")</f>
        <v/>
      </c>
      <c r="BY327" s="1" t="n">
        <v>10</v>
      </c>
      <c r="BZ327" s="1" t="n">
        <v>205</v>
      </c>
      <c r="CC327" s="1" t="s">
        <v>367</v>
      </c>
      <c r="CD327" s="1" t="s">
        <v>647</v>
      </c>
      <c r="CE327" s="26" t="s">
        <v>858</v>
      </c>
      <c r="CF327" s="1" t="str">
        <f aca="false">CONCATENATE(CD327,"_",CE327)</f>
        <v>lbr_EMU</v>
      </c>
      <c r="CG327" s="1" t="str">
        <f aca="false">_xlfn.CONCAT(K327, "_",L327)</f>
        <v>electric_THIRD_RAIL</v>
      </c>
      <c r="CH327" s="7" t="str">
        <f aca="false">_xlfn.CONCAT("{BLACK}Length: {GOLD}", TEXT(ROUNDUP(IF(AS327&lt;&gt;"",SUM(VALUE(_xlfn.TEXTSPLIT(AS327, ","))), SUM(VALUE(_xlfn.TEXTSPLIT(AP327, ",")))*IF(P327, P327, 1))/16, 1), "#,##0.0"), " tiles{}")</f>
        <v>{BLACK}Length: {GOLD}3.0 tiles{}</v>
      </c>
      <c r="CI327" s="1" t="str">
        <f aca="false">IF(0, VLOOKUP($CG327, Constants!$M:$N, 2, FALSE()),"")</f>
        <v/>
      </c>
      <c r="CJ327" s="1" t="str">
        <f aca="false">IF(P327&gt;1,_xlfn.CONCAT("{BLACK}Cars: {GOLD}", P327),"")</f>
        <v>{BLACK}Cars: {GOLD}4</v>
      </c>
      <c r="CK327" s="1" t="s">
        <v>1225</v>
      </c>
      <c r="CL327" s="1" t="str">
        <f aca="false">IF($BX327="concept_trains","{GREEN}Concept Vehicle",IF($BX327="!param_no_gameplay_units","{GREEN}Included for gameplay purposes",""))</f>
        <v/>
      </c>
      <c r="CM327" s="26"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{BLACK}Cars: {GOLD}4{}{BLACK}Length: {GOLD}3.0 tiles{}{YELLOW}10% bonus for long distance travel{}{SILVER}The BREL Networker was built by three different companies (ABB, Metro-Cammell and BREL) with minor detail differences between each manufacturer's output.</v>
      </c>
    </row>
    <row r="328" s="26" customFormat="true" ht="14.25" hidden="false" customHeight="false" outlineLevel="0" collapsed="false">
      <c r="A328" s="26" t="s">
        <v>1226</v>
      </c>
      <c r="B328" s="27" t="s">
        <v>1224</v>
      </c>
      <c r="C328" s="1" t="n">
        <v>3074</v>
      </c>
      <c r="D328" s="26" t="n">
        <v>3073</v>
      </c>
      <c r="E328" s="1" t="n">
        <v>392</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26" t="s">
        <v>241</v>
      </c>
      <c r="J328" s="26" t="s">
        <v>466</v>
      </c>
      <c r="K328" s="26" t="s">
        <v>388</v>
      </c>
      <c r="L328" s="26" t="s">
        <v>541</v>
      </c>
      <c r="M328" s="26" t="n">
        <v>1993</v>
      </c>
      <c r="N328" s="26" t="n">
        <v>2025</v>
      </c>
      <c r="O328" s="26" t="n">
        <v>2028</v>
      </c>
      <c r="P328" s="26" t="n">
        <v>2</v>
      </c>
      <c r="Q328" s="26" t="n">
        <v>1500</v>
      </c>
      <c r="R328" s="2"/>
      <c r="S328" s="3"/>
      <c r="T328" s="3"/>
      <c r="U328" s="3"/>
      <c r="V328" s="3"/>
      <c r="W328" s="3"/>
      <c r="X328" s="3"/>
      <c r="Y328" s="3"/>
      <c r="Z328" s="26" t="n">
        <v>72</v>
      </c>
      <c r="AA328" s="2"/>
      <c r="AB328" s="26" t="n">
        <v>5</v>
      </c>
      <c r="AC328" s="26" t="n">
        <v>83</v>
      </c>
      <c r="AD328" s="4" t="n">
        <f aca="false">IF(AND(Z328&gt;0,AC328&gt;0),(AC328/((Z328+AA328)*10)),"")</f>
        <v>0.115277777777778</v>
      </c>
      <c r="AE328" s="26" t="n">
        <v>75</v>
      </c>
      <c r="AF328" s="26" t="n">
        <f aca="false">ROUND(AE328*1.6, 0)</f>
        <v>120</v>
      </c>
      <c r="AH328" s="26" t="n">
        <v>20.89</v>
      </c>
      <c r="AI328" s="26" t="n">
        <v>20.89</v>
      </c>
      <c r="AK328" s="26" t="n">
        <v>3.77</v>
      </c>
      <c r="AL328" s="5" t="n">
        <v>84</v>
      </c>
      <c r="AM328" s="1" t="str">
        <f aca="false">CONCATENATE(VLOOKUP(AN328, 'Voxel Sizes'!$A$2:$B$18,2,FALSE()),"x",INT(AJ328*15), "x", INT(AK328*15))</f>
        <v>198x0x56</v>
      </c>
      <c r="AN328" s="26" t="n">
        <f aca="false">ROUND(15*((AI328*10)/256),0)</f>
        <v>12</v>
      </c>
      <c r="AP328" s="1" t="str">
        <f aca="false">CONCATENATE(VLOOKUP(AN328,Constants!$A$2:$C$16,IF(AO328&lt;&gt;"", 3, 2), FALSE()),IF(AO328&lt;&gt;"",CONCATENATE(",",VLOOKUP(AO328,$B:$AP,41,FALSE())),""))</f>
        <v>4,4,4</v>
      </c>
      <c r="AQ328" s="26" t="n">
        <v>0</v>
      </c>
      <c r="AR328" s="6"/>
      <c r="AS328" s="6"/>
      <c r="AT328" s="26" t="s">
        <v>1227</v>
      </c>
      <c r="AV328" s="26" t="s">
        <v>957</v>
      </c>
      <c r="AW328" s="26" t="s">
        <v>1223</v>
      </c>
      <c r="AZ328" s="26" t="n">
        <v>32</v>
      </c>
      <c r="BA328" s="16" t="n">
        <f aca="false">IF(O328&lt;&gt;"",MAX(16,(O328-M328)+8),"")</f>
        <v>43</v>
      </c>
      <c r="BB328" s="26" t="n">
        <v>-10</v>
      </c>
      <c r="BC328" s="26" t="n">
        <v>-20</v>
      </c>
      <c r="BD328" s="26" t="n">
        <f aca="false">MIN(AE328/150, 1)*30</f>
        <v>15</v>
      </c>
      <c r="BE328" s="26" t="n">
        <f aca="false">MIN(Q328/4000, 1)*20</f>
        <v>7.5</v>
      </c>
      <c r="BF328" s="26" t="n">
        <f aca="false">MIN(AC328/400,1)*20</f>
        <v>4.15</v>
      </c>
      <c r="BG328" s="4" t="n">
        <f aca="false">1-(MAX(M328-1900, 0)/750)</f>
        <v>0.876</v>
      </c>
      <c r="BH328" s="26" t="n">
        <f aca="false">((MAX($P328,1)*MIN($AL328/300,1)))*IF(J328="Wagon",50,10)</f>
        <v>5.6</v>
      </c>
      <c r="BI328" s="1" t="n">
        <f aca="false">VLOOKUP($K328,Constants!$I:$K, 2, FALSE())</f>
        <v>0.85</v>
      </c>
      <c r="BJ328" s="1" t="n">
        <f aca="false">VLOOKUP($K328,Constants!$I:$K, 3, FALSE())*IF(AND(J328="multiple_unit",AE328&lt;110),0.75,1)</f>
        <v>1.725</v>
      </c>
      <c r="BK328" s="1" t="n">
        <f aca="false">INT(POWER(((Constants!$G$2+$BD328+$BE328+$BF328+$BH328)*$BG328)*$BJ328, 1.05))+$BC328</f>
        <v>48</v>
      </c>
      <c r="BL328" s="1" t="n">
        <f aca="false">INT(POWER((((Constants!$G$1+$BD328+$BE328+$BF328+$BH328)*($BG328))*$BI328),IF($J328="wagon",1,1.2)))+$BB328</f>
        <v>61</v>
      </c>
      <c r="BM328" s="17" t="n">
        <f aca="false">BK328*IF($J328="wagon",62.5,781.25)</f>
        <v>37500</v>
      </c>
      <c r="BN328" s="17" t="n">
        <f aca="false">BL328*IF($J328="wagon",2.73,81.25)</f>
        <v>4956.25</v>
      </c>
      <c r="BT328" s="26" t="s">
        <v>1221</v>
      </c>
      <c r="BU328" s="1" t="str">
        <f aca="false">IF(J328="locomotive","B","")</f>
        <v/>
      </c>
      <c r="BV328" s="1" t="str">
        <f aca="false">IF(OR($J328="locomotive",$J328="wagon"),"B","")</f>
        <v/>
      </c>
      <c r="BY328" s="26" t="n">
        <v>6</v>
      </c>
      <c r="BZ328" s="26" t="n">
        <v>185</v>
      </c>
      <c r="CC328" s="26" t="s">
        <v>367</v>
      </c>
      <c r="CD328" s="26" t="s">
        <v>647</v>
      </c>
      <c r="CE328" s="26" t="s">
        <v>913</v>
      </c>
      <c r="CF328" s="26" t="str">
        <f aca="false">CONCATENATE(CD328,"_",CE328)</f>
        <v>lbr_EMU (Express)</v>
      </c>
      <c r="CG328" s="26" t="str">
        <f aca="false">_xlfn.CONCAT(K328, "_",L328)</f>
        <v>electric_THIRD_RAIL</v>
      </c>
      <c r="CH328" s="7" t="str">
        <f aca="false">_xlfn.CONCAT("{BLACK}Length: {GOLD}", TEXT(ROUNDUP(IF(AS328&lt;&gt;"",SUM(VALUE(_xlfn.TEXTSPLIT(AS328, ","))), SUM(VALUE(_xlfn.TEXTSPLIT(AP328, ",")))*IF(P328, P328, 1))/16, 1), "#,##0.0"), " tiles{}")</f>
        <v>{BLACK}Length: {GOLD}1.5 tiles{}</v>
      </c>
      <c r="CI328" s="1" t="str">
        <f aca="false">IF(0, VLOOKUP($CG328, Constants!$M:$N, 2, FALSE()),"")</f>
        <v/>
      </c>
      <c r="CJ328" s="1" t="str">
        <f aca="false">IF(P328&gt;1,_xlfn.CONCAT("{BLACK}Cars: {GOLD}", P328),"")</f>
        <v>{BLACK}Cars: {GOLD}2</v>
      </c>
      <c r="CK328" s="1" t="s">
        <v>1228</v>
      </c>
      <c r="CL328" s="1" t="str">
        <f aca="false">IF($BX328="concept_trains","{GREEN}Concept Vehicle",IF($BX328="!param_no_gameplay_units","{GREEN}Included for gameplay purposes",""))</f>
        <v/>
      </c>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
      </c>
      <c r="CN328" s="1" t="str">
        <f aca="false">_xlfn.CONCAT(CI328,IF(CI328&lt;&gt;""," ",""),CJ328,IF(OR(CJ328&lt;&gt;"",CI328&lt;&gt;""),"{}",""),CH328,CM328,"{SILVER}",CK328,IF(CL328&lt;&gt;"","{}{}",""),CL328)</f>
        <v>{BLACK}Cars: {GOLD}2{}{BLACK}Length: {GOLD}1.5 tiles{}{SILVER}The Class 466 was a shorter Class 465, used for small branch line service and to strengthen peak services up to 10 cars as needed.</v>
      </c>
      <c r="XFD328" s="1"/>
    </row>
    <row r="329" s="1" customFormat="true" ht="14.25" hidden="false" customHeight="false" outlineLevel="0" collapsed="false">
      <c r="A329" s="1" t="s">
        <v>1229</v>
      </c>
      <c r="B329" s="27" t="s">
        <v>1230</v>
      </c>
      <c r="C329" s="1" t="n">
        <v>3049</v>
      </c>
      <c r="E329" s="1" t="n">
        <v>393</v>
      </c>
      <c r="G329" s="1" t="str">
        <f aca="false">IF($F329&lt;&gt;"",_xlfn.CONCAT(VLOOKUP($CE329, Constants!$T:$U, 2, FALSE()),",",$F329),VLOOKUP($CE329, Constants!$T:$U, 2, FALSE()))</f>
        <v>role/passenger</v>
      </c>
      <c r="H329" s="1" t="str">
        <f aca="false">IF($G329&lt;&gt;"",_xlfn.CONCAT(VLOOKUP($CG329, Constants!$M:$P, 4, FALSE()),",",$G329),VLOOKUP($CG329, Constants!$M:$P, 4, FALSE()))</f>
        <v>flag/GB,power/diesel,role/passenger</v>
      </c>
      <c r="I329" s="1" t="s">
        <v>241</v>
      </c>
      <c r="J329" s="1" t="s">
        <v>466</v>
      </c>
      <c r="K329" s="1" t="s">
        <v>525</v>
      </c>
      <c r="L329" s="1" t="s">
        <v>192</v>
      </c>
      <c r="M329" s="1" t="n">
        <v>1998</v>
      </c>
      <c r="N329" s="1" t="n">
        <v>2005</v>
      </c>
      <c r="P329" s="1" t="n">
        <v>2</v>
      </c>
      <c r="Q329" s="1" t="n">
        <v>1266</v>
      </c>
      <c r="R329" s="2"/>
      <c r="S329" s="3"/>
      <c r="T329" s="3"/>
      <c r="U329" s="3"/>
      <c r="V329" s="3"/>
      <c r="W329" s="3"/>
      <c r="X329" s="3"/>
      <c r="Y329" s="3"/>
      <c r="Z329" s="1" t="n">
        <v>135</v>
      </c>
      <c r="AA329" s="2"/>
      <c r="AB329" s="1" t="n">
        <v>5</v>
      </c>
      <c r="AC329" s="1" t="n">
        <v>180</v>
      </c>
      <c r="AD329" s="4" t="n">
        <f aca="false">IF(AND(Z329&gt;0,AC329&gt;0),(AC329/((Z329+AA329)*10)),"")</f>
        <v>0.133333333333333</v>
      </c>
      <c r="AE329" s="1" t="n">
        <v>100</v>
      </c>
      <c r="AF329" s="1" t="n">
        <f aca="false">ROUND(AE329*1.6, 0)</f>
        <v>160</v>
      </c>
      <c r="AH329" s="1" t="n">
        <v>23.62</v>
      </c>
      <c r="AI329" s="1" t="n">
        <v>21</v>
      </c>
      <c r="AJ329" s="1" t="n">
        <v>2.69</v>
      </c>
      <c r="AK329" s="1" t="n">
        <v>3.77</v>
      </c>
      <c r="AL329" s="5" t="n">
        <v>63</v>
      </c>
      <c r="AM329" s="1" t="str">
        <f aca="false">CONCATENATE(VLOOKUP(AN329, 'Voxel Sizes'!$A$2:$B$18,2,FALSE()),"x",INT(AJ329*15), "x", INT(AK329*15))</f>
        <v>198x40x56</v>
      </c>
      <c r="AN329" s="1" t="n">
        <f aca="false">ROUND(15*((AI329*10)/256),0)</f>
        <v>12</v>
      </c>
      <c r="AP329" s="1" t="str">
        <f aca="false">CONCATENATE(VLOOKUP(AN329,Constants!$A$2:$C$16,IF(AO329&lt;&gt;"", 3, 2), FALSE()),IF(AO329&lt;&gt;"",CONCATENATE(",",VLOOKUP(AO329,$B:$AP,41,FALSE())),""))</f>
        <v>4,4,4</v>
      </c>
      <c r="AR329" s="6"/>
      <c r="AS329" s="6"/>
      <c r="AT329" s="1" t="s">
        <v>1231</v>
      </c>
      <c r="AV329" s="1" t="s">
        <v>815</v>
      </c>
      <c r="AW329" s="1" t="s">
        <v>1232</v>
      </c>
      <c r="AZ329" s="1" t="n">
        <v>29</v>
      </c>
      <c r="BA329" s="16" t="str">
        <f aca="false">IF(O329&lt;&gt;"",MAX(16,(O329-M329)+8),"")</f>
        <v/>
      </c>
      <c r="BB329" s="1" t="n">
        <v>-15</v>
      </c>
      <c r="BC329" s="1" t="n">
        <v>-25</v>
      </c>
      <c r="BD329" s="1" t="n">
        <f aca="false">MIN(AE329/150, 1)*30</f>
        <v>20</v>
      </c>
      <c r="BE329" s="1" t="n">
        <f aca="false">MIN(Q329/4000, 1)*20</f>
        <v>6.33</v>
      </c>
      <c r="BF329" s="1" t="n">
        <f aca="false">MIN(AC329/400,1)*20</f>
        <v>9</v>
      </c>
      <c r="BG329" s="4" t="n">
        <f aca="false">1-(MAX(M329-1900, 0)/750)</f>
        <v>0.869333333333333</v>
      </c>
      <c r="BH329" s="1" t="n">
        <f aca="false">((MAX($P329,1)*MIN($AL329/300,1)))*IF(J329="Wagon",50,10)</f>
        <v>4.2</v>
      </c>
      <c r="BI329" s="1" t="n">
        <f aca="false">VLOOKUP($K329,Constants!$I:$K, 2, FALSE())</f>
        <v>1</v>
      </c>
      <c r="BJ329" s="1" t="n">
        <f aca="false">VLOOKUP($K329,Constants!$I:$K, 3, FALSE())*IF(AND(J329="multiple_unit",AE329&lt;110),0.75,1)</f>
        <v>1.5</v>
      </c>
      <c r="BK329" s="1" t="n">
        <f aca="false">INT(POWER(((Constants!$G$2+$BD329+$BE329+$BF329+$BH329)*$BG329)*$BJ329, 1.05))+$BC329</f>
        <v>46</v>
      </c>
      <c r="BL329" s="1" t="n">
        <f aca="false">INT(POWER((((Constants!$G$1+$BD329+$BE329+$BF329+$BH329)*($BG329))*$BI329),IF($J329="wagon",1,1.2)))+$BB329</f>
        <v>87</v>
      </c>
      <c r="BM329" s="17" t="n">
        <f aca="false">BK329*IF($J329="wagon",62.5,781.25)</f>
        <v>35937.5</v>
      </c>
      <c r="BN329" s="17" t="n">
        <f aca="false">BL329*IF($J329="wagon",2.73,81.25)</f>
        <v>7068.75</v>
      </c>
      <c r="BT329" s="1" t="s">
        <v>1233</v>
      </c>
      <c r="BU329" s="1" t="str">
        <f aca="false">IF(J329="locomotive","B","")</f>
        <v/>
      </c>
      <c r="BV329" s="1" t="str">
        <f aca="false">IF(OR($J329="locomotive",$J329="wagon"),"B","")</f>
        <v/>
      </c>
      <c r="BY329" s="1" t="n">
        <v>3</v>
      </c>
      <c r="BZ329" s="1" t="n">
        <v>185</v>
      </c>
      <c r="CC329" s="1" t="s">
        <v>367</v>
      </c>
      <c r="CD329" s="1" t="s">
        <v>1234</v>
      </c>
      <c r="CE329" s="26" t="s">
        <v>824</v>
      </c>
      <c r="CF329" s="1" t="str">
        <f aca="false">CONCATENATE(CD329,"_",CE329)</f>
        <v>prv_DMU</v>
      </c>
      <c r="CG329" s="1" t="str">
        <f aca="false">_xlfn.CONCAT(K329, "_",L329)</f>
        <v>diesel_RAIL</v>
      </c>
      <c r="CH329" s="7" t="str">
        <f aca="false">_xlfn.CONCAT("{BLACK}Length: {GOLD}", TEXT(ROUNDUP(IF(AS329&lt;&gt;"",SUM(VALUE(_xlfn.TEXTSPLIT(AS329, ","))), SUM(VALUE(_xlfn.TEXTSPLIT(AP329, ",")))*IF(P329, P329, 1))/16, 1), "#,##0.0"), " tiles{}")</f>
        <v>{BLACK}Length: {GOLD}1.5 tiles{}</v>
      </c>
      <c r="CI329" s="1" t="str">
        <f aca="false">IF(0, VLOOKUP($CG329, Constants!$M:$N, 2, FALSE()),"")</f>
        <v/>
      </c>
      <c r="CJ329" s="1" t="str">
        <f aca="false">IF(P329&gt;1,_xlfn.CONCAT("{BLACK}Cars: {GOLD}", P329),"")</f>
        <v>{BLACK}Cars: {GOLD}2</v>
      </c>
      <c r="CK329" s="1" t="s">
        <v>1235</v>
      </c>
      <c r="CL329" s="1" t="str">
        <f aca="false">IF($BX329="concept_trains","{GREEN}Concept Vehicle",IF($BX329="!param_no_gameplay_units","{GREEN}Included for gameplay purposes",""))</f>
        <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{GOLD}2{}{BLACK}Length: {GOLD}1.5 tiles{}{SILVER}The Turbostar is a further development of the BR "Networker" units. It is used for regional and long distance services.</v>
      </c>
    </row>
    <row r="330" s="1" customFormat="true" ht="14.25" hidden="false" customHeight="false" outlineLevel="0" collapsed="false">
      <c r="A330" s="1" t="s">
        <v>1229</v>
      </c>
      <c r="B330" s="27" t="s">
        <v>1236</v>
      </c>
      <c r="C330" s="1" t="n">
        <v>3050</v>
      </c>
      <c r="D330" s="1" t="n">
        <v>3049</v>
      </c>
      <c r="E330" s="1" t="n">
        <v>394</v>
      </c>
      <c r="G330" s="1" t="str">
        <f aca="false">IF($F330&lt;&gt;"",_xlfn.CONCAT(VLOOKUP($CE330, Constants!$T:$U, 2, FALSE()),",",$F330),VLOOKUP($CE330, Constants!$T:$U, 2, FALSE()))</f>
        <v>role/passenger</v>
      </c>
      <c r="H330" s="1" t="str">
        <f aca="false">IF($G330&lt;&gt;"",_xlfn.CONCAT(VLOOKUP($CG330, Constants!$M:$P, 4, FALSE()),",",$G330),VLOOKUP($CG330, Constants!$M:$P, 4, FALSE()))</f>
        <v>flag/GB,power/diesel,role/passenger</v>
      </c>
      <c r="I330" s="1" t="s">
        <v>241</v>
      </c>
      <c r="J330" s="1" t="s">
        <v>466</v>
      </c>
      <c r="K330" s="1" t="s">
        <v>525</v>
      </c>
      <c r="L330" s="1" t="s">
        <v>192</v>
      </c>
      <c r="M330" s="1" t="n">
        <v>1998</v>
      </c>
      <c r="N330" s="1" t="n">
        <v>2005</v>
      </c>
      <c r="P330" s="1" t="n">
        <v>3</v>
      </c>
      <c r="Q330" s="1" t="n">
        <v>1266</v>
      </c>
      <c r="R330" s="2"/>
      <c r="S330" s="3"/>
      <c r="T330" s="3"/>
      <c r="U330" s="3"/>
      <c r="V330" s="3"/>
      <c r="W330" s="3"/>
      <c r="X330" s="3"/>
      <c r="Y330" s="3"/>
      <c r="Z330" s="1" t="n">
        <v>135</v>
      </c>
      <c r="AA330" s="2"/>
      <c r="AB330" s="1" t="n">
        <v>5</v>
      </c>
      <c r="AC330" s="1" t="n">
        <v>180</v>
      </c>
      <c r="AD330" s="4" t="n">
        <f aca="false">IF(AND(Z330&gt;0,AC330&gt;0),(AC330/((Z330+AA330)*10)),"")</f>
        <v>0.133333333333333</v>
      </c>
      <c r="AE330" s="1" t="n">
        <v>100</v>
      </c>
      <c r="AF330" s="1" t="n">
        <f aca="false">ROUND(AE330*1.6, 0)</f>
        <v>160</v>
      </c>
      <c r="AH330" s="1" t="n">
        <v>23.62</v>
      </c>
      <c r="AI330" s="1" t="n">
        <v>21</v>
      </c>
      <c r="AJ330" s="1" t="n">
        <v>2.69</v>
      </c>
      <c r="AK330" s="1" t="n">
        <v>3.77</v>
      </c>
      <c r="AL330" s="5" t="n">
        <v>63</v>
      </c>
      <c r="AM330" s="1" t="str">
        <f aca="false">CONCATENATE(VLOOKUP(AN330, 'Voxel Sizes'!$A$2:$B$18,2,FALSE()),"x",INT(AJ330*15), "x", INT(AK330*15))</f>
        <v>198x40x56</v>
      </c>
      <c r="AN330" s="1" t="n">
        <f aca="false">ROUND(15*((AI330*10)/256),0)</f>
        <v>12</v>
      </c>
      <c r="AP330" s="1" t="str">
        <f aca="false">CONCATENATE(VLOOKUP(AN330,Constants!$A$2:$C$16,IF(AO330&lt;&gt;"", 3, 2), FALSE()),IF(AO330&lt;&gt;"",CONCATENATE(",",VLOOKUP(AO330,$B:$AP,41,FALSE())),""))</f>
        <v>4,4,4</v>
      </c>
      <c r="AR330" s="6"/>
      <c r="AS330" s="6"/>
      <c r="AT330" s="1" t="s">
        <v>1237</v>
      </c>
      <c r="AV330" s="1" t="s">
        <v>819</v>
      </c>
      <c r="AW330" s="1" t="s">
        <v>1232</v>
      </c>
      <c r="AZ330" s="1" t="n">
        <v>29</v>
      </c>
      <c r="BA330" s="16" t="str">
        <f aca="false">IF(O330&lt;&gt;"",MAX(16,(O330-M330)+8),"")</f>
        <v/>
      </c>
      <c r="BB330" s="1" t="n">
        <v>-15</v>
      </c>
      <c r="BC330" s="1" t="n">
        <v>-25</v>
      </c>
      <c r="BD330" s="1" t="n">
        <f aca="false">MIN(AE330/150, 1)*30</f>
        <v>20</v>
      </c>
      <c r="BE330" s="1" t="n">
        <f aca="false">MIN(Q330/4000, 1)*20</f>
        <v>6.33</v>
      </c>
      <c r="BF330" s="1" t="n">
        <f aca="false">MIN(AC330/400,1)*20</f>
        <v>9</v>
      </c>
      <c r="BG330" s="4" t="n">
        <f aca="false">1-(MAX(M330-1900, 0)/750)</f>
        <v>0.869333333333333</v>
      </c>
      <c r="BH330" s="1" t="n">
        <f aca="false">((MAX($P330,1)*MIN($AL330/300,1)))*IF(J330="Wagon",50,10)</f>
        <v>6.3</v>
      </c>
      <c r="BI330" s="1" t="n">
        <f aca="false">VLOOKUP($K330,Constants!$I:$K, 2, FALSE())</f>
        <v>1</v>
      </c>
      <c r="BJ330" s="1" t="n">
        <f aca="false">VLOOKUP($K330,Constants!$I:$K, 3, FALSE())*IF(AND(J330="multiple_unit",AE330&lt;110),0.75,1)</f>
        <v>1.5</v>
      </c>
      <c r="BK330" s="1" t="n">
        <f aca="false">INT(POWER(((Constants!$G$2+$BD330+$BE330+$BF330+$BH330)*$BG330)*$BJ330, 1.05))+$BC330</f>
        <v>49</v>
      </c>
      <c r="BL330" s="1" t="n">
        <f aca="false">INT(POWER((((Constants!$G$1+$BD330+$BE330+$BF330+$BH330)*($BG330))*$BI330),IF($J330="wagon",1,1.2)))+$BB330</f>
        <v>92</v>
      </c>
      <c r="BM330" s="17" t="n">
        <f aca="false">BK330*IF($J330="wagon",62.5,781.25)</f>
        <v>38281.25</v>
      </c>
      <c r="BN330" s="17" t="n">
        <f aca="false">BL330*IF($J330="wagon",2.73,81.25)</f>
        <v>7475</v>
      </c>
      <c r="BT330" s="1" t="s">
        <v>1238</v>
      </c>
      <c r="BU330" s="1" t="str">
        <f aca="false">IF(J330="locomotive","B","")</f>
        <v/>
      </c>
      <c r="BV330" s="1" t="str">
        <f aca="false">IF(OR($J330="locomotive",$J330="wagon"),"B","")</f>
        <v/>
      </c>
      <c r="BY330" s="1" t="n">
        <v>3</v>
      </c>
      <c r="BZ330" s="1" t="n">
        <v>185</v>
      </c>
      <c r="CC330" s="1" t="s">
        <v>367</v>
      </c>
      <c r="CD330" s="1" t="s">
        <v>1234</v>
      </c>
      <c r="CE330" s="26" t="s">
        <v>824</v>
      </c>
      <c r="CF330" s="1" t="str">
        <f aca="false">CONCATENATE(CD330,"_",CE330)</f>
        <v>prv_DMU</v>
      </c>
      <c r="CG330" s="1" t="str">
        <f aca="false">_xlfn.CONCAT(K330, "_",L330)</f>
        <v>diesel_RAIL</v>
      </c>
      <c r="CH330" s="7" t="str">
        <f aca="false">_xlfn.CONCAT("{BLACK}Length: {GOLD}", TEXT(ROUNDUP(IF(AS330&lt;&gt;"",SUM(VALUE(_xlfn.TEXTSPLIT(AS330, ","))), SUM(VALUE(_xlfn.TEXTSPLIT(AP330, ",")))*IF(P330, P330, 1))/16, 1), "#,##0.0"), " tiles{}")</f>
        <v>{BLACK}Length: {GOLD}2.3 tiles{}</v>
      </c>
      <c r="CI330" s="1" t="str">
        <f aca="false">IF(0, VLOOKUP($CG330, Constants!$M:$N, 2, FALSE()),"")</f>
        <v/>
      </c>
      <c r="CJ330" s="1" t="str">
        <f aca="false">IF(P330&gt;1,_xlfn.CONCAT("{BLACK}Cars: {GOLD}", P330),"")</f>
        <v>{BLACK}Cars: {GOLD}3</v>
      </c>
      <c r="CK330" s="1" t="s">
        <v>1235</v>
      </c>
      <c r="CL330" s="1" t="str">
        <f aca="false">IF($BX330="concept_trains","{GREEN}Concept Vehicle",IF($BX330="!param_no_gameplay_units","{GREEN}Included for gameplay purposes",""))</f>
        <v/>
      </c>
      <c r="CM330" s="26"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{GOLD}3{}{BLACK}Length: {GOLD}2.3 tiles{}{SILVER}The Turbostar is a further development of the BR "Networker" units. It is used for regional and long distance services.</v>
      </c>
    </row>
    <row r="331" customFormat="false" ht="14.25" hidden="false" customHeight="false" outlineLevel="0" collapsed="false">
      <c r="A331" s="1" t="s">
        <v>1239</v>
      </c>
      <c r="B331" s="15" t="s">
        <v>1240</v>
      </c>
      <c r="C331" s="1" t="n">
        <v>257</v>
      </c>
      <c r="E331" s="1" t="n">
        <v>395</v>
      </c>
      <c r="G331" s="1" t="str">
        <f aca="false">IF($F331&lt;&gt;"",_xlfn.CONCAT(VLOOKUP($CE331, Constants!$T:$U, 2, FALSE()),",",$F331),VLOOKUP($CE331, Constants!$T:$U, 2, FALSE()))</f>
        <v>role/passenger</v>
      </c>
      <c r="H331" s="1" t="str">
        <f aca="false">IF($G331&lt;&gt;"",_xlfn.CONCAT(VLOOKUP($CG331, Constants!$M:$P, 4, FALSE()),",",$G331),VLOOKUP($CG331, Constants!$M:$P, 4, FALSE()))</f>
        <v>flag/GB,power/diesel,role/passenger</v>
      </c>
      <c r="I331" s="1" t="s">
        <v>241</v>
      </c>
      <c r="J331" s="1" t="s">
        <v>466</v>
      </c>
      <c r="K331" s="1" t="s">
        <v>525</v>
      </c>
      <c r="L331" s="1" t="s">
        <v>192</v>
      </c>
      <c r="M331" s="1" t="n">
        <v>2000</v>
      </c>
      <c r="P331" s="1" t="n">
        <v>2</v>
      </c>
      <c r="Q331" s="1" t="n">
        <f aca="false">450*2</f>
        <v>900</v>
      </c>
      <c r="Z331" s="1" t="n">
        <v>98</v>
      </c>
      <c r="AB331" s="1" t="n">
        <v>5</v>
      </c>
      <c r="AC331" s="1" t="n">
        <v>120</v>
      </c>
      <c r="AD331" s="4" t="n">
        <f aca="false">IF(AND(Z331&gt;0,AC331&gt;0),(AC331/((Z331+AA331)*10)),"")</f>
        <v>0.122448979591837</v>
      </c>
      <c r="AE331" s="1" t="n">
        <v>100</v>
      </c>
      <c r="AF331" s="1" t="n">
        <f aca="false">ROUND(AE331*1.6, 0)</f>
        <v>160</v>
      </c>
      <c r="AH331" s="1" t="n">
        <v>23.71</v>
      </c>
      <c r="AI331" s="1" t="n">
        <v>23.71</v>
      </c>
      <c r="AL331" s="5" t="n">
        <v>69</v>
      </c>
      <c r="AM331" s="1" t="str">
        <f aca="false">CONCATENATE(VLOOKUP(AN331, 'Voxel Sizes'!$A$2:$B$18,2,FALSE()),"x",INT(AJ331*15), "x", INT(AK331*15))</f>
        <v>238x0x0</v>
      </c>
      <c r="AN331" s="1" t="n">
        <f aca="false">ROUND(15*((AI331*10)/256),0)</f>
        <v>14</v>
      </c>
      <c r="AP331" s="1" t="str">
        <f aca="false">CONCATENATE(VLOOKUP(AN331,Constants!$A$2:$C$16,IF(AO331&lt;&gt;"", 3, 2), FALSE()),IF(AO331&lt;&gt;"",CONCATENATE(",",VLOOKUP(AO331,$B:$AP,41,FALSE())),""))</f>
        <v>4,6,4</v>
      </c>
      <c r="AT331" s="1" t="s">
        <v>1241</v>
      </c>
      <c r="AV331" s="1" t="s">
        <v>815</v>
      </c>
      <c r="AZ331" s="1" t="n">
        <v>22</v>
      </c>
      <c r="BA331" s="16" t="str">
        <f aca="false">IF(O331&lt;&gt;"",MAX(16,(O331-M331)+8),"")</f>
        <v/>
      </c>
      <c r="BB331" s="1" t="n">
        <v>-6</v>
      </c>
      <c r="BC331" s="1" t="n">
        <v>-25</v>
      </c>
      <c r="BD331" s="1" t="n">
        <f aca="false">MIN(AE331/150, 1)*30</f>
        <v>20</v>
      </c>
      <c r="BE331" s="1" t="n">
        <f aca="false">MIN(Q331/4000, 1)*20</f>
        <v>4.5</v>
      </c>
      <c r="BF331" s="1" t="n">
        <f aca="false">MIN(AC331/400,1)*20</f>
        <v>6</v>
      </c>
      <c r="BG331" s="4" t="n">
        <f aca="false">1-(MAX(M331-1900, 0)/750)</f>
        <v>0.866666666666667</v>
      </c>
      <c r="BH331" s="1" t="n">
        <f aca="false">((MAX($P331,1)*MIN($AL331/300,1)))*IF(J331="Wagon",50,10)</f>
        <v>4.6</v>
      </c>
      <c r="BI331" s="1" t="n">
        <f aca="false">VLOOKUP($K331,Constants!$I:$K, 2, FALSE())</f>
        <v>1</v>
      </c>
      <c r="BJ331" s="1" t="n">
        <f aca="false">VLOOKUP($K331,Constants!$I:$K, 3, FALSE())*IF(AND(J331="multiple_unit",AE331&lt;110),0.75,1)</f>
        <v>1.5</v>
      </c>
      <c r="BK331" s="1" t="n">
        <f aca="false">INT(POWER(((Constants!$G$2+$BD331+$BE331+$BF331+$BH331)*$BG331)*$BJ331, 1.05))+$BC331</f>
        <v>38</v>
      </c>
      <c r="BL331" s="1" t="n">
        <f aca="false">INT(POWER((((Constants!$G$1+$BD331+$BE331+$BF331+$BH331)*($BG331))*$BI331),IF($J331="wagon",1,1.2)))+$BB331</f>
        <v>86</v>
      </c>
      <c r="BM331" s="17" t="n">
        <f aca="false">BK331*IF($J331="wagon",62.5,781.25)</f>
        <v>29687.5</v>
      </c>
      <c r="BN331" s="17" t="n">
        <f aca="false">BL331*IF($J331="wagon",2.73,81.25)</f>
        <v>6987.5</v>
      </c>
      <c r="BU331" s="1" t="str">
        <f aca="false">IF(J331="locomotive","B","")</f>
        <v/>
      </c>
      <c r="BV331" s="1" t="str">
        <f aca="false">IF(OR($J331="locomotive",$J331="wagon"),"B","")</f>
        <v/>
      </c>
      <c r="BY331" s="1" t="n">
        <v>4</v>
      </c>
      <c r="CC331" s="1" t="s">
        <v>367</v>
      </c>
      <c r="CD331" s="1" t="str">
        <f aca="false">VLOOKUP(M331,Eras!$A$2:$C$10, 2, TRUE())</f>
        <v>prv</v>
      </c>
      <c r="CE331" s="1" t="s">
        <v>824</v>
      </c>
      <c r="CF331" s="1" t="str">
        <f aca="false">CONCATENATE(CD331,"_",CE331)</f>
        <v>prv_DMU</v>
      </c>
      <c r="CG331" s="1" t="str">
        <f aca="false">_xlfn.CONCAT(K331, "_",L331)</f>
        <v>diesel_RAIL</v>
      </c>
      <c r="CH331" s="7" t="str">
        <f aca="false">_xlfn.CONCAT("{BLACK}Length: {GOLD}", TEXT(ROUNDUP(IF(AS331&lt;&gt;"",SUM(VALUE(_xlfn.TEXTSPLIT(AS331, ","))), SUM(VALUE(_xlfn.TEXTSPLIT(AP331, ",")))*IF(P331, P331, 1))/16, 1), "#,##0.0"), " tiles{}")</f>
        <v>{BLACK}Length: {GOLD}1.8 tiles{}</v>
      </c>
      <c r="CI331" s="1" t="str">
        <f aca="false">IF(0, VLOOKUP($CG331, Constants!$M:$N, 2, FALSE()),"")</f>
        <v/>
      </c>
      <c r="CJ331" s="1" t="str">
        <f aca="false">IF(P331&gt;1,_xlfn.CONCAT("{BLACK}Cars: {GOLD}", P331),"")</f>
        <v>{BLACK}Cars: {GOLD}2</v>
      </c>
      <c r="CK331" s="1" t="s">
        <v>1242</v>
      </c>
      <c r="CL331" s="1" t="str">
        <f aca="false">IF($BX331="concept_trains","{GREEN}Concept Vehicle",IF($BX331="!param_no_gameplay_units","{GREEN}Included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{GOLD}2{}{BLACK}Length: {GOLD}1.8 tiles{}{SILVER}Originally operated by First North Western, the Class 175s were cascaded to services in Wales. They suffered early reliability problems, but work on braking systems and bogies has made a significant improvement.</v>
      </c>
    </row>
    <row r="332" customFormat="false" ht="14.25" hidden="false" customHeight="false" outlineLevel="0" collapsed="false">
      <c r="A332" s="1" t="s">
        <v>1243</v>
      </c>
      <c r="B332" s="15" t="s">
        <v>1244</v>
      </c>
      <c r="C332" s="1" t="n">
        <v>258</v>
      </c>
      <c r="E332" s="1" t="n">
        <v>396</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1" t="s">
        <v>241</v>
      </c>
      <c r="J332" s="1" t="s">
        <v>466</v>
      </c>
      <c r="K332" s="1" t="s">
        <v>388</v>
      </c>
      <c r="L332" s="1" t="s">
        <v>541</v>
      </c>
      <c r="M332" s="1" t="n">
        <v>2000</v>
      </c>
      <c r="N332" s="1" t="n">
        <v>2001</v>
      </c>
      <c r="O332" s="1" t="n">
        <v>2012</v>
      </c>
      <c r="P332" s="1" t="n">
        <v>8</v>
      </c>
      <c r="Q332" s="1" t="n">
        <v>3620</v>
      </c>
      <c r="Z332" s="1" t="n">
        <v>319</v>
      </c>
      <c r="AB332" s="1" t="n">
        <v>5</v>
      </c>
      <c r="AC332" s="1" t="n">
        <v>240</v>
      </c>
      <c r="AD332" s="4" t="n">
        <f aca="false">IF(AND(Z332&gt;0,AC332&gt;0),(AC332/((Z332+AA332)*10)),"")</f>
        <v>0.0752351097178683</v>
      </c>
      <c r="AE332" s="1" t="n">
        <v>100</v>
      </c>
      <c r="AF332" s="1" t="n">
        <f aca="false">ROUND(AE332*1.6, 0)</f>
        <v>160</v>
      </c>
      <c r="AI332" s="1" t="n">
        <v>21</v>
      </c>
      <c r="AL332" s="5" t="n">
        <f aca="false">23*3</f>
        <v>69</v>
      </c>
      <c r="AM332" s="1" t="str">
        <f aca="false">CONCATENATE(VLOOKUP(AN332, 'Voxel Sizes'!$A$2:$B$18,2,FALSE()),"x",INT(AJ332*15), "x", INT(AK332*15))</f>
        <v>198x0x0</v>
      </c>
      <c r="AN332" s="1" t="n">
        <f aca="false">ROUND(15*((AI332*10)/256),0)</f>
        <v>12</v>
      </c>
      <c r="AP332" s="1" t="str">
        <f aca="false">CONCATENATE(VLOOKUP(AN332,Constants!$A$2:$C$16,IF(AO332&lt;&gt;"", 3, 2), FALSE()),IF(AO332&lt;&gt;"",CONCATENATE(",",VLOOKUP(AO332,$B:$AP,41,FALSE())),""))</f>
        <v>4,4,4</v>
      </c>
      <c r="AT332" s="1" t="s">
        <v>1245</v>
      </c>
      <c r="AV332" s="1" t="s">
        <v>1246</v>
      </c>
      <c r="AZ332" s="1" t="n">
        <v>27</v>
      </c>
      <c r="BA332" s="16" t="n">
        <f aca="false">IF(O332&lt;&gt;"",MAX(16,(O332-M332)+8),"")</f>
        <v>20</v>
      </c>
      <c r="BB332" s="1" t="n">
        <v>-15</v>
      </c>
      <c r="BC332" s="1" t="n">
        <v>-30</v>
      </c>
      <c r="BD332" s="1" t="n">
        <f aca="false">MIN(AE332/150, 1)*30</f>
        <v>20</v>
      </c>
      <c r="BE332" s="1" t="n">
        <f aca="false">MIN(Q332/4000, 1)*20</f>
        <v>18.1</v>
      </c>
      <c r="BF332" s="1" t="n">
        <f aca="false">MIN(AC332/400,1)*20</f>
        <v>12</v>
      </c>
      <c r="BG332" s="4" t="n">
        <f aca="false">1-(MAX(M332-1900, 0)/750)</f>
        <v>0.866666666666667</v>
      </c>
      <c r="BH332" s="1" t="n">
        <f aca="false">((MAX($P332,1)*MIN($AL332/300,1)))*IF(J332="Wagon",50,10)</f>
        <v>18.4</v>
      </c>
      <c r="BI332" s="1" t="n">
        <f aca="false">VLOOKUP($K332,Constants!$I:$K, 2, FALSE())</f>
        <v>0.85</v>
      </c>
      <c r="BJ332" s="1" t="n">
        <f aca="false">VLOOKUP($K332,Constants!$I:$K, 3, FALSE())*IF(AND(J332="multiple_unit",AE332&lt;110),0.75,1)</f>
        <v>1.725</v>
      </c>
      <c r="BK332" s="1" t="n">
        <f aca="false">INT(POWER(((Constants!$G$2+$BD332+$BE332+$BF332+$BH332)*$BG332)*$BJ332, 1.05))+$BC332</f>
        <v>108</v>
      </c>
      <c r="BL332" s="1" t="n">
        <f aca="false">INT(POWER((((Constants!$G$1+$BD332+$BE332+$BF332+$BH332)*($BG332))*$BI332),IF($J332="wagon",1,1.2)))+$BB332</f>
        <v>125</v>
      </c>
      <c r="BM332" s="17" t="n">
        <f aca="false">BK332*IF($J332="wagon",62.5,781.25)</f>
        <v>84375</v>
      </c>
      <c r="BN332" s="17" t="n">
        <f aca="false">BL332*IF($J332="wagon",2.73,81.25)</f>
        <v>10156.25</v>
      </c>
      <c r="BU332" s="1" t="str">
        <f aca="false">IF(J332="locomotive","B","")</f>
        <v/>
      </c>
      <c r="BV332" s="1" t="str">
        <f aca="false">IF(OR($J332="locomotive",$J332="wagon"),"B","")</f>
        <v/>
      </c>
      <c r="BX332" s="1" t="s">
        <v>1247</v>
      </c>
      <c r="BY332" s="1" t="n">
        <v>4</v>
      </c>
      <c r="BZ332" s="1" t="n">
        <v>205</v>
      </c>
      <c r="CC332" s="1" t="s">
        <v>367</v>
      </c>
      <c r="CD332" s="1" t="str">
        <f aca="false">VLOOKUP(M332,Eras!$A$2:$C$10, 2, TRUE())</f>
        <v>prv</v>
      </c>
      <c r="CE332" s="1" t="s">
        <v>913</v>
      </c>
      <c r="CF332" s="1" t="str">
        <f aca="false">CONCATENATE(CD332,"_",CE332)</f>
        <v>prv_EMU (Express)</v>
      </c>
      <c r="CG332" s="1" t="str">
        <f aca="false">_xlfn.CONCAT(K332, "_",L332)</f>
        <v>electric_THIRD_RAIL</v>
      </c>
      <c r="CH332" s="7" t="str">
        <f aca="false">_xlfn.CONCAT("{BLACK}Length: {GOLD}", TEXT(ROUNDUP(IF(AS332&lt;&gt;"",SUM(VALUE(_xlfn.TEXTSPLIT(AS332, ","))), SUM(VALUE(_xlfn.TEXTSPLIT(AP332, ",")))*IF(P332, P332, 1))/16, 1), "#,##0.0"), " tiles{}")</f>
        <v>{BLACK}Length: {GOLD}6.0 tiles{}</v>
      </c>
      <c r="CI332" s="1" t="str">
        <f aca="false">IF(0, VLOOKUP($CG332, Constants!$M:$N, 2, FALSE()),"")</f>
        <v/>
      </c>
      <c r="CJ332" s="1" t="str">
        <f aca="false">IF(P332&gt;1,_xlfn.CONCAT("{BLACK}Cars: {GOLD}", P332),"")</f>
        <v>{BLACK}Cars: {GOLD}8</v>
      </c>
      <c r="CK332" s="1" t="s">
        <v>1248</v>
      </c>
      <c r="CL332" s="1" t="str">
        <f aca="false">IF($BX332="concept_trains","{GREEN}Concept Vehicle",IF($BX332="!param_no_gameplay_units","{GREEN}Included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{YELLOW}10% bonus for long distance travel{}</v>
      </c>
      <c r="CN332" s="1" t="str">
        <f aca="false">_xlfn.CONCAT(CI332,IF(CI332&lt;&gt;""," ",""),CJ332,IF(OR(CJ332&lt;&gt;"",CI332&lt;&gt;""),"{}",""),CH332,CM332,"{SILVER}",CK332,IF(CL332&lt;&gt;"","{}{}",""),CL332)</f>
        <v>{BLACK}Cars: {GOLD}8{}{BLACK}Length: {GOLD}6.0 tiles{}{YELLOW}10% bonus for long distance travel{}{SILVER}The Class 460 was built to replace locomotive-hauled services on the Gatwick Express. It had a short service life, with most units converted to Class 458/5 for suburban use.</v>
      </c>
    </row>
    <row r="333" customFormat="false" ht="14.25" hidden="false" customHeight="false" outlineLevel="0" collapsed="false">
      <c r="A333" s="1" t="s">
        <v>1243</v>
      </c>
      <c r="B333" s="15" t="s">
        <v>1249</v>
      </c>
      <c r="C333" s="1" t="n">
        <v>259</v>
      </c>
      <c r="E333" s="1" t="n">
        <v>397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1" t="s">
        <v>241</v>
      </c>
      <c r="J333" s="1" t="s">
        <v>466</v>
      </c>
      <c r="K333" s="1" t="s">
        <v>388</v>
      </c>
      <c r="L333" s="1" t="s">
        <v>541</v>
      </c>
      <c r="M333" s="1" t="n">
        <v>2000</v>
      </c>
      <c r="N333" s="1" t="n">
        <v>2001</v>
      </c>
      <c r="O333" s="1" t="n">
        <v>2012</v>
      </c>
      <c r="P333" s="1" t="n">
        <v>5</v>
      </c>
      <c r="Q333" s="1" t="n">
        <v>3620</v>
      </c>
      <c r="Z333" s="1" t="n">
        <f aca="false">319/8*5</f>
        <v>199.375</v>
      </c>
      <c r="AB333" s="1" t="n">
        <v>5</v>
      </c>
      <c r="AC333" s="1" t="n">
        <v>240</v>
      </c>
      <c r="AD333" s="4" t="n">
        <f aca="false">IF(AND(Z333&gt;0,AC333&gt;0),(AC333/((Z333+AA333)*10)),"")</f>
        <v>0.120376175548589</v>
      </c>
      <c r="AE333" s="1" t="n">
        <v>100</v>
      </c>
      <c r="AF333" s="1" t="n">
        <f aca="false">ROUND(AE333*1.6, 0)</f>
        <v>160</v>
      </c>
      <c r="AI333" s="1" t="n">
        <v>21</v>
      </c>
      <c r="AL333" s="5" t="n">
        <f aca="false">23*3</f>
        <v>69</v>
      </c>
      <c r="AM333" s="1" t="str">
        <f aca="false">CONCATENATE(VLOOKUP(AN333, 'Voxel Sizes'!$A$2:$B$18,2,FALSE()),"x",INT(AJ333*15), "x", INT(AK333*15))</f>
        <v>198x0x0</v>
      </c>
      <c r="AN333" s="1" t="n">
        <f aca="false">ROUND(15*((AI333*10)/256),0)</f>
        <v>12</v>
      </c>
      <c r="AP333" s="1" t="str">
        <f aca="false">CONCATENATE(VLOOKUP(AN333,Constants!$A$2:$C$16,IF(AO333&lt;&gt;"", 3, 2), FALSE()),IF(AO333&lt;&gt;"",CONCATENATE(",",VLOOKUP(AO333,$B:$AP,41,FALSE())),""))</f>
        <v>4,4,4</v>
      </c>
      <c r="AT333" s="1" t="s">
        <v>1250</v>
      </c>
      <c r="AV333" s="1" t="s">
        <v>889</v>
      </c>
      <c r="AW333" s="1" t="s">
        <v>1244</v>
      </c>
      <c r="AZ333" s="1" t="n">
        <v>27</v>
      </c>
      <c r="BA333" s="16" t="n">
        <f aca="false">IF(O333&lt;&gt;"",MAX(16,(O333-M333)+8),"")</f>
        <v>20</v>
      </c>
      <c r="BB333" s="1" t="n">
        <v>-15</v>
      </c>
      <c r="BC333" s="1" t="n">
        <v>-30</v>
      </c>
      <c r="BD333" s="1" t="n">
        <f aca="false">MIN(AE333/150, 1)*30</f>
        <v>20</v>
      </c>
      <c r="BE333" s="1" t="n">
        <f aca="false">MIN(Q333/4000, 1)*20</f>
        <v>18.1</v>
      </c>
      <c r="BF333" s="1" t="n">
        <f aca="false">MIN(AC333/400,1)*20</f>
        <v>12</v>
      </c>
      <c r="BG333" s="4" t="n">
        <f aca="false">1-(MAX(M333-1900, 0)/750)</f>
        <v>0.866666666666667</v>
      </c>
      <c r="BH333" s="1" t="n">
        <f aca="false">((MAX($P333,1)*MIN($AL333/300,1)))*IF(J333="Wagon",50,10)</f>
        <v>11.5</v>
      </c>
      <c r="BI333" s="1" t="n">
        <f aca="false">VLOOKUP($K333,Constants!$I:$K, 2, FALSE())</f>
        <v>0.85</v>
      </c>
      <c r="BJ333" s="1" t="n">
        <f aca="false">VLOOKUP($K333,Constants!$I:$K, 3, FALSE())*IF(AND(J333="multiple_unit",AE333&lt;110),0.75,1)</f>
        <v>1.725</v>
      </c>
      <c r="BK333" s="1" t="n">
        <f aca="false">INT(POWER(((Constants!$G$2+$BD333+$BE333+$BF333+$BH333)*$BG333)*$BJ333, 1.05))+$BC333</f>
        <v>95</v>
      </c>
      <c r="BL333" s="1" t="n">
        <f aca="false">INT(POWER((((Constants!$G$1+$BD333+$BE333+$BF333+$BH333)*($BG333))*$BI333),IF($J333="wagon",1,1.2)))+$BB333</f>
        <v>111</v>
      </c>
      <c r="BM333" s="17" t="n">
        <f aca="false">BK333*IF($J333="wagon",62.5,781.25)</f>
        <v>74218.75</v>
      </c>
      <c r="BN333" s="17" t="n">
        <f aca="false">BL333*IF($J333="wagon",2.73,81.25)</f>
        <v>9018.75</v>
      </c>
      <c r="BT333" s="1" t="s">
        <v>1251</v>
      </c>
      <c r="BU333" s="1" t="str">
        <f aca="false">IF(J333="locomotive","B","")</f>
        <v/>
      </c>
      <c r="BV333" s="1" t="str">
        <f aca="false">IF(OR($J333="locomotive",$J333="wagon"),"B","")</f>
        <v/>
      </c>
      <c r="BX333" s="1" t="s">
        <v>1252</v>
      </c>
      <c r="BY333" s="1" t="n">
        <v>4</v>
      </c>
      <c r="BZ333" s="1" t="n">
        <v>205</v>
      </c>
      <c r="CC333" s="1" t="s">
        <v>367</v>
      </c>
      <c r="CD333" s="1" t="str">
        <f aca="false">VLOOKUP(M333,Eras!$A$2:$C$10, 2, TRUE())</f>
        <v>prv</v>
      </c>
      <c r="CE333" s="1" t="s">
        <v>913</v>
      </c>
      <c r="CF333" s="1" t="str">
        <f aca="false">CONCATENATE(CD333,"_",CE333)</f>
        <v>prv_EMU (Express)</v>
      </c>
      <c r="CG333" s="1" t="str">
        <f aca="false">_xlfn.CONCAT(K333, "_",L333)</f>
        <v>electric_THIRD_RAIL</v>
      </c>
      <c r="CH333" s="7" t="str">
        <f aca="false">_xlfn.CONCAT("{BLACK}Length: {GOLD}", TEXT(ROUNDUP(IF(AS333&lt;&gt;"",SUM(VALUE(_xlfn.TEXTSPLIT(AS333, ","))), SUM(VALUE(_xlfn.TEXTSPLIT(AP333, ",")))*IF(P333, P333, 1))/16, 1), "#,##0.0"), " tiles{}")</f>
        <v>{BLACK}Length: {GOLD}3.8 tiles{}</v>
      </c>
      <c r="CI333" s="1" t="str">
        <f aca="false">IF(0, VLOOKUP($CG333, Constants!$M:$N, 2, FALSE()),"")</f>
        <v/>
      </c>
      <c r="CJ333" s="1" t="str">
        <f aca="false">IF(P333&gt;1,_xlfn.CONCAT("{BLACK}Cars: {GOLD}", P333),"")</f>
        <v>{BLACK}Cars: {GOLD}5</v>
      </c>
      <c r="CK333" s="1" t="s">
        <v>1248</v>
      </c>
      <c r="CL333" s="1" t="str">
        <f aca="false">IF($BX333="concept_trains","{GREEN}Concept Vehicle",IF($BX333="!param_no_gameplay_units","{GREEN}Included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{YELLOW}10% bonus for long distance travel{}</v>
      </c>
      <c r="CN333" s="1" t="str">
        <f aca="false">_xlfn.CONCAT(CI333,IF(CI333&lt;&gt;""," ",""),CJ333,IF(OR(CJ333&lt;&gt;"",CI333&lt;&gt;""),"{}",""),CH333,CM333,"{SILVER}",CK333,IF(CL333&lt;&gt;"","{}{}",""),CL333)</f>
        <v>{BLACK}Cars: {GOLD}5{}{BLACK}Length: {GOLD}3.8 tiles{}{YELLOW}10% bonus for long distance travel{}{SILVER}The Class 460 was built to replace locomotive-hauled services on the Gatwick Express. It had a short service life, with most units converted to Class 458/5 for suburban use.</v>
      </c>
    </row>
    <row r="334" s="26" customFormat="true" ht="14.25" hidden="false" customHeight="false" outlineLevel="0" collapsed="false">
      <c r="A334" s="26" t="s">
        <v>1253</v>
      </c>
      <c r="B334" s="27" t="s">
        <v>1251</v>
      </c>
      <c r="C334" s="1" t="n">
        <v>3086</v>
      </c>
      <c r="D334" s="26" t="n">
        <v>258</v>
      </c>
      <c r="E334" s="1" t="n">
        <v>398</v>
      </c>
      <c r="F334" s="1"/>
      <c r="G334" s="1" t="str">
        <f aca="false">IF($F334&lt;&gt;"",_xlfn.CONCAT(VLOOKUP($CE334, Constants!$T:$U, 2, FALSE()),",",$F334),VLOOKUP($CE334, Constants!$T:$U, 2, FALSE()))</f>
        <v>role/express_passenger</v>
      </c>
      <c r="H334" s="1" t="str">
        <f aca="false">IF($G334&lt;&gt;"",_xlfn.CONCAT(VLOOKUP($CG334, Constants!$M:$P, 4, FALSE()),",",$G334),VLOOKUP($CG334, Constants!$M:$P, 4, FALSE()))</f>
        <v>flag/GB,power/electric,role/express_passenger</v>
      </c>
      <c r="I334" s="26" t="s">
        <v>241</v>
      </c>
      <c r="J334" s="26" t="s">
        <v>466</v>
      </c>
      <c r="K334" s="26" t="s">
        <v>388</v>
      </c>
      <c r="L334" s="26" t="s">
        <v>541</v>
      </c>
      <c r="M334" s="26" t="n">
        <v>2012</v>
      </c>
      <c r="P334" s="26" t="n">
        <v>5</v>
      </c>
      <c r="Q334" s="26" t="n">
        <v>3620</v>
      </c>
      <c r="R334" s="2"/>
      <c r="S334" s="3"/>
      <c r="T334" s="3"/>
      <c r="U334" s="3"/>
      <c r="V334" s="3"/>
      <c r="W334" s="3"/>
      <c r="X334" s="3"/>
      <c r="Y334" s="3"/>
      <c r="Z334" s="26" t="n">
        <v>200</v>
      </c>
      <c r="AA334" s="2"/>
      <c r="AB334" s="26" t="n">
        <v>5</v>
      </c>
      <c r="AC334" s="26" t="n">
        <v>240</v>
      </c>
      <c r="AD334" s="4" t="n">
        <f aca="false">IF(AND(Z334&gt;0,AC334&gt;0),(AC334/((Z334+AA334)*10)),"")</f>
        <v>0.12</v>
      </c>
      <c r="AE334" s="26" t="n">
        <v>100</v>
      </c>
      <c r="AF334" s="26" t="n">
        <f aca="false">ROUND(AE334*1.6, 0)</f>
        <v>160</v>
      </c>
      <c r="AI334" s="26" t="n">
        <v>21</v>
      </c>
      <c r="AL334" s="5" t="n">
        <v>54</v>
      </c>
      <c r="AM334" s="1" t="str">
        <f aca="false">CONCATENATE(VLOOKUP(AN334, 'Voxel Sizes'!$A$2:$B$18,2,FALSE()),"x",INT(AJ334*15), "x", INT(AK334*15))</f>
        <v>198x0x0</v>
      </c>
      <c r="AN334" s="26" t="n">
        <f aca="false">ROUND(15*((AI334*10)/256),0)</f>
        <v>12</v>
      </c>
      <c r="AP334" s="1" t="str">
        <f aca="false">CONCATENATE(VLOOKUP(AN334,Constants!$A$2:$C$16,IF(AO334&lt;&gt;"", 3, 2), FALSE()),IF(AO334&lt;&gt;"",CONCATENATE(",",VLOOKUP(AO334,$B:$AP,41,FALSE())),""))</f>
        <v>4,4,4</v>
      </c>
      <c r="AR334" s="6"/>
      <c r="AS334" s="6"/>
      <c r="AT334" s="26" t="s">
        <v>1254</v>
      </c>
      <c r="AV334" s="26" t="s">
        <v>1255</v>
      </c>
      <c r="AW334" s="26" t="s">
        <v>1256</v>
      </c>
      <c r="AZ334" s="26" t="n">
        <v>27</v>
      </c>
      <c r="BA334" s="16" t="str">
        <f aca="false">IF(O334&lt;&gt;"",MAX(16,(O334-M334)+8),"")</f>
        <v/>
      </c>
      <c r="BB334" s="26" t="n">
        <v>-15</v>
      </c>
      <c r="BC334" s="26" t="n">
        <v>-30</v>
      </c>
      <c r="BD334" s="26" t="n">
        <f aca="false">MIN(AE334/150, 1)*30</f>
        <v>20</v>
      </c>
      <c r="BE334" s="26" t="n">
        <f aca="false">MIN(Q334/4000, 1)*20</f>
        <v>18.1</v>
      </c>
      <c r="BF334" s="26" t="n">
        <f aca="false">MIN(AC334/400,1)*20</f>
        <v>12</v>
      </c>
      <c r="BG334" s="4" t="n">
        <f aca="false">1-(MAX(M334-1900, 0)/750)</f>
        <v>0.850666666666667</v>
      </c>
      <c r="BH334" s="26" t="n">
        <f aca="false">((MAX($P334,1)*MIN($AL334/300,1)))*IF(J334="Wagon",50,10)</f>
        <v>9</v>
      </c>
      <c r="BI334" s="1" t="n">
        <f aca="false">VLOOKUP($K334,Constants!$I:$K, 2, FALSE())</f>
        <v>0.85</v>
      </c>
      <c r="BJ334" s="1" t="n">
        <f aca="false">VLOOKUP($K334,Constants!$I:$K, 3, FALSE())*IF(AND(J334="multiple_unit",AE334&lt;110),0.75,1)</f>
        <v>1.725</v>
      </c>
      <c r="BK334" s="1" t="n">
        <f aca="false">INT(POWER(((Constants!$G$2+$BD334+$BE334+$BF334+$BH334)*$BG334)*$BJ334, 1.05))+$BC334</f>
        <v>88</v>
      </c>
      <c r="BL334" s="1" t="n">
        <f aca="false">INT(POWER((((Constants!$G$1+$BD334+$BE334+$BF334+$BH334)*($BG334))*$BI334),IF($J334="wagon",1,1.2)))+$BB334</f>
        <v>103</v>
      </c>
      <c r="BM334" s="17" t="n">
        <f aca="false">BK334*IF($J334="wagon",62.5,781.25)</f>
        <v>68750</v>
      </c>
      <c r="BN334" s="17" t="n">
        <f aca="false">BL334*IF($J334="wagon",2.73,81.25)</f>
        <v>8368.75</v>
      </c>
      <c r="BT334" s="26" t="s">
        <v>1257</v>
      </c>
      <c r="BU334" s="1" t="str">
        <f aca="false">IF(J334="locomotive","B","")</f>
        <v/>
      </c>
      <c r="BV334" s="1" t="str">
        <f aca="false">IF(OR($J334="locomotive",$J334="wagon"),"B","")</f>
        <v/>
      </c>
      <c r="BY334" s="26" t="n">
        <v>4</v>
      </c>
      <c r="BZ334" s="26" t="n">
        <v>205</v>
      </c>
      <c r="CC334" s="26" t="s">
        <v>367</v>
      </c>
      <c r="CD334" s="26" t="s">
        <v>799</v>
      </c>
      <c r="CE334" s="26" t="s">
        <v>913</v>
      </c>
      <c r="CF334" s="26" t="str">
        <f aca="false">CONCATENATE(CD334,"_",CE334)</f>
        <v>mod_EMU (Express)</v>
      </c>
      <c r="CG334" s="26" t="str">
        <f aca="false">_xlfn.CONCAT(K334, "_",L334)</f>
        <v>electric_THIRD_RAIL</v>
      </c>
      <c r="CH334" s="7" t="str">
        <f aca="false">_xlfn.CONCAT("{BLACK}Length: {GOLD}", TEXT(ROUNDUP(IF(AS334&lt;&gt;"",SUM(VALUE(_xlfn.TEXTSPLIT(AS334, ","))), SUM(VALUE(_xlfn.TEXTSPLIT(AP334, ",")))*IF(P334, P334, 1))/16, 1), "#,##0.0"), " tiles{}")</f>
        <v>{BLACK}Length: {GOLD}3.8 tiles{}</v>
      </c>
      <c r="CI334" s="1" t="str">
        <f aca="false">IF(0, VLOOKUP($CG334, Constants!$M:$N, 2, FALSE()),"")</f>
        <v/>
      </c>
      <c r="CJ334" s="1" t="str">
        <f aca="false">IF(P334&gt;1,_xlfn.CONCAT("{BLACK}Cars: {GOLD}", P334),"")</f>
        <v>{BLACK}Cars: {GOLD}5</v>
      </c>
      <c r="CK334" s="26" t="s">
        <v>1258</v>
      </c>
      <c r="CL334" s="1" t="str">
        <f aca="false">IF($BX334="concept_trains","{GREEN}Concept Vehicle",IF($BX334="!param_no_gameplay_units","{GREEN}Included for gameplay purposes",""))</f>
        <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{YELLOW}10% bonus for long distance travel{}</v>
      </c>
      <c r="CN334" s="1" t="str">
        <f aca="false">_xlfn.CONCAT(CI334,IF(CI334&lt;&gt;""," ",""),CJ334,IF(OR(CJ334&lt;&gt;"",CI334&lt;&gt;""),"{}",""),CH334,CM334,"{SILVER}",CK334,IF(CL334&lt;&gt;"","{}{}",""),CL334)</f>
        <v>{BLACK}Cars: {GOLD}5{}{BLACK}Length: {GOLD}3.8 tiles{}{YELLOW}10% bonus for long distance travel{}{SILVER}The suburban conversion of ex-class 460 trains, now through-gangwayed and in 5 car formations. 4 of the former Class 460 baggage vehicles were scrapped as part of the conversion program.</v>
      </c>
      <c r="XFD334" s="1"/>
    </row>
    <row r="335" customFormat="false" ht="14.25" hidden="false" customHeight="false" outlineLevel="0" collapsed="false">
      <c r="A335" s="1" t="s">
        <v>1259</v>
      </c>
      <c r="B335" s="15" t="s">
        <v>1260</v>
      </c>
      <c r="C335" s="1" t="n">
        <v>260</v>
      </c>
      <c r="E335" s="1" t="n">
        <v>399</v>
      </c>
      <c r="G335" s="1" t="str">
        <f aca="false">IF($F335&lt;&gt;"",_xlfn.CONCAT(VLOOKUP($CE335, Constants!$T:$U, 2, FALSE()),",",$F335),VLOOKUP($CE335, Constants!$T:$U, 2, FALSE()))</f>
        <v>role/express_passenger</v>
      </c>
      <c r="H335" s="1" t="str">
        <f aca="false">IF($G335&lt;&gt;"",_xlfn.CONCAT(VLOOKUP($CG335, Constants!$M:$P, 4, FALSE()),",",$G335),VLOOKUP($CG335, Constants!$M:$P, 4, FALSE()))</f>
        <v>flag/GB,power/diesel,role/express_passenger</v>
      </c>
      <c r="I335" s="1" t="s">
        <v>241</v>
      </c>
      <c r="J335" s="1" t="s">
        <v>466</v>
      </c>
      <c r="K335" s="1" t="s">
        <v>525</v>
      </c>
      <c r="L335" s="1" t="s">
        <v>192</v>
      </c>
      <c r="M335" s="1" t="n">
        <v>2001</v>
      </c>
      <c r="P335" s="1" t="n">
        <v>5</v>
      </c>
      <c r="Q335" s="1" t="n">
        <f aca="false">750*3</f>
        <v>2250</v>
      </c>
      <c r="Z335" s="1" t="n">
        <v>252.5</v>
      </c>
      <c r="AB335" s="1" t="n">
        <v>4</v>
      </c>
      <c r="AC335" s="1" t="n">
        <v>190</v>
      </c>
      <c r="AD335" s="4" t="n">
        <f aca="false">IF(AND(Z335&gt;0,AC335&gt;0),(AC335/((Z335+AA335)*10)),"")</f>
        <v>0.0752475247524752</v>
      </c>
      <c r="AE335" s="1" t="n">
        <v>125</v>
      </c>
      <c r="AF335" s="1" t="n">
        <f aca="false">ROUND(AE335*1.6, 0)</f>
        <v>200</v>
      </c>
      <c r="AH335" s="1" t="n">
        <v>23.71</v>
      </c>
      <c r="AI335" s="1" t="n">
        <v>23.71</v>
      </c>
      <c r="AL335" s="5" t="n">
        <v>57</v>
      </c>
      <c r="AM335" s="1" t="str">
        <f aca="false">CONCATENATE(VLOOKUP(AN335, 'Voxel Sizes'!$A$2:$B$18,2,FALSE()),"x",INT(AJ335*15), "x", INT(AK335*15))</f>
        <v>238x0x0</v>
      </c>
      <c r="AN335" s="1" t="n">
        <f aca="false">ROUND(15*((AI335*10)/256),0)</f>
        <v>14</v>
      </c>
      <c r="AP335" s="1" t="str">
        <f aca="false">CONCATENATE(VLOOKUP(AN335,Constants!$A$2:$C$16,IF(AO335&lt;&gt;"", 3, 2), FALSE()),IF(AO335&lt;&gt;"",CONCATENATE(",",VLOOKUP(AO335,$B:$AP,41,FALSE())),""))</f>
        <v>4,6,4</v>
      </c>
      <c r="AT335" s="1" t="s">
        <v>1261</v>
      </c>
      <c r="AV335" s="1" t="s">
        <v>912</v>
      </c>
      <c r="AZ335" s="1" t="n">
        <v>22</v>
      </c>
      <c r="BA335" s="16" t="str">
        <f aca="false">IF(O335&lt;&gt;"",MAX(16,(O335-M335)+8),"")</f>
        <v/>
      </c>
      <c r="BB335" s="1" t="n">
        <v>-8</v>
      </c>
      <c r="BC335" s="1" t="n">
        <v>-30</v>
      </c>
      <c r="BD335" s="1" t="n">
        <f aca="false">MIN(AE335/150, 1)*30</f>
        <v>25</v>
      </c>
      <c r="BE335" s="1" t="n">
        <f aca="false">MIN(Q335/4000, 1)*20</f>
        <v>11.25</v>
      </c>
      <c r="BF335" s="1" t="n">
        <f aca="false">MIN(AC335/400,1)*20</f>
        <v>9.5</v>
      </c>
      <c r="BG335" s="4" t="n">
        <f aca="false">1-(MAX(M335-1900, 0)/750)</f>
        <v>0.865333333333333</v>
      </c>
      <c r="BH335" s="1" t="n">
        <f aca="false">((MAX($P335,1)*MIN($AL335/300,1)))*IF(J335="Wagon",50,10)</f>
        <v>9.5</v>
      </c>
      <c r="BI335" s="1" t="n">
        <f aca="false">VLOOKUP($K335,Constants!$I:$K, 2, FALSE())</f>
        <v>1</v>
      </c>
      <c r="BJ335" s="1" t="n">
        <f aca="false">VLOOKUP($K335,Constants!$I:$K, 3, FALSE())*IF(AND(J335="multiple_unit",AE335&lt;110),0.75,1)</f>
        <v>2</v>
      </c>
      <c r="BK335" s="1" t="n">
        <f aca="false">INT(POWER(((Constants!$G$2+$BD335+$BE335+$BF335+$BH335)*$BG335)*$BJ335, 1.05))+$BC335</f>
        <v>101</v>
      </c>
      <c r="BL335" s="1" t="n">
        <f aca="false">INT(POWER((((Constants!$G$1+$BD335+$BE335+$BF335+$BH335)*($BG335))*$BI335),IF($J335="wagon",1,1.2)))+$BB335</f>
        <v>130</v>
      </c>
      <c r="BM335" s="17" t="n">
        <f aca="false">BK335*IF($J335="wagon",62.5,781.25)</f>
        <v>78906.25</v>
      </c>
      <c r="BN335" s="17" t="n">
        <f aca="false">BL335*IF($J335="wagon",2.73,81.25)</f>
        <v>10562.5</v>
      </c>
      <c r="BU335" s="1" t="str">
        <f aca="false">IF(J335="locomotive","B","")</f>
        <v/>
      </c>
      <c r="BV335" s="1" t="str">
        <f aca="false">IF(OR($J335="locomotive",$J335="wagon"),"B","")</f>
        <v/>
      </c>
      <c r="BX335" s="1" t="s">
        <v>1247</v>
      </c>
      <c r="BY335" s="1" t="n">
        <v>7</v>
      </c>
      <c r="CC335" s="1" t="s">
        <v>367</v>
      </c>
      <c r="CD335" s="1" t="str">
        <f aca="false">VLOOKUP(M335,Eras!$A$2:$C$10, 2, TRUE())</f>
        <v>prv</v>
      </c>
      <c r="CE335" s="1" t="s">
        <v>1016</v>
      </c>
      <c r="CF335" s="1" t="str">
        <f aca="false">CONCATENATE(CD335,"_",CE335)</f>
        <v>prv_DMU (Express)</v>
      </c>
      <c r="CG335" s="1" t="str">
        <f aca="false">_xlfn.CONCAT(K335, "_",L335)</f>
        <v>diesel_RAIL</v>
      </c>
      <c r="CH335" s="7" t="str">
        <f aca="false">_xlfn.CONCAT("{BLACK}Length: {GOLD}", TEXT(ROUNDUP(IF(AS335&lt;&gt;"",SUM(VALUE(_xlfn.TEXTSPLIT(AS335, ","))), SUM(VALUE(_xlfn.TEXTSPLIT(AP335, ",")))*IF(P335, P335, 1))/16, 1), "#,##0.0"), " tiles{}")</f>
        <v>{BLACK}Length: {GOLD}4.4 tiles{}</v>
      </c>
      <c r="CI335" s="1" t="str">
        <f aca="false">IF(0, VLOOKUP($CG335, Constants!$M:$N, 2, FALSE()),"")</f>
        <v/>
      </c>
      <c r="CJ335" s="1" t="str">
        <f aca="false">IF(P335&gt;1,_xlfn.CONCAT("{BLACK}Cars: {GOLD}", P335),"")</f>
        <v>{BLACK}Cars: {GOLD}5</v>
      </c>
      <c r="CK335" s="1" t="s">
        <v>1262</v>
      </c>
      <c r="CL335" s="1" t="str">
        <f aca="false">IF($BX335="concept_trains","{GREEN}Concept Vehicle",IF($BX335="!param_no_gameplay_units","{GREEN}Included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{GOLD}4.4 tiles{}{SILVER}Unusually for a high speed unit, the Class 180 uses a diesel-hydraulic transmission. Unfortunately the units suffered reliability problems both before and after launch.</v>
      </c>
    </row>
    <row r="336" customFormat="false" ht="14.25" hidden="false" customHeight="false" outlineLevel="0" collapsed="false">
      <c r="A336" s="1" t="s">
        <v>1259</v>
      </c>
      <c r="B336" s="15" t="s">
        <v>1263</v>
      </c>
      <c r="C336" s="1" t="n">
        <v>261</v>
      </c>
      <c r="E336" s="1" t="n">
        <v>400</v>
      </c>
      <c r="G336" s="1" t="str">
        <f aca="false">IF($F336&lt;&gt;"",_xlfn.CONCAT(VLOOKUP($CE336, Constants!$T:$U, 2, FALSE()),",",$F336),VLOOKUP($CE336, Constants!$T:$U, 2, FALSE()))</f>
        <v>role/express_passenger</v>
      </c>
      <c r="H336" s="1" t="str">
        <f aca="false">IF($G336&lt;&gt;"",_xlfn.CONCAT(VLOOKUP($CG336, Constants!$M:$P, 4, FALSE()),",",$G336),VLOOKUP($CG336, Constants!$M:$P, 4, FALSE()))</f>
        <v>flag/GB,power/diesel,role/express_passenger</v>
      </c>
      <c r="I336" s="1" t="s">
        <v>241</v>
      </c>
      <c r="J336" s="1" t="s">
        <v>466</v>
      </c>
      <c r="K336" s="1" t="s">
        <v>525</v>
      </c>
      <c r="L336" s="1" t="s">
        <v>192</v>
      </c>
      <c r="M336" s="1" t="n">
        <v>2001</v>
      </c>
      <c r="P336" s="1" t="n">
        <v>4</v>
      </c>
      <c r="Q336" s="1" t="n">
        <f aca="false">750*3</f>
        <v>2250</v>
      </c>
      <c r="Z336" s="1" t="n">
        <v>203</v>
      </c>
      <c r="AB336" s="1" t="n">
        <v>4</v>
      </c>
      <c r="AC336" s="1" t="n">
        <v>190</v>
      </c>
      <c r="AD336" s="4" t="n">
        <f aca="false">IF(AND(Z336&gt;0,AC336&gt;0),(AC336/((Z336+AA336)*10)),"")</f>
        <v>0.0935960591133005</v>
      </c>
      <c r="AE336" s="1" t="n">
        <v>125</v>
      </c>
      <c r="AF336" s="1" t="n">
        <f aca="false">ROUND(AE336*1.6, 0)</f>
        <v>200</v>
      </c>
      <c r="AH336" s="1" t="n">
        <v>23.71</v>
      </c>
      <c r="AI336" s="1" t="n">
        <v>23.71</v>
      </c>
      <c r="AL336" s="5" t="n">
        <v>57</v>
      </c>
      <c r="AM336" s="1" t="str">
        <f aca="false">CONCATENATE(VLOOKUP(AN336, 'Voxel Sizes'!$A$2:$B$18,2,FALSE()),"x",INT(AJ336*15), "x", INT(AK336*15))</f>
        <v>238x0x0</v>
      </c>
      <c r="AN336" s="1" t="n">
        <f aca="false">ROUND(15*((AI336*10)/256),0)</f>
        <v>14</v>
      </c>
      <c r="AP336" s="1" t="str">
        <f aca="false">CONCATENATE(VLOOKUP(AN336,Constants!$A$2:$C$16,IF(AO336&lt;&gt;"", 3, 2), FALSE()),IF(AO336&lt;&gt;"",CONCATENATE(",",VLOOKUP(AO336,$B:$AP,41,FALSE())),""))</f>
        <v>4,6,4</v>
      </c>
      <c r="AT336" s="1" t="s">
        <v>1264</v>
      </c>
      <c r="AV336" s="1" t="s">
        <v>834</v>
      </c>
      <c r="AW336" s="1" t="s">
        <v>1260</v>
      </c>
      <c r="AZ336" s="1" t="n">
        <v>22</v>
      </c>
      <c r="BA336" s="16" t="str">
        <f aca="false">IF(O336&lt;&gt;"",MAX(16,(O336-M336)+8),"")</f>
        <v/>
      </c>
      <c r="BB336" s="1" t="n">
        <v>-8</v>
      </c>
      <c r="BC336" s="1" t="n">
        <v>-30</v>
      </c>
      <c r="BD336" s="1" t="n">
        <f aca="false">MIN(AE336/150, 1)*30</f>
        <v>25</v>
      </c>
      <c r="BE336" s="1" t="n">
        <f aca="false">MIN(Q336/4000, 1)*20</f>
        <v>11.25</v>
      </c>
      <c r="BF336" s="1" t="n">
        <f aca="false">MIN(AC336/400,1)*20</f>
        <v>9.5</v>
      </c>
      <c r="BG336" s="4" t="n">
        <f aca="false">1-(MAX(M336-1900, 0)/750)</f>
        <v>0.865333333333333</v>
      </c>
      <c r="BH336" s="1" t="n">
        <f aca="false">((MAX($P336,1)*MIN($AL336/300,1)))*IF(J336="Wagon",50,10)</f>
        <v>7.6</v>
      </c>
      <c r="BI336" s="1" t="n">
        <f aca="false">VLOOKUP($K336,Constants!$I:$K, 2, FALSE())</f>
        <v>1</v>
      </c>
      <c r="BJ336" s="1" t="n">
        <f aca="false">VLOOKUP($K336,Constants!$I:$K, 3, FALSE())*IF(AND(J336="multiple_unit",AE336&lt;110),0.75,1)</f>
        <v>2</v>
      </c>
      <c r="BK336" s="1" t="n">
        <f aca="false">INT(POWER(((Constants!$G$2+$BD336+$BE336+$BF336+$BH336)*$BG336)*$BJ336, 1.05))+$BC336</f>
        <v>97</v>
      </c>
      <c r="BL336" s="1" t="n">
        <f aca="false">INT(POWER((((Constants!$G$1+$BD336+$BE336+$BF336+$BH336)*($BG336))*$BI336),IF($J336="wagon",1,1.2)))+$BB336</f>
        <v>125</v>
      </c>
      <c r="BM336" s="17" t="n">
        <f aca="false">BK336*IF($J336="wagon",62.5,781.25)</f>
        <v>75781.25</v>
      </c>
      <c r="BN336" s="17" t="n">
        <f aca="false">BL336*IF($J336="wagon",2.73,81.25)</f>
        <v>10156.25</v>
      </c>
      <c r="BU336" s="1" t="str">
        <f aca="false">IF(J336="locomotive","B","")</f>
        <v/>
      </c>
      <c r="BV336" s="1" t="str">
        <f aca="false">IF(OR($J336="locomotive",$J336="wagon"),"B","")</f>
        <v/>
      </c>
      <c r="BX336" s="1" t="s">
        <v>1252</v>
      </c>
      <c r="BY336" s="1" t="n">
        <v>7</v>
      </c>
      <c r="CC336" s="1" t="s">
        <v>367</v>
      </c>
      <c r="CD336" s="1" t="str">
        <f aca="false">VLOOKUP(M336,Eras!$A$2:$C$10, 2, TRUE())</f>
        <v>prv</v>
      </c>
      <c r="CE336" s="1" t="s">
        <v>1016</v>
      </c>
      <c r="CF336" s="1" t="str">
        <f aca="false">CONCATENATE(CD336,"_",CE336)</f>
        <v>prv_DMU (Express)</v>
      </c>
      <c r="CG336" s="1" t="str">
        <f aca="false">_xlfn.CONCAT(K336, "_",L336)</f>
        <v>diesel_RAIL</v>
      </c>
      <c r="CH336" s="7" t="str">
        <f aca="false">_xlfn.CONCAT("{BLACK}Length: {GOLD}", TEXT(ROUNDUP(IF(AS336&lt;&gt;"",SUM(VALUE(_xlfn.TEXTSPLIT(AS336, ","))), SUM(VALUE(_xlfn.TEXTSPLIT(AP336, ",")))*IF(P336, P336, 1))/16, 1), "#,##0.0"), " tiles{}")</f>
        <v>{BLACK}Length: {GOLD}3.5 tiles{}</v>
      </c>
      <c r="CI336" s="1" t="str">
        <f aca="false">IF(0, VLOOKUP($CG336, Constants!$M:$N, 2, FALSE()),"")</f>
        <v/>
      </c>
      <c r="CJ336" s="1" t="str">
        <f aca="false">IF(P336&gt;1,_xlfn.CONCAT("{BLACK}Cars: {GOLD}", P336),"")</f>
        <v>{BLACK}Cars: {GOLD}4</v>
      </c>
      <c r="CK336" s="1" t="s">
        <v>1262</v>
      </c>
      <c r="CL336" s="1" t="str">
        <f aca="false">IF($BX336="concept_trains","{GREEN}Concept Vehicle",IF($BX336="!param_no_gameplay_units","{GREEN}Included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{GOLD}4{}{BLACK}Length: {GOLD}3.5 tiles{}{SILVER}Unusually for a high speed unit, the Class 180 uses a diesel-hydraulic transmission. Unfortunately the units suffered reliability problems both before and after launch.</v>
      </c>
    </row>
    <row r="337" customFormat="false" ht="14.25" hidden="false" customHeight="false" outlineLevel="0" collapsed="false">
      <c r="A337" s="1" t="s">
        <v>1265</v>
      </c>
      <c r="B337" s="15" t="s">
        <v>1266</v>
      </c>
      <c r="C337" s="1" t="n">
        <v>262</v>
      </c>
      <c r="E337" s="1" t="n">
        <v>401</v>
      </c>
      <c r="G337" s="1" t="str">
        <f aca="false">IF($F337&lt;&gt;"",_xlfn.CONCAT(VLOOKUP($CE337, Constants!$T:$U, 2, FALSE()),",",$F337),VLOOKUP($CE337, Constants!$T:$U, 2, FALSE()))</f>
        <v>role/express_passenger</v>
      </c>
      <c r="H337" s="1" t="str">
        <f aca="false">IF($G337&lt;&gt;"",_xlfn.CONCAT(VLOOKUP($CG337, Constants!$M:$P, 4, FALSE()),",",$G337),VLOOKUP($CG337, Constants!$M:$P, 4, FALSE()))</f>
        <v>flag/GB,power/electric,role/express_passenger</v>
      </c>
      <c r="I337" s="1" t="s">
        <v>241</v>
      </c>
      <c r="J337" s="1" t="s">
        <v>466</v>
      </c>
      <c r="K337" s="1" t="s">
        <v>388</v>
      </c>
      <c r="L337" s="1" t="s">
        <v>389</v>
      </c>
      <c r="M337" s="1" t="n">
        <v>2002</v>
      </c>
      <c r="P337" s="1" t="n">
        <v>8</v>
      </c>
      <c r="Q337" s="1" t="n">
        <v>6920</v>
      </c>
      <c r="Z337" s="1" t="n">
        <v>422</v>
      </c>
      <c r="AB337" s="1" t="n">
        <v>4</v>
      </c>
      <c r="AC337" s="1" t="n">
        <v>325</v>
      </c>
      <c r="AD337" s="4" t="n">
        <f aca="false">IF(AND(Z337&gt;0,AC337&gt;0),(AC337/((Z337+AA337)*10)),"")</f>
        <v>0.0770142180094787</v>
      </c>
      <c r="AE337" s="1" t="n">
        <v>140</v>
      </c>
      <c r="AF337" s="1" t="n">
        <f aca="false">ROUND(AE337*1.6, 0)</f>
        <v>224</v>
      </c>
      <c r="AH337" s="1" t="n">
        <v>23.9</v>
      </c>
      <c r="AI337" s="1" t="n">
        <v>23.9</v>
      </c>
      <c r="AJ337" s="1" t="n">
        <v>2.73</v>
      </c>
      <c r="AK337" s="1" t="n">
        <v>3.56</v>
      </c>
      <c r="AL337" s="5" t="n">
        <v>60</v>
      </c>
      <c r="AM337" s="1" t="str">
        <f aca="false">CONCATENATE(VLOOKUP(AN337, 'Voxel Sizes'!$A$2:$B$18,2,FALSE()),"x",INT(AJ337*15), "x", INT(AK337*15))</f>
        <v>238x40x53</v>
      </c>
      <c r="AN337" s="1" t="n">
        <f aca="false">ROUND(15*((AI337*10)/256),0)</f>
        <v>14</v>
      </c>
      <c r="AP337" s="1" t="str">
        <f aca="false">CONCATENATE(VLOOKUP(AN337,Constants!$A$2:$C$16,IF(AO337&lt;&gt;"", 3, 2), FALSE()),IF(AO337&lt;&gt;"",CONCATENATE(",",VLOOKUP(AO337,$B:$AP,41,FALSE())),""))</f>
        <v>4,6,4</v>
      </c>
      <c r="AT337" s="1" t="s">
        <v>1267</v>
      </c>
      <c r="AV337" s="1" t="s">
        <v>1268</v>
      </c>
      <c r="AW337" s="1" t="s">
        <v>1269</v>
      </c>
      <c r="AZ337" s="1" t="n">
        <v>29</v>
      </c>
      <c r="BA337" s="16" t="str">
        <f aca="false">IF(O337&lt;&gt;"",MAX(16,(O337-M337)+8),"")</f>
        <v/>
      </c>
      <c r="BB337" s="1" t="n">
        <v>-15</v>
      </c>
      <c r="BC337" s="1" t="n">
        <v>-35</v>
      </c>
      <c r="BD337" s="1" t="n">
        <f aca="false">MIN(AE337/150, 1)*30</f>
        <v>28</v>
      </c>
      <c r="BE337" s="1" t="n">
        <f aca="false">MIN(Q337/4000, 1)*20</f>
        <v>20</v>
      </c>
      <c r="BF337" s="1" t="n">
        <f aca="false">MIN(AC337/400,1)*20</f>
        <v>16.25</v>
      </c>
      <c r="BG337" s="4" t="n">
        <f aca="false">1-(MAX(M337-1900, 0)/750)</f>
        <v>0.864</v>
      </c>
      <c r="BH337" s="1" t="n">
        <f aca="false">((MAX($P337,1)*MIN($AL337/300,1)))*IF(J337="Wagon",50,10)</f>
        <v>16</v>
      </c>
      <c r="BI337" s="1" t="n">
        <f aca="false">VLOOKUP($K337,Constants!$I:$K, 2, FALSE())</f>
        <v>0.85</v>
      </c>
      <c r="BJ337" s="1" t="n">
        <f aca="false">VLOOKUP($K337,Constants!$I:$K, 3, FALSE())*IF(AND(J337="multiple_unit",AE337&lt;110),0.75,1)</f>
        <v>2.3</v>
      </c>
      <c r="BK337" s="1" t="n">
        <f aca="false">INT(POWER(((Constants!$G$2+$BD337+$BE337+$BF337+$BH337)*$BG337)*$BJ337, 1.05))+$BC337</f>
        <v>183</v>
      </c>
      <c r="BL337" s="1" t="n">
        <f aca="false">INT(POWER((((Constants!$G$1+$BD337+$BE337+$BF337+$BH337)*($BG337))*$BI337),IF($J337="wagon",1,1.2)))+$BB337</f>
        <v>148</v>
      </c>
      <c r="BM337" s="17" t="n">
        <f aca="false">BK337*IF($J337="wagon",62.5,781.25)</f>
        <v>142968.75</v>
      </c>
      <c r="BN337" s="17" t="n">
        <f aca="false">BL337*IF($J337="wagon",2.73,81.25)</f>
        <v>12025</v>
      </c>
      <c r="BS337" s="1" t="n">
        <v>1</v>
      </c>
      <c r="BU337" s="1" t="str">
        <f aca="false">IF(J337="locomotive","B","")</f>
        <v/>
      </c>
      <c r="BV337" s="1" t="str">
        <f aca="false">IF(OR($J337="locomotive",$J337="wagon"),"B","")</f>
        <v/>
      </c>
      <c r="BX337" s="1" t="s">
        <v>1015</v>
      </c>
      <c r="BY337" s="1" t="n">
        <v>6</v>
      </c>
      <c r="BZ337" s="1" t="n">
        <v>205</v>
      </c>
      <c r="CC337" s="1" t="s">
        <v>367</v>
      </c>
      <c r="CD337" s="1" t="str">
        <f aca="false">VLOOKUP(M337,Eras!$A$2:$C$10, 2, TRUE())</f>
        <v>prv</v>
      </c>
      <c r="CE337" s="1" t="s">
        <v>913</v>
      </c>
      <c r="CF337" s="1" t="str">
        <f aca="false">CONCATENATE(CD337,"_",CE337)</f>
        <v>prv_EMU (Express)</v>
      </c>
      <c r="CG337" s="1" t="str">
        <f aca="false">_xlfn.CONCAT(K337, "_",L337)</f>
        <v>electric_ELRL</v>
      </c>
      <c r="CH337" s="7" t="str">
        <f aca="false">_xlfn.CONCAT("{BLACK}Length: {GOLD}", TEXT(ROUNDUP(IF(AS337&lt;&gt;"",SUM(VALUE(_xlfn.TEXTSPLIT(AS337, ","))), SUM(VALUE(_xlfn.TEXTSPLIT(AP337, ",")))*IF(P337, P337, 1))/16, 1), "#,##0.0"), " tiles{}")</f>
        <v>{BLACK}Length: {GOLD}7.0 tiles{}</v>
      </c>
      <c r="CI337" s="1" t="str">
        <f aca="false">IF(0, VLOOKUP($CG337, Constants!$M:$N, 2, FALSE()),"")</f>
        <v/>
      </c>
      <c r="CJ337" s="1" t="str">
        <f aca="false">IF(P337&gt;1,_xlfn.CONCAT("{BLACK}Cars: {GOLD}", P337),"")</f>
        <v>{BLACK}Cars: {GOLD}8</v>
      </c>
      <c r="CK337" s="1" t="s">
        <v>1270</v>
      </c>
      <c r="CL337" s="1" t="str">
        <f aca="false">IF($BX337="concept_trains","{GREEN}Concept Vehicle",IF($BX337="!param_no_gameplay_units","{GREEN}Included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{YELLOW}10% bonus for long distance travel{}</v>
      </c>
      <c r="CN337" s="1" t="str">
        <f aca="false">_xlfn.CONCAT(CI337,IF(CI337&lt;&gt;""," ",""),CJ337,IF(OR(CJ337&lt;&gt;"",CI337&lt;&gt;""),"{}",""),CH337,CM337,"{SILVER}",CK337,IF(CL337&lt;&gt;"","{}{}",""),CL337)</f>
        <v>{BLACK}Cars: {GOLD}8{}{BLACK}Length: {GOLD}7.0 tiles{}{YELLOW}10% bonus for long distance travel{}{SILVER}The Pendolino is a tilting multiple unit with a design speed of 140mph.  The tilt system is supplied by Fiat Ferroviaria.</v>
      </c>
    </row>
    <row r="338" customFormat="false" ht="14.25" hidden="false" customHeight="false" outlineLevel="0" collapsed="false">
      <c r="A338" s="1" t="s">
        <v>1265</v>
      </c>
      <c r="B338" s="30" t="s">
        <v>1271</v>
      </c>
      <c r="C338" s="1" t="n">
        <v>4263</v>
      </c>
      <c r="D338" s="1" t="n">
        <v>262</v>
      </c>
      <c r="E338" s="1" t="n">
        <v>402</v>
      </c>
      <c r="G338" s="1" t="str">
        <f aca="false">IF($F338&lt;&gt;"",_xlfn.CONCAT(VLOOKUP($CE338, Constants!$T:$U, 2, FALSE()),",",$F338),VLOOKUP($CE338, Constants!$T:$U, 2, FALSE()))</f>
        <v>role/express_passenger</v>
      </c>
      <c r="H338" s="1" t="str">
        <f aca="false">IF($G338&lt;&gt;"",_xlfn.CONCAT(VLOOKUP($CG338, Constants!$M:$P, 4, FALSE()),",",$G338),VLOOKUP($CG338, Constants!$M:$P, 4, FALSE()))</f>
        <v>flag/GB,power/electric,role/express_passenger</v>
      </c>
      <c r="I338" s="1" t="s">
        <v>241</v>
      </c>
      <c r="J338" s="1" t="s">
        <v>466</v>
      </c>
      <c r="K338" s="1" t="s">
        <v>388</v>
      </c>
      <c r="L338" s="1" t="s">
        <v>389</v>
      </c>
      <c r="M338" s="1" t="n">
        <v>2002</v>
      </c>
      <c r="P338" s="1" t="n">
        <v>9</v>
      </c>
      <c r="Q338" s="1" t="n">
        <v>8070</v>
      </c>
      <c r="Z338" s="1" t="n">
        <v>466</v>
      </c>
      <c r="AB338" s="1" t="n">
        <v>4</v>
      </c>
      <c r="AC338" s="1" t="n">
        <v>325</v>
      </c>
      <c r="AD338" s="4" t="n">
        <f aca="false">IF(AND(Z338&gt;0,AC338&gt;0),(AC338/((Z338+AA338)*10)),"")</f>
        <v>0.0697424892703863</v>
      </c>
      <c r="AE338" s="1" t="n">
        <v>140</v>
      </c>
      <c r="AF338" s="1" t="n">
        <f aca="false">ROUND(AE338*1.6, 0)</f>
        <v>224</v>
      </c>
      <c r="AH338" s="1" t="n">
        <v>23.9</v>
      </c>
      <c r="AI338" s="1" t="n">
        <v>23.9</v>
      </c>
      <c r="AJ338" s="1" t="n">
        <v>2.73</v>
      </c>
      <c r="AK338" s="1" t="n">
        <v>3.56</v>
      </c>
      <c r="AL338" s="5" t="n">
        <v>60</v>
      </c>
      <c r="AM338" s="1" t="str">
        <f aca="false">CONCATENATE(VLOOKUP(AN338, 'Voxel Sizes'!$A$2:$B$18,2,FALSE()),"x",INT(AJ338*15), "x", INT(AK338*15))</f>
        <v>238x40x53</v>
      </c>
      <c r="AN338" s="1" t="n">
        <f aca="false">ROUND(15*((AI338*10)/256),0)</f>
        <v>14</v>
      </c>
      <c r="AP338" s="1" t="str">
        <f aca="false">CONCATENATE(VLOOKUP(AN338,Constants!$A$2:$C$16,IF(AO338&lt;&gt;"", 3, 2), FALSE()),IF(AO338&lt;&gt;"",CONCATENATE(",",VLOOKUP(AO338,$B:$AP,41,FALSE())),""))</f>
        <v>4,6,4</v>
      </c>
      <c r="AT338" s="1" t="s">
        <v>1272</v>
      </c>
      <c r="AV338" s="1" t="s">
        <v>1273</v>
      </c>
      <c r="AW338" s="1" t="s">
        <v>1269</v>
      </c>
      <c r="AZ338" s="1" t="n">
        <v>29</v>
      </c>
      <c r="BA338" s="16" t="str">
        <f aca="false">IF(O338&lt;&gt;"",MAX(16,(O338-M338)+8),"")</f>
        <v/>
      </c>
      <c r="BB338" s="1" t="n">
        <v>-15</v>
      </c>
      <c r="BC338" s="1" t="n">
        <v>-35</v>
      </c>
      <c r="BD338" s="1" t="n">
        <f aca="false">MIN(AE338/150, 1)*30</f>
        <v>28</v>
      </c>
      <c r="BE338" s="1" t="n">
        <f aca="false">MIN(Q338/4000, 1)*20</f>
        <v>20</v>
      </c>
      <c r="BF338" s="1" t="n">
        <f aca="false">MIN(AC338/400,1)*20</f>
        <v>16.25</v>
      </c>
      <c r="BG338" s="4" t="n">
        <f aca="false">1-(MAX(M338-1900, 0)/750)</f>
        <v>0.864</v>
      </c>
      <c r="BH338" s="1" t="n">
        <f aca="false">((MAX($P338,1)*MIN($AL338/300,1)))*IF(J338="Wagon",50,10)</f>
        <v>18</v>
      </c>
      <c r="BI338" s="1" t="n">
        <f aca="false">VLOOKUP($K338,Constants!$I:$K, 2, FALSE())</f>
        <v>0.85</v>
      </c>
      <c r="BJ338" s="1" t="n">
        <f aca="false">VLOOKUP($K338,Constants!$I:$K, 3, FALSE())*IF(AND(J338="multiple_unit",AE338&lt;110),0.75,1)</f>
        <v>2.3</v>
      </c>
      <c r="BK338" s="1" t="n">
        <f aca="false">INT(POWER(((Constants!$G$2+$BD338+$BE338+$BF338+$BH338)*$BG338)*$BJ338, 1.05))+$BC338</f>
        <v>189</v>
      </c>
      <c r="BL338" s="1" t="n">
        <f aca="false">INT(POWER((((Constants!$G$1+$BD338+$BE338+$BF338+$BH338)*($BG338))*$BI338),IF($J338="wagon",1,1.2)))+$BB338</f>
        <v>152</v>
      </c>
      <c r="BM338" s="17" t="n">
        <f aca="false">BK338*IF($J338="wagon",62.5,781.25)</f>
        <v>147656.25</v>
      </c>
      <c r="BN338" s="17" t="n">
        <f aca="false">BL338*IF($J338="wagon",2.73,81.25)</f>
        <v>12350</v>
      </c>
      <c r="BS338" s="1" t="n">
        <v>1</v>
      </c>
      <c r="BU338" s="1" t="str">
        <f aca="false">IF(J338="locomotive","B","")</f>
        <v/>
      </c>
      <c r="BV338" s="1" t="str">
        <f aca="false">IF(OR($J338="locomotive",$J338="wagon"),"B","")</f>
        <v/>
      </c>
      <c r="BX338" s="1" t="s">
        <v>1015</v>
      </c>
      <c r="BY338" s="1" t="n">
        <v>6</v>
      </c>
      <c r="BZ338" s="1" t="n">
        <v>205</v>
      </c>
      <c r="CC338" s="1" t="s">
        <v>367</v>
      </c>
      <c r="CD338" s="1" t="str">
        <f aca="false">VLOOKUP(M338,Eras!$A$2:$C$10, 2, TRUE())</f>
        <v>prv</v>
      </c>
      <c r="CE338" s="1" t="s">
        <v>913</v>
      </c>
      <c r="CF338" s="1" t="str">
        <f aca="false">CONCATENATE(CD338,"_",CE338)</f>
        <v>prv_EMU (Express)</v>
      </c>
      <c r="CG338" s="1" t="str">
        <f aca="false">_xlfn.CONCAT(K338, "_",L338)</f>
        <v>electric_ELRL</v>
      </c>
      <c r="CH338" s="7" t="str">
        <f aca="false">_xlfn.CONCAT("{BLACK}Length: {GOLD}", TEXT(ROUNDUP(IF(AS338&lt;&gt;"",SUM(VALUE(_xlfn.TEXTSPLIT(AS338, ","))), SUM(VALUE(_xlfn.TEXTSPLIT(AP338, ",")))*IF(P338, P338, 1))/16, 1), "#,##0.0"), " tiles{}")</f>
        <v>{BLACK}Length: {GOLD}7.9 tiles{}</v>
      </c>
      <c r="CI338" s="1" t="str">
        <f aca="false">IF(0, VLOOKUP($CG338, Constants!$M:$N, 2, FALSE()),"")</f>
        <v/>
      </c>
      <c r="CJ338" s="1" t="str">
        <f aca="false">IF(P338&gt;1,_xlfn.CONCAT("{BLACK}Cars: {GOLD}", P338),"")</f>
        <v>{BLACK}Cars: {GOLD}9</v>
      </c>
      <c r="CK338" s="1" t="s">
        <v>1270</v>
      </c>
      <c r="CL338" s="1" t="str">
        <f aca="false">IF($BX338="concept_trains","{GREEN}Concept Vehicle",IF($BX338="!param_no_gameplay_units","{GREEN}Included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bonus for long distance travel{}</v>
      </c>
      <c r="CN338" s="1" t="str">
        <f aca="false">_xlfn.CONCAT(CI338,IF(CI338&lt;&gt;""," ",""),CJ338,IF(OR(CJ338&lt;&gt;"",CI338&lt;&gt;""),"{}",""),CH338,CM338,"{SILVER}",CK338,IF(CL338&lt;&gt;"","{}{}",""),CL338)</f>
        <v>{BLACK}Cars: {GOLD}9{}{BLACK}Length: {GOLD}7.9 tiles{}{YELLOW}10% bonus for long distance travel{}{SILVER}The Pendolino is a tilting multiple unit with a design speed of 140mph.  The tilt system is supplied by Fiat Ferroviaria.</v>
      </c>
    </row>
    <row r="339" customFormat="false" ht="14.25" hidden="false" customHeight="false" outlineLevel="0" collapsed="false">
      <c r="A339" s="1" t="s">
        <v>1265</v>
      </c>
      <c r="B339" s="30" t="s">
        <v>1274</v>
      </c>
      <c r="C339" s="1" t="n">
        <v>4264</v>
      </c>
      <c r="D339" s="1" t="n">
        <v>262</v>
      </c>
      <c r="E339" s="1" t="n">
        <v>403</v>
      </c>
      <c r="G339" s="1" t="str">
        <f aca="false">IF($F339&lt;&gt;"",_xlfn.CONCAT(VLOOKUP($CE339, Constants!$T:$U, 2, FALSE()),",",$F339),VLOOKUP($CE339, Constants!$T:$U, 2, FALSE()))</f>
        <v>role/express_passenger</v>
      </c>
      <c r="H339" s="1" t="str">
        <f aca="false">IF($G339&lt;&gt;"",_xlfn.CONCAT(VLOOKUP($CG339, Constants!$M:$P, 4, FALSE()),",",$G339),VLOOKUP($CG339, Constants!$M:$P, 4, FALSE()))</f>
        <v>flag/GB,power/electric,role/express_passenger</v>
      </c>
      <c r="I339" s="1" t="s">
        <v>241</v>
      </c>
      <c r="J339" s="1" t="s">
        <v>466</v>
      </c>
      <c r="K339" s="1" t="s">
        <v>388</v>
      </c>
      <c r="L339" s="1" t="s">
        <v>389</v>
      </c>
      <c r="M339" s="1" t="n">
        <v>2002</v>
      </c>
      <c r="P339" s="1" t="n">
        <v>11</v>
      </c>
      <c r="Q339" s="1" t="n">
        <v>8070</v>
      </c>
      <c r="Z339" s="1" t="n">
        <v>567</v>
      </c>
      <c r="AB339" s="1" t="n">
        <v>4</v>
      </c>
      <c r="AC339" s="1" t="n">
        <v>380</v>
      </c>
      <c r="AD339" s="4" t="n">
        <f aca="false">IF(AND(Z339&gt;0,AC339&gt;0),(AC339/((Z339+AA339)*10)),"")</f>
        <v>0.0670194003527337</v>
      </c>
      <c r="AE339" s="1" t="n">
        <v>140</v>
      </c>
      <c r="AF339" s="1" t="n">
        <f aca="false">ROUND(AE339*1.6, 0)</f>
        <v>224</v>
      </c>
      <c r="AH339" s="1" t="n">
        <v>23.9</v>
      </c>
      <c r="AI339" s="1" t="n">
        <v>23.9</v>
      </c>
      <c r="AJ339" s="1" t="n">
        <v>2.73</v>
      </c>
      <c r="AK339" s="1" t="n">
        <v>3.56</v>
      </c>
      <c r="AL339" s="5" t="n">
        <v>60</v>
      </c>
      <c r="AM339" s="1" t="str">
        <f aca="false">CONCATENATE(VLOOKUP(AN339, 'Voxel Sizes'!$A$2:$B$18,2,FALSE()),"x",INT(AJ339*15), "x", INT(AK339*15))</f>
        <v>238x40x53</v>
      </c>
      <c r="AN339" s="1" t="n">
        <f aca="false">ROUND(15*((AI339*10)/256),0)</f>
        <v>14</v>
      </c>
      <c r="AP339" s="1" t="str">
        <f aca="false">CONCATENATE(VLOOKUP(AN339,Constants!$A$2:$C$16,IF(AO339&lt;&gt;"", 3, 2), FALSE()),IF(AO339&lt;&gt;"",CONCATENATE(",",VLOOKUP(AO339,$B:$AP,41,FALSE())),""))</f>
        <v>4,6,4</v>
      </c>
      <c r="AT339" s="1" t="s">
        <v>1275</v>
      </c>
      <c r="AV339" s="26" t="s">
        <v>1276</v>
      </c>
      <c r="AW339" s="1" t="s">
        <v>1269</v>
      </c>
      <c r="AZ339" s="1" t="n">
        <v>29</v>
      </c>
      <c r="BA339" s="16" t="str">
        <f aca="false">IF(O339&lt;&gt;"",MAX(16,(O339-M339)+8),"")</f>
        <v/>
      </c>
      <c r="BB339" s="1" t="n">
        <v>-15</v>
      </c>
      <c r="BC339" s="1" t="n">
        <v>-35</v>
      </c>
      <c r="BD339" s="1" t="n">
        <f aca="false">MIN(AE339/150, 1)*30</f>
        <v>28</v>
      </c>
      <c r="BE339" s="1" t="n">
        <f aca="false">MIN(Q339/4000, 1)*20</f>
        <v>20</v>
      </c>
      <c r="BF339" s="1" t="n">
        <f aca="false">MIN(AC339/400,1)*20</f>
        <v>19</v>
      </c>
      <c r="BG339" s="4" t="n">
        <f aca="false">1-(MAX(M339-1900, 0)/750)</f>
        <v>0.864</v>
      </c>
      <c r="BH339" s="1" t="n">
        <f aca="false">((MAX($P339,1)*MIN($AL339/300,1)))*IF(J339="Wagon",50,10)</f>
        <v>22</v>
      </c>
      <c r="BI339" s="1" t="n">
        <f aca="false">VLOOKUP($K339,Constants!$I:$K, 2, FALSE())</f>
        <v>0.85</v>
      </c>
      <c r="BJ339" s="1" t="n">
        <f aca="false">VLOOKUP($K339,Constants!$I:$K, 3, FALSE())*IF(AND(J339="multiple_unit",AE339&lt;110),0.75,1)</f>
        <v>2.3</v>
      </c>
      <c r="BK339" s="1" t="n">
        <f aca="false">INT(POWER(((Constants!$G$2+$BD339+$BE339+$BF339+$BH339)*$BG339)*$BJ339, 1.05))+$BC339</f>
        <v>207</v>
      </c>
      <c r="BL339" s="1" t="n">
        <f aca="false">INT(POWER((((Constants!$G$1+$BD339+$BE339+$BF339+$BH339)*($BG339))*$BI339),IF($J339="wagon",1,1.2)))+$BB339</f>
        <v>166</v>
      </c>
      <c r="BM339" s="17" t="n">
        <f aca="false">BK339*IF($J339="wagon",62.5,781.25)</f>
        <v>161718.75</v>
      </c>
      <c r="BN339" s="17" t="n">
        <f aca="false">BL339*IF($J339="wagon",2.73,81.25)</f>
        <v>13487.5</v>
      </c>
      <c r="BS339" s="1" t="n">
        <v>1</v>
      </c>
      <c r="BU339" s="1" t="str">
        <f aca="false">IF(J339="locomotive","B","")</f>
        <v/>
      </c>
      <c r="BV339" s="1" t="str">
        <f aca="false">IF(OR($J339="locomotive",$J339="wagon"),"B","")</f>
        <v/>
      </c>
      <c r="BX339" s="1" t="s">
        <v>1015</v>
      </c>
      <c r="BY339" s="1" t="n">
        <v>6</v>
      </c>
      <c r="BZ339" s="1" t="n">
        <v>205</v>
      </c>
      <c r="CC339" s="1" t="s">
        <v>367</v>
      </c>
      <c r="CD339" s="1" t="str">
        <f aca="false">VLOOKUP(M339,Eras!$A$2:$C$10, 2, TRUE())</f>
        <v>prv</v>
      </c>
      <c r="CE339" s="1" t="s">
        <v>913</v>
      </c>
      <c r="CF339" s="1" t="str">
        <f aca="false">CONCATENATE(CD339,"_",CE339)</f>
        <v>prv_EMU (Express)</v>
      </c>
      <c r="CG339" s="1" t="str">
        <f aca="false">_xlfn.CONCAT(K339, "_",L339)</f>
        <v>electric_ELRL</v>
      </c>
      <c r="CH339" s="7" t="str">
        <f aca="false">_xlfn.CONCAT("{BLACK}Length: {GOLD}", TEXT(ROUNDUP(IF(AS339&lt;&gt;"",SUM(VALUE(_xlfn.TEXTSPLIT(AS339, ","))), SUM(VALUE(_xlfn.TEXTSPLIT(AP339, ",")))*IF(P339, P339, 1))/16, 1), "#,##0.0"), " tiles{}")</f>
        <v>{BLACK}Length: {GOLD}9.7 tiles{}</v>
      </c>
      <c r="CI339" s="1" t="str">
        <f aca="false">IF(0, VLOOKUP($CG339, Constants!$M:$N, 2, FALSE()),"")</f>
        <v/>
      </c>
      <c r="CJ339" s="1" t="str">
        <f aca="false">IF(P339&gt;1,_xlfn.CONCAT("{BLACK}Cars: {GOLD}", P339),"")</f>
        <v>{BLACK}Cars: {GOLD}11</v>
      </c>
      <c r="CK339" s="1" t="s">
        <v>1270</v>
      </c>
      <c r="CL339" s="1" t="str">
        <f aca="false">IF($BX339="concept_trains","{GREEN}Concept Vehicle",IF($BX339="!param_no_gameplay_units","{GREEN}Included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bonus for long distance travel{}</v>
      </c>
      <c r="CN339" s="1" t="str">
        <f aca="false">_xlfn.CONCAT(CI339,IF(CI339&lt;&gt;""," ",""),CJ339,IF(OR(CJ339&lt;&gt;"",CI339&lt;&gt;""),"{}",""),CH339,CM339,"{SILVER}",CK339,IF(CL339&lt;&gt;"","{}{}",""),CL339)</f>
        <v>{BLACK}Cars: {GOLD}11{}{BLACK}Length: {GOLD}9.7 tiles{}{YELLOW}10% bonus for long distance travel{}{SILVER}The Pendolino is a tilting multiple unit with a design speed of 140mph.  The tilt system is supplied by Fiat Ferroviaria.</v>
      </c>
    </row>
    <row r="340" customFormat="false" ht="14.25" hidden="false" customHeight="false" outlineLevel="0" collapsed="false">
      <c r="A340" s="1" t="s">
        <v>1265</v>
      </c>
      <c r="B340" s="15" t="s">
        <v>1277</v>
      </c>
      <c r="C340" s="1" t="n">
        <v>263</v>
      </c>
      <c r="E340" s="1" t="n">
        <v>404</v>
      </c>
      <c r="G340" s="1" t="str">
        <f aca="false">IF($F340&lt;&gt;"",_xlfn.CONCAT(VLOOKUP($CE340, Constants!$T:$U, 2, FALSE()),",",$F340),VLOOKUP($CE340, Constants!$T:$U, 2, FALSE()))</f>
        <v>role/express_passenger</v>
      </c>
      <c r="H340" s="1" t="str">
        <f aca="false">IF($G340&lt;&gt;"",_xlfn.CONCAT(VLOOKUP($CG340, Constants!$M:$P, 4, FALSE()),",",$G340),VLOOKUP($CG340, Constants!$M:$P, 4, FALSE()))</f>
        <v>flag/GB,power/electric,role/express_passenger</v>
      </c>
      <c r="I340" s="1" t="s">
        <v>241</v>
      </c>
      <c r="J340" s="1" t="s">
        <v>466</v>
      </c>
      <c r="K340" s="1" t="s">
        <v>388</v>
      </c>
      <c r="L340" s="1" t="s">
        <v>389</v>
      </c>
      <c r="M340" s="1" t="n">
        <v>2002</v>
      </c>
      <c r="P340" s="1" t="n">
        <v>6</v>
      </c>
      <c r="Q340" s="1" t="n">
        <v>6840</v>
      </c>
      <c r="Z340" s="1" t="n">
        <f aca="false">(466/8)*6</f>
        <v>349.5</v>
      </c>
      <c r="AB340" s="1" t="n">
        <v>4</v>
      </c>
      <c r="AC340" s="1" t="n">
        <v>325</v>
      </c>
      <c r="AD340" s="4" t="n">
        <f aca="false">IF(AND(Z340&gt;0,AC340&gt;0),(AC340/((Z340+AA340)*10)),"")</f>
        <v>0.0929899856938484</v>
      </c>
      <c r="AE340" s="1" t="n">
        <v>140</v>
      </c>
      <c r="AF340" s="1" t="n">
        <f aca="false">ROUND(AE340*1.6, 0)</f>
        <v>224</v>
      </c>
      <c r="AH340" s="1" t="n">
        <v>23.9</v>
      </c>
      <c r="AI340" s="1" t="n">
        <v>23.9</v>
      </c>
      <c r="AJ340" s="1" t="n">
        <v>2.73</v>
      </c>
      <c r="AK340" s="1" t="n">
        <v>3.56</v>
      </c>
      <c r="AL340" s="5" t="n">
        <v>60</v>
      </c>
      <c r="AM340" s="1" t="str">
        <f aca="false">CONCATENATE(VLOOKUP(AN340, 'Voxel Sizes'!$A$2:$B$18,2,FALSE()),"x",INT(AJ340*15), "x", INT(AK340*15))</f>
        <v>238x40x53</v>
      </c>
      <c r="AN340" s="1" t="n">
        <f aca="false">ROUND(15*((AI340*10)/256),0)</f>
        <v>14</v>
      </c>
      <c r="AP340" s="1" t="str">
        <f aca="false">CONCATENATE(VLOOKUP(AN340,Constants!$A$2:$C$16,IF(AO340&lt;&gt;"", 3, 2), FALSE()),IF(AO340&lt;&gt;"",CONCATENATE(",",VLOOKUP(AO340,$B:$AP,41,FALSE())),""))</f>
        <v>4,6,4</v>
      </c>
      <c r="AT340" s="1" t="s">
        <v>1278</v>
      </c>
      <c r="AV340" s="1" t="s">
        <v>894</v>
      </c>
      <c r="AW340" s="1" t="s">
        <v>1269</v>
      </c>
      <c r="AZ340" s="1" t="n">
        <v>29</v>
      </c>
      <c r="BA340" s="16" t="str">
        <f aca="false">IF(O340&lt;&gt;"",MAX(16,(O340-M340)+8),"")</f>
        <v/>
      </c>
      <c r="BB340" s="1" t="n">
        <v>-15</v>
      </c>
      <c r="BC340" s="1" t="n">
        <v>-35</v>
      </c>
      <c r="BD340" s="1" t="n">
        <f aca="false">MIN(AE340/150, 1)*30</f>
        <v>28</v>
      </c>
      <c r="BE340" s="1" t="n">
        <f aca="false">MIN(Q340/4000, 1)*20</f>
        <v>20</v>
      </c>
      <c r="BF340" s="1" t="n">
        <f aca="false">MIN(AC340/400,1)*20</f>
        <v>16.25</v>
      </c>
      <c r="BG340" s="4" t="n">
        <f aca="false">1-(MAX(M340-1900, 0)/750)</f>
        <v>0.864</v>
      </c>
      <c r="BH340" s="1" t="n">
        <f aca="false">((MAX($P340,1)*MIN($AL340/300,1)))*IF(J340="Wagon",50,10)</f>
        <v>12</v>
      </c>
      <c r="BI340" s="1" t="n">
        <f aca="false">VLOOKUP($K340,Constants!$I:$K, 2, FALSE())</f>
        <v>0.85</v>
      </c>
      <c r="BJ340" s="1" t="n">
        <f aca="false">VLOOKUP($K340,Constants!$I:$K, 3, FALSE())*IF(AND(J340="multiple_unit",AE340&lt;110),0.75,1)</f>
        <v>2.3</v>
      </c>
      <c r="BK340" s="1" t="n">
        <f aca="false">INT(POWER(((Constants!$G$2+$BD340+$BE340+$BF340+$BH340)*$BG340)*$BJ340, 1.05))+$BC340</f>
        <v>173</v>
      </c>
      <c r="BL340" s="1" t="n">
        <f aca="false">INT(POWER((((Constants!$G$1+$BD340+$BE340+$BF340+$BH340)*($BG340))*$BI340),IF($J340="wagon",1,1.2)))+$BB340</f>
        <v>140</v>
      </c>
      <c r="BM340" s="17" t="n">
        <f aca="false">BK340*IF($J340="wagon",62.5,781.25)</f>
        <v>135156.25</v>
      </c>
      <c r="BN340" s="17" t="n">
        <f aca="false">BL340*IF($J340="wagon",2.73,81.25)</f>
        <v>11375</v>
      </c>
      <c r="BS340" s="1" t="n">
        <v>1</v>
      </c>
      <c r="BU340" s="1" t="str">
        <f aca="false">IF(J340="locomotive","B","")</f>
        <v/>
      </c>
      <c r="BV340" s="1" t="str">
        <f aca="false">IF(OR($J340="locomotive",$J340="wagon"),"B","")</f>
        <v/>
      </c>
      <c r="BX340" s="1" t="s">
        <v>1279</v>
      </c>
      <c r="BY340" s="1" t="n">
        <v>6</v>
      </c>
      <c r="BZ340" s="1" t="n">
        <v>205</v>
      </c>
      <c r="CC340" s="1" t="s">
        <v>367</v>
      </c>
      <c r="CD340" s="1" t="str">
        <f aca="false">VLOOKUP(M340,Eras!$A$2:$C$10, 2, TRUE())</f>
        <v>prv</v>
      </c>
      <c r="CE340" s="1" t="s">
        <v>913</v>
      </c>
      <c r="CF340" s="1" t="str">
        <f aca="false">CONCATENATE(CD340,"_",CE340)</f>
        <v>prv_EMU (Express)</v>
      </c>
      <c r="CG340" s="1" t="str">
        <f aca="false">_xlfn.CONCAT(K340, "_",L340)</f>
        <v>electric_ELRL</v>
      </c>
      <c r="CH340" s="7" t="str">
        <f aca="false">_xlfn.CONCAT("{BLACK}Length: {GOLD}", TEXT(ROUNDUP(IF(AS340&lt;&gt;"",SUM(VALUE(_xlfn.TEXTSPLIT(AS340, ","))), SUM(VALUE(_xlfn.TEXTSPLIT(AP340, ",")))*IF(P340, P340, 1))/16, 1), "#,##0.0"), " tiles{}")</f>
        <v>{BLACK}Length: {GOLD}5.3 tiles{}</v>
      </c>
      <c r="CI340" s="1" t="str">
        <f aca="false">IF(0, VLOOKUP($CG340, Constants!$M:$N, 2, FALSE()),"")</f>
        <v/>
      </c>
      <c r="CJ340" s="1" t="str">
        <f aca="false">IF(P340&gt;1,_xlfn.CONCAT("{BLACK}Cars: {GOLD}", P340),"")</f>
        <v>{BLACK}Cars: {GOLD}6</v>
      </c>
      <c r="CK340" s="1" t="s">
        <v>1270</v>
      </c>
      <c r="CL340" s="1" t="str">
        <f aca="false">IF($BX340="concept_trains","{GREEN}Concept Vehicle",IF($BX340="!param_no_gameplay_units","{GREEN}Included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bonus for long distance travel{}</v>
      </c>
      <c r="CN340" s="1" t="str">
        <f aca="false">_xlfn.CONCAT(CI340,IF(CI340&lt;&gt;""," ",""),CJ340,IF(OR(CJ340&lt;&gt;"",CI340&lt;&gt;""),"{}",""),CH340,CM340,"{SILVER}",CK340,IF(CL340&lt;&gt;"","{}{}",""),CL340)</f>
        <v>{BLACK}Cars: {GOLD}6{}{BLACK}Length: {GOLD}5.3 tiles{}{YELLOW}10% bonus for long distance travel{}{SILVER}The Pendolino is a tilting multiple unit with a design speed of 140mph.  The tilt system is supplied by Fiat Ferroviaria.</v>
      </c>
    </row>
    <row r="341" customFormat="false" ht="14.25" hidden="false" customHeight="false" outlineLevel="0" collapsed="false">
      <c r="A341" s="1" t="s">
        <v>1265</v>
      </c>
      <c r="B341" s="15" t="s">
        <v>1280</v>
      </c>
      <c r="C341" s="1" t="n">
        <v>264</v>
      </c>
      <c r="E341" s="1" t="n">
        <v>405</v>
      </c>
      <c r="G341" s="1" t="str">
        <f aca="false">IF($F341&lt;&gt;"",_xlfn.CONCAT(VLOOKUP($CE341, Constants!$T:$U, 2, FALSE()),",",$F341),VLOOKUP($CE341, Constants!$T:$U, 2, FALSE()))</f>
        <v>role/express_passenger</v>
      </c>
      <c r="H341" s="1" t="str">
        <f aca="false">IF($G341&lt;&gt;"",_xlfn.CONCAT(VLOOKUP($CG341, Constants!$M:$P, 4, FALSE()),",",$G341),VLOOKUP($CG341, Constants!$M:$P, 4, FALSE()))</f>
        <v>flag/GB,power/electric,role/express_passenger</v>
      </c>
      <c r="I341" s="1" t="s">
        <v>241</v>
      </c>
      <c r="J341" s="1" t="s">
        <v>466</v>
      </c>
      <c r="K341" s="1" t="s">
        <v>388</v>
      </c>
      <c r="L341" s="1" t="s">
        <v>389</v>
      </c>
      <c r="M341" s="1" t="n">
        <v>2002</v>
      </c>
      <c r="P341" s="1" t="n">
        <v>4</v>
      </c>
      <c r="Q341" s="1" t="n">
        <v>6840</v>
      </c>
      <c r="Z341" s="1" t="n">
        <f aca="false">(466/8)*4</f>
        <v>233</v>
      </c>
      <c r="AB341" s="1" t="n">
        <v>4</v>
      </c>
      <c r="AC341" s="1" t="n">
        <v>325</v>
      </c>
      <c r="AD341" s="4" t="n">
        <f aca="false">IF(AND(Z341&gt;0,AC341&gt;0),(AC341/((Z341+AA341)*10)),"")</f>
        <v>0.139484978540773</v>
      </c>
      <c r="AE341" s="1" t="n">
        <v>140</v>
      </c>
      <c r="AF341" s="1" t="n">
        <f aca="false">ROUND(AE341*1.6, 0)</f>
        <v>224</v>
      </c>
      <c r="AH341" s="1" t="n">
        <v>23.9</v>
      </c>
      <c r="AI341" s="1" t="n">
        <v>23.9</v>
      </c>
      <c r="AJ341" s="1" t="n">
        <v>2.73</v>
      </c>
      <c r="AK341" s="1" t="n">
        <v>3.56</v>
      </c>
      <c r="AL341" s="5" t="n">
        <v>60</v>
      </c>
      <c r="AM341" s="1" t="str">
        <f aca="false">CONCATENATE(VLOOKUP(AN341, 'Voxel Sizes'!$A$2:$B$18,2,FALSE()),"x",INT(AJ341*15), "x", INT(AK341*15))</f>
        <v>238x40x53</v>
      </c>
      <c r="AN341" s="1" t="n">
        <f aca="false">ROUND(15*((AI341*10)/256),0)</f>
        <v>14</v>
      </c>
      <c r="AP341" s="1" t="str">
        <f aca="false">CONCATENATE(VLOOKUP(AN341,Constants!$A$2:$C$16,IF(AO341&lt;&gt;"", 3, 2), FALSE()),IF(AO341&lt;&gt;"",CONCATENATE(",",VLOOKUP(AO341,$B:$AP,41,FALSE())),""))</f>
        <v>4,6,4</v>
      </c>
      <c r="AT341" s="1" t="s">
        <v>1281</v>
      </c>
      <c r="AV341" s="1" t="s">
        <v>834</v>
      </c>
      <c r="AW341" s="1" t="s">
        <v>1269</v>
      </c>
      <c r="AZ341" s="1" t="n">
        <v>29</v>
      </c>
      <c r="BA341" s="16" t="str">
        <f aca="false">IF(O341&lt;&gt;"",MAX(16,(O341-M341)+8),"")</f>
        <v/>
      </c>
      <c r="BB341" s="1" t="n">
        <v>-15</v>
      </c>
      <c r="BC341" s="1" t="n">
        <v>-35</v>
      </c>
      <c r="BD341" s="1" t="n">
        <f aca="false">MIN(AE341/150, 1)*30</f>
        <v>28</v>
      </c>
      <c r="BE341" s="1" t="n">
        <f aca="false">MIN(Q341/4000, 1)*20</f>
        <v>20</v>
      </c>
      <c r="BF341" s="1" t="n">
        <f aca="false">MIN(AC341/400,1)*20</f>
        <v>16.25</v>
      </c>
      <c r="BG341" s="4" t="n">
        <f aca="false">1-(MAX(M341-1900, 0)/750)</f>
        <v>0.864</v>
      </c>
      <c r="BH341" s="1" t="n">
        <f aca="false">((MAX($P341,1)*MIN($AL341/300,1)))*IF(J341="Wagon",50,10)</f>
        <v>8</v>
      </c>
      <c r="BI341" s="1" t="n">
        <f aca="false">VLOOKUP($K341,Constants!$I:$K, 2, FALSE())</f>
        <v>0.85</v>
      </c>
      <c r="BJ341" s="1" t="n">
        <f aca="false">VLOOKUP($K341,Constants!$I:$K, 3, FALSE())*IF(AND(J341="multiple_unit",AE341&lt;110),0.75,1)</f>
        <v>2.3</v>
      </c>
      <c r="BK341" s="1" t="n">
        <f aca="false">INT(POWER(((Constants!$G$2+$BD341+$BE341+$BF341+$BH341)*$BG341)*$BJ341, 1.05))+$BC341</f>
        <v>162</v>
      </c>
      <c r="BL341" s="1" t="n">
        <f aca="false">INT(POWER((((Constants!$G$1+$BD341+$BE341+$BF341+$BH341)*($BG341))*$BI341),IF($J341="wagon",1,1.2)))+$BB341</f>
        <v>132</v>
      </c>
      <c r="BM341" s="17" t="n">
        <f aca="false">BK341*IF($J341="wagon",62.5,781.25)</f>
        <v>126562.5</v>
      </c>
      <c r="BN341" s="17" t="n">
        <f aca="false">BL341*IF($J341="wagon",2.73,81.25)</f>
        <v>10725</v>
      </c>
      <c r="BS341" s="1" t="n">
        <v>1</v>
      </c>
      <c r="BU341" s="1" t="str">
        <f aca="false">IF(J341="locomotive","B","")</f>
        <v/>
      </c>
      <c r="BV341" s="1" t="str">
        <f aca="false">IF(OR($J341="locomotive",$J341="wagon"),"B","")</f>
        <v/>
      </c>
      <c r="BX341" s="1" t="s">
        <v>1252</v>
      </c>
      <c r="BY341" s="1" t="n">
        <v>6</v>
      </c>
      <c r="BZ341" s="1" t="n">
        <v>205</v>
      </c>
      <c r="CC341" s="1" t="s">
        <v>367</v>
      </c>
      <c r="CD341" s="1" t="str">
        <f aca="false">VLOOKUP(M341,Eras!$A$2:$C$10, 2, TRUE())</f>
        <v>prv</v>
      </c>
      <c r="CE341" s="1" t="s">
        <v>913</v>
      </c>
      <c r="CF341" s="1" t="str">
        <f aca="false">CONCATENATE(CD341,"_",CE341)</f>
        <v>prv_EMU (Express)</v>
      </c>
      <c r="CG341" s="1" t="str">
        <f aca="false">_xlfn.CONCAT(K341, "_",L341)</f>
        <v>electric_ELRL</v>
      </c>
      <c r="CH341" s="7" t="str">
        <f aca="false">_xlfn.CONCAT("{BLACK}Length: {GOLD}", TEXT(ROUNDUP(IF(AS341&lt;&gt;"",SUM(VALUE(_xlfn.TEXTSPLIT(AS341, ","))), SUM(VALUE(_xlfn.TEXTSPLIT(AP341, ",")))*IF(P341, P341, 1))/16, 1), "#,##0.0"), " tiles{}")</f>
        <v>{BLACK}Length: {GOLD}3.5 tiles{}</v>
      </c>
      <c r="CI341" s="1" t="str">
        <f aca="false">IF(0, VLOOKUP($CG341, Constants!$M:$N, 2, FALSE()),"")</f>
        <v/>
      </c>
      <c r="CJ341" s="1" t="str">
        <f aca="false">IF(P341&gt;1,_xlfn.CONCAT("{BLACK}Cars: {GOLD}", P341),"")</f>
        <v>{BLACK}Cars: {GOLD}4</v>
      </c>
      <c r="CK341" s="1" t="s">
        <v>1270</v>
      </c>
      <c r="CL341" s="1" t="str">
        <f aca="false">IF($BX341="concept_trains","{GREEN}Concept Vehicle",IF($BX341="!param_no_gameplay_units","{GREEN}Included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bonus for long distance travel{}</v>
      </c>
      <c r="CN341" s="1" t="str">
        <f aca="false">_xlfn.CONCAT(CI341,IF(CI341&lt;&gt;""," ",""),CJ341,IF(OR(CJ341&lt;&gt;"",CI341&lt;&gt;""),"{}",""),CH341,CM341,"{SILVER}",CK341,IF(CL341&lt;&gt;"","{}{}",""),CL341)</f>
        <v>{BLACK}Cars: {GOLD}4{}{BLACK}Length: {GOLD}3.5 tiles{}{YELLOW}10% bonus for long distance travel{}{SILVER}The Pendolino is a tilting multiple unit with a design speed of 140mph.  The tilt system is supplied by Fiat Ferroviaria.</v>
      </c>
    </row>
    <row r="342" customFormat="false" ht="14.25" hidden="false" customHeight="false" outlineLevel="0" collapsed="false">
      <c r="A342" s="1" t="s">
        <v>1282</v>
      </c>
      <c r="B342" s="15" t="s">
        <v>1283</v>
      </c>
      <c r="C342" s="1" t="n">
        <v>265</v>
      </c>
      <c r="E342" s="1" t="n">
        <v>406</v>
      </c>
      <c r="G342" s="1" t="str">
        <f aca="false">IF($F342&lt;&gt;"",_xlfn.CONCAT(VLOOKUP($CE342, Constants!$T:$U, 2, FALSE()),",",$F342),VLOOKUP($CE342, Constants!$T:$U, 2, FALSE()))</f>
        <v>role/express_passenger</v>
      </c>
      <c r="H342" s="1" t="str">
        <f aca="false">IF($G342&lt;&gt;"",_xlfn.CONCAT(VLOOKUP($CG342, Constants!$M:$P, 4, FALSE()),",",$G342),VLOOKUP($CG342, Constants!$M:$P, 4, FALSE()))</f>
        <v>flag/GB,power/diesel,role/express_passenger</v>
      </c>
      <c r="I342" s="1" t="s">
        <v>241</v>
      </c>
      <c r="J342" s="1" t="s">
        <v>466</v>
      </c>
      <c r="K342" s="1" t="s">
        <v>525</v>
      </c>
      <c r="L342" s="1" t="s">
        <v>192</v>
      </c>
      <c r="M342" s="1" t="n">
        <v>2002</v>
      </c>
      <c r="P342" s="1" t="n">
        <v>4</v>
      </c>
      <c r="Q342" s="1" t="n">
        <v>3000</v>
      </c>
      <c r="Z342" s="1" t="n">
        <v>185.6</v>
      </c>
      <c r="AB342" s="1" t="n">
        <v>5</v>
      </c>
      <c r="AC342" s="1" t="n">
        <v>185</v>
      </c>
      <c r="AD342" s="4" t="n">
        <f aca="false">IF(AND(Z342&gt;0,AC342&gt;0),(AC342/((Z342+AA342)*10)),"")</f>
        <v>0.099676724137931</v>
      </c>
      <c r="AE342" s="1" t="n">
        <v>125</v>
      </c>
      <c r="AF342" s="1" t="n">
        <f aca="false">ROUND(AE342*1.6, 0)</f>
        <v>200</v>
      </c>
      <c r="AH342" s="1" t="n">
        <v>23.8</v>
      </c>
      <c r="AI342" s="1" t="n">
        <v>23.8</v>
      </c>
      <c r="AJ342" s="1" t="n">
        <v>2.73</v>
      </c>
      <c r="AL342" s="5" t="n">
        <v>51</v>
      </c>
      <c r="AM342" s="1" t="str">
        <f aca="false">CONCATENATE(VLOOKUP(AN342, 'Voxel Sizes'!$A$2:$B$18,2,FALSE()),"x",INT(AJ342*15), "x", INT(AK342*15))</f>
        <v>238x40x0</v>
      </c>
      <c r="AN342" s="1" t="n">
        <f aca="false">ROUND(15*((AI342*10)/256),0)</f>
        <v>14</v>
      </c>
      <c r="AP342" s="1" t="str">
        <f aca="false">CONCATENATE(VLOOKUP(AN342,Constants!$A$2:$C$16,IF(AO342&lt;&gt;"", 3, 2), FALSE()),IF(AO342&lt;&gt;"",CONCATENATE(",",VLOOKUP(AO342,$B:$AP,41,FALSE())),""))</f>
        <v>4,6,4</v>
      </c>
      <c r="AT342" s="1" t="s">
        <v>1284</v>
      </c>
      <c r="AV342" s="1" t="s">
        <v>918</v>
      </c>
      <c r="AZ342" s="1" t="n">
        <v>29</v>
      </c>
      <c r="BA342" s="16" t="str">
        <f aca="false">IF(O342&lt;&gt;"",MAX(16,(O342-M342)+8),"")</f>
        <v/>
      </c>
      <c r="BB342" s="1" t="n">
        <v>-15</v>
      </c>
      <c r="BC342" s="1" t="n">
        <v>-35</v>
      </c>
      <c r="BD342" s="1" t="n">
        <f aca="false">MIN(AE342/150, 1)*30</f>
        <v>25</v>
      </c>
      <c r="BE342" s="1" t="n">
        <f aca="false">MIN(Q342/4000, 1)*20</f>
        <v>15</v>
      </c>
      <c r="BF342" s="1" t="n">
        <f aca="false">MIN(AC342/400,1)*20</f>
        <v>9.25</v>
      </c>
      <c r="BG342" s="4" t="n">
        <f aca="false">1-(MAX(M342-1900, 0)/750)</f>
        <v>0.864</v>
      </c>
      <c r="BH342" s="1" t="n">
        <f aca="false">((MAX($P342,1)*MIN($AL342/300,1)))*IF(J342="Wagon",50,10)</f>
        <v>6.8</v>
      </c>
      <c r="BI342" s="1" t="n">
        <f aca="false">VLOOKUP($K342,Constants!$I:$K, 2, FALSE())</f>
        <v>1</v>
      </c>
      <c r="BJ342" s="1" t="n">
        <f aca="false">VLOOKUP($K342,Constants!$I:$K, 3, FALSE())*IF(AND(J342="multiple_unit",AE342&lt;110),0.75,1)</f>
        <v>2</v>
      </c>
      <c r="BK342" s="1" t="n">
        <f aca="false">INT(POWER(((Constants!$G$2+$BD342+$BE342+$BF342+$BH342)*$BG342)*$BJ342, 1.05))+$BC342</f>
        <v>98</v>
      </c>
      <c r="BL342" s="1" t="n">
        <f aca="false">INT(POWER((((Constants!$G$1+$BD342+$BE342+$BF342+$BH342)*($BG342))*$BI342),IF($J342="wagon",1,1.2)))+$BB342</f>
        <v>124</v>
      </c>
      <c r="BM342" s="17" t="n">
        <f aca="false">BK342*IF($J342="wagon",62.5,781.25)</f>
        <v>76562.5</v>
      </c>
      <c r="BN342" s="17" t="n">
        <f aca="false">BL342*IF($J342="wagon",2.73,81.25)</f>
        <v>10075</v>
      </c>
      <c r="BU342" s="1" t="str">
        <f aca="false">IF(J342="locomotive","B","")</f>
        <v/>
      </c>
      <c r="BV342" s="1" t="str">
        <f aca="false">IF(OR($J342="locomotive",$J342="wagon"),"B","")</f>
        <v/>
      </c>
      <c r="BY342" s="1" t="n">
        <v>9</v>
      </c>
      <c r="BZ342" s="1" t="n">
        <v>205</v>
      </c>
      <c r="CC342" s="1" t="s">
        <v>367</v>
      </c>
      <c r="CD342" s="1" t="str">
        <f aca="false">VLOOKUP(M342,Eras!$A$2:$C$10, 2, TRUE())</f>
        <v>prv</v>
      </c>
      <c r="CE342" s="1" t="s">
        <v>1016</v>
      </c>
      <c r="CF342" s="1" t="str">
        <f aca="false">CONCATENATE(CD342,"_",CE342)</f>
        <v>prv_DMU (Express)</v>
      </c>
      <c r="CG342" s="1" t="str">
        <f aca="false">_xlfn.CONCAT(K342, "_",L342)</f>
        <v>diesel_RAIL</v>
      </c>
      <c r="CH342" s="7" t="str">
        <f aca="false">_xlfn.CONCAT("{BLACK}Length: {GOLD}", TEXT(ROUNDUP(IF(AS342&lt;&gt;"",SUM(VALUE(_xlfn.TEXTSPLIT(AS342, ","))), SUM(VALUE(_xlfn.TEXTSPLIT(AP342, ",")))*IF(P342, P342, 1))/16, 1), "#,##0.0"), " tiles{}")</f>
        <v>{BLACK}Length: {GOLD}3.5 tiles{}</v>
      </c>
      <c r="CI342" s="1" t="str">
        <f aca="false">IF(0, VLOOKUP($CG342, Constants!$M:$N, 2, FALSE()),"")</f>
        <v/>
      </c>
      <c r="CJ342" s="1" t="str">
        <f aca="false">IF(P342&gt;1,_xlfn.CONCAT("{BLACK}Cars: {GOLD}", P342),"")</f>
        <v>{BLACK}Cars: {GOLD}4</v>
      </c>
      <c r="CK342" s="1" t="s">
        <v>1285</v>
      </c>
      <c r="CL342" s="1" t="str">
        <f aca="false">IF($BX342="concept_trains","{GREEN}Concept Vehicle",IF($BX342="!param_no_gameplay_units","{GREEN}Included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bonus for long distance travel{}</v>
      </c>
      <c r="CN342" s="1" t="str">
        <f aca="false">_xlfn.CONCAT(CI342,IF(CI342&lt;&gt;""," ",""),CJ342,IF(OR(CJ342&lt;&gt;"",CI342&lt;&gt;""),"{}",""),CH342,CM342,"{SILVER}",CK342,IF(CL342&lt;&gt;"","{}{}",""),CL342)</f>
        <v>{BLACK}Cars: {GOLD}4{}{BLACK}Length: {GOLD}3.5 tiles{}{YELLOW}10% bonus for long distance travel{}{SILVER}The Voyager is a high speed diesel multiple unit, built to replace both the HST and locomotive-hauled passenger services on the Cross Country route.</v>
      </c>
    </row>
    <row r="343" customFormat="false" ht="14.25" hidden="false" customHeight="false" outlineLevel="0" collapsed="false">
      <c r="A343" s="1" t="s">
        <v>1286</v>
      </c>
      <c r="B343" s="15" t="s">
        <v>1287</v>
      </c>
      <c r="C343" s="1" t="n">
        <v>266</v>
      </c>
      <c r="E343" s="1" t="n">
        <v>407</v>
      </c>
      <c r="G343" s="1" t="str">
        <f aca="false">IF($F343&lt;&gt;"",_xlfn.CONCAT(VLOOKUP($CE343, Constants!$T:$U, 2, FALSE()),",",$F343),VLOOKUP($CE343, Constants!$T:$U, 2, FALSE()))</f>
        <v>role/express_passenger</v>
      </c>
      <c r="H343" s="1" t="str">
        <f aca="false">IF($G343&lt;&gt;"",_xlfn.CONCAT(VLOOKUP($CG343, Constants!$M:$P, 4, FALSE()),",",$G343),VLOOKUP($CG343, Constants!$M:$P, 4, FALSE()))</f>
        <v>flag/GB,power/diesel,role/express_passenger</v>
      </c>
      <c r="I343" s="1" t="s">
        <v>241</v>
      </c>
      <c r="J343" s="1" t="s">
        <v>466</v>
      </c>
      <c r="K343" s="1" t="s">
        <v>525</v>
      </c>
      <c r="L343" s="1" t="s">
        <v>192</v>
      </c>
      <c r="M343" s="1" t="n">
        <v>2002</v>
      </c>
      <c r="P343" s="1" t="n">
        <v>5</v>
      </c>
      <c r="Q343" s="1" t="n">
        <f aca="false">750*5</f>
        <v>3750</v>
      </c>
      <c r="Z343" s="1" t="n">
        <v>282</v>
      </c>
      <c r="AB343" s="1" t="n">
        <v>5</v>
      </c>
      <c r="AC343" s="1" t="n">
        <v>270</v>
      </c>
      <c r="AD343" s="4" t="n">
        <f aca="false">IF(AND(Z343&gt;0,AC343&gt;0),(AC343/((Z343+AA343)*10)),"")</f>
        <v>0.0957446808510638</v>
      </c>
      <c r="AE343" s="1" t="n">
        <v>125</v>
      </c>
      <c r="AF343" s="1" t="n">
        <f aca="false">ROUND(AE343*1.6, 0)</f>
        <v>200</v>
      </c>
      <c r="AH343" s="1" t="n">
        <v>23.8</v>
      </c>
      <c r="AI343" s="1" t="n">
        <v>23.8</v>
      </c>
      <c r="AJ343" s="1" t="n">
        <v>2.73</v>
      </c>
      <c r="AL343" s="5" t="n">
        <v>51</v>
      </c>
      <c r="AM343" s="1" t="str">
        <f aca="false">CONCATENATE(VLOOKUP(AN343, 'Voxel Sizes'!$A$2:$B$18,2,FALSE()),"x",INT(AJ343*15), "x", INT(AK343*15))</f>
        <v>238x40x0</v>
      </c>
      <c r="AN343" s="1" t="n">
        <f aca="false">ROUND(15*((AI343*10)/256),0)</f>
        <v>14</v>
      </c>
      <c r="AP343" s="1" t="str">
        <f aca="false">CONCATENATE(VLOOKUP(AN343,Constants!$A$2:$C$16,IF(AO343&lt;&gt;"", 3, 2), FALSE()),IF(AO343&lt;&gt;"",CONCATENATE(",",VLOOKUP(AO343,$B:$AP,41,FALSE())),""))</f>
        <v>4,6,4</v>
      </c>
      <c r="AT343" s="1" t="s">
        <v>1288</v>
      </c>
      <c r="AV343" s="1" t="s">
        <v>889</v>
      </c>
      <c r="AW343" s="1" t="s">
        <v>1283</v>
      </c>
      <c r="AZ343" s="1" t="n">
        <v>29</v>
      </c>
      <c r="BA343" s="16" t="str">
        <f aca="false">IF(O343&lt;&gt;"",MAX(16,(O343-M343)+8),"")</f>
        <v/>
      </c>
      <c r="BB343" s="1" t="n">
        <v>-15</v>
      </c>
      <c r="BC343" s="1" t="n">
        <v>-35</v>
      </c>
      <c r="BD343" s="1" t="n">
        <f aca="false">MIN(AE343/150, 1)*30</f>
        <v>25</v>
      </c>
      <c r="BE343" s="1" t="n">
        <f aca="false">MIN(Q343/4000, 1)*20</f>
        <v>18.75</v>
      </c>
      <c r="BF343" s="1" t="n">
        <f aca="false">MIN(AC343/400,1)*20</f>
        <v>13.5</v>
      </c>
      <c r="BG343" s="4" t="n">
        <f aca="false">1-(MAX(M343-1900, 0)/750)</f>
        <v>0.864</v>
      </c>
      <c r="BH343" s="1" t="n">
        <f aca="false">((MAX($P343,1)*MIN($AL343/300,1)))*IF(J343="Wagon",50,10)</f>
        <v>8.5</v>
      </c>
      <c r="BI343" s="1" t="n">
        <f aca="false">VLOOKUP($K343,Constants!$I:$K, 2, FALSE())</f>
        <v>1</v>
      </c>
      <c r="BJ343" s="1" t="n">
        <f aca="false">VLOOKUP($K343,Constants!$I:$K, 3, FALSE())*IF(AND(J343="multiple_unit",AE343&lt;110),0.75,1)</f>
        <v>2</v>
      </c>
      <c r="BK343" s="1" t="n">
        <f aca="false">INT(POWER(((Constants!$G$2+$BD343+$BE343+$BF343+$BH343)*$BG343)*$BJ343, 1.05))+$BC343</f>
        <v>120</v>
      </c>
      <c r="BL343" s="1" t="n">
        <f aca="false">INT(POWER((((Constants!$G$1+$BD343+$BE343+$BF343+$BH343)*($BG343))*$BI343),IF($J343="wagon",1,1.2)))+$BB343</f>
        <v>148</v>
      </c>
      <c r="BM343" s="17" t="n">
        <f aca="false">BK343*IF($J343="wagon",62.5,781.25)</f>
        <v>93750</v>
      </c>
      <c r="BN343" s="17" t="n">
        <f aca="false">BL343*IF($J343="wagon",2.73,81.25)</f>
        <v>12025</v>
      </c>
      <c r="BS343" s="1" t="n">
        <v>1</v>
      </c>
      <c r="BU343" s="1" t="str">
        <f aca="false">IF(J343="locomotive","B","")</f>
        <v/>
      </c>
      <c r="BV343" s="1" t="str">
        <f aca="false">IF(OR($J343="locomotive",$J343="wagon"),"B","")</f>
        <v/>
      </c>
      <c r="BX343" s="1" t="s">
        <v>1247</v>
      </c>
      <c r="BY343" s="1" t="n">
        <v>10</v>
      </c>
      <c r="BZ343" s="1" t="n">
        <v>205</v>
      </c>
      <c r="CC343" s="1" t="s">
        <v>367</v>
      </c>
      <c r="CD343" s="1" t="str">
        <f aca="false">VLOOKUP(M343,Eras!$A$2:$C$10, 2, TRUE())</f>
        <v>prv</v>
      </c>
      <c r="CE343" s="1" t="s">
        <v>1016</v>
      </c>
      <c r="CF343" s="1" t="str">
        <f aca="false">CONCATENATE(CD343,"_",CE343)</f>
        <v>prv_DMU (Express)</v>
      </c>
      <c r="CG343" s="1" t="str">
        <f aca="false">_xlfn.CONCAT(K343, "_",L343)</f>
        <v>diesel_RAIL</v>
      </c>
      <c r="CH343" s="7" t="str">
        <f aca="false">_xlfn.CONCAT("{BLACK}Length: {GOLD}", TEXT(ROUNDUP(IF(AS343&lt;&gt;"",SUM(VALUE(_xlfn.TEXTSPLIT(AS343, ","))), SUM(VALUE(_xlfn.TEXTSPLIT(AP343, ",")))*IF(P343, P343, 1))/16, 1), "#,##0.0"), " tiles{}")</f>
        <v>{BLACK}Length: {GOLD}4.4 tiles{}</v>
      </c>
      <c r="CI343" s="1" t="str">
        <f aca="false">IF(0, VLOOKUP($CG343, Constants!$M:$N, 2, FALSE()),"")</f>
        <v/>
      </c>
      <c r="CJ343" s="1" t="str">
        <f aca="false">IF(P343&gt;1,_xlfn.CONCAT("{BLACK}Cars: {GOLD}", P343),"")</f>
        <v>{BLACK}Cars: {GOLD}5</v>
      </c>
      <c r="CK343" s="1" t="s">
        <v>1289</v>
      </c>
      <c r="CL343" s="1" t="str">
        <f aca="false">IF($BX343="concept_trains","{GREEN}Concept Vehicle",IF($BX343="!param_no_gameplay_units","{GREEN}Included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bonus for long distance travel{}</v>
      </c>
      <c r="CN343" s="1" t="str">
        <f aca="false">_xlfn.CONCAT(CI343,IF(CI343&lt;&gt;""," ",""),CJ343,IF(OR(CJ343&lt;&gt;"",CI343&lt;&gt;""),"{}",""),CH343,CM343,"{SILVER}",CK343,IF(CL343&lt;&gt;"","{}{}",""),CL343)</f>
        <v>{BLACK}Cars: {GOLD}5{}{BLACK}Length: {GOLD}4.4 tiles{}{YELLOW}10% bonus for long distance travel{}{SILVER}The Class 221 is outwardly very similar to the Class 220, but internally it has different bogies and features a tilt mechanism for faster cornering.</v>
      </c>
    </row>
    <row r="344" customFormat="false" ht="14.25" hidden="false" customHeight="false" outlineLevel="0" collapsed="false">
      <c r="A344" s="1" t="s">
        <v>1286</v>
      </c>
      <c r="B344" s="15" t="s">
        <v>1290</v>
      </c>
      <c r="C344" s="1" t="n">
        <v>267</v>
      </c>
      <c r="E344" s="1" t="n">
        <v>408</v>
      </c>
      <c r="G344" s="1" t="str">
        <f aca="false">IF($F344&lt;&gt;"",_xlfn.CONCAT(VLOOKUP($CE344, Constants!$T:$U, 2, FALSE()),",",$F344),VLOOKUP($CE344, Constants!$T:$U, 2, FALSE()))</f>
        <v>role/express_passenger</v>
      </c>
      <c r="H344" s="1" t="str">
        <f aca="false">IF($G344&lt;&gt;"",_xlfn.CONCAT(VLOOKUP($CG344, Constants!$M:$P, 4, FALSE()),",",$G344),VLOOKUP($CG344, Constants!$M:$P, 4, FALSE()))</f>
        <v>flag/GB,power/diesel,role/express_passenger</v>
      </c>
      <c r="I344" s="1" t="s">
        <v>241</v>
      </c>
      <c r="J344" s="1" t="s">
        <v>466</v>
      </c>
      <c r="K344" s="1" t="s">
        <v>525</v>
      </c>
      <c r="L344" s="1" t="s">
        <v>192</v>
      </c>
      <c r="M344" s="1" t="n">
        <v>2002</v>
      </c>
      <c r="P344" s="1" t="n">
        <v>4</v>
      </c>
      <c r="Q344" s="1" t="n">
        <f aca="false">750*5</f>
        <v>3750</v>
      </c>
      <c r="Z344" s="1" t="n">
        <f aca="false">282/5*4</f>
        <v>225.6</v>
      </c>
      <c r="AB344" s="1" t="n">
        <v>5</v>
      </c>
      <c r="AC344" s="1" t="n">
        <v>270</v>
      </c>
      <c r="AD344" s="4" t="n">
        <f aca="false">IF(AND(Z344&gt;0,AC344&gt;0),(AC344/((Z344+AA344)*10)),"")</f>
        <v>0.11968085106383</v>
      </c>
      <c r="AE344" s="1" t="n">
        <v>125</v>
      </c>
      <c r="AF344" s="1" t="n">
        <f aca="false">ROUND(AE344*1.6, 0)</f>
        <v>200</v>
      </c>
      <c r="AH344" s="1" t="n">
        <v>23.8</v>
      </c>
      <c r="AI344" s="1" t="n">
        <v>23.8</v>
      </c>
      <c r="AJ344" s="1" t="n">
        <v>2.73</v>
      </c>
      <c r="AL344" s="5" t="n">
        <v>51</v>
      </c>
      <c r="AM344" s="1" t="str">
        <f aca="false">CONCATENATE(VLOOKUP(AN344, 'Voxel Sizes'!$A$2:$B$18,2,FALSE()),"x",INT(AJ344*15), "x", INT(AK344*15))</f>
        <v>238x40x0</v>
      </c>
      <c r="AN344" s="1" t="n">
        <f aca="false">ROUND(15*((AI344*10)/256),0)</f>
        <v>14</v>
      </c>
      <c r="AP344" s="1" t="str">
        <f aca="false">CONCATENATE(VLOOKUP(AN344,Constants!$A$2:$C$16,IF(AO344&lt;&gt;"", 3, 2), FALSE()),IF(AO344&lt;&gt;"",CONCATENATE(",",VLOOKUP(AO344,$B:$AP,41,FALSE())),""))</f>
        <v>4,6,4</v>
      </c>
      <c r="AT344" s="1" t="s">
        <v>1284</v>
      </c>
      <c r="AV344" s="1" t="s">
        <v>834</v>
      </c>
      <c r="AW344" s="1" t="s">
        <v>1283</v>
      </c>
      <c r="AZ344" s="1" t="n">
        <v>29</v>
      </c>
      <c r="BA344" s="16" t="str">
        <f aca="false">IF(O344&lt;&gt;"",MAX(16,(O344-M344)+8),"")</f>
        <v/>
      </c>
      <c r="BB344" s="1" t="n">
        <v>-15</v>
      </c>
      <c r="BC344" s="1" t="n">
        <v>-35</v>
      </c>
      <c r="BD344" s="1" t="n">
        <f aca="false">MIN(AE344/150, 1)*30</f>
        <v>25</v>
      </c>
      <c r="BE344" s="1" t="n">
        <f aca="false">MIN(Q344/4000, 1)*20</f>
        <v>18.75</v>
      </c>
      <c r="BF344" s="1" t="n">
        <f aca="false">MIN(AC344/400,1)*20</f>
        <v>13.5</v>
      </c>
      <c r="BG344" s="4" t="n">
        <f aca="false">1-(MAX(M344-1900, 0)/750)</f>
        <v>0.864</v>
      </c>
      <c r="BH344" s="1" t="n">
        <f aca="false">((MAX($P344,1)*MIN($AL344/300,1)))*IF(J344="Wagon",50,10)</f>
        <v>6.8</v>
      </c>
      <c r="BI344" s="1" t="n">
        <f aca="false">VLOOKUP($K344,Constants!$I:$K, 2, FALSE())</f>
        <v>1</v>
      </c>
      <c r="BJ344" s="1" t="n">
        <f aca="false">VLOOKUP($K344,Constants!$I:$K, 3, FALSE())*IF(AND(J344="multiple_unit",AE344&lt;110),0.75,1)</f>
        <v>2</v>
      </c>
      <c r="BK344" s="1" t="n">
        <f aca="false">INT(POWER(((Constants!$G$2+$BD344+$BE344+$BF344+$BH344)*$BG344)*$BJ344, 1.05))+$BC344</f>
        <v>116</v>
      </c>
      <c r="BL344" s="1" t="n">
        <f aca="false">INT(POWER((((Constants!$G$1+$BD344+$BE344+$BF344+$BH344)*($BG344))*$BI344),IF($J344="wagon",1,1.2)))+$BB344</f>
        <v>143</v>
      </c>
      <c r="BM344" s="17" t="n">
        <f aca="false">BK344*IF($J344="wagon",62.5,781.25)</f>
        <v>90625</v>
      </c>
      <c r="BN344" s="17" t="n">
        <f aca="false">BL344*IF($J344="wagon",2.73,81.25)</f>
        <v>11618.75</v>
      </c>
      <c r="BS344" s="1" t="n">
        <v>1</v>
      </c>
      <c r="BU344" s="1" t="str">
        <f aca="false">IF(J344="locomotive","B","")</f>
        <v/>
      </c>
      <c r="BV344" s="1" t="str">
        <f aca="false">IF(OR($J344="locomotive",$J344="wagon"),"B","")</f>
        <v/>
      </c>
      <c r="BX344" s="1" t="s">
        <v>1252</v>
      </c>
      <c r="BY344" s="1" t="n">
        <v>10</v>
      </c>
      <c r="BZ344" s="1" t="n">
        <v>205</v>
      </c>
      <c r="CC344" s="1" t="s">
        <v>367</v>
      </c>
      <c r="CD344" s="1" t="str">
        <f aca="false">VLOOKUP(M344,Eras!$A$2:$C$10, 2, TRUE())</f>
        <v>prv</v>
      </c>
      <c r="CE344" s="1" t="s">
        <v>1016</v>
      </c>
      <c r="CF344" s="1" t="str">
        <f aca="false">CONCATENATE(CD344,"_",CE344)</f>
        <v>prv_DMU (Express)</v>
      </c>
      <c r="CG344" s="1" t="str">
        <f aca="false">_xlfn.CONCAT(K344, "_",L344)</f>
        <v>diesel_RAIL</v>
      </c>
      <c r="CH344" s="7" t="str">
        <f aca="false">_xlfn.CONCAT("{BLACK}Length: {GOLD}", TEXT(ROUNDUP(IF(AS344&lt;&gt;"",SUM(VALUE(_xlfn.TEXTSPLIT(AS344, ","))), SUM(VALUE(_xlfn.TEXTSPLIT(AP344, ",")))*IF(P344, P344, 1))/16, 1), "#,##0.0"), " tiles{}")</f>
        <v>{BLACK}Length: {GOLD}3.5 tiles{}</v>
      </c>
      <c r="CI344" s="1" t="str">
        <f aca="false">IF(0, VLOOKUP($CG344, Constants!$M:$N, 2, FALSE()),"")</f>
        <v/>
      </c>
      <c r="CJ344" s="1" t="str">
        <f aca="false">IF(P344&gt;1,_xlfn.CONCAT("{BLACK}Cars: {GOLD}", P344),"")</f>
        <v>{BLACK}Cars: {GOLD}4</v>
      </c>
      <c r="CK344" s="1" t="s">
        <v>1289</v>
      </c>
      <c r="CL344" s="1" t="str">
        <f aca="false">IF($BX344="concept_trains","{GREEN}Concept Vehicle",IF($BX344="!param_no_gameplay_units","{GREEN}Included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bonus for long distance travel{}</v>
      </c>
      <c r="CN344" s="1" t="str">
        <f aca="false">_xlfn.CONCAT(CI344,IF(CI344&lt;&gt;""," ",""),CJ344,IF(OR(CJ344&lt;&gt;"",CI344&lt;&gt;""),"{}",""),CH344,CM344,"{SILVER}",CK344,IF(CL344&lt;&gt;"","{}{}",""),CL344)</f>
        <v>{BLACK}Cars: {GOLD}4{}{BLACK}Length: {GOLD}3.5 tiles{}{YELLOW}10% bonus for long distance travel{}{SILVER}The Class 221 is outwardly very similar to the Class 220, but internally it has different bogies and features a tilt mechanism for faster cornering.</v>
      </c>
    </row>
    <row r="345" s="1" customFormat="true" ht="14.25" hidden="false" customHeight="false" outlineLevel="0" collapsed="false">
      <c r="A345" s="1" t="s">
        <v>1291</v>
      </c>
      <c r="B345" s="27" t="s">
        <v>1292</v>
      </c>
      <c r="C345" s="1" t="n">
        <v>3081</v>
      </c>
      <c r="E345" s="1" t="n">
        <v>409</v>
      </c>
      <c r="G345" s="1" t="str">
        <f aca="false">IF($F345&lt;&gt;"",_xlfn.CONCAT(VLOOKUP($CE345, Constants!$T:$U, 2, FALSE()),",",$F345),VLOOKUP($CE345, Constants!$T:$U, 2, FALSE()))</f>
        <v>role/express_passenger</v>
      </c>
      <c r="H345" s="1" t="str">
        <f aca="false">IF($G345&lt;&gt;"",_xlfn.CONCAT(VLOOKUP($CG345, Constants!$M:$P, 4, FALSE()),",",$G345),VLOOKUP($CG345, Constants!$M:$P, 4, FALSE()))</f>
        <v>flag/GB,power/diesel,role/express_passenger</v>
      </c>
      <c r="I345" s="1" t="s">
        <v>241</v>
      </c>
      <c r="J345" s="1" t="s">
        <v>466</v>
      </c>
      <c r="K345" s="1" t="s">
        <v>525</v>
      </c>
      <c r="L345" s="1" t="s">
        <v>192</v>
      </c>
      <c r="M345" s="1" t="n">
        <v>2003</v>
      </c>
      <c r="P345" s="1" t="n">
        <v>4</v>
      </c>
      <c r="Q345" s="1" t="n">
        <f aca="false">750*P345</f>
        <v>3000</v>
      </c>
      <c r="R345" s="2"/>
      <c r="S345" s="3"/>
      <c r="T345" s="3"/>
      <c r="U345" s="3"/>
      <c r="V345" s="3"/>
      <c r="W345" s="3"/>
      <c r="X345" s="3"/>
      <c r="Y345" s="3"/>
      <c r="Z345" s="1" t="n">
        <v>186.5</v>
      </c>
      <c r="AA345" s="2"/>
      <c r="AB345" s="1" t="n">
        <v>5</v>
      </c>
      <c r="AC345" s="1" t="n">
        <f aca="false">54*P345</f>
        <v>216</v>
      </c>
      <c r="AD345" s="4" t="n">
        <f aca="false">IF(AND(Z345&gt;0,AC345&gt;0),(AC345/((Z345+AA345)*10)),"")</f>
        <v>0.115817694369973</v>
      </c>
      <c r="AE345" s="1" t="n">
        <v>125</v>
      </c>
      <c r="AF345" s="1" t="n">
        <f aca="false">ROUND(AE345*1.6, 0)</f>
        <v>200</v>
      </c>
      <c r="AH345" s="1" t="n">
        <v>23.8</v>
      </c>
      <c r="AI345" s="1" t="n">
        <v>23.8</v>
      </c>
      <c r="AJ345" s="1" t="n">
        <v>2.73</v>
      </c>
      <c r="AL345" s="5" t="n">
        <v>51</v>
      </c>
      <c r="AM345" s="1" t="str">
        <f aca="false">CONCATENATE(VLOOKUP(AN345, 'Voxel Sizes'!$A$2:$B$18,2,FALSE()),"x",INT(AJ345*15), "x", INT(AK345*15))</f>
        <v>238x40x0</v>
      </c>
      <c r="AN345" s="1" t="n">
        <f aca="false">ROUND(15*((AI345*10)/256),0)</f>
        <v>14</v>
      </c>
      <c r="AP345" s="1" t="str">
        <f aca="false">CONCATENATE(VLOOKUP(AN345,Constants!$A$2:$C$16,IF(AO345&lt;&gt;"", 3, 2), FALSE()),IF(AO345&lt;&gt;"",CONCATENATE(",",VLOOKUP(AO345,$B:$AP,41,FALSE())),""))</f>
        <v>4,6,4</v>
      </c>
      <c r="AR345" s="6"/>
      <c r="AS345" s="6"/>
      <c r="AT345" s="1" t="s">
        <v>1293</v>
      </c>
      <c r="AV345" s="1" t="s">
        <v>918</v>
      </c>
      <c r="AW345" s="1" t="s">
        <v>1294</v>
      </c>
      <c r="AZ345" s="1" t="n">
        <v>29</v>
      </c>
      <c r="BA345" s="16" t="str">
        <f aca="false">IF(O345&lt;&gt;"",MAX(16,(O345-M345)+8),"")</f>
        <v/>
      </c>
      <c r="BB345" s="1" t="n">
        <v>-15</v>
      </c>
      <c r="BC345" s="1" t="n">
        <v>-35</v>
      </c>
      <c r="BD345" s="1" t="n">
        <f aca="false">MIN(AE345/150, 1)*30</f>
        <v>25</v>
      </c>
      <c r="BE345" s="1" t="n">
        <f aca="false">MIN(Q345/4000, 1)*20</f>
        <v>15</v>
      </c>
      <c r="BF345" s="1" t="n">
        <f aca="false">MIN(AC345/400,1)*20</f>
        <v>10.8</v>
      </c>
      <c r="BG345" s="4" t="n">
        <f aca="false">1-(MAX(M345-1900, 0)/750)</f>
        <v>0.862666666666667</v>
      </c>
      <c r="BH345" s="1" t="n">
        <f aca="false">((MAX($P345,1)*MIN($AL345/300,1)))*IF(J345="Wagon",50,10)</f>
        <v>6.8</v>
      </c>
      <c r="BI345" s="1" t="n">
        <f aca="false">VLOOKUP($K345,Constants!$I:$K, 2, FALSE())</f>
        <v>1</v>
      </c>
      <c r="BJ345" s="1" t="n">
        <f aca="false">VLOOKUP($K345,Constants!$I:$K, 3, FALSE())*IF(AND(J345="multiple_unit",AE345&lt;110),0.75,1)</f>
        <v>2</v>
      </c>
      <c r="BK345" s="1" t="n">
        <f aca="false">INT(POWER(((Constants!$G$2+$BD345+$BE345+$BF345+$BH345)*$BG345)*$BJ345, 1.05))+$BC345</f>
        <v>101</v>
      </c>
      <c r="BL345" s="1" t="n">
        <f aca="false">INT(POWER((((Constants!$G$1+$BD345+$BE345+$BF345+$BH345)*($BG345))*$BI345),IF($J345="wagon",1,1.2)))+$BB345</f>
        <v>128</v>
      </c>
      <c r="BM345" s="17" t="n">
        <f aca="false">BK345*IF($J345="wagon",62.5,781.25)</f>
        <v>78906.25</v>
      </c>
      <c r="BN345" s="17" t="n">
        <f aca="false">BL345*IF($J345="wagon",2.73,81.25)</f>
        <v>10400</v>
      </c>
      <c r="BT345" s="1" t="s">
        <v>1295</v>
      </c>
      <c r="BU345" s="1" t="str">
        <f aca="false">IF(J345="locomotive","B","")</f>
        <v/>
      </c>
      <c r="BV345" s="1" t="str">
        <f aca="false">IF(OR($J345="locomotive",$J345="wagon"),"B","")</f>
        <v/>
      </c>
      <c r="BY345" s="1" t="n">
        <v>10</v>
      </c>
      <c r="BZ345" s="1" t="n">
        <v>205</v>
      </c>
      <c r="CC345" s="1" t="s">
        <v>367</v>
      </c>
      <c r="CD345" s="26" t="s">
        <v>1234</v>
      </c>
      <c r="CE345" s="26" t="s">
        <v>1016</v>
      </c>
      <c r="CF345" s="1" t="str">
        <f aca="false">CONCATENATE(CD345,"_",CE345)</f>
        <v>prv_DMU (Express)</v>
      </c>
      <c r="CG345" s="1" t="str">
        <f aca="false">_xlfn.CONCAT(K345, "_",L345)</f>
        <v>diesel_RAIL</v>
      </c>
      <c r="CH345" s="7" t="str">
        <f aca="false">_xlfn.CONCAT("{BLACK}Length: {GOLD}", TEXT(ROUNDUP(IF(AS345&lt;&gt;"",SUM(VALUE(_xlfn.TEXTSPLIT(AS345, ","))), SUM(VALUE(_xlfn.TEXTSPLIT(AP345, ",")))*IF(P345, P345, 1))/16, 1), "#,##0.0"), " tiles{}")</f>
        <v>{BLACK}Length: {GOLD}3.5 tiles{}</v>
      </c>
      <c r="CI345" s="1" t="str">
        <f aca="false">IF(0, VLOOKUP($CG345, Constants!$M:$N, 2, FALSE()),"")</f>
        <v/>
      </c>
      <c r="CJ345" s="1" t="str">
        <f aca="false">IF(P345&gt;1,_xlfn.CONCAT("{BLACK}Cars: {GOLD}", P345),"")</f>
        <v>{BLACK}Cars: {GOLD}4</v>
      </c>
      <c r="CK345" s="1" t="s">
        <v>1296</v>
      </c>
      <c r="CL345" s="1" t="str">
        <f aca="false">IF($BX345="concept_trains","{GREEN}Concept Vehicle",IF($BX345="!param_no_gameplay_units","{GREEN}Included for gameplay purposes",""))</f>
        <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{YELLOW}10% bonus for long distance travel{}</v>
      </c>
      <c r="CN345" s="1" t="str">
        <f aca="false">_xlfn.CONCAT(CI345,IF(CI345&lt;&gt;""," ",""),CJ345,IF(OR(CJ345&lt;&gt;"",CI345&lt;&gt;""),"{}",""),CH345,CM345,"{SILVER}",CK345,IF(CL345&lt;&gt;"","{}{}",""),CL345)</f>
        <v>{BLACK}Cars: {GOLD}4{}{BLACK}Length: {GOLD}3.5 tiles{}{YELLOW}10% bonus for long distance travel{}{SILVER}The Class 222 is the final development of the Bombardier DEMU series, built first for the Midland Main Line and later seeing service in Scotland and with Open-Access operators.</v>
      </c>
    </row>
    <row r="346" s="1" customFormat="true" ht="14.25" hidden="false" customHeight="false" outlineLevel="0" collapsed="false">
      <c r="A346" s="1" t="s">
        <v>1291</v>
      </c>
      <c r="B346" s="27" t="s">
        <v>1297</v>
      </c>
      <c r="C346" s="1" t="n">
        <v>3082</v>
      </c>
      <c r="D346" s="1" t="n">
        <v>3081</v>
      </c>
      <c r="E346" s="1" t="n">
        <v>410</v>
      </c>
      <c r="G346" s="1" t="str">
        <f aca="false">IF($F346&lt;&gt;"",_xlfn.CONCAT(VLOOKUP($CE346, Constants!$T:$U, 2, FALSE()),",",$F346),VLOOKUP($CE346, Constants!$T:$U, 2, FALSE()))</f>
        <v>role/express_passenger</v>
      </c>
      <c r="H346" s="1" t="str">
        <f aca="false">IF($G346&lt;&gt;"",_xlfn.CONCAT(VLOOKUP($CG346, Constants!$M:$P, 4, FALSE()),",",$G346),VLOOKUP($CG346, Constants!$M:$P, 4, FALSE()))</f>
        <v>flag/GB,power/diesel,role/express_passenger</v>
      </c>
      <c r="I346" s="1" t="s">
        <v>241</v>
      </c>
      <c r="J346" s="1" t="s">
        <v>466</v>
      </c>
      <c r="K346" s="1" t="s">
        <v>525</v>
      </c>
      <c r="L346" s="1" t="s">
        <v>192</v>
      </c>
      <c r="M346" s="1" t="n">
        <v>2003</v>
      </c>
      <c r="P346" s="1" t="n">
        <v>5</v>
      </c>
      <c r="Q346" s="1" t="n">
        <f aca="false">750*P346</f>
        <v>3750</v>
      </c>
      <c r="R346" s="2"/>
      <c r="S346" s="3"/>
      <c r="T346" s="3"/>
      <c r="U346" s="3"/>
      <c r="V346" s="3"/>
      <c r="W346" s="3"/>
      <c r="X346" s="3"/>
      <c r="Y346" s="3"/>
      <c r="Z346" s="1" t="n">
        <f aca="false">Z345+37.3</f>
        <v>223.8</v>
      </c>
      <c r="AA346" s="2"/>
      <c r="AB346" s="1" t="n">
        <v>5</v>
      </c>
      <c r="AC346" s="1" t="n">
        <f aca="false">54*P346</f>
        <v>270</v>
      </c>
      <c r="AD346" s="4" t="n">
        <f aca="false">IF(AND(Z346&gt;0,AC346&gt;0),(AC346/((Z346+AA346)*10)),"")</f>
        <v>0.120643431635389</v>
      </c>
      <c r="AE346" s="1" t="n">
        <v>125</v>
      </c>
      <c r="AF346" s="1" t="n">
        <f aca="false">ROUND(AE346*1.6, 0)</f>
        <v>200</v>
      </c>
      <c r="AH346" s="1" t="n">
        <v>23.8</v>
      </c>
      <c r="AI346" s="1" t="n">
        <v>23.8</v>
      </c>
      <c r="AJ346" s="1" t="n">
        <v>2.73</v>
      </c>
      <c r="AL346" s="5" t="n">
        <v>51</v>
      </c>
      <c r="AM346" s="1" t="str">
        <f aca="false">CONCATENATE(VLOOKUP(AN346, 'Voxel Sizes'!$A$2:$B$18,2,FALSE()),"x",INT(AJ346*15), "x", INT(AK346*15))</f>
        <v>238x40x0</v>
      </c>
      <c r="AN346" s="1" t="n">
        <f aca="false">ROUND(15*((AI346*10)/256),0)</f>
        <v>14</v>
      </c>
      <c r="AP346" s="1" t="str">
        <f aca="false">CONCATENATE(VLOOKUP(AN346,Constants!$A$2:$C$16,IF(AO346&lt;&gt;"", 3, 2), FALSE()),IF(AO346&lt;&gt;"",CONCATENATE(",",VLOOKUP(AO346,$B:$AP,41,FALSE())),""))</f>
        <v>4,6,4</v>
      </c>
      <c r="AR346" s="6"/>
      <c r="AS346" s="6"/>
      <c r="AT346" s="1" t="s">
        <v>1298</v>
      </c>
      <c r="AV346" s="1" t="s">
        <v>889</v>
      </c>
      <c r="AW346" s="1" t="s">
        <v>1294</v>
      </c>
      <c r="AZ346" s="1" t="n">
        <v>29</v>
      </c>
      <c r="BA346" s="16" t="str">
        <f aca="false">IF(O346&lt;&gt;"",MAX(16,(O346-M346)+8),"")</f>
        <v/>
      </c>
      <c r="BB346" s="1" t="n">
        <v>-15</v>
      </c>
      <c r="BC346" s="1" t="n">
        <v>-35</v>
      </c>
      <c r="BD346" s="1" t="n">
        <f aca="false">MIN(AE346/150, 1)*30</f>
        <v>25</v>
      </c>
      <c r="BE346" s="1" t="n">
        <f aca="false">MIN(Q346/4000, 1)*20</f>
        <v>18.75</v>
      </c>
      <c r="BF346" s="1" t="n">
        <f aca="false">MIN(AC346/400,1)*20</f>
        <v>13.5</v>
      </c>
      <c r="BG346" s="4" t="n">
        <f aca="false">1-(MAX(M346-1900, 0)/750)</f>
        <v>0.862666666666667</v>
      </c>
      <c r="BH346" s="1" t="n">
        <f aca="false">((MAX($P346,1)*MIN($AL346/300,1)))*IF(J346="Wagon",50,10)</f>
        <v>8.5</v>
      </c>
      <c r="BI346" s="1" t="n">
        <f aca="false">VLOOKUP($K346,Constants!$I:$K, 2, FALSE())</f>
        <v>1</v>
      </c>
      <c r="BJ346" s="1" t="n">
        <f aca="false">VLOOKUP($K346,Constants!$I:$K, 3, FALSE())*IF(AND(J346="multiple_unit",AE346&lt;110),0.75,1)</f>
        <v>2</v>
      </c>
      <c r="BK346" s="1" t="n">
        <f aca="false">INT(POWER(((Constants!$G$2+$BD346+$BE346+$BF346+$BH346)*$BG346)*$BJ346, 1.05))+$BC346</f>
        <v>120</v>
      </c>
      <c r="BL346" s="1" t="n">
        <f aca="false">INT(POWER((((Constants!$G$1+$BD346+$BE346+$BF346+$BH346)*($BG346))*$BI346),IF($J346="wagon",1,1.2)))+$BB346</f>
        <v>147</v>
      </c>
      <c r="BM346" s="17" t="n">
        <f aca="false">BK346*IF($J346="wagon",62.5,781.25)</f>
        <v>93750</v>
      </c>
      <c r="BN346" s="17" t="n">
        <f aca="false">BL346*IF($J346="wagon",2.73,81.25)</f>
        <v>11943.75</v>
      </c>
      <c r="BT346" s="1" t="s">
        <v>1299</v>
      </c>
      <c r="BU346" s="1" t="str">
        <f aca="false">IF(J346="locomotive","B","")</f>
        <v/>
      </c>
      <c r="BV346" s="1" t="str">
        <f aca="false">IF(OR($J346="locomotive",$J346="wagon"),"B","")</f>
        <v/>
      </c>
      <c r="BX346" s="26" t="s">
        <v>1247</v>
      </c>
      <c r="BY346" s="1" t="n">
        <v>10</v>
      </c>
      <c r="BZ346" s="1" t="n">
        <v>205</v>
      </c>
      <c r="CC346" s="1" t="s">
        <v>367</v>
      </c>
      <c r="CD346" s="26" t="s">
        <v>1234</v>
      </c>
      <c r="CE346" s="26" t="s">
        <v>1016</v>
      </c>
      <c r="CF346" s="1" t="str">
        <f aca="false">CONCATENATE(CD346,"_",CE346)</f>
        <v>prv_DMU (Express)</v>
      </c>
      <c r="CG346" s="1" t="str">
        <f aca="false">_xlfn.CONCAT(K346, "_",L346)</f>
        <v>diesel_RAIL</v>
      </c>
      <c r="CH346" s="7" t="str">
        <f aca="false">_xlfn.CONCAT("{BLACK}Length: {GOLD}", TEXT(ROUNDUP(IF(AS346&lt;&gt;"",SUM(VALUE(_xlfn.TEXTSPLIT(AS346, ","))), SUM(VALUE(_xlfn.TEXTSPLIT(AP346, ",")))*IF(P346, P346, 1))/16, 1), "#,##0.0"), " tiles{}")</f>
        <v>{BLACK}Length: {GOLD}4.4 tiles{}</v>
      </c>
      <c r="CI346" s="1" t="str">
        <f aca="false">IF(0, VLOOKUP($CG346, Constants!$M:$N, 2, FALSE()),"")</f>
        <v/>
      </c>
      <c r="CJ346" s="1" t="str">
        <f aca="false">IF(P346&gt;1,_xlfn.CONCAT("{BLACK}Cars: {GOLD}", P346),"")</f>
        <v>{BLACK}Cars: {GOLD}5</v>
      </c>
      <c r="CK346" s="1" t="s">
        <v>1296</v>
      </c>
      <c r="CL346" s="1" t="str">
        <f aca="false">IF($BX346="concept_trains","{GREEN}Concept Vehicle",IF($BX346="!param_no_gameplay_units","{GREEN}Included for gameplay purposes",""))</f>
        <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{YELLOW}10% bonus for long distance travel{}</v>
      </c>
      <c r="CN346" s="1" t="str">
        <f aca="false">_xlfn.CONCAT(CI346,IF(CI346&lt;&gt;""," ",""),CJ346,IF(OR(CJ346&lt;&gt;"",CI346&lt;&gt;""),"{}",""),CH346,CM346,"{SILVER}",CK346,IF(CL346&lt;&gt;"","{}{}",""),CL346)</f>
        <v>{BLACK}Cars: {GOLD}5{}{BLACK}Length: {GOLD}4.4 tiles{}{YELLOW}10% bonus for long distance travel{}{SILVER}The Class 222 is the final development of the Bombardier DEMU series, built first for the Midland Main Line and later seeing service in Scotland and with Open-Access operators.</v>
      </c>
    </row>
    <row r="347" s="1" customFormat="true" ht="14.25" hidden="false" customHeight="false" outlineLevel="0" collapsed="false">
      <c r="A347" s="1" t="s">
        <v>1291</v>
      </c>
      <c r="B347" s="27" t="s">
        <v>1300</v>
      </c>
      <c r="C347" s="1" t="n">
        <v>3083</v>
      </c>
      <c r="D347" s="1" t="n">
        <v>3081</v>
      </c>
      <c r="E347" s="1" t="n">
        <v>411</v>
      </c>
      <c r="G347" s="1" t="str">
        <f aca="false">IF($F347&lt;&gt;"",_xlfn.CONCAT(VLOOKUP($CE347, Constants!$T:$U, 2, FALSE()),",",$F347),VLOOKUP($CE347, Constants!$T:$U, 2, FALSE()))</f>
        <v>role/express_passenger</v>
      </c>
      <c r="H347" s="1" t="str">
        <f aca="false">IF($G347&lt;&gt;"",_xlfn.CONCAT(VLOOKUP($CG347, Constants!$M:$P, 4, FALSE()),",",$G347),VLOOKUP($CG347, Constants!$M:$P, 4, FALSE()))</f>
        <v>flag/GB,power/diesel,role/express_passenger</v>
      </c>
      <c r="I347" s="1" t="s">
        <v>241</v>
      </c>
      <c r="J347" s="1" t="s">
        <v>466</v>
      </c>
      <c r="K347" s="1" t="s">
        <v>525</v>
      </c>
      <c r="L347" s="1" t="s">
        <v>192</v>
      </c>
      <c r="M347" s="1" t="n">
        <v>2003</v>
      </c>
      <c r="P347" s="1" t="n">
        <v>7</v>
      </c>
      <c r="Q347" s="1" t="n">
        <f aca="false">750*P347</f>
        <v>5250</v>
      </c>
      <c r="R347" s="2"/>
      <c r="S347" s="3"/>
      <c r="T347" s="3"/>
      <c r="U347" s="3"/>
      <c r="V347" s="3"/>
      <c r="W347" s="3"/>
      <c r="X347" s="3"/>
      <c r="Y347" s="3"/>
      <c r="Z347" s="1" t="n">
        <f aca="false">Z346+(37.3*2)</f>
        <v>298.4</v>
      </c>
      <c r="AA347" s="2"/>
      <c r="AB347" s="1" t="n">
        <v>5</v>
      </c>
      <c r="AC347" s="1" t="n">
        <f aca="false">54*P347</f>
        <v>378</v>
      </c>
      <c r="AD347" s="4" t="n">
        <f aca="false">IF(AND(Z347&gt;0,AC347&gt;0),(AC347/((Z347+AA347)*10)),"")</f>
        <v>0.126675603217158</v>
      </c>
      <c r="AE347" s="1" t="n">
        <v>125</v>
      </c>
      <c r="AF347" s="1" t="n">
        <f aca="false">ROUND(AE347*1.6, 0)</f>
        <v>200</v>
      </c>
      <c r="AH347" s="1" t="n">
        <v>23.8</v>
      </c>
      <c r="AI347" s="1" t="n">
        <v>23.8</v>
      </c>
      <c r="AJ347" s="1" t="n">
        <v>2.73</v>
      </c>
      <c r="AL347" s="5" t="n">
        <v>51</v>
      </c>
      <c r="AM347" s="1" t="str">
        <f aca="false">CONCATENATE(VLOOKUP(AN347, 'Voxel Sizes'!$A$2:$B$18,2,FALSE()),"x",INT(AJ347*15), "x", INT(AK347*15))</f>
        <v>238x40x0</v>
      </c>
      <c r="AN347" s="1" t="n">
        <f aca="false">ROUND(15*((AI347*10)/256),0)</f>
        <v>14</v>
      </c>
      <c r="AP347" s="1" t="str">
        <f aca="false">CONCATENATE(VLOOKUP(AN347,Constants!$A$2:$C$16,IF(AO347&lt;&gt;"", 3, 2), FALSE()),IF(AO347&lt;&gt;"",CONCATENATE(",",VLOOKUP(AO347,$B:$AP,41,FALSE())),""))</f>
        <v>4,6,4</v>
      </c>
      <c r="AR347" s="6"/>
      <c r="AS347" s="6"/>
      <c r="AT347" s="1" t="s">
        <v>1301</v>
      </c>
      <c r="AV347" s="1" t="s">
        <v>1302</v>
      </c>
      <c r="AW347" s="1" t="s">
        <v>1294</v>
      </c>
      <c r="AZ347" s="1" t="n">
        <v>29</v>
      </c>
      <c r="BA347" s="16" t="str">
        <f aca="false">IF(O347&lt;&gt;"",MAX(16,(O347-M347)+8),"")</f>
        <v/>
      </c>
      <c r="BB347" s="1" t="n">
        <v>-15</v>
      </c>
      <c r="BC347" s="1" t="n">
        <v>-35</v>
      </c>
      <c r="BD347" s="1" t="n">
        <f aca="false">MIN(AE347/150, 1)*30</f>
        <v>25</v>
      </c>
      <c r="BE347" s="1" t="n">
        <f aca="false">MIN(Q347/4000, 1)*20</f>
        <v>20</v>
      </c>
      <c r="BF347" s="1" t="n">
        <f aca="false">MIN(AC347/400,1)*20</f>
        <v>18.9</v>
      </c>
      <c r="BG347" s="4" t="n">
        <f aca="false">1-(MAX(M347-1900, 0)/750)</f>
        <v>0.862666666666667</v>
      </c>
      <c r="BH347" s="1" t="n">
        <f aca="false">((MAX($P347,1)*MIN($AL347/300,1)))*IF(J347="Wagon",50,10)</f>
        <v>11.9</v>
      </c>
      <c r="BI347" s="1" t="n">
        <f aca="false">VLOOKUP($K347,Constants!$I:$K, 2, FALSE())</f>
        <v>1</v>
      </c>
      <c r="BJ347" s="1" t="n">
        <f aca="false">VLOOKUP($K347,Constants!$I:$K, 3, FALSE())*IF(AND(J347="multiple_unit",AE347&lt;110),0.75,1)</f>
        <v>2</v>
      </c>
      <c r="BK347" s="1" t="n">
        <f aca="false">INT(POWER(((Constants!$G$2+$BD347+$BE347+$BF347+$BH347)*$BG347)*$BJ347, 1.05))+$BC347</f>
        <v>143</v>
      </c>
      <c r="BL347" s="1" t="n">
        <f aca="false">INT(POWER((((Constants!$G$1+$BD347+$BE347+$BF347+$BH347)*($BG347))*$BI347),IF($J347="wagon",1,1.2)))+$BB347</f>
        <v>172</v>
      </c>
      <c r="BM347" s="17" t="n">
        <f aca="false">BK347*IF($J347="wagon",62.5,781.25)</f>
        <v>111718.75</v>
      </c>
      <c r="BN347" s="17" t="n">
        <f aca="false">BL347*IF($J347="wagon",2.73,81.25)</f>
        <v>13975</v>
      </c>
      <c r="BT347" s="1" t="s">
        <v>1303</v>
      </c>
      <c r="BU347" s="1" t="str">
        <f aca="false">IF(J347="locomotive","B","")</f>
        <v/>
      </c>
      <c r="BV347" s="1" t="str">
        <f aca="false">IF(OR($J347="locomotive",$J347="wagon"),"B","")</f>
        <v/>
      </c>
      <c r="BX347" s="26" t="s">
        <v>1304</v>
      </c>
      <c r="BY347" s="1" t="n">
        <v>10</v>
      </c>
      <c r="BZ347" s="1" t="n">
        <v>205</v>
      </c>
      <c r="CC347" s="1" t="s">
        <v>367</v>
      </c>
      <c r="CD347" s="26" t="s">
        <v>1234</v>
      </c>
      <c r="CE347" s="26" t="s">
        <v>1016</v>
      </c>
      <c r="CF347" s="1" t="str">
        <f aca="false">CONCATENATE(CD347,"_",CE347)</f>
        <v>prv_DMU (Express)</v>
      </c>
      <c r="CG347" s="1" t="str">
        <f aca="false">_xlfn.CONCAT(K347, "_",L347)</f>
        <v>diesel_RAIL</v>
      </c>
      <c r="CH347" s="7" t="str">
        <f aca="false">_xlfn.CONCAT("{BLACK}Length: {GOLD}", TEXT(ROUNDUP(IF(AS347&lt;&gt;"",SUM(VALUE(_xlfn.TEXTSPLIT(AS347, ","))), SUM(VALUE(_xlfn.TEXTSPLIT(AP347, ",")))*IF(P347, P347, 1))/16, 1), "#,##0.0"), " tiles{}")</f>
        <v>{BLACK}Length: {GOLD}6.2 tiles{}</v>
      </c>
      <c r="CI347" s="1" t="str">
        <f aca="false">IF(0, VLOOKUP($CG347, Constants!$M:$N, 2, FALSE()),"")</f>
        <v/>
      </c>
      <c r="CJ347" s="1" t="str">
        <f aca="false">IF(P347&gt;1,_xlfn.CONCAT("{BLACK}Cars: {GOLD}", P347),"")</f>
        <v>{BLACK}Cars: {GOLD}7</v>
      </c>
      <c r="CK347" s="1" t="s">
        <v>1296</v>
      </c>
      <c r="CL347" s="1" t="str">
        <f aca="false">IF($BX347="concept_trains","{GREEN}Concept Vehicle",IF($BX347="!param_no_gameplay_units","{GREEN}Included for gameplay purposes",""))</f>
        <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{YELLOW}10% bonus for long distance travel{}</v>
      </c>
      <c r="CN347" s="1" t="str">
        <f aca="false">_xlfn.CONCAT(CI347,IF(CI347&lt;&gt;""," ",""),CJ347,IF(OR(CJ347&lt;&gt;"",CI347&lt;&gt;""),"{}",""),CH347,CM347,"{SILVER}",CK347,IF(CL347&lt;&gt;"","{}{}",""),CL347)</f>
        <v>{BLACK}Cars: {GOLD}7{}{BLACK}Length: {GOLD}6.2 tiles{}{YELLOW}10% bonus for long distance travel{}{SILVER}The Class 222 is the final development of the Bombardier DEMU series, built first for the Midland Main Line and later seeing service in Scotland and with Open-Access operators.</v>
      </c>
    </row>
    <row r="348" s="1" customFormat="true" ht="14.25" hidden="false" customHeight="false" outlineLevel="0" collapsed="false">
      <c r="A348" s="1" t="s">
        <v>1291</v>
      </c>
      <c r="B348" s="27" t="s">
        <v>1305</v>
      </c>
      <c r="C348" s="1" t="n">
        <v>3084</v>
      </c>
      <c r="D348" s="1" t="n">
        <v>3081</v>
      </c>
      <c r="E348" s="1" t="n">
        <v>412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241</v>
      </c>
      <c r="J348" s="1" t="s">
        <v>466</v>
      </c>
      <c r="K348" s="1" t="s">
        <v>525</v>
      </c>
      <c r="L348" s="1" t="s">
        <v>192</v>
      </c>
      <c r="M348" s="1" t="n">
        <v>2003</v>
      </c>
      <c r="P348" s="1" t="n">
        <v>9</v>
      </c>
      <c r="Q348" s="1" t="n">
        <f aca="false">750*P348</f>
        <v>6750</v>
      </c>
      <c r="R348" s="2"/>
      <c r="S348" s="3"/>
      <c r="T348" s="3"/>
      <c r="U348" s="3"/>
      <c r="V348" s="3"/>
      <c r="W348" s="3"/>
      <c r="X348" s="3"/>
      <c r="Y348" s="3"/>
      <c r="Z348" s="1" t="n">
        <f aca="false">Z347+(37.3*2)</f>
        <v>373</v>
      </c>
      <c r="AA348" s="2"/>
      <c r="AB348" s="1" t="n">
        <v>5</v>
      </c>
      <c r="AC348" s="1" t="n">
        <f aca="false">54*P348</f>
        <v>486</v>
      </c>
      <c r="AD348" s="4" t="n">
        <f aca="false">IF(AND(Z348&gt;0,AC348&gt;0),(AC348/((Z348+AA348)*10)),"")</f>
        <v>0.13029490616622</v>
      </c>
      <c r="AE348" s="1" t="n">
        <v>125</v>
      </c>
      <c r="AF348" s="1" t="n">
        <f aca="false">ROUND(AE348*1.6, 0)</f>
        <v>200</v>
      </c>
      <c r="AH348" s="1" t="n">
        <v>23.8</v>
      </c>
      <c r="AI348" s="1" t="n">
        <v>23.8</v>
      </c>
      <c r="AJ348" s="1" t="n">
        <v>2.73</v>
      </c>
      <c r="AL348" s="5" t="n">
        <v>51</v>
      </c>
      <c r="AM348" s="1" t="str">
        <f aca="false">CONCATENATE(VLOOKUP(AN348, 'Voxel Sizes'!$A$2:$B$18,2,FALSE()),"x",INT(AJ348*15), "x", INT(AK348*15))</f>
        <v>238x40x0</v>
      </c>
      <c r="AN348" s="1" t="n">
        <f aca="false">ROUND(15*((AI348*10)/256),0)</f>
        <v>14</v>
      </c>
      <c r="AP348" s="1" t="str">
        <f aca="false">CONCATENATE(VLOOKUP(AN348,Constants!$A$2:$C$16,IF(AO348&lt;&gt;"", 3, 2), FALSE()),IF(AO348&lt;&gt;"",CONCATENATE(",",VLOOKUP(AO348,$B:$AP,41,FALSE())),""))</f>
        <v>4,6,4</v>
      </c>
      <c r="AR348" s="6"/>
      <c r="AS348" s="6"/>
      <c r="AT348" s="1" t="s">
        <v>1306</v>
      </c>
      <c r="AV348" s="1" t="s">
        <v>1273</v>
      </c>
      <c r="AW348" s="1" t="s">
        <v>1294</v>
      </c>
      <c r="AZ348" s="1" t="n">
        <v>29</v>
      </c>
      <c r="BA348" s="16" t="str">
        <f aca="false">IF(O348&lt;&gt;"",MAX(16,(O348-M348)+8),"")</f>
        <v/>
      </c>
      <c r="BB348" s="1" t="n">
        <v>-15</v>
      </c>
      <c r="BC348" s="1" t="n">
        <v>-35</v>
      </c>
      <c r="BD348" s="1" t="n">
        <f aca="false">MIN(AE348/150, 1)*30</f>
        <v>25</v>
      </c>
      <c r="BE348" s="1" t="n">
        <f aca="false">MIN(Q348/4000, 1)*20</f>
        <v>20</v>
      </c>
      <c r="BF348" s="1" t="n">
        <f aca="false">MIN(AC348/400,1)*20</f>
        <v>20</v>
      </c>
      <c r="BG348" s="4" t="n">
        <f aca="false">1-(MAX(M348-1900, 0)/750)</f>
        <v>0.862666666666667</v>
      </c>
      <c r="BH348" s="1" t="n">
        <f aca="false">((MAX($P348,1)*MIN($AL348/300,1)))*IF(J348="Wagon",50,10)</f>
        <v>15.3</v>
      </c>
      <c r="BI348" s="1" t="n">
        <f aca="false">VLOOKUP($K348,Constants!$I:$K, 2, FALSE())</f>
        <v>1</v>
      </c>
      <c r="BJ348" s="1" t="n">
        <f aca="false">VLOOKUP($K348,Constants!$I:$K, 3, FALSE())*IF(AND(J348="multiple_unit",AE348&lt;110),0.75,1)</f>
        <v>2</v>
      </c>
      <c r="BK348" s="1" t="n">
        <f aca="false">INT(POWER(((Constants!$G$2+$BD348+$BE348+$BF348+$BH348)*$BG348)*$BJ348, 1.05))+$BC348</f>
        <v>153</v>
      </c>
      <c r="BL348" s="1" t="n">
        <f aca="false">INT(POWER((((Constants!$G$1+$BD348+$BE348+$BF348+$BH348)*($BG348))*$BI348),IF($J348="wagon",1,1.2)))+$BB348</f>
        <v>183</v>
      </c>
      <c r="BM348" s="17" t="n">
        <f aca="false">BK348*IF($J348="wagon",62.5,781.25)</f>
        <v>119531.25</v>
      </c>
      <c r="BN348" s="17" t="n">
        <f aca="false">BL348*IF($J348="wagon",2.73,81.25)</f>
        <v>14868.75</v>
      </c>
      <c r="BT348" s="1" t="s">
        <v>1307</v>
      </c>
      <c r="BU348" s="1" t="str">
        <f aca="false">IF(J348="locomotive","B","")</f>
        <v/>
      </c>
      <c r="BV348" s="1" t="str">
        <f aca="false">IF(OR($J348="locomotive",$J348="wagon"),"B","")</f>
        <v/>
      </c>
      <c r="BX348" s="26" t="s">
        <v>1304</v>
      </c>
      <c r="BY348" s="1" t="n">
        <v>10</v>
      </c>
      <c r="BZ348" s="1" t="n">
        <v>205</v>
      </c>
      <c r="CC348" s="1" t="s">
        <v>367</v>
      </c>
      <c r="CD348" s="26" t="s">
        <v>1234</v>
      </c>
      <c r="CE348" s="26" t="s">
        <v>1016</v>
      </c>
      <c r="CF348" s="1" t="str">
        <f aca="false">CONCATENATE(CD348,"_",CE348)</f>
        <v>prv_DMU (Express)</v>
      </c>
      <c r="CG348" s="1" t="str">
        <f aca="false">_xlfn.CONCAT(K348, "_",L348)</f>
        <v>diesel_RAIL</v>
      </c>
      <c r="CH348" s="7" t="str">
        <f aca="false">_xlfn.CONCAT("{BLACK}Length: {GOLD}", TEXT(ROUNDUP(IF(AS348&lt;&gt;"",SUM(VALUE(_xlfn.TEXTSPLIT(AS348, ","))), SUM(VALUE(_xlfn.TEXTSPLIT(AP348, ",")))*IF(P348, P348, 1))/16, 1), "#,##0.0"), " tiles{}")</f>
        <v>{BLACK}Length: {GOLD}7.9 tiles{}</v>
      </c>
      <c r="CI348" s="1" t="str">
        <f aca="false">IF(0, VLOOKUP($CG348, Constants!$M:$N, 2, FALSE()),"")</f>
        <v/>
      </c>
      <c r="CJ348" s="1" t="str">
        <f aca="false">IF(P348&gt;1,_xlfn.CONCAT("{BLACK}Cars: {GOLD}", P348),"")</f>
        <v>{BLACK}Cars: {GOLD}9</v>
      </c>
      <c r="CK348" s="1" t="s">
        <v>1296</v>
      </c>
      <c r="CL348" s="1" t="str">
        <f aca="false">IF($BX348="concept_trains","{GREEN}Concept Vehicle",IF($BX348="!param_no_gameplay_units","{GREEN}Included for gameplay purposes",""))</f>
        <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{YELLOW}10% bonus for long distance travel{}</v>
      </c>
      <c r="CN348" s="1" t="str">
        <f aca="false">_xlfn.CONCAT(CI348,IF(CI348&lt;&gt;""," ",""),CJ348,IF(OR(CJ348&lt;&gt;"",CI348&lt;&gt;""),"{}",""),CH348,CM348,"{SILVER}",CK348,IF(CL348&lt;&gt;"","{}{}",""),CL348)</f>
        <v>{BLACK}Cars: {GOLD}9{}{BLACK}Length: {GOLD}7.9 tiles{}{YELLOW}10% bonus for long distance travel{}{SILVER}The Class 222 is the final development of the Bombardier DEMU series, built first for the Midland Main Line and later seeing service in Scotland and with Open-Access operators.</v>
      </c>
    </row>
    <row r="349" customFormat="false" ht="14.25" hidden="false" customHeight="false" outlineLevel="0" collapsed="false">
      <c r="A349" s="1" t="s">
        <v>1308</v>
      </c>
      <c r="B349" s="15" t="s">
        <v>1309</v>
      </c>
      <c r="C349" s="1" t="n">
        <v>268</v>
      </c>
      <c r="E349" s="1" t="n">
        <v>413</v>
      </c>
      <c r="G349" s="1" t="str">
        <f aca="false">IF($F349&lt;&gt;"",_xlfn.CONCAT(VLOOKUP($CE349, Constants!$T:$U, 2, FALSE()),",",$F349),VLOOKUP($CE349, Constants!$T:$U, 2, FALSE()))</f>
        <v>role/passenger</v>
      </c>
      <c r="H349" s="1" t="str">
        <f aca="false">IF($G349&lt;&gt;"",_xlfn.CONCAT(VLOOKUP($CG349, Constants!$M:$P, 4, FALSE()),",",$G349),VLOOKUP($CG349, Constants!$M:$P, 4, FALSE()))</f>
        <v>flag/GB,power/electric,role/passenger</v>
      </c>
      <c r="I349" s="1" t="s">
        <v>241</v>
      </c>
      <c r="J349" s="1" t="s">
        <v>466</v>
      </c>
      <c r="K349" s="1" t="s">
        <v>388</v>
      </c>
      <c r="L349" s="1" t="s">
        <v>389</v>
      </c>
      <c r="M349" s="1" t="n">
        <v>2002</v>
      </c>
      <c r="N349" s="1" t="n">
        <v>2006</v>
      </c>
      <c r="P349" s="1" t="n">
        <v>4</v>
      </c>
      <c r="Q349" s="1" t="n">
        <v>2080</v>
      </c>
      <c r="Z349" s="1" t="n">
        <v>170</v>
      </c>
      <c r="AB349" s="1" t="n">
        <v>5</v>
      </c>
      <c r="AC349" s="1" t="n">
        <v>180</v>
      </c>
      <c r="AD349" s="4" t="n">
        <f aca="false">IF(AND(Z349&gt;0,AC349&gt;0),(AC349/((Z349+AA349)*10)),"")</f>
        <v>0.105882352941176</v>
      </c>
      <c r="AE349" s="1" t="n">
        <v>100</v>
      </c>
      <c r="AF349" s="1" t="n">
        <f aca="false">ROUND(AE349*1.6, 0)</f>
        <v>160</v>
      </c>
      <c r="AH349" s="1" t="n">
        <v>20.4</v>
      </c>
      <c r="AI349" s="1" t="n">
        <v>20.4</v>
      </c>
      <c r="AJ349" s="1" t="n">
        <v>2.8</v>
      </c>
      <c r="AL349" s="5" t="n">
        <v>69</v>
      </c>
      <c r="AM349" s="1" t="str">
        <f aca="false">CONCATENATE(VLOOKUP(AN349, 'Voxel Sizes'!$A$2:$B$18,2,FALSE()),"x",INT(AJ349*15), "x", INT(AK349*15))</f>
        <v>198x42x0</v>
      </c>
      <c r="AN349" s="1" t="n">
        <f aca="false">ROUND(15*((AI349*10)/256),0)</f>
        <v>12</v>
      </c>
      <c r="AP349" s="1" t="str">
        <f aca="false">CONCATENATE(VLOOKUP(AN349,Constants!$A$2:$C$16,IF(AO349&lt;&gt;"", 3, 2), FALSE()),IF(AO349&lt;&gt;"",CONCATENATE(",",VLOOKUP(AO349,$B:$AP,41,FALSE())),""))</f>
        <v>4,4,4</v>
      </c>
      <c r="AT349" s="1" t="s">
        <v>1310</v>
      </c>
      <c r="AV349" s="1" t="s">
        <v>966</v>
      </c>
      <c r="AZ349" s="1" t="n">
        <v>28</v>
      </c>
      <c r="BA349" s="16" t="str">
        <f aca="false">IF(O349&lt;&gt;"",MAX(16,(O349-M349)+8),"")</f>
        <v/>
      </c>
      <c r="BB349" s="1" t="n">
        <v>-15</v>
      </c>
      <c r="BC349" s="1" t="n">
        <v>-30</v>
      </c>
      <c r="BD349" s="1" t="n">
        <f aca="false">MIN(AE349/150, 1)*30</f>
        <v>20</v>
      </c>
      <c r="BE349" s="1" t="n">
        <f aca="false">MIN(Q349/4000, 1)*20</f>
        <v>10.4</v>
      </c>
      <c r="BF349" s="1" t="n">
        <f aca="false">MIN(AC349/400,1)*20</f>
        <v>9</v>
      </c>
      <c r="BG349" s="4" t="n">
        <f aca="false">1-(MAX(M349-1900, 0)/750)</f>
        <v>0.864</v>
      </c>
      <c r="BH349" s="1" t="n">
        <f aca="false">((MAX($P349,1)*MIN($AL349/300,1)))*IF(J349="Wagon",50,10)</f>
        <v>9.2</v>
      </c>
      <c r="BI349" s="1" t="n">
        <f aca="false">VLOOKUP($K349,Constants!$I:$K, 2, FALSE())</f>
        <v>0.85</v>
      </c>
      <c r="BJ349" s="1" t="n">
        <f aca="false">VLOOKUP($K349,Constants!$I:$K, 3, FALSE())*IF(AND(J349="multiple_unit",AE349&lt;110),0.75,1)</f>
        <v>1.725</v>
      </c>
      <c r="BK349" s="1" t="n">
        <f aca="false">INT(POWER(((Constants!$G$2+$BD349+$BE349+$BF349+$BH349)*$BG349)*$BJ349, 1.05))+$BC349</f>
        <v>69</v>
      </c>
      <c r="BL349" s="1" t="n">
        <f aca="false">INT(POWER((((Constants!$G$1+$BD349+$BE349+$BF349+$BH349)*($BG349))*$BI349),IF($J349="wagon",1,1.2)))+$BB349</f>
        <v>85</v>
      </c>
      <c r="BM349" s="17" t="n">
        <f aca="false">BK349*IF($J349="wagon",62.5,781.25)</f>
        <v>53906.25</v>
      </c>
      <c r="BN349" s="17" t="n">
        <f aca="false">BL349*IF($J349="wagon",2.73,81.25)</f>
        <v>6906.25</v>
      </c>
      <c r="BU349" s="1" t="str">
        <f aca="false">IF(J349="locomotive","B","")</f>
        <v/>
      </c>
      <c r="BV349" s="1" t="str">
        <f aca="false">IF(OR($J349="locomotive",$J349="wagon"),"B","")</f>
        <v/>
      </c>
      <c r="BY349" s="1" t="n">
        <v>3</v>
      </c>
      <c r="BZ349" s="1" t="n">
        <v>185</v>
      </c>
      <c r="CC349" s="1" t="s">
        <v>367</v>
      </c>
      <c r="CD349" s="1" t="str">
        <f aca="false">VLOOKUP(M349,Eras!$A$2:$C$10, 2, TRUE())</f>
        <v>prv</v>
      </c>
      <c r="CE349" s="1" t="s">
        <v>858</v>
      </c>
      <c r="CF349" s="1" t="str">
        <f aca="false">CONCATENATE(CD349,"_",CE349)</f>
        <v>prv_EMU</v>
      </c>
      <c r="CG349" s="1" t="str">
        <f aca="false">_xlfn.CONCAT(K349, "_",L349)</f>
        <v>electric_ELRL</v>
      </c>
      <c r="CH349" s="7" t="str">
        <f aca="false">_xlfn.CONCAT("{BLACK}Length: {GOLD}", TEXT(ROUNDUP(IF(AS349&lt;&gt;"",SUM(VALUE(_xlfn.TEXTSPLIT(AS349, ","))), SUM(VALUE(_xlfn.TEXTSPLIT(AP349, ",")))*IF(P349, P349, 1))/16, 1), "#,##0.0"), " tiles{}")</f>
        <v>{BLACK}Length: {GOLD}3.0 tiles{}</v>
      </c>
      <c r="CI349" s="1" t="str">
        <f aca="false">IF(0, VLOOKUP($CG349, Constants!$M:$N, 2, FALSE()),"")</f>
        <v/>
      </c>
      <c r="CJ349" s="1" t="str">
        <f aca="false">IF(P349&gt;1,_xlfn.CONCAT("{BLACK}Cars: {GOLD}", P349),"")</f>
        <v>{BLACK}Cars: {GOLD}4</v>
      </c>
      <c r="CK349" s="1" t="s">
        <v>1311</v>
      </c>
      <c r="CL349" s="1" t="str">
        <f aca="false">IF($BX349="concept_trains","{GREEN}Concept Vehicle",IF($BX349="!param_no_gameplay_units","{GREEN}Included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
      </c>
      <c r="CN349" s="1" t="str">
        <f aca="false">_xlfn.CONCAT(CI349,IF(CI349&lt;&gt;""," ",""),CJ349,IF(OR(CJ349&lt;&gt;"",CI349&lt;&gt;""),"{}",""),CH349,CM349,"{SILVER}",CK349,IF(CL349&lt;&gt;"","{}{}",""),CL349)</f>
        <v>{BLACK}Cars: {GOLD}4{}{BLACK}Length: {GOLD}3.0 tiles{}{SILVER}The Class 360 is an AC version of the Desiro family of units, ordered to replace slam-door stock on the Great Eastern Main Line.</v>
      </c>
    </row>
    <row r="350" customFormat="false" ht="14.25" hidden="false" customHeight="false" outlineLevel="0" collapsed="false">
      <c r="A350" s="1" t="s">
        <v>1312</v>
      </c>
      <c r="B350" s="15" t="s">
        <v>1313</v>
      </c>
      <c r="C350" s="1" t="n">
        <v>270</v>
      </c>
      <c r="E350" s="1" t="n">
        <v>414</v>
      </c>
      <c r="G350" s="1" t="str">
        <f aca="false">IF($F350&lt;&gt;"",_xlfn.CONCAT(VLOOKUP($CE350, Constants!$T:$U, 2, FALSE()),",",$F350),VLOOKUP($CE350, Constants!$T:$U, 2, FALSE()))</f>
        <v>role/passenger</v>
      </c>
      <c r="H350" s="1" t="str">
        <f aca="false">IF($G350&lt;&gt;"",_xlfn.CONCAT(VLOOKUP($CG350, Constants!$M:$P, 4, FALSE()),",",$G350),VLOOKUP($CG350, Constants!$M:$P, 4, FALSE()))</f>
        <v>flag/GB,power/electric,role/passenger</v>
      </c>
      <c r="I350" s="1" t="s">
        <v>241</v>
      </c>
      <c r="J350" s="1" t="s">
        <v>466</v>
      </c>
      <c r="K350" s="1" t="s">
        <v>388</v>
      </c>
      <c r="L350" s="1" t="s">
        <v>541</v>
      </c>
      <c r="M350" s="1" t="n">
        <v>2003</v>
      </c>
      <c r="N350" s="1" t="n">
        <v>2006</v>
      </c>
      <c r="P350" s="1" t="n">
        <v>4</v>
      </c>
      <c r="Q350" s="1" t="n">
        <v>2010</v>
      </c>
      <c r="Z350" s="1" t="n">
        <v>170</v>
      </c>
      <c r="AB350" s="1" t="n">
        <v>5</v>
      </c>
      <c r="AC350" s="1" t="n">
        <v>180</v>
      </c>
      <c r="AD350" s="4" t="n">
        <f aca="false">IF(AND(Z350&gt;0,AC350&gt;0),(AC350/((Z350+AA350)*10)),"")</f>
        <v>0.105882352941176</v>
      </c>
      <c r="AE350" s="1" t="n">
        <v>100</v>
      </c>
      <c r="AF350" s="1" t="n">
        <f aca="false">ROUND(AE350*1.6, 0)</f>
        <v>160</v>
      </c>
      <c r="AH350" s="1" t="n">
        <v>20.4</v>
      </c>
      <c r="AI350" s="1" t="n">
        <v>20.4</v>
      </c>
      <c r="AJ350" s="1" t="n">
        <v>2.8</v>
      </c>
      <c r="AL350" s="5" t="n">
        <v>66</v>
      </c>
      <c r="AM350" s="1" t="str">
        <f aca="false">CONCATENATE(VLOOKUP(AN350, 'Voxel Sizes'!$A$2:$B$18,2,FALSE()),"x",INT(AJ350*15), "x", INT(AK350*15))</f>
        <v>198x42x0</v>
      </c>
      <c r="AN350" s="1" t="n">
        <f aca="false">ROUND(15*((AI350*10)/256),0)</f>
        <v>12</v>
      </c>
      <c r="AP350" s="1" t="str">
        <f aca="false">CONCATENATE(VLOOKUP(AN350,Constants!$A$2:$C$16,IF(AO350&lt;&gt;"", 3, 2), FALSE()),IF(AO350&lt;&gt;"",CONCATENATE(",",VLOOKUP(AO350,$B:$AP,41,FALSE())),""))</f>
        <v>4,4,4</v>
      </c>
      <c r="AT350" s="1" t="s">
        <v>1314</v>
      </c>
      <c r="AV350" s="1" t="s">
        <v>966</v>
      </c>
      <c r="AZ350" s="1" t="n">
        <v>28</v>
      </c>
      <c r="BA350" s="16" t="str">
        <f aca="false">IF(O350&lt;&gt;"",MAX(16,(O350-M350)+8),"")</f>
        <v/>
      </c>
      <c r="BB350" s="1" t="n">
        <v>-16</v>
      </c>
      <c r="BC350" s="1" t="n">
        <v>-28</v>
      </c>
      <c r="BD350" s="1" t="n">
        <f aca="false">MIN(AE350/150, 1)*30</f>
        <v>20</v>
      </c>
      <c r="BE350" s="1" t="n">
        <f aca="false">MIN(Q350/4000, 1)*20</f>
        <v>10.05</v>
      </c>
      <c r="BF350" s="1" t="n">
        <f aca="false">MIN(AC350/400,1)*20</f>
        <v>9</v>
      </c>
      <c r="BG350" s="4" t="n">
        <f aca="false">1-(MAX(M350-1900, 0)/750)</f>
        <v>0.862666666666667</v>
      </c>
      <c r="BH350" s="1" t="n">
        <f aca="false">((MAX($P350,1)*MIN($AL350/300,1)))*IF(J350="Wagon",50,10)</f>
        <v>8.8</v>
      </c>
      <c r="BI350" s="1" t="n">
        <f aca="false">VLOOKUP($K350,Constants!$I:$K, 2, FALSE())</f>
        <v>0.85</v>
      </c>
      <c r="BJ350" s="1" t="n">
        <f aca="false">VLOOKUP($K350,Constants!$I:$K, 3, FALSE())*IF(AND(J350="multiple_unit",AE350&lt;110),0.75,1)</f>
        <v>1.725</v>
      </c>
      <c r="BK350" s="1" t="n">
        <f aca="false">INT(POWER(((Constants!$G$2+$BD350+$BE350+$BF350+$BH350)*$BG350)*$BJ350, 1.05))+$BC350</f>
        <v>69</v>
      </c>
      <c r="BL350" s="1" t="n">
        <f aca="false">INT(POWER((((Constants!$G$1+$BD350+$BE350+$BF350+$BH350)*($BG350))*$BI350),IF($J350="wagon",1,1.2)))+$BB350</f>
        <v>83</v>
      </c>
      <c r="BM350" s="17" t="n">
        <f aca="false">BK350*IF($J350="wagon",62.5,781.25)</f>
        <v>53906.25</v>
      </c>
      <c r="BN350" s="17" t="n">
        <f aca="false">BL350*IF($J350="wagon",2.73,81.25)</f>
        <v>6743.75</v>
      </c>
      <c r="BT350" s="1" t="s">
        <v>1315</v>
      </c>
      <c r="BU350" s="1" t="str">
        <f aca="false">IF(J350="locomotive","B","")</f>
        <v/>
      </c>
      <c r="BV350" s="1" t="str">
        <f aca="false">IF(OR($J350="locomotive",$J350="wagon"),"B","")</f>
        <v/>
      </c>
      <c r="BY350" s="1" t="n">
        <v>1</v>
      </c>
      <c r="BZ350" s="1" t="n">
        <v>185</v>
      </c>
      <c r="CC350" s="1" t="s">
        <v>367</v>
      </c>
      <c r="CD350" s="1" t="str">
        <f aca="false">VLOOKUP(M350,Eras!$A$2:$C$10, 2, TRUE())</f>
        <v>prv</v>
      </c>
      <c r="CE350" s="1" t="s">
        <v>858</v>
      </c>
      <c r="CF350" s="1" t="str">
        <f aca="false">CONCATENATE(CD350,"_",CE350)</f>
        <v>prv_EMU</v>
      </c>
      <c r="CG350" s="1" t="str">
        <f aca="false">_xlfn.CONCAT(K350, "_",L350)</f>
        <v>electric_THIRD_RAIL</v>
      </c>
      <c r="CH350" s="7" t="str">
        <f aca="false">_xlfn.CONCAT("{BLACK}Length: {GOLD}", TEXT(ROUNDUP(IF(AS350&lt;&gt;"",SUM(VALUE(_xlfn.TEXTSPLIT(AS350, ","))), SUM(VALUE(_xlfn.TEXTSPLIT(AP350, ",")))*IF(P350, P350, 1))/16, 1), "#,##0.0"), " tiles{}")</f>
        <v>{BLACK}Length: {GOLD}3.0 tiles{}</v>
      </c>
      <c r="CI350" s="1" t="str">
        <f aca="false">IF(0, VLOOKUP($CG350, Constants!$M:$N, 2, FALSE()),"")</f>
        <v/>
      </c>
      <c r="CJ350" s="1" t="str">
        <f aca="false">IF(P350&gt;1,_xlfn.CONCAT("{BLACK}Cars: {GOLD}", P350),"")</f>
        <v>{BLACK}Cars: {GOLD}4</v>
      </c>
      <c r="CK350" s="1" t="s">
        <v>1316</v>
      </c>
      <c r="CL350" s="1" t="str">
        <f aca="false">IF($BX350="concept_trains","{GREEN}Concept Vehicle",IF($BX350="!param_no_gameplay_units","{GREEN}Included for gameplay purposes",""))</f>
        <v/>
      </c>
      <c r="CM350" s="1" t="str">
        <f aca="false">IF(CA350="buffet","{YELLOW}25% long distance bonus for consist{}",IF(CC350="BRAKE","{YELLOW}Speed bonus for slow wagons{}",IF(BZ350&gt;190,CONCATENATE("{YELLOW}",INT((BZ350-185)/1.85),"% bonus for long distance travel{}"),IF(AND(BZ350&lt;180,BZ350&lt;&gt;0),CONCATENATE("{YELLOW}",INT((185-BZ350)/1.85),"% penalty for long distance travel{}"),""))))</f>
        <v/>
      </c>
      <c r="CN350" s="1" t="str">
        <f aca="false">_xlfn.CONCAT(CI350,IF(CI350&lt;&gt;""," ",""),CJ350,IF(OR(CJ350&lt;&gt;"",CI350&lt;&gt;""),"{}",""),CH350,CM350,"{SILVER}",CK350,IF(CL350&lt;&gt;"","{}{}",""),CL350)</f>
        <v>{BLACK}Cars: {GOLD}4{}{BLACK}Length: {GOLD}3.0 tiles{}{SILVER}The Class 450 was designed for South West Trains to replace all slam-door stock. The large order meant the Class 450 became the most numerous type of Desiro unit in the UK.</v>
      </c>
    </row>
    <row r="351" customFormat="false" ht="14.25" hidden="false" customHeight="false" outlineLevel="0" collapsed="false">
      <c r="A351" s="1" t="s">
        <v>1317</v>
      </c>
      <c r="B351" s="15" t="s">
        <v>1315</v>
      </c>
      <c r="C351" s="1" t="n">
        <v>271</v>
      </c>
      <c r="E351" s="1" t="n">
        <v>415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241</v>
      </c>
      <c r="J351" s="1" t="s">
        <v>466</v>
      </c>
      <c r="K351" s="1" t="s">
        <v>388</v>
      </c>
      <c r="L351" s="1" t="s">
        <v>541</v>
      </c>
      <c r="M351" s="1" t="n">
        <v>2004</v>
      </c>
      <c r="P351" s="1" t="n">
        <v>5</v>
      </c>
      <c r="Q351" s="1" t="n">
        <v>2680</v>
      </c>
      <c r="Z351" s="1" t="n">
        <v>227</v>
      </c>
      <c r="AB351" s="1" t="n">
        <v>5</v>
      </c>
      <c r="AC351" s="1" t="n">
        <v>210</v>
      </c>
      <c r="AD351" s="4" t="n">
        <f aca="false">IF(AND(Z351&gt;0,AC351&gt;0),(AC351/((Z351+AA351)*10)),"")</f>
        <v>0.092511013215859</v>
      </c>
      <c r="AE351" s="1" t="n">
        <v>100</v>
      </c>
      <c r="AF351" s="1" t="n">
        <f aca="false">ROUND(AE351*1.6, 0)</f>
        <v>160</v>
      </c>
      <c r="AH351" s="1" t="n">
        <v>23</v>
      </c>
      <c r="AI351" s="1" t="n">
        <v>23</v>
      </c>
      <c r="AJ351" s="1" t="n">
        <v>2.8</v>
      </c>
      <c r="AL351" s="5" t="n">
        <v>66</v>
      </c>
      <c r="AM351" s="1" t="str">
        <f aca="false">CONCATENATE(VLOOKUP(AN351, 'Voxel Sizes'!$A$2:$B$18,2,FALSE()),"x",INT(AJ351*15), "x", INT(AK351*15))</f>
        <v>214x42x0</v>
      </c>
      <c r="AN351" s="1" t="n">
        <f aca="false">ROUND(15*((AI351*10)/256),0)</f>
        <v>13</v>
      </c>
      <c r="AP351" s="1" t="str">
        <f aca="false">CONCATENATE(VLOOKUP(AN351,Constants!$A$2:$C$16,IF(AO351&lt;&gt;"", 3, 2), FALSE()),IF(AO351&lt;&gt;"",CONCATENATE(",",VLOOKUP(AO351,$B:$AP,41,FALSE())),""))</f>
        <v>4,5,4</v>
      </c>
      <c r="AT351" s="1" t="s">
        <v>1318</v>
      </c>
      <c r="AV351" s="1" t="s">
        <v>912</v>
      </c>
      <c r="AZ351" s="1" t="n">
        <v>28</v>
      </c>
      <c r="BA351" s="16" t="str">
        <f aca="false">IF(O351&lt;&gt;"",MAX(16,(O351-M351)+8),"")</f>
        <v/>
      </c>
      <c r="BB351" s="1" t="n">
        <v>-15</v>
      </c>
      <c r="BC351" s="1" t="n">
        <v>-35</v>
      </c>
      <c r="BD351" s="1" t="n">
        <f aca="false">MIN(AE351/150, 1)*30</f>
        <v>20</v>
      </c>
      <c r="BE351" s="1" t="n">
        <f aca="false">MIN(Q351/4000, 1)*20</f>
        <v>13.4</v>
      </c>
      <c r="BF351" s="1" t="n">
        <f aca="false">MIN(AC351/400,1)*20</f>
        <v>10.5</v>
      </c>
      <c r="BG351" s="4" t="n">
        <f aca="false">1-(MAX(M351-1900, 0)/750)</f>
        <v>0.861333333333333</v>
      </c>
      <c r="BH351" s="1" t="n">
        <f aca="false">((MAX($P351,1)*MIN($AL351/300,1)))*IF(J351="Wagon",50,10)</f>
        <v>11</v>
      </c>
      <c r="BI351" s="1" t="n">
        <f aca="false">VLOOKUP($K351,Constants!$I:$K, 2, FALSE())</f>
        <v>0.85</v>
      </c>
      <c r="BJ351" s="1" t="n">
        <f aca="false">VLOOKUP($K351,Constants!$I:$K, 3, FALSE())*IF(AND(J351="multiple_unit",AE351&lt;110),0.75,1)</f>
        <v>1.725</v>
      </c>
      <c r="BK351" s="1" t="n">
        <f aca="false">INT(POWER(((Constants!$G$2+$BD351+$BE351+$BF351+$BH351)*$BG351)*$BJ351, 1.05))+$BC351</f>
        <v>76</v>
      </c>
      <c r="BL351" s="1" t="n">
        <f aca="false">INT(POWER((((Constants!$G$1+$BD351+$BE351+$BF351+$BH351)*($BG351))*$BI351),IF($J351="wagon",1,1.2)))+$BB351</f>
        <v>97</v>
      </c>
      <c r="BM351" s="17" t="n">
        <f aca="false">BK351*IF($J351="wagon",62.5,781.25)</f>
        <v>59375</v>
      </c>
      <c r="BN351" s="17" t="n">
        <f aca="false">BL351*IF($J351="wagon",2.73,81.25)</f>
        <v>7881.25</v>
      </c>
      <c r="BT351" s="1" t="s">
        <v>1313</v>
      </c>
      <c r="BU351" s="1" t="str">
        <f aca="false">IF(J351="locomotive","B","")</f>
        <v/>
      </c>
      <c r="BV351" s="1" t="str">
        <f aca="false">IF(OR($J351="locomotive",$J351="wagon"),"B","")</f>
        <v/>
      </c>
      <c r="BX351" s="1" t="s">
        <v>1247</v>
      </c>
      <c r="BY351" s="1" t="n">
        <v>3</v>
      </c>
      <c r="BZ351" s="1" t="n">
        <v>205</v>
      </c>
      <c r="CC351" s="1" t="s">
        <v>367</v>
      </c>
      <c r="CD351" s="1" t="str">
        <f aca="false">VLOOKUP(M351,Eras!$A$2:$C$10, 2, TRUE())</f>
        <v>prv</v>
      </c>
      <c r="CE351" s="1" t="s">
        <v>913</v>
      </c>
      <c r="CF351" s="1" t="str">
        <f aca="false">CONCATENATE(CD351,"_",CE351)</f>
        <v>prv_EMU (Express)</v>
      </c>
      <c r="CG351" s="1" t="str">
        <f aca="false">_xlfn.CONCAT(K351, "_",L351)</f>
        <v>electric_THIRD_RAIL</v>
      </c>
      <c r="CH351" s="7" t="str">
        <f aca="false">_xlfn.CONCAT("{BLACK}Length: {GOLD}", TEXT(ROUNDUP(IF(AS351&lt;&gt;"",SUM(VALUE(_xlfn.TEXTSPLIT(AS351, ","))), SUM(VALUE(_xlfn.TEXTSPLIT(AP351, ",")))*IF(P351, P351, 1))/16, 1), "#,##0.0"), " tiles{}")</f>
        <v>{BLACK}Length: {GOLD}4.1 tiles{}</v>
      </c>
      <c r="CI351" s="1" t="str">
        <f aca="false">IF(0, VLOOKUP($CG351, Constants!$M:$N, 2, FALSE()),"")</f>
        <v/>
      </c>
      <c r="CJ351" s="1" t="str">
        <f aca="false">IF(P351&gt;1,_xlfn.CONCAT("{BLACK}Cars: {GOLD}", P351),"")</f>
        <v>{BLACK}Cars: {GOLD}5</v>
      </c>
      <c r="CK351" s="1" t="s">
        <v>1319</v>
      </c>
      <c r="CL351" s="1" t="str">
        <f aca="false">IF($BX351="concept_trains","{GREEN}Concept Vehicle",IF($BX351="!param_no_gameplay_units","{GREEN}Included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{YELLOW}10% bonus for long distance travel{}</v>
      </c>
      <c r="CN351" s="1" t="str">
        <f aca="false">_xlfn.CONCAT(CI351,IF(CI351&lt;&gt;""," ",""),CJ351,IF(OR(CJ351&lt;&gt;"",CI351&lt;&gt;""),"{}",""),CH351,CM351,"{SILVER}",CK351,IF(CL351&lt;&gt;"","{}{}",""),CL351)</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52" customFormat="false" ht="14.25" hidden="false" customHeight="false" outlineLevel="0" collapsed="false">
      <c r="A352" s="1" t="s">
        <v>1317</v>
      </c>
      <c r="B352" s="15" t="s">
        <v>1320</v>
      </c>
      <c r="C352" s="1" t="n">
        <v>272</v>
      </c>
      <c r="E352" s="1" t="n">
        <v>416</v>
      </c>
      <c r="G352" s="1" t="str">
        <f aca="false">IF($F352&lt;&gt;"",_xlfn.CONCAT(VLOOKUP($CE352, Constants!$T:$U, 2, FALSE()),",",$F352),VLOOKUP($CE352, Constants!$T:$U, 2, FALSE()))</f>
        <v>role/express_passenger</v>
      </c>
      <c r="H352" s="1" t="str">
        <f aca="false">IF($G352&lt;&gt;"",_xlfn.CONCAT(VLOOKUP($CG352, Constants!$M:$P, 4, FALSE()),",",$G352),VLOOKUP($CG352, Constants!$M:$P, 4, FALSE()))</f>
        <v>flag/GB,power/electric,role/express_passenger</v>
      </c>
      <c r="I352" s="1" t="s">
        <v>241</v>
      </c>
      <c r="J352" s="1" t="s">
        <v>466</v>
      </c>
      <c r="K352" s="1" t="s">
        <v>388</v>
      </c>
      <c r="L352" s="1" t="s">
        <v>541</v>
      </c>
      <c r="M352" s="1" t="n">
        <v>2004</v>
      </c>
      <c r="P352" s="1" t="n">
        <v>4</v>
      </c>
      <c r="Q352" s="1" t="n">
        <v>2680</v>
      </c>
      <c r="Z352" s="1" t="n">
        <f aca="false">227/5*4</f>
        <v>181.6</v>
      </c>
      <c r="AB352" s="1" t="n">
        <v>5</v>
      </c>
      <c r="AC352" s="1" t="n">
        <v>210</v>
      </c>
      <c r="AD352" s="4" t="n">
        <f aca="false">IF(AND(Z352&gt;0,AC352&gt;0),(AC352/((Z352+AA352)*10)),"")</f>
        <v>0.115638766519824</v>
      </c>
      <c r="AE352" s="1" t="n">
        <v>100</v>
      </c>
      <c r="AF352" s="1" t="n">
        <f aca="false">ROUND(AE352*1.6, 0)</f>
        <v>160</v>
      </c>
      <c r="AH352" s="1" t="n">
        <v>23</v>
      </c>
      <c r="AI352" s="1" t="n">
        <v>23</v>
      </c>
      <c r="AJ352" s="1" t="n">
        <v>2.8</v>
      </c>
      <c r="AL352" s="5" t="n">
        <v>66</v>
      </c>
      <c r="AM352" s="1" t="str">
        <f aca="false">CONCATENATE(VLOOKUP(AN352, 'Voxel Sizes'!$A$2:$B$18,2,FALSE()),"x",INT(AJ352*15), "x", INT(AK352*15))</f>
        <v>214x42x0</v>
      </c>
      <c r="AN352" s="1" t="n">
        <f aca="false">ROUND(15*((AI352*10)/256),0)</f>
        <v>13</v>
      </c>
      <c r="AP352" s="1" t="str">
        <f aca="false">CONCATENATE(VLOOKUP(AN352,Constants!$A$2:$C$16,IF(AO352&lt;&gt;"", 3, 2), FALSE()),IF(AO352&lt;&gt;"",CONCATENATE(",",VLOOKUP(AO352,$B:$AP,41,FALSE())),""))</f>
        <v>4,5,4</v>
      </c>
      <c r="AT352" s="1" t="s">
        <v>1321</v>
      </c>
      <c r="AV352" s="1" t="s">
        <v>834</v>
      </c>
      <c r="AW352" s="1" t="s">
        <v>1315</v>
      </c>
      <c r="AZ352" s="1" t="n">
        <v>28</v>
      </c>
      <c r="BA352" s="16" t="str">
        <f aca="false">IF(O352&lt;&gt;"",MAX(16,(O352-M352)+8),"")</f>
        <v/>
      </c>
      <c r="BB352" s="1" t="n">
        <v>-15</v>
      </c>
      <c r="BC352" s="1" t="n">
        <v>-35</v>
      </c>
      <c r="BD352" s="1" t="n">
        <f aca="false">MIN(AE352/150, 1)*30</f>
        <v>20</v>
      </c>
      <c r="BE352" s="1" t="n">
        <f aca="false">MIN(Q352/4000, 1)*20</f>
        <v>13.4</v>
      </c>
      <c r="BF352" s="1" t="n">
        <f aca="false">MIN(AC352/400,1)*20</f>
        <v>10.5</v>
      </c>
      <c r="BG352" s="4" t="n">
        <f aca="false">1-(MAX(M352-1900, 0)/750)</f>
        <v>0.861333333333333</v>
      </c>
      <c r="BH352" s="1" t="n">
        <f aca="false">((MAX($P352,1)*MIN($AL352/300,1)))*IF(J352="Wagon",50,10)</f>
        <v>8.8</v>
      </c>
      <c r="BI352" s="1" t="n">
        <f aca="false">VLOOKUP($K352,Constants!$I:$K, 2, FALSE())</f>
        <v>0.85</v>
      </c>
      <c r="BJ352" s="1" t="n">
        <f aca="false">VLOOKUP($K352,Constants!$I:$K, 3, FALSE())*IF(AND(J352="multiple_unit",AE352&lt;110),0.75,1)</f>
        <v>1.725</v>
      </c>
      <c r="BK352" s="1" t="n">
        <f aca="false">INT(POWER(((Constants!$G$2+$BD352+$BE352+$BF352+$BH352)*$BG352)*$BJ352, 1.05))+$BC352</f>
        <v>72</v>
      </c>
      <c r="BL352" s="1" t="n">
        <f aca="false">INT(POWER((((Constants!$G$1+$BD352+$BE352+$BF352+$BH352)*($BG352))*$BI352),IF($J352="wagon",1,1.2)))+$BB352</f>
        <v>93</v>
      </c>
      <c r="BM352" s="17" t="n">
        <f aca="false">BK352*IF($J352="wagon",62.5,781.25)</f>
        <v>56250</v>
      </c>
      <c r="BN352" s="17" t="n">
        <f aca="false">BL352*IF($J352="wagon",2.73,81.25)</f>
        <v>7556.25</v>
      </c>
      <c r="BT352" s="1" t="s">
        <v>1313</v>
      </c>
      <c r="BU352" s="1" t="str">
        <f aca="false">IF(J352="locomotive","B","")</f>
        <v/>
      </c>
      <c r="BV352" s="1" t="str">
        <f aca="false">IF(OR($J352="locomotive",$J352="wagon"),"B","")</f>
        <v/>
      </c>
      <c r="BX352" s="1" t="s">
        <v>1252</v>
      </c>
      <c r="BY352" s="1" t="n">
        <v>4</v>
      </c>
      <c r="BZ352" s="1" t="n">
        <v>205</v>
      </c>
      <c r="CC352" s="1" t="s">
        <v>367</v>
      </c>
      <c r="CD352" s="1" t="str">
        <f aca="false">VLOOKUP(M352,Eras!$A$2:$C$10, 2, TRUE())</f>
        <v>prv</v>
      </c>
      <c r="CE352" s="1" t="s">
        <v>913</v>
      </c>
      <c r="CF352" s="1" t="str">
        <f aca="false">CONCATENATE(CD352,"_",CE352)</f>
        <v>prv_EMU (Express)</v>
      </c>
      <c r="CG352" s="1" t="str">
        <f aca="false">_xlfn.CONCAT(K352, "_",L352)</f>
        <v>electric_THIRD_RAIL</v>
      </c>
      <c r="CH352" s="7" t="str">
        <f aca="false">_xlfn.CONCAT("{BLACK}Length: {GOLD}", TEXT(ROUNDUP(IF(AS352&lt;&gt;"",SUM(VALUE(_xlfn.TEXTSPLIT(AS352, ","))), SUM(VALUE(_xlfn.TEXTSPLIT(AP352, ",")))*IF(P352, P352, 1))/16, 1), "#,##0.0"), " tiles{}")</f>
        <v>{BLACK}Length: {GOLD}3.3 tiles{}</v>
      </c>
      <c r="CI352" s="1" t="str">
        <f aca="false">IF(0, VLOOKUP($CG352, Constants!$M:$N, 2, FALSE()),"")</f>
        <v/>
      </c>
      <c r="CJ352" s="1" t="str">
        <f aca="false">IF(P352&gt;1,_xlfn.CONCAT("{BLACK}Cars: {GOLD}", P352),"")</f>
        <v>{BLACK}Cars: {GOLD}4</v>
      </c>
      <c r="CK352" s="1" t="s">
        <v>1319</v>
      </c>
      <c r="CL352" s="1" t="str">
        <f aca="false">IF($BX352="concept_trains","{GREEN}Concept Vehicle",IF($BX352="!param_no_gameplay_units","{GREEN}Included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{YELLOW}10% bonus for long distance travel{}</v>
      </c>
      <c r="CN352" s="1" t="str">
        <f aca="false">_xlfn.CONCAT(CI352,IF(CI352&lt;&gt;""," ",""),CJ352,IF(OR(CJ352&lt;&gt;"",CI352&lt;&gt;""),"{}",""),CH352,CM352,"{SILVER}",CK352,IF(CL352&lt;&gt;"","{}{}",""),CL352)</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53" customFormat="false" ht="14.25" hidden="false" customHeight="false" outlineLevel="0" collapsed="false">
      <c r="A353" s="1" t="s">
        <v>1322</v>
      </c>
      <c r="B353" s="19" t="s">
        <v>1323</v>
      </c>
      <c r="C353" s="1" t="n">
        <v>1053</v>
      </c>
      <c r="E353" s="1" t="n">
        <v>417</v>
      </c>
      <c r="G353" s="1" t="str">
        <f aca="false">IF($F353&lt;&gt;"",_xlfn.CONCAT(VLOOKUP($CE353, Constants!$T:$U, 2, FALSE()),",",$F353),VLOOKUP($CE353, Constants!$T:$U, 2, FALSE()))</f>
        <v>role/passenger</v>
      </c>
      <c r="H353" s="1" t="str">
        <f aca="false">IF($G353&lt;&gt;"",_xlfn.CONCAT(VLOOKUP($CG353, Constants!$M:$P, 4, FALSE()),",",$G353),VLOOKUP($CG353, Constants!$M:$P, 4, FALSE()))</f>
        <v>flag/GB,power/diesel,role/passenger</v>
      </c>
      <c r="I353" s="1" t="s">
        <v>241</v>
      </c>
      <c r="J353" s="1" t="s">
        <v>466</v>
      </c>
      <c r="K353" s="1" t="s">
        <v>525</v>
      </c>
      <c r="L353" s="1" t="s">
        <v>192</v>
      </c>
      <c r="M353" s="1" t="n">
        <v>2005</v>
      </c>
      <c r="N353" s="1" t="n">
        <v>2006</v>
      </c>
      <c r="P353" s="1" t="n">
        <v>3</v>
      </c>
      <c r="Q353" s="1" t="n">
        <f aca="false">750*3</f>
        <v>2250</v>
      </c>
      <c r="Z353" s="1" t="n">
        <v>169</v>
      </c>
      <c r="AB353" s="1" t="n">
        <v>5</v>
      </c>
      <c r="AC353" s="1" t="n">
        <v>185</v>
      </c>
      <c r="AD353" s="4" t="n">
        <f aca="false">IF(AND(Z353&gt;0,AC353&gt;0),(AC353/((Z353+AA353)*10)),"")</f>
        <v>0.109467455621302</v>
      </c>
      <c r="AE353" s="1" t="n">
        <v>100</v>
      </c>
      <c r="AF353" s="1" t="n">
        <f aca="false">ROUND(AE353*1.6, 0)</f>
        <v>160</v>
      </c>
      <c r="AH353" s="1" t="n">
        <v>20.4</v>
      </c>
      <c r="AI353" s="1" t="n">
        <v>20.4</v>
      </c>
      <c r="AJ353" s="1" t="n">
        <v>2.8</v>
      </c>
      <c r="AL353" s="5" t="n">
        <v>60</v>
      </c>
      <c r="AM353" s="1" t="str">
        <f aca="false">CONCATENATE(VLOOKUP(AN353, 'Voxel Sizes'!$A$2:$B$18,2,FALSE()),"x",INT(AJ353*15), "x", INT(AK353*15))</f>
        <v>198x42x0</v>
      </c>
      <c r="AN353" s="16" t="n">
        <f aca="false">ROUND(15*((AI353*10)/256),0)</f>
        <v>12</v>
      </c>
      <c r="AP353" s="1" t="str">
        <f aca="false">CONCATENATE(VLOOKUP(AN353,Constants!$A$2:$C$16,IF(AO353&lt;&gt;"", 3, 2), FALSE()),IF(AO353&lt;&gt;"",CONCATENATE(",",VLOOKUP(AO353,$B:$AP,41,FALSE())),""))</f>
        <v>4,4,4</v>
      </c>
      <c r="AQ353" s="1" t="n">
        <v>4</v>
      </c>
      <c r="AT353" s="1" t="s">
        <v>1324</v>
      </c>
      <c r="AV353" s="1" t="s">
        <v>468</v>
      </c>
      <c r="AZ353" s="1" t="n">
        <v>28</v>
      </c>
      <c r="BA353" s="16" t="str">
        <f aca="false">IF(O353&lt;&gt;"",MAX(16,(O353-M353)+8),"")</f>
        <v/>
      </c>
      <c r="BB353" s="1" t="n">
        <v>-12</v>
      </c>
      <c r="BC353" s="1" t="n">
        <v>-30</v>
      </c>
      <c r="BD353" s="20" t="n">
        <f aca="false">MIN(AE353/150, 1)*30</f>
        <v>20</v>
      </c>
      <c r="BE353" s="20" t="n">
        <f aca="false">MIN(Q353/4000, 1)*20</f>
        <v>11.25</v>
      </c>
      <c r="BF353" s="20" t="n">
        <f aca="false">MIN(AC353/400,1)*20</f>
        <v>9.25</v>
      </c>
      <c r="BG353" s="21" t="n">
        <f aca="false">1-(MAX(M353-1900, 0)/750)</f>
        <v>0.86</v>
      </c>
      <c r="BH353" s="20" t="n">
        <f aca="false">((MAX($P353,1)*MIN($AL353/300,1)))*IF(J353="Wagon",50,10)</f>
        <v>6</v>
      </c>
      <c r="BI353" s="1" t="n">
        <f aca="false">VLOOKUP($K353,Constants!$I:$K, 2, FALSE())</f>
        <v>1</v>
      </c>
      <c r="BJ353" s="1" t="n">
        <f aca="false">VLOOKUP($K353,Constants!$I:$K, 3, FALSE())*IF(AND(J353="multiple_unit",AE353&lt;110),0.75,1)</f>
        <v>1.5</v>
      </c>
      <c r="BK353" s="1" t="n">
        <f aca="false">INT(POWER(((Constants!$G$2+$BD353+$BE353+$BF353+$BH353)*$BG353)*$BJ353, 1.05))+$BC353</f>
        <v>51</v>
      </c>
      <c r="BL353" s="1" t="n">
        <f aca="false">INT(POWER((((Constants!$G$1+$BD353+$BE353+$BF353+$BH353)*($BG353))*$BI353),IF($J353="wagon",1,1.2)))+$BB353</f>
        <v>104</v>
      </c>
      <c r="BM353" s="22" t="n">
        <f aca="false">BK353*IF($J353="wagon",62.5,781.25)</f>
        <v>39843.75</v>
      </c>
      <c r="BN353" s="22" t="n">
        <f aca="false">BL353*IF($J353="wagon",2.73,81.25)</f>
        <v>8450</v>
      </c>
      <c r="BU353" s="1" t="str">
        <f aca="false">IF(J353="locomotive","B","")</f>
        <v/>
      </c>
      <c r="BV353" s="1" t="str">
        <f aca="false">IF(OR($J353="locomotive",$J353="wagon"),"B","")</f>
        <v/>
      </c>
      <c r="BY353" s="1" t="n">
        <v>3</v>
      </c>
      <c r="BZ353" s="1" t="n">
        <v>185</v>
      </c>
      <c r="CB353" s="1" t="s">
        <v>366</v>
      </c>
      <c r="CC353" s="1" t="s">
        <v>367</v>
      </c>
      <c r="CD353" s="23" t="s">
        <v>799</v>
      </c>
      <c r="CE353" s="1" t="s">
        <v>858</v>
      </c>
      <c r="CF353" s="23" t="str">
        <f aca="false">CONCATENATE(CD353,"_",CE353)</f>
        <v>mod_EMU</v>
      </c>
      <c r="CG353" s="23" t="str">
        <f aca="false">_xlfn.CONCAT(K353, "_",L353)</f>
        <v>diesel_RAIL</v>
      </c>
      <c r="CH353" s="7" t="str">
        <f aca="false">_xlfn.CONCAT("{BLACK}Length: {GOLD}", TEXT(ROUNDUP(IF(AS353&lt;&gt;"",SUM(VALUE(_xlfn.TEXTSPLIT(AS353, ","))), SUM(VALUE(_xlfn.TEXTSPLIT(AP353, ",")))*IF(P353, P353, 1))/16, 1), "#,##0.0"), " tiles{}")</f>
        <v>{BLACK}Length: {GOLD}2.3 tiles{}</v>
      </c>
      <c r="CI353" s="1" t="str">
        <f aca="false">IF(0, VLOOKUP($CG353, Constants!$M:$N, 2, FALSE()),"")</f>
        <v/>
      </c>
      <c r="CJ353" s="1" t="str">
        <f aca="false">IF(P353&gt;1,_xlfn.CONCAT("{BLACK}Cars: {GOLD}", P353),"")</f>
        <v>{BLACK}Cars: {GOLD}3</v>
      </c>
      <c r="CK353" s="1" t="s">
        <v>1325</v>
      </c>
      <c r="CL353" s="1" t="str">
        <f aca="false">IF($BX353="concept_trains","{GREEN}Concept Vehicle",IF($BX353="!param_no_gameplay_units","{GREEN}Included for gameplay purposes",""))</f>
        <v/>
      </c>
      <c r="CM353" s="1" t="str">
        <f aca="false">IF(CA353="buffet","{YELLOW}25% long distance bonus for consist{}",IF(CB353="DANDY","{YELLOW}Faster downhill speeds for horse-drawn trains (1 required per 2 horses){}",IF(CB353="BRAKE","{YELLOW}Speed bonus for slow wagons{}",IF(CB353="NGPassengers","{YELLOW}Preserved railway bonus: passengers pay more when hauled by old locomotives{}",IF(AND(BZ353&gt;190,NOT(AND(L353="NARROW_GAUGE",CB353&lt;&gt;"PASS"))),CONCATENATE("{YELLOW}",INT((BZ353-185)/1.85),"%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{GOLD}3{}{BLACK}Length: {GOLD}2.3 tiles{}{SILVER}The Class 185 is a diesel version of the Siemens Desiro family. Each car has its own 6 cylinder engine, giving the unit high acceleration.</v>
      </c>
    </row>
    <row r="354" customFormat="false" ht="14.25" hidden="false" customHeight="false" outlineLevel="0" collapsed="false">
      <c r="A354" s="1" t="s">
        <v>1326</v>
      </c>
      <c r="B354" s="15" t="s">
        <v>1327</v>
      </c>
      <c r="C354" s="1" t="n">
        <v>273</v>
      </c>
      <c r="E354" s="1" t="n">
        <v>418</v>
      </c>
      <c r="G354" s="1" t="str">
        <f aca="false">IF($F354&lt;&gt;"",_xlfn.CONCAT(VLOOKUP($CE354, Constants!$T:$U, 2, FALSE()),",",$F354),VLOOKUP($CE354, Constants!$T:$U, 2, FALSE()))</f>
        <v>role/passenger</v>
      </c>
      <c r="H354" s="1" t="str">
        <f aca="false">IF($G354&lt;&gt;"",_xlfn.CONCAT(VLOOKUP($CG354, Constants!$M:$P, 4, FALSE()),",",$G354),VLOOKUP($CG354, Constants!$M:$P, 4, FALSE()))</f>
        <v>flag/GB,power/diesel,role/passenger</v>
      </c>
      <c r="I354" s="1" t="s">
        <v>241</v>
      </c>
      <c r="J354" s="1" t="s">
        <v>466</v>
      </c>
      <c r="K354" s="1" t="s">
        <v>1328</v>
      </c>
      <c r="L354" s="1" t="s">
        <v>192</v>
      </c>
      <c r="M354" s="1" t="n">
        <v>2009</v>
      </c>
      <c r="P354" s="1" t="n">
        <v>1</v>
      </c>
      <c r="Q354" s="1" t="n">
        <v>86</v>
      </c>
      <c r="Z354" s="1" t="n">
        <v>12</v>
      </c>
      <c r="AB354" s="1" t="n">
        <v>5</v>
      </c>
      <c r="AC354" s="1" t="n">
        <v>35</v>
      </c>
      <c r="AD354" s="4" t="n">
        <f aca="false">IF(AND(Z354&gt;0,AC354&gt;0),(AC354/((Z354+AA354)*10)),"")</f>
        <v>0.291666666666667</v>
      </c>
      <c r="AE354" s="1" t="n">
        <v>35</v>
      </c>
      <c r="AF354" s="1" t="n">
        <f aca="false">ROUND(AE354*1.6, 0)</f>
        <v>56</v>
      </c>
      <c r="AH354" s="1" t="n">
        <v>9.6</v>
      </c>
      <c r="AI354" s="1" t="n">
        <v>9.6</v>
      </c>
      <c r="AJ354" s="1" t="n">
        <v>2.4</v>
      </c>
      <c r="AK354" s="1" t="n">
        <v>3.2</v>
      </c>
      <c r="AL354" s="5" t="n">
        <v>42</v>
      </c>
      <c r="AM354" s="1" t="str">
        <f aca="false">CONCATENATE(VLOOKUP(AN354, 'Voxel Sizes'!$A$2:$B$18,2,FALSE()),"x",INT(AJ354*15), "x", INT(AK354*15))</f>
        <v>102x36x48</v>
      </c>
      <c r="AN354" s="1" t="n">
        <f aca="false">ROUND(15*((AI354*10)/256),0)</f>
        <v>6</v>
      </c>
      <c r="AP354" s="1" t="str">
        <f aca="false">CONCATENATE(VLOOKUP(AN354,Constants!$A$2:$C$16,IF(AO354&lt;&gt;"", 3, 2), FALSE()),IF(AO354&lt;&gt;"",CONCATENATE(",",VLOOKUP(AO354,$B:$AP,41,FALSE())),""))</f>
        <v>2,2,2</v>
      </c>
      <c r="AT354" s="1" t="s">
        <v>1327</v>
      </c>
      <c r="AV354" s="1" t="n">
        <v>1</v>
      </c>
      <c r="AZ354" s="1" t="n">
        <v>28</v>
      </c>
      <c r="BA354" s="16" t="str">
        <f aca="false">IF(O354&lt;&gt;"",MAX(16,(O354-M354)+8),"")</f>
        <v/>
      </c>
      <c r="BD354" s="1" t="n">
        <f aca="false">MIN(AE354/150, 1)*30</f>
        <v>7</v>
      </c>
      <c r="BE354" s="1" t="n">
        <f aca="false">MIN(Q354/4000, 1)*20</f>
        <v>0.43</v>
      </c>
      <c r="BF354" s="1" t="n">
        <f aca="false">MIN(AC354/400,1)*20</f>
        <v>1.75</v>
      </c>
      <c r="BG354" s="4" t="n">
        <f aca="false">1-(MAX(M354-1900, 0)/750)</f>
        <v>0.854666666666667</v>
      </c>
      <c r="BH354" s="1" t="n">
        <f aca="false">((MAX($P354,1)*MIN($AL354/300,1)))*IF(J354="Wagon",50,10)</f>
        <v>1.4</v>
      </c>
      <c r="BI354" s="1" t="n">
        <f aca="false">VLOOKUP($K354,Constants!$I:$K, 2, FALSE())</f>
        <v>0.98</v>
      </c>
      <c r="BJ354" s="1" t="n">
        <f aca="false">VLOOKUP($K354,Constants!$I:$K, 3, FALSE())*IF(AND(J354="multiple_unit",AE354&lt;110),0.75,1)</f>
        <v>1.41</v>
      </c>
      <c r="BK354" s="1" t="n">
        <f aca="false">INT(POWER(((Constants!$G$2+$BD354+$BE354+$BF354+$BH354)*$BG354)*$BJ354, 1.05))+$BC354</f>
        <v>21</v>
      </c>
      <c r="BL354" s="1" t="n">
        <f aca="false">INT(POWER((((Constants!$G$1+$BD354+$BE354+$BF354+$BH354)*($BG354))*$BI354),IF($J354="wagon",1,1.2)))+$BB354</f>
        <v>39</v>
      </c>
      <c r="BM354" s="17" t="n">
        <f aca="false">BK354*IF($J354="wagon",62.5,781.25)</f>
        <v>16406.25</v>
      </c>
      <c r="BN354" s="17" t="n">
        <f aca="false">BL354*IF($J354="wagon",2.73,81.25)</f>
        <v>3168.75</v>
      </c>
      <c r="BU354" s="1" t="str">
        <f aca="false">IF(J354="locomotive","B","")</f>
        <v/>
      </c>
      <c r="BV354" s="1" t="str">
        <f aca="false">IF(OR($J354="locomotive",$J354="wagon"),"B","")</f>
        <v/>
      </c>
      <c r="BY354" s="1" t="n">
        <v>6</v>
      </c>
      <c r="CC354" s="1" t="s">
        <v>367</v>
      </c>
      <c r="CD354" s="1" t="str">
        <f aca="false">VLOOKUP(M354,Eras!$A$2:$C$10, 2, TRUE())</f>
        <v>mod</v>
      </c>
      <c r="CE354" s="1" t="s">
        <v>805</v>
      </c>
      <c r="CF354" s="1" t="str">
        <f aca="false">CONCATENATE(CD354,"_",CE354)</f>
        <v>mod_DMU (Cheap)</v>
      </c>
      <c r="CG354" s="1" t="str">
        <f aca="false">_xlfn.CONCAT(K354, "_",L354)</f>
        <v>lpgflywheel_RAIL</v>
      </c>
      <c r="CH354" s="7" t="str">
        <f aca="false">_xlfn.CONCAT("{BLACK}Length: {GOLD}", TEXT(ROUNDUP(IF(AS354&lt;&gt;"",SUM(VALUE(_xlfn.TEXTSPLIT(AS354, ","))), SUM(VALUE(_xlfn.TEXTSPLIT(AP354, ",")))*IF(P354, P354, 1))/16, 1), "#,##0.0"), " tiles{}")</f>
        <v>{BLACK}Length: {GOLD}0.4 tiles{}</v>
      </c>
      <c r="CI354" s="1" t="str">
        <f aca="false">IF(0, VLOOKUP($CG354, Constants!$M:$N, 2, FALSE()),"")</f>
        <v/>
      </c>
      <c r="CJ354" s="1" t="str">
        <f aca="false">IF(P354&gt;1,_xlfn.CONCAT("{BLACK}Cars: {GOLD}", P354),"")</f>
        <v/>
      </c>
      <c r="CK354" s="1" t="s">
        <v>1329</v>
      </c>
      <c r="CL354" s="1" t="str">
        <f aca="false">IF($BX354="concept_trains","{GREEN}Concept Vehicle",IF($BX354="!param_no_gameplay_units","{GREEN}Included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{BLACK}Length: {GOLD}0.4 tiles{}{SILVER}The Parry People Mover PPM60 uses a small LPG engine with a flywheel to capture energy from braking. The units are currently used on the Stourbridge Town Branch Line, where they are limited to 20mph.</v>
      </c>
    </row>
    <row r="355" customFormat="false" ht="14.25" hidden="false" customHeight="false" outlineLevel="0" collapsed="false">
      <c r="A355" s="1" t="s">
        <v>1330</v>
      </c>
      <c r="B355" s="15" t="s">
        <v>1331</v>
      </c>
      <c r="C355" s="1" t="n">
        <v>274</v>
      </c>
      <c r="E355" s="1" t="n">
        <v>419</v>
      </c>
      <c r="G355" s="1" t="str">
        <f aca="false">IF($F355&lt;&gt;"",_xlfn.CONCAT(VLOOKUP($CE355, Constants!$T:$U, 2, FALSE()),",",$F355),VLOOKUP($CE355, Constants!$T:$U, 2, FALSE()))</f>
        <v>role/express_passenger</v>
      </c>
      <c r="H355" s="1" t="str">
        <f aca="false">IF($G355&lt;&gt;"",_xlfn.CONCAT(VLOOKUP($CG355, Constants!$M:$P, 4, FALSE()),",",$G355),VLOOKUP($CG355, Constants!$M:$P, 4, FALSE()))</f>
        <v>flag/GB,power/electric,role/express_passenger</v>
      </c>
      <c r="I355" s="1" t="s">
        <v>241</v>
      </c>
      <c r="J355" s="1" t="s">
        <v>466</v>
      </c>
      <c r="K355" s="1" t="s">
        <v>710</v>
      </c>
      <c r="L355" s="1" t="s">
        <v>753</v>
      </c>
      <c r="M355" s="1" t="n">
        <v>2007</v>
      </c>
      <c r="N355" s="1" t="n">
        <v>2009</v>
      </c>
      <c r="P355" s="1" t="n">
        <v>6</v>
      </c>
      <c r="Q355" s="1" t="n">
        <f aca="false">16*280</f>
        <v>4480</v>
      </c>
      <c r="R355" s="2" t="n">
        <v>2800</v>
      </c>
      <c r="Z355" s="1" t="n">
        <v>265</v>
      </c>
      <c r="AB355" s="1" t="n">
        <v>4</v>
      </c>
      <c r="AC355" s="1" t="n">
        <v>210</v>
      </c>
      <c r="AD355" s="4" t="n">
        <f aca="false">IF(AND(Z355&gt;0,AC355&gt;0),(AC355/((Z355+AA355)*10)),"")</f>
        <v>0.0792452830188679</v>
      </c>
      <c r="AE355" s="1" t="n">
        <v>140</v>
      </c>
      <c r="AF355" s="1" t="n">
        <f aca="false">ROUND(AE355*1.6, 0)</f>
        <v>224</v>
      </c>
      <c r="AG355" s="1" t="n">
        <v>160</v>
      </c>
      <c r="AH355" s="1" t="n">
        <v>20.88</v>
      </c>
      <c r="AI355" s="1" t="n">
        <v>20.88</v>
      </c>
      <c r="AK355" s="1" t="n">
        <v>3.82</v>
      </c>
      <c r="AL355" s="5" t="n">
        <v>57</v>
      </c>
      <c r="AM355" s="1" t="str">
        <f aca="false">CONCATENATE(VLOOKUP(AN355, 'Voxel Sizes'!$A$2:$B$18,2,FALSE()),"x",INT(AJ355*15), "x", INT(AK355*15))</f>
        <v>198x0x57</v>
      </c>
      <c r="AN355" s="1" t="n">
        <f aca="false">ROUND(15*((AI355*10)/256),0)</f>
        <v>12</v>
      </c>
      <c r="AP355" s="1" t="str">
        <f aca="false">CONCATENATE(VLOOKUP(AN355,Constants!$A$2:$C$16,IF(AO355&lt;&gt;"", 3, 2), FALSE()),IF(AO355&lt;&gt;"",CONCATENATE(",",VLOOKUP(AO355,$B:$AP,41,FALSE())),""))</f>
        <v>4,4,4</v>
      </c>
      <c r="AT355" s="1" t="s">
        <v>1332</v>
      </c>
      <c r="AV355" s="1" t="s">
        <v>1013</v>
      </c>
      <c r="AZ355" s="1" t="n">
        <v>30</v>
      </c>
      <c r="BA355" s="16" t="str">
        <f aca="false">IF(O355&lt;&gt;"",MAX(16,(O355-M355)+8),"")</f>
        <v/>
      </c>
      <c r="BB355" s="1" t="n">
        <v>-15</v>
      </c>
      <c r="BC355" s="1" t="n">
        <v>-30</v>
      </c>
      <c r="BD355" s="1" t="n">
        <f aca="false">MIN(AE355/150, 1)*30</f>
        <v>28</v>
      </c>
      <c r="BE355" s="1" t="n">
        <f aca="false">MIN(Q355/4000, 1)*20</f>
        <v>20</v>
      </c>
      <c r="BF355" s="1" t="n">
        <f aca="false">MIN(AC355/400,1)*20</f>
        <v>10.5</v>
      </c>
      <c r="BG355" s="4" t="n">
        <f aca="false">1-(MAX(M355-1900, 0)/750)</f>
        <v>0.857333333333333</v>
      </c>
      <c r="BH355" s="1" t="n">
        <f aca="false">((MAX($P355,1)*MIN($AL355/300,1)))*IF(J355="Wagon",50,10)</f>
        <v>11.4</v>
      </c>
      <c r="BI355" s="1" t="n">
        <f aca="false">VLOOKUP($K355,Constants!$I:$K, 2, FALSE())</f>
        <v>0.85</v>
      </c>
      <c r="BJ355" s="1" t="n">
        <f aca="false">VLOOKUP($K355,Constants!$I:$K, 3, FALSE())*IF(AND(J355="multiple_unit",AE355&lt;110),0.75,1)</f>
        <v>2.4</v>
      </c>
      <c r="BK355" s="1" t="n">
        <f aca="false">INT(POWER(((Constants!$G$2+$BD355+$BE355+$BF355+$BH355)*$BG355)*$BJ355, 1.05))+$BC355</f>
        <v>168</v>
      </c>
      <c r="BL355" s="1" t="n">
        <f aca="false">INT(POWER((((Constants!$G$1+$BD355+$BE355+$BF355+$BH355)*($BG355))*$BI355),IF($J355="wagon",1,1.2)))+$BB355</f>
        <v>126</v>
      </c>
      <c r="BM355" s="17" t="n">
        <f aca="false">BK355*IF($J355="wagon",62.5,781.25)</f>
        <v>131250</v>
      </c>
      <c r="BN355" s="17" t="n">
        <f aca="false">BL355*IF($J355="wagon",2.73,81.25)</f>
        <v>10237.5</v>
      </c>
      <c r="BU355" s="1" t="str">
        <f aca="false">IF(J355="locomotive","B","")</f>
        <v/>
      </c>
      <c r="BV355" s="1" t="str">
        <f aca="false">IF(OR($J355="locomotive",$J355="wagon"),"B","")</f>
        <v/>
      </c>
      <c r="BX355" s="1" t="s">
        <v>1247</v>
      </c>
      <c r="BY355" s="1" t="n">
        <v>5</v>
      </c>
      <c r="BZ355" s="1" t="n">
        <v>205</v>
      </c>
      <c r="CC355" s="1" t="s">
        <v>367</v>
      </c>
      <c r="CD355" s="1" t="str">
        <f aca="false">VLOOKUP(M355,Eras!$A$2:$C$10, 2, TRUE())</f>
        <v>mod</v>
      </c>
      <c r="CE355" s="1" t="s">
        <v>913</v>
      </c>
      <c r="CF355" s="1" t="str">
        <f aca="false">CONCATENATE(CD355,"_",CE355)</f>
        <v>mod_EMU (Express)</v>
      </c>
      <c r="CG355" s="1" t="str">
        <f aca="false">_xlfn.CONCAT(K355, "_",L355)</f>
        <v>dual_electric_DUAL_POWER</v>
      </c>
      <c r="CH355" s="7" t="str">
        <f aca="false">_xlfn.CONCAT("{BLACK}Length: {GOLD}", TEXT(ROUNDUP(IF(AS355&lt;&gt;"",SUM(VALUE(_xlfn.TEXTSPLIT(AS355, ","))), SUM(VALUE(_xlfn.TEXTSPLIT(AP355, ",")))*IF(P355, P355, 1))/16, 1), "#,##0.0"), " tiles{}")</f>
        <v>{BLACK}Length: {GOLD}4.5 tiles{}</v>
      </c>
      <c r="CI355" s="1" t="str">
        <f aca="false">IF(0, VLOOKUP($CG355, Constants!$M:$N, 2, FALSE()),"")</f>
        <v/>
      </c>
      <c r="CJ355" s="1" t="str">
        <f aca="false">IF(P355&gt;1,_xlfn.CONCAT("{BLACK}Cars: {GOLD}", P355),"")</f>
        <v>{BLACK}Cars: {GOLD}6</v>
      </c>
      <c r="CK355" s="1" t="s">
        <v>1333</v>
      </c>
      <c r="CL355" s="1" t="str">
        <f aca="false">IF($BX355="concept_trains","{GREEN}Concept Vehicle",IF($BX355="!param_no_gameplay_units","{GREEN}Included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{YELLOW}10% bonus for long distance travel{}</v>
      </c>
      <c r="CN355" s="1" t="str">
        <f aca="false">_xlfn.CONCAT(CI355,IF(CI355&lt;&gt;""," ",""),CJ355,IF(OR(CJ355&lt;&gt;"",CI355&lt;&gt;""),"{}",""),CH355,CM355,"{SILVER}",CK355,IF(CL355&lt;&gt;"","{}{}",""),CL355)</f>
        <v>{BLACK}Cars: {GOLD}6{}{BLACK}Length: {GOLD}4.5 tiles{}{YELLOW}10% bonus for long distance travel{}{SILVER}The Class 395 is a dedicated high speed unit built for the HS1 high speed route. It is part of Hitachi's AT300 series.</v>
      </c>
    </row>
    <row r="356" customFormat="false" ht="14.25" hidden="false" customHeight="false" outlineLevel="0" collapsed="false">
      <c r="A356" s="1" t="s">
        <v>1330</v>
      </c>
      <c r="B356" s="15" t="s">
        <v>1334</v>
      </c>
      <c r="C356" s="1" t="n">
        <v>275</v>
      </c>
      <c r="E356" s="1" t="n">
        <v>420</v>
      </c>
      <c r="G356" s="1" t="str">
        <f aca="false">IF($F356&lt;&gt;"",_xlfn.CONCAT(VLOOKUP($CE356, Constants!$T:$U, 2, FALSE()),",",$F356),VLOOKUP($CE356, Constants!$T:$U, 2, FALSE()))</f>
        <v>role/express_passenger</v>
      </c>
      <c r="H356" s="1" t="str">
        <f aca="false">IF($G356&lt;&gt;"",_xlfn.CONCAT(VLOOKUP($CG356, Constants!$M:$P, 4, FALSE()),",",$G356),VLOOKUP($CG356, Constants!$M:$P, 4, FALSE()))</f>
        <v>flag/GB,power/electric,role/express_passenger</v>
      </c>
      <c r="I356" s="1" t="s">
        <v>241</v>
      </c>
      <c r="J356" s="1" t="s">
        <v>466</v>
      </c>
      <c r="K356" s="1" t="s">
        <v>710</v>
      </c>
      <c r="L356" s="1" t="s">
        <v>753</v>
      </c>
      <c r="M356" s="1" t="n">
        <v>2007</v>
      </c>
      <c r="N356" s="1" t="n">
        <v>2009</v>
      </c>
      <c r="P356" s="1" t="n">
        <v>5</v>
      </c>
      <c r="Q356" s="1" t="n">
        <f aca="false">16*280</f>
        <v>4480</v>
      </c>
      <c r="R356" s="2" t="n">
        <v>2800</v>
      </c>
      <c r="Z356" s="1" t="n">
        <v>265</v>
      </c>
      <c r="AB356" s="1" t="n">
        <v>4</v>
      </c>
      <c r="AC356" s="1" t="n">
        <v>210</v>
      </c>
      <c r="AD356" s="4" t="n">
        <f aca="false">IF(AND(Z356&gt;0,AC356&gt;0),(AC356/((Z356+AA356)*10)),"")</f>
        <v>0.0792452830188679</v>
      </c>
      <c r="AE356" s="1" t="n">
        <v>140</v>
      </c>
      <c r="AF356" s="1" t="n">
        <f aca="false">ROUND(AE356*1.6, 0)</f>
        <v>224</v>
      </c>
      <c r="AG356" s="1" t="n">
        <v>160</v>
      </c>
      <c r="AH356" s="1" t="n">
        <v>20.88</v>
      </c>
      <c r="AI356" s="1" t="n">
        <v>20.88</v>
      </c>
      <c r="AK356" s="1" t="n">
        <v>3.82</v>
      </c>
      <c r="AL356" s="5" t="n">
        <v>57</v>
      </c>
      <c r="AM356" s="1" t="str">
        <f aca="false">CONCATENATE(VLOOKUP(AN356, 'Voxel Sizes'!$A$2:$B$18,2,FALSE()),"x",INT(AJ356*15), "x", INT(AK356*15))</f>
        <v>198x0x57</v>
      </c>
      <c r="AN356" s="1" t="n">
        <f aca="false">ROUND(15*((AI356*10)/256),0)</f>
        <v>12</v>
      </c>
      <c r="AP356" s="1" t="str">
        <f aca="false">CONCATENATE(VLOOKUP(AN356,Constants!$A$2:$C$16,IF(AO356&lt;&gt;"", 3, 2), FALSE()),IF(AO356&lt;&gt;"",CONCATENATE(",",VLOOKUP(AO356,$B:$AP,41,FALSE())),""))</f>
        <v>4,4,4</v>
      </c>
      <c r="AT356" s="1" t="s">
        <v>1335</v>
      </c>
      <c r="AV356" s="1" t="s">
        <v>889</v>
      </c>
      <c r="AW356" s="1" t="s">
        <v>1331</v>
      </c>
      <c r="AZ356" s="1" t="n">
        <v>30</v>
      </c>
      <c r="BA356" s="16" t="str">
        <f aca="false">IF(O356&lt;&gt;"",MAX(16,(O356-M356)+8),"")</f>
        <v/>
      </c>
      <c r="BB356" s="1" t="n">
        <v>-15</v>
      </c>
      <c r="BC356" s="1" t="n">
        <v>-30</v>
      </c>
      <c r="BD356" s="1" t="n">
        <f aca="false">MIN(AE356/150, 1)*30</f>
        <v>28</v>
      </c>
      <c r="BE356" s="1" t="n">
        <f aca="false">MIN(Q356/4000, 1)*20</f>
        <v>20</v>
      </c>
      <c r="BF356" s="1" t="n">
        <f aca="false">MIN(AC356/400,1)*20</f>
        <v>10.5</v>
      </c>
      <c r="BG356" s="4" t="n">
        <f aca="false">1-(MAX(M356-1900, 0)/750)</f>
        <v>0.857333333333333</v>
      </c>
      <c r="BH356" s="1" t="n">
        <f aca="false">((MAX($P356,1)*MIN($AL356/300,1)))*IF(J356="Wagon",50,10)</f>
        <v>9.5</v>
      </c>
      <c r="BI356" s="1" t="n">
        <f aca="false">VLOOKUP($K356,Constants!$I:$K, 2, FALSE())</f>
        <v>0.85</v>
      </c>
      <c r="BJ356" s="1" t="n">
        <f aca="false">VLOOKUP($K356,Constants!$I:$K, 3, FALSE())*IF(AND(J356="multiple_unit",AE356&lt;110),0.75,1)</f>
        <v>2.4</v>
      </c>
      <c r="BK356" s="1" t="n">
        <f aca="false">INT(POWER(((Constants!$G$2+$BD356+$BE356+$BF356+$BH356)*$BG356)*$BJ356, 1.05))+$BC356</f>
        <v>162</v>
      </c>
      <c r="BL356" s="1" t="n">
        <f aca="false">INT(POWER((((Constants!$G$1+$BD356+$BE356+$BF356+$BH356)*($BG356))*$BI356),IF($J356="wagon",1,1.2)))+$BB356</f>
        <v>122</v>
      </c>
      <c r="BM356" s="17" t="n">
        <f aca="false">BK356*IF($J356="wagon",62.5,781.25)</f>
        <v>126562.5</v>
      </c>
      <c r="BN356" s="17" t="n">
        <f aca="false">BL356*IF($J356="wagon",2.73,81.25)</f>
        <v>9912.5</v>
      </c>
      <c r="BU356" s="1" t="str">
        <f aca="false">IF(J356="locomotive","B","")</f>
        <v/>
      </c>
      <c r="BV356" s="1" t="str">
        <f aca="false">IF(OR($J356="locomotive",$J356="wagon"),"B","")</f>
        <v/>
      </c>
      <c r="BX356" s="1" t="s">
        <v>1252</v>
      </c>
      <c r="BY356" s="1" t="n">
        <v>5</v>
      </c>
      <c r="BZ356" s="1" t="n">
        <v>205</v>
      </c>
      <c r="CC356" s="1" t="s">
        <v>367</v>
      </c>
      <c r="CD356" s="1" t="str">
        <f aca="false">VLOOKUP(M356,Eras!$A$2:$C$10, 2, TRUE())</f>
        <v>mod</v>
      </c>
      <c r="CE356" s="1" t="s">
        <v>913</v>
      </c>
      <c r="CF356" s="1" t="str">
        <f aca="false">CONCATENATE(CD356,"_",CE356)</f>
        <v>mod_EMU (Express)</v>
      </c>
      <c r="CG356" s="1" t="str">
        <f aca="false">_xlfn.CONCAT(K356, "_",L356)</f>
        <v>dual_electric_DUAL_POWER</v>
      </c>
      <c r="CH356" s="7" t="str">
        <f aca="false">_xlfn.CONCAT("{BLACK}Length: {GOLD}", TEXT(ROUNDUP(IF(AS356&lt;&gt;"",SUM(VALUE(_xlfn.TEXTSPLIT(AS356, ","))), SUM(VALUE(_xlfn.TEXTSPLIT(AP356, ",")))*IF(P356, P356, 1))/16, 1), "#,##0.0"), " tiles{}")</f>
        <v>{BLACK}Length: {GOLD}3.8 tiles{}</v>
      </c>
      <c r="CI356" s="1" t="str">
        <f aca="false">IF(0, VLOOKUP($CG356, Constants!$M:$N, 2, FALSE()),"")</f>
        <v/>
      </c>
      <c r="CJ356" s="1" t="str">
        <f aca="false">IF(P356&gt;1,_xlfn.CONCAT("{BLACK}Cars: {GOLD}", P356),"")</f>
        <v>{BLACK}Cars: {GOLD}5</v>
      </c>
      <c r="CK356" s="1" t="s">
        <v>1333</v>
      </c>
      <c r="CL356" s="1" t="str">
        <f aca="false">IF($BX356="concept_trains","{GREEN}Concept Vehicle",IF($BX356="!param_no_gameplay_units","{GREEN}Included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{YELLOW}10% bonus for long distance travel{}</v>
      </c>
      <c r="CN356" s="1" t="str">
        <f aca="false">_xlfn.CONCAT(CI356,IF(CI356&lt;&gt;""," ",""),CJ356,IF(OR(CJ356&lt;&gt;"",CI356&lt;&gt;""),"{}",""),CH356,CM356,"{SILVER}",CK356,IF(CL356&lt;&gt;"","{}{}",""),CL356)</f>
        <v>{BLACK}Cars: {GOLD}5{}{BLACK}Length: {GOLD}3.8 tiles{}{YELLOW}10% bonus for long distance travel{}{SILVER}The Class 395 is a dedicated high speed unit built for the HS1 high speed route. It is part of Hitachi's AT300 series.</v>
      </c>
    </row>
    <row r="357" customFormat="false" ht="14.25" hidden="false" customHeight="false" outlineLevel="0" collapsed="false">
      <c r="A357" s="1" t="s">
        <v>1336</v>
      </c>
      <c r="B357" s="15" t="s">
        <v>1337</v>
      </c>
      <c r="C357" s="1" t="n">
        <v>269</v>
      </c>
      <c r="E357" s="1" t="n">
        <v>421</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241</v>
      </c>
      <c r="J357" s="1" t="s">
        <v>466</v>
      </c>
      <c r="K357" s="1" t="s">
        <v>710</v>
      </c>
      <c r="L357" s="1" t="s">
        <v>753</v>
      </c>
      <c r="M357" s="1" t="n">
        <v>2003</v>
      </c>
      <c r="P357" s="1" t="n">
        <v>4</v>
      </c>
      <c r="Q357" s="1" t="n">
        <v>1600</v>
      </c>
      <c r="Z357" s="1" t="n">
        <v>173.6</v>
      </c>
      <c r="AB357" s="1" t="n">
        <v>5</v>
      </c>
      <c r="AC357" s="1" t="n">
        <v>175</v>
      </c>
      <c r="AD357" s="4" t="n">
        <f aca="false">IF(AND(Z357&gt;0,AC357&gt;0),(AC357/((Z357+AA357)*10)),"")</f>
        <v>0.100806451612903</v>
      </c>
      <c r="AE357" s="1" t="n">
        <v>100</v>
      </c>
      <c r="AF357" s="1" t="n">
        <f aca="false">ROUND(AE357*1.6, 0)</f>
        <v>160</v>
      </c>
      <c r="AH357" s="1" t="n">
        <v>20.4</v>
      </c>
      <c r="AI357" s="1" t="n">
        <v>20.4</v>
      </c>
      <c r="AK357" s="1" t="n">
        <v>3.78</v>
      </c>
      <c r="AL357" s="5" t="n">
        <v>60</v>
      </c>
      <c r="AM357" s="1" t="str">
        <f aca="false">CONCATENATE(VLOOKUP(AN357, 'Voxel Sizes'!$A$2:$B$18,2,FALSE()),"x",INT(AJ357*15), "x", INT(AK357*15))</f>
        <v>198x0x56</v>
      </c>
      <c r="AN357" s="1" t="n">
        <f aca="false">ROUND(15*((AI357*10)/256),0)</f>
        <v>12</v>
      </c>
      <c r="AP357" s="1" t="str">
        <f aca="false">CONCATENATE(VLOOKUP(AN357,Constants!$A$2:$C$16,IF(AO357&lt;&gt;"", 3, 2), FALSE()),IF(AO357&lt;&gt;"",CONCATENATE(",",VLOOKUP(AO357,$B:$AP,41,FALSE())),""))</f>
        <v>4,4,4</v>
      </c>
      <c r="AT357" s="1" t="s">
        <v>1338</v>
      </c>
      <c r="AU357" s="1" t="s">
        <v>1339</v>
      </c>
      <c r="AV357" s="1" t="s">
        <v>966</v>
      </c>
      <c r="AZ357" s="1" t="n">
        <v>29</v>
      </c>
      <c r="BA357" s="16" t="str">
        <f aca="false">IF(O357&lt;&gt;"",MAX(16,(O357-M357)+8),"")</f>
        <v/>
      </c>
      <c r="BB357" s="1" t="n">
        <v>-15</v>
      </c>
      <c r="BC357" s="1" t="n">
        <v>-30</v>
      </c>
      <c r="BD357" s="1" t="n">
        <f aca="false">MIN(AE357/150, 1)*30</f>
        <v>20</v>
      </c>
      <c r="BE357" s="1" t="n">
        <f aca="false">MIN(Q357/4000, 1)*20</f>
        <v>8</v>
      </c>
      <c r="BF357" s="1" t="n">
        <f aca="false">MIN(AC357/400,1)*20</f>
        <v>8.75</v>
      </c>
      <c r="BG357" s="4" t="n">
        <f aca="false">1-(MAX(M357-1900, 0)/750)</f>
        <v>0.862666666666667</v>
      </c>
      <c r="BH357" s="1" t="n">
        <f aca="false">((MAX($P357,1)*MIN($AL357/300,1)))*IF(J357="Wagon",50,10)</f>
        <v>8</v>
      </c>
      <c r="BI357" s="1" t="n">
        <f aca="false">VLOOKUP($K357,Constants!$I:$K, 2, FALSE())</f>
        <v>0.85</v>
      </c>
      <c r="BJ357" s="1" t="n">
        <f aca="false">VLOOKUP($K357,Constants!$I:$K, 3, FALSE())*IF(AND(J357="multiple_unit",AE357&lt;110),0.75,1)</f>
        <v>1.8</v>
      </c>
      <c r="BK357" s="1" t="n">
        <f aca="false">INT(POWER(((Constants!$G$2+$BD357+$BE357+$BF357+$BH357)*$BG357)*$BJ357, 1.05))+$BC357</f>
        <v>66</v>
      </c>
      <c r="BL357" s="1" t="n">
        <f aca="false">INT(POWER((((Constants!$G$1+$BD357+$BE357+$BF357+$BH357)*($BG357))*$BI357),IF($J357="wagon",1,1.2)))+$BB357</f>
        <v>78</v>
      </c>
      <c r="BM357" s="17" t="n">
        <f aca="false">BK357*IF($J357="wagon",62.5,781.25)</f>
        <v>51562.5</v>
      </c>
      <c r="BN357" s="17" t="n">
        <f aca="false">BL357*IF($J357="wagon",2.73,81.25)</f>
        <v>6337.5</v>
      </c>
      <c r="BU357" s="1" t="str">
        <f aca="false">IF(J357="locomotive","B","")</f>
        <v/>
      </c>
      <c r="BV357" s="1" t="str">
        <f aca="false">IF(OR($J357="locomotive",$J357="wagon"),"B","")</f>
        <v/>
      </c>
      <c r="BY357" s="1" t="n">
        <v>12</v>
      </c>
      <c r="BZ357" s="1" t="n">
        <v>185</v>
      </c>
      <c r="CC357" s="1" t="s">
        <v>367</v>
      </c>
      <c r="CD357" s="1" t="str">
        <f aca="false">VLOOKUP(M357,Eras!$A$2:$C$10, 2, TRUE())</f>
        <v>prv</v>
      </c>
      <c r="CE357" s="1" t="s">
        <v>858</v>
      </c>
      <c r="CF357" s="1" t="str">
        <f aca="false">CONCATENATE(CD357,"_",CE357)</f>
        <v>prv_EMU</v>
      </c>
      <c r="CG357" s="1" t="str">
        <f aca="false">_xlfn.CONCAT(K357, "_",L357)</f>
        <v>dual_electric_DUAL_POWER</v>
      </c>
      <c r="CH357" s="7" t="str">
        <f aca="false">_xlfn.CONCAT("{BLACK}Length: {GOLD}", TEXT(ROUNDUP(IF(AS357&lt;&gt;"",SUM(VALUE(_xlfn.TEXTSPLIT(AS357, ","))), SUM(VALUE(_xlfn.TEXTSPLIT(AP357, ",")))*IF(P357, P357, 1))/16, 1), "#,##0.0"), " tiles{}")</f>
        <v>{BLACK}Length: {GOLD}3.0 tiles{}</v>
      </c>
      <c r="CI357" s="1" t="str">
        <f aca="false">IF(0, VLOOKUP($CG357, Constants!$M:$N, 2, FALSE()),"")</f>
        <v/>
      </c>
      <c r="CJ357" s="1" t="str">
        <f aca="false">IF(P357&gt;1,_xlfn.CONCAT("{BLACK}Cars: {GOLD}", P357),"")</f>
        <v>{BLACK}Cars: {GOLD}4</v>
      </c>
      <c r="CK357" s="1" t="s">
        <v>1340</v>
      </c>
      <c r="CL357" s="1" t="str">
        <f aca="false">IF($BX357="concept_trains","{GREEN}Concept Vehicle",IF($BX357="!param_no_gameplay_units","{GREEN}Included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{GOLD}4{}{BLACK}Length: {GOLD}3.0 tiles{}{SILVER}The Class 377 is a dual-voltage EMU, and is a common sight around London and South East England.</v>
      </c>
    </row>
    <row r="358" customFormat="false" ht="14.25" hidden="false" customHeight="false" outlineLevel="0" collapsed="false">
      <c r="A358" s="1" t="s">
        <v>1341</v>
      </c>
      <c r="B358" s="15" t="s">
        <v>1342</v>
      </c>
      <c r="C358" s="1" t="n">
        <v>276</v>
      </c>
      <c r="E358" s="1" t="n">
        <v>422</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241</v>
      </c>
      <c r="J358" s="1" t="s">
        <v>466</v>
      </c>
      <c r="K358" s="1" t="s">
        <v>710</v>
      </c>
      <c r="L358" s="1" t="s">
        <v>753</v>
      </c>
      <c r="M358" s="1" t="n">
        <v>2009</v>
      </c>
      <c r="P358" s="1" t="n">
        <v>5</v>
      </c>
      <c r="Q358" s="1" t="n">
        <f aca="false">800*2</f>
        <v>1600</v>
      </c>
      <c r="Z358" s="1" t="n">
        <v>212.8</v>
      </c>
      <c r="AB358" s="1" t="n">
        <v>7</v>
      </c>
      <c r="AC358" s="1" t="n">
        <v>180</v>
      </c>
      <c r="AD358" s="4" t="n">
        <f aca="false">IF(AND(Z358&gt;0,AC358&gt;0),(AC358/((Z358+AA358)*10)),"")</f>
        <v>0.0845864661654135</v>
      </c>
      <c r="AE358" s="1" t="n">
        <v>75</v>
      </c>
      <c r="AF358" s="1" t="n">
        <f aca="false">ROUND(AE358*1.6, 0)</f>
        <v>120</v>
      </c>
      <c r="AH358" s="1" t="n">
        <v>20.4</v>
      </c>
      <c r="AI358" s="1" t="n">
        <v>20.4</v>
      </c>
      <c r="AJ358" s="1" t="n">
        <v>2.8</v>
      </c>
      <c r="AK358" s="1" t="n">
        <v>3.78</v>
      </c>
      <c r="AL358" s="5" t="n">
        <v>90</v>
      </c>
      <c r="AM358" s="1" t="str">
        <f aca="false">CONCATENATE(VLOOKUP(AN358, 'Voxel Sizes'!$A$2:$B$18,2,FALSE()),"x",INT(AJ358*15), "x", INT(AK358*15))</f>
        <v>198x42x56</v>
      </c>
      <c r="AN358" s="1" t="n">
        <f aca="false">ROUND(15*((AI358*10)/256),0)</f>
        <v>12</v>
      </c>
      <c r="AP358" s="1" t="str">
        <f aca="false">CONCATENATE(VLOOKUP(AN358,Constants!$A$2:$C$16,IF(AO358&lt;&gt;"", 3, 2), FALSE()),IF(AO358&lt;&gt;"",CONCATENATE(",",VLOOKUP(AO358,$B:$AP,41,FALSE())),""))</f>
        <v>4,4,4</v>
      </c>
      <c r="AT358" s="1" t="s">
        <v>1343</v>
      </c>
      <c r="AU358" s="1" t="s">
        <v>1344</v>
      </c>
      <c r="AV358" s="1" t="s">
        <v>1143</v>
      </c>
      <c r="AZ358" s="1" t="n">
        <v>30</v>
      </c>
      <c r="BA358" s="16" t="str">
        <f aca="false">IF(O358&lt;&gt;"",MAX(16,(O358-M358)+8),"")</f>
        <v/>
      </c>
      <c r="BB358" s="1" t="n">
        <v>-15</v>
      </c>
      <c r="BC358" s="1" t="n">
        <v>-35</v>
      </c>
      <c r="BD358" s="1" t="n">
        <f aca="false">MIN(AE358/150, 1)*30</f>
        <v>15</v>
      </c>
      <c r="BE358" s="1" t="n">
        <f aca="false">MIN(Q358/4000, 1)*20</f>
        <v>8</v>
      </c>
      <c r="BF358" s="1" t="n">
        <f aca="false">MIN(AC358/400,1)*20</f>
        <v>9</v>
      </c>
      <c r="BG358" s="4" t="n">
        <f aca="false">1-(MAX(M358-1900, 0)/750)</f>
        <v>0.854666666666667</v>
      </c>
      <c r="BH358" s="1" t="n">
        <f aca="false">((MAX($P358,1)*MIN($AL358/300,1)))*IF(J358="Wagon",50,10)</f>
        <v>15</v>
      </c>
      <c r="BI358" s="1" t="n">
        <f aca="false">VLOOKUP($K358,Constants!$I:$K, 2, FALSE())</f>
        <v>0.85</v>
      </c>
      <c r="BJ358" s="1" t="n">
        <f aca="false">VLOOKUP($K358,Constants!$I:$K, 3, FALSE())*IF(AND(J358="multiple_unit",AE358&lt;110),0.75,1)</f>
        <v>1.8</v>
      </c>
      <c r="BK358" s="1" t="n">
        <f aca="false">INT(POWER(((Constants!$G$2+$BD358+$BE358+$BF358+$BH358)*$BG358)*$BJ358, 1.05))+$BC358</f>
        <v>64</v>
      </c>
      <c r="BL358" s="1" t="n">
        <f aca="false">INT(POWER((((Constants!$G$1+$BD358+$BE358+$BF358+$BH358)*($BG358))*$BI358),IF($J358="wagon",1,1.2)))+$BB358</f>
        <v>81</v>
      </c>
      <c r="BM358" s="17" t="n">
        <f aca="false">BK358*IF($J358="wagon",62.5,781.25)</f>
        <v>50000</v>
      </c>
      <c r="BN358" s="17" t="n">
        <f aca="false">BL358*IF($J358="wagon",2.73,81.25)</f>
        <v>6581.25</v>
      </c>
      <c r="BU358" s="1" t="str">
        <f aca="false">IF(J358="locomotive","B","")</f>
        <v/>
      </c>
      <c r="BV358" s="1" t="str">
        <f aca="false">IF(OR($J358="locomotive",$J358="wagon"),"B","")</f>
        <v/>
      </c>
      <c r="BY358" s="1" t="n">
        <v>6</v>
      </c>
      <c r="BZ358" s="1" t="n">
        <v>165</v>
      </c>
      <c r="CC358" s="1" t="s">
        <v>367</v>
      </c>
      <c r="CD358" s="1" t="str">
        <f aca="false">VLOOKUP(M358,Eras!$A$2:$C$10, 2, TRUE())</f>
        <v>mod</v>
      </c>
      <c r="CE358" s="1" t="s">
        <v>858</v>
      </c>
      <c r="CF358" s="1" t="str">
        <f aca="false">CONCATENATE(CD358,"_",CE358)</f>
        <v>mod_EMU</v>
      </c>
      <c r="CG358" s="1" t="str">
        <f aca="false">_xlfn.CONCAT(K358, "_",L358)</f>
        <v>dual_electric_DUAL_POWER</v>
      </c>
      <c r="CH358" s="7" t="str">
        <f aca="false">_xlfn.CONCAT("{BLACK}Length: {GOLD}", TEXT(ROUNDUP(IF(AS358&lt;&gt;"",SUM(VALUE(_xlfn.TEXTSPLIT(AS358, ","))), SUM(VALUE(_xlfn.TEXTSPLIT(AP358, ",")))*IF(P358, P358, 1))/16, 1), "#,##0.0"), " tiles{}")</f>
        <v>{BLACK}Length: {GOLD}3.8 tiles{}</v>
      </c>
      <c r="CI358" s="1" t="str">
        <f aca="false">IF(0, VLOOKUP($CG358, Constants!$M:$N, 2, FALSE()),"")</f>
        <v/>
      </c>
      <c r="CJ358" s="1" t="str">
        <f aca="false">IF(P358&gt;1,_xlfn.CONCAT("{BLACK}Cars: {GOLD}", P358),"")</f>
        <v>{BLACK}Cars: {GOLD}5</v>
      </c>
      <c r="CK358" s="1" t="s">
        <v>1345</v>
      </c>
      <c r="CL358" s="1" t="str">
        <f aca="false">IF($BX358="concept_trains","{GREEN}Concept Vehicle",IF($BX358="!param_no_gameplay_units","{GREEN}Included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penalty for long distance travel{}</v>
      </c>
      <c r="CN358" s="1" t="str">
        <f aca="false">_xlfn.CONCAT(CI358,IF(CI358&lt;&gt;""," ",""),CJ358,IF(OR(CJ358&lt;&gt;"",CI358&lt;&gt;""),"{}",""),CH358,CM358,"{SILVER}",CK358,IF(CL358&lt;&gt;"","{}{}",""),CL358)</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59" s="26" customFormat="true" ht="14.25" hidden="false" customHeight="false" outlineLevel="0" collapsed="false">
      <c r="A359" s="26" t="s">
        <v>1346</v>
      </c>
      <c r="B359" s="27" t="s">
        <v>1347</v>
      </c>
      <c r="C359" s="1" t="n">
        <v>3087</v>
      </c>
      <c r="E359" s="1" t="n">
        <v>423</v>
      </c>
      <c r="G359" s="1" t="str">
        <f aca="false">IF($F359&lt;&gt;"",_xlfn.CONCAT(VLOOKUP($CE359, Constants!$T:$U, 2, FALSE()),",",$F359),VLOOKUP($CE359, Constants!$T:$U, 2, FALSE()))</f>
        <v>role/express_passenger</v>
      </c>
      <c r="H359" s="1" t="str">
        <f aca="false">IF($G359&lt;&gt;"",_xlfn.CONCAT(VLOOKUP($CG359, Constants!$M:$P, 4, FALSE()),",",$G359),VLOOKUP($CG359, Constants!$M:$P, 4, FALSE()))</f>
        <v>flag/GB,power/electric,role/express_passenger</v>
      </c>
      <c r="I359" s="26" t="s">
        <v>241</v>
      </c>
      <c r="J359" s="26" t="s">
        <v>466</v>
      </c>
      <c r="K359" s="26" t="s">
        <v>388</v>
      </c>
      <c r="L359" s="26" t="s">
        <v>389</v>
      </c>
      <c r="M359" s="26" t="n">
        <v>2014</v>
      </c>
      <c r="P359" s="26" t="n">
        <v>16</v>
      </c>
      <c r="Q359" s="26" t="n">
        <v>21000</v>
      </c>
      <c r="R359" s="2"/>
      <c r="S359" s="3"/>
      <c r="T359" s="3"/>
      <c r="U359" s="3"/>
      <c r="V359" s="3"/>
      <c r="W359" s="3"/>
      <c r="X359" s="3"/>
      <c r="Y359" s="3"/>
      <c r="Z359" s="26" t="n">
        <v>171</v>
      </c>
      <c r="AA359" s="2"/>
      <c r="AB359" s="26" t="n">
        <v>4</v>
      </c>
      <c r="AC359" s="26" t="n">
        <v>480</v>
      </c>
      <c r="AD359" s="4" t="n">
        <f aca="false">IF(AND(Z359&gt;0,AC359&gt;0),(AC359/((Z359+AA359)*10)),"")</f>
        <v>0.280701754385965</v>
      </c>
      <c r="AE359" s="26" t="n">
        <v>200</v>
      </c>
      <c r="AF359" s="26" t="n">
        <f aca="false">ROUND(AE359*1.6, 0)</f>
        <v>320</v>
      </c>
      <c r="AH359" s="26" t="n">
        <v>25.7</v>
      </c>
      <c r="AI359" s="26" t="n">
        <v>25.7</v>
      </c>
      <c r="AJ359" s="26" t="n">
        <v>2.92</v>
      </c>
      <c r="AK359" s="26" t="n">
        <v>4.3</v>
      </c>
      <c r="AL359" s="5" t="n">
        <v>56</v>
      </c>
      <c r="AM359" s="1" t="str">
        <f aca="false">CONCATENATE(VLOOKUP(AN359, 'Voxel Sizes'!$A$2:$B$18,2,FALSE()),"x",INT(AJ359*15), "x", INT(AK359*15))</f>
        <v>256x43x64</v>
      </c>
      <c r="AN359" s="26" t="n">
        <f aca="false">ROUND(15*((AI359*10)/256),0)</f>
        <v>15</v>
      </c>
      <c r="AP359" s="1" t="str">
        <f aca="false">CONCATENATE(VLOOKUP(AN359,Constants!$A$2:$C$16,IF(AO359&lt;&gt;"", 3, 2), FALSE()),IF(AO359&lt;&gt;"",CONCATENATE(",",VLOOKUP(AO359,$B:$AP,41,FALSE())),""))</f>
        <v>4,7,4</v>
      </c>
      <c r="AQ359" s="26" t="s">
        <v>1348</v>
      </c>
      <c r="AR359" s="6" t="str">
        <f aca="false">E320_16_ULEN</f>
        <v>4,7,4,4,6,4,4,6,4,4,6,4,4,6,4,4,6,4,4,6,4,4,6,4,4,6,4,4,6,4,4,6,4,4,6,4,4,6,4,4,6,4,4,6,4,4,7,4</v>
      </c>
      <c r="AS359" s="6" t="str">
        <f aca="false">E320_16_VLEN</f>
        <v>15,14,14,14,14,14,14,14,14,14,14,14,14,14,14,15</v>
      </c>
      <c r="AT359"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59" s="26" t="str">
        <f aca="false">E320_16_NV</f>
        <v>1,1,1,1,0,0,0,1,0,1,1,0,0,0,1,1</v>
      </c>
      <c r="AW359" s="26" t="s">
        <v>1349</v>
      </c>
      <c r="AZ359" s="26" t="n">
        <v>35</v>
      </c>
      <c r="BA359" s="16" t="str">
        <f aca="false">IF(O359&lt;&gt;"",MAX(16,(O359-M359)+8),"")</f>
        <v/>
      </c>
      <c r="BB359" s="26" t="n">
        <v>25</v>
      </c>
      <c r="BC359" s="26" t="n">
        <v>-15</v>
      </c>
      <c r="BD359" s="26" t="n">
        <f aca="false">MIN(AE359/150, 1)*30</f>
        <v>30</v>
      </c>
      <c r="BE359" s="26" t="n">
        <f aca="false">MIN(Q359/4000, 1)*20</f>
        <v>20</v>
      </c>
      <c r="BF359" s="26" t="n">
        <f aca="false">MIN(AC359/400,1)*20</f>
        <v>20</v>
      </c>
      <c r="BG359" s="4" t="n">
        <f aca="false">1-(MAX(M359-1900, 0)/750)</f>
        <v>0.848</v>
      </c>
      <c r="BH359" s="26" t="n">
        <f aca="false">((MAX($P359,1)*MIN($AL359/300,1)))*IF(J359="Wagon",50,10)</f>
        <v>29.8666666666667</v>
      </c>
      <c r="BI359" s="1" t="n">
        <f aca="false">VLOOKUP($K359,Constants!$I:$K, 2, FALSE())</f>
        <v>0.85</v>
      </c>
      <c r="BJ359" s="1" t="n">
        <f aca="false">VLOOKUP($K359,Constants!$I:$K, 3, FALSE())*IF(AND(J359="multiple_unit",AE359&lt;110),0.75,1)</f>
        <v>2.3</v>
      </c>
      <c r="BK359" s="1" t="n">
        <f aca="false">INT(POWER(((Constants!$G$2+$BD359+$BE359+$BF359+$BH359)*$BG359)*$BJ359, 1.05))+$BC359</f>
        <v>251</v>
      </c>
      <c r="BL359" s="1" t="n">
        <f aca="false">INT(POWER((((Constants!$G$1+$BD359+$BE359+$BF359+$BH359)*($BG359))*$BI359),IF($J359="wagon",1,1.2)))+$BB359</f>
        <v>225</v>
      </c>
      <c r="BM359" s="17" t="n">
        <f aca="false">BK359*IF($J359="wagon",62.5,781.25)</f>
        <v>196093.75</v>
      </c>
      <c r="BN359" s="17" t="n">
        <f aca="false">BL359*IF($J359="wagon",2.73,81.25)</f>
        <v>18281.25</v>
      </c>
      <c r="BT359" s="26" t="s">
        <v>1350</v>
      </c>
      <c r="BU359" s="1" t="str">
        <f aca="false">IF(J359="locomotive","B","")</f>
        <v/>
      </c>
      <c r="BV359" s="1" t="str">
        <f aca="false">IF(OR($J359="locomotive",$J359="wagon"),"B","")</f>
        <v/>
      </c>
      <c r="BY359" s="26" t="n">
        <v>6</v>
      </c>
      <c r="BZ359" s="26" t="n">
        <v>222</v>
      </c>
      <c r="CB359" s="26" t="s">
        <v>366</v>
      </c>
      <c r="CC359" s="26" t="s">
        <v>367</v>
      </c>
      <c r="CD359" s="26" t="s">
        <v>799</v>
      </c>
      <c r="CE359" s="26" t="s">
        <v>913</v>
      </c>
      <c r="CF359" s="26" t="str">
        <f aca="false">CONCATENATE(CD359,"_",CE359)</f>
        <v>mod_EMU (Express)</v>
      </c>
      <c r="CG359" s="26" t="str">
        <f aca="false">_xlfn.CONCAT(K359, "_",L359)</f>
        <v>electric_ELRL</v>
      </c>
      <c r="CH359" s="7" t="str">
        <f aca="false">_xlfn.CONCAT("{BLACK}Length: {GOLD}", TEXT(ROUNDUP(IF(AS359&lt;&gt;"",SUM(VALUE(_xlfn.TEXTSPLIT(AS359, ","))), SUM(VALUE(_xlfn.TEXTSPLIT(AP359, ",")))*IF(P359, P359, 1))/16, 1), "#,##0.0"), " tiles{}")</f>
        <v>{BLACK}Length: {GOLD}14.2 tiles{}</v>
      </c>
      <c r="CI359" s="1" t="str">
        <f aca="false">IF(0, VLOOKUP($CG359, Constants!$M:$N, 2, FALSE()),"")</f>
        <v/>
      </c>
      <c r="CJ359" s="1" t="str">
        <f aca="false">IF(P359&gt;1,_xlfn.CONCAT("{BLACK}Cars: {GOLD}", P359),"")</f>
        <v>{BLACK}Cars: {GOLD}16</v>
      </c>
      <c r="CK359" s="26" t="s">
        <v>1351</v>
      </c>
      <c r="CL359" s="1" t="str">
        <f aca="false">IF($BX359="concept_trains","{GREEN}Concept Vehicle",IF($BX359="!param_no_gameplay_units","{GREEN}Included for gameplay purposes",""))</f>
        <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{YELLOW}20% bonus for long distance travel{}</v>
      </c>
      <c r="CN359" s="1" t="str">
        <f aca="false">_xlfn.CONCAT(CI359,IF(CI359&lt;&gt;""," ",""),CJ359,IF(OR(CJ359&lt;&gt;"",CI359&lt;&gt;""),"{}",""),CH359,CM359,"{SILVER}",CK359,IF(CL359&lt;&gt;"","{}{}",""),CL359)</f>
        <v>{BLACK}Cars: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59" s="1"/>
    </row>
    <row r="360" s="26" customFormat="true" ht="14.25" hidden="false" customHeight="false" outlineLevel="0" collapsed="false">
      <c r="A360" s="26" t="s">
        <v>1346</v>
      </c>
      <c r="B360" s="27" t="s">
        <v>1350</v>
      </c>
      <c r="C360" s="1" t="n">
        <v>3088</v>
      </c>
      <c r="D360" s="26" t="n">
        <v>3087</v>
      </c>
      <c r="E360" s="1" t="n">
        <v>424</v>
      </c>
      <c r="G360" s="1" t="str">
        <f aca="false">IF($F360&lt;&gt;"",_xlfn.CONCAT(VLOOKUP($CE360, Constants!$T:$U, 2, FALSE()),",",$F360),VLOOKUP($CE360, Constants!$T:$U, 2, FALSE()))</f>
        <v>role/express_passenger</v>
      </c>
      <c r="H360" s="1" t="str">
        <f aca="false">IF($G360&lt;&gt;"",_xlfn.CONCAT(VLOOKUP($CG360, Constants!$M:$P, 4, FALSE()),",",$G360),VLOOKUP($CG360, Constants!$M:$P, 4, FALSE()))</f>
        <v>flag/GB,power/electric,role/express_passenger</v>
      </c>
      <c r="I360" s="26" t="s">
        <v>241</v>
      </c>
      <c r="J360" s="26" t="s">
        <v>466</v>
      </c>
      <c r="K360" s="26" t="s">
        <v>388</v>
      </c>
      <c r="L360" s="26" t="s">
        <v>389</v>
      </c>
      <c r="M360" s="26" t="n">
        <v>2014</v>
      </c>
      <c r="P360" s="26" t="n">
        <v>12</v>
      </c>
      <c r="Q360" s="26" t="n">
        <v>15750</v>
      </c>
      <c r="R360" s="2"/>
      <c r="S360" s="3"/>
      <c r="T360" s="3"/>
      <c r="U360" s="3"/>
      <c r="V360" s="3"/>
      <c r="W360" s="3"/>
      <c r="X360" s="3"/>
      <c r="Y360" s="3"/>
      <c r="Z360" s="26" t="n">
        <v>170</v>
      </c>
      <c r="AA360" s="2"/>
      <c r="AB360" s="26" t="n">
        <v>4</v>
      </c>
      <c r="AC360" s="26" t="n">
        <v>360</v>
      </c>
      <c r="AD360" s="4" t="n">
        <f aca="false">IF(AND(Z360&gt;0,AC360&gt;0),(AC360/((Z360+AA360)*10)),"")</f>
        <v>0.211764705882353</v>
      </c>
      <c r="AE360" s="26" t="n">
        <v>200</v>
      </c>
      <c r="AF360" s="26" t="n">
        <f aca="false">ROUND(AE360*1.6, 0)</f>
        <v>320</v>
      </c>
      <c r="AH360" s="26" t="n">
        <v>25.7</v>
      </c>
      <c r="AI360" s="26" t="n">
        <v>25.7</v>
      </c>
      <c r="AJ360" s="26" t="n">
        <v>2.92</v>
      </c>
      <c r="AK360" s="26" t="n">
        <v>4.3</v>
      </c>
      <c r="AL360" s="5" t="n">
        <v>53</v>
      </c>
      <c r="AM360" s="1" t="str">
        <f aca="false">CONCATENATE(VLOOKUP(AN360, 'Voxel Sizes'!$A$2:$B$18,2,FALSE()),"x",INT(AJ360*15), "x", INT(AK360*15))</f>
        <v>256x43x64</v>
      </c>
      <c r="AN360" s="26" t="n">
        <f aca="false">ROUND(15*((AI360*10)/256),0)</f>
        <v>15</v>
      </c>
      <c r="AP360" s="1" t="str">
        <f aca="false">CONCATENATE(VLOOKUP(AN360,Constants!$A$2:$C$16,IF(AO360&lt;&gt;"", 3, 2), FALSE()),IF(AO360&lt;&gt;"",CONCATENATE(",",VLOOKUP(AO360,$B:$AP,41,FALSE())),""))</f>
        <v>4,7,4</v>
      </c>
      <c r="AQ360" s="26" t="s">
        <v>1352</v>
      </c>
      <c r="AR360" s="6" t="str">
        <f aca="false">E320_12_ULEN</f>
        <v>4,7,4,4,6,4,4,6,4,4,6,4,4,6,4,4,6,4,4,6,4,4,6,4,4,6,4,4,6,4,4,6,4,4,7,4</v>
      </c>
      <c r="AS360" s="6" t="str">
        <f aca="false">E320_12_VLEN</f>
        <v>15,14,14,14,14,14,14,14,14,14,14,15</v>
      </c>
      <c r="AT360" s="26" t="str">
        <f aca="false">E320_12_VEH</f>
        <v>eurostar_e320_front,eurostar_e320_p,eurostar_e320_pd,eurostar_e320_m,eurostar_e320_pd,eurostar_e320_mc,eurostar_e320_mc,eurostar_e320_pdr,eurostar_e320_mr,eurostar_e320_pdr,eurostar_e320_pr,eurostar_e320_rear</v>
      </c>
      <c r="AV360" s="26" t="str">
        <f aca="false">E320_12_NV</f>
        <v>0,0,0,0,0,0,0,0,0,0,0,0</v>
      </c>
      <c r="AW360" s="26" t="s">
        <v>1349</v>
      </c>
      <c r="AZ360" s="26" t="n">
        <v>35</v>
      </c>
      <c r="BA360" s="16" t="str">
        <f aca="false">IF(O360&lt;&gt;"",MAX(16,(O360-M360)+8),"")</f>
        <v/>
      </c>
      <c r="BB360" s="26" t="n">
        <v>-10</v>
      </c>
      <c r="BC360" s="26" t="n">
        <v>-30</v>
      </c>
      <c r="BD360" s="26" t="n">
        <f aca="false">MIN(AE360/150, 1)*30</f>
        <v>30</v>
      </c>
      <c r="BE360" s="26" t="n">
        <f aca="false">MIN(Q360/4000, 1)*20</f>
        <v>20</v>
      </c>
      <c r="BF360" s="26" t="n">
        <f aca="false">MIN(AC360/400,1)*20</f>
        <v>18</v>
      </c>
      <c r="BG360" s="4" t="n">
        <f aca="false">1-(MAX(M360-1900, 0)/750)</f>
        <v>0.848</v>
      </c>
      <c r="BH360" s="26" t="n">
        <f aca="false">((MAX($P360,1)*MIN($AL360/300,1)))*IF(J360="Wagon",50,10)</f>
        <v>21.2</v>
      </c>
      <c r="BI360" s="1" t="n">
        <f aca="false">VLOOKUP($K360,Constants!$I:$K, 2, FALSE())</f>
        <v>0.85</v>
      </c>
      <c r="BJ360" s="1" t="n">
        <f aca="false">VLOOKUP($K360,Constants!$I:$K, 3, FALSE())*IF(AND(J360="multiple_unit",AE360&lt;110),0.75,1)</f>
        <v>2.3</v>
      </c>
      <c r="BK360" s="1" t="n">
        <f aca="false">INT(POWER(((Constants!$G$2+$BD360+$BE360+$BF360+$BH360)*$BG360)*$BJ360, 1.05))+$BC360</f>
        <v>208</v>
      </c>
      <c r="BL360" s="1" t="n">
        <f aca="false">INT(POWER((((Constants!$G$1+$BD360+$BE360+$BF360+$BH360)*($BG360))*$BI360),IF($J360="wagon",1,1.2)))+$BB360</f>
        <v>168</v>
      </c>
      <c r="BM360" s="17" t="n">
        <f aca="false">BK360*IF($J360="wagon",62.5,781.25)</f>
        <v>162500</v>
      </c>
      <c r="BN360" s="17" t="n">
        <f aca="false">BL360*IF($J360="wagon",2.73,81.25)</f>
        <v>13650</v>
      </c>
      <c r="BT360" s="26" t="s">
        <v>1347</v>
      </c>
      <c r="BU360" s="1" t="str">
        <f aca="false">IF(J360="locomotive","B","")</f>
        <v/>
      </c>
      <c r="BV360" s="1" t="str">
        <f aca="false">IF(OR($J360="locomotive",$J360="wagon"),"B","")</f>
        <v/>
      </c>
      <c r="BY360" s="26" t="n">
        <v>6</v>
      </c>
      <c r="BZ360" s="26" t="n">
        <v>205</v>
      </c>
      <c r="CB360" s="26" t="s">
        <v>366</v>
      </c>
      <c r="CC360" s="26" t="s">
        <v>367</v>
      </c>
      <c r="CD360" s="26" t="s">
        <v>799</v>
      </c>
      <c r="CE360" s="26" t="s">
        <v>913</v>
      </c>
      <c r="CF360" s="26" t="str">
        <f aca="false">CONCATENATE(CD360,"_",CE360)</f>
        <v>mod_EMU (Express)</v>
      </c>
      <c r="CG360" s="26" t="str">
        <f aca="false">_xlfn.CONCAT(K360, "_",L360)</f>
        <v>electric_ELRL</v>
      </c>
      <c r="CH360" s="7" t="str">
        <f aca="false">_xlfn.CONCAT("{BLACK}Length: {GOLD}", TEXT(ROUNDUP(IF(AS360&lt;&gt;"",SUM(VALUE(_xlfn.TEXTSPLIT(AS360, ","))), SUM(VALUE(_xlfn.TEXTSPLIT(AP360, ",")))*IF(P360, P360, 1))/16, 1), "#,##0.0"), " tiles{}")</f>
        <v>{BLACK}Length: {GOLD}10.7 tiles{}</v>
      </c>
      <c r="CI360" s="1" t="str">
        <f aca="false">IF(0, VLOOKUP($CG360, Constants!$M:$N, 2, FALSE()),"")</f>
        <v/>
      </c>
      <c r="CJ360" s="1" t="str">
        <f aca="false">IF(P360&gt;1,_xlfn.CONCAT("{BLACK}Cars: {GOLD}", P360),"")</f>
        <v>{BLACK}Cars: {GOLD}12</v>
      </c>
      <c r="CK360" s="26" t="s">
        <v>1353</v>
      </c>
      <c r="CL360" s="1" t="str">
        <f aca="false">IF($BX360="concept_trains","{GREEN}Concept Vehicle",IF($BX360="!param_no_gameplay_units","{GREEN}Included for gameplay purposes",""))</f>
        <v/>
      </c>
      <c r="CM360" s="26" t="str">
        <f aca="false">IF(CA360="buffet","{YELLOW}25% long distance bonus for consist{}",IF(CD360="BRAKE","{YELLOW}Speed bonus for slow wagons{}",IF(BZ360&gt;190,CONCATENATE("{YELLOW}",INT((BZ360-185)/1.85),"% bonus for long distance travel{}"),IF(AND(BZ360&lt;180,BZ360&lt;&gt;0),CONCATENATE("{YELLOW}",INT((185-BZ360)/1.85),"% penalty for long distance travel{}"),""))))</f>
        <v>{YELLOW}10% bonus for long distance travel{}</v>
      </c>
      <c r="CN360" s="1" t="str">
        <f aca="false">_xlfn.CONCAT(CI360,IF(CI360&lt;&gt;""," ",""),CJ360,IF(OR(CJ360&lt;&gt;"",CI360&lt;&gt;""),"{}",""),CH360,CM360,"{SILVER}",CK360,IF(CL360&lt;&gt;"","{}{}",""),CL360)</f>
        <v>{BLACK}Cars: {GOLD}12{}{BLACK}Length: {GOLD}10.7 tiles{}{YELLOW}10% bonus for long distance travel{}{SILVER}A shorter Class 374 variant, a real Regional Eurostar for the 2020s.</v>
      </c>
      <c r="XFD360" s="1"/>
    </row>
    <row r="361" customFormat="false" ht="14.25" hidden="false" customHeight="false" outlineLevel="0" collapsed="false">
      <c r="A361" s="1" t="s">
        <v>1354</v>
      </c>
      <c r="B361" s="15" t="s">
        <v>1355</v>
      </c>
      <c r="C361" s="1" t="n">
        <v>278</v>
      </c>
      <c r="E361" s="1" t="n">
        <v>425</v>
      </c>
      <c r="G361" s="1" t="str">
        <f aca="false">IF($F361&lt;&gt;"",_xlfn.CONCAT(VLOOKUP($CE361, Constants!$T:$U, 2, FALSE()),",",$F361),VLOOKUP($CE361, Constants!$T:$U, 2, FALSE()))</f>
        <v>role/passenger</v>
      </c>
      <c r="H361" s="1" t="str">
        <f aca="false">IF($G361&lt;&gt;"",_xlfn.CONCAT(VLOOKUP($CG361, Constants!$M:$P, 4, FALSE()),",",$G361),VLOOKUP($CG361, Constants!$M:$P, 4, FALSE()))</f>
        <v>flag/GB,power/diesel,role/passenger</v>
      </c>
      <c r="I361" s="1" t="s">
        <v>241</v>
      </c>
      <c r="J361" s="1" t="s">
        <v>466</v>
      </c>
      <c r="K361" s="1" t="s">
        <v>525</v>
      </c>
      <c r="L361" s="1" t="s">
        <v>192</v>
      </c>
      <c r="M361" s="1" t="n">
        <v>2019</v>
      </c>
      <c r="P361" s="1" t="n">
        <v>2</v>
      </c>
      <c r="Q361" s="1" t="n">
        <f aca="false">523*2</f>
        <v>1046</v>
      </c>
      <c r="Z361" s="1" t="n">
        <v>80</v>
      </c>
      <c r="AB361" s="1" t="n">
        <v>5</v>
      </c>
      <c r="AC361" s="1" t="n">
        <v>145</v>
      </c>
      <c r="AD361" s="4" t="n">
        <f aca="false">IF(AND(Z361&gt;0,AC361&gt;0),(AC361/((Z361+AA361)*10)),"")</f>
        <v>0.18125</v>
      </c>
      <c r="AE361" s="1" t="n">
        <v>100</v>
      </c>
      <c r="AF361" s="1" t="n">
        <f aca="false">ROUND(AE361*1.6, 0)</f>
        <v>160</v>
      </c>
      <c r="AH361" s="1" t="n">
        <v>24</v>
      </c>
      <c r="AI361" s="1" t="n">
        <v>24</v>
      </c>
      <c r="AJ361" s="1" t="n">
        <v>2.7</v>
      </c>
      <c r="AK361" s="1" t="n">
        <v>3.85</v>
      </c>
      <c r="AL361" s="5" t="n">
        <v>63</v>
      </c>
      <c r="AM361" s="1" t="str">
        <f aca="false">CONCATENATE(VLOOKUP(AN361, 'Voxel Sizes'!$A$2:$B$18,2,FALSE()),"x",INT(AJ361*15), "x", INT(AK361*15))</f>
        <v>238x40x57</v>
      </c>
      <c r="AN361" s="1" t="n">
        <f aca="false">ROUND(15*((AI361*10)/256),0)</f>
        <v>14</v>
      </c>
      <c r="AP361" s="1" t="str">
        <f aca="false">CONCATENATE(VLOOKUP(AN361,Constants!$A$2:$C$16,IF(AO361&lt;&gt;"", 3, 2), FALSE()),IF(AO361&lt;&gt;"",CONCATENATE(",",VLOOKUP(AO361,$B:$AP,41,FALSE())),""))</f>
        <v>4,6,4</v>
      </c>
      <c r="AT361" s="1" t="s">
        <v>1356</v>
      </c>
      <c r="AV361" s="1" t="s">
        <v>815</v>
      </c>
      <c r="AZ361" s="1" t="n">
        <v>30</v>
      </c>
      <c r="BA361" s="16" t="str">
        <f aca="false">IF(O361&lt;&gt;"",MAX(16,(O361-M361)+8),"")</f>
        <v/>
      </c>
      <c r="BB361" s="1" t="n">
        <v>-15</v>
      </c>
      <c r="BC361" s="1" t="n">
        <v>-25</v>
      </c>
      <c r="BD361" s="1" t="n">
        <f aca="false">MIN(AE361/150, 1)*30</f>
        <v>20</v>
      </c>
      <c r="BE361" s="1" t="n">
        <f aca="false">MIN(Q361/4000, 1)*20</f>
        <v>5.23</v>
      </c>
      <c r="BF361" s="1" t="n">
        <f aca="false">MIN(AC361/400,1)*20</f>
        <v>7.25</v>
      </c>
      <c r="BG361" s="4" t="n">
        <f aca="false">1-(MAX(M361-1900, 0)/750)</f>
        <v>0.841333333333333</v>
      </c>
      <c r="BH361" s="1" t="n">
        <f aca="false">((MAX($P361,1)*MIN($AL361/300,1)))*IF(J361="Wagon",50,10)</f>
        <v>4.2</v>
      </c>
      <c r="BI361" s="1" t="n">
        <f aca="false">VLOOKUP($K361,Constants!$I:$K, 2, FALSE())</f>
        <v>1</v>
      </c>
      <c r="BJ361" s="1" t="n">
        <f aca="false">VLOOKUP($K361,Constants!$I:$K, 3, FALSE())*IF(AND(J361="multiple_unit",AE361&lt;110),0.75,1)</f>
        <v>1.5</v>
      </c>
      <c r="BK361" s="1" t="n">
        <f aca="false">INT(POWER(((Constants!$G$2+$BD361+$BE361+$BF361+$BH361)*$BG361)*$BJ361, 1.05))+$BC361</f>
        <v>39</v>
      </c>
      <c r="BL361" s="1" t="n">
        <f aca="false">INT(POWER((((Constants!$G$1+$BD361+$BE361+$BF361+$BH361)*($BG361))*$BI361),IF($J361="wagon",1,1.2)))+$BB361</f>
        <v>77</v>
      </c>
      <c r="BM361" s="17" t="n">
        <f aca="false">BK361*IF($J361="wagon",62.5,781.25)</f>
        <v>30468.75</v>
      </c>
      <c r="BN361" s="17" t="n">
        <f aca="false">BL361*IF($J361="wagon",2.73,81.25)</f>
        <v>6256.25</v>
      </c>
      <c r="BU361" s="1" t="str">
        <f aca="false">IF(J361="locomotive","B","")</f>
        <v/>
      </c>
      <c r="BV361" s="1" t="str">
        <f aca="false">IF(OR($J361="locomotive",$J361="wagon"),"B","")</f>
        <v/>
      </c>
      <c r="BY361" s="1" t="n">
        <v>2</v>
      </c>
      <c r="BZ361" s="1" t="n">
        <v>185</v>
      </c>
      <c r="CC361" s="1" t="s">
        <v>367</v>
      </c>
      <c r="CD361" s="1" t="str">
        <f aca="false">VLOOKUP(M361,Eras!$A$2:$C$10, 2, TRUE())</f>
        <v>mod</v>
      </c>
      <c r="CE361" s="1" t="s">
        <v>824</v>
      </c>
      <c r="CF361" s="1" t="str">
        <f aca="false">CONCATENATE(CD361,"_",CE361)</f>
        <v>mod_DMU</v>
      </c>
      <c r="CG361" s="1" t="str">
        <f aca="false">_xlfn.CONCAT(K361, "_",L361)</f>
        <v>diesel_RAIL</v>
      </c>
      <c r="CH361" s="7" t="str">
        <f aca="false">_xlfn.CONCAT("{BLACK}Length: {GOLD}", TEXT(ROUNDUP(IF(AS361&lt;&gt;"",SUM(VALUE(_xlfn.TEXTSPLIT(AS361, ","))), SUM(VALUE(_xlfn.TEXTSPLIT(AP361, ",")))*IF(P361, P361, 1))/16, 1), "#,##0.0"), " tiles{}")</f>
        <v>{BLACK}Length: {GOLD}1.8 tiles{}</v>
      </c>
      <c r="CI361" s="1" t="str">
        <f aca="false">IF(0, VLOOKUP($CG361, Constants!$M:$N, 2, FALSE()),"")</f>
        <v/>
      </c>
      <c r="CJ361" s="1" t="str">
        <f aca="false">IF(P361&gt;1,_xlfn.CONCAT("{BLACK}Cars: {GOLD}", P361),"")</f>
        <v>{BLACK}Cars: {GOLD}2</v>
      </c>
      <c r="CK361" s="1" t="s">
        <v>1357</v>
      </c>
      <c r="CL361" s="1" t="str">
        <f aca="false">IF($BX361="concept_trains","{GREEN}Concept Vehicle",IF($BX361="!param_no_gameplay_units","{GREEN}Included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{BLACK}Cars: {GOLD}2{}{BLACK}Length: {GOLD}1.8 tiles{}{SILVER}The Class 195 is designed to replace Sprinter and Pacer units with a multiple unit of far higher quality and passenger comfort.</v>
      </c>
    </row>
    <row r="362" customFormat="false" ht="14.25" hidden="false" customHeight="false" outlineLevel="0" collapsed="false">
      <c r="A362" s="1" t="s">
        <v>1358</v>
      </c>
      <c r="B362" s="15" t="s">
        <v>1359</v>
      </c>
      <c r="C362" s="1" t="n">
        <v>279</v>
      </c>
      <c r="E362" s="1" t="n">
        <v>426</v>
      </c>
      <c r="G362" s="1" t="str">
        <f aca="false">IF($F362&lt;&gt;"",_xlfn.CONCAT(VLOOKUP($CE362, Constants!$T:$U, 2, FALSE()),",",$F362),VLOOKUP($CE362, Constants!$T:$U, 2, FALSE()))</f>
        <v>role/passenger</v>
      </c>
      <c r="H362" s="1" t="str">
        <f aca="false">IF($G362&lt;&gt;"",_xlfn.CONCAT(VLOOKUP($CG362, Constants!$M:$P, 4, FALSE()),",",$G362),VLOOKUP($CG362, Constants!$M:$P, 4, FALSE()))</f>
        <v>flag/GB,power/diesel,role/passenger</v>
      </c>
      <c r="I362" s="1" t="s">
        <v>241</v>
      </c>
      <c r="J362" s="1" t="s">
        <v>466</v>
      </c>
      <c r="K362" s="1" t="s">
        <v>678</v>
      </c>
      <c r="L362" s="1" t="s">
        <v>389</v>
      </c>
      <c r="M362" s="1" t="n">
        <v>2019</v>
      </c>
      <c r="P362" s="1" t="n">
        <v>5</v>
      </c>
      <c r="Q362" s="1" t="n">
        <v>3500</v>
      </c>
      <c r="R362" s="2" t="n">
        <v>2570</v>
      </c>
      <c r="Z362" s="1" t="n">
        <v>163</v>
      </c>
      <c r="AB362" s="1" t="n">
        <v>5</v>
      </c>
      <c r="AC362" s="1" t="n">
        <v>185</v>
      </c>
      <c r="AD362" s="4" t="n">
        <f aca="false">IF(AND(Z362&gt;0,AC362&gt;0),(AC362/((Z362+AA362)*10)),"")</f>
        <v>0.113496932515337</v>
      </c>
      <c r="AE362" s="1" t="n">
        <v>100</v>
      </c>
      <c r="AF362" s="1" t="n">
        <f aca="false">ROUND(AE362*1.6, 0)</f>
        <v>160</v>
      </c>
      <c r="AH362" s="1" t="n">
        <v>20.1</v>
      </c>
      <c r="AI362" s="1" t="n">
        <v>20.1</v>
      </c>
      <c r="AJ362" s="1" t="n">
        <v>2.72</v>
      </c>
      <c r="AK362" s="1" t="n">
        <v>3.95</v>
      </c>
      <c r="AL362" s="5" t="n">
        <v>45</v>
      </c>
      <c r="AM362" s="1" t="str">
        <f aca="false">CONCATENATE(VLOOKUP(AN362, 'Voxel Sizes'!$A$2:$B$18,2,FALSE()),"x",INT(AJ362*15), "x", INT(AK362*15))</f>
        <v>198x40x59</v>
      </c>
      <c r="AN362" s="1" t="n">
        <f aca="false">ROUND(15*((AI362*10)/256),0)</f>
        <v>12</v>
      </c>
      <c r="AP362" s="1" t="str">
        <f aca="false">CONCATENATE(VLOOKUP(AN362,Constants!$A$2:$C$16,IF(AO362&lt;&gt;"", 3, 2), FALSE()),IF(AO362&lt;&gt;"",CONCATENATE(",",VLOOKUP(AO362,$B:$AP,41,FALSE())),""))</f>
        <v>4,4,4</v>
      </c>
      <c r="AQ362" s="1" t="n">
        <v>6</v>
      </c>
      <c r="AR362" s="6" t="s">
        <v>1360</v>
      </c>
      <c r="AS362" s="6" t="s">
        <v>1361</v>
      </c>
      <c r="AT362" s="1" t="s">
        <v>1362</v>
      </c>
      <c r="AU362" s="1" t="s">
        <v>1363</v>
      </c>
      <c r="AV362" s="1" t="s">
        <v>1364</v>
      </c>
      <c r="AZ362" s="1" t="n">
        <v>30</v>
      </c>
      <c r="BA362" s="16" t="str">
        <f aca="false">IF(O362&lt;&gt;"",MAX(16,(O362-M362)+8),"")</f>
        <v/>
      </c>
      <c r="BB362" s="1" t="n">
        <v>-15</v>
      </c>
      <c r="BC362" s="1" t="n">
        <v>-30</v>
      </c>
      <c r="BD362" s="1" t="n">
        <f aca="false">MIN(AE362/150, 1)*30</f>
        <v>20</v>
      </c>
      <c r="BE362" s="1" t="n">
        <f aca="false">MIN(Q362/4000, 1)*20</f>
        <v>17.5</v>
      </c>
      <c r="BF362" s="1" t="n">
        <f aca="false">MIN(AC362/400,1)*20</f>
        <v>9.25</v>
      </c>
      <c r="BG362" s="4" t="n">
        <f aca="false">1-(MAX(M362-1900, 0)/750)</f>
        <v>0.841333333333333</v>
      </c>
      <c r="BH362" s="1" t="n">
        <f aca="false">((MAX($P362,1)*MIN($AL362/300,1)))*IF(J362="Wagon",50,10)</f>
        <v>7.5</v>
      </c>
      <c r="BI362" s="1" t="n">
        <f aca="false">VLOOKUP($K362,Constants!$I:$K, 2, FALSE())</f>
        <v>0.9</v>
      </c>
      <c r="BJ362" s="1" t="n">
        <f aca="false">VLOOKUP($K362,Constants!$I:$K, 3, FALSE())*IF(AND(J362="multiple_unit",AE362&lt;110),0.75,1)</f>
        <v>1.875</v>
      </c>
      <c r="BK362" s="1" t="n">
        <f aca="false">INT(POWER(((Constants!$G$2+$BD362+$BE362+$BF362+$BH362)*$BG362)*$BJ362, 1.05))+$BC362</f>
        <v>87</v>
      </c>
      <c r="BL362" s="1" t="n">
        <f aca="false">INT(POWER((((Constants!$G$1+$BD362+$BE362+$BF362+$BH362)*($BG362))*$BI362),IF($J362="wagon",1,1.2)))+$BB362</f>
        <v>100</v>
      </c>
      <c r="BM362" s="17" t="n">
        <f aca="false">BK362*IF($J362="wagon",62.5,781.25)</f>
        <v>67968.75</v>
      </c>
      <c r="BN362" s="17" t="n">
        <f aca="false">BL362*IF($J362="wagon",2.73,81.25)</f>
        <v>8125</v>
      </c>
      <c r="BU362" s="1" t="str">
        <f aca="false">IF(J362="locomotive","B","")</f>
        <v/>
      </c>
      <c r="BV362" s="1" t="str">
        <f aca="false">IF(OR($J362="locomotive",$J362="wagon"),"B","")</f>
        <v/>
      </c>
      <c r="BY362" s="1" t="n">
        <v>9</v>
      </c>
      <c r="CC362" s="1" t="s">
        <v>367</v>
      </c>
      <c r="CD362" s="1" t="str">
        <f aca="false">VLOOKUP(M362,Eras!$A$2:$C$10, 2, TRUE())</f>
        <v>mod</v>
      </c>
      <c r="CE362" s="1" t="s">
        <v>858</v>
      </c>
      <c r="CF362" s="1" t="str">
        <f aca="false">CONCATENATE(CD362,"_",CE362)</f>
        <v>mod_EMU</v>
      </c>
      <c r="CG362" s="1" t="str">
        <f aca="false">_xlfn.CONCAT(K362, "_",L362)</f>
        <v>dual_power_ELRL</v>
      </c>
      <c r="CH362" s="7" t="str">
        <f aca="false">_xlfn.CONCAT("{BLACK}Length: {GOLD}", TEXT(ROUNDUP(IF(AS362&lt;&gt;"",SUM(VALUE(_xlfn.TEXTSPLIT(AS362, ","))), SUM(VALUE(_xlfn.TEXTSPLIT(AP362, ",")))*IF(P362, P362, 1))/16, 1), "#,##0.0"), " tiles{}")</f>
        <v>{BLACK}Length: {GOLD}3.0 tiles{}</v>
      </c>
      <c r="CI362" s="1" t="str">
        <f aca="false">IF(0, VLOOKUP($CG362, Constants!$M:$N, 2, FALSE()),"")</f>
        <v/>
      </c>
      <c r="CJ362" s="1" t="str">
        <f aca="false">IF(P362&gt;1,_xlfn.CONCAT("{BLACK}Cars: {GOLD}", P362),"")</f>
        <v>{BLACK}Cars: {GOLD}5</v>
      </c>
      <c r="CK362" s="1" t="s">
        <v>1365</v>
      </c>
      <c r="CL362" s="1" t="str">
        <f aca="false">IF($BX362="concept_trains","{GREEN}Concept Vehicle",IF($BX362="!param_no_gameplay_units","{GREEN}Included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
      </c>
      <c r="CN362" s="1" t="str">
        <f aca="false">_xlfn.CONCAT(CI362,IF(CI362&lt;&gt;""," ",""),CJ362,IF(OR(CJ362&lt;&gt;"",CI362&lt;&gt;""),"{}",""),CH362,CM362,"{SILVER}",CK362,IF(CL362&lt;&gt;"","{}{}",""),CL362)</f>
        <v>{BLACK}Cars: {GOLD}5{}{BLACK}Length: {GOLD}3.0 tiles{}{SILVER}The Class 755 was designed to modernise services on the East Anglia franchise. The design features a distinctive "power pack" containing the diesel engines used for bi-mode operation.</v>
      </c>
    </row>
    <row r="363" s="1" customFormat="true" ht="14.25" hidden="false" customHeight="false" outlineLevel="0" collapsed="false">
      <c r="A363" s="1" t="s">
        <v>1366</v>
      </c>
      <c r="B363" s="27" t="s">
        <v>1367</v>
      </c>
      <c r="C363" s="1" t="n">
        <v>3096</v>
      </c>
      <c r="E363" s="1" t="n">
        <v>427</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241</v>
      </c>
      <c r="J363" s="1" t="s">
        <v>466</v>
      </c>
      <c r="K363" s="1" t="s">
        <v>388</v>
      </c>
      <c r="L363" s="1" t="s">
        <v>389</v>
      </c>
      <c r="M363" s="1" t="n">
        <v>2020</v>
      </c>
      <c r="P363" s="1" t="n">
        <v>12</v>
      </c>
      <c r="Q363" s="1" t="n">
        <v>7000</v>
      </c>
      <c r="R363" s="2" t="n">
        <v>2700</v>
      </c>
      <c r="S363" s="3"/>
      <c r="T363" s="3"/>
      <c r="U363" s="3"/>
      <c r="V363" s="3"/>
      <c r="W363" s="3"/>
      <c r="X363" s="3"/>
      <c r="Y363" s="3"/>
      <c r="Z363" s="1" t="n">
        <v>204</v>
      </c>
      <c r="AA363" s="2"/>
      <c r="AB363" s="1" t="n">
        <v>5</v>
      </c>
      <c r="AC363" s="1" t="n">
        <v>400</v>
      </c>
      <c r="AD363" s="4" t="n">
        <f aca="false">IF(AND(Z363&gt;0,AC363&gt;0),(AC363/((Z363+AA363)*10)),"")</f>
        <v>0.196078431372549</v>
      </c>
      <c r="AE363" s="1" t="n">
        <v>100</v>
      </c>
      <c r="AF363" s="1" t="n">
        <f aca="false">ROUND(AE363*1.6, 0)</f>
        <v>160</v>
      </c>
      <c r="AH363" s="1" t="n">
        <v>19.7</v>
      </c>
      <c r="AI363" s="1" t="n">
        <v>20</v>
      </c>
      <c r="AL363" s="5" t="n">
        <v>60</v>
      </c>
      <c r="AM363" s="1" t="str">
        <f aca="false">CONCATENATE(VLOOKUP(AN363, 'Voxel Sizes'!$A$2:$B$18,2,FALSE()),"x",INT(AJ363*15), "x", INT(AK363*15))</f>
        <v>198x0x0</v>
      </c>
      <c r="AN363" s="1" t="n">
        <f aca="false">ROUND(15*((AI363*10)/256),0)</f>
        <v>12</v>
      </c>
      <c r="AP363" s="1" t="str">
        <f aca="false">CONCATENATE(VLOOKUP(AN363,Constants!$A$2:$C$16,IF(AO363&lt;&gt;"", 3, 2), FALSE()),IF(AO363&lt;&gt;"",CONCATENATE(",",VLOOKUP(AO363,$B:$AP,41,FALSE())),""))</f>
        <v>4,4,4</v>
      </c>
      <c r="AQ363" s="1" t="s">
        <v>1368</v>
      </c>
      <c r="AR363" s="6"/>
      <c r="AS363" s="6"/>
      <c r="AT363" s="1" t="s">
        <v>1369</v>
      </c>
      <c r="AV363" s="1" t="str">
        <f aca="false">STAD_745_NS</f>
        <v>0,1,1,1,0,0,0,0,0,0,1,0</v>
      </c>
      <c r="AW363" s="1" t="s">
        <v>1359</v>
      </c>
      <c r="AZ363" s="1" t="n">
        <v>30</v>
      </c>
      <c r="BA363" s="16" t="str">
        <f aca="false">IF(O363&lt;&gt;"",MAX(16,(O363-M363)+8),"")</f>
        <v/>
      </c>
      <c r="BB363" s="1" t="n">
        <v>-15</v>
      </c>
      <c r="BC363" s="1" t="n">
        <v>-30</v>
      </c>
      <c r="BD363" s="1" t="n">
        <f aca="false">MIN(AE363/150, 1)*30</f>
        <v>20</v>
      </c>
      <c r="BE363" s="1" t="n">
        <f aca="false">MIN(Q363/4000, 1)*20</f>
        <v>20</v>
      </c>
      <c r="BF363" s="1" t="n">
        <f aca="false">MIN(AC363/400,1)*20</f>
        <v>20</v>
      </c>
      <c r="BG363" s="4" t="n">
        <f aca="false">1-(MAX(M363-1900, 0)/750)</f>
        <v>0.84</v>
      </c>
      <c r="BH363" s="1" t="n">
        <f aca="false">((MAX($P363,1)*MIN($AL363/300,1)))*IF(J363="Wagon",50,10)</f>
        <v>24</v>
      </c>
      <c r="BI363" s="1" t="n">
        <f aca="false">VLOOKUP($K363,Constants!$I:$K, 2, FALSE())</f>
        <v>0.85</v>
      </c>
      <c r="BJ363" s="1" t="n">
        <f aca="false">VLOOKUP($K363,Constants!$I:$K, 3, FALSE())*IF(AND(J363="multiple_unit",AE363&lt;110),0.75,1)</f>
        <v>1.725</v>
      </c>
      <c r="BK363" s="1" t="n">
        <f aca="false">INT(POWER(((Constants!$G$2+$BD363+$BE363+$BF363+$BH363)*$BG363)*$BJ363, 1.05))+$BC363</f>
        <v>134</v>
      </c>
      <c r="BL363" s="1" t="n">
        <f aca="false">INT(POWER((((Constants!$G$1+$BD363+$BE363+$BF363+$BH363)*($BG363))*$BI363),IF($J363="wagon",1,1.2)))+$BB363</f>
        <v>150</v>
      </c>
      <c r="BM363" s="17" t="n">
        <f aca="false">BK363*IF($J363="wagon",62.5,781.25)</f>
        <v>104687.5</v>
      </c>
      <c r="BN363" s="17" t="n">
        <f aca="false">BL363*IF($J363="wagon",2.73,81.25)</f>
        <v>12187.5</v>
      </c>
      <c r="BU363" s="1" t="str">
        <f aca="false">IF(J363="locomotive","B","")</f>
        <v/>
      </c>
      <c r="BV363" s="1" t="str">
        <f aca="false">IF(OR($J363="locomotive",$J363="wagon"),"B","")</f>
        <v/>
      </c>
      <c r="BX363" s="1" t="s">
        <v>1015</v>
      </c>
      <c r="BY363" s="1" t="n">
        <v>2</v>
      </c>
      <c r="CC363" s="1" t="s">
        <v>367</v>
      </c>
      <c r="CD363" s="26" t="s">
        <v>799</v>
      </c>
      <c r="CE363" s="26" t="s">
        <v>858</v>
      </c>
      <c r="CF363" s="1" t="str">
        <f aca="false">CONCATENATE(CD363,"_",CE363)</f>
        <v>mod_EMU</v>
      </c>
      <c r="CG363" s="1" t="str">
        <f aca="false">_xlfn.CONCAT(K363, "_",L363)</f>
        <v>electric_ELRL</v>
      </c>
      <c r="CH363" s="7" t="str">
        <f aca="false">_xlfn.CONCAT("{BLACK}Length: {GOLD}", TEXT(ROUNDUP(IF(AS363&lt;&gt;"",SUM(VALUE(_xlfn.TEXTSPLIT(AS363, ","))), SUM(VALUE(_xlfn.TEXTSPLIT(AP363, ",")))*IF(P363, P363, 1))/16, 1), "#,##0.0"), " tiles{}")</f>
        <v>{BLACK}Length: {GOLD}9.0 tiles{}</v>
      </c>
      <c r="CI363" s="1" t="str">
        <f aca="false">IF(0, VLOOKUP($CG363, Constants!$M:$N, 2, FALSE()),"")</f>
        <v/>
      </c>
      <c r="CJ363" s="1" t="str">
        <f aca="false">IF(P363&gt;1,_xlfn.CONCAT("{BLACK}Cars: {GOLD}", P363),"")</f>
        <v>{BLACK}Cars: {GOLD}12</v>
      </c>
      <c r="CK363" s="1" t="s">
        <v>1370</v>
      </c>
      <c r="CL363" s="1" t="str">
        <f aca="false">IF($BX363="concept_trains","{GREEN}Concept Vehicle",IF($BX363="!param_no_gameplay_units","{GREEN}Included for gameplay purposes",""))</f>
        <v/>
      </c>
      <c r="CM363" s="26" t="str">
        <f aca="false">IF(CA363="buffet","{YELLOW}25% long distance bonus for consist{}",IF(CD363="BRAKE","{YELLOW}Speed bonus for slow wagons{}",IF(BZ363&gt;190,CONCATENATE("{YELLOW}",INT((BZ363-185)/1.85),"% bonus for long distance travel{}"),IF(AND(BZ363&lt;180,BZ363&lt;&gt;0),CONCATENATE("{YELLOW}",INT((185-BZ363)/1.85),"% penalty for long distance travel{}"),""))))</f>
        <v/>
      </c>
      <c r="CN363" s="1" t="str">
        <f aca="false">_xlfn.CONCAT(CI363,IF(CI363&lt;&gt;""," ",""),CJ363,IF(OR(CJ363&lt;&gt;"",CI363&lt;&gt;""),"{}",""),CH363,CM363,"{SILVER}",CK363,IF(CL363&lt;&gt;"","{}{}",""),CL363)</f>
        <v>{BLACK}Cars: {GOLD}12{}{BLACK}Length: {GOLD}9.0 tiles{}{SILVER}Stadler’s Class 745 units replaced Class 90 hauled trains on the GEML. The semi-articulated design was required to meet crashworthiness specifications.</v>
      </c>
    </row>
    <row r="364" customFormat="false" ht="14.25" hidden="false" customHeight="false" outlineLevel="0" collapsed="false">
      <c r="A364" s="1" t="s">
        <v>1371</v>
      </c>
      <c r="B364" s="15" t="s">
        <v>1372</v>
      </c>
      <c r="C364" s="1" t="n">
        <v>280</v>
      </c>
      <c r="E364" s="1" t="n">
        <v>428</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241</v>
      </c>
      <c r="J364" s="1" t="s">
        <v>466</v>
      </c>
      <c r="K364" s="1" t="s">
        <v>388</v>
      </c>
      <c r="L364" s="1" t="s">
        <v>389</v>
      </c>
      <c r="M364" s="1" t="n">
        <v>2018</v>
      </c>
      <c r="P364" s="1" t="n">
        <v>3</v>
      </c>
      <c r="Q364" s="1" t="n">
        <f aca="false">335*6</f>
        <v>2010</v>
      </c>
      <c r="Z364" s="1" t="n">
        <v>130</v>
      </c>
      <c r="AB364" s="1" t="n">
        <v>5</v>
      </c>
      <c r="AC364" s="1" t="n">
        <v>150</v>
      </c>
      <c r="AD364" s="4" t="n">
        <f aca="false">IF(AND(Z364&gt;0,AC364&gt;0),(AC364/((Z364+AA364)*10)),"")</f>
        <v>0.115384615384615</v>
      </c>
      <c r="AE364" s="1" t="n">
        <v>100</v>
      </c>
      <c r="AF364" s="1" t="n">
        <f aca="false">ROUND(AE364*1.6, 0)</f>
        <v>160</v>
      </c>
      <c r="AH364" s="1" t="n">
        <v>23</v>
      </c>
      <c r="AI364" s="1" t="n">
        <v>23</v>
      </c>
      <c r="AL364" s="5" t="n">
        <v>69</v>
      </c>
      <c r="AM364" s="1" t="str">
        <f aca="false">CONCATENATE(VLOOKUP(AN364, 'Voxel Sizes'!$A$2:$B$18,2,FALSE()),"x",INT(AJ364*15), "x", INT(AK364*15))</f>
        <v>214x0x0</v>
      </c>
      <c r="AN364" s="1" t="n">
        <f aca="false">ROUND(15*((AI364*10)/256),0)</f>
        <v>13</v>
      </c>
      <c r="AP364" s="1" t="str">
        <f aca="false">CONCATENATE(VLOOKUP(AN364,Constants!$A$2:$C$16,IF(AO364&lt;&gt;"", 3, 2), FALSE()),IF(AO364&lt;&gt;"",CONCATENATE(",",VLOOKUP(AO364,$B:$AP,41,FALSE())),""))</f>
        <v>4,5,4</v>
      </c>
      <c r="AT364" s="1" t="s">
        <v>1373</v>
      </c>
      <c r="AV364" s="1" t="s">
        <v>468</v>
      </c>
      <c r="AZ364" s="1" t="n">
        <v>32</v>
      </c>
      <c r="BA364" s="16" t="str">
        <f aca="false">IF(O364&lt;&gt;"",MAX(16,(O364-M364)+8),"")</f>
        <v/>
      </c>
      <c r="BB364" s="1" t="n">
        <v>-15</v>
      </c>
      <c r="BC364" s="1" t="n">
        <v>-32</v>
      </c>
      <c r="BD364" s="1" t="n">
        <f aca="false">MIN(AE364/150, 1)*30</f>
        <v>20</v>
      </c>
      <c r="BE364" s="1" t="n">
        <f aca="false">MIN(Q364/4000, 1)*20</f>
        <v>10.05</v>
      </c>
      <c r="BF364" s="1" t="n">
        <f aca="false">MIN(AC364/400,1)*20</f>
        <v>7.5</v>
      </c>
      <c r="BG364" s="4" t="n">
        <f aca="false">1-(MAX(M364-1900, 0)/750)</f>
        <v>0.842666666666667</v>
      </c>
      <c r="BH364" s="1" t="n">
        <f aca="false">((MAX($P364,1)*MIN($AL364/300,1)))*IF(J364="Wagon",50,10)</f>
        <v>6.9</v>
      </c>
      <c r="BI364" s="1" t="n">
        <f aca="false">VLOOKUP($K364,Constants!$I:$K, 2, FALSE())</f>
        <v>0.85</v>
      </c>
      <c r="BJ364" s="1" t="n">
        <f aca="false">VLOOKUP($K364,Constants!$I:$K, 3, FALSE())*IF(AND(J364="multiple_unit",AE364&lt;110),0.75,1)</f>
        <v>1.725</v>
      </c>
      <c r="BK364" s="1" t="n">
        <f aca="false">INT(POWER(((Constants!$G$2+$BD364+$BE364+$BF364+$BH364)*$BG364)*$BJ364, 1.05))+$BC364</f>
        <v>57</v>
      </c>
      <c r="BL364" s="1" t="n">
        <f aca="false">INT(POWER((((Constants!$G$1+$BD364+$BE364+$BF364+$BH364)*($BG364))*$BI364),IF($J364="wagon",1,1.2)))+$BB364</f>
        <v>75</v>
      </c>
      <c r="BM364" s="17" t="n">
        <f aca="false">BK364*IF($J364="wagon",62.5,781.25)</f>
        <v>44531.25</v>
      </c>
      <c r="BN364" s="17" t="n">
        <f aca="false">BL364*IF($J364="wagon",2.73,81.25)</f>
        <v>6093.75</v>
      </c>
      <c r="BU364" s="1" t="str">
        <f aca="false">IF(J364="locomotive","B","")</f>
        <v/>
      </c>
      <c r="BV364" s="1" t="str">
        <f aca="false">IF(OR($J364="locomotive",$J364="wagon"),"B","")</f>
        <v/>
      </c>
      <c r="BY364" s="1" t="n">
        <v>11</v>
      </c>
      <c r="BZ364" s="1" t="n">
        <v>185</v>
      </c>
      <c r="CC364" s="1" t="s">
        <v>367</v>
      </c>
      <c r="CD364" s="1" t="str">
        <f aca="false">VLOOKUP(M364,Eras!$A$2:$C$10, 2, TRUE())</f>
        <v>mod</v>
      </c>
      <c r="CE364" s="1" t="s">
        <v>858</v>
      </c>
      <c r="CF364" s="1" t="str">
        <f aca="false">CONCATENATE(CD364,"_",CE364)</f>
        <v>mod_EMU</v>
      </c>
      <c r="CG364" s="1" t="str">
        <f aca="false">_xlfn.CONCAT(K364, "_",L364)</f>
        <v>electric_ELRL</v>
      </c>
      <c r="CH364" s="7" t="str">
        <f aca="false">_xlfn.CONCAT("{BLACK}Length: {GOLD}", TEXT(ROUNDUP(IF(AS364&lt;&gt;"",SUM(VALUE(_xlfn.TEXTSPLIT(AS364, ","))), SUM(VALUE(_xlfn.TEXTSPLIT(AP364, ",")))*IF(P364, P364, 1))/16, 1), "#,##0.0"), " tiles{}")</f>
        <v>{BLACK}Length: {GOLD}2.5 tiles{}</v>
      </c>
      <c r="CI364" s="1" t="str">
        <f aca="false">IF(0, VLOOKUP($CG364, Constants!$M:$N, 2, FALSE()),"")</f>
        <v/>
      </c>
      <c r="CJ364" s="1" t="str">
        <f aca="false">IF(P364&gt;1,_xlfn.CONCAT("{BLACK}Cars: {GOLD}", P364),"")</f>
        <v>{BLACK}Cars: {GOLD}3</v>
      </c>
      <c r="CK364" s="1" t="s">
        <v>1374</v>
      </c>
      <c r="CL364" s="1" t="str">
        <f aca="false">IF($BX364="concept_trains","{GREEN}Concept Vehicle",IF($BX364="!param_no_gameplay_units","{GREEN}Included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
      </c>
      <c r="CN364" s="1" t="str">
        <f aca="false">_xlfn.CONCAT(CI364,IF(CI364&lt;&gt;""," ",""),CJ364,IF(OR(CJ364&lt;&gt;"",CI364&lt;&gt;""),"{}",""),CH364,CM364,"{SILVER}",CK364,IF(CL364&lt;&gt;"","{}{}",""),CL364)</f>
        <v>{BLACK}Cars: {GOLD}3{}{BLACK}Length: {GOLD}2.5 tiles{}{SILVER}The Class 385 was built for use on newly electrified lines in Scotland. Unlike most AT200 variants, it has cab end doors to allow for trolley services throughout the train.</v>
      </c>
    </row>
    <row r="365" customFormat="false" ht="14.25" hidden="false" customHeight="false" outlineLevel="0" collapsed="false">
      <c r="A365" s="1" t="s">
        <v>1375</v>
      </c>
      <c r="B365" s="15" t="s">
        <v>1376</v>
      </c>
      <c r="C365" s="1" t="n">
        <v>281</v>
      </c>
      <c r="E365" s="1" t="n">
        <v>429</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241</v>
      </c>
      <c r="J365" s="1" t="s">
        <v>466</v>
      </c>
      <c r="K365" s="1" t="s">
        <v>710</v>
      </c>
      <c r="L365" s="1" t="s">
        <v>753</v>
      </c>
      <c r="M365" s="1" t="n">
        <v>2016</v>
      </c>
      <c r="P365" s="1" t="n">
        <v>8</v>
      </c>
      <c r="Q365" s="1" t="n">
        <v>4400</v>
      </c>
      <c r="R365" s="2" t="n">
        <v>2560</v>
      </c>
      <c r="Z365" s="1" t="n">
        <v>278</v>
      </c>
      <c r="AB365" s="1" t="n">
        <v>6</v>
      </c>
      <c r="AC365" s="1" t="n">
        <v>225</v>
      </c>
      <c r="AD365" s="4" t="n">
        <f aca="false">IF(AND(Z365&gt;0,AC365&gt;0),(AC365/((Z365+AA365)*10)),"")</f>
        <v>0.0809352517985612</v>
      </c>
      <c r="AE365" s="1" t="n">
        <v>100</v>
      </c>
      <c r="AF365" s="1" t="n">
        <f aca="false">ROUND(AE365*1.6, 0)</f>
        <v>160</v>
      </c>
      <c r="AH365" s="1" t="n">
        <v>20.2</v>
      </c>
      <c r="AI365" s="1" t="n">
        <v>20.2</v>
      </c>
      <c r="AL365" s="5" t="n">
        <v>69</v>
      </c>
      <c r="AM365" s="1" t="str">
        <f aca="false">CONCATENATE(VLOOKUP(AN365, 'Voxel Sizes'!$A$2:$B$18,2,FALSE()),"x",INT(AJ365*15), "x", INT(AK365*15))</f>
        <v>198x0x0</v>
      </c>
      <c r="AN365" s="1" t="n">
        <f aca="false">ROUND(15*((AI365*10)/256),0)</f>
        <v>12</v>
      </c>
      <c r="AP365" s="1" t="str">
        <f aca="false">CONCATENATE(VLOOKUP(AN365,Constants!$A$2:$C$16,IF(AO365&lt;&gt;"", 3, 2), FALSE()),IF(AO365&lt;&gt;"",CONCATENATE(",",VLOOKUP(AO365,$B:$AP,41,FALSE())),""))</f>
        <v>4,4,4</v>
      </c>
      <c r="AT365" s="1" t="s">
        <v>1377</v>
      </c>
      <c r="AU365" s="1" t="s">
        <v>1378</v>
      </c>
      <c r="AV365" s="1" t="s">
        <v>1379</v>
      </c>
      <c r="AZ365" s="1" t="n">
        <v>30</v>
      </c>
      <c r="BA365" s="16" t="str">
        <f aca="false">IF(O365&lt;&gt;"",MAX(16,(O365-M365)+8),"")</f>
        <v/>
      </c>
      <c r="BB365" s="1" t="n">
        <v>-15</v>
      </c>
      <c r="BC365" s="1" t="n">
        <v>-30</v>
      </c>
      <c r="BD365" s="1" t="n">
        <f aca="false">MIN(AE365/150, 1)*30</f>
        <v>20</v>
      </c>
      <c r="BE365" s="1" t="n">
        <f aca="false">MIN(Q365/4000, 1)*20</f>
        <v>20</v>
      </c>
      <c r="BF365" s="1" t="n">
        <f aca="false">MIN(AC365/400,1)*20</f>
        <v>11.25</v>
      </c>
      <c r="BG365" s="4" t="n">
        <f aca="false">1-(MAX(M365-1900, 0)/750)</f>
        <v>0.845333333333333</v>
      </c>
      <c r="BH365" s="1" t="n">
        <f aca="false">((MAX($P365,1)*MIN($AL365/300,1)))*IF(J365="Wagon",50,10)</f>
        <v>18.4</v>
      </c>
      <c r="BI365" s="1" t="n">
        <f aca="false">VLOOKUP($K365,Constants!$I:$K, 2, FALSE())</f>
        <v>0.85</v>
      </c>
      <c r="BJ365" s="1" t="n">
        <f aca="false">VLOOKUP($K365,Constants!$I:$K, 3, FALSE())*IF(AND(J365="multiple_unit",AE365&lt;110),0.75,1)</f>
        <v>1.8</v>
      </c>
      <c r="BK365" s="1" t="n">
        <f aca="false">INT(POWER(((Constants!$G$2+$BD365+$BE365+$BF365+$BH365)*$BG365)*$BJ365, 1.05))+$BC365</f>
        <v>113</v>
      </c>
      <c r="BL365" s="1" t="n">
        <f aca="false">INT(POWER((((Constants!$G$1+$BD365+$BE365+$BF365+$BH365)*($BG365))*$BI365),IF($J365="wagon",1,1.2)))+$BB365</f>
        <v>123</v>
      </c>
      <c r="BM365" s="17" t="n">
        <f aca="false">BK365*IF($J365="wagon",62.5,781.25)</f>
        <v>88281.25</v>
      </c>
      <c r="BN365" s="17" t="n">
        <f aca="false">BL365*IF($J365="wagon",2.73,81.25)</f>
        <v>9993.75</v>
      </c>
      <c r="BU365" s="1" t="str">
        <f aca="false">IF(J365="locomotive","B","")</f>
        <v/>
      </c>
      <c r="BV365" s="1" t="str">
        <f aca="false">IF(OR($J365="locomotive",$J365="wagon"),"B","")</f>
        <v/>
      </c>
      <c r="BX365" s="1" t="s">
        <v>1247</v>
      </c>
      <c r="BY365" s="1" t="n">
        <v>3</v>
      </c>
      <c r="CC365" s="1" t="s">
        <v>367</v>
      </c>
      <c r="CD365" s="1" t="str">
        <f aca="false">VLOOKUP(M365,Eras!$A$2:$C$10, 2, TRUE())</f>
        <v>mod</v>
      </c>
      <c r="CE365" s="1" t="s">
        <v>858</v>
      </c>
      <c r="CF365" s="1" t="str">
        <f aca="false">CONCATENATE(CD365,"_",CE365)</f>
        <v>mod_EMU</v>
      </c>
      <c r="CG365" s="1" t="str">
        <f aca="false">_xlfn.CONCAT(K365, "_",L365)</f>
        <v>dual_electric_DUAL_POWER</v>
      </c>
      <c r="CH365" s="7" t="str">
        <f aca="false">_xlfn.CONCAT("{BLACK}Length: {GOLD}", TEXT(ROUNDUP(IF(AS365&lt;&gt;"",SUM(VALUE(_xlfn.TEXTSPLIT(AS365, ","))), SUM(VALUE(_xlfn.TEXTSPLIT(AP365, ",")))*IF(P365, P365, 1))/16, 1), "#,##0.0"), " tiles{}")</f>
        <v>{BLACK}Length: {GOLD}6.0 tiles{}</v>
      </c>
      <c r="CI365" s="1" t="str">
        <f aca="false">IF(0, VLOOKUP($CG365, Constants!$M:$N, 2, FALSE()),"")</f>
        <v/>
      </c>
      <c r="CJ365" s="1" t="str">
        <f aca="false">IF(P365&gt;1,_xlfn.CONCAT("{BLACK}Cars: {GOLD}", P365),"")</f>
        <v>{BLACK}Cars: {GOLD}8</v>
      </c>
      <c r="CK365" s="1" t="s">
        <v>1380</v>
      </c>
      <c r="CL365" s="1" t="str">
        <f aca="false">IF($BX365="concept_trains","{GREEN}Concept Vehicle",IF($BX365="!param_no_gameplay_units","{GREEN}Included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
      </c>
      <c r="CN365" s="1" t="str">
        <f aca="false">_xlfn.CONCAT(CI365,IF(CI365&lt;&gt;""," ",""),CJ365,IF(OR(CJ365&lt;&gt;"",CI365&lt;&gt;""),"{}",""),CH365,CM365,"{SILVER}",CK365,IF(CL365&lt;&gt;"","{}{}",""),CL365)</f>
        <v>{BLACK}Cars: {GOLD}8{}{BLACK}Length: {GOLD}6.0 tiles{}{SILVER}The Class 700 was one of multiple designs evaluated for the Thameslink programme. Although one of the more conventional designs, it offered good capacity and passenger comfort with a relatively low axle load.</v>
      </c>
    </row>
    <row r="366" customFormat="false" ht="14.25" hidden="false" customHeight="false" outlineLevel="0" collapsed="false">
      <c r="A366" s="1" t="s">
        <v>1381</v>
      </c>
      <c r="B366" s="15" t="s">
        <v>1382</v>
      </c>
      <c r="C366" s="1" t="n">
        <v>4081</v>
      </c>
      <c r="D366" s="1" t="n">
        <v>281</v>
      </c>
      <c r="E366" s="1" t="n">
        <v>430</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241</v>
      </c>
      <c r="J366" s="1" t="s">
        <v>466</v>
      </c>
      <c r="K366" s="1" t="s">
        <v>710</v>
      </c>
      <c r="L366" s="1" t="s">
        <v>753</v>
      </c>
      <c r="M366" s="1" t="n">
        <v>2016</v>
      </c>
      <c r="P366" s="1" t="n">
        <v>12</v>
      </c>
      <c r="Q366" s="1" t="n">
        <v>6700</v>
      </c>
      <c r="R366" s="2" t="n">
        <v>2560</v>
      </c>
      <c r="Z366" s="1" t="n">
        <v>410</v>
      </c>
      <c r="AB366" s="1" t="n">
        <v>6</v>
      </c>
      <c r="AC366" s="1" t="n">
        <v>225</v>
      </c>
      <c r="AD366" s="4" t="n">
        <f aca="false">IF(AND(Z366&gt;0,AC366&gt;0),(AC366/((Z366+AA366)*10)),"")</f>
        <v>0.0548780487804878</v>
      </c>
      <c r="AE366" s="1" t="n">
        <v>100</v>
      </c>
      <c r="AF366" s="1" t="n">
        <f aca="false">ROUND(AE366*1.6, 0)</f>
        <v>160</v>
      </c>
      <c r="AH366" s="1" t="n">
        <v>20.2</v>
      </c>
      <c r="AI366" s="1" t="n">
        <v>20.2</v>
      </c>
      <c r="AL366" s="5" t="n">
        <v>69</v>
      </c>
      <c r="AM366" s="1" t="str">
        <f aca="false">CONCATENATE(VLOOKUP(AN366, 'Voxel Sizes'!$A$2:$B$18,2,FALSE()),"x",INT(AJ366*15), "x", INT(AK366*15))</f>
        <v>198x0x0</v>
      </c>
      <c r="AN366" s="1" t="n">
        <f aca="false">ROUND(15*((AI366*10)/256),0)</f>
        <v>12</v>
      </c>
      <c r="AP366" s="1" t="str">
        <f aca="false">CONCATENATE(VLOOKUP(AN366,Constants!$A$2:$C$16,IF(AO366&lt;&gt;"", 3, 2), FALSE()),IF(AO366&lt;&gt;"",CONCATENATE(",",VLOOKUP(AO366,$B:$AP,41,FALSE())),""))</f>
        <v>4,4,4</v>
      </c>
      <c r="AT366" s="1" t="s">
        <v>1383</v>
      </c>
      <c r="AU366" s="1" t="s">
        <v>1378</v>
      </c>
      <c r="AV366" s="1" t="s">
        <v>1384</v>
      </c>
      <c r="AW366" s="1" t="s">
        <v>1376</v>
      </c>
      <c r="AZ366" s="1" t="n">
        <v>30</v>
      </c>
      <c r="BA366" s="16" t="str">
        <f aca="false">IF(O366&lt;&gt;"",MAX(16,(O366-M366)+8),"")</f>
        <v/>
      </c>
      <c r="BB366" s="1" t="n">
        <v>-15</v>
      </c>
      <c r="BC366" s="1" t="n">
        <v>-30</v>
      </c>
      <c r="BD366" s="1" t="n">
        <f aca="false">MIN(AE366/150, 1)*30</f>
        <v>20</v>
      </c>
      <c r="BE366" s="1" t="n">
        <f aca="false">MIN(Q366/4000, 1)*20</f>
        <v>20</v>
      </c>
      <c r="BF366" s="1" t="n">
        <f aca="false">MIN(AC366/400,1)*20</f>
        <v>11.25</v>
      </c>
      <c r="BG366" s="4" t="n">
        <f aca="false">1-(MAX(M366-1900, 0)/750)</f>
        <v>0.845333333333333</v>
      </c>
      <c r="BH366" s="1" t="n">
        <f aca="false">((MAX($P366,1)*MIN($AL366/300,1)))*IF(J366="Wagon",50,10)</f>
        <v>27.6</v>
      </c>
      <c r="BI366" s="1" t="n">
        <f aca="false">VLOOKUP($K366,Constants!$I:$K, 2, FALSE())</f>
        <v>0.85</v>
      </c>
      <c r="BJ366" s="1" t="n">
        <f aca="false">VLOOKUP($K366,Constants!$I:$K, 3, FALSE())*IF(AND(J366="multiple_unit",AE366&lt;110),0.75,1)</f>
        <v>1.8</v>
      </c>
      <c r="BK366" s="1" t="n">
        <f aca="false">INT(POWER(((Constants!$G$2+$BD366+$BE366+$BF366+$BH366)*$BG366)*$BJ366, 1.05))+$BC366</f>
        <v>132</v>
      </c>
      <c r="BL366" s="1" t="n">
        <f aca="false">INT(POWER((((Constants!$G$1+$BD366+$BE366+$BF366+$BH366)*($BG366))*$BI366),IF($J366="wagon",1,1.2)))+$BB366</f>
        <v>141</v>
      </c>
      <c r="BM366" s="17" t="n">
        <f aca="false">BK366*IF($J366="wagon",62.5,781.25)</f>
        <v>103125</v>
      </c>
      <c r="BN366" s="17" t="n">
        <f aca="false">BL366*IF($J366="wagon",2.73,81.25)</f>
        <v>11456.25</v>
      </c>
      <c r="BU366" s="1" t="str">
        <f aca="false">IF(J366="locomotive","B","")</f>
        <v/>
      </c>
      <c r="BV366" s="1" t="str">
        <f aca="false">IF(OR($J366="locomotive",$J366="wagon"),"B","")</f>
        <v/>
      </c>
      <c r="BX366" s="1" t="s">
        <v>1247</v>
      </c>
      <c r="BY366" s="1" t="n">
        <v>3</v>
      </c>
      <c r="CC366" s="1" t="s">
        <v>367</v>
      </c>
      <c r="CD366" s="1" t="str">
        <f aca="false">VLOOKUP(M366,Eras!$A$2:$C$10, 2, TRUE())</f>
        <v>mod</v>
      </c>
      <c r="CE366" s="1" t="s">
        <v>858</v>
      </c>
      <c r="CF366" s="1" t="str">
        <f aca="false">CONCATENATE(CD366,"_",CE366)</f>
        <v>mod_EMU</v>
      </c>
      <c r="CG366" s="1" t="str">
        <f aca="false">_xlfn.CONCAT(K366, "_",L366)</f>
        <v>dual_electric_DUAL_POWER</v>
      </c>
      <c r="CH366" s="7" t="str">
        <f aca="false">_xlfn.CONCAT("{BLACK}Length: {GOLD}", TEXT(ROUNDUP(IF(AS366&lt;&gt;"",SUM(VALUE(_xlfn.TEXTSPLIT(AS366, ","))), SUM(VALUE(_xlfn.TEXTSPLIT(AP366, ",")))*IF(P366, P366, 1))/16, 1), "#,##0.0"), " tiles{}")</f>
        <v>{BLACK}Length: {GOLD}9.0 tiles{}</v>
      </c>
      <c r="CI366" s="1" t="str">
        <f aca="false">IF(0, VLOOKUP($CG366, Constants!$M:$N, 2, FALSE()),"")</f>
        <v/>
      </c>
      <c r="CJ366" s="1" t="str">
        <f aca="false">IF(P366&gt;1,_xlfn.CONCAT("{BLACK}Cars: {GOLD}", P366),"")</f>
        <v>{BLACK}Cars: {GOLD}12</v>
      </c>
      <c r="CK366" s="1" t="s">
        <v>1380</v>
      </c>
      <c r="CL366" s="1" t="str">
        <f aca="false">IF($BX366="concept_trains","{GREEN}Concept Vehicle",IF($BX366="!param_no_gameplay_units","{GREEN}Included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
      </c>
      <c r="CN366" s="1" t="str">
        <f aca="false">_xlfn.CONCAT(CI366,IF(CI366&lt;&gt;""," ",""),CJ366,IF(OR(CJ366&lt;&gt;"",CI366&lt;&gt;""),"{}",""),CH366,CM366,"{SILVER}",CK366,IF(CL366&lt;&gt;"","{}{}",""),CL366)</f>
        <v>{BLACK}Cars: {GOLD}12{}{BLACK}Length: {GOLD}9.0 tiles{}{SILVER}The Class 700 was one of multiple designs evaluated for the Thameslink programme. Although one of the more conventional designs, it offered good capacity and passenger comfort with a relatively low axle load.</v>
      </c>
    </row>
    <row r="367" customFormat="false" ht="14.25" hidden="false" customHeight="false" outlineLevel="0" collapsed="false">
      <c r="A367" s="1" t="s">
        <v>1385</v>
      </c>
      <c r="B367" s="15" t="s">
        <v>1386</v>
      </c>
      <c r="C367" s="1" t="n">
        <v>287</v>
      </c>
      <c r="E367" s="1" t="n">
        <v>431</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241</v>
      </c>
      <c r="J367" s="1" t="s">
        <v>466</v>
      </c>
      <c r="K367" s="1" t="s">
        <v>710</v>
      </c>
      <c r="L367" s="1" t="s">
        <v>753</v>
      </c>
      <c r="M367" s="1" t="n">
        <v>2016</v>
      </c>
      <c r="P367" s="1" t="n">
        <v>5</v>
      </c>
      <c r="Q367" s="1" t="n">
        <v>4400</v>
      </c>
      <c r="R367" s="2" t="n">
        <v>2560</v>
      </c>
      <c r="Z367" s="1" t="n">
        <v>278</v>
      </c>
      <c r="AB367" s="1" t="n">
        <v>6</v>
      </c>
      <c r="AC367" s="1" t="n">
        <v>225</v>
      </c>
      <c r="AD367" s="4" t="n">
        <f aca="false">IF(AND(Z367&gt;0,AC367&gt;0),(AC367/((Z367+AA367)*10)),"")</f>
        <v>0.0809352517985612</v>
      </c>
      <c r="AE367" s="1" t="n">
        <v>100</v>
      </c>
      <c r="AF367" s="1" t="n">
        <f aca="false">ROUND(AE367*1.6, 0)</f>
        <v>160</v>
      </c>
      <c r="AH367" s="1" t="n">
        <v>20.2</v>
      </c>
      <c r="AI367" s="1" t="n">
        <v>20.2</v>
      </c>
      <c r="AL367" s="5" t="n">
        <v>69</v>
      </c>
      <c r="AM367" s="1" t="str">
        <f aca="false">CONCATENATE(VLOOKUP(AN367, 'Voxel Sizes'!$A$2:$B$18,2,FALSE()),"x",INT(AJ367*15), "x", INT(AK367*15))</f>
        <v>198x0x0</v>
      </c>
      <c r="AN367" s="1" t="n">
        <f aca="false">ROUND(15*((AI367*10)/256),0)</f>
        <v>12</v>
      </c>
      <c r="AP367" s="1" t="str">
        <f aca="false">CONCATENATE(VLOOKUP(AN367,Constants!$A$2:$C$16,IF(AO367&lt;&gt;"", 3, 2), FALSE()),IF(AO367&lt;&gt;"",CONCATENATE(",",VLOOKUP(AO367,$B:$AP,41,FALSE())),""))</f>
        <v>4,4,4</v>
      </c>
      <c r="AT367" s="1" t="s">
        <v>1387</v>
      </c>
      <c r="AU367" s="1" t="s">
        <v>1378</v>
      </c>
      <c r="AV367" s="1" t="s">
        <v>889</v>
      </c>
      <c r="AW367" s="1" t="s">
        <v>1376</v>
      </c>
      <c r="AZ367" s="1" t="n">
        <v>30</v>
      </c>
      <c r="BA367" s="16" t="str">
        <f aca="false">IF(O367&lt;&gt;"",MAX(16,(O367-M367)+8),"")</f>
        <v/>
      </c>
      <c r="BB367" s="1" t="n">
        <v>-15</v>
      </c>
      <c r="BC367" s="1" t="n">
        <v>-30</v>
      </c>
      <c r="BD367" s="1" t="n">
        <f aca="false">MIN(AE367/150, 1)*30</f>
        <v>20</v>
      </c>
      <c r="BE367" s="1" t="n">
        <f aca="false">MIN(Q367/4000, 1)*20</f>
        <v>20</v>
      </c>
      <c r="BF367" s="1" t="n">
        <f aca="false">MIN(AC367/400,1)*20</f>
        <v>11.25</v>
      </c>
      <c r="BG367" s="4" t="n">
        <f aca="false">1-(MAX(M367-1900, 0)/750)</f>
        <v>0.845333333333333</v>
      </c>
      <c r="BH367" s="1" t="n">
        <f aca="false">((MAX($P367,1)*MIN($AL367/300,1)))*IF(J367="Wagon",50,10)</f>
        <v>11.5</v>
      </c>
      <c r="BI367" s="1" t="n">
        <f aca="false">VLOOKUP($K367,Constants!$I:$K, 2, FALSE())</f>
        <v>0.85</v>
      </c>
      <c r="BJ367" s="1" t="n">
        <f aca="false">VLOOKUP($K367,Constants!$I:$K, 3, FALSE())*IF(AND(J367="multiple_unit",AE367&lt;110),0.75,1)</f>
        <v>1.8</v>
      </c>
      <c r="BK367" s="1" t="n">
        <f aca="false">INT(POWER(((Constants!$G$2+$BD367+$BE367+$BF367+$BH367)*$BG367)*$BJ367, 1.05))+$BC367</f>
        <v>99</v>
      </c>
      <c r="BL367" s="1" t="n">
        <f aca="false">INT(POWER((((Constants!$G$1+$BD367+$BE367+$BF367+$BH367)*($BG367))*$BI367),IF($J367="wagon",1,1.2)))+$BB367</f>
        <v>109</v>
      </c>
      <c r="BM367" s="17" t="n">
        <f aca="false">BK367*IF($J367="wagon",62.5,781.25)</f>
        <v>77343.75</v>
      </c>
      <c r="BN367" s="17" t="n">
        <f aca="false">BL367*IF($J367="wagon",2.73,81.25)</f>
        <v>8856.25</v>
      </c>
      <c r="BU367" s="1" t="str">
        <f aca="false">IF(J367="locomotive","B","")</f>
        <v/>
      </c>
      <c r="BV367" s="1" t="str">
        <f aca="false">IF(OR($J367="locomotive",$J367="wagon"),"B","")</f>
        <v/>
      </c>
      <c r="BX367" s="1" t="s">
        <v>1252</v>
      </c>
      <c r="BY367" s="1" t="n">
        <v>3</v>
      </c>
      <c r="CC367" s="1" t="s">
        <v>367</v>
      </c>
      <c r="CD367" s="1" t="str">
        <f aca="false">VLOOKUP(M367,Eras!$A$2:$C$10, 2, TRUE())</f>
        <v>mod</v>
      </c>
      <c r="CE367" s="1" t="s">
        <v>858</v>
      </c>
      <c r="CF367" s="1" t="str">
        <f aca="false">CONCATENATE(CD367,"_",CE367)</f>
        <v>mod_EMU</v>
      </c>
      <c r="CG367" s="1" t="str">
        <f aca="false">_xlfn.CONCAT(K367, "_",L367)</f>
        <v>dual_electric_DUAL_POWER</v>
      </c>
      <c r="CH367" s="7" t="str">
        <f aca="false">_xlfn.CONCAT("{BLACK}Length: {GOLD}", TEXT(ROUNDUP(IF(AS367&lt;&gt;"",SUM(VALUE(_xlfn.TEXTSPLIT(AS367, ","))), SUM(VALUE(_xlfn.TEXTSPLIT(AP367, ",")))*IF(P367, P367, 1))/16, 1), "#,##0.0"), " tiles{}")</f>
        <v>{BLACK}Length: {GOLD}3.8 tiles{}</v>
      </c>
      <c r="CI367" s="1" t="str">
        <f aca="false">IF(0, VLOOKUP($CG367, Constants!$M:$N, 2, FALSE()),"")</f>
        <v/>
      </c>
      <c r="CJ367" s="1" t="str">
        <f aca="false">IF(P367&gt;1,_xlfn.CONCAT("{BLACK}Cars: {GOLD}", P367),"")</f>
        <v>{BLACK}Cars: {GOLD}5</v>
      </c>
      <c r="CK367" s="1" t="s">
        <v>1380</v>
      </c>
      <c r="CL367" s="1" t="str">
        <f aca="false">IF($BX367="concept_trains","{GREEN}Concept Vehicle",IF($BX367="!param_no_gameplay_units","{GREEN}Included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
      </c>
      <c r="CN367" s="1" t="str">
        <f aca="false">_xlfn.CONCAT(CI367,IF(CI367&lt;&gt;""," ",""),CJ367,IF(OR(CJ367&lt;&gt;"",CI367&lt;&gt;""),"{}",""),CH367,CM367,"{SILVER}",CK367,IF(CL367&lt;&gt;"","{}{}",""),CL367)</f>
        <v>{BLACK}Cars: {GOLD}5{}{BLACK}Length: {GOLD}3.8 tiles{}{SILVER}The Class 700 was one of multiple designs evaluated for the Thameslink programme. Although one of the more conventional designs, it offered good capacity and passenger comfort with a relatively low axle load.</v>
      </c>
    </row>
    <row r="368" customFormat="false" ht="14.25" hidden="false" customHeight="false" outlineLevel="0" collapsed="false">
      <c r="A368" s="1" t="s">
        <v>1388</v>
      </c>
      <c r="B368" s="15" t="s">
        <v>1389</v>
      </c>
      <c r="C368" s="1" t="n">
        <v>283</v>
      </c>
      <c r="E368" s="1" t="n">
        <v>432</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241</v>
      </c>
      <c r="J368" s="1" t="s">
        <v>466</v>
      </c>
      <c r="K368" s="1" t="s">
        <v>388</v>
      </c>
      <c r="L368" s="1" t="s">
        <v>541</v>
      </c>
      <c r="M368" s="1" t="n">
        <v>2017</v>
      </c>
      <c r="P368" s="1" t="n">
        <v>5</v>
      </c>
      <c r="Q368" s="1" t="n">
        <v>1600</v>
      </c>
      <c r="Z368" s="1" t="n">
        <v>173</v>
      </c>
      <c r="AB368" s="1" t="n">
        <v>6</v>
      </c>
      <c r="AC368" s="1" t="n">
        <v>175</v>
      </c>
      <c r="AD368" s="4" t="n">
        <f aca="false">IF(AND(Z368&gt;0,AC368&gt;0),(AC368/((Z368+AA368)*10)),"")</f>
        <v>0.101156069364162</v>
      </c>
      <c r="AE368" s="1" t="n">
        <v>100</v>
      </c>
      <c r="AF368" s="1" t="n">
        <f aca="false">ROUND(AE368*1.6, 0)</f>
        <v>160</v>
      </c>
      <c r="AH368" s="1" t="n">
        <v>20</v>
      </c>
      <c r="AI368" s="1" t="n">
        <v>20</v>
      </c>
      <c r="AJ368" s="1" t="n">
        <v>2.8</v>
      </c>
      <c r="AL368" s="5" t="n">
        <v>69</v>
      </c>
      <c r="AM368" s="1" t="str">
        <f aca="false">CONCATENATE(VLOOKUP(AN368, 'Voxel Sizes'!$A$2:$B$18,2,FALSE()),"x",INT(AJ368*15), "x", INT(AK368*15))</f>
        <v>198x42x0</v>
      </c>
      <c r="AN368" s="1" t="n">
        <f aca="false">ROUND(15*((AI368*10)/256),0)</f>
        <v>12</v>
      </c>
      <c r="AP368" s="1" t="str">
        <f aca="false">CONCATENATE(VLOOKUP(AN368,Constants!$A$2:$C$16,IF(AO368&lt;&gt;"", 3, 2), FALSE()),IF(AO368&lt;&gt;"",CONCATENATE(",",VLOOKUP(AO368,$B:$AP,41,FALSE())),""))</f>
        <v>4,4,4</v>
      </c>
      <c r="AT368" s="1" t="s">
        <v>1390</v>
      </c>
      <c r="AV368" s="1" t="s">
        <v>1391</v>
      </c>
      <c r="AZ368" s="1" t="n">
        <v>30</v>
      </c>
      <c r="BA368" s="16" t="str">
        <f aca="false">IF(O368&lt;&gt;"",MAX(16,(O368-M368)+8),"")</f>
        <v/>
      </c>
      <c r="BB368" s="1" t="n">
        <v>-15</v>
      </c>
      <c r="BC368" s="1" t="n">
        <v>-30</v>
      </c>
      <c r="BD368" s="1" t="n">
        <f aca="false">MIN(AE368/150, 1)*30</f>
        <v>20</v>
      </c>
      <c r="BE368" s="1" t="n">
        <f aca="false">MIN(Q368/4000, 1)*20</f>
        <v>8</v>
      </c>
      <c r="BF368" s="1" t="n">
        <f aca="false">MIN(AC368/400,1)*20</f>
        <v>8.75</v>
      </c>
      <c r="BG368" s="4" t="n">
        <f aca="false">1-(MAX(M368-1900, 0)/750)</f>
        <v>0.844</v>
      </c>
      <c r="BH368" s="1" t="n">
        <f aca="false">((MAX($P368,1)*MIN($AL368/300,1)))*IF(J368="Wagon",50,10)</f>
        <v>11.5</v>
      </c>
      <c r="BI368" s="1" t="n">
        <f aca="false">VLOOKUP($K368,Constants!$I:$K, 2, FALSE())</f>
        <v>0.85</v>
      </c>
      <c r="BJ368" s="1" t="n">
        <f aca="false">VLOOKUP($K368,Constants!$I:$K, 3, FALSE())*IF(AND(J368="multiple_unit",AE368&lt;110),0.75,1)</f>
        <v>1.725</v>
      </c>
      <c r="BK368" s="1" t="n">
        <f aca="false">INT(POWER(((Constants!$G$2+$BD368+$BE368+$BF368+$BH368)*$BG368)*$BJ368, 1.05))+$BC368</f>
        <v>66</v>
      </c>
      <c r="BL368" s="1" t="n">
        <f aca="false">INT(POWER((((Constants!$G$1+$BD368+$BE368+$BF368+$BH368)*($BG368))*$BI368),IF($J368="wagon",1,1.2)))+$BB368</f>
        <v>82</v>
      </c>
      <c r="BM368" s="17" t="n">
        <f aca="false">BK368*IF($J368="wagon",62.5,781.25)</f>
        <v>51562.5</v>
      </c>
      <c r="BN368" s="17" t="n">
        <f aca="false">BL368*IF($J368="wagon",2.73,81.25)</f>
        <v>6662.5</v>
      </c>
      <c r="BU368" s="1" t="str">
        <f aca="false">IF(J368="locomotive","B","")</f>
        <v/>
      </c>
      <c r="BV368" s="1" t="str">
        <f aca="false">IF(OR($J368="locomotive",$J368="wagon"),"B","")</f>
        <v/>
      </c>
      <c r="BY368" s="1" t="n">
        <v>4</v>
      </c>
      <c r="CC368" s="1" t="s">
        <v>367</v>
      </c>
      <c r="CD368" s="1" t="str">
        <f aca="false">VLOOKUP(M368,Eras!$A$2:$C$10, 2, TRUE())</f>
        <v>mod</v>
      </c>
      <c r="CE368" s="1" t="s">
        <v>858</v>
      </c>
      <c r="CF368" s="1" t="str">
        <f aca="false">CONCATENATE(CD368,"_",CE368)</f>
        <v>mod_EMU</v>
      </c>
      <c r="CG368" s="1" t="str">
        <f aca="false">_xlfn.CONCAT(K368, "_",L368)</f>
        <v>electric_THIRD_RAIL</v>
      </c>
      <c r="CH368" s="7" t="str">
        <f aca="false">_xlfn.CONCAT("{BLACK}Length: {GOLD}", TEXT(ROUNDUP(IF(AS368&lt;&gt;"",SUM(VALUE(_xlfn.TEXTSPLIT(AS368, ","))), SUM(VALUE(_xlfn.TEXTSPLIT(AP368, ",")))*IF(P368, P368, 1))/16, 1), "#,##0.0"), " tiles{}")</f>
        <v>{BLACK}Length: {GOLD}3.8 tiles{}</v>
      </c>
      <c r="CI368" s="1" t="str">
        <f aca="false">IF(0, VLOOKUP($CG368, Constants!$M:$N, 2, FALSE()),"")</f>
        <v/>
      </c>
      <c r="CJ368" s="1" t="str">
        <f aca="false">IF(P368&gt;1,_xlfn.CONCAT("{BLACK}Cars: {GOLD}", P368),"")</f>
        <v>{BLACK}Cars: {GOLD}5</v>
      </c>
      <c r="CK368" s="1" t="s">
        <v>1392</v>
      </c>
      <c r="CL368" s="1" t="str">
        <f aca="false">IF($BX368="concept_trains","{GREEN}Concept Vehicle",IF($BX368="!param_no_gameplay_units","{GREEN}Included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
      </c>
      <c r="CN368" s="1" t="str">
        <f aca="false">_xlfn.CONCAT(CI368,IF(CI368&lt;&gt;""," ",""),CJ368,IF(OR(CJ368&lt;&gt;"",CI368&lt;&gt;""),"{}",""),CH368,CM368,"{SILVER}",CK368,IF(CL368&lt;&gt;"","{}{}",""),CL368)</f>
        <v>{BLACK}Cars: {GOLD}5{}{BLACK}Length: {GOLD}3.8 tiles{}{SILVER}South West Trains procured the Class 707 as part of capacity improvements for routes out of London Waterloo.</v>
      </c>
    </row>
    <row r="369" s="1" customFormat="true" ht="14.25" hidden="false" customHeight="false" outlineLevel="0" collapsed="false">
      <c r="A369" s="1" t="s">
        <v>1393</v>
      </c>
      <c r="B369" s="27" t="s">
        <v>1394</v>
      </c>
      <c r="C369" s="1" t="n">
        <v>3095</v>
      </c>
      <c r="E369" s="1" t="n">
        <v>433</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241</v>
      </c>
      <c r="J369" s="1" t="s">
        <v>466</v>
      </c>
      <c r="K369" s="1" t="s">
        <v>710</v>
      </c>
      <c r="L369" s="1" t="s">
        <v>753</v>
      </c>
      <c r="M369" s="1" t="n">
        <v>2018</v>
      </c>
      <c r="P369" s="1" t="n">
        <v>6</v>
      </c>
      <c r="Q369" s="1" t="n">
        <v>4800</v>
      </c>
      <c r="R369" s="2" t="n">
        <v>2700</v>
      </c>
      <c r="S369" s="3"/>
      <c r="T369" s="3"/>
      <c r="U369" s="3"/>
      <c r="V369" s="3"/>
      <c r="W369" s="3"/>
      <c r="X369" s="3"/>
      <c r="Y369" s="3"/>
      <c r="Z369" s="1" t="n">
        <v>204</v>
      </c>
      <c r="AA369" s="2"/>
      <c r="AB369" s="1" t="n">
        <v>6</v>
      </c>
      <c r="AC369" s="1" t="n">
        <v>225</v>
      </c>
      <c r="AD369" s="4" t="n">
        <f aca="false">IF(AND(Z369&gt;0,AC369&gt;0),(AC369/((Z369+AA369)*10)),"")</f>
        <v>0.110294117647059</v>
      </c>
      <c r="AE369" s="1" t="n">
        <v>85</v>
      </c>
      <c r="AF369" s="1" t="n">
        <f aca="false">ROUND(AE369*1.6, 0)</f>
        <v>136</v>
      </c>
      <c r="AH369" s="1" t="n">
        <v>20.2</v>
      </c>
      <c r="AI369" s="1" t="n">
        <v>20.2</v>
      </c>
      <c r="AL369" s="5" t="n">
        <v>60</v>
      </c>
      <c r="AM369" s="1" t="str">
        <f aca="false">CONCATENATE(VLOOKUP(AN369, 'Voxel Sizes'!$A$2:$B$18,2,FALSE()),"x",INT(AJ369*15), "x", INT(AK369*15))</f>
        <v>198x0x0</v>
      </c>
      <c r="AN369" s="1" t="n">
        <f aca="false">ROUND(15*((AI369*10)/256),0)</f>
        <v>12</v>
      </c>
      <c r="AP369" s="1" t="str">
        <f aca="false">CONCATENATE(VLOOKUP(AN369,Constants!$A$2:$C$16,IF(AO369&lt;&gt;"", 3, 2), FALSE()),IF(AO369&lt;&gt;"",CONCATENATE(",",VLOOKUP(AO369,$B:$AP,41,FALSE())),""))</f>
        <v>4,4,4</v>
      </c>
      <c r="AR369" s="6"/>
      <c r="AS369" s="6"/>
      <c r="AT369" s="1" t="s">
        <v>1395</v>
      </c>
      <c r="AU369" s="1" t="s">
        <v>1396</v>
      </c>
      <c r="AV369" s="1" t="s">
        <v>1397</v>
      </c>
      <c r="AZ369" s="1" t="n">
        <v>30</v>
      </c>
      <c r="BA369" s="16" t="str">
        <f aca="false">IF(O369&lt;&gt;"",MAX(16,(O369-M369)+8),"")</f>
        <v/>
      </c>
      <c r="BB369" s="1" t="n">
        <v>-15</v>
      </c>
      <c r="BC369" s="1" t="n">
        <v>-30</v>
      </c>
      <c r="BD369" s="1" t="n">
        <f aca="false">MIN(AE369/150, 1)*30</f>
        <v>17</v>
      </c>
      <c r="BE369" s="1" t="n">
        <f aca="false">MIN(Q369/4000, 1)*20</f>
        <v>20</v>
      </c>
      <c r="BF369" s="1" t="n">
        <f aca="false">MIN(AC369/400,1)*20</f>
        <v>11.25</v>
      </c>
      <c r="BG369" s="4" t="n">
        <f aca="false">1-(MAX(M369-1900, 0)/750)</f>
        <v>0.842666666666667</v>
      </c>
      <c r="BH369" s="1" t="n">
        <f aca="false">((MAX($P369,1)*MIN($AL369/300,1)))*IF(J369="Wagon",50,10)</f>
        <v>12</v>
      </c>
      <c r="BI369" s="1" t="n">
        <f aca="false">VLOOKUP($K369,Constants!$I:$K, 2, FALSE())</f>
        <v>0.85</v>
      </c>
      <c r="BJ369" s="1" t="n">
        <f aca="false">VLOOKUP($K369,Constants!$I:$K, 3, FALSE())*IF(AND(J369="multiple_unit",AE369&lt;110),0.75,1)</f>
        <v>1.8</v>
      </c>
      <c r="BK369" s="1" t="n">
        <f aca="false">INT(POWER(((Constants!$G$2+$BD369+$BE369+$BF369+$BH369)*$BG369)*$BJ369, 1.05))+$BC369</f>
        <v>94</v>
      </c>
      <c r="BL369" s="1" t="n">
        <f aca="false">INT(POWER((((Constants!$G$1+$BD369+$BE369+$BF369+$BH369)*($BG369))*$BI369),IF($J369="wagon",1,1.2)))+$BB369</f>
        <v>104</v>
      </c>
      <c r="BM369" s="17" t="n">
        <f aca="false">BK369*IF($J369="wagon",62.5,781.25)</f>
        <v>73437.5</v>
      </c>
      <c r="BN369" s="17" t="n">
        <f aca="false">BL369*IF($J369="wagon",2.73,81.25)</f>
        <v>8450</v>
      </c>
      <c r="BU369" s="1" t="str">
        <f aca="false">IF(J369="locomotive","B","")</f>
        <v/>
      </c>
      <c r="BV369" s="1" t="str">
        <f aca="false">IF(OR($J369="locomotive",$J369="wagon"),"B","")</f>
        <v/>
      </c>
      <c r="BX369" s="1" t="s">
        <v>1247</v>
      </c>
      <c r="BY369" s="1" t="n">
        <v>3</v>
      </c>
      <c r="CC369" s="1" t="s">
        <v>367</v>
      </c>
      <c r="CD369" s="26" t="s">
        <v>799</v>
      </c>
      <c r="CE369" s="26" t="s">
        <v>858</v>
      </c>
      <c r="CF369" s="1" t="str">
        <f aca="false">CONCATENATE(CD369,"_",CE369)</f>
        <v>mod_EMU</v>
      </c>
      <c r="CG369" s="1" t="str">
        <f aca="false">_xlfn.CONCAT(K369, "_",L369)</f>
        <v>dual_electric_DUAL_POWER</v>
      </c>
      <c r="CH369" s="7" t="str">
        <f aca="false">_xlfn.CONCAT("{BLACK}Length: {GOLD}", TEXT(ROUNDUP(IF(AS369&lt;&gt;"",SUM(VALUE(_xlfn.TEXTSPLIT(AS369, ","))), SUM(VALUE(_xlfn.TEXTSPLIT(AP369, ",")))*IF(P369, P369, 1))/16, 1), "#,##0.0"), " tiles{}")</f>
        <v>{BLACK}Length: {GOLD}4.5 tiles{}</v>
      </c>
      <c r="CI369" s="1" t="str">
        <f aca="false">IF(0, VLOOKUP($CG369, Constants!$M:$N, 2, FALSE()),"")</f>
        <v/>
      </c>
      <c r="CJ369" s="1" t="str">
        <f aca="false">IF(P369&gt;1,_xlfn.CONCAT("{BLACK}Cars: {GOLD}", P369),"")</f>
        <v>{BLACK}Cars: {GOLD}6</v>
      </c>
      <c r="CK369" s="1" t="s">
        <v>1398</v>
      </c>
      <c r="CL369" s="1" t="str">
        <f aca="false">IF($BX369="concept_trains","{GREEN}Concept Vehicle",IF($BX369="!param_no_gameplay_units","{GREEN}Included for gameplay purposes",""))</f>
        <v/>
      </c>
      <c r="CM369" s="26" t="str">
        <f aca="false">IF(CA369="buffet","{YELLOW}25% long distance bonus for consist{}",IF(CD369="BRAKE","{YELLOW}Speed bonus for slow wagons{}",IF(BZ369&gt;190,CONCATENATE("{YELLOW}",INT((BZ369-185)/1.85),"% bonus for long distance travel{}"),IF(AND(BZ369&lt;180,BZ369&lt;&gt;0),CONCATENATE("{YELLOW}",INT((185-BZ369)/1.85),"% penalty for long distance travel{}"),""))))</f>
        <v/>
      </c>
      <c r="CN369" s="1" t="str">
        <f aca="false">_xlfn.CONCAT(CI369,IF(CI369&lt;&gt;""," ",""),CJ369,IF(OR(CJ369&lt;&gt;"",CI369&lt;&gt;""),"{}",""),CH369,CM369,"{SILVER}",CK369,IF(CL369&lt;&gt;"","{}{}",""),CL369)</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70" customFormat="false" ht="14.25" hidden="false" customHeight="false" outlineLevel="0" collapsed="false">
      <c r="A370" s="1" t="s">
        <v>1399</v>
      </c>
      <c r="B370" s="15" t="s">
        <v>1400</v>
      </c>
      <c r="C370" s="1" t="n">
        <v>284</v>
      </c>
      <c r="E370" s="1" t="n">
        <v>434</v>
      </c>
      <c r="F370" s="1" t="s">
        <v>189</v>
      </c>
      <c r="G370" s="1" t="str">
        <f aca="false">IF($F370&lt;&gt;"",_xlfn.CONCAT(VLOOKUP($CE370, Constants!$T:$U, 2, FALSE()),",",$F370),VLOOKUP($CE370, Constants!$T:$U, 2, FALSE()))</f>
        <v>role/passenger,_ww_livery/overground</v>
      </c>
      <c r="H370" s="1" t="str">
        <f aca="false">IF($G370&lt;&gt;"",_xlfn.CONCAT(VLOOKUP($CG370, Constants!$M:$P, 4, FALSE()),",",$G370),VLOOKUP($CG370, Constants!$M:$P, 4, FALSE()))</f>
        <v>flag/GB,power/electric,role/passenger,_ww_livery/overground</v>
      </c>
      <c r="I370" s="1" t="s">
        <v>241</v>
      </c>
      <c r="J370" s="1" t="s">
        <v>466</v>
      </c>
      <c r="K370" s="1" t="s">
        <v>710</v>
      </c>
      <c r="L370" s="1" t="s">
        <v>753</v>
      </c>
      <c r="M370" s="1" t="n">
        <v>2019</v>
      </c>
      <c r="P370" s="1" t="n">
        <v>4</v>
      </c>
      <c r="Q370" s="1" t="n">
        <v>1800</v>
      </c>
      <c r="R370" s="2" t="n">
        <v>1600</v>
      </c>
      <c r="Z370" s="1" t="n">
        <v>151</v>
      </c>
      <c r="AB370" s="1" t="n">
        <v>6</v>
      </c>
      <c r="AC370" s="1" t="n">
        <v>160</v>
      </c>
      <c r="AD370" s="4" t="n">
        <f aca="false">IF(AND(Z370&gt;0,AC370&gt;0),(AC370/((Z370+AA370)*10)),"")</f>
        <v>0.105960264900662</v>
      </c>
      <c r="AE370" s="1" t="n">
        <v>75</v>
      </c>
      <c r="AF370" s="1" t="n">
        <f aca="false">ROUND(AE370*1.6, 0)</f>
        <v>120</v>
      </c>
      <c r="AH370" s="1" t="n">
        <v>21.44</v>
      </c>
      <c r="AI370" s="1" t="n">
        <v>21.4</v>
      </c>
      <c r="AL370" s="5" t="n">
        <v>78</v>
      </c>
      <c r="AM370" s="1" t="str">
        <f aca="false">CONCATENATE(VLOOKUP(AN370, 'Voxel Sizes'!$A$2:$B$18,2,FALSE()),"x",INT(AJ370*15), "x", INT(AK370*15))</f>
        <v>214x0x0</v>
      </c>
      <c r="AN370" s="1" t="n">
        <f aca="false">ROUND(15*((AI370*10)/256),0)</f>
        <v>13</v>
      </c>
      <c r="AP370" s="1" t="str">
        <f aca="false">CONCATENATE(VLOOKUP(AN370,Constants!$A$2:$C$16,IF(AO370&lt;&gt;"", 3, 2), FALSE()),IF(AO370&lt;&gt;"",CONCATENATE(",",VLOOKUP(AO370,$B:$AP,41,FALSE())),""))</f>
        <v>4,5,4</v>
      </c>
      <c r="AT370" s="1" t="s">
        <v>1401</v>
      </c>
      <c r="AU370" s="1" t="s">
        <v>1402</v>
      </c>
      <c r="AV370" s="1" t="s">
        <v>966</v>
      </c>
      <c r="AZ370" s="1" t="n">
        <v>30</v>
      </c>
      <c r="BA370" s="16" t="str">
        <f aca="false">IF(O370&lt;&gt;"",MAX(16,(O370-M370)+8),"")</f>
        <v/>
      </c>
      <c r="BB370" s="1" t="n">
        <v>-19</v>
      </c>
      <c r="BC370" s="1" t="n">
        <v>-25</v>
      </c>
      <c r="BD370" s="1" t="n">
        <f aca="false">MIN(AE370/150, 1)*30</f>
        <v>15</v>
      </c>
      <c r="BE370" s="1" t="n">
        <f aca="false">MIN(Q370/4000, 1)*20</f>
        <v>9</v>
      </c>
      <c r="BF370" s="1" t="n">
        <f aca="false">MIN(AC370/400,1)*20</f>
        <v>8</v>
      </c>
      <c r="BG370" s="4" t="n">
        <f aca="false">1-(MAX(M370-1900, 0)/750)</f>
        <v>0.841333333333333</v>
      </c>
      <c r="BH370" s="1" t="n">
        <f aca="false">((MAX($P370,1)*MIN($AL370/300,1)))*IF(J370="Wagon",50,10)</f>
        <v>10.4</v>
      </c>
      <c r="BI370" s="1" t="n">
        <f aca="false">VLOOKUP($K370,Constants!$I:$K, 2, FALSE())</f>
        <v>0.85</v>
      </c>
      <c r="BJ370" s="1" t="n">
        <f aca="false">VLOOKUP($K370,Constants!$I:$K, 3, FALSE())*IF(AND(J370="multiple_unit",AE370&lt;110),0.75,1)</f>
        <v>1.8</v>
      </c>
      <c r="BK370" s="1" t="n">
        <f aca="false">INT(POWER(((Constants!$G$2+$BD370+$BE370+$BF370+$BH370)*$BG370)*$BJ370, 1.05))+$BC370</f>
        <v>63</v>
      </c>
      <c r="BL370" s="1" t="n">
        <f aca="false">INT(POWER((((Constants!$G$1+$BD370+$BE370+$BF370+$BH370)*($BG370))*$BI370),IF($J370="wagon",1,1.2)))+$BB370</f>
        <v>67</v>
      </c>
      <c r="BM370" s="17" t="n">
        <f aca="false">BK370*IF($J370="wagon",62.5,781.25)</f>
        <v>49218.75</v>
      </c>
      <c r="BN370" s="17" t="n">
        <f aca="false">BL370*IF($J370="wagon",2.73,81.25)</f>
        <v>5443.75</v>
      </c>
      <c r="BU370" s="1" t="str">
        <f aca="false">IF(J370="locomotive","B","")</f>
        <v/>
      </c>
      <c r="BV370" s="1" t="str">
        <f aca="false">IF(OR($J370="locomotive",$J370="wagon"),"B","")</f>
        <v/>
      </c>
      <c r="BY370" s="1" t="n">
        <v>2</v>
      </c>
      <c r="BZ370" s="1" t="n">
        <v>165</v>
      </c>
      <c r="CC370" s="1" t="s">
        <v>367</v>
      </c>
      <c r="CD370" s="1" t="str">
        <f aca="false">VLOOKUP(M370,Eras!$A$2:$C$10, 2, TRUE())</f>
        <v>mod</v>
      </c>
      <c r="CE370" s="1" t="s">
        <v>858</v>
      </c>
      <c r="CF370" s="1" t="str">
        <f aca="false">CONCATENATE(CD370,"_",CE370)</f>
        <v>mod_EMU</v>
      </c>
      <c r="CG370" s="1" t="str">
        <f aca="false">_xlfn.CONCAT(K370, "_",L370)</f>
        <v>dual_electric_DUAL_POWER</v>
      </c>
      <c r="CH370" s="7" t="str">
        <f aca="false">_xlfn.CONCAT("{BLACK}Length: {GOLD}", TEXT(ROUNDUP(IF(AS370&lt;&gt;"",SUM(VALUE(_xlfn.TEXTSPLIT(AS370, ","))), SUM(VALUE(_xlfn.TEXTSPLIT(AP370, ",")))*IF(P370, P370, 1))/16, 1), "#,##0.0"), " tiles{}")</f>
        <v>{BLACK}Length: {GOLD}3.3 tiles{}</v>
      </c>
      <c r="CI370" s="1" t="str">
        <f aca="false">IF(0, VLOOKUP($CG370, Constants!$M:$N, 2, FALSE()),"")</f>
        <v/>
      </c>
      <c r="CJ370" s="1" t="str">
        <f aca="false">IF(P370&gt;1,_xlfn.CONCAT("{BLACK}Cars: {GOLD}", P370),"")</f>
        <v>{BLACK}Cars: {GOLD}4</v>
      </c>
      <c r="CK370" s="1" t="s">
        <v>1403</v>
      </c>
      <c r="CL370" s="1" t="str">
        <f aca="false">IF($BX370="concept_trains","{GREEN}Concept Vehicle",IF($BX370="!param_no_gameplay_units","{GREEN}Included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{YELLOW}10% penalty for long distance travel{}</v>
      </c>
      <c r="CN370" s="1" t="str">
        <f aca="false">_xlfn.CONCAT(CI370,IF(CI370&lt;&gt;""," ",""),CJ370,IF(OR(CJ370&lt;&gt;"",CI370&lt;&gt;""),"{}",""),CH370,CM370,"{SILVER}",CK370,IF(CL370&lt;&gt;"","{}{}",""),CL370)</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71" customFormat="false" ht="14.25" hidden="false" customHeight="false" outlineLevel="0" collapsed="false">
      <c r="A371" s="1" t="s">
        <v>1404</v>
      </c>
      <c r="B371" s="15" t="s">
        <v>1405</v>
      </c>
      <c r="C371" s="1" t="n">
        <v>282</v>
      </c>
      <c r="E371" s="1" t="n">
        <v>435</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241</v>
      </c>
      <c r="J371" s="1" t="s">
        <v>466</v>
      </c>
      <c r="K371" s="1" t="s">
        <v>388</v>
      </c>
      <c r="L371" s="1" t="s">
        <v>389</v>
      </c>
      <c r="M371" s="1" t="n">
        <v>2017</v>
      </c>
      <c r="P371" s="1" t="n">
        <v>9</v>
      </c>
      <c r="Q371" s="1" t="n">
        <v>1900</v>
      </c>
      <c r="Z371" s="1" t="n">
        <v>264</v>
      </c>
      <c r="AB371" s="1" t="n">
        <v>7</v>
      </c>
      <c r="AC371" s="1" t="n">
        <v>220</v>
      </c>
      <c r="AD371" s="4" t="n">
        <f aca="false">IF(AND(Z371&gt;0,AC371&gt;0),(AC371/((Z371+AA371)*10)),"")</f>
        <v>0.0833333333333333</v>
      </c>
      <c r="AE371" s="1" t="n">
        <v>90</v>
      </c>
      <c r="AF371" s="1" t="n">
        <f aca="false">ROUND(AE371*1.6, 0)</f>
        <v>144</v>
      </c>
      <c r="AH371" s="1" t="n">
        <v>22.7</v>
      </c>
      <c r="AI371" s="1" t="n">
        <v>22.7</v>
      </c>
      <c r="AL371" s="5" t="n">
        <v>78</v>
      </c>
      <c r="AM371" s="1" t="str">
        <f aca="false">CONCATENATE(VLOOKUP(AN371, 'Voxel Sizes'!$A$2:$B$18,2,FALSE()),"x",INT(AJ371*15), "x", INT(AK371*15))</f>
        <v>214x0x0</v>
      </c>
      <c r="AN371" s="1" t="n">
        <f aca="false">ROUND(15*((AI371*10)/256),0)</f>
        <v>13</v>
      </c>
      <c r="AP371" s="1" t="str">
        <f aca="false">CONCATENATE(VLOOKUP(AN371,Constants!$A$2:$C$16,IF(AO371&lt;&gt;"", 3, 2), FALSE()),IF(AO371&lt;&gt;"",CONCATENATE(",",VLOOKUP(AO371,$B:$AP,41,FALSE())),""))</f>
        <v>4,5,4</v>
      </c>
      <c r="AT371" s="1" t="s">
        <v>1406</v>
      </c>
      <c r="AV371" s="1" t="s">
        <v>1407</v>
      </c>
      <c r="AZ371" s="1" t="n">
        <v>30</v>
      </c>
      <c r="BA371" s="16" t="str">
        <f aca="false">IF(O371&lt;&gt;"",MAX(16,(O371-M371)+8),"")</f>
        <v/>
      </c>
      <c r="BB371" s="1" t="n">
        <v>-19</v>
      </c>
      <c r="BC371" s="1" t="n">
        <v>-22</v>
      </c>
      <c r="BD371" s="1" t="n">
        <f aca="false">MIN(AE371/150, 1)*30</f>
        <v>18</v>
      </c>
      <c r="BE371" s="1" t="n">
        <f aca="false">MIN(Q371/4000, 1)*20</f>
        <v>9.5</v>
      </c>
      <c r="BF371" s="1" t="n">
        <f aca="false">MIN(AC371/400,1)*20</f>
        <v>11</v>
      </c>
      <c r="BG371" s="4" t="n">
        <f aca="false">1-(MAX(M371-1900, 0)/750)</f>
        <v>0.844</v>
      </c>
      <c r="BH371" s="1" t="n">
        <f aca="false">((MAX($P371,1)*MIN($AL371/300,1)))*IF(J371="Wagon",50,10)</f>
        <v>23.4</v>
      </c>
      <c r="BI371" s="1" t="n">
        <f aca="false">VLOOKUP($K371,Constants!$I:$K, 2, FALSE())</f>
        <v>0.85</v>
      </c>
      <c r="BJ371" s="1" t="n">
        <f aca="false">VLOOKUP($K371,Constants!$I:$K, 3, FALSE())*IF(AND(J371="multiple_unit",AE371&lt;110),0.75,1)</f>
        <v>1.725</v>
      </c>
      <c r="BK371" s="1" t="n">
        <f aca="false">INT(POWER(((Constants!$G$2+$BD371+$BE371+$BF371+$BH371)*$BG371)*$BJ371, 1.05))+$BC371</f>
        <v>100</v>
      </c>
      <c r="BL371" s="1" t="n">
        <f aca="false">INT(POWER((((Constants!$G$1+$BD371+$BE371+$BF371+$BH371)*($BG371))*$BI371),IF($J371="wagon",1,1.2)))+$BB371</f>
        <v>104</v>
      </c>
      <c r="BM371" s="17" t="n">
        <f aca="false">BK371*IF($J371="wagon",62.5,781.25)</f>
        <v>78125</v>
      </c>
      <c r="BN371" s="17" t="n">
        <f aca="false">BL371*IF($J371="wagon",2.73,81.25)</f>
        <v>8450</v>
      </c>
      <c r="BU371" s="1" t="str">
        <f aca="false">IF(J371="locomotive","B","")</f>
        <v/>
      </c>
      <c r="BV371" s="1" t="str">
        <f aca="false">IF(OR($J371="locomotive",$J371="wagon"),"B","")</f>
        <v/>
      </c>
      <c r="BX371" s="1" t="s">
        <v>1015</v>
      </c>
      <c r="BY371" s="1" t="n">
        <v>1</v>
      </c>
      <c r="BZ371" s="1" t="n">
        <v>165</v>
      </c>
      <c r="CC371" s="1" t="s">
        <v>367</v>
      </c>
      <c r="CD371" s="1" t="str">
        <f aca="false">VLOOKUP(M371,Eras!$A$2:$C$10, 2, TRUE())</f>
        <v>mod</v>
      </c>
      <c r="CE371" s="1" t="s">
        <v>858</v>
      </c>
      <c r="CF371" s="1" t="str">
        <f aca="false">CONCATENATE(CD371,"_",CE371)</f>
        <v>mod_EMU</v>
      </c>
      <c r="CG371" s="1" t="str">
        <f aca="false">_xlfn.CONCAT(K371, "_",L371)</f>
        <v>electric_ELRL</v>
      </c>
      <c r="CH371" s="7" t="str">
        <f aca="false">_xlfn.CONCAT("{BLACK}Length: {GOLD}", TEXT(ROUNDUP(IF(AS371&lt;&gt;"",SUM(VALUE(_xlfn.TEXTSPLIT(AS371, ","))), SUM(VALUE(_xlfn.TEXTSPLIT(AP371, ",")))*IF(P371, P371, 1))/16, 1), "#,##0.0"), " tiles{}")</f>
        <v>{BLACK}Length: {GOLD}7.4 tiles{}</v>
      </c>
      <c r="CI371" s="1" t="str">
        <f aca="false">IF(0, VLOOKUP($CG371, Constants!$M:$N, 2, FALSE()),"")</f>
        <v/>
      </c>
      <c r="CJ371" s="1" t="str">
        <f aca="false">IF(P371&gt;1,_xlfn.CONCAT("{BLACK}Cars: {GOLD}", P371),"")</f>
        <v>{BLACK}Cars: {GOLD}9</v>
      </c>
      <c r="CK371" s="1" t="s">
        <v>1408</v>
      </c>
      <c r="CL371" s="1" t="str">
        <f aca="false">IF($BX371="concept_trains","{GREEN}Concept Vehicle",IF($BX371="!param_no_gameplay_units","{GREEN}Included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{YELLOW}10% penalty for long distance travel{}</v>
      </c>
      <c r="CN371" s="1" t="str">
        <f aca="false">_xlfn.CONCAT(CI371,IF(CI371&lt;&gt;""," ",""),CJ371,IF(OR(CJ371&lt;&gt;"",CI371&lt;&gt;""),"{}",""),CH371,CM371,"{SILVER}",CK371,IF(CL371&lt;&gt;"","{}{}",""),CL371)</f>
        <v>{BLACK}Cars: {GOLD}9{}{BLACK}Length: {GOLD}7.4 tiles{}{YELLOW}10% penalty for long distance travel{}{SILVER}Designed for London's Crossrail route, the Class 345 entered service on TfL Rail between Liverpool Street and Shenfield.</v>
      </c>
    </row>
    <row r="372" customFormat="false" ht="14.25" hidden="false" customHeight="false" outlineLevel="0" collapsed="false">
      <c r="A372" s="1" t="s">
        <v>1404</v>
      </c>
      <c r="B372" s="15" t="s">
        <v>1409</v>
      </c>
      <c r="C372" s="1" t="n">
        <v>285</v>
      </c>
      <c r="E372" s="1" t="n">
        <v>436</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241</v>
      </c>
      <c r="J372" s="1" t="s">
        <v>466</v>
      </c>
      <c r="K372" s="1" t="s">
        <v>388</v>
      </c>
      <c r="L372" s="1" t="s">
        <v>389</v>
      </c>
      <c r="M372" s="1" t="n">
        <v>2017</v>
      </c>
      <c r="P372" s="1" t="n">
        <v>7</v>
      </c>
      <c r="Q372" s="1" t="n">
        <v>1900</v>
      </c>
      <c r="Z372" s="1" t="n">
        <v>264</v>
      </c>
      <c r="AB372" s="1" t="n">
        <v>7</v>
      </c>
      <c r="AC372" s="1" t="n">
        <v>220</v>
      </c>
      <c r="AD372" s="4" t="n">
        <f aca="false">IF(AND(Z372&gt;0,AC372&gt;0),(AC372/((Z372+AA372)*10)),"")</f>
        <v>0.0833333333333333</v>
      </c>
      <c r="AE372" s="1" t="n">
        <v>90</v>
      </c>
      <c r="AF372" s="1" t="n">
        <f aca="false">ROUND(AE372*1.6, 0)</f>
        <v>144</v>
      </c>
      <c r="AH372" s="1" t="n">
        <v>22.7</v>
      </c>
      <c r="AI372" s="1" t="n">
        <v>22.7</v>
      </c>
      <c r="AL372" s="5" t="n">
        <v>78</v>
      </c>
      <c r="AM372" s="1" t="str">
        <f aca="false">CONCATENATE(VLOOKUP(AN372, 'Voxel Sizes'!$A$2:$B$18,2,FALSE()),"x",INT(AJ372*15), "x", INT(AK372*15))</f>
        <v>214x0x0</v>
      </c>
      <c r="AN372" s="1" t="n">
        <f aca="false">ROUND(15*((AI372*10)/256),0)</f>
        <v>13</v>
      </c>
      <c r="AP372" s="1" t="str">
        <f aca="false">CONCATENATE(VLOOKUP(AN372,Constants!$A$2:$C$16,IF(AO372&lt;&gt;"", 3, 2), FALSE()),IF(AO372&lt;&gt;"",CONCATENATE(",",VLOOKUP(AO372,$B:$AP,41,FALSE())),""))</f>
        <v>4,5,4</v>
      </c>
      <c r="AT372" s="1" t="s">
        <v>1410</v>
      </c>
      <c r="AV372" s="1" t="s">
        <v>1302</v>
      </c>
      <c r="AW372" s="1" t="s">
        <v>1405</v>
      </c>
      <c r="AZ372" s="1" t="n">
        <v>30</v>
      </c>
      <c r="BA372" s="16" t="str">
        <f aca="false">IF(O372&lt;&gt;"",MAX(16,(O372-M372)+8),"")</f>
        <v/>
      </c>
      <c r="BB372" s="1" t="n">
        <v>-19</v>
      </c>
      <c r="BC372" s="1" t="n">
        <v>-22</v>
      </c>
      <c r="BD372" s="1" t="n">
        <f aca="false">MIN(AE372/150, 1)*30</f>
        <v>18</v>
      </c>
      <c r="BE372" s="1" t="n">
        <f aca="false">MIN(Q372/4000, 1)*20</f>
        <v>9.5</v>
      </c>
      <c r="BF372" s="1" t="n">
        <f aca="false">MIN(AC372/400,1)*20</f>
        <v>11</v>
      </c>
      <c r="BG372" s="4" t="n">
        <f aca="false">1-(MAX(M372-1900, 0)/750)</f>
        <v>0.844</v>
      </c>
      <c r="BH372" s="1" t="n">
        <f aca="false">((MAX($P372,1)*MIN($AL372/300,1)))*IF(J372="Wagon",50,10)</f>
        <v>18.2</v>
      </c>
      <c r="BI372" s="1" t="n">
        <f aca="false">VLOOKUP($K372,Constants!$I:$K, 2, FALSE())</f>
        <v>0.85</v>
      </c>
      <c r="BJ372" s="1" t="n">
        <f aca="false">VLOOKUP($K372,Constants!$I:$K, 3, FALSE())*IF(AND(J372="multiple_unit",AE372&lt;110),0.75,1)</f>
        <v>1.725</v>
      </c>
      <c r="BK372" s="1" t="n">
        <f aca="false">INT(POWER(((Constants!$G$2+$BD372+$BE372+$BF372+$BH372)*$BG372)*$BJ372, 1.05))+$BC372</f>
        <v>90</v>
      </c>
      <c r="BL372" s="1" t="n">
        <f aca="false">INT(POWER((((Constants!$G$1+$BD372+$BE372+$BF372+$BH372)*($BG372))*$BI372),IF($J372="wagon",1,1.2)))+$BB372</f>
        <v>94</v>
      </c>
      <c r="BM372" s="17" t="n">
        <f aca="false">BK372*IF($J372="wagon",62.5,781.25)</f>
        <v>70312.5</v>
      </c>
      <c r="BN372" s="17" t="n">
        <f aca="false">BL372*IF($J372="wagon",2.73,81.25)</f>
        <v>7637.5</v>
      </c>
      <c r="BU372" s="1" t="str">
        <f aca="false">IF(J372="locomotive","B","")</f>
        <v/>
      </c>
      <c r="BV372" s="1" t="str">
        <f aca="false">IF(OR($J372="locomotive",$J372="wagon"),"B","")</f>
        <v/>
      </c>
      <c r="BX372" s="1" t="s">
        <v>1279</v>
      </c>
      <c r="BY372" s="1" t="n">
        <v>1</v>
      </c>
      <c r="BZ372" s="1" t="n">
        <v>165</v>
      </c>
      <c r="CC372" s="1" t="s">
        <v>367</v>
      </c>
      <c r="CD372" s="1" t="str">
        <f aca="false">VLOOKUP(M372,Eras!$A$2:$C$10, 2, TRUE())</f>
        <v>mod</v>
      </c>
      <c r="CE372" s="1" t="s">
        <v>858</v>
      </c>
      <c r="CF372" s="1" t="str">
        <f aca="false">CONCATENATE(CD372,"_",CE372)</f>
        <v>mod_EMU</v>
      </c>
      <c r="CG372" s="1" t="str">
        <f aca="false">_xlfn.CONCAT(K372, "_",L372)</f>
        <v>electric_ELRL</v>
      </c>
      <c r="CH372" s="7" t="str">
        <f aca="false">_xlfn.CONCAT("{BLACK}Length: {GOLD}", TEXT(ROUNDUP(IF(AS372&lt;&gt;"",SUM(VALUE(_xlfn.TEXTSPLIT(AS372, ","))), SUM(VALUE(_xlfn.TEXTSPLIT(AP372, ",")))*IF(P372, P372, 1))/16, 1), "#,##0.0"), " tiles{}")</f>
        <v>{BLACK}Length: {GOLD}5.7 tiles{}</v>
      </c>
      <c r="CI372" s="1" t="str">
        <f aca="false">IF(0, VLOOKUP($CG372, Constants!$M:$N, 2, FALSE()),"")</f>
        <v/>
      </c>
      <c r="CJ372" s="1" t="str">
        <f aca="false">IF(P372&gt;1,_xlfn.CONCAT("{BLACK}Cars: {GOLD}", P372),"")</f>
        <v>{BLACK}Cars: {GOLD}7</v>
      </c>
      <c r="CK372" s="1" t="s">
        <v>1408</v>
      </c>
      <c r="CL372" s="1" t="str">
        <f aca="false">IF($BX372="concept_trains","{GREEN}Concept Vehicle",IF($BX372="!param_no_gameplay_units","{GREEN}Included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{YELLOW}10% penalty for long distance travel{}</v>
      </c>
      <c r="CN372" s="1" t="str">
        <f aca="false">_xlfn.CONCAT(CI372,IF(CI372&lt;&gt;""," ",""),CJ372,IF(OR(CJ372&lt;&gt;"",CI372&lt;&gt;""),"{}",""),CH372,CM372,"{SILVER}",CK372,IF(CL372&lt;&gt;"","{}{}",""),CL372)</f>
        <v>{BLACK}Cars: {GOLD}7{}{BLACK}Length: {GOLD}5.7 tiles{}{YELLOW}10% penalty for long distance travel{}{SILVER}Designed for London's Crossrail route, the Class 345 entered service on TfL Rail between Liverpool Street and Shenfield.</v>
      </c>
    </row>
    <row r="373" customFormat="false" ht="14.25" hidden="false" customHeight="false" outlineLevel="0" collapsed="false">
      <c r="A373" s="1" t="s">
        <v>1404</v>
      </c>
      <c r="B373" s="15" t="s">
        <v>1411</v>
      </c>
      <c r="C373" s="1" t="n">
        <v>286</v>
      </c>
      <c r="E373" s="1" t="n">
        <v>437</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241</v>
      </c>
      <c r="J373" s="1" t="s">
        <v>466</v>
      </c>
      <c r="K373" s="1" t="s">
        <v>388</v>
      </c>
      <c r="L373" s="1" t="s">
        <v>389</v>
      </c>
      <c r="M373" s="1" t="n">
        <v>2017</v>
      </c>
      <c r="P373" s="1" t="n">
        <v>4</v>
      </c>
      <c r="Q373" s="1" t="n">
        <v>1900</v>
      </c>
      <c r="Z373" s="1" t="n">
        <v>264</v>
      </c>
      <c r="AB373" s="1" t="n">
        <v>7</v>
      </c>
      <c r="AC373" s="1" t="n">
        <v>220</v>
      </c>
      <c r="AD373" s="4" t="n">
        <f aca="false">IF(AND(Z373&gt;0,AC373&gt;0),(AC373/((Z373+AA373)*10)),"")</f>
        <v>0.0833333333333333</v>
      </c>
      <c r="AE373" s="1" t="n">
        <v>90</v>
      </c>
      <c r="AF373" s="1" t="n">
        <f aca="false">ROUND(AE373*1.6, 0)</f>
        <v>144</v>
      </c>
      <c r="AH373" s="1" t="n">
        <v>22.7</v>
      </c>
      <c r="AI373" s="1" t="n">
        <v>22.7</v>
      </c>
      <c r="AL373" s="5" t="n">
        <v>78</v>
      </c>
      <c r="AM373" s="1" t="str">
        <f aca="false">CONCATENATE(VLOOKUP(AN373, 'Voxel Sizes'!$A$2:$B$18,2,FALSE()),"x",INT(AJ373*15), "x", INT(AK373*15))</f>
        <v>214x0x0</v>
      </c>
      <c r="AN373" s="1" t="n">
        <f aca="false">ROUND(15*((AI373*10)/256),0)</f>
        <v>13</v>
      </c>
      <c r="AP373" s="1" t="str">
        <f aca="false">CONCATENATE(VLOOKUP(AN373,Constants!$A$2:$C$16,IF(AO373&lt;&gt;"", 3, 2), FALSE()),IF(AO373&lt;&gt;"",CONCATENATE(",",VLOOKUP(AO373,$B:$AP,41,FALSE())),""))</f>
        <v>4,5,4</v>
      </c>
      <c r="AT373" s="1" t="s">
        <v>1412</v>
      </c>
      <c r="AV373" s="1" t="s">
        <v>834</v>
      </c>
      <c r="AW373" s="1" t="s">
        <v>1405</v>
      </c>
      <c r="AZ373" s="1" t="n">
        <v>30</v>
      </c>
      <c r="BA373" s="16" t="str">
        <f aca="false">IF(O373&lt;&gt;"",MAX(16,(O373-M373)+8),"")</f>
        <v/>
      </c>
      <c r="BB373" s="1" t="n">
        <v>-19</v>
      </c>
      <c r="BC373" s="1" t="n">
        <v>-22</v>
      </c>
      <c r="BD373" s="1" t="n">
        <f aca="false">MIN(AE373/150, 1)*30</f>
        <v>18</v>
      </c>
      <c r="BE373" s="1" t="n">
        <f aca="false">MIN(Q373/4000, 1)*20</f>
        <v>9.5</v>
      </c>
      <c r="BF373" s="1" t="n">
        <f aca="false">MIN(AC373/400,1)*20</f>
        <v>11</v>
      </c>
      <c r="BG373" s="4" t="n">
        <f aca="false">1-(MAX(M373-1900, 0)/750)</f>
        <v>0.844</v>
      </c>
      <c r="BH373" s="1" t="n">
        <f aca="false">((MAX($P373,1)*MIN($AL373/300,1)))*IF(J373="Wagon",50,10)</f>
        <v>10.4</v>
      </c>
      <c r="BI373" s="1" t="n">
        <f aca="false">VLOOKUP($K373,Constants!$I:$K, 2, FALSE())</f>
        <v>0.85</v>
      </c>
      <c r="BJ373" s="1" t="n">
        <f aca="false">VLOOKUP($K373,Constants!$I:$K, 3, FALSE())*IF(AND(J373="multiple_unit",AE373&lt;110),0.75,1)</f>
        <v>1.725</v>
      </c>
      <c r="BK373" s="1" t="n">
        <f aca="false">INT(POWER(((Constants!$G$2+$BD373+$BE373+$BF373+$BH373)*$BG373)*$BJ373, 1.05))+$BC373</f>
        <v>75</v>
      </c>
      <c r="BL373" s="1" t="n">
        <f aca="false">INT(POWER((((Constants!$G$1+$BD373+$BE373+$BF373+$BH373)*($BG373))*$BI373),IF($J373="wagon",1,1.2)))+$BB373</f>
        <v>79</v>
      </c>
      <c r="BM373" s="17" t="n">
        <f aca="false">BK373*IF($J373="wagon",62.5,781.25)</f>
        <v>58593.75</v>
      </c>
      <c r="BN373" s="17" t="n">
        <f aca="false">BL373*IF($J373="wagon",2.73,81.25)</f>
        <v>6418.75</v>
      </c>
      <c r="BU373" s="1" t="str">
        <f aca="false">IF(J373="locomotive","B","")</f>
        <v/>
      </c>
      <c r="BV373" s="1" t="str">
        <f aca="false">IF(OR($J373="locomotive",$J373="wagon"),"B","")</f>
        <v/>
      </c>
      <c r="BX373" s="1" t="s">
        <v>1252</v>
      </c>
      <c r="BY373" s="1" t="n">
        <v>1</v>
      </c>
      <c r="BZ373" s="1" t="n">
        <v>165</v>
      </c>
      <c r="CC373" s="1" t="s">
        <v>367</v>
      </c>
      <c r="CD373" s="1" t="str">
        <f aca="false">VLOOKUP(M373,Eras!$A$2:$C$10, 2, TRUE())</f>
        <v>mod</v>
      </c>
      <c r="CE373" s="1" t="s">
        <v>858</v>
      </c>
      <c r="CF373" s="1" t="str">
        <f aca="false">CONCATENATE(CD373,"_",CE373)</f>
        <v>mod_EMU</v>
      </c>
      <c r="CG373" s="1" t="str">
        <f aca="false">_xlfn.CONCAT(K373, "_",L373)</f>
        <v>electric_ELRL</v>
      </c>
      <c r="CH373" s="7" t="str">
        <f aca="false">_xlfn.CONCAT("{BLACK}Length: {GOLD}", TEXT(ROUNDUP(IF(AS373&lt;&gt;"",SUM(VALUE(_xlfn.TEXTSPLIT(AS373, ","))), SUM(VALUE(_xlfn.TEXTSPLIT(AP373, ",")))*IF(P373, P373, 1))/16, 1), "#,##0.0"), " tiles{}")</f>
        <v>{BLACK}Length: {GOLD}3.3 tiles{}</v>
      </c>
      <c r="CI373" s="1" t="str">
        <f aca="false">IF(0, VLOOKUP($CG373, Constants!$M:$N, 2, FALSE()),"")</f>
        <v/>
      </c>
      <c r="CJ373" s="1" t="str">
        <f aca="false">IF(P373&gt;1,_xlfn.CONCAT("{BLACK}Cars: {GOLD}", P373),"")</f>
        <v>{BLACK}Cars: {GOLD}4</v>
      </c>
      <c r="CK373" s="1" t="s">
        <v>1408</v>
      </c>
      <c r="CL373" s="1" t="str">
        <f aca="false">IF($BX373="concept_trains","{GREEN}Concept Vehicle",IF($BX373="!param_no_gameplay_units","{GREEN}Included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{YELLOW}10% penalty for long distance travel{}</v>
      </c>
      <c r="CN373" s="1" t="str">
        <f aca="false">_xlfn.CONCAT(CI373,IF(CI373&lt;&gt;""," ",""),CJ373,IF(OR(CJ373&lt;&gt;"",CI373&lt;&gt;""),"{}",""),CH373,CM373,"{SILVER}",CK373,IF(CL373&lt;&gt;"","{}{}",""),CL373)</f>
        <v>{BLACK}Cars: {GOLD}4{}{BLACK}Length: {GOLD}3.3 tiles{}{YELLOW}10% penalty for long distance travel{}{SILVER}Designed for London's Crossrail route, the Class 345 entered service on TfL Rail between Liverpool Street and Shenfield.</v>
      </c>
    </row>
    <row r="374" customFormat="false" ht="14.25" hidden="false" customHeight="false" outlineLevel="0" collapsed="false">
      <c r="A374" s="1" t="s">
        <v>1413</v>
      </c>
      <c r="B374" s="15" t="s">
        <v>1414</v>
      </c>
      <c r="C374" s="1" t="n">
        <v>289</v>
      </c>
      <c r="E374" s="1" t="n">
        <v>438</v>
      </c>
      <c r="G374" s="1" t="str">
        <f aca="false">IF($F374&lt;&gt;"",_xlfn.CONCAT(VLOOKUP($CE374, Constants!$T:$U, 2, FALSE()),",",$F374),VLOOKUP($CE374, Constants!$T:$U, 2, FALSE()))</f>
        <v>role/passenger</v>
      </c>
      <c r="H374" s="1" t="str">
        <f aca="false">IF($G374&lt;&gt;"",_xlfn.CONCAT(VLOOKUP($CG374, Constants!$M:$P, 4, FALSE()),",",$G374),VLOOKUP($CG374, Constants!$M:$P, 4, FALSE()))</f>
        <v>flag/GB,power/battery,role/passenger</v>
      </c>
      <c r="I374" s="1" t="s">
        <v>241</v>
      </c>
      <c r="J374" s="1" t="s">
        <v>466</v>
      </c>
      <c r="K374" s="1" t="s">
        <v>678</v>
      </c>
      <c r="L374" s="1" t="s">
        <v>993</v>
      </c>
      <c r="M374" s="1" t="n">
        <v>2023</v>
      </c>
      <c r="P374" s="1" t="n">
        <v>4</v>
      </c>
      <c r="Q374" s="1" t="n">
        <v>2000</v>
      </c>
      <c r="R374" s="2" t="n">
        <v>970</v>
      </c>
      <c r="Z374" s="1" t="n">
        <v>233</v>
      </c>
      <c r="AB374" s="1" t="n">
        <v>6</v>
      </c>
      <c r="AC374" s="1" t="n">
        <v>162</v>
      </c>
      <c r="AD374" s="4" t="n">
        <f aca="false">IF(AND(Z374&gt;0,AC374&gt;0),(AC374/((Z374+AA374)*10)),"")</f>
        <v>0.0695278969957082</v>
      </c>
      <c r="AE374" s="1" t="n">
        <v>75</v>
      </c>
      <c r="AF374" s="1" t="n">
        <f aca="false">ROUND(AE374*1.6, 0)</f>
        <v>120</v>
      </c>
      <c r="AG374" s="1" t="n">
        <v>100</v>
      </c>
      <c r="AH374" s="1" t="n">
        <v>16</v>
      </c>
      <c r="AI374" s="1" t="n">
        <v>16</v>
      </c>
      <c r="AJ374" s="1" t="n">
        <v>2.8</v>
      </c>
      <c r="AK374" s="1" t="n">
        <v>3.8</v>
      </c>
      <c r="AL374" s="5" t="n">
        <v>45</v>
      </c>
      <c r="AM374" s="1" t="str">
        <f aca="false">CONCATENATE(VLOOKUP(AN374, 'Voxel Sizes'!$A$2:$B$18,2,FALSE()),"x",INT(AJ374*15), "x", INT(AK374*15))</f>
        <v>152x42x57</v>
      </c>
      <c r="AN374" s="1" t="n">
        <f aca="false">ROUND(15*((AI374*10)/256),0)</f>
        <v>9</v>
      </c>
      <c r="AP374" s="1" t="str">
        <f aca="false">CONCATENATE(VLOOKUP(AN374,Constants!$A$2:$C$16,IF(AO374&lt;&gt;"", 3, 2), FALSE()),IF(AO374&lt;&gt;"",CONCATENATE(",",VLOOKUP(AO374,$B:$AP,41,FALSE())),""))</f>
        <v>2,5,2</v>
      </c>
      <c r="AT374" s="1" t="s">
        <v>1415</v>
      </c>
      <c r="AV374" s="1" t="s">
        <v>966</v>
      </c>
      <c r="AZ374" s="1" t="n">
        <v>30</v>
      </c>
      <c r="BA374" s="16" t="str">
        <f aca="false">IF(O374&lt;&gt;"",MAX(16,(O374-M374)+8),"")</f>
        <v/>
      </c>
      <c r="BB374" s="1" t="n">
        <v>-17</v>
      </c>
      <c r="BC374" s="1" t="n">
        <v>-20</v>
      </c>
      <c r="BD374" s="1" t="n">
        <f aca="false">MIN(AE374/150, 1)*30</f>
        <v>15</v>
      </c>
      <c r="BE374" s="1" t="n">
        <f aca="false">MIN(Q374/4000, 1)*20</f>
        <v>10</v>
      </c>
      <c r="BF374" s="1" t="n">
        <f aca="false">MIN(AC374/400,1)*20</f>
        <v>8.1</v>
      </c>
      <c r="BG374" s="4" t="n">
        <f aca="false">1-(MAX(M374-1900, 0)/750)</f>
        <v>0.836</v>
      </c>
      <c r="BH374" s="1" t="n">
        <f aca="false">((MAX($P374,1)*MIN($AL374/300,1)))*IF(J374="Wagon",50,10)</f>
        <v>6</v>
      </c>
      <c r="BI374" s="1" t="n">
        <f aca="false">VLOOKUP($K374,Constants!$I:$K, 2, FALSE())</f>
        <v>0.9</v>
      </c>
      <c r="BJ374" s="1" t="n">
        <f aca="false">VLOOKUP($K374,Constants!$I:$K, 3, FALSE())*IF(AND(J374="multiple_unit",AE374&lt;110),0.75,1)</f>
        <v>1.875</v>
      </c>
      <c r="BK374" s="1" t="n">
        <f aca="false">INT(POWER(((Constants!$G$2+$BD374+$BE374+$BF374+$BH374)*$BG374)*$BJ374, 1.05))+$BC374</f>
        <v>65</v>
      </c>
      <c r="BL374" s="1" t="n">
        <f aca="false">INT(POWER((((Constants!$G$1+$BD374+$BE374+$BF374+$BH374)*($BG374))*$BI374),IF($J374="wagon",1,1.2)))+$BB374</f>
        <v>68</v>
      </c>
      <c r="BM374" s="17" t="n">
        <f aca="false">BK374*IF($J374="wagon",62.5,781.25)</f>
        <v>50781.25</v>
      </c>
      <c r="BN374" s="17" t="n">
        <f aca="false">BL374*IF($J374="wagon",2.73,81.25)</f>
        <v>5525</v>
      </c>
      <c r="BU374" s="1" t="str">
        <f aca="false">IF(J374="locomotive","B","")</f>
        <v/>
      </c>
      <c r="BV374" s="1" t="str">
        <f aca="false">IF(OR($J374="locomotive",$J374="wagon"),"B","")</f>
        <v/>
      </c>
      <c r="BY374" s="1" t="n">
        <v>3</v>
      </c>
      <c r="CC374" s="1" t="s">
        <v>367</v>
      </c>
      <c r="CD374" s="1" t="s">
        <v>799</v>
      </c>
      <c r="CE374" s="1" t="s">
        <v>858</v>
      </c>
      <c r="CF374" s="1" t="str">
        <f aca="false">CONCATENATE(CD374,"_",CE374)</f>
        <v>mod_EMU</v>
      </c>
      <c r="CG374" s="1" t="str">
        <f aca="false">_xlfn.CONCAT(K374, "_",L374)</f>
        <v>dual_power_BATTERY</v>
      </c>
      <c r="CH374" s="7" t="str">
        <f aca="false">_xlfn.CONCAT("{BLACK}Length: {GOLD}", TEXT(ROUNDUP(IF(AS374&lt;&gt;"",SUM(VALUE(_xlfn.TEXTSPLIT(AS374, ","))), SUM(VALUE(_xlfn.TEXTSPLIT(AP374, ",")))*IF(P374, P374, 1))/16, 1), "#,##0.0"), " tiles{}")</f>
        <v>{BLACK}Length: {GOLD}2.3 tiles{}</v>
      </c>
      <c r="CI374" s="1" t="str">
        <f aca="false">IF(0, VLOOKUP($CG374, Constants!$M:$N, 2, FALSE()),"")</f>
        <v/>
      </c>
      <c r="CJ374" s="1" t="str">
        <f aca="false">IF(P374&gt;1,_xlfn.CONCAT("{BLACK}Cars: {GOLD}", P374),"")</f>
        <v>{BLACK}Cars: {GOLD}4</v>
      </c>
      <c r="CK374" s="1" t="s">
        <v>1416</v>
      </c>
      <c r="CL374" s="1" t="str">
        <f aca="false">IF($BX374="concept_trains","{GREEN}Concept Vehicle",IF($BX374="!param_no_gameplay_units","{GREEN}Included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{BLACK}Cars: {GOLD}4{}{BLACK}Length: {GOLD}2.3 tiles{}{SILVER}The Class 777 "METRO" is a dual-mode unit which charges a battery when on third rail power, which can be used to travel over unpowered track.</v>
      </c>
    </row>
    <row r="375" customFormat="false" ht="14.25" hidden="false" customHeight="false" outlineLevel="0" collapsed="false">
      <c r="A375" s="1" t="s">
        <v>1417</v>
      </c>
      <c r="B375" s="19" t="s">
        <v>1418</v>
      </c>
      <c r="C375" s="1" t="n">
        <v>1054</v>
      </c>
      <c r="E375" s="1" t="n">
        <v>439</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241</v>
      </c>
      <c r="J375" s="1" t="s">
        <v>466</v>
      </c>
      <c r="K375" s="1" t="s">
        <v>388</v>
      </c>
      <c r="L375" s="1" t="s">
        <v>389</v>
      </c>
      <c r="M375" s="1" t="n">
        <v>2023</v>
      </c>
      <c r="P375" s="1" t="n">
        <v>5</v>
      </c>
      <c r="Q375" s="1" t="n">
        <v>1800</v>
      </c>
      <c r="Z375" s="1" t="n">
        <v>250</v>
      </c>
      <c r="AB375" s="1" t="n">
        <v>5</v>
      </c>
      <c r="AC375" s="1" t="n">
        <v>190</v>
      </c>
      <c r="AD375" s="4" t="n">
        <f aca="false">IF(AND(Z375&gt;0,AC375&gt;0),(AC375/((Z375+AA375)*10)),"")</f>
        <v>0.076</v>
      </c>
      <c r="AE375" s="1" t="n">
        <v>110</v>
      </c>
      <c r="AF375" s="1" t="n">
        <f aca="false">ROUND(AE375*1.6, 0)</f>
        <v>176</v>
      </c>
      <c r="AH375" s="1" t="n">
        <v>22.7</v>
      </c>
      <c r="AI375" s="1" t="n">
        <v>22.7</v>
      </c>
      <c r="AL375" s="5" t="n">
        <v>81</v>
      </c>
      <c r="AM375" s="1" t="str">
        <f aca="false">CONCATENATE(VLOOKUP(AN375, 'Voxel Sizes'!$A$2:$B$18,2,FALSE()),"x",INT(AJ375*15), "x", INT(AK375*15))</f>
        <v>214x0x0</v>
      </c>
      <c r="AN375" s="16" t="n">
        <f aca="false">ROUND(15*((AI375*10)/256),0)</f>
        <v>13</v>
      </c>
      <c r="AP375" s="1" t="str">
        <f aca="false">CONCATENATE(VLOOKUP(AN375,Constants!$A$2:$C$16,IF(AO375&lt;&gt;"", 3, 2), FALSE()),IF(AO375&lt;&gt;"",CONCATENATE(",",VLOOKUP(AO375,$B:$AP,41,FALSE())),""))</f>
        <v>4,5,4</v>
      </c>
      <c r="AQ375" s="1" t="n">
        <v>4</v>
      </c>
      <c r="AT375" s="1" t="s">
        <v>1419</v>
      </c>
      <c r="AV375" s="1" t="s">
        <v>1364</v>
      </c>
      <c r="AZ375" s="1" t="n">
        <v>31</v>
      </c>
      <c r="BA375" s="16" t="str">
        <f aca="false">IF(O375&lt;&gt;"",MAX(16,(O375-M375)+8),"")</f>
        <v/>
      </c>
      <c r="BB375" s="1" t="n">
        <v>-12</v>
      </c>
      <c r="BC375" s="1" t="n">
        <v>-30</v>
      </c>
      <c r="BD375" s="20" t="n">
        <f aca="false">MIN(AE375/150, 1)*30</f>
        <v>22</v>
      </c>
      <c r="BE375" s="20" t="n">
        <f aca="false">MIN(Q375/4000, 1)*20</f>
        <v>9</v>
      </c>
      <c r="BF375" s="20" t="n">
        <f aca="false">MIN(AC375/400,1)*20</f>
        <v>9.5</v>
      </c>
      <c r="BG375" s="21" t="n">
        <f aca="false">1-(MAX(M375-1900, 0)/750)</f>
        <v>0.836</v>
      </c>
      <c r="BH375" s="20" t="n">
        <f aca="false">((MAX($P375,1)*MIN($AL375/300,1)))*IF(J375="Wagon",50,10)</f>
        <v>13.5</v>
      </c>
      <c r="BI375" s="1" t="n">
        <f aca="false">VLOOKUP($K375,Constants!$I:$K, 2, FALSE())</f>
        <v>0.85</v>
      </c>
      <c r="BJ375" s="1" t="n">
        <f aca="false">VLOOKUP($K375,Constants!$I:$K, 3, FALSE())*IF(AND(J375="multiple_unit",AE375&lt;110),0.75,1)</f>
        <v>2.3</v>
      </c>
      <c r="BK375" s="1" t="n">
        <f aca="false">INT(POWER(((Constants!$G$2+$BD375+$BE375+$BF375+$BH375)*$BG375)*$BJ375, 1.05))+$BC375</f>
        <v>113</v>
      </c>
      <c r="BL375" s="1" t="n">
        <f aca="false">INT(POWER((((Constants!$G$1+$BD375+$BE375+$BF375+$BH375)*($BG375))*$BI375),IF($J375="wagon",1,1.2)))+$BB375</f>
        <v>94</v>
      </c>
      <c r="BM375" s="22" t="n">
        <f aca="false">BK375*IF($J375="wagon",62.5,781.25)</f>
        <v>88281.25</v>
      </c>
      <c r="BN375" s="22" t="n">
        <f aca="false">BL375*IF($J375="wagon",2.73,81.25)</f>
        <v>7637.5</v>
      </c>
      <c r="BU375" s="1" t="str">
        <f aca="false">IF(J375="locomotive","B","")</f>
        <v/>
      </c>
      <c r="BV375" s="1" t="str">
        <f aca="false">IF(OR($J375="locomotive",$J375="wagon"),"B","")</f>
        <v/>
      </c>
      <c r="BY375" s="1" t="n">
        <v>11</v>
      </c>
      <c r="BZ375" s="1" t="n">
        <v>185</v>
      </c>
      <c r="CB375" s="1" t="s">
        <v>366</v>
      </c>
      <c r="CC375" s="1" t="s">
        <v>367</v>
      </c>
      <c r="CD375" s="23" t="s">
        <v>799</v>
      </c>
      <c r="CE375" s="1" t="s">
        <v>858</v>
      </c>
      <c r="CF375" s="23" t="str">
        <f aca="false">CONCATENATE(CD375,"_",CE375)</f>
        <v>mod_EMU</v>
      </c>
      <c r="CG375" s="23" t="str">
        <f aca="false">_xlfn.CONCAT(K375, "_",L375)</f>
        <v>electric_ELRL</v>
      </c>
      <c r="CH375" s="7" t="str">
        <f aca="false">_xlfn.CONCAT("{BLACK}Length: {GOLD}", TEXT(ROUNDUP(IF(AS375&lt;&gt;"",SUM(VALUE(_xlfn.TEXTSPLIT(AS375, ","))), SUM(VALUE(_xlfn.TEXTSPLIT(AP375, ",")))*IF(P375, P375, 1))/16, 1), "#,##0.0"), " tiles{}")</f>
        <v>{BLACK}Length: {GOLD}4.1 tiles{}</v>
      </c>
      <c r="CI375" s="1" t="str">
        <f aca="false">IF(0, VLOOKUP($CG375, Constants!$M:$N, 2, FALSE()),"")</f>
        <v/>
      </c>
      <c r="CJ375" s="1" t="str">
        <f aca="false">IF(P375&gt;1,_xlfn.CONCAT("{BLACK}Cars: {GOLD}", P375),"")</f>
        <v>{BLACK}Cars: {GOLD}5</v>
      </c>
      <c r="CK375" s="1" t="s">
        <v>1420</v>
      </c>
      <c r="CL375" s="1" t="str">
        <f aca="false">IF($BX375="concept_trains","{GREEN}Concept Vehicle",IF($BX375="!param_no_gameplay_units","{GREEN}Included for gameplay purposes",""))</f>
        <v/>
      </c>
      <c r="CM375" s="1" t="str">
        <f aca="false">IF(CA375="buffet","{YELLOW}25% long distance bonus for consist{}",IF(CB375="DANDY","{YELLOW}Faster downhill speeds for horse-drawn trains (1 required per 2 horses){}",IF(CB375="BRAKE","{YELLOW}Speed bonus for slow wagons{}",IF(CB375="NGPassengers","{YELLOW}Preserved railway bonus: passengers pay more when hauled by old locomotives{}",IF(AND(BZ375&gt;190,NOT(AND(L375="NARROW_GAUGE",CB375&lt;&gt;"PASS"))),CONCATENATE("{YELLOW}",INT((BZ375-185)/1.85),"%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{BLACK}Cars: {GOLD}5{}{BLACK}Length: {GOLD}4.1 tiles{}{SILVER}The 730/2 is the longer and faster variant of the Class 730 units built for West Midlands Trains, serving on their London Northwestern Railway routes over the West Coast Main Line.</v>
      </c>
    </row>
    <row r="376" s="1" customFormat="true" ht="14.25" hidden="false" customHeight="false" outlineLevel="0" collapsed="false">
      <c r="A376" s="26" t="s">
        <v>1421</v>
      </c>
      <c r="B376" s="27" t="s">
        <v>1422</v>
      </c>
      <c r="C376" s="1" t="n">
        <v>3089</v>
      </c>
      <c r="E376" s="1" t="n">
        <v>440</v>
      </c>
      <c r="G376" s="1" t="str">
        <f aca="false">IF($F376&lt;&gt;"",_xlfn.CONCAT(VLOOKUP($CE376, Constants!$T:$U, 2, FALSE()),",",$F376),VLOOKUP($CE376, Constants!$T:$U, 2, FALSE()))</f>
        <v>role/express_passenger</v>
      </c>
      <c r="H376" s="1" t="str">
        <f aca="false">IF($G376&lt;&gt;"",_xlfn.CONCAT(VLOOKUP($CG376, Constants!$M:$P, 4, FALSE()),",",$G376),VLOOKUP($CG376, Constants!$M:$P, 4, FALSE()))</f>
        <v>flag/GB,power/diesel,role/express_passenger</v>
      </c>
      <c r="I376" s="1" t="s">
        <v>241</v>
      </c>
      <c r="J376" s="1" t="s">
        <v>466</v>
      </c>
      <c r="K376" s="1" t="s">
        <v>678</v>
      </c>
      <c r="L376" s="1" t="s">
        <v>389</v>
      </c>
      <c r="M376" s="1" t="n">
        <v>2017</v>
      </c>
      <c r="P376" s="1" t="n">
        <v>5</v>
      </c>
      <c r="Q376" s="1" t="n">
        <v>3200</v>
      </c>
      <c r="R376" s="2" t="n">
        <v>2250</v>
      </c>
      <c r="S376" s="3"/>
      <c r="T376" s="3"/>
      <c r="U376" s="3"/>
      <c r="V376" s="3"/>
      <c r="W376" s="3"/>
      <c r="X376" s="3"/>
      <c r="Y376" s="3"/>
      <c r="Z376" s="26" t="n">
        <v>243</v>
      </c>
      <c r="AA376" s="2"/>
      <c r="AB376" s="26" t="n">
        <v>5</v>
      </c>
      <c r="AC376" s="26" t="n">
        <v>195</v>
      </c>
      <c r="AD376" s="4" t="n">
        <f aca="false">IF(AND(Z376&gt;0,AC376&gt;0),(AC376/((Z376+AA376)*10)),"")</f>
        <v>0.0802469135802469</v>
      </c>
      <c r="AE376" s="26" t="n">
        <v>140</v>
      </c>
      <c r="AF376" s="26" t="n">
        <f aca="false">ROUND(AE376*1.6, 0)</f>
        <v>224</v>
      </c>
      <c r="AG376" s="26"/>
      <c r="AH376" s="26" t="n">
        <v>26</v>
      </c>
      <c r="AI376" s="26" t="n">
        <v>24</v>
      </c>
      <c r="AJ376" s="26"/>
      <c r="AK376" s="26"/>
      <c r="AL376" s="5" t="n">
        <v>66</v>
      </c>
      <c r="AM376" s="1" t="str">
        <f aca="false">CONCATENATE(VLOOKUP(AN376, 'Voxel Sizes'!$A$2:$B$18,2,FALSE()),"x",INT(AJ376*15), "x", INT(AK376*15))</f>
        <v>238x0x0</v>
      </c>
      <c r="AN376" s="26" t="n">
        <f aca="false">ROUND(15*((AI376*10)/256),0)</f>
        <v>14</v>
      </c>
      <c r="AO376" s="26"/>
      <c r="AP376" s="1" t="str">
        <f aca="false">CONCATENATE(VLOOKUP(AN376,Constants!$A$2:$C$16,IF(AO376&lt;&gt;"", 3, 2), FALSE()),IF(AO376&lt;&gt;"",CONCATENATE(",",VLOOKUP(AO376,$B:$AP,41,FALSE())),""))</f>
        <v>4,6,4</v>
      </c>
      <c r="AQ376" s="26" t="n">
        <v>12</v>
      </c>
      <c r="AR376" s="6"/>
      <c r="AS376" s="6"/>
      <c r="AT376" s="1" t="s">
        <v>1423</v>
      </c>
      <c r="AU376" s="1" t="s">
        <v>1424</v>
      </c>
      <c r="AV376" s="1" t="s">
        <v>912</v>
      </c>
      <c r="AZ376" s="1" t="n">
        <v>30</v>
      </c>
      <c r="BA376" s="16" t="str">
        <f aca="false">IF(O376&lt;&gt;"",MAX(16,(O376-M376)+8),"")</f>
        <v/>
      </c>
      <c r="BB376" s="26" t="n">
        <v>-15</v>
      </c>
      <c r="BC376" s="26" t="n">
        <v>-30</v>
      </c>
      <c r="BD376" s="26" t="n">
        <f aca="false">MIN(AE376/150, 1)*30</f>
        <v>28</v>
      </c>
      <c r="BE376" s="26" t="n">
        <f aca="false">MIN(Q376/4000, 1)*20</f>
        <v>16</v>
      </c>
      <c r="BF376" s="26" t="n">
        <f aca="false">MIN(AC376/400,1)*20</f>
        <v>9.75</v>
      </c>
      <c r="BG376" s="4" t="n">
        <f aca="false">1-(MAX(M376-1900, 0)/750)</f>
        <v>0.844</v>
      </c>
      <c r="BH376" s="26" t="n">
        <f aca="false">((MAX($P376,1)*MIN($AL376/300,1)))*IF(J376="Wagon",50,10)</f>
        <v>11</v>
      </c>
      <c r="BI376" s="1" t="n">
        <f aca="false">VLOOKUP($K376,Constants!$I:$K, 2, FALSE())</f>
        <v>0.9</v>
      </c>
      <c r="BJ376" s="1" t="n">
        <f aca="false">VLOOKUP($K376,Constants!$I:$K, 3, FALSE())*IF(AND(J376="multiple_unit",AE376&lt;110),0.75,1)</f>
        <v>2.5</v>
      </c>
      <c r="BK376" s="1" t="n">
        <f aca="false">INT(POWER(((Constants!$G$2+$BD376+$BE376+$BF376+$BH376)*$BG376)*$BJ376, 1.05))+$BC376</f>
        <v>158</v>
      </c>
      <c r="BL376" s="1" t="n">
        <f aca="false">INT(POWER((((Constants!$G$1+$BD376+$BE376+$BF376+$BH376)*($BG376))*$BI376),IF($J376="wagon",1,1.2)))+$BB376</f>
        <v>122</v>
      </c>
      <c r="BM376" s="17" t="n">
        <f aca="false">BK376*IF($J376="wagon",62.5,781.25)</f>
        <v>123437.5</v>
      </c>
      <c r="BN376" s="17" t="n">
        <f aca="false">BL376*IF($J376="wagon",2.73,81.25)</f>
        <v>9912.5</v>
      </c>
      <c r="BO376" s="26"/>
      <c r="BP376" s="26"/>
      <c r="BQ376" s="26"/>
      <c r="BR376" s="26"/>
      <c r="BS376" s="26"/>
      <c r="BT376" s="1" t="s">
        <v>1425</v>
      </c>
      <c r="BU376" s="1" t="str">
        <f aca="false">IF(J376="locomotive","B","")</f>
        <v/>
      </c>
      <c r="BV376" s="1" t="str">
        <f aca="false">IF(OR($J376="locomotive",$J376="wagon"),"B","")</f>
        <v/>
      </c>
      <c r="BW376" s="26"/>
      <c r="BX376" s="26"/>
      <c r="BY376" s="26" t="n">
        <v>10</v>
      </c>
      <c r="BZ376" s="26" t="n">
        <v>222</v>
      </c>
      <c r="CA376" s="26"/>
      <c r="CB376" s="26"/>
      <c r="CC376" s="26" t="s">
        <v>367</v>
      </c>
      <c r="CD376" s="26" t="s">
        <v>799</v>
      </c>
      <c r="CE376" s="26" t="s">
        <v>913</v>
      </c>
      <c r="CF376" s="1" t="str">
        <f aca="false">CONCATENATE(CD376,"_",CE376)</f>
        <v>mod_EMU (Express)</v>
      </c>
      <c r="CG376" s="1" t="str">
        <f aca="false">_xlfn.CONCAT(K376, "_",L376)</f>
        <v>dual_power_ELRL</v>
      </c>
      <c r="CH376" s="7" t="str">
        <f aca="false">_xlfn.CONCAT("{BLACK}Length: {GOLD}", TEXT(ROUNDUP(IF(AS376&lt;&gt;"",SUM(VALUE(_xlfn.TEXTSPLIT(AS376, ","))), SUM(VALUE(_xlfn.TEXTSPLIT(AP376, ",")))*IF(P376, P376, 1))/16, 1), "#,##0.0"), " tiles{}")</f>
        <v>{BLACK}Length: {GOLD}4.4 tiles{}</v>
      </c>
      <c r="CI376" s="1" t="str">
        <f aca="false">IF(0, VLOOKUP($CG376, Constants!$M:$N, 2, FALSE()),"")</f>
        <v/>
      </c>
      <c r="CJ376" s="1" t="str">
        <f aca="false">IF(P376&gt;1,_xlfn.CONCAT("{BLACK}Cars: {GOLD}", P376),"")</f>
        <v>{BLACK}Cars: {GOLD}5</v>
      </c>
      <c r="CK376" s="1" t="s">
        <v>1426</v>
      </c>
      <c r="CL376" s="1" t="str">
        <f aca="false">IF($BX376="concept_trains","{GREEN}Concept Vehicle",IF($BX376="!param_no_gameplay_units","{GREEN}Included for gameplay purposes",""))</f>
        <v/>
      </c>
      <c r="CM376" s="26" t="str">
        <f aca="false">IF(CA376="buffet","{YELLOW}25% long distance bonus for consist{}",IF(CD376="BRAKE","{YELLOW}Speed bonus for slow wagons{}",IF(BZ376&gt;190,CONCATENATE("{YELLOW}",INT((BZ376-185)/1.85),"% bonus for long distance travel{}"),IF(AND(BZ376&lt;180,BZ376&lt;&gt;0),CONCATENATE("{YELLOW}",INT((185-BZ376)/1.85),"% penalty for long distance travel{}"),""))))</f>
        <v>{YELLOW}20% bonus for long distance travel{}</v>
      </c>
      <c r="CN376" s="1" t="str">
        <f aca="false">_xlfn.CONCAT(CI376,IF(CI376&lt;&gt;""," ",""),CJ376,IF(OR(CJ376&lt;&gt;"",CI376&lt;&gt;""),"{}",""),CH376,CM376,"{SILVER}",CK376,IF(CL376&lt;&gt;"","{}{}",""),CL376)</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77" s="1" customFormat="true" ht="14.25" hidden="false" customHeight="false" outlineLevel="0" collapsed="false">
      <c r="A377" s="26" t="s">
        <v>1427</v>
      </c>
      <c r="B377" s="27" t="s">
        <v>1428</v>
      </c>
      <c r="C377" s="1" t="n">
        <v>3090</v>
      </c>
      <c r="D377" s="1" t="n">
        <v>3089</v>
      </c>
      <c r="E377" s="1" t="n">
        <v>441</v>
      </c>
      <c r="G377" s="1" t="str">
        <f aca="false">IF($F377&lt;&gt;"",_xlfn.CONCAT(VLOOKUP($CE377, Constants!$T:$U, 2, FALSE()),",",$F377),VLOOKUP($CE377, Constants!$T:$U, 2, FALSE()))</f>
        <v>role/express_passenger</v>
      </c>
      <c r="H377" s="1" t="str">
        <f aca="false">IF($G377&lt;&gt;"",_xlfn.CONCAT(VLOOKUP($CG377, Constants!$M:$P, 4, FALSE()),",",$G377),VLOOKUP($CG377, Constants!$M:$P, 4, FALSE()))</f>
        <v>flag/GB,power/diesel,role/express_passenger</v>
      </c>
      <c r="I377" s="1" t="s">
        <v>241</v>
      </c>
      <c r="J377" s="1" t="s">
        <v>466</v>
      </c>
      <c r="K377" s="1" t="s">
        <v>678</v>
      </c>
      <c r="L377" s="1" t="s">
        <v>389</v>
      </c>
      <c r="M377" s="1" t="n">
        <v>2017</v>
      </c>
      <c r="P377" s="1" t="n">
        <v>9</v>
      </c>
      <c r="Q377" s="1" t="n">
        <v>5400</v>
      </c>
      <c r="R377" s="2" t="n">
        <v>3750</v>
      </c>
      <c r="S377" s="3"/>
      <c r="T377" s="3"/>
      <c r="U377" s="3"/>
      <c r="V377" s="3"/>
      <c r="W377" s="3"/>
      <c r="X377" s="3"/>
      <c r="Y377" s="3"/>
      <c r="Z377" s="26" t="n">
        <v>438</v>
      </c>
      <c r="AA377" s="2"/>
      <c r="AB377" s="26" t="n">
        <v>5</v>
      </c>
      <c r="AC377" s="26" t="n">
        <v>195</v>
      </c>
      <c r="AD377" s="4" t="n">
        <f aca="false">IF(AND(Z377&gt;0,AC377&gt;0),(AC377/((Z377+AA377)*10)),"")</f>
        <v>0.0445205479452055</v>
      </c>
      <c r="AE377" s="26" t="n">
        <v>140</v>
      </c>
      <c r="AF377" s="26" t="n">
        <f aca="false">ROUND(AE377*1.6, 0)</f>
        <v>224</v>
      </c>
      <c r="AG377" s="26"/>
      <c r="AH377" s="26" t="n">
        <v>26</v>
      </c>
      <c r="AI377" s="26" t="n">
        <v>24</v>
      </c>
      <c r="AJ377" s="26"/>
      <c r="AK377" s="26"/>
      <c r="AL377" s="5" t="n">
        <v>66</v>
      </c>
      <c r="AM377" s="1" t="str">
        <f aca="false">CONCATENATE(VLOOKUP(AN377, 'Voxel Sizes'!$A$2:$B$18,2,FALSE()),"x",INT(AJ377*15), "x", INT(AK377*15))</f>
        <v>238x0x0</v>
      </c>
      <c r="AN377" s="26" t="n">
        <f aca="false">ROUND(15*((AI377*10)/256),0)</f>
        <v>14</v>
      </c>
      <c r="AO377" s="26"/>
      <c r="AP377" s="1" t="str">
        <f aca="false">CONCATENATE(VLOOKUP(AN377,Constants!$A$2:$C$16,IF(AO377&lt;&gt;"", 3, 2), FALSE()),IF(AO377&lt;&gt;"",CONCATENATE(",",VLOOKUP(AO377,$B:$AP,41,FALSE())),""))</f>
        <v>4,6,4</v>
      </c>
      <c r="AQ377" s="26" t="n">
        <v>24</v>
      </c>
      <c r="AR377" s="6"/>
      <c r="AS377" s="6"/>
      <c r="AT377" s="1" t="s">
        <v>1429</v>
      </c>
      <c r="AU377" s="1" t="s">
        <v>1424</v>
      </c>
      <c r="AV377" s="1" t="s">
        <v>1273</v>
      </c>
      <c r="AW377" s="1" t="s">
        <v>1422</v>
      </c>
      <c r="AZ377" s="1" t="n">
        <v>30</v>
      </c>
      <c r="BA377" s="16" t="str">
        <f aca="false">IF(O377&lt;&gt;"",MAX(16,(O377-M377)+8),"")</f>
        <v/>
      </c>
      <c r="BB377" s="26" t="n">
        <v>-15</v>
      </c>
      <c r="BC377" s="26" t="n">
        <v>-30</v>
      </c>
      <c r="BD377" s="26" t="n">
        <f aca="false">MIN(AE377/150, 1)*30</f>
        <v>28</v>
      </c>
      <c r="BE377" s="26" t="n">
        <f aca="false">MIN(Q377/4000, 1)*20</f>
        <v>20</v>
      </c>
      <c r="BF377" s="26" t="n">
        <f aca="false">MIN(AC377/400,1)*20</f>
        <v>9.75</v>
      </c>
      <c r="BG377" s="4" t="n">
        <f aca="false">1-(MAX(M377-1900, 0)/750)</f>
        <v>0.844</v>
      </c>
      <c r="BH377" s="26" t="n">
        <f aca="false">((MAX($P377,1)*MIN($AL377/300,1)))*IF(J377="Wagon",50,10)</f>
        <v>19.8</v>
      </c>
      <c r="BI377" s="1" t="n">
        <f aca="false">VLOOKUP($K377,Constants!$I:$K, 2, FALSE())</f>
        <v>0.9</v>
      </c>
      <c r="BJ377" s="1" t="n">
        <f aca="false">VLOOKUP($K377,Constants!$I:$K, 3, FALSE())*IF(AND(J377="multiple_unit",AE377&lt;110),0.75,1)</f>
        <v>2.5</v>
      </c>
      <c r="BK377" s="1" t="n">
        <f aca="false">INT(POWER(((Constants!$G$2+$BD377+$BE377+$BF377+$BH377)*$BG377)*$BJ377, 1.05))+$BC377</f>
        <v>195</v>
      </c>
      <c r="BL377" s="1" t="n">
        <f aca="false">INT(POWER((((Constants!$G$1+$BD377+$BE377+$BF377+$BH377)*($BG377))*$BI377),IF($J377="wagon",1,1.2)))+$BB377</f>
        <v>149</v>
      </c>
      <c r="BM377" s="17" t="n">
        <f aca="false">BK377*IF($J377="wagon",62.5,781.25)</f>
        <v>152343.75</v>
      </c>
      <c r="BN377" s="17" t="n">
        <f aca="false">BL377*IF($J377="wagon",2.73,81.25)</f>
        <v>12106.25</v>
      </c>
      <c r="BO377" s="26"/>
      <c r="BP377" s="26"/>
      <c r="BQ377" s="26"/>
      <c r="BR377" s="26"/>
      <c r="BS377" s="26"/>
      <c r="BT377" s="1" t="s">
        <v>1430</v>
      </c>
      <c r="BU377" s="1" t="str">
        <f aca="false">IF(J377="locomotive","B","")</f>
        <v/>
      </c>
      <c r="BV377" s="1" t="str">
        <f aca="false">IF(OR($J377="locomotive",$J377="wagon"),"B","")</f>
        <v/>
      </c>
      <c r="BW377" s="26"/>
      <c r="BX377" s="26"/>
      <c r="BY377" s="26" t="n">
        <v>10</v>
      </c>
      <c r="BZ377" s="26" t="n">
        <v>222</v>
      </c>
      <c r="CA377" s="26"/>
      <c r="CB377" s="26"/>
      <c r="CC377" s="26" t="s">
        <v>367</v>
      </c>
      <c r="CD377" s="26" t="s">
        <v>799</v>
      </c>
      <c r="CE377" s="26" t="s">
        <v>913</v>
      </c>
      <c r="CF377" s="1" t="str">
        <f aca="false">CONCATENATE(CD377,"_",CE377)</f>
        <v>mod_EMU (Express)</v>
      </c>
      <c r="CG377" s="1" t="str">
        <f aca="false">_xlfn.CONCAT(K377, "_",L377)</f>
        <v>dual_power_ELRL</v>
      </c>
      <c r="CH377" s="7" t="str">
        <f aca="false">_xlfn.CONCAT("{BLACK}Length: {GOLD}", TEXT(ROUNDUP(IF(AS377&lt;&gt;"",SUM(VALUE(_xlfn.TEXTSPLIT(AS377, ","))), SUM(VALUE(_xlfn.TEXTSPLIT(AP377, ",")))*IF(P377, P377, 1))/16, 1), "#,##0.0"), " tiles{}")</f>
        <v>{BLACK}Length: {GOLD}7.9 tiles{}</v>
      </c>
      <c r="CI377" s="1" t="str">
        <f aca="false">IF(0, VLOOKUP($CG377, Constants!$M:$N, 2, FALSE()),"")</f>
        <v/>
      </c>
      <c r="CJ377" s="1" t="str">
        <f aca="false">IF(P377&gt;1,_xlfn.CONCAT("{BLACK}Cars: {GOLD}", P377),"")</f>
        <v>{BLACK}Cars: {GOLD}9</v>
      </c>
      <c r="CK377" s="1" t="s">
        <v>1426</v>
      </c>
      <c r="CL377" s="1" t="str">
        <f aca="false">IF($BX377="concept_trains","{GREEN}Concept Vehicle",IF($BX377="!param_no_gameplay_units","{GREEN}Included for gameplay purposes",""))</f>
        <v/>
      </c>
      <c r="CM377" s="26" t="str">
        <f aca="false">IF(CA377="buffet","{YELLOW}25% long distance bonus for consist{}",IF(CD377="BRAKE","{YELLOW}Speed bonus for slow wagons{}",IF(BZ377&gt;190,CONCATENATE("{YELLOW}",INT((BZ377-185)/1.85),"% bonus for long distance travel{}"),IF(AND(BZ377&lt;180,BZ377&lt;&gt;0),CONCATENATE("{YELLOW}",INT((185-BZ377)/1.85),"% penalty for long distance travel{}"),""))))</f>
        <v>{YELLOW}20% bonus for long distance travel{}</v>
      </c>
      <c r="CN377" s="1" t="str">
        <f aca="false">_xlfn.CONCAT(CI377,IF(CI377&lt;&gt;""," ",""),CJ377,IF(OR(CJ377&lt;&gt;"",CI377&lt;&gt;""),"{}",""),CH377,CM377,"{SILVER}",CK377,IF(CL377&lt;&gt;"","{}{}",""),CL377)</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78" s="1" customFormat="true" ht="14.25" hidden="false" customHeight="false" outlineLevel="0" collapsed="false">
      <c r="A378" s="26" t="s">
        <v>1431</v>
      </c>
      <c r="B378" s="27" t="s">
        <v>1432</v>
      </c>
      <c r="C378" s="1" t="n">
        <v>3091</v>
      </c>
      <c r="D378" s="1" t="n">
        <v>3089</v>
      </c>
      <c r="E378" s="1" t="n">
        <v>442</v>
      </c>
      <c r="G378" s="1" t="str">
        <f aca="false">IF($F378&lt;&gt;"",_xlfn.CONCAT(VLOOKUP($CE378, Constants!$T:$U, 2, FALSE()),",",$F378),VLOOKUP($CE378, Constants!$T:$U, 2, FALSE()))</f>
        <v>role/express_passenger</v>
      </c>
      <c r="H378" s="1" t="str">
        <f aca="false">IF($G378&lt;&gt;"",_xlfn.CONCAT(VLOOKUP($CG378, Constants!$M:$P, 4, FALSE()),",",$G378),VLOOKUP($CG378, Constants!$M:$P, 4, FALSE()))</f>
        <v>flag/GB,power/electric,role/express_passenger</v>
      </c>
      <c r="I378" s="1" t="s">
        <v>241</v>
      </c>
      <c r="J378" s="1" t="s">
        <v>466</v>
      </c>
      <c r="K378" s="26" t="s">
        <v>388</v>
      </c>
      <c r="L378" s="26" t="s">
        <v>389</v>
      </c>
      <c r="M378" s="26" t="n">
        <v>2017</v>
      </c>
      <c r="N378" s="26"/>
      <c r="O378" s="26"/>
      <c r="P378" s="26" t="n">
        <v>5</v>
      </c>
      <c r="Q378" s="26" t="n">
        <v>3200</v>
      </c>
      <c r="R378" s="2"/>
      <c r="S378" s="3"/>
      <c r="T378" s="3"/>
      <c r="U378" s="3"/>
      <c r="V378" s="3"/>
      <c r="W378" s="3"/>
      <c r="X378" s="3"/>
      <c r="Y378" s="3"/>
      <c r="Z378" s="26" t="n">
        <v>233</v>
      </c>
      <c r="AA378" s="2"/>
      <c r="AB378" s="26" t="n">
        <v>5</v>
      </c>
      <c r="AC378" s="26" t="n">
        <v>195</v>
      </c>
      <c r="AD378" s="4" t="n">
        <f aca="false">IF(AND(Z378&gt;0,AC378&gt;0),(AC378/((Z378+AA378)*10)),"")</f>
        <v>0.0836909871244635</v>
      </c>
      <c r="AE378" s="26" t="n">
        <v>140</v>
      </c>
      <c r="AF378" s="26" t="n">
        <f aca="false">ROUND(AE378*1.6, 0)</f>
        <v>224</v>
      </c>
      <c r="AG378" s="26"/>
      <c r="AH378" s="26" t="n">
        <v>26</v>
      </c>
      <c r="AI378" s="26" t="n">
        <v>24</v>
      </c>
      <c r="AJ378" s="26"/>
      <c r="AK378" s="26"/>
      <c r="AL378" s="5" t="n">
        <v>66</v>
      </c>
      <c r="AM378" s="1" t="str">
        <f aca="false">CONCATENATE(VLOOKUP(AN378, 'Voxel Sizes'!$A$2:$B$18,2,FALSE()),"x",INT(AJ378*15), "x", INT(AK378*15))</f>
        <v>238x0x0</v>
      </c>
      <c r="AN378" s="26" t="n">
        <f aca="false">ROUND(15*((AI378*10)/256),0)</f>
        <v>14</v>
      </c>
      <c r="AO378" s="26"/>
      <c r="AP378" s="1" t="str">
        <f aca="false">CONCATENATE(VLOOKUP(AN378,Constants!$A$2:$C$16,IF(AO378&lt;&gt;"", 3, 2), FALSE()),IF(AO378&lt;&gt;"",CONCATENATE(",",VLOOKUP(AO378,$B:$AP,41,FALSE())),""))</f>
        <v>4,6,4</v>
      </c>
      <c r="AQ378" s="26" t="n">
        <v>12</v>
      </c>
      <c r="AR378" s="6"/>
      <c r="AS378" s="6"/>
      <c r="AT378" s="1" t="s">
        <v>1423</v>
      </c>
      <c r="AU378" s="1" t="s">
        <v>1424</v>
      </c>
      <c r="AV378" s="1" t="s">
        <v>889</v>
      </c>
      <c r="AW378" s="1" t="s">
        <v>1422</v>
      </c>
      <c r="AZ378" s="1" t="n">
        <v>30</v>
      </c>
      <c r="BA378" s="16" t="str">
        <f aca="false">IF(O378&lt;&gt;"",MAX(16,(O378-M378)+8),"")</f>
        <v/>
      </c>
      <c r="BB378" s="26" t="n">
        <v>-15</v>
      </c>
      <c r="BC378" s="26" t="n">
        <v>-30</v>
      </c>
      <c r="BD378" s="26" t="n">
        <f aca="false">MIN(AE378/150, 1)*30</f>
        <v>28</v>
      </c>
      <c r="BE378" s="26" t="n">
        <f aca="false">MIN(Q378/4000, 1)*20</f>
        <v>16</v>
      </c>
      <c r="BF378" s="26" t="n">
        <f aca="false">MIN(AC378/400,1)*20</f>
        <v>9.75</v>
      </c>
      <c r="BG378" s="4" t="n">
        <f aca="false">1-(MAX(M378-1900, 0)/750)</f>
        <v>0.844</v>
      </c>
      <c r="BH378" s="26" t="n">
        <f aca="false">((MAX($P378,1)*MIN($AL378/300,1)))*IF(J378="Wagon",50,10)</f>
        <v>11</v>
      </c>
      <c r="BI378" s="1" t="n">
        <f aca="false">VLOOKUP($K378,Constants!$I:$K, 2, FALSE())</f>
        <v>0.85</v>
      </c>
      <c r="BJ378" s="1" t="n">
        <f aca="false">VLOOKUP($K378,Constants!$I:$K, 3, FALSE())*IF(AND(J378="multiple_unit",AE378&lt;110),0.75,1)</f>
        <v>2.3</v>
      </c>
      <c r="BK378" s="1" t="n">
        <f aca="false">INT(POWER(((Constants!$G$2+$BD378+$BE378+$BF378+$BH378)*$BG378)*$BJ378, 1.05))+$BC378</f>
        <v>143</v>
      </c>
      <c r="BL378" s="1" t="n">
        <f aca="false">INT(POWER((((Constants!$G$1+$BD378+$BE378+$BF378+$BH378)*($BG378))*$BI378),IF($J378="wagon",1,1.2)))+$BB378</f>
        <v>113</v>
      </c>
      <c r="BM378" s="17" t="n">
        <f aca="false">BK378*IF($J378="wagon",62.5,781.25)</f>
        <v>111718.75</v>
      </c>
      <c r="BN378" s="17" t="n">
        <f aca="false">BL378*IF($J378="wagon",2.73,81.25)</f>
        <v>9181.25</v>
      </c>
      <c r="BO378" s="26"/>
      <c r="BP378" s="26"/>
      <c r="BQ378" s="26"/>
      <c r="BR378" s="26"/>
      <c r="BS378" s="26"/>
      <c r="BT378" s="1" t="s">
        <v>1433</v>
      </c>
      <c r="BU378" s="1" t="str">
        <f aca="false">IF(J378="locomotive","B","")</f>
        <v/>
      </c>
      <c r="BV378" s="1" t="str">
        <f aca="false">IF(OR($J378="locomotive",$J378="wagon"),"B","")</f>
        <v/>
      </c>
      <c r="BW378" s="26"/>
      <c r="BX378" s="26"/>
      <c r="BY378" s="26" t="n">
        <v>10</v>
      </c>
      <c r="BZ378" s="26" t="n">
        <v>222</v>
      </c>
      <c r="CA378" s="26"/>
      <c r="CB378" s="26"/>
      <c r="CC378" s="26" t="s">
        <v>367</v>
      </c>
      <c r="CD378" s="26" t="s">
        <v>799</v>
      </c>
      <c r="CE378" s="26" t="s">
        <v>913</v>
      </c>
      <c r="CF378" s="1" t="str">
        <f aca="false">CONCATENATE(CD378,"_",CE378)</f>
        <v>mod_EMU (Express)</v>
      </c>
      <c r="CG378" s="1" t="str">
        <f aca="false">_xlfn.CONCAT(K378, "_",L378)</f>
        <v>electric_ELRL</v>
      </c>
      <c r="CH378" s="7" t="str">
        <f aca="false">_xlfn.CONCAT("{BLACK}Length: {GOLD}", TEXT(ROUNDUP(IF(AS378&lt;&gt;"",SUM(VALUE(_xlfn.TEXTSPLIT(AS378, ","))), SUM(VALUE(_xlfn.TEXTSPLIT(AP378, ",")))*IF(P378, P378, 1))/16, 1), "#,##0.0"), " tiles{}")</f>
        <v>{BLACK}Length: {GOLD}4.4 tiles{}</v>
      </c>
      <c r="CI378" s="1" t="str">
        <f aca="false">IF(0, VLOOKUP($CG378, Constants!$M:$N, 2, FALSE()),"")</f>
        <v/>
      </c>
      <c r="CJ378" s="1" t="str">
        <f aca="false">IF(P378&gt;1,_xlfn.CONCAT("{BLACK}Cars: {GOLD}", P378),"")</f>
        <v>{BLACK}Cars: {GOLD}5</v>
      </c>
      <c r="CK378" s="1" t="s">
        <v>1434</v>
      </c>
      <c r="CL378" s="1" t="str">
        <f aca="false">IF($BX378="concept_trains","{GREEN}Concept Vehicle",IF($BX378="!param_no_gameplay_units","{GREEN}Included for gameplay purposes",""))</f>
        <v/>
      </c>
      <c r="CM378" s="26" t="str">
        <f aca="false">IF(CA378="buffet","{YELLOW}25% long distance bonus for consist{}",IF(CD378="BRAKE","{YELLOW}Speed bonus for slow wagons{}",IF(BZ378&gt;190,CONCATENATE("{YELLOW}",INT((BZ378-185)/1.85),"% bonus for long distance travel{}"),IF(AND(BZ378&lt;180,BZ378&lt;&gt;0),CONCATENATE("{YELLOW}",INT((185-BZ378)/1.85),"% penalty for long distance travel{}"),""))))</f>
        <v>{YELLOW}20% bonus for long distance travel{}</v>
      </c>
      <c r="CN378" s="1" t="str">
        <f aca="false">_xlfn.CONCAT(CI378,IF(CI378&lt;&gt;""," ",""),CJ378,IF(OR(CJ378&lt;&gt;"",CI378&lt;&gt;""),"{}",""),CH378,CM378,"{SILVER}",CK378,IF(CL378&lt;&gt;"","{}{}",""),CL378)</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79" s="1" customFormat="true" ht="14.25" hidden="false" customHeight="false" outlineLevel="0" collapsed="false">
      <c r="A379" s="26" t="s">
        <v>1435</v>
      </c>
      <c r="B379" s="27" t="s">
        <v>1436</v>
      </c>
      <c r="C379" s="1" t="n">
        <v>3092</v>
      </c>
      <c r="D379" s="1" t="n">
        <v>3089</v>
      </c>
      <c r="E379" s="1" t="n">
        <v>443</v>
      </c>
      <c r="G379" s="1" t="str">
        <f aca="false">IF($F379&lt;&gt;"",_xlfn.CONCAT(VLOOKUP($CE379, Constants!$T:$U, 2, FALSE()),",",$F379),VLOOKUP($CE379, Constants!$T:$U, 2, FALSE()))</f>
        <v>role/express_passenger</v>
      </c>
      <c r="H379" s="1" t="str">
        <f aca="false">IF($G379&lt;&gt;"",_xlfn.CONCAT(VLOOKUP($CG379, Constants!$M:$P, 4, FALSE()),",",$G379),VLOOKUP($CG379, Constants!$M:$P, 4, FALSE()))</f>
        <v>flag/GB,power/electric,role/express_passenger</v>
      </c>
      <c r="I379" s="1" t="s">
        <v>241</v>
      </c>
      <c r="J379" s="1" t="s">
        <v>466</v>
      </c>
      <c r="K379" s="26" t="s">
        <v>388</v>
      </c>
      <c r="L379" s="26" t="s">
        <v>389</v>
      </c>
      <c r="M379" s="26" t="n">
        <v>2017</v>
      </c>
      <c r="N379" s="26"/>
      <c r="O379" s="26"/>
      <c r="P379" s="26" t="n">
        <v>9</v>
      </c>
      <c r="Q379" s="26" t="n">
        <v>5400</v>
      </c>
      <c r="R379" s="2"/>
      <c r="S379" s="3"/>
      <c r="T379" s="3"/>
      <c r="U379" s="3"/>
      <c r="V379" s="3"/>
      <c r="W379" s="3"/>
      <c r="X379" s="3"/>
      <c r="Y379" s="3"/>
      <c r="Z379" s="26" t="n">
        <v>420</v>
      </c>
      <c r="AA379" s="2"/>
      <c r="AB379" s="26" t="n">
        <v>5</v>
      </c>
      <c r="AC379" s="26" t="n">
        <v>195</v>
      </c>
      <c r="AD379" s="4" t="n">
        <f aca="false">IF(AND(Z379&gt;0,AC379&gt;0),(AC379/((Z379+AA379)*10)),"")</f>
        <v>0.0464285714285714</v>
      </c>
      <c r="AE379" s="26" t="n">
        <v>140</v>
      </c>
      <c r="AF379" s="26" t="n">
        <f aca="false">ROUND(AE379*1.6, 0)</f>
        <v>224</v>
      </c>
      <c r="AG379" s="26"/>
      <c r="AH379" s="26" t="n">
        <v>26</v>
      </c>
      <c r="AI379" s="26" t="n">
        <v>24</v>
      </c>
      <c r="AJ379" s="26"/>
      <c r="AK379" s="26"/>
      <c r="AL379" s="5" t="n">
        <v>66</v>
      </c>
      <c r="AM379" s="1" t="str">
        <f aca="false">CONCATENATE(VLOOKUP(AN379, 'Voxel Sizes'!$A$2:$B$18,2,FALSE()),"x",INT(AJ379*15), "x", INT(AK379*15))</f>
        <v>238x0x0</v>
      </c>
      <c r="AN379" s="26" t="n">
        <f aca="false">ROUND(15*((AI379*10)/256),0)</f>
        <v>14</v>
      </c>
      <c r="AO379" s="26"/>
      <c r="AP379" s="1" t="str">
        <f aca="false">CONCATENATE(VLOOKUP(AN379,Constants!$A$2:$C$16,IF(AO379&lt;&gt;"", 3, 2), FALSE()),IF(AO379&lt;&gt;"",CONCATENATE(",",VLOOKUP(AO379,$B:$AP,41,FALSE())),""))</f>
        <v>4,6,4</v>
      </c>
      <c r="AQ379" s="26" t="n">
        <v>24</v>
      </c>
      <c r="AR379" s="6"/>
      <c r="AS379" s="6"/>
      <c r="AT379" s="1" t="s">
        <v>1429</v>
      </c>
      <c r="AU379" s="1" t="s">
        <v>1424</v>
      </c>
      <c r="AV379" s="1" t="s">
        <v>1273</v>
      </c>
      <c r="AW379" s="1" t="s">
        <v>1422</v>
      </c>
      <c r="AZ379" s="1" t="n">
        <v>30</v>
      </c>
      <c r="BA379" s="16" t="str">
        <f aca="false">IF(O379&lt;&gt;"",MAX(16,(O379-M379)+8),"")</f>
        <v/>
      </c>
      <c r="BB379" s="26" t="n">
        <v>-15</v>
      </c>
      <c r="BC379" s="26" t="n">
        <v>-30</v>
      </c>
      <c r="BD379" s="26" t="n">
        <f aca="false">MIN(AE379/150, 1)*30</f>
        <v>28</v>
      </c>
      <c r="BE379" s="26" t="n">
        <f aca="false">MIN(Q379/4000, 1)*20</f>
        <v>20</v>
      </c>
      <c r="BF379" s="26" t="n">
        <f aca="false">MIN(AC379/400,1)*20</f>
        <v>9.75</v>
      </c>
      <c r="BG379" s="4" t="n">
        <f aca="false">1-(MAX(M379-1900, 0)/750)</f>
        <v>0.844</v>
      </c>
      <c r="BH379" s="26" t="n">
        <f aca="false">((MAX($P379,1)*MIN($AL379/300,1)))*IF(J379="Wagon",50,10)</f>
        <v>19.8</v>
      </c>
      <c r="BI379" s="1" t="n">
        <f aca="false">VLOOKUP($K379,Constants!$I:$K, 2, FALSE())</f>
        <v>0.85</v>
      </c>
      <c r="BJ379" s="1" t="n">
        <f aca="false">VLOOKUP($K379,Constants!$I:$K, 3, FALSE())*IF(AND(J379="multiple_unit",AE379&lt;110),0.75,1)</f>
        <v>2.3</v>
      </c>
      <c r="BK379" s="1" t="n">
        <f aca="false">INT(POWER(((Constants!$G$2+$BD379+$BE379+$BF379+$BH379)*$BG379)*$BJ379, 1.05))+$BC379</f>
        <v>176</v>
      </c>
      <c r="BL379" s="1" t="n">
        <f aca="false">INT(POWER((((Constants!$G$1+$BD379+$BE379+$BF379+$BH379)*($BG379))*$BI379),IF($J379="wagon",1,1.2)))+$BB379</f>
        <v>138</v>
      </c>
      <c r="BM379" s="17" t="n">
        <f aca="false">BK379*IF($J379="wagon",62.5,781.25)</f>
        <v>137500</v>
      </c>
      <c r="BN379" s="17" t="n">
        <f aca="false">BL379*IF($J379="wagon",2.73,81.25)</f>
        <v>11212.5</v>
      </c>
      <c r="BO379" s="26"/>
      <c r="BP379" s="26"/>
      <c r="BQ379" s="26"/>
      <c r="BR379" s="26"/>
      <c r="BS379" s="26"/>
      <c r="BT379" s="1" t="s">
        <v>1437</v>
      </c>
      <c r="BU379" s="1" t="str">
        <f aca="false">IF(J379="locomotive","B","")</f>
        <v/>
      </c>
      <c r="BV379" s="1" t="str">
        <f aca="false">IF(OR($J379="locomotive",$J379="wagon"),"B","")</f>
        <v/>
      </c>
      <c r="BW379" s="26"/>
      <c r="BX379" s="26"/>
      <c r="BY379" s="26" t="n">
        <v>10</v>
      </c>
      <c r="BZ379" s="26" t="n">
        <v>222</v>
      </c>
      <c r="CA379" s="26"/>
      <c r="CB379" s="26"/>
      <c r="CC379" s="26" t="s">
        <v>367</v>
      </c>
      <c r="CD379" s="26" t="s">
        <v>799</v>
      </c>
      <c r="CE379" s="26" t="s">
        <v>913</v>
      </c>
      <c r="CF379" s="1" t="str">
        <f aca="false">CONCATENATE(CD379,"_",CE379)</f>
        <v>mod_EMU (Express)</v>
      </c>
      <c r="CG379" s="1" t="str">
        <f aca="false">_xlfn.CONCAT(K379, "_",L379)</f>
        <v>electric_ELRL</v>
      </c>
      <c r="CH379" s="7" t="str">
        <f aca="false">_xlfn.CONCAT("{BLACK}Length: {GOLD}", TEXT(ROUNDUP(IF(AS379&lt;&gt;"",SUM(VALUE(_xlfn.TEXTSPLIT(AS379, ","))), SUM(VALUE(_xlfn.TEXTSPLIT(AP379, ",")))*IF(P379, P379, 1))/16, 1), "#,##0.0"), " tiles{}")</f>
        <v>{BLACK}Length: {GOLD}7.9 tiles{}</v>
      </c>
      <c r="CI379" s="1" t="str">
        <f aca="false">IF(0, VLOOKUP($CG379, Constants!$M:$N, 2, FALSE()),"")</f>
        <v/>
      </c>
      <c r="CJ379" s="1" t="str">
        <f aca="false">IF(P379&gt;1,_xlfn.CONCAT("{BLACK}Cars: {GOLD}", P379),"")</f>
        <v>{BLACK}Cars: {GOLD}9</v>
      </c>
      <c r="CK379" s="1" t="s">
        <v>1434</v>
      </c>
      <c r="CL379" s="1" t="str">
        <f aca="false">IF($BX379="concept_trains","{GREEN}Concept Vehicle",IF($BX379="!param_no_gameplay_units","{GREEN}Included for gameplay purposes",""))</f>
        <v/>
      </c>
      <c r="CM379" s="26" t="str">
        <f aca="false">IF(CA379="buffet","{YELLOW}25% long distance bonus for consist{}",IF(CD379="BRAKE","{YELLOW}Speed bonus for slow wagons{}",IF(BZ379&gt;190,CONCATENATE("{YELLOW}",INT((BZ379-185)/1.85),"% bonus for long distance travel{}"),IF(AND(BZ379&lt;180,BZ379&lt;&gt;0),CONCATENATE("{YELLOW}",INT((185-BZ379)/1.85),"% penalty for long distance travel{}"),""))))</f>
        <v>{YELLOW}20% bonus for long distance travel{}</v>
      </c>
      <c r="CN379" s="1" t="str">
        <f aca="false">_xlfn.CONCAT(CI379,IF(CI379&lt;&gt;""," ",""),CJ379,IF(OR(CJ379&lt;&gt;"",CI379&lt;&gt;""),"{}",""),CH379,CM379,"{SILVER}",CK379,IF(CL379&lt;&gt;"","{}{}",""),CL379)</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80" s="1" customFormat="true" ht="14.25" hidden="false" customHeight="false" outlineLevel="0" collapsed="false">
      <c r="A380" s="26" t="s">
        <v>1438</v>
      </c>
      <c r="B380" s="27" t="s">
        <v>1439</v>
      </c>
      <c r="C380" s="1" t="n">
        <v>3093</v>
      </c>
      <c r="D380" s="1" t="n">
        <v>3089</v>
      </c>
      <c r="E380" s="1" t="n">
        <v>444</v>
      </c>
      <c r="G380" s="1" t="str">
        <f aca="false">IF($F380&lt;&gt;"",_xlfn.CONCAT(VLOOKUP($CE380, Constants!$T:$U, 2, FALSE()),",",$F380),VLOOKUP($CE380, Constants!$T:$U, 2, FALSE()))</f>
        <v>role/express_passenger</v>
      </c>
      <c r="H380" s="1" t="str">
        <f aca="false">IF($G380&lt;&gt;"",_xlfn.CONCAT(VLOOKUP($CG380, Constants!$M:$P, 4, FALSE()),",",$G380),VLOOKUP($CG380, Constants!$M:$P, 4, FALSE()))</f>
        <v>flag/GB,power/diesel,role/express_passenger</v>
      </c>
      <c r="I380" s="1" t="s">
        <v>241</v>
      </c>
      <c r="J380" s="1" t="s">
        <v>466</v>
      </c>
      <c r="K380" s="1" t="s">
        <v>678</v>
      </c>
      <c r="L380" s="1" t="s">
        <v>389</v>
      </c>
      <c r="M380" s="1" t="n">
        <v>2017</v>
      </c>
      <c r="P380" s="1" t="n">
        <v>5</v>
      </c>
      <c r="Q380" s="1" t="n">
        <v>3200</v>
      </c>
      <c r="R380" s="2" t="n">
        <f aca="false">940*3</f>
        <v>2820</v>
      </c>
      <c r="S380" s="3"/>
      <c r="T380" s="3"/>
      <c r="U380" s="3"/>
      <c r="V380" s="3"/>
      <c r="W380" s="3"/>
      <c r="X380" s="3"/>
      <c r="Y380" s="3"/>
      <c r="Z380" s="26" t="n">
        <v>243</v>
      </c>
      <c r="AA380" s="2"/>
      <c r="AB380" s="26" t="n">
        <v>5</v>
      </c>
      <c r="AC380" s="26" t="n">
        <v>195</v>
      </c>
      <c r="AD380" s="4" t="n">
        <f aca="false">IF(AND(Z380&gt;0,AC380&gt;0),(AC380/((Z380+AA380)*10)),"")</f>
        <v>0.0802469135802469</v>
      </c>
      <c r="AE380" s="26" t="n">
        <v>140</v>
      </c>
      <c r="AF380" s="26" t="n">
        <f aca="false">ROUND(AE380*1.6, 0)</f>
        <v>224</v>
      </c>
      <c r="AG380" s="26"/>
      <c r="AH380" s="26" t="n">
        <v>26</v>
      </c>
      <c r="AI380" s="26" t="n">
        <v>24</v>
      </c>
      <c r="AJ380" s="26"/>
      <c r="AK380" s="26"/>
      <c r="AL380" s="5" t="n">
        <v>66</v>
      </c>
      <c r="AM380" s="1" t="str">
        <f aca="false">CONCATENATE(VLOOKUP(AN380, 'Voxel Sizes'!$A$2:$B$18,2,FALSE()),"x",INT(AJ380*15), "x", INT(AK380*15))</f>
        <v>238x0x0</v>
      </c>
      <c r="AN380" s="26" t="n">
        <f aca="false">ROUND(15*((AI380*10)/256),0)</f>
        <v>14</v>
      </c>
      <c r="AO380" s="26"/>
      <c r="AP380" s="1" t="str">
        <f aca="false">CONCATENATE(VLOOKUP(AN380,Constants!$A$2:$C$16,IF(AO380&lt;&gt;"", 3, 2), FALSE()),IF(AO380&lt;&gt;"",CONCATENATE(",",VLOOKUP(AO380,$B:$AP,41,FALSE())),""))</f>
        <v>4,6,4</v>
      </c>
      <c r="AQ380" s="26" t="n">
        <v>12</v>
      </c>
      <c r="AR380" s="6"/>
      <c r="AS380" s="6"/>
      <c r="AT380" s="1" t="s">
        <v>1423</v>
      </c>
      <c r="AU380" s="1" t="s">
        <v>1424</v>
      </c>
      <c r="AV380" s="1" t="s">
        <v>889</v>
      </c>
      <c r="AW380" s="1" t="s">
        <v>1422</v>
      </c>
      <c r="AZ380" s="1" t="n">
        <v>30</v>
      </c>
      <c r="BA380" s="16" t="str">
        <f aca="false">IF(O380&lt;&gt;"",MAX(16,(O380-M380)+8),"")</f>
        <v/>
      </c>
      <c r="BB380" s="26" t="n">
        <v>-15</v>
      </c>
      <c r="BC380" s="26" t="n">
        <v>-30</v>
      </c>
      <c r="BD380" s="26" t="n">
        <f aca="false">MIN(AE380/150, 1)*30</f>
        <v>28</v>
      </c>
      <c r="BE380" s="26" t="n">
        <f aca="false">MIN(Q380/4000, 1)*20</f>
        <v>16</v>
      </c>
      <c r="BF380" s="26" t="n">
        <f aca="false">MIN(AC380/400,1)*20</f>
        <v>9.75</v>
      </c>
      <c r="BG380" s="4" t="n">
        <f aca="false">1-(MAX(M380-1900, 0)/750)</f>
        <v>0.844</v>
      </c>
      <c r="BH380" s="26" t="n">
        <f aca="false">((MAX($P380,1)*MIN($AL380/300,1)))*IF(J380="Wagon",50,10)</f>
        <v>11</v>
      </c>
      <c r="BI380" s="1" t="n">
        <f aca="false">VLOOKUP($K380,Constants!$I:$K, 2, FALSE())</f>
        <v>0.9</v>
      </c>
      <c r="BJ380" s="1" t="n">
        <f aca="false">VLOOKUP($K380,Constants!$I:$K, 3, FALSE())*IF(AND(J380="multiple_unit",AE380&lt;110),0.75,1)</f>
        <v>2.5</v>
      </c>
      <c r="BK380" s="1" t="n">
        <f aca="false">INT(POWER(((Constants!$G$2+$BD380+$BE380+$BF380+$BH380)*$BG380)*$BJ380, 1.05))+$BC380</f>
        <v>158</v>
      </c>
      <c r="BL380" s="1" t="n">
        <f aca="false">INT(POWER((((Constants!$G$1+$BD380+$BE380+$BF380+$BH380)*($BG380))*$BI380),IF($J380="wagon",1,1.2)))+$BB380</f>
        <v>122</v>
      </c>
      <c r="BM380" s="17" t="n">
        <f aca="false">BK380*IF($J380="wagon",62.5,781.25)</f>
        <v>123437.5</v>
      </c>
      <c r="BN380" s="17" t="n">
        <f aca="false">BL380*IF($J380="wagon",2.73,81.25)</f>
        <v>9912.5</v>
      </c>
      <c r="BO380" s="26"/>
      <c r="BP380" s="26"/>
      <c r="BQ380" s="26"/>
      <c r="BR380" s="26"/>
      <c r="BS380" s="26"/>
      <c r="BT380" s="1" t="s">
        <v>1440</v>
      </c>
      <c r="BU380" s="1" t="str">
        <f aca="false">IF(J380="locomotive","B","")</f>
        <v/>
      </c>
      <c r="BV380" s="1" t="str">
        <f aca="false">IF(OR($J380="locomotive",$J380="wagon"),"B","")</f>
        <v/>
      </c>
      <c r="BW380" s="26"/>
      <c r="BX380" s="26"/>
      <c r="BY380" s="26" t="n">
        <v>10</v>
      </c>
      <c r="BZ380" s="26" t="n">
        <v>222</v>
      </c>
      <c r="CA380" s="26"/>
      <c r="CB380" s="26"/>
      <c r="CC380" s="26" t="s">
        <v>367</v>
      </c>
      <c r="CD380" s="26" t="s">
        <v>799</v>
      </c>
      <c r="CE380" s="26" t="s">
        <v>913</v>
      </c>
      <c r="CF380" s="1" t="str">
        <f aca="false">CONCATENATE(CD380,"_",CE380)</f>
        <v>mod_EMU (Express)</v>
      </c>
      <c r="CG380" s="1" t="str">
        <f aca="false">_xlfn.CONCAT(K380, "_",L380)</f>
        <v>dual_power_ELRL</v>
      </c>
      <c r="CH380" s="7" t="str">
        <f aca="false">_xlfn.CONCAT("{BLACK}Length: {GOLD}", TEXT(ROUNDUP(IF(AS380&lt;&gt;"",SUM(VALUE(_xlfn.TEXTSPLIT(AS380, ","))), SUM(VALUE(_xlfn.TEXTSPLIT(AP380, ",")))*IF(P380, P380, 1))/16, 1), "#,##0.0"), " tiles{}")</f>
        <v>{BLACK}Length: {GOLD}4.4 tiles{}</v>
      </c>
      <c r="CI380" s="1" t="str">
        <f aca="false">IF(0, VLOOKUP($CG380, Constants!$M:$N, 2, FALSE()),"")</f>
        <v/>
      </c>
      <c r="CJ380" s="1" t="str">
        <f aca="false">IF(P380&gt;1,_xlfn.CONCAT("{BLACK}Cars: {GOLD}", P380),"")</f>
        <v>{BLACK}Cars: {GOLD}5</v>
      </c>
      <c r="CK380" s="1" t="s">
        <v>1441</v>
      </c>
      <c r="CL380" s="1" t="str">
        <f aca="false">IF($BX380="concept_trains","{GREEN}Concept Vehicle",IF($BX380="!param_no_gameplay_units","{GREEN}Included for gameplay purposes",""))</f>
        <v/>
      </c>
      <c r="CM380" s="26" t="str">
        <f aca="false">IF(CA380="buffet","{YELLOW}25% long distance bonus for consist{}",IF(CD380="BRAKE","{YELLOW}Speed bonus for slow wagons{}",IF(BZ380&gt;190,CONCATENATE("{YELLOW}",INT((BZ380-185)/1.85),"% bonus for long distance travel{}"),IF(AND(BZ380&lt;180,BZ380&lt;&gt;0),CONCATENATE("{YELLOW}",INT((185-BZ380)/1.85),"% penalty for long distance travel{}"),""))))</f>
        <v>{YELLOW}20% bonus for long distance travel{}</v>
      </c>
      <c r="CN380" s="1" t="str">
        <f aca="false">_xlfn.CONCAT(CI380,IF(CI380&lt;&gt;""," ",""),CJ380,IF(OR(CJ380&lt;&gt;"",CI380&lt;&gt;""),"{}",""),CH380,CM380,"{SILVER}",CK380,IF(CL380&lt;&gt;"","{}{}",""),CL380)</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81" s="1" customFormat="true" ht="14.25" hidden="false" customHeight="false" outlineLevel="0" collapsed="false">
      <c r="A381" s="26" t="s">
        <v>1442</v>
      </c>
      <c r="B381" s="27" t="s">
        <v>1443</v>
      </c>
      <c r="C381" s="1" t="n">
        <v>3094</v>
      </c>
      <c r="D381" s="1" t="n">
        <v>3089</v>
      </c>
      <c r="E381" s="1" t="n">
        <v>445</v>
      </c>
      <c r="G381" s="1" t="str">
        <f aca="false">IF($F381&lt;&gt;"",_xlfn.CONCAT(VLOOKUP($CE381, Constants!$T:$U, 2, FALSE()),",",$F381),VLOOKUP($CE381, Constants!$T:$U, 2, FALSE()))</f>
        <v>role/express_passenger</v>
      </c>
      <c r="H381" s="1" t="str">
        <f aca="false">IF($G381&lt;&gt;"",_xlfn.CONCAT(VLOOKUP($CG381, Constants!$M:$P, 4, FALSE()),",",$G381),VLOOKUP($CG381, Constants!$M:$P, 4, FALSE()))</f>
        <v>flag/GB,power/diesel,role/express_passenger</v>
      </c>
      <c r="I381" s="1" t="s">
        <v>241</v>
      </c>
      <c r="J381" s="1" t="s">
        <v>466</v>
      </c>
      <c r="K381" s="1" t="s">
        <v>678</v>
      </c>
      <c r="L381" s="1" t="s">
        <v>389</v>
      </c>
      <c r="M381" s="1" t="n">
        <v>2017</v>
      </c>
      <c r="P381" s="1" t="n">
        <v>9</v>
      </c>
      <c r="Q381" s="1" t="n">
        <v>5400</v>
      </c>
      <c r="R381" s="2" t="n">
        <f aca="false">940*5</f>
        <v>4700</v>
      </c>
      <c r="S381" s="3"/>
      <c r="T381" s="3"/>
      <c r="U381" s="3"/>
      <c r="V381" s="3"/>
      <c r="W381" s="3"/>
      <c r="X381" s="3"/>
      <c r="Y381" s="3"/>
      <c r="Z381" s="26" t="n">
        <v>438</v>
      </c>
      <c r="AA381" s="2"/>
      <c r="AB381" s="26" t="n">
        <v>5</v>
      </c>
      <c r="AC381" s="26" t="n">
        <v>195</v>
      </c>
      <c r="AD381" s="4" t="n">
        <f aca="false">IF(AND(Z381&gt;0,AC381&gt;0),(AC381/((Z381+AA381)*10)),"")</f>
        <v>0.0445205479452055</v>
      </c>
      <c r="AE381" s="26" t="n">
        <v>140</v>
      </c>
      <c r="AF381" s="26" t="n">
        <f aca="false">ROUND(AE381*1.6, 0)</f>
        <v>224</v>
      </c>
      <c r="AG381" s="26"/>
      <c r="AH381" s="26" t="n">
        <v>26</v>
      </c>
      <c r="AI381" s="26" t="n">
        <v>24</v>
      </c>
      <c r="AJ381" s="26"/>
      <c r="AK381" s="26"/>
      <c r="AL381" s="5" t="n">
        <v>66</v>
      </c>
      <c r="AM381" s="1" t="str">
        <f aca="false">CONCATENATE(VLOOKUP(AN381, 'Voxel Sizes'!$A$2:$B$18,2,FALSE()),"x",INT(AJ381*15), "x", INT(AK381*15))</f>
        <v>238x0x0</v>
      </c>
      <c r="AN381" s="26" t="n">
        <f aca="false">ROUND(15*((AI381*10)/256),0)</f>
        <v>14</v>
      </c>
      <c r="AO381" s="26"/>
      <c r="AP381" s="1" t="str">
        <f aca="false">CONCATENATE(VLOOKUP(AN381,Constants!$A$2:$C$16,IF(AO381&lt;&gt;"", 3, 2), FALSE()),IF(AO381&lt;&gt;"",CONCATENATE(",",VLOOKUP(AO381,$B:$AP,41,FALSE())),""))</f>
        <v>4,6,4</v>
      </c>
      <c r="AQ381" s="26" t="n">
        <v>24</v>
      </c>
      <c r="AR381" s="6"/>
      <c r="AS381" s="6"/>
      <c r="AT381" s="1" t="s">
        <v>1429</v>
      </c>
      <c r="AU381" s="1" t="s">
        <v>1424</v>
      </c>
      <c r="AV381" s="1" t="s">
        <v>1273</v>
      </c>
      <c r="AW381" s="1" t="s">
        <v>1422</v>
      </c>
      <c r="AZ381" s="1" t="n">
        <v>30</v>
      </c>
      <c r="BA381" s="16" t="str">
        <f aca="false">IF(O381&lt;&gt;"",MAX(16,(O381-M381)+8),"")</f>
        <v/>
      </c>
      <c r="BB381" s="26" t="n">
        <v>-15</v>
      </c>
      <c r="BC381" s="26" t="n">
        <v>-30</v>
      </c>
      <c r="BD381" s="26" t="n">
        <f aca="false">MIN(AE381/150, 1)*30</f>
        <v>28</v>
      </c>
      <c r="BE381" s="26" t="n">
        <f aca="false">MIN(Q381/4000, 1)*20</f>
        <v>20</v>
      </c>
      <c r="BF381" s="26" t="n">
        <f aca="false">MIN(AC381/400,1)*20</f>
        <v>9.75</v>
      </c>
      <c r="BG381" s="4" t="n">
        <f aca="false">1-(MAX(M381-1900, 0)/750)</f>
        <v>0.844</v>
      </c>
      <c r="BH381" s="26" t="n">
        <f aca="false">((MAX($P381,1)*MIN($AL381/300,1)))*IF(J381="Wagon",50,10)</f>
        <v>19.8</v>
      </c>
      <c r="BI381" s="1" t="n">
        <f aca="false">VLOOKUP($K381,Constants!$I:$K, 2, FALSE())</f>
        <v>0.9</v>
      </c>
      <c r="BJ381" s="1" t="n">
        <f aca="false">VLOOKUP($K381,Constants!$I:$K, 3, FALSE())*IF(AND(J381="multiple_unit",AE381&lt;110),0.75,1)</f>
        <v>2.5</v>
      </c>
      <c r="BK381" s="1" t="n">
        <f aca="false">INT(POWER(((Constants!$G$2+$BD381+$BE381+$BF381+$BH381)*$BG381)*$BJ381, 1.05))+$BC381</f>
        <v>195</v>
      </c>
      <c r="BL381" s="1" t="n">
        <f aca="false">INT(POWER((((Constants!$G$1+$BD381+$BE381+$BF381+$BH381)*($BG381))*$BI381),IF($J381="wagon",1,1.2)))+$BB381</f>
        <v>149</v>
      </c>
      <c r="BM381" s="17" t="n">
        <f aca="false">BK381*IF($J381="wagon",62.5,781.25)</f>
        <v>152343.75</v>
      </c>
      <c r="BN381" s="17" t="n">
        <f aca="false">BL381*IF($J381="wagon",2.73,81.25)</f>
        <v>12106.25</v>
      </c>
      <c r="BO381" s="26"/>
      <c r="BP381" s="26"/>
      <c r="BQ381" s="26"/>
      <c r="BR381" s="26"/>
      <c r="BS381" s="26"/>
      <c r="BT381" s="1" t="s">
        <v>1444</v>
      </c>
      <c r="BU381" s="1" t="str">
        <f aca="false">IF(J381="locomotive","B","")</f>
        <v/>
      </c>
      <c r="BV381" s="1" t="str">
        <f aca="false">IF(OR($J381="locomotive",$J381="wagon"),"B","")</f>
        <v/>
      </c>
      <c r="BW381" s="26"/>
      <c r="BX381" s="26"/>
      <c r="BY381" s="26" t="n">
        <v>10</v>
      </c>
      <c r="BZ381" s="26" t="n">
        <v>222</v>
      </c>
      <c r="CA381" s="26"/>
      <c r="CB381" s="26"/>
      <c r="CC381" s="26" t="s">
        <v>367</v>
      </c>
      <c r="CD381" s="26" t="s">
        <v>799</v>
      </c>
      <c r="CE381" s="26" t="s">
        <v>913</v>
      </c>
      <c r="CF381" s="1" t="str">
        <f aca="false">CONCATENATE(CD381,"_",CE381)</f>
        <v>mod_EMU (Express)</v>
      </c>
      <c r="CG381" s="1" t="str">
        <f aca="false">_xlfn.CONCAT(K381, "_",L381)</f>
        <v>dual_power_ELRL</v>
      </c>
      <c r="CH381" s="7" t="str">
        <f aca="false">_xlfn.CONCAT("{BLACK}Length: {GOLD}", TEXT(ROUNDUP(IF(AS381&lt;&gt;"",SUM(VALUE(_xlfn.TEXTSPLIT(AS381, ","))), SUM(VALUE(_xlfn.TEXTSPLIT(AP381, ",")))*IF(P381, P381, 1))/16, 1), "#,##0.0"), " tiles{}")</f>
        <v>{BLACK}Length: {GOLD}7.9 tiles{}</v>
      </c>
      <c r="CI381" s="1" t="str">
        <f aca="false">IF(0, VLOOKUP($CG381, Constants!$M:$N, 2, FALSE()),"")</f>
        <v/>
      </c>
      <c r="CJ381" s="1" t="str">
        <f aca="false">IF(P381&gt;1,_xlfn.CONCAT("{BLACK}Cars: {GOLD}", P381),"")</f>
        <v>{BLACK}Cars: {GOLD}9</v>
      </c>
      <c r="CK381" s="1" t="s">
        <v>1441</v>
      </c>
      <c r="CL381" s="1" t="str">
        <f aca="false">IF($BX381="concept_trains","{GREEN}Concept Vehicle",IF($BX381="!param_no_gameplay_units","{GREEN}Included for gameplay purposes",""))</f>
        <v/>
      </c>
      <c r="CM381" s="26" t="str">
        <f aca="false">IF(CA381="buffet","{YELLOW}25% long distance bonus for consist{}",IF(CD381="BRAKE","{YELLOW}Speed bonus for slow wagons{}",IF(BZ381&gt;190,CONCATENATE("{YELLOW}",INT((BZ381-185)/1.85),"% bonus for long distance travel{}"),IF(AND(BZ381&lt;180,BZ381&lt;&gt;0),CONCATENATE("{YELLOW}",INT((185-BZ381)/1.85),"% penalty for long distance travel{}"),""))))</f>
        <v>{YELLOW}20% bonus for long distance travel{}</v>
      </c>
      <c r="CN381" s="1" t="str">
        <f aca="false">_xlfn.CONCAT(CI381,IF(CI381&lt;&gt;""," ",""),CJ381,IF(OR(CJ381&lt;&gt;"",CI381&lt;&gt;""),"{}",""),CH381,CM381,"{SILVER}",CK381,IF(CL381&lt;&gt;"","{}{}",""),CL381)</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82" s="26" customFormat="true" ht="14.25" hidden="false" customHeight="false" outlineLevel="0" collapsed="false">
      <c r="A382" s="26" t="s">
        <v>1445</v>
      </c>
      <c r="B382" s="27" t="s">
        <v>1446</v>
      </c>
      <c r="C382" s="1" t="n">
        <v>3097</v>
      </c>
      <c r="E382" s="1" t="n">
        <v>446</v>
      </c>
      <c r="G382" s="1" t="str">
        <f aca="false">IF($F382&lt;&gt;"",_xlfn.CONCAT(VLOOKUP($CE382, Constants!$T:$U, 2, FALSE()),",",$F382),VLOOKUP($CE382, Constants!$T:$U, 2, FALSE()))</f>
        <v>role/express_passenger</v>
      </c>
      <c r="H382" s="1" t="str">
        <f aca="false">IF($G382&lt;&gt;"",_xlfn.CONCAT(VLOOKUP($CG382, Constants!$M:$P, 4, FALSE()),",",$G382),VLOOKUP($CG382, Constants!$M:$P, 4, FALSE()))</f>
        <v>flag/GB,power/diesel,role/express_passenger</v>
      </c>
      <c r="I382" s="26" t="s">
        <v>241</v>
      </c>
      <c r="J382" s="26" t="s">
        <v>466</v>
      </c>
      <c r="K382" s="26" t="s">
        <v>678</v>
      </c>
      <c r="L382" s="26" t="s">
        <v>389</v>
      </c>
      <c r="M382" s="26" t="n">
        <v>2022</v>
      </c>
      <c r="P382" s="26" t="n">
        <v>5</v>
      </c>
      <c r="Q382" s="26" t="n">
        <v>4800</v>
      </c>
      <c r="R382" s="2" t="n">
        <v>3950</v>
      </c>
      <c r="S382" s="3"/>
      <c r="T382" s="3"/>
      <c r="U382" s="3"/>
      <c r="V382" s="3"/>
      <c r="W382" s="3"/>
      <c r="X382" s="3"/>
      <c r="Y382" s="3"/>
      <c r="Z382" s="26" t="n">
        <v>235</v>
      </c>
      <c r="AA382" s="2"/>
      <c r="AB382" s="26" t="n">
        <v>5</v>
      </c>
      <c r="AC382" s="26" t="n">
        <v>195</v>
      </c>
      <c r="AD382" s="4" t="n">
        <f aca="false">IF(AND(Z382&gt;0,AC382&gt;0),(AC382/((Z382+AA382)*10)),"")</f>
        <v>0.0829787234042553</v>
      </c>
      <c r="AE382" s="26" t="n">
        <v>125</v>
      </c>
      <c r="AF382" s="26" t="n">
        <f aca="false">ROUND(AE382*1.6, 0)</f>
        <v>200</v>
      </c>
      <c r="AH382" s="26" t="n">
        <v>24</v>
      </c>
      <c r="AI382" s="26" t="n">
        <v>22</v>
      </c>
      <c r="AL382" s="5" t="n">
        <v>60</v>
      </c>
      <c r="AM382" s="1" t="str">
        <f aca="false">CONCATENATE(VLOOKUP(AN382, 'Voxel Sizes'!$A$2:$B$18,2,FALSE()),"x",INT(AJ382*15), "x", INT(AK382*15))</f>
        <v>214x0x0</v>
      </c>
      <c r="AN382" s="26" t="n">
        <f aca="false">ROUND(15*((AI382*10)/256),0)</f>
        <v>13</v>
      </c>
      <c r="AP382" s="1" t="str">
        <f aca="false">CONCATENATE(VLOOKUP(AN382,Constants!$A$2:$C$16,IF(AO382&lt;&gt;"", 3, 2), FALSE()),IF(AO382&lt;&gt;"",CONCATENATE(",",VLOOKUP(AO382,$B:$AP,41,FALSE())),""))</f>
        <v>4,5,4</v>
      </c>
      <c r="AQ382" s="26" t="n">
        <v>12</v>
      </c>
      <c r="AR382" s="6"/>
      <c r="AS382" s="6"/>
      <c r="AT382" s="26" t="s">
        <v>1447</v>
      </c>
      <c r="AU382" s="26" t="s">
        <v>1448</v>
      </c>
      <c r="AV382" s="26" t="s">
        <v>912</v>
      </c>
      <c r="AZ382" s="26" t="n">
        <v>30</v>
      </c>
      <c r="BA382" s="16" t="str">
        <f aca="false">IF(O382&lt;&gt;"",MAX(16,(O382-M382)+8),"")</f>
        <v/>
      </c>
      <c r="BB382" s="26" t="n">
        <v>-15</v>
      </c>
      <c r="BC382" s="26" t="n">
        <v>-30</v>
      </c>
      <c r="BD382" s="26" t="n">
        <f aca="false">MIN(AE382/150, 1)*30</f>
        <v>25</v>
      </c>
      <c r="BE382" s="26" t="n">
        <f aca="false">MIN(Q382/4000, 1)*20</f>
        <v>20</v>
      </c>
      <c r="BF382" s="26" t="n">
        <f aca="false">MIN(AC382/400,1)*20</f>
        <v>9.75</v>
      </c>
      <c r="BG382" s="4" t="n">
        <f aca="false">1-(MAX(M382-1900, 0)/750)</f>
        <v>0.837333333333333</v>
      </c>
      <c r="BH382" s="26" t="n">
        <f aca="false">((MAX($P382,1)*MIN($AL382/300,1)))*IF(J382="Wagon",50,10)</f>
        <v>10</v>
      </c>
      <c r="BI382" s="1" t="n">
        <f aca="false">VLOOKUP($K382,Constants!$I:$K, 2, FALSE())</f>
        <v>0.9</v>
      </c>
      <c r="BJ382" s="1" t="n">
        <f aca="false">VLOOKUP($K382,Constants!$I:$K, 3, FALSE())*IF(AND(J382="multiple_unit",AE382&lt;110),0.75,1)</f>
        <v>2.5</v>
      </c>
      <c r="BK382" s="1" t="n">
        <f aca="false">INT(POWER(((Constants!$G$2+$BD382+$BE382+$BF382+$BH382)*$BG382)*$BJ382, 1.05))+$BC382</f>
        <v>157</v>
      </c>
      <c r="BL382" s="1" t="n">
        <f aca="false">INT(POWER((((Constants!$G$1+$BD382+$BE382+$BF382+$BH382)*($BG382))*$BI382),IF($J382="wagon",1,1.2)))+$BB382</f>
        <v>121</v>
      </c>
      <c r="BM382" s="17" t="n">
        <f aca="false">BK382*IF($J382="wagon",62.5,781.25)</f>
        <v>122656.25</v>
      </c>
      <c r="BN382" s="17" t="n">
        <f aca="false">BL382*IF($J382="wagon",2.73,81.25)</f>
        <v>9831.25</v>
      </c>
      <c r="BU382" s="1" t="str">
        <f aca="false">IF(J382="locomotive","B","")</f>
        <v/>
      </c>
      <c r="BV382" s="1" t="str">
        <f aca="false">IF(OR($J382="locomotive",$J382="wagon"),"B","")</f>
        <v/>
      </c>
      <c r="BX382" s="26" t="s">
        <v>1247</v>
      </c>
      <c r="BY382" s="26" t="n">
        <v>10</v>
      </c>
      <c r="BZ382" s="26" t="n">
        <v>222</v>
      </c>
      <c r="CC382" s="26" t="s">
        <v>367</v>
      </c>
      <c r="CD382" s="26" t="s">
        <v>799</v>
      </c>
      <c r="CE382" s="26" t="s">
        <v>913</v>
      </c>
      <c r="CF382" s="26" t="str">
        <f aca="false">CONCATENATE(CD382,"_",CE382)</f>
        <v>mod_EMU (Express)</v>
      </c>
      <c r="CG382" s="26" t="str">
        <f aca="false">_xlfn.CONCAT(K382, "_",L382)</f>
        <v>dual_power_ELRL</v>
      </c>
      <c r="CH382" s="7" t="str">
        <f aca="false">_xlfn.CONCAT("{BLACK}Length: {GOLD}", TEXT(ROUNDUP(IF(AS382&lt;&gt;"",SUM(VALUE(_xlfn.TEXTSPLIT(AS382, ","))), SUM(VALUE(_xlfn.TEXTSPLIT(AP382, ",")))*IF(P382, P382, 1))/16, 1), "#,##0.0"), " tiles{}")</f>
        <v>{BLACK}Length: {GOLD}4.1 tiles{}</v>
      </c>
      <c r="CI382" s="1" t="str">
        <f aca="false">IF(0, VLOOKUP($CG382, Constants!$M:$N, 2, FALSE()),"")</f>
        <v/>
      </c>
      <c r="CJ382" s="1" t="str">
        <f aca="false">IF(P382&gt;1,_xlfn.CONCAT("{BLACK}Cars: {GOLD}", P382),"")</f>
        <v>{BLACK}Cars: {GOLD}5</v>
      </c>
      <c r="CK382" s="26" t="s">
        <v>1449</v>
      </c>
      <c r="CL382" s="1" t="str">
        <f aca="false">IF($BX382="concept_trains","{GREEN}Concept Vehicle",IF($BX382="!param_no_gameplay_units","{GREEN}Included for gameplay purposes",""))</f>
        <v/>
      </c>
      <c r="CM382" s="26" t="str">
        <f aca="false">IF(CA382="buffet","{YELLOW}25% long distance bonus for consist{}",IF(CD382="BRAKE","{YELLOW}Speed bonus for slow wagons{}",IF(BZ382&gt;190,CONCATENATE("{YELLOW}",INT((BZ382-185)/1.85),"% bonus for long distance travel{}"),IF(AND(BZ382&lt;180,BZ382&lt;&gt;0),CONCATENATE("{YELLOW}",INT((185-BZ382)/1.85),"% penalty for long distance travel{}"),""))))</f>
        <v>{YELLOW}20% bonus for long distance travel{}</v>
      </c>
      <c r="CN382" s="1" t="str">
        <f aca="false">_xlfn.CONCAT(CI382,IF(CI382&lt;&gt;""," ",""),CJ382,IF(OR(CJ382&lt;&gt;"",CI382&lt;&gt;""),"{}",""),CH382,CM382,"{SILVER}",CK382,IF(CL382&lt;&gt;"","{}{}",""),CL382)</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82" s="1"/>
    </row>
    <row r="383" customFormat="false" ht="14.25" hidden="false" customHeight="false" outlineLevel="0" collapsed="false">
      <c r="A383" s="1" t="s">
        <v>1450</v>
      </c>
      <c r="B383" s="25" t="s">
        <v>1451</v>
      </c>
      <c r="C383" s="1" t="n">
        <v>5247</v>
      </c>
      <c r="E383" s="1" t="n">
        <v>447</v>
      </c>
      <c r="G383" s="1" t="str">
        <f aca="false">IF($F383&lt;&gt;"",_xlfn.CONCAT(VLOOKUP($CE383, Constants!$T:$U, 2, FALSE()),",",$F383),VLOOKUP($CE383, Constants!$T:$U, 2, FALSE()))</f>
        <v>role/express_passenger</v>
      </c>
      <c r="H383" s="1" t="str">
        <f aca="false">IF($G383&lt;&gt;"",_xlfn.CONCAT(VLOOKUP($CG383, Constants!$M:$P, 4, FALSE()),",",$G383),VLOOKUP($CG383, Constants!$M:$P, 4, FALSE()))</f>
        <v>flag/GB,power/electric,role/express_passenger</v>
      </c>
      <c r="I383" s="1" t="s">
        <v>241</v>
      </c>
      <c r="J383" s="1" t="s">
        <v>466</v>
      </c>
      <c r="K383" s="1" t="s">
        <v>388</v>
      </c>
      <c r="L383" s="1" t="s">
        <v>389</v>
      </c>
      <c r="M383" s="1" t="n">
        <v>2029</v>
      </c>
      <c r="N383" s="1" t="n">
        <v>2035</v>
      </c>
      <c r="P383" s="1" t="n">
        <v>8</v>
      </c>
      <c r="Q383" s="1" t="n">
        <v>13410</v>
      </c>
      <c r="Z383" s="1" t="n">
        <v>481</v>
      </c>
      <c r="AB383" s="1" t="n">
        <v>3</v>
      </c>
      <c r="AC383" s="1" t="n">
        <v>360</v>
      </c>
      <c r="AD383" s="4" t="n">
        <f aca="false">IF(AND(Z383&gt;0,AC383&gt;0),(AC383/((Z383+AA383)*10)),"")</f>
        <v>0.0748440748440749</v>
      </c>
      <c r="AE383" s="1" t="n">
        <v>225</v>
      </c>
      <c r="AF383" s="1" t="n">
        <f aca="false">ROUND(AE383*1.6, 0)</f>
        <v>360</v>
      </c>
      <c r="AH383" s="1" t="n">
        <v>25</v>
      </c>
      <c r="AI383" s="1" t="n">
        <v>25</v>
      </c>
      <c r="AK383" s="1" t="n">
        <v>3.82</v>
      </c>
      <c r="AL383" s="5" t="n">
        <v>57</v>
      </c>
      <c r="AM383" s="1" t="str">
        <f aca="false">CONCATENATE(VLOOKUP(AN383, 'Voxel Sizes'!$A$2:$B$18,2,FALSE()),"x",INT(AJ383*15), "x", INT(AK383*15))</f>
        <v>256x0x57</v>
      </c>
      <c r="AN383" s="1" t="n">
        <f aca="false">ROUND(15*((AI383*10)/256),0)</f>
        <v>15</v>
      </c>
      <c r="AP383" s="1" t="str">
        <f aca="false">CONCATENATE(VLOOKUP(AN383,Constants!$A$2:$C$16,IF(AO383&lt;&gt;"", 3, 2), FALSE()),IF(AO383&lt;&gt;"",CONCATENATE(",",VLOOKUP(AO383,$B:$AP,41,FALSE())),""))</f>
        <v>4,7,4</v>
      </c>
      <c r="AQ383" s="1" t="n">
        <v>4</v>
      </c>
      <c r="AR383" s="6" t="s">
        <v>1452</v>
      </c>
      <c r="AS383" s="6" t="s">
        <v>1453</v>
      </c>
      <c r="AT383" s="1" t="s">
        <v>1454</v>
      </c>
      <c r="AV383" s="1" t="s">
        <v>1455</v>
      </c>
      <c r="AW383" s="1" t="s">
        <v>1456</v>
      </c>
      <c r="AZ383" s="1" t="n">
        <v>30</v>
      </c>
      <c r="BA383" s="16" t="str">
        <f aca="false">IF(O383&lt;&gt;"",MAX(16,(O383-M383)+8),"")</f>
        <v/>
      </c>
      <c r="BB383" s="1" t="n">
        <v>-15</v>
      </c>
      <c r="BC383" s="1" t="n">
        <v>-30</v>
      </c>
      <c r="BD383" s="1" t="n">
        <f aca="false">MIN(AE383/150, 1)*30</f>
        <v>30</v>
      </c>
      <c r="BE383" s="1" t="n">
        <f aca="false">MIN(Q383/4000, 1)*20</f>
        <v>20</v>
      </c>
      <c r="BF383" s="1" t="n">
        <f aca="false">MIN(AC383/400,1)*20</f>
        <v>18</v>
      </c>
      <c r="BG383" s="4" t="n">
        <f aca="false">1-(MAX(M383-1900, 0)/750)</f>
        <v>0.828</v>
      </c>
      <c r="BH383" s="1" t="n">
        <f aca="false">((MAX($P383,1)*MIN($AL383/300,1)))*IF(J383="Wagon",50,10)</f>
        <v>15.2</v>
      </c>
      <c r="BI383" s="1" t="n">
        <f aca="false">VLOOKUP($K383,Constants!$I:$K, 2, FALSE())</f>
        <v>0.85</v>
      </c>
      <c r="BJ383" s="1" t="n">
        <f aca="false">VLOOKUP($K383,Constants!$I:$K, 3, FALSE())*IF(AND(J383="multiple_unit",AE383&lt;110),0.75,1)</f>
        <v>2.3</v>
      </c>
      <c r="BK383" s="1" t="n">
        <f aca="false">INT(POWER(((Constants!$G$2+$BD383+$BE383+$BF383+$BH383)*$BG383)*$BJ383, 1.05))+$BC383</f>
        <v>187</v>
      </c>
      <c r="BL383" s="1" t="n">
        <f aca="false">INT(POWER((((Constants!$G$1+$BD383+$BE383+$BF383+$BH383)*($BG383))*$BI383),IF($J383="wagon",1,1.2)))+$BB383</f>
        <v>146</v>
      </c>
      <c r="BM383" s="17" t="n">
        <f aca="false">BK383*IF($J383="wagon",62.5,781.25)</f>
        <v>146093.75</v>
      </c>
      <c r="BN383" s="17" t="n">
        <f aca="false">BL383*IF($J383="wagon",2.73,81.25)</f>
        <v>11862.5</v>
      </c>
      <c r="BU383" s="1" t="str">
        <f aca="false">IF(J383="locomotive","B","")</f>
        <v/>
      </c>
      <c r="BV383" s="1" t="str">
        <f aca="false">IF(OR($J383="locomotive",$J383="wagon"),"B","")</f>
        <v/>
      </c>
      <c r="BX383" s="1" t="s">
        <v>1247</v>
      </c>
      <c r="BY383" s="1" t="n">
        <v>5</v>
      </c>
      <c r="BZ383" s="1" t="n">
        <v>205</v>
      </c>
      <c r="CC383" s="1" t="s">
        <v>367</v>
      </c>
      <c r="CD383" s="1" t="str">
        <f aca="false">VLOOKUP(M383,Eras!$A$2:$C$10, 2, TRUE())</f>
        <v>mod</v>
      </c>
      <c r="CE383" s="1" t="s">
        <v>913</v>
      </c>
      <c r="CF383" s="1" t="str">
        <f aca="false">CONCATENATE(CD383,"_",CE383)</f>
        <v>mod_EMU (Express)</v>
      </c>
      <c r="CG383" s="1" t="str">
        <f aca="false">_xlfn.CONCAT(K383, "_",L383)</f>
        <v>electric_ELRL</v>
      </c>
      <c r="CH383" s="7" t="str">
        <f aca="false">_xlfn.CONCAT("{BLACK}Length: {GOLD}", TEXT(ROUNDUP(IF(AS383&lt;&gt;"",SUM(VALUE(_xlfn.TEXTSPLIT(AS383, ","))), SUM(VALUE(_xlfn.TEXTSPLIT(AP383, ",")))*IF(P383, P383, 1))/16, 1), "#,##0.0"), " tiles{}")</f>
        <v>{BLACK}Length: {GOLD}7.2 tiles{}</v>
      </c>
      <c r="CI383" s="1" t="str">
        <f aca="false">IF(0, VLOOKUP($CG383, Constants!$M:$N, 2, FALSE()),"")</f>
        <v/>
      </c>
      <c r="CJ383" s="1" t="str">
        <f aca="false">IF(P383&gt;1,_xlfn.CONCAT("{BLACK}Cars: {GOLD}", P383),"")</f>
        <v>{BLACK}Cars: {GOLD}8</v>
      </c>
      <c r="CK383" s="1" t="s">
        <v>1457</v>
      </c>
      <c r="CL383" s="1" t="str">
        <f aca="false">IF($BX383="concept_trains","{GREEN}Concept Vehicle",IF($BX383="!param_no_gameplay_units","{GREEN}Included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{YELLOW}10% bonus for long distance travel{}</v>
      </c>
      <c r="CN383" s="1" t="str">
        <f aca="false">_xlfn.CONCAT(CI383,IF(CI383&lt;&gt;""," ",""),CJ383,IF(OR(CJ383&lt;&gt;"",CI383&lt;&gt;""),"{}",""),CH383,CM383,"{SILVER}",CK383,IF(CL383&lt;&gt;"","{}{}",""),CL383)</f>
        <v>{BLACK}Cars: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384" s="26" customFormat="true" ht="14.25" hidden="false" customHeight="false" outlineLevel="0" collapsed="false">
      <c r="A384" s="26" t="s">
        <v>1458</v>
      </c>
      <c r="B384" s="27" t="s">
        <v>1459</v>
      </c>
      <c r="C384" s="1" t="n">
        <v>3076</v>
      </c>
      <c r="D384" s="26" t="n">
        <v>3077</v>
      </c>
      <c r="E384" s="26" t="n">
        <v>500</v>
      </c>
      <c r="G384" s="1" t="str">
        <f aca="false">IF($F384&lt;&gt;"",_xlfn.CONCAT(VLOOKUP($CE384, Constants!$T:$U, 2, FALSE()),",",$F384),VLOOKUP($CE384, Constants!$T:$U, 2, FALSE()))</f>
        <v>role/freight</v>
      </c>
      <c r="H384" s="1" t="str">
        <f aca="false">IF($G384&lt;&gt;"",_xlfn.CONCAT(VLOOKUP($CG384, Constants!$M:$P, 4, FALSE()),",",$G384),VLOOKUP($CG384, Constants!$M:$P, 4, FALSE()))</f>
        <v>flag/GB,power/diesel,role/freight</v>
      </c>
      <c r="I384" s="26" t="s">
        <v>241</v>
      </c>
      <c r="J384" s="26" t="s">
        <v>1460</v>
      </c>
      <c r="K384" s="26" t="s">
        <v>525</v>
      </c>
      <c r="L384" s="26" t="s">
        <v>192</v>
      </c>
      <c r="M384" s="26" t="n">
        <v>1999</v>
      </c>
      <c r="P384" s="26" t="n">
        <v>1</v>
      </c>
      <c r="Q384" s="26" t="n">
        <v>710</v>
      </c>
      <c r="R384" s="2"/>
      <c r="S384" s="3"/>
      <c r="T384" s="3"/>
      <c r="U384" s="3"/>
      <c r="V384" s="3"/>
      <c r="W384" s="3"/>
      <c r="X384" s="3"/>
      <c r="Y384" s="3"/>
      <c r="Z384" s="26" t="n">
        <v>34</v>
      </c>
      <c r="AA384" s="2"/>
      <c r="AB384" s="26" t="n">
        <v>4</v>
      </c>
      <c r="AC384" s="26" t="n">
        <v>106</v>
      </c>
      <c r="AD384" s="4" t="n">
        <f aca="false">IF(AND(Z384&gt;0,AC384&gt;0),(AC384/((Z384+AA384)*10)),"")</f>
        <v>0.311764705882353</v>
      </c>
      <c r="AE384" s="26" t="n">
        <v>75</v>
      </c>
      <c r="AF384" s="26" t="n">
        <f aca="false">ROUND(AE384*1.6, 0)</f>
        <v>120</v>
      </c>
      <c r="AH384" s="26" t="n">
        <v>20.2</v>
      </c>
      <c r="AI384" s="26" t="n">
        <v>20</v>
      </c>
      <c r="AJ384" s="26" t="n">
        <v>2.82</v>
      </c>
      <c r="AK384" s="26" t="n">
        <v>3.97</v>
      </c>
      <c r="AL384" s="5" t="n">
        <v>40</v>
      </c>
      <c r="AM384" s="1" t="str">
        <f aca="false">CONCATENATE(VLOOKUP(AN384, 'Voxel Sizes'!$A$2:$B$18,2,FALSE()),"x",INT(AJ384*15), "x", INT(AK384*15))</f>
        <v>198x42x59</v>
      </c>
      <c r="AN384" s="26" t="n">
        <f aca="false">ROUND(15*((AI384*10)/256),0)</f>
        <v>12</v>
      </c>
      <c r="AP384" s="1" t="str">
        <f aca="false">CONCATENATE(VLOOKUP(AN384,Constants!$A$2:$C$16,IF(AO384&lt;&gt;"", 3, 2), FALSE()),IF(AO384&lt;&gt;"",CONCATENATE(",",VLOOKUP(AO384,$B:$AP,41,FALSE())),""))</f>
        <v>4,4,4</v>
      </c>
      <c r="AQ384" s="26" t="n">
        <v>0</v>
      </c>
      <c r="AR384" s="6"/>
      <c r="AS384" s="6"/>
      <c r="AT384" s="26" t="s">
        <v>1461</v>
      </c>
      <c r="AV384" s="26" t="n">
        <v>1</v>
      </c>
      <c r="AW384" s="26" t="s">
        <v>1461</v>
      </c>
      <c r="AZ384" s="26" t="n">
        <v>35</v>
      </c>
      <c r="BA384" s="16" t="str">
        <f aca="false">IF(O384&lt;&gt;"",MAX(16,(O384-M384)+8),"")</f>
        <v/>
      </c>
      <c r="BD384" s="26" t="n">
        <f aca="false">MIN(AE384/150, 1)*30</f>
        <v>15</v>
      </c>
      <c r="BE384" s="26" t="n">
        <f aca="false">MIN(Q384/4000, 1)*20</f>
        <v>3.55</v>
      </c>
      <c r="BF384" s="26" t="n">
        <f aca="false">MIN(AC384/400,1)*20</f>
        <v>5.3</v>
      </c>
      <c r="BG384" s="4" t="n">
        <f aca="false">1-(MAX(M384-1900, 0)/750)</f>
        <v>0.868</v>
      </c>
      <c r="BH384" s="26" t="n">
        <f aca="false">((MAX($P384,1)*MIN($AL384/300,1)))*IF(J384="Wagon",50,10)</f>
        <v>1.33333333333333</v>
      </c>
      <c r="BI384" s="1" t="n">
        <f aca="false">VLOOKUP($K384,Constants!$I:$K, 2, FALSE())</f>
        <v>1</v>
      </c>
      <c r="BJ384" s="1" t="n">
        <f aca="false">VLOOKUP($K384,Constants!$I:$K, 3, FALSE())*IF(AND(J384="multiple_unit",AE384&lt;110),0.75,1)</f>
        <v>2</v>
      </c>
      <c r="BK384" s="1" t="n">
        <f aca="false">INT(POWER(((Constants!$G$2+$BD384+$BE384+$BF384+$BH384)*$BG384)*$BJ384, 1.05))+$BC384</f>
        <v>63</v>
      </c>
      <c r="BL384" s="1" t="n">
        <f aca="false">INT(POWER((((Constants!$G$1+$BD384+$BE384+$BF384+$BH384)*($BG384))*$BI384),IF($J384="wagon",1,1.2)))+$BB384</f>
        <v>70</v>
      </c>
      <c r="BM384" s="17" t="n">
        <f aca="false">BK384*IF($J384="wagon",62.5,781.25)</f>
        <v>49218.75</v>
      </c>
      <c r="BN384" s="17" t="n">
        <f aca="false">BL384*IF($J384="wagon",2.73,81.25)</f>
        <v>5687.5</v>
      </c>
      <c r="BT384" s="26" t="s">
        <v>1462</v>
      </c>
      <c r="BU384" s="1" t="str">
        <f aca="false">IF(J384="locomotive","B","")</f>
        <v/>
      </c>
      <c r="BV384" s="1" t="str">
        <f aca="false">IF(OR($J384="locomotive",$J384="wagon"),"B","")</f>
        <v/>
      </c>
      <c r="BY384" s="26" t="n">
        <v>6</v>
      </c>
      <c r="BZ384" s="26" t="n">
        <v>185</v>
      </c>
      <c r="CB384" s="26" t="s">
        <v>1463</v>
      </c>
      <c r="CC384" s="26" t="s">
        <v>1464</v>
      </c>
      <c r="CD384" s="26" t="s">
        <v>1234</v>
      </c>
      <c r="CE384" s="26" t="s">
        <v>132</v>
      </c>
      <c r="CF384" s="26" t="str">
        <f aca="false">CONCATENATE(CD384,"_",CE384)</f>
        <v>prv_Freight</v>
      </c>
      <c r="CG384" s="26" t="str">
        <f aca="false">_xlfn.CONCAT(K384, "_",L384)</f>
        <v>diesel_RAIL</v>
      </c>
      <c r="CH384" s="7" t="str">
        <f aca="false">_xlfn.CONCAT("{BLACK}Length: {GOLD}", TEXT(ROUNDUP(IF(AS384&lt;&gt;"",SUM(VALUE(_xlfn.TEXTSPLIT(AS384, ","))), SUM(VALUE(_xlfn.TEXTSPLIT(AP384, ",")))*IF(P384, P384, 1))/16, 1), "#,##0.0"), " tiles{}")</f>
        <v>{BLACK}Length: {GOLD}0.8 tiles{}</v>
      </c>
      <c r="CI384" s="1" t="str">
        <f aca="false">IF(0, VLOOKUP($CG384, Constants!$M:$N, 2, FALSE()),"")</f>
        <v/>
      </c>
      <c r="CJ384" s="1" t="str">
        <f aca="false">IF(P384&gt;1,_xlfn.CONCAT("{BLACK}Cars: {GOLD}", P384),"")</f>
        <v/>
      </c>
      <c r="CK384" s="26" t="s">
        <v>1465</v>
      </c>
      <c r="CL384" s="1" t="str">
        <f aca="false">IF($BX384="concept_trains","{GREEN}Concept Vehicle",IF($BX384="!param_no_gameplay_units","{GREEN}Included for gameplay purposes",""))</f>
        <v/>
      </c>
      <c r="CM384" s="26" t="str">
        <f aca="false">IF(CA384="buffet","{YELLOW}25% long distance bonus for consist{}",IF(CD384="BRAKE","{YELLOW}Speed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{GOLD}0.8 tiles{}{SILVER}The Windhoff MPV units were mainly used for Departmental service, notably in the iconic Rail Head Treatment trains, but trials were made in freight service.</v>
      </c>
      <c r="XFD384" s="1"/>
    </row>
    <row r="385" s="26" customFormat="true" ht="14.25" hidden="false" customHeight="false" outlineLevel="0" collapsed="false">
      <c r="A385" s="26" t="s">
        <v>1466</v>
      </c>
      <c r="B385" s="27" t="s">
        <v>1467</v>
      </c>
      <c r="C385" s="1" t="n">
        <v>3077</v>
      </c>
      <c r="E385" s="26" t="n">
        <v>501</v>
      </c>
      <c r="G385" s="1" t="str">
        <f aca="false">IF($F385&lt;&gt;"",_xlfn.CONCAT(VLOOKUP($CE385, Constants!$T:$U, 2, FALSE()),",",$F385),VLOOKUP($CE385, Constants!$T:$U, 2, FALSE()))</f>
        <v>role/freight</v>
      </c>
      <c r="H385" s="1" t="str">
        <f aca="false">IF($G385&lt;&gt;"",_xlfn.CONCAT(VLOOKUP($CG385, Constants!$M:$P, 4, FALSE()),",",$G385),VLOOKUP($CG385, Constants!$M:$P, 4, FALSE()))</f>
        <v>flag/GB,power/diesel,role/freight</v>
      </c>
      <c r="I385" s="26" t="s">
        <v>241</v>
      </c>
      <c r="J385" s="26" t="s">
        <v>1460</v>
      </c>
      <c r="K385" s="26" t="s">
        <v>525</v>
      </c>
      <c r="L385" s="26" t="s">
        <v>192</v>
      </c>
      <c r="M385" s="26" t="n">
        <v>1999</v>
      </c>
      <c r="P385" s="26" t="n">
        <v>2</v>
      </c>
      <c r="Q385" s="26" t="n">
        <v>710</v>
      </c>
      <c r="R385" s="2"/>
      <c r="S385" s="3"/>
      <c r="T385" s="3"/>
      <c r="U385" s="3"/>
      <c r="V385" s="3"/>
      <c r="W385" s="3"/>
      <c r="X385" s="3"/>
      <c r="Y385" s="3"/>
      <c r="Z385" s="26" t="n">
        <v>61</v>
      </c>
      <c r="AA385" s="2"/>
      <c r="AB385" s="26" t="n">
        <v>4</v>
      </c>
      <c r="AC385" s="26" t="n">
        <v>106</v>
      </c>
      <c r="AD385" s="4" t="n">
        <f aca="false">IF(AND(Z385&gt;0,AC385&gt;0),(AC385/((Z385+AA385)*10)),"")</f>
        <v>0.173770491803279</v>
      </c>
      <c r="AE385" s="26" t="n">
        <v>75</v>
      </c>
      <c r="AF385" s="26" t="n">
        <f aca="false">ROUND(AE385*1.6, 0)</f>
        <v>120</v>
      </c>
      <c r="AH385" s="26" t="n">
        <v>20.2</v>
      </c>
      <c r="AI385" s="26" t="n">
        <v>20</v>
      </c>
      <c r="AJ385" s="26" t="n">
        <v>2.82</v>
      </c>
      <c r="AK385" s="26" t="n">
        <v>3.97</v>
      </c>
      <c r="AL385" s="5" t="n">
        <v>40</v>
      </c>
      <c r="AM385" s="1" t="str">
        <f aca="false">CONCATENATE(VLOOKUP(AN385, 'Voxel Sizes'!$A$2:$B$18,2,FALSE()),"x",INT(AJ385*15), "x", INT(AK385*15))</f>
        <v>198x42x59</v>
      </c>
      <c r="AN385" s="26" t="n">
        <f aca="false">ROUND(15*((AI385*10)/256),0)</f>
        <v>12</v>
      </c>
      <c r="AP385" s="1" t="str">
        <f aca="false">CONCATENATE(VLOOKUP(AN385,Constants!$A$2:$C$16,IF(AO385&lt;&gt;"", 3, 2), FALSE()),IF(AO385&lt;&gt;"",CONCATENATE(",",VLOOKUP(AO385,$B:$AP,41,FALSE())),""))</f>
        <v>4,4,4</v>
      </c>
      <c r="AQ385" s="26" t="n">
        <v>0</v>
      </c>
      <c r="AR385" s="6"/>
      <c r="AS385" s="6"/>
      <c r="AT385" s="26" t="s">
        <v>1468</v>
      </c>
      <c r="AV385" s="26" t="s">
        <v>815</v>
      </c>
      <c r="AW385" s="26" t="s">
        <v>1469</v>
      </c>
      <c r="AZ385" s="26" t="n">
        <v>35</v>
      </c>
      <c r="BA385" s="16" t="str">
        <f aca="false">IF(O385&lt;&gt;"",MAX(16,(O385-M385)+8),"")</f>
        <v/>
      </c>
      <c r="BD385" s="26" t="n">
        <f aca="false">MIN(AE385/150, 1)*30</f>
        <v>15</v>
      </c>
      <c r="BE385" s="26" t="n">
        <f aca="false">MIN(Q385/4000, 1)*20</f>
        <v>3.55</v>
      </c>
      <c r="BF385" s="26" t="n">
        <f aca="false">MIN(AC385/400,1)*20</f>
        <v>5.3</v>
      </c>
      <c r="BG385" s="4" t="n">
        <f aca="false">1-(MAX(M385-1900, 0)/750)</f>
        <v>0.868</v>
      </c>
      <c r="BH385" s="26" t="n">
        <f aca="false">((MAX($P385,1)*MIN($AL385/300,1)))*IF(J385="Wagon",50,10)</f>
        <v>2.66666666666667</v>
      </c>
      <c r="BI385" s="1" t="n">
        <f aca="false">VLOOKUP($K385,Constants!$I:$K, 2, FALSE())</f>
        <v>1</v>
      </c>
      <c r="BJ385" s="1" t="n">
        <f aca="false">VLOOKUP($K385,Constants!$I:$K, 3, FALSE())*IF(AND(J385="multiple_unit",AE385&lt;110),0.75,1)</f>
        <v>2</v>
      </c>
      <c r="BK385" s="1" t="n">
        <f aca="false">INT(POWER(((Constants!$G$2+$BD385+$BE385+$BF385+$BH385)*$BG385)*$BJ385, 1.05))+$BC385</f>
        <v>66</v>
      </c>
      <c r="BL385" s="1" t="n">
        <f aca="false">INT(POWER((((Constants!$G$1+$BD385+$BE385+$BF385+$BH385)*($BG385))*$BI385),IF($J385="wagon",1,1.2)))+$BB385</f>
        <v>73</v>
      </c>
      <c r="BM385" s="17" t="n">
        <f aca="false">BK385*IF($J385="wagon",62.5,781.25)</f>
        <v>51562.5</v>
      </c>
      <c r="BN385" s="17" t="n">
        <f aca="false">BL385*IF($J385="wagon",2.73,81.25)</f>
        <v>5931.25</v>
      </c>
      <c r="BT385" s="26" t="s">
        <v>1462</v>
      </c>
      <c r="BU385" s="1" t="str">
        <f aca="false">IF(J385="locomotive","B","")</f>
        <v/>
      </c>
      <c r="BV385" s="1" t="str">
        <f aca="false">IF(OR($J385="locomotive",$J385="wagon"),"B","")</f>
        <v/>
      </c>
      <c r="BY385" s="26" t="n">
        <v>6</v>
      </c>
      <c r="BZ385" s="26" t="n">
        <v>185</v>
      </c>
      <c r="CB385" s="26" t="s">
        <v>1463</v>
      </c>
      <c r="CC385" s="26" t="s">
        <v>1464</v>
      </c>
      <c r="CD385" s="26" t="s">
        <v>1234</v>
      </c>
      <c r="CE385" s="26" t="s">
        <v>132</v>
      </c>
      <c r="CF385" s="26" t="str">
        <f aca="false">CONCATENATE(CD385,"_",CE385)</f>
        <v>prv_Freight</v>
      </c>
      <c r="CG385" s="26" t="str">
        <f aca="false">_xlfn.CONCAT(K385, "_",L385)</f>
        <v>diesel_RAIL</v>
      </c>
      <c r="CH385" s="7" t="str">
        <f aca="false">_xlfn.CONCAT("{BLACK}Length: {GOLD}", TEXT(ROUNDUP(IF(AS385&lt;&gt;"",SUM(VALUE(_xlfn.TEXTSPLIT(AS385, ","))), SUM(VALUE(_xlfn.TEXTSPLIT(AP385, ",")))*IF(P385, P385, 1))/16, 1), "#,##0.0"), " tiles{}")</f>
        <v>{BLACK}Length: {GOLD}1.5 tiles{}</v>
      </c>
      <c r="CI385" s="1" t="str">
        <f aca="false">IF(0, VLOOKUP($CG385, Constants!$M:$N, 2, FALSE()),"")</f>
        <v/>
      </c>
      <c r="CJ385" s="1" t="str">
        <f aca="false">IF(P385&gt;1,_xlfn.CONCAT("{BLACK}Cars: {GOLD}", P385),"")</f>
        <v>{BLACK}Cars: {GOLD}2</v>
      </c>
      <c r="CK385" s="26" t="s">
        <v>1465</v>
      </c>
      <c r="CL385" s="1" t="str">
        <f aca="false">IF($BX385="concept_trains","{GREEN}Concept Vehicle",IF($BX385="!param_no_gameplay_units","{GREEN}Included for gameplay purposes",""))</f>
        <v/>
      </c>
      <c r="CM385" s="26" t="str">
        <f aca="false">IF(CA385="buffet","{YELLOW}25% long distance bonus for consist{}",IF(CD385="BRAKE","{YELLOW}Speed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{BLACK}Cars: {GOLD}2{}{BLACK}Length: {GOLD}1.5 tiles{}{SILVER}The Windhoff MPV units were mainly used for Departmental service, notably in the iconic Rail Head Treatment trains, but trials were made in freight service.</v>
      </c>
      <c r="XFD385" s="1"/>
    </row>
    <row r="386" s="26" customFormat="true" ht="14.25" hidden="false" customHeight="false" outlineLevel="0" collapsed="false">
      <c r="A386" s="26" t="s">
        <v>1470</v>
      </c>
      <c r="B386" s="27" t="s">
        <v>1471</v>
      </c>
      <c r="C386" s="1" t="n">
        <v>3078</v>
      </c>
      <c r="D386" s="26" t="n">
        <v>3077</v>
      </c>
      <c r="E386" s="26" t="n">
        <v>502</v>
      </c>
      <c r="G386" s="1" t="str">
        <f aca="false">IF($F386&lt;&gt;"",_xlfn.CONCAT(VLOOKUP($CE386, Constants!$T:$U, 2, FALSE()),",",$F386),VLOOKUP($CE386, Constants!$T:$U, 2, FALSE()))</f>
        <v>role/freight</v>
      </c>
      <c r="H386" s="1" t="str">
        <f aca="false">IF($G386&lt;&gt;"",_xlfn.CONCAT(VLOOKUP($CG386, Constants!$M:$P, 4, FALSE()),",",$G386),VLOOKUP($CG386, Constants!$M:$P, 4, FALSE()))</f>
        <v>flag/GB,power/diesel,role/freight</v>
      </c>
      <c r="I386" s="26" t="s">
        <v>241</v>
      </c>
      <c r="J386" s="26" t="s">
        <v>1460</v>
      </c>
      <c r="K386" s="26" t="s">
        <v>525</v>
      </c>
      <c r="L386" s="26" t="s">
        <v>192</v>
      </c>
      <c r="M386" s="26" t="n">
        <v>1999</v>
      </c>
      <c r="P386" s="26" t="n">
        <v>3</v>
      </c>
      <c r="Q386" s="26" t="n">
        <v>710</v>
      </c>
      <c r="R386" s="2"/>
      <c r="S386" s="3"/>
      <c r="T386" s="3"/>
      <c r="U386" s="3"/>
      <c r="V386" s="3"/>
      <c r="W386" s="3"/>
      <c r="X386" s="3"/>
      <c r="Y386" s="3"/>
      <c r="Z386" s="26" t="n">
        <f aca="false">Z385+19</f>
        <v>80</v>
      </c>
      <c r="AA386" s="2"/>
      <c r="AB386" s="26" t="n">
        <v>4</v>
      </c>
      <c r="AC386" s="26" t="n">
        <v>106</v>
      </c>
      <c r="AD386" s="4" t="n">
        <f aca="false">IF(AND(Z386&gt;0,AC386&gt;0),(AC386/((Z386+AA386)*10)),"")</f>
        <v>0.1325</v>
      </c>
      <c r="AE386" s="26" t="n">
        <v>75</v>
      </c>
      <c r="AF386" s="26" t="n">
        <f aca="false">ROUND(AE386*1.6, 0)</f>
        <v>120</v>
      </c>
      <c r="AH386" s="26" t="n">
        <v>20.2</v>
      </c>
      <c r="AI386" s="26" t="n">
        <v>20</v>
      </c>
      <c r="AJ386" s="26" t="n">
        <v>2.82</v>
      </c>
      <c r="AK386" s="26" t="n">
        <v>3.97</v>
      </c>
      <c r="AL386" s="5" t="n">
        <v>40</v>
      </c>
      <c r="AM386" s="1" t="str">
        <f aca="false">CONCATENATE(VLOOKUP(AN386, 'Voxel Sizes'!$A$2:$B$18,2,FALSE()),"x",INT(AJ386*15), "x", INT(AK386*15))</f>
        <v>198x42x59</v>
      </c>
      <c r="AN386" s="26" t="n">
        <f aca="false">ROUND(15*((AI386*10)/256),0)</f>
        <v>12</v>
      </c>
      <c r="AP386" s="1" t="str">
        <f aca="false">CONCATENATE(VLOOKUP(AN386,Constants!$A$2:$C$16,IF(AO386&lt;&gt;"", 3, 2), FALSE()),IF(AO386&lt;&gt;"",CONCATENATE(",",VLOOKUP(AO386,$B:$AP,41,FALSE())),""))</f>
        <v>4,4,4</v>
      </c>
      <c r="AQ386" s="26" t="n">
        <v>0</v>
      </c>
      <c r="AR386" s="6"/>
      <c r="AS386" s="6"/>
      <c r="AT386" s="26" t="s">
        <v>1472</v>
      </c>
      <c r="AV386" s="26" t="s">
        <v>819</v>
      </c>
      <c r="AW386" s="26" t="s">
        <v>1469</v>
      </c>
      <c r="AZ386" s="26" t="n">
        <v>35</v>
      </c>
      <c r="BA386" s="16" t="str">
        <f aca="false">IF(O386&lt;&gt;"",MAX(16,(O386-M386)+8),"")</f>
        <v/>
      </c>
      <c r="BD386" s="26" t="n">
        <f aca="false">MIN(AE386/150, 1)*30</f>
        <v>15</v>
      </c>
      <c r="BE386" s="26" t="n">
        <f aca="false">MIN(Q386/4000, 1)*20</f>
        <v>3.55</v>
      </c>
      <c r="BF386" s="26" t="n">
        <f aca="false">MIN(AC386/400,1)*20</f>
        <v>5.3</v>
      </c>
      <c r="BG386" s="4" t="n">
        <f aca="false">1-(MAX(M386-1900, 0)/750)</f>
        <v>0.868</v>
      </c>
      <c r="BH386" s="26" t="n">
        <f aca="false">((MAX($P386,1)*MIN($AL386/300,1)))*IF(J386="Wagon",50,10)</f>
        <v>4</v>
      </c>
      <c r="BI386" s="1" t="n">
        <f aca="false">VLOOKUP($K386,Constants!$I:$K, 2, FALSE())</f>
        <v>1</v>
      </c>
      <c r="BJ386" s="1" t="n">
        <f aca="false">VLOOKUP($K386,Constants!$I:$K, 3, FALSE())*IF(AND(J386="multiple_unit",AE386&lt;110),0.75,1)</f>
        <v>2</v>
      </c>
      <c r="BK386" s="1" t="n">
        <f aca="false">INT(POWER(((Constants!$G$2+$BD386+$BE386+$BF386+$BH386)*$BG386)*$BJ386, 1.05))+$BC386</f>
        <v>69</v>
      </c>
      <c r="BL386" s="1" t="n">
        <f aca="false">INT(POWER((((Constants!$G$1+$BD386+$BE386+$BF386+$BH386)*($BG386))*$BI386),IF($J386="wagon",1,1.2)))+$BB386</f>
        <v>76</v>
      </c>
      <c r="BM386" s="17" t="n">
        <f aca="false">BK386*IF($J386="wagon",62.5,781.25)</f>
        <v>53906.25</v>
      </c>
      <c r="BN386" s="17" t="n">
        <f aca="false">BL386*IF($J386="wagon",2.73,81.25)</f>
        <v>6175</v>
      </c>
      <c r="BT386" s="26" t="s">
        <v>1462</v>
      </c>
      <c r="BU386" s="1" t="str">
        <f aca="false">IF(J386="locomotive","B","")</f>
        <v/>
      </c>
      <c r="BV386" s="1" t="str">
        <f aca="false">IF(OR($J386="locomotive",$J386="wagon"),"B","")</f>
        <v/>
      </c>
      <c r="BY386" s="26" t="n">
        <v>6</v>
      </c>
      <c r="BZ386" s="26" t="n">
        <v>185</v>
      </c>
      <c r="CB386" s="26" t="s">
        <v>1463</v>
      </c>
      <c r="CC386" s="26" t="s">
        <v>1464</v>
      </c>
      <c r="CD386" s="26" t="s">
        <v>1234</v>
      </c>
      <c r="CE386" s="26" t="s">
        <v>132</v>
      </c>
      <c r="CF386" s="26" t="str">
        <f aca="false">CONCATENATE(CD386,"_",CE386)</f>
        <v>prv_Freight</v>
      </c>
      <c r="CG386" s="26" t="str">
        <f aca="false">_xlfn.CONCAT(K386, "_",L386)</f>
        <v>diesel_RAIL</v>
      </c>
      <c r="CH386" s="7" t="str">
        <f aca="false">_xlfn.CONCAT("{BLACK}Length: {GOLD}", TEXT(ROUNDUP(IF(AS386&lt;&gt;"",SUM(VALUE(_xlfn.TEXTSPLIT(AS386, ","))), SUM(VALUE(_xlfn.TEXTSPLIT(AP386, ",")))*IF(P386, P386, 1))/16, 1), "#,##0.0"), " tiles{}")</f>
        <v>{BLACK}Length: {GOLD}2.3 tiles{}</v>
      </c>
      <c r="CI386" s="1" t="str">
        <f aca="false">IF(0, VLOOKUP($CG386, Constants!$M:$N, 2, FALSE()),"")</f>
        <v/>
      </c>
      <c r="CJ386" s="1" t="str">
        <f aca="false">IF(P386&gt;1,_xlfn.CONCAT("{BLACK}Cars: {GOLD}", P386),"")</f>
        <v>{BLACK}Cars: {GOLD}3</v>
      </c>
      <c r="CK386" s="26" t="s">
        <v>1465</v>
      </c>
      <c r="CL386" s="1" t="str">
        <f aca="false">IF($BX386="concept_trains","{GREEN}Concept Vehicle",IF($BX386="!param_no_gameplay_units","{GREEN}Included for gameplay purposes",""))</f>
        <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{BLACK}Cars: {GOLD}3{}{BLACK}Length: {GOLD}2.3 tiles{}{SILVER}The Windhoff MPV units were mainly used for Departmental service, notably in the iconic Rail Head Treatment trains, but trials were made in freight service.</v>
      </c>
      <c r="XFD386" s="1"/>
    </row>
    <row r="387" s="26" customFormat="true" ht="14.25" hidden="false" customHeight="false" outlineLevel="0" collapsed="false">
      <c r="A387" s="26" t="s">
        <v>1473</v>
      </c>
      <c r="B387" s="27" t="s">
        <v>1474</v>
      </c>
      <c r="C387" s="1" t="n">
        <v>3079</v>
      </c>
      <c r="D387" s="26" t="n">
        <v>3077</v>
      </c>
      <c r="E387" s="26" t="n">
        <v>503</v>
      </c>
      <c r="G387" s="1" t="str">
        <f aca="false">IF($F387&lt;&gt;"",_xlfn.CONCAT(VLOOKUP($CE387, Constants!$T:$U, 2, FALSE()),",",$F387),VLOOKUP($CE387, Constants!$T:$U, 2, FALSE()))</f>
        <v>role/freight</v>
      </c>
      <c r="H387" s="1" t="str">
        <f aca="false">IF($G387&lt;&gt;"",_xlfn.CONCAT(VLOOKUP($CG387, Constants!$M:$P, 4, FALSE()),",",$G387),VLOOKUP($CG387, Constants!$M:$P, 4, FALSE()))</f>
        <v>flag/GB,power/diesel,role/freight</v>
      </c>
      <c r="I387" s="26" t="s">
        <v>241</v>
      </c>
      <c r="J387" s="26" t="s">
        <v>1460</v>
      </c>
      <c r="K387" s="26" t="s">
        <v>525</v>
      </c>
      <c r="L387" s="26" t="s">
        <v>192</v>
      </c>
      <c r="M387" s="26" t="n">
        <v>1999</v>
      </c>
      <c r="P387" s="26" t="n">
        <v>4</v>
      </c>
      <c r="Q387" s="26" t="n">
        <v>710</v>
      </c>
      <c r="R387" s="2"/>
      <c r="S387" s="3"/>
      <c r="T387" s="3"/>
      <c r="U387" s="3"/>
      <c r="V387" s="3"/>
      <c r="W387" s="3"/>
      <c r="X387" s="3"/>
      <c r="Y387" s="3"/>
      <c r="Z387" s="26" t="n">
        <f aca="false">Z386+19</f>
        <v>99</v>
      </c>
      <c r="AA387" s="2"/>
      <c r="AB387" s="26" t="n">
        <v>4</v>
      </c>
      <c r="AC387" s="26" t="n">
        <v>106</v>
      </c>
      <c r="AD387" s="4" t="n">
        <f aca="false">IF(AND(Z387&gt;0,AC387&gt;0),(AC387/((Z387+AA387)*10)),"")</f>
        <v>0.107070707070707</v>
      </c>
      <c r="AE387" s="26" t="n">
        <v>75</v>
      </c>
      <c r="AF387" s="26" t="n">
        <f aca="false">ROUND(AE387*1.6, 0)</f>
        <v>120</v>
      </c>
      <c r="AH387" s="26" t="n">
        <v>20.2</v>
      </c>
      <c r="AI387" s="26" t="n">
        <v>20</v>
      </c>
      <c r="AJ387" s="26" t="n">
        <v>2.82</v>
      </c>
      <c r="AK387" s="26" t="n">
        <v>3.97</v>
      </c>
      <c r="AL387" s="5" t="n">
        <v>40</v>
      </c>
      <c r="AM387" s="1" t="str">
        <f aca="false">CONCATENATE(VLOOKUP(AN387, 'Voxel Sizes'!$A$2:$B$18,2,FALSE()),"x",INT(AJ387*15), "x", INT(AK387*15))</f>
        <v>198x42x59</v>
      </c>
      <c r="AN387" s="26" t="n">
        <f aca="false">ROUND(15*((AI387*10)/256),0)</f>
        <v>12</v>
      </c>
      <c r="AP387" s="1" t="str">
        <f aca="false">CONCATENATE(VLOOKUP(AN387,Constants!$A$2:$C$16,IF(AO387&lt;&gt;"", 3, 2), FALSE()),IF(AO387&lt;&gt;"",CONCATENATE(",",VLOOKUP(AO387,$B:$AP,41,FALSE())),""))</f>
        <v>4,4,4</v>
      </c>
      <c r="AQ387" s="26" t="n">
        <v>0</v>
      </c>
      <c r="AR387" s="6"/>
      <c r="AS387" s="6"/>
      <c r="AT387" s="26" t="s">
        <v>1475</v>
      </c>
      <c r="AV387" s="26" t="s">
        <v>834</v>
      </c>
      <c r="AW387" s="26" t="s">
        <v>1469</v>
      </c>
      <c r="AZ387" s="26" t="n">
        <v>35</v>
      </c>
      <c r="BA387" s="16" t="str">
        <f aca="false">IF(O387&lt;&gt;"",MAX(16,(O387-M387)+8),"")</f>
        <v/>
      </c>
      <c r="BD387" s="26" t="n">
        <f aca="false">MIN(AE387/150, 1)*30</f>
        <v>15</v>
      </c>
      <c r="BE387" s="26" t="n">
        <f aca="false">MIN(Q387/4000, 1)*20</f>
        <v>3.55</v>
      </c>
      <c r="BF387" s="26" t="n">
        <f aca="false">MIN(AC387/400,1)*20</f>
        <v>5.3</v>
      </c>
      <c r="BG387" s="4" t="n">
        <f aca="false">1-(MAX(M387-1900, 0)/750)</f>
        <v>0.868</v>
      </c>
      <c r="BH387" s="26" t="n">
        <f aca="false">((MAX($P387,1)*MIN($AL387/300,1)))*IF(J387="Wagon",50,10)</f>
        <v>5.33333333333333</v>
      </c>
      <c r="BI387" s="1" t="n">
        <f aca="false">VLOOKUP($K387,Constants!$I:$K, 2, FALSE())</f>
        <v>1</v>
      </c>
      <c r="BJ387" s="1" t="n">
        <f aca="false">VLOOKUP($K387,Constants!$I:$K, 3, FALSE())*IF(AND(J387="multiple_unit",AE387&lt;110),0.75,1)</f>
        <v>2</v>
      </c>
      <c r="BK387" s="1" t="n">
        <f aca="false">INT(POWER(((Constants!$G$2+$BD387+$BE387+$BF387+$BH387)*$BG387)*$BJ387, 1.05))+$BC387</f>
        <v>72</v>
      </c>
      <c r="BL387" s="1" t="n">
        <f aca="false">INT(POWER((((Constants!$G$1+$BD387+$BE387+$BF387+$BH387)*($BG387))*$BI387),IF($J387="wagon",1,1.2)))+$BB387</f>
        <v>79</v>
      </c>
      <c r="BM387" s="17" t="n">
        <f aca="false">BK387*IF($J387="wagon",62.5,781.25)</f>
        <v>56250</v>
      </c>
      <c r="BN387" s="17" t="n">
        <f aca="false">BL387*IF($J387="wagon",2.73,81.25)</f>
        <v>6418.75</v>
      </c>
      <c r="BT387" s="26" t="s">
        <v>1462</v>
      </c>
      <c r="BU387" s="1" t="str">
        <f aca="false">IF(J387="locomotive","B","")</f>
        <v/>
      </c>
      <c r="BV387" s="1" t="str">
        <f aca="false">IF(OR($J387="locomotive",$J387="wagon"),"B","")</f>
        <v/>
      </c>
      <c r="BY387" s="26" t="n">
        <v>6</v>
      </c>
      <c r="BZ387" s="26" t="n">
        <v>185</v>
      </c>
      <c r="CB387" s="26" t="s">
        <v>1463</v>
      </c>
      <c r="CC387" s="26" t="s">
        <v>1464</v>
      </c>
      <c r="CD387" s="26" t="s">
        <v>1234</v>
      </c>
      <c r="CE387" s="26" t="s">
        <v>132</v>
      </c>
      <c r="CF387" s="26" t="str">
        <f aca="false">CONCATENATE(CD387,"_",CE387)</f>
        <v>prv_Freight</v>
      </c>
      <c r="CG387" s="26" t="str">
        <f aca="false">_xlfn.CONCAT(K387, "_",L387)</f>
        <v>diesel_RAIL</v>
      </c>
      <c r="CH387" s="7" t="str">
        <f aca="false">_xlfn.CONCAT("{BLACK}Length: {GOLD}", TEXT(ROUNDUP(IF(AS387&lt;&gt;"",SUM(VALUE(_xlfn.TEXTSPLIT(AS387, ","))), SUM(VALUE(_xlfn.TEXTSPLIT(AP387, ",")))*IF(P387, P387, 1))/16, 1), "#,##0.0"), " tiles{}")</f>
        <v>{BLACK}Length: {GOLD}3.0 tiles{}</v>
      </c>
      <c r="CI387" s="1" t="str">
        <f aca="false">IF(0, VLOOKUP($CG387, Constants!$M:$N, 2, FALSE()),"")</f>
        <v/>
      </c>
      <c r="CJ387" s="1" t="str">
        <f aca="false">IF(P387&gt;1,_xlfn.CONCAT("{BLACK}Cars: {GOLD}", P387),"")</f>
        <v>{BLACK}Cars: {GOLD}4</v>
      </c>
      <c r="CK387" s="26" t="s">
        <v>1465</v>
      </c>
      <c r="CL387" s="1" t="str">
        <f aca="false">IF($BX387="concept_trains","{GREEN}Concept Vehicle",IF($BX387="!param_no_gameplay_units","{GREEN}Included for gameplay purposes",""))</f>
        <v/>
      </c>
      <c r="CM387" s="26" t="str">
        <f aca="false">IF(CA387="buffet","{YELLOW}25% long distance bonus for consist{}",IF(CD387="BRAKE","{YELLOW}Speed bonus for slow wagons{}",IF(BZ387&gt;190,CONCATENATE("{YELLOW}",INT((BZ387-185)/1.85),"% bonus for long distance travel{}"),IF(AND(BZ387&lt;180,BZ387&lt;&gt;0),CONCATENATE("{YELLOW}",INT((185-BZ387)/1.85),"% penalty for long distance travel{}"),""))))</f>
        <v/>
      </c>
      <c r="CN387" s="1" t="str">
        <f aca="false">_xlfn.CONCAT(CI387,IF(CI387&lt;&gt;""," ",""),CJ387,IF(OR(CJ387&lt;&gt;"",CI387&lt;&gt;""),"{}",""),CH387,CM387,"{SILVER}",CK387,IF(CL387&lt;&gt;"","{}{}",""),CL387)</f>
        <v>{BLACK}Cars: {GOLD}4{}{BLACK}Length: {GOLD}3.0 tiles{}{SILVER}The Windhoff MPV units were mainly used for Departmental service, notably in the iconic Rail Head Treatment trains, but trials were made in freight service.</v>
      </c>
      <c r="XFD387" s="1"/>
    </row>
    <row r="388" s="26" customFormat="true" ht="14.25" hidden="false" customHeight="false" outlineLevel="0" collapsed="false">
      <c r="A388" s="26" t="s">
        <v>1476</v>
      </c>
      <c r="B388" s="27" t="s">
        <v>1477</v>
      </c>
      <c r="C388" s="1" t="n">
        <v>3080</v>
      </c>
      <c r="D388" s="26" t="n">
        <v>3077</v>
      </c>
      <c r="E388" s="26" t="n">
        <v>504</v>
      </c>
      <c r="G388" s="1" t="str">
        <f aca="false">IF($F388&lt;&gt;"",_xlfn.CONCAT(VLOOKUP($CE388, Constants!$T:$U, 2, FALSE()),",",$F388),VLOOKUP($CE388, Constants!$T:$U, 2, FALSE()))</f>
        <v>role/freight</v>
      </c>
      <c r="H388" s="1" t="str">
        <f aca="false">IF($G388&lt;&gt;"",_xlfn.CONCAT(VLOOKUP($CG388, Constants!$M:$P, 4, FALSE()),",",$G388),VLOOKUP($CG388, Constants!$M:$P, 4, FALSE()))</f>
        <v>flag/GB,power/diesel,role/freight</v>
      </c>
      <c r="I388" s="26" t="s">
        <v>241</v>
      </c>
      <c r="J388" s="26" t="s">
        <v>1460</v>
      </c>
      <c r="K388" s="26" t="s">
        <v>525</v>
      </c>
      <c r="L388" s="26" t="s">
        <v>192</v>
      </c>
      <c r="M388" s="26" t="n">
        <v>1999</v>
      </c>
      <c r="P388" s="26" t="n">
        <v>5</v>
      </c>
      <c r="Q388" s="26" t="n">
        <v>710</v>
      </c>
      <c r="R388" s="2"/>
      <c r="S388" s="3"/>
      <c r="T388" s="3"/>
      <c r="U388" s="3"/>
      <c r="V388" s="3"/>
      <c r="W388" s="3"/>
      <c r="X388" s="3"/>
      <c r="Y388" s="3"/>
      <c r="Z388" s="26" t="n">
        <f aca="false">Z387+19</f>
        <v>118</v>
      </c>
      <c r="AA388" s="2"/>
      <c r="AB388" s="26" t="n">
        <v>4</v>
      </c>
      <c r="AC388" s="26" t="n">
        <v>106</v>
      </c>
      <c r="AD388" s="4" t="n">
        <f aca="false">IF(AND(Z388&gt;0,AC388&gt;0),(AC388/((Z388+AA388)*10)),"")</f>
        <v>0.0898305084745763</v>
      </c>
      <c r="AE388" s="26" t="n">
        <v>75</v>
      </c>
      <c r="AF388" s="26" t="n">
        <f aca="false">ROUND(AE388*1.6, 0)</f>
        <v>120</v>
      </c>
      <c r="AH388" s="26" t="n">
        <v>20.2</v>
      </c>
      <c r="AI388" s="26" t="n">
        <v>20</v>
      </c>
      <c r="AJ388" s="26" t="n">
        <v>2.82</v>
      </c>
      <c r="AK388" s="26" t="n">
        <v>3.97</v>
      </c>
      <c r="AL388" s="5" t="n">
        <v>40</v>
      </c>
      <c r="AM388" s="1" t="str">
        <f aca="false">CONCATENATE(VLOOKUP(AN388, 'Voxel Sizes'!$A$2:$B$18,2,FALSE()),"x",INT(AJ388*15), "x", INT(AK388*15))</f>
        <v>198x42x59</v>
      </c>
      <c r="AN388" s="26" t="n">
        <f aca="false">ROUND(15*((AI388*10)/256),0)</f>
        <v>12</v>
      </c>
      <c r="AP388" s="1" t="str">
        <f aca="false">CONCATENATE(VLOOKUP(AN388,Constants!$A$2:$C$16,IF(AO388&lt;&gt;"", 3, 2), FALSE()),IF(AO388&lt;&gt;"",CONCATENATE(",",VLOOKUP(AO388,$B:$AP,41,FALSE())),""))</f>
        <v>4,4,4</v>
      </c>
      <c r="AQ388" s="26" t="n">
        <v>0</v>
      </c>
      <c r="AR388" s="6"/>
      <c r="AS388" s="6"/>
      <c r="AT388" s="26" t="s">
        <v>1478</v>
      </c>
      <c r="AV388" s="26" t="s">
        <v>889</v>
      </c>
      <c r="AW388" s="26" t="s">
        <v>1469</v>
      </c>
      <c r="AZ388" s="26" t="n">
        <v>35</v>
      </c>
      <c r="BA388" s="16" t="str">
        <f aca="false">IF(O388&lt;&gt;"",MAX(16,(O388-M388)+8),"")</f>
        <v/>
      </c>
      <c r="BD388" s="26" t="n">
        <f aca="false">MIN(AE388/150, 1)*30</f>
        <v>15</v>
      </c>
      <c r="BE388" s="26" t="n">
        <f aca="false">MIN(Q388/4000, 1)*20</f>
        <v>3.55</v>
      </c>
      <c r="BF388" s="26" t="n">
        <f aca="false">MIN(AC388/400,1)*20</f>
        <v>5.3</v>
      </c>
      <c r="BG388" s="4" t="n">
        <f aca="false">1-(MAX(M388-1900, 0)/750)</f>
        <v>0.868</v>
      </c>
      <c r="BH388" s="26" t="n">
        <f aca="false">((MAX($P388,1)*MIN($AL388/300,1)))*IF(J388="Wagon",50,10)</f>
        <v>6.66666666666667</v>
      </c>
      <c r="BI388" s="1" t="n">
        <f aca="false">VLOOKUP($K388,Constants!$I:$K, 2, FALSE())</f>
        <v>1</v>
      </c>
      <c r="BJ388" s="1" t="n">
        <f aca="false">VLOOKUP($K388,Constants!$I:$K, 3, FALSE())*IF(AND(J388="multiple_unit",AE388&lt;110),0.75,1)</f>
        <v>2</v>
      </c>
      <c r="BK388" s="1" t="n">
        <f aca="false">INT(POWER(((Constants!$G$2+$BD388+$BE388+$BF388+$BH388)*$BG388)*$BJ388, 1.05))+$BC388</f>
        <v>75</v>
      </c>
      <c r="BL388" s="1" t="n">
        <f aca="false">INT(POWER((((Constants!$G$1+$BD388+$BE388+$BF388+$BH388)*($BG388))*$BI388),IF($J388="wagon",1,1.2)))+$BB388</f>
        <v>82</v>
      </c>
      <c r="BM388" s="17" t="n">
        <f aca="false">BK388*IF($J388="wagon",62.5,781.25)</f>
        <v>58593.75</v>
      </c>
      <c r="BN388" s="17" t="n">
        <f aca="false">BL388*IF($J388="wagon",2.73,81.25)</f>
        <v>6662.5</v>
      </c>
      <c r="BT388" s="26" t="s">
        <v>1462</v>
      </c>
      <c r="BU388" s="1" t="str">
        <f aca="false">IF(J388="locomotive","B","")</f>
        <v/>
      </c>
      <c r="BV388" s="1" t="str">
        <f aca="false">IF(OR($J388="locomotive",$J388="wagon"),"B","")</f>
        <v/>
      </c>
      <c r="BY388" s="26" t="n">
        <v>6</v>
      </c>
      <c r="BZ388" s="26" t="n">
        <v>185</v>
      </c>
      <c r="CB388" s="26" t="s">
        <v>1463</v>
      </c>
      <c r="CC388" s="26" t="s">
        <v>1464</v>
      </c>
      <c r="CD388" s="26" t="s">
        <v>1234</v>
      </c>
      <c r="CE388" s="26" t="s">
        <v>132</v>
      </c>
      <c r="CF388" s="26" t="str">
        <f aca="false">CONCATENATE(CD388,"_",CE388)</f>
        <v>prv_Freight</v>
      </c>
      <c r="CG388" s="26" t="str">
        <f aca="false">_xlfn.CONCAT(K388, "_",L388)</f>
        <v>diesel_RAIL</v>
      </c>
      <c r="CH388" s="7" t="str">
        <f aca="false">_xlfn.CONCAT("{BLACK}Length: {GOLD}", TEXT(ROUNDUP(IF(AS388&lt;&gt;"",SUM(VALUE(_xlfn.TEXTSPLIT(AS388, ","))), SUM(VALUE(_xlfn.TEXTSPLIT(AP388, ",")))*IF(P388, P388, 1))/16, 1), "#,##0.0"), " tiles{}")</f>
        <v>{BLACK}Length: {GOLD}3.8 tiles{}</v>
      </c>
      <c r="CI388" s="1" t="str">
        <f aca="false">IF(0, VLOOKUP($CG388, Constants!$M:$N, 2, FALSE()),"")</f>
        <v/>
      </c>
      <c r="CJ388" s="1" t="str">
        <f aca="false">IF(P388&gt;1,_xlfn.CONCAT("{BLACK}Cars: {GOLD}", P388),"")</f>
        <v>{BLACK}Cars: {GOLD}5</v>
      </c>
      <c r="CK388" s="26" t="s">
        <v>1465</v>
      </c>
      <c r="CL388" s="1" t="str">
        <f aca="false">IF($BX388="concept_trains","{GREEN}Concept Vehicle",IF($BX388="!param_no_gameplay_units","{GREEN}Included for gameplay purposes",""))</f>
        <v/>
      </c>
      <c r="CM388" s="26" t="str">
        <f aca="false">IF(CA388="buffet","{YELLOW}25% long distance bonus for consist{}",IF(CD388="BRAKE","{YELLOW}Speed bonus for slow wagons{}",IF(BZ388&gt;190,CONCATENATE("{YELLOW}",INT((BZ388-185)/1.85),"% bonus for long distance travel{}"),IF(AND(BZ388&lt;180,BZ388&lt;&gt;0),CONCATENATE("{YELLOW}",INT((185-BZ388)/1.85),"% penalty for long distance travel{}"),""))))</f>
        <v/>
      </c>
      <c r="CN388" s="1" t="str">
        <f aca="false">_xlfn.CONCAT(CI388,IF(CI388&lt;&gt;""," ",""),CJ388,IF(OR(CJ388&lt;&gt;"",CI388&lt;&gt;""),"{}",""),CH388,CM388,"{SILVER}",CK388,IF(CL388&lt;&gt;"","{}{}",""),CL388)</f>
        <v>{BLACK}Cars: {GOLD}5{}{BLACK}Length: {GOLD}3.8 tiles{}{SILVER}The Windhoff MPV units were mainly used for Departmental service, notably in the iconic Rail Head Treatment trains, but trials were made in freight service.</v>
      </c>
      <c r="XFD388" s="1"/>
    </row>
    <row r="389" customFormat="false" ht="14.25" hidden="false" customHeight="false" outlineLevel="0" collapsed="false">
      <c r="A389" s="1" t="s">
        <v>1479</v>
      </c>
      <c r="B389" s="15" t="s">
        <v>1480</v>
      </c>
      <c r="C389" s="1" t="n">
        <v>290</v>
      </c>
      <c r="E389" s="1" t="n">
        <v>600</v>
      </c>
      <c r="G389" s="1" t="str">
        <f aca="false">IF($F389&lt;&gt;"",_xlfn.CONCAT(VLOOKUP($CE389, Constants!$T:$U, 2, FALSE()),",",$F389),VLOOKUP($CE389, Constants!$T:$U, 2, FALSE()))</f>
        <v>role/passenger</v>
      </c>
      <c r="H389" s="1" t="str">
        <f aca="false">IF($G389&lt;&gt;"",_xlfn.CONCAT(VLOOKUP($CG389, Constants!$M:$P, 4, FALSE()),",",$G389),VLOOKUP($CG389, Constants!$M:$P, 4, FALSE()))</f>
        <v>flag/GB,power/electric,role/passenger</v>
      </c>
      <c r="I389" s="1" t="s">
        <v>241</v>
      </c>
      <c r="J389" s="1" t="s">
        <v>249</v>
      </c>
      <c r="K389" s="1" t="s">
        <v>1481</v>
      </c>
      <c r="L389" s="1" t="s">
        <v>1482</v>
      </c>
      <c r="M389" s="1" t="n">
        <v>1889</v>
      </c>
      <c r="O389" s="1" t="n">
        <v>1923</v>
      </c>
      <c r="Q389" s="1" t="n">
        <v>100</v>
      </c>
      <c r="Z389" s="1" t="n">
        <v>15</v>
      </c>
      <c r="AC389" s="1" t="n">
        <v>22</v>
      </c>
      <c r="AD389" s="4" t="n">
        <f aca="false">IF(AND(Z389&gt;0,AC389&gt;0),(AC389/((Z389+AA389)*10)),"")</f>
        <v>0.146666666666667</v>
      </c>
      <c r="AE389" s="1" t="n">
        <v>25</v>
      </c>
      <c r="AF389" s="1" t="n">
        <f aca="false">ROUND(AE389*1.6, 0)</f>
        <v>40</v>
      </c>
      <c r="AI389" s="1" t="n">
        <v>8</v>
      </c>
      <c r="AM389" s="1" t="str">
        <f aca="false">CONCATENATE(VLOOKUP(AN389, 'Voxel Sizes'!$A$2:$B$18,2,FALSE()),"x",INT(AJ389*15), "x", INT(AK389*15))</f>
        <v>82x0x0</v>
      </c>
      <c r="AN389" s="1" t="n">
        <f aca="false">ROUND(15*((AI389*10)/256),0)</f>
        <v>5</v>
      </c>
      <c r="AP389" s="1" t="str">
        <f aca="false">CONCATENATE(VLOOKUP(AN389,Constants!$A$2:$C$16,IF(AO389&lt;&gt;"", 3, 2), FALSE()),IF(AO389&lt;&gt;"",CONCATENATE(",",VLOOKUP(AO389,$B:$AP,41,FALSE())),""))</f>
        <v>2,1,2</v>
      </c>
      <c r="AZ389" s="1" t="n">
        <v>29</v>
      </c>
      <c r="BA389" s="16" t="n">
        <f aca="false">IF(O389&lt;&gt;"",MAX(16,(O389-M389)+8),"")</f>
        <v>42</v>
      </c>
      <c r="BB389" s="1" t="n">
        <v>-5</v>
      </c>
      <c r="BD389" s="1" t="n">
        <f aca="false">MIN(AE389/150, 1)*30</f>
        <v>5</v>
      </c>
      <c r="BE389" s="1" t="n">
        <f aca="false">MIN(Q389/4000, 1)*20</f>
        <v>0.5</v>
      </c>
      <c r="BF389" s="1" t="n">
        <f aca="false">MIN(AC389/400,1)*20</f>
        <v>1.1</v>
      </c>
      <c r="BG389" s="4" t="n">
        <f aca="false">1-(MAX(M389-1900, 0)/750)</f>
        <v>1</v>
      </c>
      <c r="BH389" s="1" t="n">
        <f aca="false">((MAX($P389,1)*MIN($AL389/300,1)))*IF(J389="Wagon",50,10)</f>
        <v>0</v>
      </c>
      <c r="BI389" s="1" t="n">
        <f aca="false">VLOOKUP($K389,Constants!$I:$K, 2, FALSE())</f>
        <v>0.9</v>
      </c>
      <c r="BJ389" s="1" t="n">
        <f aca="false">VLOOKUP($K389,Constants!$I:$K, 3, FALSE())*IF(AND(J389="multiple_unit",AE389&lt;110),0.75,1)</f>
        <v>1.6</v>
      </c>
      <c r="BK389" s="1" t="n">
        <f aca="false">INT(POWER(((Constants!$G$2+$BD389+$BE389+$BF389+$BH389)*$BG389)*$BJ389, 1.05))+$BC389</f>
        <v>21</v>
      </c>
      <c r="BL389" s="1" t="n">
        <f aca="false">INT(POWER((((Constants!$G$1+$BD389+$BE389+$BF389+$BH389)*($BG389))*$BI389),IF($J389="wagon",1,1.2)))+$BB389</f>
        <v>30</v>
      </c>
      <c r="BM389" s="17" t="n">
        <f aca="false">BK389*IF($J389="wagon",62.5,781.25)</f>
        <v>16406.25</v>
      </c>
      <c r="BN389" s="17" t="n">
        <f aca="false">BL389*IF($J389="wagon",2.73,81.25)</f>
        <v>2437.5</v>
      </c>
      <c r="BU389" s="1" t="str">
        <f aca="false">IF($J389="locomotive","B","")</f>
        <v>B</v>
      </c>
      <c r="BV389" s="1" t="str">
        <f aca="false">IF(OR($J389="locomotive",$J389="wagon"),"B","")</f>
        <v>B</v>
      </c>
      <c r="BY389" s="1" t="n">
        <v>1</v>
      </c>
      <c r="CD389" s="1" t="str">
        <f aca="false">VLOOKUP(M389,Eras!$A$2:$C$10, 2, TRUE())</f>
        <v>vct</v>
      </c>
      <c r="CE389" s="1" t="s">
        <v>1483</v>
      </c>
      <c r="CF389" s="1" t="str">
        <f aca="false">CONCATENATE(CD389,"_",CE389)</f>
        <v>vct_LU</v>
      </c>
      <c r="CG389" s="1" t="str">
        <f aca="false">_xlfn.CONCAT(K389, "_",L389)</f>
        <v>tube_FOURTH_RAIL</v>
      </c>
      <c r="CH389" s="7" t="str">
        <f aca="false">_xlfn.CONCAT("{BLACK}Length: {GOLD}", TEXT(ROUNDUP(IF(AS389&lt;&gt;"",SUM(VALUE(_xlfn.TEXTSPLIT(AS389, ","))), SUM(VALUE(_xlfn.TEXTSPLIT(AP389, ",")))*IF(P389, P389, 1))/16, 1), "#,##0.0"), " tiles{}")</f>
        <v>{BLACK}Length: {GOLD}0.4 tiles{}</v>
      </c>
      <c r="CI389" s="1" t="str">
        <f aca="false">IF(0, VLOOKUP($CG389, Constants!$M:$N, 2, FALSE()),"")</f>
        <v/>
      </c>
      <c r="CJ389" s="1" t="str">
        <f aca="false">IF(P389&gt;1,_xlfn.CONCAT("{BLACK}Cars: {GOLD}", P389),"")</f>
        <v/>
      </c>
      <c r="CK389" s="1" t="s">
        <v>1484</v>
      </c>
      <c r="CL389" s="1" t="str">
        <f aca="false">IF($BX389="concept_trains","{GREEN}Concept Vehicle",IF($BX389="!param_no_gameplay_units","{GREEN}Included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
      </c>
      <c r="CN389" s="1" t="str">
        <f aca="false">_xlfn.CONCAT(CI389,IF(CI389&lt;&gt;""," ",""),CJ389,IF(OR(CJ389&lt;&gt;"",CI389&lt;&gt;""),"{}",""),CH389,CM389,"{SILVER}",CK389,IF(CL389&lt;&gt;"","{}{}",""),CL389)</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90" customFormat="false" ht="14.25" hidden="false" customHeight="false" outlineLevel="0" collapsed="false">
      <c r="A390" s="1" t="s">
        <v>1485</v>
      </c>
      <c r="B390" s="15" t="s">
        <v>1486</v>
      </c>
      <c r="C390" s="1" t="n">
        <v>291</v>
      </c>
      <c r="E390" s="1" t="n">
        <v>601</v>
      </c>
      <c r="G390" s="1" t="str">
        <f aca="false">IF($F390&lt;&gt;"",_xlfn.CONCAT(VLOOKUP($CE390, Constants!$T:$U, 2, FALSE()),",",$F390),VLOOKUP($CE390, Constants!$T:$U, 2, FALSE()))</f>
        <v>role/passenger</v>
      </c>
      <c r="H390" s="1" t="str">
        <f aca="false">IF($G390&lt;&gt;"",_xlfn.CONCAT(VLOOKUP($CG390, Constants!$M:$P, 4, FALSE()),",",$G390),VLOOKUP($CG390, Constants!$M:$P, 4, FALSE()))</f>
        <v>flag/GB,power/electric,role/passenger</v>
      </c>
      <c r="I390" s="1" t="s">
        <v>241</v>
      </c>
      <c r="J390" s="1" t="s">
        <v>466</v>
      </c>
      <c r="K390" s="1" t="s">
        <v>1481</v>
      </c>
      <c r="L390" s="1" t="s">
        <v>1482</v>
      </c>
      <c r="M390" s="1" t="n">
        <v>1906</v>
      </c>
      <c r="O390" s="1" t="n">
        <v>1953</v>
      </c>
      <c r="P390" s="1" t="n">
        <v>3</v>
      </c>
      <c r="Q390" s="1" t="n">
        <v>350</v>
      </c>
      <c r="Z390" s="1" t="n">
        <f aca="false">27+20+20</f>
        <v>67</v>
      </c>
      <c r="AB390" s="1" t="n">
        <v>8</v>
      </c>
      <c r="AC390" s="1" t="n">
        <v>55</v>
      </c>
      <c r="AD390" s="4" t="n">
        <f aca="false">IF(AND(Z390&gt;0,AC390&gt;0),(AC390/((Z390+AA390)*10)),"")</f>
        <v>0.082089552238806</v>
      </c>
      <c r="AE390" s="1" t="n">
        <v>35</v>
      </c>
      <c r="AF390" s="1" t="n">
        <f aca="false">ROUND(AE390*1.6, 0)</f>
        <v>56</v>
      </c>
      <c r="AH390" s="1" t="n">
        <v>15.3</v>
      </c>
      <c r="AI390" s="1" t="n">
        <v>15.3</v>
      </c>
      <c r="AJ390" s="1" t="n">
        <v>2.67</v>
      </c>
      <c r="AK390" s="1" t="n">
        <v>2.8</v>
      </c>
      <c r="AL390" s="5" t="n">
        <v>78</v>
      </c>
      <c r="AM390" s="1" t="str">
        <f aca="false">CONCATENATE(VLOOKUP(AN390, 'Voxel Sizes'!$A$2:$B$18,2,FALSE()),"x",INT(AJ390*15), "x", INT(AK390*15))</f>
        <v>152x40x42</v>
      </c>
      <c r="AN390" s="1" t="n">
        <f aca="false">ROUND(15*((AI390*10)/256),0)</f>
        <v>9</v>
      </c>
      <c r="AP390" s="1" t="str">
        <f aca="false">CONCATENATE(VLOOKUP(AN390,Constants!$A$2:$C$16,IF(AO390&lt;&gt;"", 3, 2), FALSE()),IF(AO390&lt;&gt;"",CONCATENATE(",",VLOOKUP(AO390,$B:$AP,41,FALSE())),""))</f>
        <v>2,5,2</v>
      </c>
      <c r="AT390" s="1" t="s">
        <v>1487</v>
      </c>
      <c r="AV390" s="1" t="s">
        <v>468</v>
      </c>
      <c r="AZ390" s="1" t="n">
        <v>34</v>
      </c>
      <c r="BA390" s="16" t="n">
        <f aca="false">IF(O390&lt;&gt;"",MAX(16,(O390-M390)+8),"")</f>
        <v>55</v>
      </c>
      <c r="BB390" s="1" t="n">
        <v>-25</v>
      </c>
      <c r="BD390" s="1" t="n">
        <f aca="false">MIN(AE390/150, 1)*30</f>
        <v>7</v>
      </c>
      <c r="BE390" s="1" t="n">
        <f aca="false">MIN(Q390/4000, 1)*20</f>
        <v>1.75</v>
      </c>
      <c r="BF390" s="1" t="n">
        <f aca="false">MIN(AC390/400,1)*20</f>
        <v>2.75</v>
      </c>
      <c r="BG390" s="4" t="n">
        <f aca="false">1-(MAX(M390-1900, 0)/750)</f>
        <v>0.992</v>
      </c>
      <c r="BH390" s="1" t="n">
        <f aca="false">((MAX($P390,1)*MIN($AL390/300,1)))*IF(J390="Wagon",50,10)</f>
        <v>7.8</v>
      </c>
      <c r="BI390" s="1" t="n">
        <f aca="false">VLOOKUP($K390,Constants!$I:$K, 2, FALSE())</f>
        <v>0.9</v>
      </c>
      <c r="BJ390" s="1" t="n">
        <f aca="false">VLOOKUP($K390,Constants!$I:$K, 3, FALSE())*IF(AND(J390="multiple_unit",AE390&lt;110),0.75,1)</f>
        <v>1.2</v>
      </c>
      <c r="BK390" s="1" t="n">
        <f aca="false">INT(POWER(((Constants!$G$2+$BD390+$BE390+$BF390+$BH390)*$BG390)*$BJ390, 1.05))+$BC390</f>
        <v>34</v>
      </c>
      <c r="BL390" s="1" t="n">
        <f aca="false">INT(POWER((((Constants!$G$1+$BD390+$BE390+$BF390+$BH390)*($BG390))*$BI390),IF($J390="wagon",1,1.2)))+$BB390</f>
        <v>35</v>
      </c>
      <c r="BM390" s="17" t="n">
        <f aca="false">BK390*IF($J390="wagon",62.5,781.25)</f>
        <v>26562.5</v>
      </c>
      <c r="BN390" s="17" t="n">
        <f aca="false">BL390*IF($J390="wagon",2.73,81.25)</f>
        <v>2843.75</v>
      </c>
      <c r="BU390" s="1" t="str">
        <f aca="false">IF(J390="locomotive","B","")</f>
        <v/>
      </c>
      <c r="BV390" s="1" t="str">
        <f aca="false">IF(OR($J390="locomotive",$J390="wagon"),"B","")</f>
        <v/>
      </c>
      <c r="BY390" s="1" t="n">
        <v>2</v>
      </c>
      <c r="BZ390" s="1" t="n">
        <v>120</v>
      </c>
      <c r="CC390" s="1" t="s">
        <v>367</v>
      </c>
      <c r="CD390" s="1" t="str">
        <f aca="false">VLOOKUP(M390,Eras!$A$2:$C$10, 2, TRUE())</f>
        <v>edw</v>
      </c>
      <c r="CE390" s="1" t="s">
        <v>1483</v>
      </c>
      <c r="CF390" s="1" t="str">
        <f aca="false">CONCATENATE(CD390,"_",CE390)</f>
        <v>edw_LU</v>
      </c>
      <c r="CG390" s="1" t="str">
        <f aca="false">_xlfn.CONCAT(K390, "_",L390)</f>
        <v>tube_FOURTH_RAIL</v>
      </c>
      <c r="CH390" s="7" t="str">
        <f aca="false">_xlfn.CONCAT("{BLACK}Length: {GOLD}", TEXT(ROUNDUP(IF(AS390&lt;&gt;"",SUM(VALUE(_xlfn.TEXTSPLIT(AS390, ","))), SUM(VALUE(_xlfn.TEXTSPLIT(AP390, ",")))*IF(P390, P390, 1))/16, 1), "#,##0.0"), " tiles{}")</f>
        <v>{BLACK}Length: {GOLD}1.7 tiles{}</v>
      </c>
      <c r="CI390" s="1" t="str">
        <f aca="false">IF(0, VLOOKUP($CG390, Constants!$M:$N, 2, FALSE()),"")</f>
        <v/>
      </c>
      <c r="CJ390" s="1" t="str">
        <f aca="false">IF(P390&gt;1,_xlfn.CONCAT("{BLACK}Cars: {GOLD}", P390),"")</f>
        <v>{BLACK}Cars: {GOLD}3</v>
      </c>
      <c r="CK390" s="1" t="s">
        <v>1488</v>
      </c>
      <c r="CL390" s="1" t="str">
        <f aca="false">IF($BX390="concept_trains","{GREEN}Concept Vehicle",IF($BX390="!param_no_gameplay_units","{GREEN}Included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{YELLOW}35% penalty for long distance travel{}</v>
      </c>
      <c r="CN390" s="1" t="str">
        <f aca="false">_xlfn.CONCAT(CI390,IF(CI390&lt;&gt;""," ",""),CJ390,IF(OR(CJ390&lt;&gt;"",CI390&lt;&gt;""),"{}",""),CH390,CM390,"{SILVER}",CK390,IF(CL390&lt;&gt;"","{}{}",""),CL390)</f>
        <v>{BLACK}Cars: {GOLD}3{}{BLACK}Length: {GOLD}1.7 tiles{}{YELLOW}35% penalty for long distance travel{}{SILVER}The Gate Stock was a deep level unit used on Charles Yerkes' Tube lines. It was named for the manual entry gates, each operated by a gateman.</v>
      </c>
    </row>
    <row r="391" customFormat="false" ht="14.25" hidden="false" customHeight="false" outlineLevel="0" collapsed="false">
      <c r="A391" s="1" t="s">
        <v>1489</v>
      </c>
      <c r="B391" s="15" t="s">
        <v>1490</v>
      </c>
      <c r="C391" s="1" t="n">
        <v>292</v>
      </c>
      <c r="E391" s="1" t="n">
        <v>602</v>
      </c>
      <c r="G391" s="1" t="str">
        <f aca="false">IF($F391&lt;&gt;"",_xlfn.CONCAT(VLOOKUP($CE391, Constants!$T:$U, 2, FALSE()),",",$F391),VLOOKUP($CE391, Constants!$T:$U, 2, FALSE()))</f>
        <v>role/passenger</v>
      </c>
      <c r="H391" s="1" t="str">
        <f aca="false">IF($G391&lt;&gt;"",_xlfn.CONCAT(VLOOKUP($CG391, Constants!$M:$P, 4, FALSE()),",",$G391),VLOOKUP($CG391, Constants!$M:$P, 4, FALSE()))</f>
        <v>flag/GB,power/electric,role/passenger</v>
      </c>
      <c r="I391" s="1" t="s">
        <v>241</v>
      </c>
      <c r="J391" s="1" t="s">
        <v>466</v>
      </c>
      <c r="K391" s="1" t="s">
        <v>1481</v>
      </c>
      <c r="L391" s="1" t="s">
        <v>1482</v>
      </c>
      <c r="M391" s="1" t="n">
        <v>1923</v>
      </c>
      <c r="O391" s="1" t="n">
        <v>1991</v>
      </c>
      <c r="P391" s="1" t="n">
        <v>3</v>
      </c>
      <c r="Q391" s="1" t="n">
        <v>450</v>
      </c>
      <c r="Z391" s="1" t="n">
        <v>74</v>
      </c>
      <c r="AB391" s="1" t="n">
        <v>10</v>
      </c>
      <c r="AC391" s="1" t="n">
        <v>60</v>
      </c>
      <c r="AD391" s="4" t="n">
        <f aca="false">IF(AND(Z391&gt;0,AC391&gt;0),(AC391/((Z391+AA391)*10)),"")</f>
        <v>0.0810810810810811</v>
      </c>
      <c r="AE391" s="1" t="n">
        <v>40</v>
      </c>
      <c r="AF391" s="1" t="n">
        <f aca="false">ROUND(AE391*1.6, 0)</f>
        <v>64</v>
      </c>
      <c r="AH391" s="1" t="n">
        <v>15.3</v>
      </c>
      <c r="AI391" s="1" t="n">
        <v>15.3</v>
      </c>
      <c r="AJ391" s="1" t="n">
        <v>2.67</v>
      </c>
      <c r="AK391" s="1" t="n">
        <v>2.8</v>
      </c>
      <c r="AL391" s="5" t="n">
        <v>84</v>
      </c>
      <c r="AM391" s="1" t="str">
        <f aca="false">CONCATENATE(VLOOKUP(AN391, 'Voxel Sizes'!$A$2:$B$18,2,FALSE()),"x",INT(AJ391*15), "x", INT(AK391*15))</f>
        <v>152x40x42</v>
      </c>
      <c r="AN391" s="1" t="n">
        <f aca="false">ROUND(15*((AI391*10)/256),0)</f>
        <v>9</v>
      </c>
      <c r="AP391" s="1" t="str">
        <f aca="false">CONCATENATE(VLOOKUP(AN391,Constants!$A$2:$C$16,IF(AO391&lt;&gt;"", 3, 2), FALSE()),IF(AO391&lt;&gt;"",CONCATENATE(",",VLOOKUP(AO391,$B:$AP,41,FALSE())),""))</f>
        <v>2,5,2</v>
      </c>
      <c r="AT391" s="1" t="s">
        <v>1491</v>
      </c>
      <c r="AV391" s="1" t="s">
        <v>468</v>
      </c>
      <c r="AZ391" s="1" t="n">
        <v>41</v>
      </c>
      <c r="BA391" s="16" t="n">
        <f aca="false">IF(O391&lt;&gt;"",MAX(16,(O391-M391)+8),"")</f>
        <v>76</v>
      </c>
      <c r="BB391" s="1" t="n">
        <v>-25</v>
      </c>
      <c r="BD391" s="1" t="n">
        <f aca="false">MIN(AE391/150, 1)*30</f>
        <v>8</v>
      </c>
      <c r="BE391" s="1" t="n">
        <f aca="false">MIN(Q391/4000, 1)*20</f>
        <v>2.25</v>
      </c>
      <c r="BF391" s="1" t="n">
        <f aca="false">MIN(AC391/400,1)*20</f>
        <v>3</v>
      </c>
      <c r="BG391" s="4" t="n">
        <f aca="false">1-(MAX(M391-1900, 0)/750)</f>
        <v>0.969333333333333</v>
      </c>
      <c r="BH391" s="1" t="n">
        <f aca="false">((MAX($P391,1)*MIN($AL391/300,1)))*IF(J391="Wagon",50,10)</f>
        <v>8.4</v>
      </c>
      <c r="BI391" s="1" t="n">
        <f aca="false">VLOOKUP($K391,Constants!$I:$K, 2, FALSE())</f>
        <v>0.9</v>
      </c>
      <c r="BJ391" s="1" t="n">
        <f aca="false">VLOOKUP($K391,Constants!$I:$K, 3, FALSE())*IF(AND(J391="multiple_unit",AE391&lt;110),0.75,1)</f>
        <v>1.2</v>
      </c>
      <c r="BK391" s="1" t="n">
        <f aca="false">INT(POWER(((Constants!$G$2+$BD391+$BE391+$BF391+$BH391)*$BG391)*$BJ391, 1.05))+$BC391</f>
        <v>36</v>
      </c>
      <c r="BL391" s="1" t="n">
        <f aca="false">INT(POWER((((Constants!$G$1+$BD391+$BE391+$BF391+$BH391)*($BG391))*$BI391),IF($J391="wagon",1,1.2)))+$BB391</f>
        <v>38</v>
      </c>
      <c r="BM391" s="17" t="n">
        <f aca="false">BK391*IF($J391="wagon",62.5,781.25)</f>
        <v>28125</v>
      </c>
      <c r="BN391" s="17" t="n">
        <f aca="false">BL391*IF($J391="wagon",2.73,81.25)</f>
        <v>3087.5</v>
      </c>
      <c r="BU391" s="1" t="str">
        <f aca="false">IF(J391="locomotive","B","")</f>
        <v/>
      </c>
      <c r="BV391" s="1" t="str">
        <f aca="false">IF(OR($J391="locomotive",$J391="wagon"),"B","")</f>
        <v/>
      </c>
      <c r="BY391" s="1" t="n">
        <v>3</v>
      </c>
      <c r="BZ391" s="1" t="n">
        <v>120</v>
      </c>
      <c r="CC391" s="1" t="s">
        <v>367</v>
      </c>
      <c r="CD391" s="1" t="str">
        <f aca="false">VLOOKUP(M391,Eras!$A$2:$C$10, 2, TRUE())</f>
        <v>big4</v>
      </c>
      <c r="CE391" s="1" t="s">
        <v>1483</v>
      </c>
      <c r="CF391" s="1" t="str">
        <f aca="false">CONCATENATE(CD391,"_",CE391)</f>
        <v>big4_LU</v>
      </c>
      <c r="CG391" s="1" t="str">
        <f aca="false">_xlfn.CONCAT(K391, "_",L391)</f>
        <v>tube_FOURTH_RAIL</v>
      </c>
      <c r="CH391" s="7" t="str">
        <f aca="false">_xlfn.CONCAT("{BLACK}Length: {GOLD}", TEXT(ROUNDUP(IF(AS391&lt;&gt;"",SUM(VALUE(_xlfn.TEXTSPLIT(AS391, ","))), SUM(VALUE(_xlfn.TEXTSPLIT(AP391, ",")))*IF(P391, P391, 1))/16, 1), "#,##0.0"), " tiles{}")</f>
        <v>{BLACK}Length: {GOLD}1.7 tiles{}</v>
      </c>
      <c r="CI391" s="1" t="str">
        <f aca="false">IF(0, VLOOKUP($CG391, Constants!$M:$N, 2, FALSE()),"")</f>
        <v/>
      </c>
      <c r="CJ391" s="1" t="str">
        <f aca="false">IF(P391&gt;1,_xlfn.CONCAT("{BLACK}Cars: {GOLD}", P391),"")</f>
        <v>{BLACK}Cars: {GOLD}3</v>
      </c>
      <c r="CK391" s="1" t="s">
        <v>1492</v>
      </c>
      <c r="CL391" s="1" t="str">
        <f aca="false">IF($BX391="concept_trains","{GREEN}Concept Vehicle",IF($BX391="!param_no_gameplay_units","{GREEN}Included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{YELLOW}35% penalty for long distance travel{}</v>
      </c>
      <c r="CN391" s="1" t="str">
        <f aca="false">_xlfn.CONCAT(CI391,IF(CI391&lt;&gt;""," ",""),CJ391,IF(OR(CJ391&lt;&gt;"",CI391&lt;&gt;""),"{}",""),CH391,CM391,"{SILVER}",CK391,IF(CL391&lt;&gt;"","{}{}",""),CL391)</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92" customFormat="false" ht="14.25" hidden="false" customHeight="false" outlineLevel="0" collapsed="false">
      <c r="A392" s="1" t="s">
        <v>1493</v>
      </c>
      <c r="B392" s="15" t="s">
        <v>1494</v>
      </c>
      <c r="C392" s="1" t="n">
        <v>293</v>
      </c>
      <c r="E392" s="1" t="n">
        <v>603</v>
      </c>
      <c r="G392" s="1" t="str">
        <f aca="false">IF($F392&lt;&gt;"",_xlfn.CONCAT(VLOOKUP($CE392, Constants!$T:$U, 2, FALSE()),",",$F392),VLOOKUP($CE392, Constants!$T:$U, 2, FALSE()))</f>
        <v>role/passenger</v>
      </c>
      <c r="H392" s="1" t="str">
        <f aca="false">IF($G392&lt;&gt;"",_xlfn.CONCAT(VLOOKUP($CG392, Constants!$M:$P, 4, FALSE()),",",$G392),VLOOKUP($CG392, Constants!$M:$P, 4, FALSE()))</f>
        <v>flag/GB,power/electric,role/passenger</v>
      </c>
      <c r="I392" s="1" t="s">
        <v>241</v>
      </c>
      <c r="J392" s="1" t="s">
        <v>466</v>
      </c>
      <c r="K392" s="1" t="s">
        <v>1481</v>
      </c>
      <c r="L392" s="1" t="s">
        <v>1482</v>
      </c>
      <c r="M392" s="1" t="n">
        <v>1937</v>
      </c>
      <c r="O392" s="1" t="n">
        <v>1981</v>
      </c>
      <c r="P392" s="1" t="n">
        <v>3</v>
      </c>
      <c r="Q392" s="1" t="n">
        <v>500</v>
      </c>
      <c r="Z392" s="1" t="n">
        <v>79</v>
      </c>
      <c r="AB392" s="1" t="n">
        <v>10</v>
      </c>
      <c r="AC392" s="1" t="n">
        <v>60</v>
      </c>
      <c r="AD392" s="4" t="n">
        <f aca="false">IF(AND(Z392&gt;0,AC392&gt;0),(AC392/((Z392+AA392)*10)),"")</f>
        <v>0.0759493670886076</v>
      </c>
      <c r="AE392" s="1" t="n">
        <v>42</v>
      </c>
      <c r="AF392" s="1" t="n">
        <f aca="false">ROUND(AE392*1.6, 0)</f>
        <v>67</v>
      </c>
      <c r="AH392" s="1" t="n">
        <v>16</v>
      </c>
      <c r="AI392" s="1" t="n">
        <v>16</v>
      </c>
      <c r="AJ392" s="1" t="n">
        <v>2.92</v>
      </c>
      <c r="AK392" s="1" t="n">
        <v>3.68</v>
      </c>
      <c r="AL392" s="5" t="n">
        <v>129</v>
      </c>
      <c r="AM392" s="1" t="str">
        <f aca="false">CONCATENATE(VLOOKUP(AN392, 'Voxel Sizes'!$A$2:$B$18,2,FALSE()),"x",INT(AJ392*15), "x", INT(AK392*15))</f>
        <v>152x43x55</v>
      </c>
      <c r="AN392" s="1" t="n">
        <f aca="false">ROUND(15*((AI392*10)/256),0)</f>
        <v>9</v>
      </c>
      <c r="AP392" s="1" t="str">
        <f aca="false">CONCATENATE(VLOOKUP(AN392,Constants!$A$2:$C$16,IF(AO392&lt;&gt;"", 3, 2), FALSE()),IF(AO392&lt;&gt;"",CONCATENATE(",",VLOOKUP(AO392,$B:$AP,41,FALSE())),""))</f>
        <v>2,5,2</v>
      </c>
      <c r="AT392" s="1" t="s">
        <v>1495</v>
      </c>
      <c r="AV392" s="1" t="s">
        <v>468</v>
      </c>
      <c r="AZ392" s="1" t="n">
        <v>39</v>
      </c>
      <c r="BA392" s="16" t="n">
        <f aca="false">IF(O392&lt;&gt;"",MAX(16,(O392-M392)+8),"")</f>
        <v>52</v>
      </c>
      <c r="BB392" s="1" t="n">
        <v>-22</v>
      </c>
      <c r="BC392" s="1" t="n">
        <v>6</v>
      </c>
      <c r="BD392" s="1" t="n">
        <f aca="false">MIN(AE392/150, 1)*30</f>
        <v>8.4</v>
      </c>
      <c r="BE392" s="1" t="n">
        <f aca="false">MIN(Q392/4000, 1)*20</f>
        <v>2.5</v>
      </c>
      <c r="BF392" s="1" t="n">
        <f aca="false">MIN(AC392/400,1)*20</f>
        <v>3</v>
      </c>
      <c r="BG392" s="4" t="n">
        <f aca="false">1-(MAX(M392-1900, 0)/750)</f>
        <v>0.950666666666667</v>
      </c>
      <c r="BH392" s="1" t="n">
        <f aca="false">((MAX($P392,1)*MIN($AL392/300,1)))*IF(J392="Wagon",50,10)</f>
        <v>12.9</v>
      </c>
      <c r="BI392" s="1" t="n">
        <f aca="false">VLOOKUP($K392,Constants!$I:$K, 2, FALSE())</f>
        <v>0.9</v>
      </c>
      <c r="BJ392" s="1" t="n">
        <f aca="false">VLOOKUP($K392,Constants!$I:$K, 3, FALSE())*IF(AND(J392="multiple_unit",AE392&lt;110),0.75,1)</f>
        <v>1.2</v>
      </c>
      <c r="BK392" s="1" t="n">
        <f aca="false">INT(POWER(((Constants!$G$2+$BD392+$BE392+$BF392+$BH392)*$BG392)*$BJ392, 1.05))+$BC392</f>
        <v>49</v>
      </c>
      <c r="BL392" s="1" t="n">
        <f aca="false">INT(POWER((((Constants!$G$1+$BD392+$BE392+$BF392+$BH392)*($BG392))*$BI392),IF($J392="wagon",1,1.2)))+$BB392</f>
        <v>51</v>
      </c>
      <c r="BM392" s="17" t="n">
        <f aca="false">BK392*IF($J392="wagon",62.5,781.25)</f>
        <v>38281.25</v>
      </c>
      <c r="BN392" s="17" t="n">
        <f aca="false">BL392*IF($J392="wagon",2.73,81.25)</f>
        <v>4143.75</v>
      </c>
      <c r="BU392" s="1" t="str">
        <f aca="false">IF(J392="locomotive","B","")</f>
        <v/>
      </c>
      <c r="BV392" s="1" t="str">
        <f aca="false">IF(OR($J392="locomotive",$J392="wagon"),"B","")</f>
        <v/>
      </c>
      <c r="BY392" s="1" t="n">
        <v>5</v>
      </c>
      <c r="BZ392" s="1" t="n">
        <v>120</v>
      </c>
      <c r="CC392" s="1" t="s">
        <v>367</v>
      </c>
      <c r="CD392" s="1" t="str">
        <f aca="false">VLOOKUP(M392,Eras!$A$2:$C$10, 2, TRUE())</f>
        <v>big4</v>
      </c>
      <c r="CE392" s="1" t="s">
        <v>1483</v>
      </c>
      <c r="CF392" s="1" t="str">
        <f aca="false">CONCATENATE(CD392,"_",CE392)</f>
        <v>big4_LU</v>
      </c>
      <c r="CG392" s="1" t="str">
        <f aca="false">_xlfn.CONCAT(K392, "_",L392)</f>
        <v>tube_FOURTH_RAIL</v>
      </c>
      <c r="CH392" s="7" t="str">
        <f aca="false">_xlfn.CONCAT("{BLACK}Length: {GOLD}", TEXT(ROUNDUP(IF(AS392&lt;&gt;"",SUM(VALUE(_xlfn.TEXTSPLIT(AS392, ","))), SUM(VALUE(_xlfn.TEXTSPLIT(AP392, ",")))*IF(P392, P392, 1))/16, 1), "#,##0.0"), " tiles{}")</f>
        <v>{BLACK}Length: {GOLD}1.7 tiles{}</v>
      </c>
      <c r="CI392" s="1" t="str">
        <f aca="false">IF(0, VLOOKUP($CG392, Constants!$M:$N, 2, FALSE()),"")</f>
        <v/>
      </c>
      <c r="CJ392" s="1" t="str">
        <f aca="false">IF(P392&gt;1,_xlfn.CONCAT("{BLACK}Cars: {GOLD}", P392),"")</f>
        <v>{BLACK}Cars: {GOLD}3</v>
      </c>
      <c r="CK392" s="1" t="s">
        <v>1496</v>
      </c>
      <c r="CL392" s="1" t="str">
        <f aca="false">IF($BX392="concept_trains","{GREEN}Concept Vehicle",IF($BX392="!param_no_gameplay_units","{GREEN}Included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{YELLOW}35% penalty for long distance travel{}</v>
      </c>
      <c r="CN392" s="1" t="str">
        <f aca="false">_xlfn.CONCAT(CI392,IF(CI392&lt;&gt;""," ",""),CJ392,IF(OR(CJ392&lt;&gt;"",CI392&lt;&gt;""),"{}",""),CH392,CM392,"{SILVER}",CK392,IF(CL392&lt;&gt;"","{}{}",""),CL392)</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93" customFormat="false" ht="14.25" hidden="false" customHeight="false" outlineLevel="0" collapsed="false">
      <c r="A393" s="1" t="s">
        <v>1497</v>
      </c>
      <c r="B393" s="15" t="s">
        <v>1498</v>
      </c>
      <c r="C393" s="1" t="n">
        <v>294</v>
      </c>
      <c r="E393" s="1" t="n">
        <v>604</v>
      </c>
      <c r="G393" s="1" t="str">
        <f aca="false">IF($F393&lt;&gt;"",_xlfn.CONCAT(VLOOKUP($CE393, Constants!$T:$U, 2, FALSE()),",",$F393),VLOOKUP($CE393, Constants!$T:$U, 2, FALSE()))</f>
        <v>role/passenger</v>
      </c>
      <c r="H393" s="1" t="str">
        <f aca="false">IF($G393&lt;&gt;"",_xlfn.CONCAT(VLOOKUP($CG393, Constants!$M:$P, 4, FALSE()),",",$G393),VLOOKUP($CG393, Constants!$M:$P, 4, FALSE()))</f>
        <v>flag/GB,power/electric,role/passenger</v>
      </c>
      <c r="I393" s="1" t="s">
        <v>241</v>
      </c>
      <c r="J393" s="1" t="s">
        <v>466</v>
      </c>
      <c r="K393" s="1" t="s">
        <v>1481</v>
      </c>
      <c r="L393" s="1" t="s">
        <v>1482</v>
      </c>
      <c r="M393" s="1" t="n">
        <v>1903</v>
      </c>
      <c r="N393" s="1" t="n">
        <v>1939</v>
      </c>
      <c r="O393" s="1" t="n">
        <v>1939</v>
      </c>
      <c r="P393" s="1" t="n">
        <v>6</v>
      </c>
      <c r="Q393" s="1" t="n">
        <v>400</v>
      </c>
      <c r="Z393" s="1" t="n">
        <f aca="false">(14*6)+20</f>
        <v>104</v>
      </c>
      <c r="AB393" s="1" t="n">
        <v>10</v>
      </c>
      <c r="AC393" s="1" t="n">
        <v>100</v>
      </c>
      <c r="AD393" s="4" t="n">
        <f aca="false">IF(AND(Z393&gt;0,AC393&gt;0),(AC393/((Z393+AA393)*10)),"")</f>
        <v>0.0961538461538462</v>
      </c>
      <c r="AE393" s="1" t="n">
        <v>30</v>
      </c>
      <c r="AF393" s="1" t="n">
        <f aca="false">ROUND(AE393*1.6, 0)</f>
        <v>48</v>
      </c>
      <c r="AH393" s="1" t="n">
        <v>13.87</v>
      </c>
      <c r="AI393" s="1" t="n">
        <v>13.8</v>
      </c>
      <c r="AJ393" s="1" t="n">
        <v>2.59</v>
      </c>
      <c r="AL393" s="5" t="n">
        <v>102</v>
      </c>
      <c r="AM393" s="1" t="str">
        <f aca="false">CONCATENATE(VLOOKUP(AN393, 'Voxel Sizes'!$A$2:$B$18,2,FALSE()),"x",INT(AJ393*15), "x", INT(AK393*15))</f>
        <v>136x38x0</v>
      </c>
      <c r="AN393" s="1" t="n">
        <f aca="false">ROUND(15*((AI393*10)/256),0)</f>
        <v>8</v>
      </c>
      <c r="AP393" s="1" t="str">
        <f aca="false">CONCATENATE(VLOOKUP(AN393,Constants!$A$2:$C$16,IF(AO393&lt;&gt;"", 3, 2), FALSE()),IF(AO393&lt;&gt;"",CONCATENATE(",",VLOOKUP(AO393,$B:$AP,41,FALSE())),""))</f>
        <v>2,4,2</v>
      </c>
      <c r="AT393" s="1" t="s">
        <v>1499</v>
      </c>
      <c r="AV393" s="1" t="s">
        <v>1013</v>
      </c>
      <c r="AZ393" s="1" t="n">
        <v>34</v>
      </c>
      <c r="BA393" s="16" t="n">
        <f aca="false">IF(O393&lt;&gt;"",MAX(16,(O393-M393)+8),"")</f>
        <v>44</v>
      </c>
      <c r="BB393" s="1" t="n">
        <v>-25</v>
      </c>
      <c r="BD393" s="1" t="n">
        <f aca="false">MIN(AE393/150, 1)*30</f>
        <v>6</v>
      </c>
      <c r="BE393" s="1" t="n">
        <f aca="false">MIN(Q393/4000, 1)*20</f>
        <v>2</v>
      </c>
      <c r="BF393" s="1" t="n">
        <f aca="false">MIN(AC393/400,1)*20</f>
        <v>5</v>
      </c>
      <c r="BG393" s="4" t="n">
        <f aca="false">1-(MAX(M393-1900, 0)/750)</f>
        <v>0.996</v>
      </c>
      <c r="BH393" s="1" t="n">
        <f aca="false">((MAX($P393,1)*MIN($AL393/300,1)))*IF(J393="Wagon",50,10)</f>
        <v>20.4</v>
      </c>
      <c r="BI393" s="1" t="n">
        <f aca="false">VLOOKUP($K393,Constants!$I:$K, 2, FALSE())</f>
        <v>0.9</v>
      </c>
      <c r="BJ393" s="1" t="n">
        <f aca="false">VLOOKUP($K393,Constants!$I:$K, 3, FALSE())*IF(AND(J393="multiple_unit",AE393&lt;110),0.75,1)</f>
        <v>1.2</v>
      </c>
      <c r="BK393" s="1" t="n">
        <f aca="false">INT(POWER(((Constants!$G$2+$BD393+$BE393+$BF393+$BH393)*$BG393)*$BJ393, 1.05))+$BC393</f>
        <v>55</v>
      </c>
      <c r="BL393" s="1" t="n">
        <f aca="false">INT(POWER((((Constants!$G$1+$BD393+$BE393+$BF393+$BH393)*($BG393))*$BI393),IF($J393="wagon",1,1.2)))+$BB393</f>
        <v>67</v>
      </c>
      <c r="BM393" s="17" t="n">
        <f aca="false">BK393*IF($J393="wagon",62.5,781.25)</f>
        <v>42968.75</v>
      </c>
      <c r="BN393" s="17" t="n">
        <f aca="false">BL393*IF($J393="wagon",2.73,81.25)</f>
        <v>5443.75</v>
      </c>
      <c r="BU393" s="1" t="str">
        <f aca="false">IF(J393="locomotive","B","")</f>
        <v/>
      </c>
      <c r="BV393" s="1" t="str">
        <f aca="false">IF(OR($J393="locomotive",$J393="wagon"),"B","")</f>
        <v/>
      </c>
      <c r="BY393" s="1" t="n">
        <v>3</v>
      </c>
      <c r="BZ393" s="1" t="n">
        <v>120</v>
      </c>
      <c r="CC393" s="1" t="s">
        <v>367</v>
      </c>
      <c r="CD393" s="1" t="str">
        <f aca="false">VLOOKUP(M393,Eras!$A$2:$C$10, 2, TRUE())</f>
        <v>edw</v>
      </c>
      <c r="CE393" s="1" t="s">
        <v>1483</v>
      </c>
      <c r="CF393" s="1" t="str">
        <f aca="false">CONCATENATE(CD393,"_",CE393)</f>
        <v>edw_LU</v>
      </c>
      <c r="CG393" s="1" t="str">
        <f aca="false">_xlfn.CONCAT(K393, "_",L393)</f>
        <v>tube_FOURTH_RAIL</v>
      </c>
      <c r="CH393" s="7" t="str">
        <f aca="false">_xlfn.CONCAT("{BLACK}Length: {GOLD}", TEXT(ROUNDUP(IF(AS393&lt;&gt;"",SUM(VALUE(_xlfn.TEXTSPLIT(AS393, ","))), SUM(VALUE(_xlfn.TEXTSPLIT(AP393, ",")))*IF(P393, P393, 1))/16, 1), "#,##0.0"), " tiles{}")</f>
        <v>{BLACK}Length: {GOLD}3.0 tiles{}</v>
      </c>
      <c r="CI393" s="1" t="str">
        <f aca="false">IF(0, VLOOKUP($CG393, Constants!$M:$N, 2, FALSE()),"")</f>
        <v/>
      </c>
      <c r="CJ393" s="1" t="str">
        <f aca="false">IF(P393&gt;1,_xlfn.CONCAT("{BLACK}Cars: {GOLD}", P393),"")</f>
        <v>{BLACK}Cars: {GOLD}6</v>
      </c>
      <c r="CK393" s="1" t="s">
        <v>1500</v>
      </c>
      <c r="CL393" s="1" t="str">
        <f aca="false">IF($BX393="concept_trains","{GREEN}Concept Vehicle",IF($BX393="!param_no_gameplay_units","{GREEN}Included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{YELLOW}35% penalty for long distance travel{}</v>
      </c>
      <c r="CN393" s="1" t="str">
        <f aca="false">_xlfn.CONCAT(CI393,IF(CI393&lt;&gt;""," ",""),CJ393,IF(OR(CJ393&lt;&gt;"",CI393&lt;&gt;""),"{}",""),CH393,CM393,"{SILVER}",CK393,IF(CL393&lt;&gt;"","{}{}",""),CL393)</f>
        <v>{BLACK}Cars: {GOLD}6{}{BLACK}Length: {GOLD}3.0 tiles{}{YELLOW}35% penalty for long distance travel{}{SILVER}The carriages of the early Central London Railway stock were hauled by locomotives, but these caused excessive vibration so were replaced by motor cars at each end of the train.</v>
      </c>
    </row>
    <row r="394" customFormat="false" ht="14.25" hidden="false" customHeight="false" outlineLevel="0" collapsed="false">
      <c r="A394" s="1" t="s">
        <v>1501</v>
      </c>
      <c r="B394" s="15" t="s">
        <v>1502</v>
      </c>
      <c r="C394" s="1" t="n">
        <v>4295</v>
      </c>
      <c r="E394" s="1" t="n">
        <v>605</v>
      </c>
      <c r="G394" s="1" t="str">
        <f aca="false">IF($F394&lt;&gt;"",_xlfn.CONCAT(VLOOKUP($CE394, Constants!$T:$U, 2, FALSE()),",",$F394),VLOOKUP($CE394, Constants!$T:$U, 2, FALSE()))</f>
        <v>role/passenger</v>
      </c>
      <c r="H394" s="1" t="str">
        <f aca="false">IF($G394&lt;&gt;"",_xlfn.CONCAT(VLOOKUP($CG394, Constants!$M:$P, 4, FALSE()),",",$G394),VLOOKUP($CG394, Constants!$M:$P, 4, FALSE()))</f>
        <v>flag/GB,power/electric,role/passenger</v>
      </c>
      <c r="I394" s="1" t="s">
        <v>241</v>
      </c>
      <c r="J394" s="1" t="s">
        <v>466</v>
      </c>
      <c r="K394" s="1" t="s">
        <v>1481</v>
      </c>
      <c r="L394" s="1" t="s">
        <v>1482</v>
      </c>
      <c r="M394" s="1" t="n">
        <v>1938</v>
      </c>
      <c r="O394" s="1" t="n">
        <v>2020</v>
      </c>
      <c r="P394" s="1" t="n">
        <v>4</v>
      </c>
      <c r="Q394" s="1" t="n">
        <v>650</v>
      </c>
      <c r="Z394" s="1" t="n">
        <v>161</v>
      </c>
      <c r="AB394" s="1" t="n">
        <v>10</v>
      </c>
      <c r="AC394" s="1" t="n">
        <v>130</v>
      </c>
      <c r="AD394" s="4" t="n">
        <f aca="false">IF(AND(Z394&gt;0,AC394&gt;0),(AC394/((Z394+AA394)*10)),"")</f>
        <v>0.0807453416149068</v>
      </c>
      <c r="AE394" s="1" t="n">
        <v>45</v>
      </c>
      <c r="AF394" s="1" t="n">
        <f aca="false">ROUND(AE394*1.6, 0)</f>
        <v>72</v>
      </c>
      <c r="AH394" s="1" t="n">
        <v>15.8</v>
      </c>
      <c r="AI394" s="1" t="n">
        <v>15.8</v>
      </c>
      <c r="AJ394" s="1" t="n">
        <v>2.59</v>
      </c>
      <c r="AK394" s="1" t="n">
        <v>2.883</v>
      </c>
      <c r="AL394" s="5" t="n">
        <v>108</v>
      </c>
      <c r="AM394" s="1" t="str">
        <f aca="false">CONCATENATE(VLOOKUP(AN394, 'Voxel Sizes'!$A$2:$B$18,2,FALSE()),"x",INT(AJ394*15), "x", INT(AK394*15))</f>
        <v>152x38x43</v>
      </c>
      <c r="AN394" s="1" t="n">
        <f aca="false">ROUND(15*((AI394*10)/256),0)</f>
        <v>9</v>
      </c>
      <c r="AP394" s="1" t="str">
        <f aca="false">CONCATENATE(VLOOKUP(AN394,Constants!$A$2:$C$16,IF(AO394&lt;&gt;"", 3, 2), FALSE()),IF(AO394&lt;&gt;"",CONCATENATE(",",VLOOKUP(AO394,$B:$AP,41,FALSE())),""))</f>
        <v>2,5,2</v>
      </c>
      <c r="AT394" s="1" t="s">
        <v>1503</v>
      </c>
      <c r="AV394" s="1" t="s">
        <v>918</v>
      </c>
      <c r="AW394" s="26" t="s">
        <v>1504</v>
      </c>
      <c r="AZ394" s="1" t="n">
        <v>40</v>
      </c>
      <c r="BA394" s="16" t="n">
        <f aca="false">IF(O394&lt;&gt;"",MAX(16,(O394-M394)+8),"")</f>
        <v>90</v>
      </c>
      <c r="BB394" s="1" t="n">
        <v>-25</v>
      </c>
      <c r="BD394" s="1" t="n">
        <f aca="false">MIN(AE394/150, 1)*30</f>
        <v>9</v>
      </c>
      <c r="BE394" s="1" t="n">
        <f aca="false">MIN(Q394/4000, 1)*20</f>
        <v>3.25</v>
      </c>
      <c r="BF394" s="1" t="n">
        <f aca="false">MIN(AC394/400,1)*20</f>
        <v>6.5</v>
      </c>
      <c r="BG394" s="4" t="n">
        <f aca="false">1-(MAX(M394-1900, 0)/750)</f>
        <v>0.949333333333333</v>
      </c>
      <c r="BH394" s="1" t="n">
        <f aca="false">((MAX($P394,1)*MIN($AL394/300,1)))*IF(J394="Wagon",50,10)</f>
        <v>14.4</v>
      </c>
      <c r="BI394" s="1" t="n">
        <f aca="false">VLOOKUP($K394,Constants!$I:$K, 2, FALSE())</f>
        <v>0.9</v>
      </c>
      <c r="BJ394" s="1" t="n">
        <f aca="false">VLOOKUP($K394,Constants!$I:$K, 3, FALSE())*IF(AND(J394="multiple_unit",AE394&lt;110),0.75,1)</f>
        <v>1.2</v>
      </c>
      <c r="BK394" s="1" t="n">
        <f aca="false">INT(POWER(((Constants!$G$2+$BD394+$BE394+$BF394+$BH394)*$BG394)*$BJ394, 1.05))+$BC394</f>
        <v>52</v>
      </c>
      <c r="BL394" s="1" t="n">
        <f aca="false">INT(POWER((((Constants!$G$1+$BD394+$BE394+$BF394+$BH394)*($BG394))*$BI394),IF($J394="wagon",1,1.2)))+$BB394</f>
        <v>61</v>
      </c>
      <c r="BM394" s="17" t="n">
        <f aca="false">BK394*IF($J394="wagon",62.5,781.25)</f>
        <v>40625</v>
      </c>
      <c r="BN394" s="17" t="n">
        <f aca="false">BL394*IF($J394="wagon",2.73,81.25)</f>
        <v>4956.25</v>
      </c>
      <c r="BU394" s="1" t="str">
        <f aca="false">IF(J394="locomotive","B","")</f>
        <v/>
      </c>
      <c r="BV394" s="1" t="str">
        <f aca="false">IF(OR($J394="locomotive",$J394="wagon"),"B","")</f>
        <v/>
      </c>
      <c r="BX394" s="1" t="s">
        <v>1505</v>
      </c>
      <c r="BY394" s="1" t="n">
        <v>4</v>
      </c>
      <c r="BZ394" s="1" t="n">
        <v>120</v>
      </c>
      <c r="CC394" s="1" t="s">
        <v>367</v>
      </c>
      <c r="CD394" s="1" t="str">
        <f aca="false">VLOOKUP(M394,Eras!$A$2:$C$10, 2, TRUE())</f>
        <v>big4</v>
      </c>
      <c r="CE394" s="1" t="s">
        <v>1483</v>
      </c>
      <c r="CF394" s="1" t="str">
        <f aca="false">CONCATENATE(CD394,"_",CE394)</f>
        <v>big4_LU</v>
      </c>
      <c r="CG394" s="1" t="str">
        <f aca="false">_xlfn.CONCAT(K394, "_",L394)</f>
        <v>tube_FOURTH_RAIL</v>
      </c>
      <c r="CH394" s="7" t="str">
        <f aca="false">_xlfn.CONCAT("{BLACK}Length: {GOLD}", TEXT(ROUNDUP(IF(AS394&lt;&gt;"",SUM(VALUE(_xlfn.TEXTSPLIT(AS394, ","))), SUM(VALUE(_xlfn.TEXTSPLIT(AP394, ",")))*IF(P394, P394, 1))/16, 1), "#,##0.0"), " tiles{}")</f>
        <v>{BLACK}Length: {GOLD}2.3 tiles{}</v>
      </c>
      <c r="CI394" s="1" t="str">
        <f aca="false">IF(0, VLOOKUP($CG394, Constants!$M:$N, 2, FALSE()),"")</f>
        <v/>
      </c>
      <c r="CJ394" s="1" t="str">
        <f aca="false">IF(P394&gt;1,_xlfn.CONCAT("{BLACK}Cars: {GOLD}", P394),"")</f>
        <v>{BLACK}Cars: {GOLD}4</v>
      </c>
      <c r="CK394" s="1" t="s">
        <v>1506</v>
      </c>
      <c r="CL394" s="1" t="str">
        <f aca="false">IF($BX394="concept_trains","{GREEN}Concept Vehicle",IF($BX394="!param_no_gameplay_units","{GREEN}Included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{YELLOW}35% penalty for long distance travel{}</v>
      </c>
      <c r="CN394" s="1" t="str">
        <f aca="false">_xlfn.CONCAT(CI394,IF(CI394&lt;&gt;""," ",""),CJ394,IF(OR(CJ394&lt;&gt;"",CI394&lt;&gt;""),"{}",""),CH394,CM394,"{SILVER}",CK394,IF(CL394&lt;&gt;"","{}{}",""),CL394)</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5" customFormat="false" ht="14.25" hidden="false" customHeight="false" outlineLevel="0" collapsed="false">
      <c r="A395" s="1" t="s">
        <v>1501</v>
      </c>
      <c r="B395" s="15" t="s">
        <v>1507</v>
      </c>
      <c r="C395" s="1" t="n">
        <v>4296</v>
      </c>
      <c r="E395" s="1" t="n">
        <v>606</v>
      </c>
      <c r="G395" s="1" t="str">
        <f aca="false">IF($F395&lt;&gt;"",_xlfn.CONCAT(VLOOKUP($CE395, Constants!$T:$U, 2, FALSE()),",",$F395),VLOOKUP($CE395, Constants!$T:$U, 2, FALSE()))</f>
        <v>role/passenger</v>
      </c>
      <c r="H395" s="1" t="str">
        <f aca="false">IF($G395&lt;&gt;"",_xlfn.CONCAT(VLOOKUP($CG395, Constants!$M:$P, 4, FALSE()),",",$G395),VLOOKUP($CG395, Constants!$M:$P, 4, FALSE()))</f>
        <v>flag/GB,power/electric,role/passenger</v>
      </c>
      <c r="I395" s="1" t="s">
        <v>241</v>
      </c>
      <c r="J395" s="1" t="s">
        <v>466</v>
      </c>
      <c r="K395" s="1" t="s">
        <v>1481</v>
      </c>
      <c r="L395" s="1" t="s">
        <v>1482</v>
      </c>
      <c r="M395" s="1" t="n">
        <v>1938</v>
      </c>
      <c r="O395" s="1" t="n">
        <v>2020</v>
      </c>
      <c r="P395" s="1" t="n">
        <v>3</v>
      </c>
      <c r="Q395" s="1" t="n">
        <v>650</v>
      </c>
      <c r="Z395" s="1" t="n">
        <v>161</v>
      </c>
      <c r="AB395" s="1" t="n">
        <v>10</v>
      </c>
      <c r="AC395" s="1" t="n">
        <v>130</v>
      </c>
      <c r="AD395" s="4" t="n">
        <f aca="false">IF(AND(Z395&gt;0,AC395&gt;0),(AC395/((Z395+AA395)*10)),"")</f>
        <v>0.0807453416149068</v>
      </c>
      <c r="AE395" s="1" t="n">
        <v>45</v>
      </c>
      <c r="AF395" s="1" t="n">
        <f aca="false">ROUND(AE395*1.6, 0)</f>
        <v>72</v>
      </c>
      <c r="AH395" s="1" t="n">
        <v>15.8</v>
      </c>
      <c r="AI395" s="1" t="n">
        <v>15.8</v>
      </c>
      <c r="AJ395" s="1" t="n">
        <v>2.59</v>
      </c>
      <c r="AK395" s="1" t="n">
        <v>2.883</v>
      </c>
      <c r="AL395" s="5" t="n">
        <v>108</v>
      </c>
      <c r="AM395" s="1" t="str">
        <f aca="false">CONCATENATE(VLOOKUP(AN395, 'Voxel Sizes'!$A$2:$B$18,2,FALSE()),"x",INT(AJ395*15), "x", INT(AK395*15))</f>
        <v>152x38x43</v>
      </c>
      <c r="AN395" s="1" t="n">
        <f aca="false">ROUND(15*((AI395*10)/256),0)</f>
        <v>9</v>
      </c>
      <c r="AP395" s="1" t="str">
        <f aca="false">CONCATENATE(VLOOKUP(AN395,Constants!$A$2:$C$16,IF(AO395&lt;&gt;"", 3, 2), FALSE()),IF(AO395&lt;&gt;"",CONCATENATE(",",VLOOKUP(AO395,$B:$AP,41,FALSE())),""))</f>
        <v>2,5,2</v>
      </c>
      <c r="AT395" s="1" t="s">
        <v>1508</v>
      </c>
      <c r="AV395" s="1" t="s">
        <v>834</v>
      </c>
      <c r="AW395" s="26" t="s">
        <v>1504</v>
      </c>
      <c r="AZ395" s="1" t="n">
        <v>40</v>
      </c>
      <c r="BA395" s="16" t="n">
        <f aca="false">IF(O395&lt;&gt;"",MAX(16,(O395-M395)+8),"")</f>
        <v>90</v>
      </c>
      <c r="BB395" s="1" t="n">
        <v>-25</v>
      </c>
      <c r="BD395" s="1" t="n">
        <f aca="false">MIN(AE395/150, 1)*30</f>
        <v>9</v>
      </c>
      <c r="BE395" s="1" t="n">
        <f aca="false">MIN(Q395/4000, 1)*20</f>
        <v>3.25</v>
      </c>
      <c r="BF395" s="1" t="n">
        <f aca="false">MIN(AC395/400,1)*20</f>
        <v>6.5</v>
      </c>
      <c r="BG395" s="4" t="n">
        <f aca="false">1-(MAX(M395-1900, 0)/750)</f>
        <v>0.949333333333333</v>
      </c>
      <c r="BH395" s="1" t="n">
        <f aca="false">((MAX($P395,1)*MIN($AL395/300,1)))*IF(J395="Wagon",50,10)</f>
        <v>10.8</v>
      </c>
      <c r="BI395" s="1" t="n">
        <f aca="false">VLOOKUP($K395,Constants!$I:$K, 2, FALSE())</f>
        <v>0.9</v>
      </c>
      <c r="BJ395" s="1" t="n">
        <f aca="false">VLOOKUP($K395,Constants!$I:$K, 3, FALSE())*IF(AND(J395="multiple_unit",AE395&lt;110),0.75,1)</f>
        <v>1.2</v>
      </c>
      <c r="BK395" s="1" t="n">
        <f aca="false">INT(POWER(((Constants!$G$2+$BD395+$BE395+$BF395+$BH395)*$BG395)*$BJ395, 1.05))+$BC395</f>
        <v>47</v>
      </c>
      <c r="BL395" s="1" t="n">
        <f aca="false">INT(POWER((((Constants!$G$1+$BD395+$BE395+$BF395+$BH395)*($BG395))*$BI395),IF($J395="wagon",1,1.2)))+$BB395</f>
        <v>53</v>
      </c>
      <c r="BM395" s="17" t="n">
        <f aca="false">BK395*IF($J395="wagon",62.5,781.25)</f>
        <v>36718.75</v>
      </c>
      <c r="BN395" s="17" t="n">
        <f aca="false">BL395*IF($J395="wagon",2.73,81.25)</f>
        <v>4306.25</v>
      </c>
      <c r="BU395" s="1" t="str">
        <f aca="false">IF(J395="locomotive","B","")</f>
        <v/>
      </c>
      <c r="BV395" s="1" t="str">
        <f aca="false">IF(OR($J395="locomotive",$J395="wagon"),"B","")</f>
        <v/>
      </c>
      <c r="BX395" s="1" t="s">
        <v>1505</v>
      </c>
      <c r="BY395" s="1" t="n">
        <v>4</v>
      </c>
      <c r="BZ395" s="1" t="n">
        <v>120</v>
      </c>
      <c r="CC395" s="1" t="s">
        <v>367</v>
      </c>
      <c r="CD395" s="1" t="str">
        <f aca="false">VLOOKUP(M395,Eras!$A$2:$C$10, 2, TRUE())</f>
        <v>big4</v>
      </c>
      <c r="CE395" s="1" t="s">
        <v>1483</v>
      </c>
      <c r="CF395" s="1" t="str">
        <f aca="false">CONCATENATE(CD395,"_",CE395)</f>
        <v>big4_LU</v>
      </c>
      <c r="CG395" s="1" t="str">
        <f aca="false">_xlfn.CONCAT(K395, "_",L395)</f>
        <v>tube_FOURTH_RAIL</v>
      </c>
      <c r="CH395" s="7" t="str">
        <f aca="false">_xlfn.CONCAT("{BLACK}Length: {GOLD}", TEXT(ROUNDUP(IF(AS395&lt;&gt;"",SUM(VALUE(_xlfn.TEXTSPLIT(AS395, ","))), SUM(VALUE(_xlfn.TEXTSPLIT(AP395, ",")))*IF(P395, P395, 1))/16, 1), "#,##0.0"), " tiles{}")</f>
        <v>{BLACK}Length: {GOLD}1.7 tiles{}</v>
      </c>
      <c r="CI395" s="1" t="str">
        <f aca="false">IF(0, VLOOKUP($CG395, Constants!$M:$N, 2, FALSE()),"")</f>
        <v/>
      </c>
      <c r="CJ395" s="1" t="str">
        <f aca="false">IF(P395&gt;1,_xlfn.CONCAT("{BLACK}Cars: {GOLD}", P395),"")</f>
        <v>{BLACK}Cars: {GOLD}3</v>
      </c>
      <c r="CK395" s="1" t="s">
        <v>1506</v>
      </c>
      <c r="CL395" s="1" t="str">
        <f aca="false">IF($BX395="concept_trains","{GREEN}Concept Vehicle",IF($BX395="!param_no_gameplay_units","{GREEN}Included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{YELLOW}35% penalty for long distance travel{}</v>
      </c>
      <c r="CN395" s="1" t="str">
        <f aca="false">_xlfn.CONCAT(CI395,IF(CI395&lt;&gt;""," ",""),CJ395,IF(OR(CJ395&lt;&gt;"",CI395&lt;&gt;""),"{}",""),CH395,CM395,"{SILVER}",CK395,IF(CL395&lt;&gt;"","{}{}",""),CL395)</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6" customFormat="false" ht="14.25" hidden="false" customHeight="false" outlineLevel="0" collapsed="false">
      <c r="A396" s="1" t="s">
        <v>1501</v>
      </c>
      <c r="B396" s="15" t="s">
        <v>1504</v>
      </c>
      <c r="C396" s="1" t="n">
        <v>295</v>
      </c>
      <c r="E396" s="1" t="n">
        <v>607</v>
      </c>
      <c r="G396" s="1" t="str">
        <f aca="false">IF($F396&lt;&gt;"",_xlfn.CONCAT(VLOOKUP($CE396, Constants!$T:$U, 2, FALSE()),",",$F396),VLOOKUP($CE396, Constants!$T:$U, 2, FALSE()))</f>
        <v>role/passenger</v>
      </c>
      <c r="H396" s="1" t="str">
        <f aca="false">IF($G396&lt;&gt;"",_xlfn.CONCAT(VLOOKUP($CG396, Constants!$M:$P, 4, FALSE()),",",$G396),VLOOKUP($CG396, Constants!$M:$P, 4, FALSE()))</f>
        <v>flag/GB,power/electric,role/passenger</v>
      </c>
      <c r="I396" s="1" t="s">
        <v>241</v>
      </c>
      <c r="J396" s="1" t="s">
        <v>466</v>
      </c>
      <c r="K396" s="1" t="s">
        <v>1481</v>
      </c>
      <c r="L396" s="1" t="s">
        <v>1482</v>
      </c>
      <c r="M396" s="1" t="n">
        <v>1938</v>
      </c>
      <c r="O396" s="1" t="n">
        <v>2020</v>
      </c>
      <c r="P396" s="1" t="n">
        <v>7</v>
      </c>
      <c r="Q396" s="1" t="n">
        <v>650</v>
      </c>
      <c r="Z396" s="1" t="n">
        <v>161</v>
      </c>
      <c r="AB396" s="1" t="n">
        <v>10</v>
      </c>
      <c r="AC396" s="1" t="n">
        <v>130</v>
      </c>
      <c r="AD396" s="4" t="n">
        <f aca="false">IF(AND(Z396&gt;0,AC396&gt;0),(AC396/((Z396+AA396)*10)),"")</f>
        <v>0.0807453416149068</v>
      </c>
      <c r="AE396" s="1" t="n">
        <v>45</v>
      </c>
      <c r="AF396" s="1" t="n">
        <f aca="false">ROUND(AE396*1.6, 0)</f>
        <v>72</v>
      </c>
      <c r="AH396" s="1" t="n">
        <v>15.8</v>
      </c>
      <c r="AI396" s="1" t="n">
        <v>15.8</v>
      </c>
      <c r="AJ396" s="1" t="n">
        <v>2.59</v>
      </c>
      <c r="AK396" s="1" t="n">
        <v>2.883</v>
      </c>
      <c r="AL396" s="5" t="n">
        <v>108</v>
      </c>
      <c r="AM396" s="1" t="str">
        <f aca="false">CONCATENATE(VLOOKUP(AN396, 'Voxel Sizes'!$A$2:$B$18,2,FALSE()),"x",INT(AJ396*15), "x", INT(AK396*15))</f>
        <v>152x38x43</v>
      </c>
      <c r="AN396" s="1" t="n">
        <f aca="false">ROUND(15*((AI396*10)/256),0)</f>
        <v>9</v>
      </c>
      <c r="AP396" s="1" t="str">
        <f aca="false">CONCATENATE(VLOOKUP(AN396,Constants!$A$2:$C$16,IF(AO396&lt;&gt;"", 3, 2), FALSE()),IF(AO396&lt;&gt;"",CONCATENATE(",",VLOOKUP(AO396,$B:$AP,41,FALSE())),""))</f>
        <v>2,5,2</v>
      </c>
      <c r="AT396" s="1" t="s">
        <v>1509</v>
      </c>
      <c r="AV396" s="1" t="s">
        <v>1302</v>
      </c>
      <c r="AW396" s="26" t="s">
        <v>1504</v>
      </c>
      <c r="AZ396" s="1" t="n">
        <v>40</v>
      </c>
      <c r="BA396" s="16" t="n">
        <f aca="false">IF(O396&lt;&gt;"",MAX(16,(O396-M396)+8),"")</f>
        <v>90</v>
      </c>
      <c r="BB396" s="1" t="n">
        <v>-25</v>
      </c>
      <c r="BD396" s="1" t="n">
        <f aca="false">MIN(AE396/150, 1)*30</f>
        <v>9</v>
      </c>
      <c r="BE396" s="1" t="n">
        <f aca="false">MIN(Q396/4000, 1)*20</f>
        <v>3.25</v>
      </c>
      <c r="BF396" s="1" t="n">
        <f aca="false">MIN(AC396/400,1)*20</f>
        <v>6.5</v>
      </c>
      <c r="BG396" s="4" t="n">
        <f aca="false">1-(MAX(M396-1900, 0)/750)</f>
        <v>0.949333333333333</v>
      </c>
      <c r="BH396" s="1" t="n">
        <f aca="false">((MAX($P396,1)*MIN($AL396/300,1)))*IF(J396="Wagon",50,10)</f>
        <v>25.2</v>
      </c>
      <c r="BI396" s="1" t="n">
        <f aca="false">VLOOKUP($K396,Constants!$I:$K, 2, FALSE())</f>
        <v>0.9</v>
      </c>
      <c r="BJ396" s="1" t="n">
        <f aca="false">VLOOKUP($K396,Constants!$I:$K, 3, FALSE())*IF(AND(J396="multiple_unit",AE396&lt;110),0.75,1)</f>
        <v>1.2</v>
      </c>
      <c r="BK396" s="1" t="n">
        <f aca="false">INT(POWER(((Constants!$G$2+$BD396+$BE396+$BF396+$BH396)*$BG396)*$BJ396, 1.05))+$BC396</f>
        <v>68</v>
      </c>
      <c r="BL396" s="1" t="n">
        <f aca="false">INT(POWER((((Constants!$G$1+$BD396+$BE396+$BF396+$BH396)*($BG396))*$BI396),IF($J396="wagon",1,1.2)))+$BB396</f>
        <v>85</v>
      </c>
      <c r="BM396" s="17" t="n">
        <f aca="false">BK396*IF($J396="wagon",62.5,781.25)</f>
        <v>53125</v>
      </c>
      <c r="BN396" s="17" t="n">
        <f aca="false">BL396*IF($J396="wagon",2.73,81.25)</f>
        <v>6906.25</v>
      </c>
      <c r="BU396" s="1" t="str">
        <f aca="false">IF(J396="locomotive","B","")</f>
        <v/>
      </c>
      <c r="BV396" s="1" t="str">
        <f aca="false">IF(OR($J396="locomotive",$J396="wagon"),"B","")</f>
        <v/>
      </c>
      <c r="BY396" s="1" t="n">
        <v>4</v>
      </c>
      <c r="BZ396" s="1" t="n">
        <v>120</v>
      </c>
      <c r="CC396" s="1" t="s">
        <v>367</v>
      </c>
      <c r="CD396" s="1" t="str">
        <f aca="false">VLOOKUP(M396,Eras!$A$2:$C$10, 2, TRUE())</f>
        <v>big4</v>
      </c>
      <c r="CE396" s="1" t="s">
        <v>1483</v>
      </c>
      <c r="CF396" s="1" t="str">
        <f aca="false">CONCATENATE(CD396,"_",CE396)</f>
        <v>big4_LU</v>
      </c>
      <c r="CG396" s="1" t="str">
        <f aca="false">_xlfn.CONCAT(K396, "_",L396)</f>
        <v>tube_FOURTH_RAIL</v>
      </c>
      <c r="CH396" s="7" t="str">
        <f aca="false">_xlfn.CONCAT("{BLACK}Length: {GOLD}", TEXT(ROUNDUP(IF(AS396&lt;&gt;"",SUM(VALUE(_xlfn.TEXTSPLIT(AS396, ","))), SUM(VALUE(_xlfn.TEXTSPLIT(AP396, ",")))*IF(P396, P396, 1))/16, 1), "#,##0.0"), " tiles{}")</f>
        <v>{BLACK}Length: {GOLD}4.0 tiles{}</v>
      </c>
      <c r="CI396" s="1" t="str">
        <f aca="false">IF(0, VLOOKUP($CG396, Constants!$M:$N, 2, FALSE()),"")</f>
        <v/>
      </c>
      <c r="CJ396" s="1" t="str">
        <f aca="false">IF(P396&gt;1,_xlfn.CONCAT("{BLACK}Cars: {GOLD}", P396),"")</f>
        <v>{BLACK}Cars: {GOLD}7</v>
      </c>
      <c r="CK396" s="1" t="s">
        <v>1506</v>
      </c>
      <c r="CL396" s="1" t="str">
        <f aca="false">IF($BX396="concept_trains","{GREEN}Concept Vehicle",IF($BX396="!param_no_gameplay_units","{GREEN}Included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{YELLOW}35% penalty for long distance travel{}</v>
      </c>
      <c r="CN396" s="1" t="str">
        <f aca="false">_xlfn.CONCAT(CI396,IF(CI396&lt;&gt;""," ",""),CJ396,IF(OR(CJ396&lt;&gt;"",CI396&lt;&gt;""),"{}",""),CH396,CM396,"{SILVER}",CK396,IF(CL396&lt;&gt;"","{}{}",""),CL396)</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7" customFormat="false" ht="14.25" hidden="false" customHeight="false" outlineLevel="0" collapsed="false">
      <c r="A397" s="1" t="s">
        <v>1510</v>
      </c>
      <c r="B397" s="15" t="s">
        <v>1511</v>
      </c>
      <c r="C397" s="1" t="n">
        <v>4297</v>
      </c>
      <c r="E397" s="1" t="n">
        <v>608</v>
      </c>
      <c r="G397" s="1" t="str">
        <f aca="false">IF($F397&lt;&gt;"",_xlfn.CONCAT(VLOOKUP($CE397, Constants!$T:$U, 2, FALSE()),",",$F397),VLOOKUP($CE397, Constants!$T:$U, 2, FALSE()))</f>
        <v>role/passenger</v>
      </c>
      <c r="H397" s="1" t="str">
        <f aca="false">IF($G397&lt;&gt;"",_xlfn.CONCAT(VLOOKUP($CG397, Constants!$M:$P, 4, FALSE()),",",$G397),VLOOKUP($CG397, Constants!$M:$P, 4, FALSE()))</f>
        <v>flag/GB,power/electric,role/passenger</v>
      </c>
      <c r="I397" s="1" t="s">
        <v>241</v>
      </c>
      <c r="J397" s="1" t="s">
        <v>466</v>
      </c>
      <c r="K397" s="1" t="s">
        <v>1481</v>
      </c>
      <c r="L397" s="1" t="s">
        <v>1482</v>
      </c>
      <c r="M397" s="1" t="n">
        <v>1959</v>
      </c>
      <c r="O397" s="1" t="n">
        <v>2000</v>
      </c>
      <c r="P397" s="1" t="n">
        <v>4</v>
      </c>
      <c r="Q397" s="1" t="n">
        <v>750</v>
      </c>
      <c r="Z397" s="1" t="n">
        <v>167</v>
      </c>
      <c r="AB397" s="1" t="n">
        <v>10</v>
      </c>
      <c r="AC397" s="1" t="n">
        <v>135</v>
      </c>
      <c r="AD397" s="4" t="n">
        <f aca="false">IF(AND(Z397&gt;0,AC397&gt;0),(AC397/((Z397+AA397)*10)),"")</f>
        <v>0.0808383233532934</v>
      </c>
      <c r="AE397" s="1" t="n">
        <v>45</v>
      </c>
      <c r="AF397" s="1" t="n">
        <f aca="false">ROUND(AE397*1.6, 0)</f>
        <v>72</v>
      </c>
      <c r="AH397" s="1" t="n">
        <v>15.9</v>
      </c>
      <c r="AI397" s="1" t="n">
        <v>15.9</v>
      </c>
      <c r="AJ397" s="1" t="n">
        <v>2.59</v>
      </c>
      <c r="AK397" s="1" t="n">
        <v>2.883</v>
      </c>
      <c r="AL397" s="5" t="n">
        <v>120</v>
      </c>
      <c r="AM397" s="1" t="str">
        <f aca="false">CONCATENATE(VLOOKUP(AN397, 'Voxel Sizes'!$A$2:$B$18,2,FALSE()),"x",INT(AJ397*15), "x", INT(AK397*15))</f>
        <v>152x38x43</v>
      </c>
      <c r="AN397" s="1" t="n">
        <f aca="false">ROUND(15*((AI397*10)/256),0)</f>
        <v>9</v>
      </c>
      <c r="AP397" s="1" t="str">
        <f aca="false">CONCATENATE(VLOOKUP(AN397,Constants!$A$2:$C$16,IF(AO397&lt;&gt;"", 3, 2), FALSE()),IF(AO397&lt;&gt;"",CONCATENATE(",",VLOOKUP(AO397,$B:$AP,41,FALSE())),""))</f>
        <v>2,5,2</v>
      </c>
      <c r="AT397" s="1" t="s">
        <v>1512</v>
      </c>
      <c r="AV397" s="1" t="s">
        <v>918</v>
      </c>
      <c r="AW397" s="26" t="s">
        <v>1513</v>
      </c>
      <c r="AZ397" s="1" t="n">
        <v>38</v>
      </c>
      <c r="BA397" s="16" t="n">
        <f aca="false">IF(O397&lt;&gt;"",MAX(16,(O397-M397)+8),"")</f>
        <v>49</v>
      </c>
      <c r="BB397" s="1" t="n">
        <v>-25</v>
      </c>
      <c r="BC397" s="1" t="n">
        <v>-1</v>
      </c>
      <c r="BD397" s="1" t="n">
        <f aca="false">MIN(AE397/150, 1)*30</f>
        <v>9</v>
      </c>
      <c r="BE397" s="1" t="n">
        <f aca="false">MIN(Q397/4000, 1)*20</f>
        <v>3.75</v>
      </c>
      <c r="BF397" s="1" t="n">
        <f aca="false">MIN(AC397/400,1)*20</f>
        <v>6.75</v>
      </c>
      <c r="BG397" s="4" t="n">
        <f aca="false">1-(MAX(M397-1900, 0)/750)</f>
        <v>0.921333333333333</v>
      </c>
      <c r="BH397" s="1" t="n">
        <f aca="false">((MAX($P397,1)*MIN($AL397/300,1)))*IF(J397="Wagon",50,10)</f>
        <v>16</v>
      </c>
      <c r="BI397" s="1" t="n">
        <f aca="false">VLOOKUP($K397,Constants!$I:$K, 2, FALSE())</f>
        <v>0.9</v>
      </c>
      <c r="BJ397" s="1" t="n">
        <f aca="false">VLOOKUP($K397,Constants!$I:$K, 3, FALSE())*IF(AND(J397="multiple_unit",AE397&lt;110),0.75,1)</f>
        <v>1.2</v>
      </c>
      <c r="BK397" s="1" t="n">
        <f aca="false">INT(POWER(((Constants!$G$2+$BD397+$BE397+$BF397+$BH397)*$BG397)*$BJ397, 1.05))+$BC397</f>
        <v>53</v>
      </c>
      <c r="BL397" s="1" t="n">
        <f aca="false">INT(POWER((((Constants!$G$1+$BD397+$BE397+$BF397+$BH397)*($BG397))*$BI397),IF($J397="wagon",1,1.2)))+$BB397</f>
        <v>63</v>
      </c>
      <c r="BM397" s="17" t="n">
        <f aca="false">BK397*IF($J397="wagon",62.5,781.25)</f>
        <v>41406.25</v>
      </c>
      <c r="BN397" s="17" t="n">
        <f aca="false">BL397*IF($J397="wagon",2.73,81.25)</f>
        <v>5118.75</v>
      </c>
      <c r="BU397" s="1" t="str">
        <f aca="false">IF(J397="locomotive","B","")</f>
        <v/>
      </c>
      <c r="BV397" s="1" t="str">
        <f aca="false">IF(OR($J397="locomotive",$J397="wagon"),"B","")</f>
        <v/>
      </c>
      <c r="BX397" s="1" t="s">
        <v>1505</v>
      </c>
      <c r="BY397" s="1" t="n">
        <v>5</v>
      </c>
      <c r="BZ397" s="1" t="n">
        <v>120</v>
      </c>
      <c r="CC397" s="1" t="s">
        <v>367</v>
      </c>
      <c r="CD397" s="1" t="str">
        <f aca="false">VLOOKUP(M397,Eras!$A$2:$C$10, 2, TRUE())</f>
        <v>dsl</v>
      </c>
      <c r="CE397" s="1" t="s">
        <v>1483</v>
      </c>
      <c r="CF397" s="1" t="str">
        <f aca="false">CONCATENATE(CD397,"_",CE397)</f>
        <v>dsl_LU</v>
      </c>
      <c r="CG397" s="1" t="str">
        <f aca="false">_xlfn.CONCAT(K397, "_",L397)</f>
        <v>tube_FOURTH_RAIL</v>
      </c>
      <c r="CH397" s="7" t="str">
        <f aca="false">_xlfn.CONCAT("{BLACK}Length: {GOLD}", TEXT(ROUNDUP(IF(AS397&lt;&gt;"",SUM(VALUE(_xlfn.TEXTSPLIT(AS397, ","))), SUM(VALUE(_xlfn.TEXTSPLIT(AP397, ",")))*IF(P397, P397, 1))/16, 1), "#,##0.0"), " tiles{}")</f>
        <v>{BLACK}Length: {GOLD}2.3 tiles{}</v>
      </c>
      <c r="CI397" s="1" t="str">
        <f aca="false">IF(0, VLOOKUP($CG397, Constants!$M:$N, 2, FALSE()),"")</f>
        <v/>
      </c>
      <c r="CJ397" s="1" t="str">
        <f aca="false">IF(P397&gt;1,_xlfn.CONCAT("{BLACK}Cars: {GOLD}", P397),"")</f>
        <v>{BLACK}Cars: {GOLD}4</v>
      </c>
      <c r="CK397" s="1" t="s">
        <v>1514</v>
      </c>
      <c r="CL397" s="1" t="str">
        <f aca="false">IF($BX397="concept_trains","{GREEN}Concept Vehicle",IF($BX397="!param_no_gameplay_units","{GREEN}Included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{YELLOW}35% penalty for long distance travel{}</v>
      </c>
      <c r="CN397" s="1" t="str">
        <f aca="false">_xlfn.CONCAT(CI397,IF(CI397&lt;&gt;""," ",""),CJ397,IF(OR(CJ397&lt;&gt;"",CI397&lt;&gt;""),"{}",""),CH397,CM397,"{SILVER}",CK397,IF(CL397&lt;&gt;"","{}{}",""),CL397)</f>
        <v>{BLACK}Cars: {GOLD}4{}{BLACK}Length: {GOLD}2.3 tiles{}{YELLOW}35% penalty for long distance travel{}{SILVER}The 1959 stock was based on the aluminium-bodied 1956 stock, built for the Piccadilly line but used across many deep level Tube lines over its long life.</v>
      </c>
    </row>
    <row r="398" customFormat="false" ht="14.25" hidden="false" customHeight="false" outlineLevel="0" collapsed="false">
      <c r="A398" s="1" t="s">
        <v>1510</v>
      </c>
      <c r="B398" s="15" t="s">
        <v>1515</v>
      </c>
      <c r="C398" s="1" t="n">
        <v>4298</v>
      </c>
      <c r="E398" s="1" t="n">
        <v>609</v>
      </c>
      <c r="G398" s="1" t="str">
        <f aca="false">IF($F398&lt;&gt;"",_xlfn.CONCAT(VLOOKUP($CE398, Constants!$T:$U, 2, FALSE()),",",$F398),VLOOKUP($CE398, Constants!$T:$U, 2, FALSE()))</f>
        <v>role/passenger</v>
      </c>
      <c r="H398" s="1" t="str">
        <f aca="false">IF($G398&lt;&gt;"",_xlfn.CONCAT(VLOOKUP($CG398, Constants!$M:$P, 4, FALSE()),",",$G398),VLOOKUP($CG398, Constants!$M:$P, 4, FALSE()))</f>
        <v>flag/GB,power/electric,role/passenger</v>
      </c>
      <c r="I398" s="1" t="s">
        <v>241</v>
      </c>
      <c r="J398" s="1" t="s">
        <v>466</v>
      </c>
      <c r="K398" s="1" t="s">
        <v>1481</v>
      </c>
      <c r="L398" s="1" t="s">
        <v>1482</v>
      </c>
      <c r="M398" s="1" t="n">
        <v>1959</v>
      </c>
      <c r="O398" s="1" t="n">
        <v>2000</v>
      </c>
      <c r="P398" s="1" t="n">
        <v>3</v>
      </c>
      <c r="Q398" s="1" t="n">
        <v>750</v>
      </c>
      <c r="Z398" s="1" t="n">
        <v>167</v>
      </c>
      <c r="AB398" s="1" t="n">
        <v>10</v>
      </c>
      <c r="AC398" s="1" t="n">
        <v>135</v>
      </c>
      <c r="AD398" s="4" t="n">
        <f aca="false">IF(AND(Z398&gt;0,AC398&gt;0),(AC398/((Z398+AA398)*10)),"")</f>
        <v>0.0808383233532934</v>
      </c>
      <c r="AE398" s="1" t="n">
        <v>45</v>
      </c>
      <c r="AF398" s="1" t="n">
        <f aca="false">ROUND(AE398*1.6, 0)</f>
        <v>72</v>
      </c>
      <c r="AH398" s="1" t="n">
        <v>15.9</v>
      </c>
      <c r="AI398" s="1" t="n">
        <v>15.9</v>
      </c>
      <c r="AJ398" s="1" t="n">
        <v>2.59</v>
      </c>
      <c r="AK398" s="1" t="n">
        <v>2.883</v>
      </c>
      <c r="AL398" s="5" t="n">
        <v>120</v>
      </c>
      <c r="AM398" s="1" t="str">
        <f aca="false">CONCATENATE(VLOOKUP(AN398, 'Voxel Sizes'!$A$2:$B$18,2,FALSE()),"x",INT(AJ398*15), "x", INT(AK398*15))</f>
        <v>152x38x43</v>
      </c>
      <c r="AN398" s="1" t="n">
        <f aca="false">ROUND(15*((AI398*10)/256),0)</f>
        <v>9</v>
      </c>
      <c r="AP398" s="1" t="str">
        <f aca="false">CONCATENATE(VLOOKUP(AN398,Constants!$A$2:$C$16,IF(AO398&lt;&gt;"", 3, 2), FALSE()),IF(AO398&lt;&gt;"",CONCATENATE(",",VLOOKUP(AO398,$B:$AP,41,FALSE())),""))</f>
        <v>2,5,2</v>
      </c>
      <c r="AT398" s="1" t="s">
        <v>1516</v>
      </c>
      <c r="AV398" s="1" t="s">
        <v>834</v>
      </c>
      <c r="AW398" s="26" t="s">
        <v>1513</v>
      </c>
      <c r="AZ398" s="1" t="n">
        <v>38</v>
      </c>
      <c r="BA398" s="16" t="n">
        <f aca="false">IF(O398&lt;&gt;"",MAX(16,(O398-M398)+8),"")</f>
        <v>49</v>
      </c>
      <c r="BB398" s="1" t="n">
        <v>-25</v>
      </c>
      <c r="BC398" s="1" t="n">
        <v>-1</v>
      </c>
      <c r="BD398" s="1" t="n">
        <f aca="false">MIN(AE398/150, 1)*30</f>
        <v>9</v>
      </c>
      <c r="BE398" s="1" t="n">
        <f aca="false">MIN(Q398/4000, 1)*20</f>
        <v>3.75</v>
      </c>
      <c r="BF398" s="1" t="n">
        <f aca="false">MIN(AC398/400,1)*20</f>
        <v>6.75</v>
      </c>
      <c r="BG398" s="4" t="n">
        <f aca="false">1-(MAX(M398-1900, 0)/750)</f>
        <v>0.921333333333333</v>
      </c>
      <c r="BH398" s="1" t="n">
        <f aca="false">((MAX($P398,1)*MIN($AL398/300,1)))*IF(J398="Wagon",50,10)</f>
        <v>12</v>
      </c>
      <c r="BI398" s="1" t="n">
        <f aca="false">VLOOKUP($K398,Constants!$I:$K, 2, FALSE())</f>
        <v>0.9</v>
      </c>
      <c r="BJ398" s="1" t="n">
        <f aca="false">VLOOKUP($K398,Constants!$I:$K, 3, FALSE())*IF(AND(J398="multiple_unit",AE398&lt;110),0.75,1)</f>
        <v>1.2</v>
      </c>
      <c r="BK398" s="1" t="n">
        <f aca="false">INT(POWER(((Constants!$G$2+$BD398+$BE398+$BF398+$BH398)*$BG398)*$BJ398, 1.05))+$BC398</f>
        <v>47</v>
      </c>
      <c r="BL398" s="1" t="n">
        <f aca="false">INT(POWER((((Constants!$G$1+$BD398+$BE398+$BF398+$BH398)*($BG398))*$BI398),IF($J398="wagon",1,1.2)))+$BB398</f>
        <v>55</v>
      </c>
      <c r="BM398" s="17" t="n">
        <f aca="false">BK398*IF($J398="wagon",62.5,781.25)</f>
        <v>36718.75</v>
      </c>
      <c r="BN398" s="17" t="n">
        <f aca="false">BL398*IF($J398="wagon",2.73,81.25)</f>
        <v>4468.75</v>
      </c>
      <c r="BU398" s="1" t="str">
        <f aca="false">IF(J398="locomotive","B","")</f>
        <v/>
      </c>
      <c r="BV398" s="1" t="str">
        <f aca="false">IF(OR($J398="locomotive",$J398="wagon"),"B","")</f>
        <v/>
      </c>
      <c r="BX398" s="1" t="s">
        <v>1505</v>
      </c>
      <c r="BY398" s="1" t="n">
        <v>5</v>
      </c>
      <c r="BZ398" s="1" t="n">
        <v>120</v>
      </c>
      <c r="CC398" s="1" t="s">
        <v>367</v>
      </c>
      <c r="CD398" s="1" t="str">
        <f aca="false">VLOOKUP(M398,Eras!$A$2:$C$10, 2, TRUE())</f>
        <v>dsl</v>
      </c>
      <c r="CE398" s="1" t="s">
        <v>1483</v>
      </c>
      <c r="CF398" s="1" t="str">
        <f aca="false">CONCATENATE(CD398,"_",CE398)</f>
        <v>dsl_LU</v>
      </c>
      <c r="CG398" s="1" t="str">
        <f aca="false">_xlfn.CONCAT(K398, "_",L398)</f>
        <v>tube_FOURTH_RAIL</v>
      </c>
      <c r="CH398" s="7" t="str">
        <f aca="false">_xlfn.CONCAT("{BLACK}Length: {GOLD}", TEXT(ROUNDUP(IF(AS398&lt;&gt;"",SUM(VALUE(_xlfn.TEXTSPLIT(AS398, ","))), SUM(VALUE(_xlfn.TEXTSPLIT(AP398, ",")))*IF(P398, P398, 1))/16, 1), "#,##0.0"), " tiles{}")</f>
        <v>{BLACK}Length: {GOLD}1.7 tiles{}</v>
      </c>
      <c r="CI398" s="1" t="str">
        <f aca="false">IF(0, VLOOKUP($CG398, Constants!$M:$N, 2, FALSE()),"")</f>
        <v/>
      </c>
      <c r="CJ398" s="1" t="str">
        <f aca="false">IF(P398&gt;1,_xlfn.CONCAT("{BLACK}Cars: {GOLD}", P398),"")</f>
        <v>{BLACK}Cars: {GOLD}3</v>
      </c>
      <c r="CK398" s="1" t="s">
        <v>1514</v>
      </c>
      <c r="CL398" s="1" t="str">
        <f aca="false">IF($BX398="concept_trains","{GREEN}Concept Vehicle",IF($BX398="!param_no_gameplay_units","{GREEN}Included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{YELLOW}35% penalty for long distance travel{}</v>
      </c>
      <c r="CN398" s="1" t="str">
        <f aca="false">_xlfn.CONCAT(CI398,IF(CI398&lt;&gt;""," ",""),CJ398,IF(OR(CJ398&lt;&gt;"",CI398&lt;&gt;""),"{}",""),CH398,CM398,"{SILVER}",CK398,IF(CL398&lt;&gt;"","{}{}",""),CL398)</f>
        <v>{BLACK}Cars: {GOLD}3{}{BLACK}Length: {GOLD}1.7 tiles{}{YELLOW}35% penalty for long distance travel{}{SILVER}The 1959 stock was based on the aluminium-bodied 1956 stock, built for the Piccadilly line but used across many deep level Tube lines over its long life.</v>
      </c>
    </row>
    <row r="399" customFormat="false" ht="14.25" hidden="false" customHeight="false" outlineLevel="0" collapsed="false">
      <c r="A399" s="1" t="s">
        <v>1510</v>
      </c>
      <c r="B399" s="15" t="s">
        <v>1513</v>
      </c>
      <c r="C399" s="1" t="n">
        <v>296</v>
      </c>
      <c r="E399" s="1" t="n">
        <v>610</v>
      </c>
      <c r="G399" s="1" t="str">
        <f aca="false">IF($F399&lt;&gt;"",_xlfn.CONCAT(VLOOKUP($CE399, Constants!$T:$U, 2, FALSE()),",",$F399),VLOOKUP($CE399, Constants!$T:$U, 2, FALSE()))</f>
        <v>role/passenger</v>
      </c>
      <c r="H399" s="1" t="str">
        <f aca="false">IF($G399&lt;&gt;"",_xlfn.CONCAT(VLOOKUP($CG399, Constants!$M:$P, 4, FALSE()),",",$G399),VLOOKUP($CG399, Constants!$M:$P, 4, FALSE()))</f>
        <v>flag/GB,power/electric,role/passenger</v>
      </c>
      <c r="I399" s="1" t="s">
        <v>241</v>
      </c>
      <c r="J399" s="1" t="s">
        <v>466</v>
      </c>
      <c r="K399" s="1" t="s">
        <v>1481</v>
      </c>
      <c r="L399" s="1" t="s">
        <v>1482</v>
      </c>
      <c r="M399" s="1" t="n">
        <v>1959</v>
      </c>
      <c r="O399" s="1" t="n">
        <v>2000</v>
      </c>
      <c r="P399" s="1" t="n">
        <v>7</v>
      </c>
      <c r="Q399" s="1" t="n">
        <v>750</v>
      </c>
      <c r="Z399" s="1" t="n">
        <v>167</v>
      </c>
      <c r="AB399" s="1" t="n">
        <v>10</v>
      </c>
      <c r="AC399" s="1" t="n">
        <v>135</v>
      </c>
      <c r="AD399" s="4" t="n">
        <f aca="false">IF(AND(Z399&gt;0,AC399&gt;0),(AC399/((Z399+AA399)*10)),"")</f>
        <v>0.0808383233532934</v>
      </c>
      <c r="AE399" s="1" t="n">
        <v>45</v>
      </c>
      <c r="AF399" s="1" t="n">
        <f aca="false">ROUND(AE399*1.6, 0)</f>
        <v>72</v>
      </c>
      <c r="AH399" s="1" t="n">
        <v>15.9</v>
      </c>
      <c r="AI399" s="1" t="n">
        <v>15.9</v>
      </c>
      <c r="AJ399" s="1" t="n">
        <v>2.59</v>
      </c>
      <c r="AK399" s="1" t="n">
        <v>2.883</v>
      </c>
      <c r="AL399" s="5" t="n">
        <v>120</v>
      </c>
      <c r="AM399" s="1" t="str">
        <f aca="false">CONCATENATE(VLOOKUP(AN399, 'Voxel Sizes'!$A$2:$B$18,2,FALSE()),"x",INT(AJ399*15), "x", INT(AK399*15))</f>
        <v>152x38x43</v>
      </c>
      <c r="AN399" s="1" t="n">
        <f aca="false">ROUND(15*((AI399*10)/256),0)</f>
        <v>9</v>
      </c>
      <c r="AP399" s="1" t="str">
        <f aca="false">CONCATENATE(VLOOKUP(AN399,Constants!$A$2:$C$16,IF(AO399&lt;&gt;"", 3, 2), FALSE()),IF(AO399&lt;&gt;"",CONCATENATE(",",VLOOKUP(AO399,$B:$AP,41,FALSE())),""))</f>
        <v>2,5,2</v>
      </c>
      <c r="AT399" s="1" t="s">
        <v>1517</v>
      </c>
      <c r="AV399" s="1" t="s">
        <v>1302</v>
      </c>
      <c r="AW399" s="26" t="s">
        <v>1513</v>
      </c>
      <c r="AZ399" s="1" t="n">
        <v>38</v>
      </c>
      <c r="BA399" s="16" t="n">
        <f aca="false">IF(O399&lt;&gt;"",MAX(16,(O399-M399)+8),"")</f>
        <v>49</v>
      </c>
      <c r="BB399" s="1" t="n">
        <v>-25</v>
      </c>
      <c r="BC399" s="1" t="n">
        <v>-1</v>
      </c>
      <c r="BD399" s="1" t="n">
        <f aca="false">MIN(AE399/150, 1)*30</f>
        <v>9</v>
      </c>
      <c r="BE399" s="1" t="n">
        <f aca="false">MIN(Q399/4000, 1)*20</f>
        <v>3.75</v>
      </c>
      <c r="BF399" s="1" t="n">
        <f aca="false">MIN(AC399/400,1)*20</f>
        <v>6.75</v>
      </c>
      <c r="BG399" s="4" t="n">
        <f aca="false">1-(MAX(M399-1900, 0)/750)</f>
        <v>0.921333333333333</v>
      </c>
      <c r="BH399" s="1" t="n">
        <f aca="false">((MAX($P399,1)*MIN($AL399/300,1)))*IF(J399="Wagon",50,10)</f>
        <v>28</v>
      </c>
      <c r="BI399" s="1" t="n">
        <f aca="false">VLOOKUP($K399,Constants!$I:$K, 2, FALSE())</f>
        <v>0.9</v>
      </c>
      <c r="BJ399" s="1" t="n">
        <f aca="false">VLOOKUP($K399,Constants!$I:$K, 3, FALSE())*IF(AND(J399="multiple_unit",AE399&lt;110),0.75,1)</f>
        <v>1.2</v>
      </c>
      <c r="BK399" s="1" t="n">
        <f aca="false">INT(POWER(((Constants!$G$2+$BD399+$BE399+$BF399+$BH399)*$BG399)*$BJ399, 1.05))+$BC399</f>
        <v>70</v>
      </c>
      <c r="BL399" s="1" t="n">
        <f aca="false">INT(POWER((((Constants!$G$1+$BD399+$BE399+$BF399+$BH399)*($BG399))*$BI399),IF($J399="wagon",1,1.2)))+$BB399</f>
        <v>89</v>
      </c>
      <c r="BM399" s="17" t="n">
        <f aca="false">BK399*IF($J399="wagon",62.5,781.25)</f>
        <v>54687.5</v>
      </c>
      <c r="BN399" s="17" t="n">
        <f aca="false">BL399*IF($J399="wagon",2.73,81.25)</f>
        <v>7231.25</v>
      </c>
      <c r="BU399" s="1" t="str">
        <f aca="false">IF(J399="locomotive","B","")</f>
        <v/>
      </c>
      <c r="BV399" s="1" t="str">
        <f aca="false">IF(OR($J399="locomotive",$J399="wagon"),"B","")</f>
        <v/>
      </c>
      <c r="BY399" s="1" t="n">
        <v>5</v>
      </c>
      <c r="BZ399" s="1" t="n">
        <v>120</v>
      </c>
      <c r="CC399" s="1" t="s">
        <v>367</v>
      </c>
      <c r="CD399" s="1" t="str">
        <f aca="false">VLOOKUP(M399,Eras!$A$2:$C$10, 2, TRUE())</f>
        <v>dsl</v>
      </c>
      <c r="CE399" s="1" t="s">
        <v>1483</v>
      </c>
      <c r="CF399" s="1" t="str">
        <f aca="false">CONCATENATE(CD399,"_",CE399)</f>
        <v>dsl_LU</v>
      </c>
      <c r="CG399" s="1" t="str">
        <f aca="false">_xlfn.CONCAT(K399, "_",L399)</f>
        <v>tube_FOURTH_RAIL</v>
      </c>
      <c r="CH399" s="7" t="str">
        <f aca="false">_xlfn.CONCAT("{BLACK}Length: {GOLD}", TEXT(ROUNDUP(IF(AS399&lt;&gt;"",SUM(VALUE(_xlfn.TEXTSPLIT(AS399, ","))), SUM(VALUE(_xlfn.TEXTSPLIT(AP399, ",")))*IF(P399, P399, 1))/16, 1), "#,##0.0"), " tiles{}")</f>
        <v>{BLACK}Length: {GOLD}4.0 tiles{}</v>
      </c>
      <c r="CI399" s="1" t="str">
        <f aca="false">IF(0, VLOOKUP($CG399, Constants!$M:$N, 2, FALSE()),"")</f>
        <v/>
      </c>
      <c r="CJ399" s="1" t="str">
        <f aca="false">IF(P399&gt;1,_xlfn.CONCAT("{BLACK}Cars: {GOLD}", P399),"")</f>
        <v>{BLACK}Cars: {GOLD}7</v>
      </c>
      <c r="CK399" s="1" t="s">
        <v>1514</v>
      </c>
      <c r="CL399" s="1" t="str">
        <f aca="false">IF($BX399="concept_trains","{GREEN}Concept Vehicle",IF($BX399="!param_no_gameplay_units","{GREEN}Included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{YELLOW}35% penalty for long distance travel{}</v>
      </c>
      <c r="CN399" s="1" t="str">
        <f aca="false">_xlfn.CONCAT(CI399,IF(CI399&lt;&gt;""," ",""),CJ399,IF(OR(CJ399&lt;&gt;"",CI399&lt;&gt;""),"{}",""),CH399,CM399,"{SILVER}",CK399,IF(CL399&lt;&gt;"","{}{}",""),CL399)</f>
        <v>{BLACK}Cars: {GOLD}7{}{BLACK}Length: {GOLD}4.0 tiles{}{YELLOW}35% penalty for long distance travel{}{SILVER}The 1959 stock was based on the aluminium-bodied 1956 stock, built for the Piccadilly line but used across many deep level Tube lines over its long life.</v>
      </c>
    </row>
    <row r="400" customFormat="false" ht="14.25" hidden="false" customHeight="false" outlineLevel="0" collapsed="false">
      <c r="A400" s="1" t="s">
        <v>1518</v>
      </c>
      <c r="B400" s="15" t="s">
        <v>1519</v>
      </c>
      <c r="C400" s="1" t="n">
        <v>297</v>
      </c>
      <c r="E400" s="1" t="n">
        <v>611</v>
      </c>
      <c r="G400" s="1" t="str">
        <f aca="false">IF($F400&lt;&gt;"",_xlfn.CONCAT(VLOOKUP($CE400, Constants!$T:$U, 2, FALSE()),",",$F400),VLOOKUP($CE400, Constants!$T:$U, 2, FALSE()))</f>
        <v>role/passenger</v>
      </c>
      <c r="H400" s="1" t="str">
        <f aca="false">IF($G400&lt;&gt;"",_xlfn.CONCAT(VLOOKUP($CG400, Constants!$M:$P, 4, FALSE()),",",$G400),VLOOKUP($CG400, Constants!$M:$P, 4, FALSE()))</f>
        <v>flag/GB,power/electric,role/passenger</v>
      </c>
      <c r="I400" s="1" t="s">
        <v>241</v>
      </c>
      <c r="J400" s="1" t="s">
        <v>466</v>
      </c>
      <c r="K400" s="1" t="s">
        <v>1481</v>
      </c>
      <c r="L400" s="1" t="s">
        <v>1482</v>
      </c>
      <c r="M400" s="1" t="n">
        <v>1960</v>
      </c>
      <c r="O400" s="1" t="n">
        <v>2012</v>
      </c>
      <c r="P400" s="1" t="n">
        <v>4</v>
      </c>
      <c r="Q400" s="1" t="n">
        <v>450</v>
      </c>
      <c r="Z400" s="1" t="n">
        <f aca="false">32+21+21+32</f>
        <v>106</v>
      </c>
      <c r="AB400" s="1" t="n">
        <v>10</v>
      </c>
      <c r="AC400" s="1" t="n">
        <v>80</v>
      </c>
      <c r="AD400" s="4" t="n">
        <f aca="false">IF(AND(Z400&gt;0,AC400&gt;0),(AC400/((Z400+AA400)*10)),"")</f>
        <v>0.0754716981132075</v>
      </c>
      <c r="AE400" s="1" t="n">
        <v>70</v>
      </c>
      <c r="AF400" s="1" t="n">
        <f aca="false">ROUND(AE400*1.6, 0)</f>
        <v>112</v>
      </c>
      <c r="AH400" s="1" t="n">
        <v>16.2</v>
      </c>
      <c r="AI400" s="1" t="n">
        <v>16.2</v>
      </c>
      <c r="AJ400" s="1" t="n">
        <v>2.94</v>
      </c>
      <c r="AK400" s="1" t="n">
        <v>3.68</v>
      </c>
      <c r="AL400" s="5" t="n">
        <v>114</v>
      </c>
      <c r="AM400" s="1" t="str">
        <f aca="false">CONCATENATE(VLOOKUP(AN400, 'Voxel Sizes'!$A$2:$B$18,2,FALSE()),"x",INT(AJ400*15), "x", INT(AK400*15))</f>
        <v>152x44x55</v>
      </c>
      <c r="AN400" s="1" t="n">
        <f aca="false">ROUND(15*((AI400*10)/256),0)</f>
        <v>9</v>
      </c>
      <c r="AP400" s="1" t="str">
        <f aca="false">CONCATENATE(VLOOKUP(AN400,Constants!$A$2:$C$16,IF(AO400&lt;&gt;"", 3, 2), FALSE()),IF(AO400&lt;&gt;"",CONCATENATE(",",VLOOKUP(AO400,$B:$AP,41,FALSE())),""))</f>
        <v>2,5,2</v>
      </c>
      <c r="AT400" s="1" t="s">
        <v>1520</v>
      </c>
      <c r="AV400" s="1" t="s">
        <v>918</v>
      </c>
      <c r="AZ400" s="1" t="n">
        <v>39</v>
      </c>
      <c r="BA400" s="16" t="n">
        <f aca="false">IF(O400&lt;&gt;"",MAX(16,(O400-M400)+8),"")</f>
        <v>60</v>
      </c>
      <c r="BB400" s="1" t="n">
        <v>-25</v>
      </c>
      <c r="BD400" s="1" t="n">
        <f aca="false">MIN(AE400/150, 1)*30</f>
        <v>14</v>
      </c>
      <c r="BE400" s="1" t="n">
        <f aca="false">MIN(Q400/4000, 1)*20</f>
        <v>2.25</v>
      </c>
      <c r="BF400" s="1" t="n">
        <f aca="false">MIN(AC400/400,1)*20</f>
        <v>4</v>
      </c>
      <c r="BG400" s="4" t="n">
        <f aca="false">1-(MAX(M400-1900, 0)/750)</f>
        <v>0.92</v>
      </c>
      <c r="BH400" s="1" t="n">
        <f aca="false">((MAX($P400,1)*MIN($AL400/300,1)))*IF(J400="Wagon",50,10)</f>
        <v>15.2</v>
      </c>
      <c r="BI400" s="1" t="n">
        <f aca="false">VLOOKUP($K400,Constants!$I:$K, 2, FALSE())</f>
        <v>0.9</v>
      </c>
      <c r="BJ400" s="1" t="n">
        <f aca="false">VLOOKUP($K400,Constants!$I:$K, 3, FALSE())*IF(AND(J400="multiple_unit",AE400&lt;110),0.75,1)</f>
        <v>1.2</v>
      </c>
      <c r="BK400" s="1" t="n">
        <f aca="false">INT(POWER(((Constants!$G$2+$BD400+$BE400+$BF400+$BH400)*$BG400)*$BJ400, 1.05))+$BC400</f>
        <v>53</v>
      </c>
      <c r="BL400" s="1" t="n">
        <f aca="false">INT(POWER((((Constants!$G$1+$BD400+$BE400+$BF400+$BH400)*($BG400))*$BI400),IF($J400="wagon",1,1.2)))+$BB400</f>
        <v>63</v>
      </c>
      <c r="BM400" s="17" t="n">
        <f aca="false">BK400*IF($J400="wagon",62.5,781.25)</f>
        <v>41406.25</v>
      </c>
      <c r="BN400" s="17" t="n">
        <f aca="false">BL400*IF($J400="wagon",2.73,81.25)</f>
        <v>5118.75</v>
      </c>
      <c r="BU400" s="1" t="str">
        <f aca="false">IF(J400="locomotive","B","")</f>
        <v/>
      </c>
      <c r="BV400" s="1" t="str">
        <f aca="false">IF(OR($J400="locomotive",$J400="wagon"),"B","")</f>
        <v/>
      </c>
      <c r="BY400" s="1" t="n">
        <v>6</v>
      </c>
      <c r="BZ400" s="1" t="n">
        <v>120</v>
      </c>
      <c r="CC400" s="1" t="s">
        <v>367</v>
      </c>
      <c r="CD400" s="1" t="str">
        <f aca="false">VLOOKUP(M400,Eras!$A$2:$C$10, 2, TRUE())</f>
        <v>dsl</v>
      </c>
      <c r="CE400" s="1" t="s">
        <v>1483</v>
      </c>
      <c r="CF400" s="1" t="str">
        <f aca="false">CONCATENATE(CD400,"_",CE400)</f>
        <v>dsl_LU</v>
      </c>
      <c r="CG400" s="1" t="str">
        <f aca="false">_xlfn.CONCAT(K400, "_",L400)</f>
        <v>tube_FOURTH_RAIL</v>
      </c>
      <c r="CH400" s="7" t="str">
        <f aca="false">_xlfn.CONCAT("{BLACK}Length: {GOLD}", TEXT(ROUNDUP(IF(AS400&lt;&gt;"",SUM(VALUE(_xlfn.TEXTSPLIT(AS400, ","))), SUM(VALUE(_xlfn.TEXTSPLIT(AP400, ",")))*IF(P400, P400, 1))/16, 1), "#,##0.0"), " tiles{}")</f>
        <v>{BLACK}Length: {GOLD}2.3 tiles{}</v>
      </c>
      <c r="CI400" s="1" t="str">
        <f aca="false">IF(0, VLOOKUP($CG400, Constants!$M:$N, 2, FALSE()),"")</f>
        <v/>
      </c>
      <c r="CJ400" s="1" t="str">
        <f aca="false">IF(P400&gt;1,_xlfn.CONCAT("{BLACK}Cars: {GOLD}", P400),"")</f>
        <v>{BLACK}Cars: {GOLD}4</v>
      </c>
      <c r="CK400" s="1" t="s">
        <v>1521</v>
      </c>
      <c r="CL400" s="1" t="str">
        <f aca="false">IF($BX400="concept_trains","{GREEN}Concept Vehicle",IF($BX400="!param_no_gameplay_units","{GREEN}Included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{YELLOW}35% penalty for long distance travel{}</v>
      </c>
      <c r="CN400" s="1" t="str">
        <f aca="false">_xlfn.CONCAT(CI400,IF(CI400&lt;&gt;""," ",""),CJ400,IF(OR(CJ400&lt;&gt;"",CI400&lt;&gt;""),"{}",""),CH400,CM400,"{SILVER}",CK400,IF(CL400&lt;&gt;"","{}{}",""),CL400)</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401" customFormat="false" ht="14.25" hidden="false" customHeight="false" outlineLevel="0" collapsed="false">
      <c r="A401" s="1" t="s">
        <v>1522</v>
      </c>
      <c r="B401" s="15" t="s">
        <v>1523</v>
      </c>
      <c r="C401" s="1" t="n">
        <v>298</v>
      </c>
      <c r="E401" s="1" t="n">
        <v>612</v>
      </c>
      <c r="G401" s="1" t="str">
        <f aca="false">IF($F401&lt;&gt;"",_xlfn.CONCAT(VLOOKUP($CE401, Constants!$T:$U, 2, FALSE()),",",$F401),VLOOKUP($CE401, Constants!$T:$U, 2, FALSE()))</f>
        <v>role/passenger</v>
      </c>
      <c r="H401" s="1" t="str">
        <f aca="false">IF($G401&lt;&gt;"",_xlfn.CONCAT(VLOOKUP($CG401, Constants!$M:$P, 4, FALSE()),",",$G401),VLOOKUP($CG401, Constants!$M:$P, 4, FALSE()))</f>
        <v>flag/GB,power/electric,role/passenger</v>
      </c>
      <c r="I401" s="1" t="s">
        <v>241</v>
      </c>
      <c r="J401" s="1" t="s">
        <v>466</v>
      </c>
      <c r="K401" s="1" t="s">
        <v>1481</v>
      </c>
      <c r="L401" s="1" t="s">
        <v>1482</v>
      </c>
      <c r="M401" s="1" t="n">
        <v>1967</v>
      </c>
      <c r="O401" s="1" t="n">
        <v>2011</v>
      </c>
      <c r="P401" s="1" t="n">
        <v>4</v>
      </c>
      <c r="Q401" s="1" t="n">
        <v>500</v>
      </c>
      <c r="Z401" s="1" t="n">
        <f aca="false">28.5+28.5+19.4+19.4</f>
        <v>95.8</v>
      </c>
      <c r="AB401" s="1" t="n">
        <v>10</v>
      </c>
      <c r="AC401" s="1" t="n">
        <v>70</v>
      </c>
      <c r="AD401" s="4" t="n">
        <f aca="false">IF(AND(Z401&gt;0,AC401&gt;0),(AC401/((Z401+AA401)*10)),"")</f>
        <v>0.0730688935281837</v>
      </c>
      <c r="AE401" s="1" t="n">
        <v>45</v>
      </c>
      <c r="AF401" s="1" t="n">
        <f aca="false">ROUND(AE401*1.6, 0)</f>
        <v>72</v>
      </c>
      <c r="AH401" s="1" t="n">
        <v>16</v>
      </c>
      <c r="AI401" s="1" t="n">
        <v>16</v>
      </c>
      <c r="AJ401" s="1" t="n">
        <v>2.642</v>
      </c>
      <c r="AK401" s="1" t="n">
        <v>2.877</v>
      </c>
      <c r="AL401" s="5" t="n">
        <v>120</v>
      </c>
      <c r="AM401" s="1" t="str">
        <f aca="false">CONCATENATE(VLOOKUP(AN401, 'Voxel Sizes'!$A$2:$B$18,2,FALSE()),"x",INT(AJ401*15), "x", INT(AK401*15))</f>
        <v>152x39x43</v>
      </c>
      <c r="AN401" s="1" t="n">
        <f aca="false">ROUND(15*((AI401*10)/256),0)</f>
        <v>9</v>
      </c>
      <c r="AP401" s="1" t="str">
        <f aca="false">CONCATENATE(VLOOKUP(AN401,Constants!$A$2:$C$16,IF(AO401&lt;&gt;"", 3, 2), FALSE()),IF(AO401&lt;&gt;"",CONCATENATE(",",VLOOKUP(AO401,$B:$AP,41,FALSE())),""))</f>
        <v>2,5,2</v>
      </c>
      <c r="AT401" s="1" t="s">
        <v>1524</v>
      </c>
      <c r="AV401" s="1" t="s">
        <v>918</v>
      </c>
      <c r="AZ401" s="1" t="n">
        <v>36</v>
      </c>
      <c r="BA401" s="16" t="n">
        <f aca="false">IF(O401&lt;&gt;"",MAX(16,(O401-M401)+8),"")</f>
        <v>52</v>
      </c>
      <c r="BB401" s="1" t="n">
        <v>-23</v>
      </c>
      <c r="BC401" s="1" t="n">
        <v>2</v>
      </c>
      <c r="BD401" s="1" t="n">
        <f aca="false">MIN(AE401/150, 1)*30</f>
        <v>9</v>
      </c>
      <c r="BE401" s="1" t="n">
        <f aca="false">MIN(Q401/4000, 1)*20</f>
        <v>2.5</v>
      </c>
      <c r="BF401" s="1" t="n">
        <f aca="false">MIN(AC401/400,1)*20</f>
        <v>3.5</v>
      </c>
      <c r="BG401" s="4" t="n">
        <f aca="false">1-(MAX(M401-1900, 0)/750)</f>
        <v>0.910666666666667</v>
      </c>
      <c r="BH401" s="1" t="n">
        <f aca="false">((MAX($P401,1)*MIN($AL401/300,1)))*IF(J401="Wagon",50,10)</f>
        <v>16</v>
      </c>
      <c r="BI401" s="1" t="n">
        <f aca="false">VLOOKUP($K401,Constants!$I:$K, 2, FALSE())</f>
        <v>0.9</v>
      </c>
      <c r="BJ401" s="1" t="n">
        <f aca="false">VLOOKUP($K401,Constants!$I:$K, 3, FALSE())*IF(AND(J401="multiple_unit",AE401&lt;110),0.75,1)</f>
        <v>1.2</v>
      </c>
      <c r="BK401" s="1" t="n">
        <f aca="false">INT(POWER(((Constants!$G$2+$BD401+$BE401+$BF401+$BH401)*$BG401)*$BJ401, 1.05))+$BC401</f>
        <v>49</v>
      </c>
      <c r="BL401" s="1" t="n">
        <f aca="false">INT(POWER((((Constants!$G$1+$BD401+$BE401+$BF401+$BH401)*($BG401))*$BI401),IF($J401="wagon",1,1.2)))+$BB401</f>
        <v>54</v>
      </c>
      <c r="BM401" s="17" t="n">
        <f aca="false">BK401*IF($J401="wagon",62.5,781.25)</f>
        <v>38281.25</v>
      </c>
      <c r="BN401" s="17" t="n">
        <f aca="false">BL401*IF($J401="wagon",2.73,81.25)</f>
        <v>4387.5</v>
      </c>
      <c r="BU401" s="1" t="str">
        <f aca="false">IF(J401="locomotive","B","")</f>
        <v/>
      </c>
      <c r="BV401" s="1" t="str">
        <f aca="false">IF(OR($J401="locomotive",$J401="wagon"),"B","")</f>
        <v/>
      </c>
      <c r="BY401" s="1" t="n">
        <v>7</v>
      </c>
      <c r="BZ401" s="1" t="n">
        <v>120</v>
      </c>
      <c r="CC401" s="1" t="s">
        <v>367</v>
      </c>
      <c r="CD401" s="1" t="str">
        <f aca="false">VLOOKUP(M401,Eras!$A$2:$C$10, 2, TRUE())</f>
        <v>dsl</v>
      </c>
      <c r="CE401" s="1" t="s">
        <v>1483</v>
      </c>
      <c r="CF401" s="1" t="str">
        <f aca="false">CONCATENATE(CD401,"_",CE401)</f>
        <v>dsl_LU</v>
      </c>
      <c r="CG401" s="1" t="str">
        <f aca="false">_xlfn.CONCAT(K401, "_",L401)</f>
        <v>tube_FOURTH_RAIL</v>
      </c>
      <c r="CH401" s="7" t="str">
        <f aca="false">_xlfn.CONCAT("{BLACK}Length: {GOLD}", TEXT(ROUNDUP(IF(AS401&lt;&gt;"",SUM(VALUE(_xlfn.TEXTSPLIT(AS401, ","))), SUM(VALUE(_xlfn.TEXTSPLIT(AP401, ",")))*IF(P401, P401, 1))/16, 1), "#,##0.0"), " tiles{}")</f>
        <v>{BLACK}Length: {GOLD}2.3 tiles{}</v>
      </c>
      <c r="CI401" s="1" t="str">
        <f aca="false">IF(0, VLOOKUP($CG401, Constants!$M:$N, 2, FALSE()),"")</f>
        <v/>
      </c>
      <c r="CJ401" s="1" t="str">
        <f aca="false">IF(P401&gt;1,_xlfn.CONCAT("{BLACK}Cars: {GOLD}", P401),"")</f>
        <v>{BLACK}Cars: {GOLD}4</v>
      </c>
      <c r="CK401" s="1" t="s">
        <v>1525</v>
      </c>
      <c r="CL401" s="1" t="str">
        <f aca="false">IF($BX401="concept_trains","{GREEN}Concept Vehicle",IF($BX401="!param_no_gameplay_units","{GREEN}Included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{YELLOW}35% penalty for long distance travel{}</v>
      </c>
      <c r="CN401" s="1" t="str">
        <f aca="false">_xlfn.CONCAT(CI401,IF(CI401&lt;&gt;""," ",""),CJ401,IF(OR(CJ401&lt;&gt;"",CI401&lt;&gt;""),"{}",""),CH401,CM401,"{SILVER}",CK401,IF(CL401&lt;&gt;"","{}{}",""),CL401)</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402" customFormat="false" ht="14.25" hidden="false" customHeight="false" outlineLevel="0" collapsed="false">
      <c r="A402" s="1" t="s">
        <v>1526</v>
      </c>
      <c r="B402" s="15" t="s">
        <v>1527</v>
      </c>
      <c r="C402" s="1" t="n">
        <v>299</v>
      </c>
      <c r="D402" s="1" t="n">
        <v>4300</v>
      </c>
      <c r="E402" s="1" t="n">
        <v>613</v>
      </c>
      <c r="G402" s="1" t="str">
        <f aca="false">IF($F402&lt;&gt;"",_xlfn.CONCAT(VLOOKUP($CE402, Constants!$T:$U, 2, FALSE()),",",$F402),VLOOKUP($CE402, Constants!$T:$U, 2, FALSE()))</f>
        <v>role/passenger</v>
      </c>
      <c r="H402" s="1" t="str">
        <f aca="false">IF($G402&lt;&gt;"",_xlfn.CONCAT(VLOOKUP($CG402, Constants!$M:$P, 4, FALSE()),",",$G402),VLOOKUP($CG402, Constants!$M:$P, 4, FALSE()))</f>
        <v>flag/GB,power/electric,role/passenger</v>
      </c>
      <c r="I402" s="1" t="s">
        <v>241</v>
      </c>
      <c r="J402" s="1" t="s">
        <v>466</v>
      </c>
      <c r="K402" s="1" t="s">
        <v>1481</v>
      </c>
      <c r="L402" s="1" t="s">
        <v>1482</v>
      </c>
      <c r="M402" s="1" t="n">
        <v>1970</v>
      </c>
      <c r="O402" s="1" t="n">
        <v>2014</v>
      </c>
      <c r="P402" s="1" t="n">
        <v>2</v>
      </c>
      <c r="Q402" s="1" t="n">
        <v>580</v>
      </c>
      <c r="Z402" s="1" t="n">
        <f aca="false">31+20</f>
        <v>51</v>
      </c>
      <c r="AB402" s="1" t="n">
        <v>10</v>
      </c>
      <c r="AC402" s="1" t="n">
        <v>40</v>
      </c>
      <c r="AD402" s="4" t="n">
        <f aca="false">IF(AND(Z402&gt;0,AC402&gt;0),(AC402/((Z402+AA402)*10)),"")</f>
        <v>0.0784313725490196</v>
      </c>
      <c r="AE402" s="1" t="n">
        <v>45</v>
      </c>
      <c r="AF402" s="1" t="n">
        <f aca="false">ROUND(AE402*1.6, 0)</f>
        <v>72</v>
      </c>
      <c r="AH402" s="1" t="n">
        <v>16</v>
      </c>
      <c r="AI402" s="1" t="n">
        <v>16</v>
      </c>
      <c r="AJ402" s="1" t="n">
        <v>2.92</v>
      </c>
      <c r="AK402" s="1" t="n">
        <v>3.68</v>
      </c>
      <c r="AL402" s="5" t="n">
        <v>135</v>
      </c>
      <c r="AM402" s="1" t="str">
        <f aca="false">CONCATENATE(VLOOKUP(AN402, 'Voxel Sizes'!$A$2:$B$18,2,FALSE()),"x",INT(AJ402*15), "x", INT(AK402*15))</f>
        <v>152x43x55</v>
      </c>
      <c r="AN402" s="1" t="n">
        <f aca="false">ROUND(15*((AI402*10)/256),0)</f>
        <v>9</v>
      </c>
      <c r="AP402" s="1" t="str">
        <f aca="false">CONCATENATE(VLOOKUP(AN402,Constants!$A$2:$C$16,IF(AO402&lt;&gt;"", 3, 2), FALSE()),IF(AO402&lt;&gt;"",CONCATENATE(",",VLOOKUP(AO402,$B:$AP,41,FALSE())),""))</f>
        <v>2,5,2</v>
      </c>
      <c r="AT402" s="1" t="s">
        <v>1528</v>
      </c>
      <c r="AV402" s="1" t="s">
        <v>815</v>
      </c>
      <c r="AW402" s="1" t="s">
        <v>1529</v>
      </c>
      <c r="AZ402" s="1" t="n">
        <v>38</v>
      </c>
      <c r="BA402" s="16" t="n">
        <f aca="false">IF(O402&lt;&gt;"",MAX(16,(O402-M402)+8),"")</f>
        <v>52</v>
      </c>
      <c r="BB402" s="1" t="n">
        <v>-25</v>
      </c>
      <c r="BD402" s="1" t="n">
        <f aca="false">MIN(AE402/150, 1)*30</f>
        <v>9</v>
      </c>
      <c r="BE402" s="1" t="n">
        <f aca="false">MIN(Q402/4000, 1)*20</f>
        <v>2.9</v>
      </c>
      <c r="BF402" s="1" t="n">
        <f aca="false">MIN(AC402/400,1)*20</f>
        <v>2</v>
      </c>
      <c r="BG402" s="4" t="n">
        <f aca="false">1-(MAX(M402-1900, 0)/750)</f>
        <v>0.906666666666667</v>
      </c>
      <c r="BH402" s="1" t="n">
        <f aca="false">((MAX($P402,1)*MIN($AL402/300,1)))*IF(J402="Wagon",50,10)</f>
        <v>9</v>
      </c>
      <c r="BI402" s="1" t="n">
        <f aca="false">VLOOKUP($K402,Constants!$I:$K, 2, FALSE())</f>
        <v>0.9</v>
      </c>
      <c r="BJ402" s="1" t="n">
        <f aca="false">VLOOKUP($K402,Constants!$I:$K, 3, FALSE())*IF(AND(J402="multiple_unit",AE402&lt;110),0.75,1)</f>
        <v>1.2</v>
      </c>
      <c r="BK402" s="1" t="n">
        <f aca="false">INT(POWER(((Constants!$G$2+$BD402+$BE402+$BF402+$BH402)*$BG402)*$BJ402, 1.05))+$BC402</f>
        <v>36</v>
      </c>
      <c r="BL402" s="1" t="n">
        <f aca="false">INT(POWER((((Constants!$G$1+$BD402+$BE402+$BF402+$BH402)*($BG402))*$BI402),IF($J402="wagon",1,1.2)))+$BB402</f>
        <v>36</v>
      </c>
      <c r="BM402" s="17" t="n">
        <f aca="false">BK402*IF($J402="wagon",62.5,781.25)</f>
        <v>28125</v>
      </c>
      <c r="BN402" s="17" t="n">
        <f aca="false">BL402*IF($J402="wagon",2.73,81.25)</f>
        <v>2925</v>
      </c>
      <c r="BT402" s="32" t="s">
        <v>1530</v>
      </c>
      <c r="BU402" s="1" t="str">
        <f aca="false">IF(J402="locomotive","B","")</f>
        <v/>
      </c>
      <c r="BV402" s="1" t="str">
        <f aca="false">IF(OR($J402="locomotive",$J402="wagon"),"B","")</f>
        <v/>
      </c>
      <c r="BX402" s="1" t="s">
        <v>691</v>
      </c>
      <c r="BY402" s="1" t="n">
        <v>8</v>
      </c>
      <c r="BZ402" s="1" t="n">
        <v>120</v>
      </c>
      <c r="CC402" s="1" t="s">
        <v>367</v>
      </c>
      <c r="CD402" s="1" t="str">
        <f aca="false">VLOOKUP(M402,Eras!$A$2:$C$10, 2, TRUE())</f>
        <v>lbr</v>
      </c>
      <c r="CE402" s="1" t="s">
        <v>1483</v>
      </c>
      <c r="CF402" s="1" t="str">
        <f aca="false">CONCATENATE(CD402,"_",CE402)</f>
        <v>lbr_LU</v>
      </c>
      <c r="CG402" s="1" t="str">
        <f aca="false">_xlfn.CONCAT(K402, "_",L402)</f>
        <v>tube_FOURTH_RAIL</v>
      </c>
      <c r="CH402" s="7" t="str">
        <f aca="false">_xlfn.CONCAT("{BLACK}Length: {GOLD}", TEXT(ROUNDUP(IF(AS402&lt;&gt;"",SUM(VALUE(_xlfn.TEXTSPLIT(AS402, ","))), SUM(VALUE(_xlfn.TEXTSPLIT(AP402, ",")))*IF(P402, P402, 1))/16, 1), "#,##0.0"), " tiles{}")</f>
        <v>{BLACK}Length: {GOLD}1.2 tiles{}</v>
      </c>
      <c r="CI402" s="1" t="str">
        <f aca="false">IF(0, VLOOKUP($CG402, Constants!$M:$N, 2, FALSE()),"")</f>
        <v/>
      </c>
      <c r="CJ402" s="1" t="str">
        <f aca="false">IF(P402&gt;1,_xlfn.CONCAT("{BLACK}Cars: {GOLD}", P402),"")</f>
        <v>{BLACK}Cars: {GOLD}2</v>
      </c>
      <c r="CK402" s="1" t="s">
        <v>1531</v>
      </c>
      <c r="CL402" s="1" t="str">
        <f aca="false">IF($BX402="concept_trains","{GREEN}Concept Vehicle",IF($BX402="!param_no_gameplay_units","{GREEN}Included for gameplay purposes",""))</f>
        <v>{GREEN}Concept Vehicle</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{YELLOW}35% penalty for long distance travel{}</v>
      </c>
      <c r="CN402" s="1" t="str">
        <f aca="false">_xlfn.CONCAT(CI402,IF(CI402&lt;&gt;""," ",""),CJ402,IF(OR(CJ402&lt;&gt;"",CI402&lt;&gt;""),"{}",""),CH402,CM402,"{SILVER}",CK402,IF(CL402&lt;&gt;"","{}{}",""),CL402)</f>
        <v>{BLACK}Cars: {GOLD}2{}{BLACK}Length: {GOLD}1.2 tiles{}{YELLOW}35% penalty for long distance travel{}{SILVER}The C69 stock is a larger sub-surface unit. This is a fictitious 2 car unit with cabs on both ends. In practice, each unit had a single cab and was exclusively operated in multiples of 2 or 3 to provide a cab on each end.{}{}{GREEN}Concept Vehicle</v>
      </c>
    </row>
    <row r="403" customFormat="false" ht="14.25" hidden="false" customHeight="false" outlineLevel="0" collapsed="false">
      <c r="A403" s="1" t="s">
        <v>1526</v>
      </c>
      <c r="B403" s="15" t="s">
        <v>1532</v>
      </c>
      <c r="C403" s="1" t="n">
        <v>4299</v>
      </c>
      <c r="D403" s="1" t="n">
        <v>4300</v>
      </c>
      <c r="E403" s="1" t="n">
        <v>614</v>
      </c>
      <c r="G403" s="1" t="str">
        <f aca="false">IF($F403&lt;&gt;"",_xlfn.CONCAT(VLOOKUP($CE403, Constants!$T:$U, 2, FALSE()),",",$F403),VLOOKUP($CE403, Constants!$T:$U, 2, FALSE()))</f>
        <v>role/passenger</v>
      </c>
      <c r="H403" s="1" t="str">
        <f aca="false">IF($G403&lt;&gt;"",_xlfn.CONCAT(VLOOKUP($CG403, Constants!$M:$P, 4, FALSE()),",",$G403),VLOOKUP($CG403, Constants!$M:$P, 4, FALSE()))</f>
        <v>flag/GB,power/electric,role/passenger</v>
      </c>
      <c r="I403" s="1" t="s">
        <v>241</v>
      </c>
      <c r="J403" s="1" t="s">
        <v>466</v>
      </c>
      <c r="K403" s="1" t="s">
        <v>1481</v>
      </c>
      <c r="L403" s="1" t="s">
        <v>1482</v>
      </c>
      <c r="M403" s="1" t="n">
        <v>1970</v>
      </c>
      <c r="O403" s="1" t="n">
        <v>2014</v>
      </c>
      <c r="P403" s="1" t="n">
        <v>4</v>
      </c>
      <c r="Q403" s="1" t="n">
        <f aca="false">580*2</f>
        <v>1160</v>
      </c>
      <c r="Z403" s="1" t="n">
        <f aca="false">(31+20)*2</f>
        <v>102</v>
      </c>
      <c r="AB403" s="1" t="n">
        <v>10</v>
      </c>
      <c r="AC403" s="1" t="n">
        <v>40</v>
      </c>
      <c r="AD403" s="4" t="n">
        <f aca="false">IF(AND(Z403&gt;0,AC403&gt;0),(AC403/((Z403+AA403)*10)),"")</f>
        <v>0.0392156862745098</v>
      </c>
      <c r="AE403" s="1" t="n">
        <v>45</v>
      </c>
      <c r="AF403" s="1" t="n">
        <f aca="false">ROUND(AE403*1.6, 0)</f>
        <v>72</v>
      </c>
      <c r="AH403" s="1" t="n">
        <v>16</v>
      </c>
      <c r="AI403" s="1" t="n">
        <v>16</v>
      </c>
      <c r="AJ403" s="1" t="n">
        <v>2.92</v>
      </c>
      <c r="AK403" s="1" t="n">
        <v>3.68</v>
      </c>
      <c r="AL403" s="5" t="n">
        <v>135</v>
      </c>
      <c r="AM403" s="1" t="str">
        <f aca="false">CONCATENATE(VLOOKUP(AN403, 'Voxel Sizes'!$A$2:$B$18,2,FALSE()),"x",INT(AJ403*15), "x", INT(AK403*15))</f>
        <v>152x43x55</v>
      </c>
      <c r="AN403" s="1" t="n">
        <f aca="false">ROUND(15*((AI403*10)/256),0)</f>
        <v>9</v>
      </c>
      <c r="AP403" s="1" t="str">
        <f aca="false">CONCATENATE(VLOOKUP(AN403,Constants!$A$2:$C$16,IF(AO403&lt;&gt;"", 3, 2), FALSE()),IF(AO403&lt;&gt;"",CONCATENATE(",",VLOOKUP(AO403,$B:$AP,41,FALSE())),""))</f>
        <v>2,5,2</v>
      </c>
      <c r="AT403" s="1" t="s">
        <v>1533</v>
      </c>
      <c r="AV403" s="1" t="s">
        <v>972</v>
      </c>
      <c r="AW403" s="1" t="s">
        <v>1529</v>
      </c>
      <c r="AZ403" s="1" t="n">
        <v>38</v>
      </c>
      <c r="BA403" s="16" t="n">
        <f aca="false">IF(O403&lt;&gt;"",MAX(16,(O403-M403)+8),"")</f>
        <v>52</v>
      </c>
      <c r="BB403" s="1" t="n">
        <v>-25</v>
      </c>
      <c r="BD403" s="1" t="n">
        <f aca="false">MIN(AE403/150, 1)*30</f>
        <v>9</v>
      </c>
      <c r="BE403" s="1" t="n">
        <f aca="false">MIN(Q403/4000, 1)*20</f>
        <v>5.8</v>
      </c>
      <c r="BF403" s="1" t="n">
        <f aca="false">MIN(AC403/400,1)*20</f>
        <v>2</v>
      </c>
      <c r="BG403" s="4" t="n">
        <f aca="false">1-(MAX(M403-1900, 0)/750)</f>
        <v>0.906666666666667</v>
      </c>
      <c r="BH403" s="1" t="n">
        <f aca="false">((MAX($P403,1)*MIN($AL403/300,1)))*IF(J403="Wagon",50,10)</f>
        <v>18</v>
      </c>
      <c r="BI403" s="1" t="n">
        <f aca="false">VLOOKUP($K403,Constants!$I:$K, 2, FALSE())</f>
        <v>0.9</v>
      </c>
      <c r="BJ403" s="1" t="n">
        <f aca="false">VLOOKUP($K403,Constants!$I:$K, 3, FALSE())*IF(AND(J403="multiple_unit",AE403&lt;110),0.75,1)</f>
        <v>1.2</v>
      </c>
      <c r="BK403" s="1" t="n">
        <f aca="false">INT(POWER(((Constants!$G$2+$BD403+$BE403+$BF403+$BH403)*$BG403)*$BJ403, 1.05))+$BC403</f>
        <v>52</v>
      </c>
      <c r="BL403" s="1" t="n">
        <f aca="false">INT(POWER((((Constants!$G$1+$BD403+$BE403+$BF403+$BH403)*($BG403))*$BI403),IF($J403="wagon",1,1.2)))+$BB403</f>
        <v>60</v>
      </c>
      <c r="BM403" s="17" t="n">
        <f aca="false">BK403*IF($J403="wagon",62.5,781.25)</f>
        <v>40625</v>
      </c>
      <c r="BN403" s="17" t="n">
        <f aca="false">BL403*IF($J403="wagon",2.73,81.25)</f>
        <v>4875</v>
      </c>
      <c r="BT403" s="32" t="s">
        <v>1530</v>
      </c>
      <c r="BU403" s="1" t="str">
        <f aca="false">IF(J403="locomotive","B","")</f>
        <v/>
      </c>
      <c r="BV403" s="1" t="str">
        <f aca="false">IF(OR($J403="locomotive",$J403="wagon"),"B","")</f>
        <v/>
      </c>
      <c r="BY403" s="1" t="n">
        <v>8</v>
      </c>
      <c r="BZ403" s="1" t="n">
        <v>120</v>
      </c>
      <c r="CC403" s="1" t="s">
        <v>367</v>
      </c>
      <c r="CD403" s="1" t="str">
        <f aca="false">VLOOKUP(M403,Eras!$A$2:$C$10, 2, TRUE())</f>
        <v>lbr</v>
      </c>
      <c r="CE403" s="1" t="s">
        <v>1483</v>
      </c>
      <c r="CF403" s="1" t="str">
        <f aca="false">CONCATENATE(CD403,"_",CE403)</f>
        <v>lbr_LU</v>
      </c>
      <c r="CG403" s="1" t="str">
        <f aca="false">_xlfn.CONCAT(K403, "_",L403)</f>
        <v>tube_FOURTH_RAIL</v>
      </c>
      <c r="CH403" s="7" t="str">
        <f aca="false">_xlfn.CONCAT("{BLACK}Length: {GOLD}", TEXT(ROUNDUP(IF(AS403&lt;&gt;"",SUM(VALUE(_xlfn.TEXTSPLIT(AS403, ","))), SUM(VALUE(_xlfn.TEXTSPLIT(AP403, ",")))*IF(P403, P403, 1))/16, 1), "#,##0.0"), " tiles{}")</f>
        <v>{BLACK}Length: {GOLD}2.3 tiles{}</v>
      </c>
      <c r="CI403" s="1" t="str">
        <f aca="false">IF(0, VLOOKUP($CG403, Constants!$M:$N, 2, FALSE()),"")</f>
        <v/>
      </c>
      <c r="CJ403" s="1" t="str">
        <f aca="false">IF(P403&gt;1,_xlfn.CONCAT("{BLACK}Cars: {GOLD}", P403),"")</f>
        <v>{BLACK}Cars: {GOLD}4</v>
      </c>
      <c r="CK403" s="1" t="s">
        <v>1534</v>
      </c>
      <c r="CL403" s="1" t="str">
        <f aca="false">IF($BX403="concept_trains","{GREEN}Concept Vehicle",IF($BX403="!param_no_gameplay_units","{GREEN}Included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{YELLOW}35% penalty for long distance travel{}</v>
      </c>
      <c r="CN403" s="1" t="str">
        <f aca="false">_xlfn.CONCAT(CI403,IF(CI403&lt;&gt;""," ",""),CJ403,IF(OR(CJ403&lt;&gt;"",CI403&lt;&gt;""),"{}",""),CH403,CM403,"{SILVER}",CK403,IF(CL403&lt;&gt;"","{}{}",""),CL403)</f>
        <v>{BLACK}Cars: {GOLD}4{}{BLACK}Length: {GOLD}2.3 tiles{}{YELLOW}35% penalty for long distance travel{}{SILVER}The C69 stock is a larger sub-surface unit, used on the District, Circle, and Hammersmith&amp;City lines where 3 units were coupled to form a 6-car train. Despite the name, late trials meant it wasn't introduced until 1970.</v>
      </c>
    </row>
    <row r="404" customFormat="false" ht="14.25" hidden="false" customHeight="false" outlineLevel="0" collapsed="false">
      <c r="A404" s="1" t="s">
        <v>1526</v>
      </c>
      <c r="B404" s="15" t="s">
        <v>1535</v>
      </c>
      <c r="C404" s="1" t="n">
        <v>4300</v>
      </c>
      <c r="E404" s="1" t="n">
        <v>615</v>
      </c>
      <c r="G404" s="1" t="str">
        <f aca="false">IF($F404&lt;&gt;"",_xlfn.CONCAT(VLOOKUP($CE404, Constants!$T:$U, 2, FALSE()),",",$F404),VLOOKUP($CE404, Constants!$T:$U, 2, FALSE()))</f>
        <v>role/passenger</v>
      </c>
      <c r="H404" s="1" t="str">
        <f aca="false">IF($G404&lt;&gt;"",_xlfn.CONCAT(VLOOKUP($CG404, Constants!$M:$P, 4, FALSE()),",",$G404),VLOOKUP($CG404, Constants!$M:$P, 4, FALSE()))</f>
        <v>flag/GB,power/electric,role/passenger</v>
      </c>
      <c r="I404" s="1" t="s">
        <v>241</v>
      </c>
      <c r="J404" s="1" t="s">
        <v>466</v>
      </c>
      <c r="K404" s="1" t="s">
        <v>1481</v>
      </c>
      <c r="L404" s="1" t="s">
        <v>1482</v>
      </c>
      <c r="M404" s="1" t="n">
        <v>1970</v>
      </c>
      <c r="O404" s="1" t="n">
        <v>2014</v>
      </c>
      <c r="P404" s="1" t="n">
        <v>6</v>
      </c>
      <c r="Q404" s="1" t="n">
        <f aca="false">580*3</f>
        <v>1740</v>
      </c>
      <c r="Z404" s="1" t="n">
        <f aca="false">(31+20)*3</f>
        <v>153</v>
      </c>
      <c r="AB404" s="1" t="n">
        <v>10</v>
      </c>
      <c r="AC404" s="1" t="n">
        <v>40</v>
      </c>
      <c r="AD404" s="4" t="n">
        <f aca="false">IF(AND(Z404&gt;0,AC404&gt;0),(AC404/((Z404+AA404)*10)),"")</f>
        <v>0.0261437908496732</v>
      </c>
      <c r="AE404" s="1" t="n">
        <v>45</v>
      </c>
      <c r="AF404" s="1" t="n">
        <f aca="false">ROUND(AE404*1.6, 0)</f>
        <v>72</v>
      </c>
      <c r="AH404" s="1" t="n">
        <v>16</v>
      </c>
      <c r="AI404" s="1" t="n">
        <v>16</v>
      </c>
      <c r="AJ404" s="1" t="n">
        <v>2.92</v>
      </c>
      <c r="AK404" s="1" t="n">
        <v>3.68</v>
      </c>
      <c r="AL404" s="5" t="n">
        <v>135</v>
      </c>
      <c r="AM404" s="1" t="str">
        <f aca="false">CONCATENATE(VLOOKUP(AN404, 'Voxel Sizes'!$A$2:$B$18,2,FALSE()),"x",INT(AJ404*15), "x", INT(AK404*15))</f>
        <v>152x43x55</v>
      </c>
      <c r="AN404" s="1" t="n">
        <f aca="false">ROUND(15*((AI404*10)/256),0)</f>
        <v>9</v>
      </c>
      <c r="AP404" s="1" t="str">
        <f aca="false">CONCATENATE(VLOOKUP(AN404,Constants!$A$2:$C$16,IF(AO404&lt;&gt;"", 3, 2), FALSE()),IF(AO404&lt;&gt;"",CONCATENATE(",",VLOOKUP(AO404,$B:$AP,41,FALSE())),""))</f>
        <v>2,5,2</v>
      </c>
      <c r="AT404" s="1" t="s">
        <v>1536</v>
      </c>
      <c r="AV404" s="1" t="s">
        <v>894</v>
      </c>
      <c r="AW404" s="1" t="s">
        <v>1529</v>
      </c>
      <c r="AZ404" s="1" t="n">
        <v>38</v>
      </c>
      <c r="BA404" s="16" t="n">
        <f aca="false">IF(O404&lt;&gt;"",MAX(16,(O404-M404)+8),"")</f>
        <v>52</v>
      </c>
      <c r="BB404" s="1" t="n">
        <v>-25</v>
      </c>
      <c r="BD404" s="1" t="n">
        <f aca="false">MIN(AE404/150, 1)*30</f>
        <v>9</v>
      </c>
      <c r="BE404" s="1" t="n">
        <f aca="false">MIN(Q404/4000, 1)*20</f>
        <v>8.7</v>
      </c>
      <c r="BF404" s="1" t="n">
        <f aca="false">MIN(AC404/400,1)*20</f>
        <v>2</v>
      </c>
      <c r="BG404" s="4" t="n">
        <f aca="false">1-(MAX(M404-1900, 0)/750)</f>
        <v>0.906666666666667</v>
      </c>
      <c r="BH404" s="1" t="n">
        <f aca="false">((MAX($P404,1)*MIN($AL404/300,1)))*IF(J404="Wagon",50,10)</f>
        <v>27</v>
      </c>
      <c r="BI404" s="1" t="n">
        <f aca="false">VLOOKUP($K404,Constants!$I:$K, 2, FALSE())</f>
        <v>0.9</v>
      </c>
      <c r="BJ404" s="1" t="n">
        <f aca="false">VLOOKUP($K404,Constants!$I:$K, 3, FALSE())*IF(AND(J404="multiple_unit",AE404&lt;110),0.75,1)</f>
        <v>1.2</v>
      </c>
      <c r="BK404" s="1" t="n">
        <f aca="false">INT(POWER(((Constants!$G$2+$BD404+$BE404+$BF404+$BH404)*$BG404)*$BJ404, 1.05))+$BC404</f>
        <v>68</v>
      </c>
      <c r="BL404" s="1" t="n">
        <f aca="false">INT(POWER((((Constants!$G$1+$BD404+$BE404+$BF404+$BH404)*($BG404))*$BI404),IF($J404="wagon",1,1.2)))+$BB404</f>
        <v>85</v>
      </c>
      <c r="BM404" s="17" t="n">
        <f aca="false">BK404*IF($J404="wagon",62.5,781.25)</f>
        <v>53125</v>
      </c>
      <c r="BN404" s="17" t="n">
        <f aca="false">BL404*IF($J404="wagon",2.73,81.25)</f>
        <v>6906.25</v>
      </c>
      <c r="BT404" s="32" t="s">
        <v>1530</v>
      </c>
      <c r="BU404" s="1" t="str">
        <f aca="false">IF(J404="locomotive","B","")</f>
        <v/>
      </c>
      <c r="BV404" s="1" t="str">
        <f aca="false">IF(OR($J404="locomotive",$J404="wagon"),"B","")</f>
        <v/>
      </c>
      <c r="BY404" s="1" t="n">
        <v>8</v>
      </c>
      <c r="BZ404" s="1" t="n">
        <v>120</v>
      </c>
      <c r="CC404" s="1" t="s">
        <v>367</v>
      </c>
      <c r="CD404" s="1" t="str">
        <f aca="false">VLOOKUP(M404,Eras!$A$2:$C$10, 2, TRUE())</f>
        <v>lbr</v>
      </c>
      <c r="CE404" s="1" t="s">
        <v>1483</v>
      </c>
      <c r="CF404" s="1" t="str">
        <f aca="false">CONCATENATE(CD404,"_",CE404)</f>
        <v>lbr_LU</v>
      </c>
      <c r="CG404" s="1" t="str">
        <f aca="false">_xlfn.CONCAT(K404, "_",L404)</f>
        <v>tube_FOURTH_RAIL</v>
      </c>
      <c r="CH404" s="7" t="str">
        <f aca="false">_xlfn.CONCAT("{BLACK}Length: {GOLD}", TEXT(ROUNDUP(IF(AS404&lt;&gt;"",SUM(VALUE(_xlfn.TEXTSPLIT(AS404, ","))), SUM(VALUE(_xlfn.TEXTSPLIT(AP404, ",")))*IF(P404, P404, 1))/16, 1), "#,##0.0"), " tiles{}")</f>
        <v>{BLACK}Length: {GOLD}3.4 tiles{}</v>
      </c>
      <c r="CI404" s="1" t="str">
        <f aca="false">IF(0, VLOOKUP($CG404, Constants!$M:$N, 2, FALSE()),"")</f>
        <v/>
      </c>
      <c r="CJ404" s="1" t="str">
        <f aca="false">IF(P404&gt;1,_xlfn.CONCAT("{BLACK}Cars: {GOLD}", P404),"")</f>
        <v>{BLACK}Cars: {GOLD}6</v>
      </c>
      <c r="CK404" s="1" t="s">
        <v>1534</v>
      </c>
      <c r="CL404" s="1" t="str">
        <f aca="false">IF($BX404="concept_trains","{GREEN}Concept Vehicle",IF($BX404="!param_no_gameplay_units","{GREEN}Included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{YELLOW}35% penalty for long distance travel{}</v>
      </c>
      <c r="CN404" s="1" t="str">
        <f aca="false">_xlfn.CONCAT(CI404,IF(CI404&lt;&gt;""," ",""),CJ404,IF(OR(CJ404&lt;&gt;"",CI404&lt;&gt;""),"{}",""),CH404,CM404,"{SILVER}",CK404,IF(CL404&lt;&gt;"","{}{}",""),CL404)</f>
        <v>{BLACK}Cars: {GOLD}6{}{BLACK}Length: {GOLD}3.4 tiles{}{YELLOW}35% penalty for long distance travel{}{SILVER}The C69 stock is a larger sub-surface unit, used on the District, Circle, and Hammersmith&amp;City lines where 3 units were coupled to form a 6-car train. Despite the name, late trials meant it wasn't introduced until 1970.</v>
      </c>
    </row>
    <row r="405" customFormat="false" ht="14.25" hidden="false" customHeight="false" outlineLevel="0" collapsed="false">
      <c r="A405" s="1" t="s">
        <v>1537</v>
      </c>
      <c r="B405" s="15" t="s">
        <v>1538</v>
      </c>
      <c r="C405" s="1" t="n">
        <v>300</v>
      </c>
      <c r="E405" s="1" t="n">
        <v>616</v>
      </c>
      <c r="G405" s="1" t="str">
        <f aca="false">IF($F405&lt;&gt;"",_xlfn.CONCAT(VLOOKUP($CE405, Constants!$T:$U, 2, FALSE()),",",$F405),VLOOKUP($CE405, Constants!$T:$U, 2, FALSE()))</f>
        <v>role/passenger</v>
      </c>
      <c r="H405" s="1" t="str">
        <f aca="false">IF($G405&lt;&gt;"",_xlfn.CONCAT(VLOOKUP($CG405, Constants!$M:$P, 4, FALSE()),",",$G405),VLOOKUP($CG405, Constants!$M:$P, 4, FALSE()))</f>
        <v>flag/GB,power/electric,role/passenger</v>
      </c>
      <c r="I405" s="1" t="s">
        <v>241</v>
      </c>
      <c r="J405" s="1" t="s">
        <v>466</v>
      </c>
      <c r="K405" s="1" t="s">
        <v>1481</v>
      </c>
      <c r="L405" s="1" t="s">
        <v>1482</v>
      </c>
      <c r="M405" s="1" t="n">
        <v>1975</v>
      </c>
      <c r="P405" s="1" t="n">
        <v>3</v>
      </c>
      <c r="Q405" s="1" t="n">
        <v>930</v>
      </c>
      <c r="Z405" s="1" t="n">
        <f aca="false">27+26+18</f>
        <v>71</v>
      </c>
      <c r="AB405" s="1" t="n">
        <v>10</v>
      </c>
      <c r="AC405" s="1" t="n">
        <v>55</v>
      </c>
      <c r="AD405" s="4" t="n">
        <f aca="false">IF(AND(Z405&gt;0,AC405&gt;0),(AC405/((Z405+AA405)*10)),"")</f>
        <v>0.0774647887323944</v>
      </c>
      <c r="AE405" s="1" t="n">
        <v>45</v>
      </c>
      <c r="AF405" s="1" t="n">
        <f aca="false">ROUND(AE405*1.6, 0)</f>
        <v>72</v>
      </c>
      <c r="AH405" s="1" t="n">
        <v>17.47</v>
      </c>
      <c r="AI405" s="1" t="n">
        <v>17</v>
      </c>
      <c r="AJ405" s="1" t="n">
        <v>2.62</v>
      </c>
      <c r="AK405" s="1" t="n">
        <v>2.88</v>
      </c>
      <c r="AL405" s="5" t="n">
        <v>114</v>
      </c>
      <c r="AM405" s="1" t="str">
        <f aca="false">CONCATENATE(VLOOKUP(AN405, 'Voxel Sizes'!$A$2:$B$18,2,FALSE()),"x",INT(AJ405*15), "x", INT(AK405*15))</f>
        <v>164x39x43</v>
      </c>
      <c r="AN405" s="1" t="n">
        <f aca="false">ROUND(15*((AI405*10)/256),0)</f>
        <v>10</v>
      </c>
      <c r="AP405" s="1" t="str">
        <f aca="false">CONCATENATE(VLOOKUP(AN405,Constants!$A$2:$C$16,IF(AO405&lt;&gt;"", 3, 2), FALSE()),IF(AO405&lt;&gt;"",CONCATENATE(",",VLOOKUP(AO405,$B:$AP,41,FALSE())),""))</f>
        <v>4,2,4</v>
      </c>
      <c r="AT405" s="1" t="s">
        <v>1539</v>
      </c>
      <c r="AV405" s="1" t="s">
        <v>468</v>
      </c>
      <c r="AZ405" s="1" t="n">
        <v>39</v>
      </c>
      <c r="BA405" s="16" t="str">
        <f aca="false">IF(O405&lt;&gt;"",MAX(16,(O405-M405)+8),"")</f>
        <v/>
      </c>
      <c r="BB405" s="1" t="n">
        <v>-25</v>
      </c>
      <c r="BD405" s="1" t="n">
        <f aca="false">MIN(AE405/150, 1)*30</f>
        <v>9</v>
      </c>
      <c r="BE405" s="1" t="n">
        <f aca="false">MIN(Q405/4000, 1)*20</f>
        <v>4.65</v>
      </c>
      <c r="BF405" s="1" t="n">
        <f aca="false">MIN(AC405/400,1)*20</f>
        <v>2.75</v>
      </c>
      <c r="BG405" s="4" t="n">
        <f aca="false">1-(MAX(M405-1900, 0)/750)</f>
        <v>0.9</v>
      </c>
      <c r="BH405" s="1" t="n">
        <f aca="false">((MAX($P405,1)*MIN($AL405/300,1)))*IF(J405="Wagon",50,10)</f>
        <v>11.4</v>
      </c>
      <c r="BI405" s="1" t="n">
        <f aca="false">VLOOKUP($K405,Constants!$I:$K, 2, FALSE())</f>
        <v>0.9</v>
      </c>
      <c r="BJ405" s="1" t="n">
        <f aca="false">VLOOKUP($K405,Constants!$I:$K, 3, FALSE())*IF(AND(J405="multiple_unit",AE405&lt;110),0.75,1)</f>
        <v>1.2</v>
      </c>
      <c r="BK405" s="1" t="n">
        <f aca="false">INT(POWER(((Constants!$G$2+$BD405+$BE405+$BF405+$BH405)*$BG405)*$BJ405, 1.05))+$BC405</f>
        <v>42</v>
      </c>
      <c r="BL405" s="1" t="n">
        <f aca="false">INT(POWER((((Constants!$G$1+$BD405+$BE405+$BF405+$BH405)*($BG405))*$BI405),IF($J405="wagon",1,1.2)))+$BB405</f>
        <v>45</v>
      </c>
      <c r="BM405" s="17" t="n">
        <f aca="false">BK405*IF($J405="wagon",62.5,781.25)</f>
        <v>32812.5</v>
      </c>
      <c r="BN405" s="17" t="n">
        <f aca="false">BL405*IF($J405="wagon",2.73,81.25)</f>
        <v>3656.25</v>
      </c>
      <c r="BU405" s="1" t="str">
        <f aca="false">IF(J405="locomotive","B","")</f>
        <v/>
      </c>
      <c r="BV405" s="1" t="str">
        <f aca="false">IF(OR($J405="locomotive",$J405="wagon"),"B","")</f>
        <v/>
      </c>
      <c r="BY405" s="1" t="n">
        <v>9</v>
      </c>
      <c r="BZ405" s="1" t="n">
        <v>120</v>
      </c>
      <c r="CC405" s="1" t="s">
        <v>367</v>
      </c>
      <c r="CD405" s="1" t="str">
        <f aca="false">VLOOKUP(M405,Eras!$A$2:$C$10, 2, TRUE())</f>
        <v>lbr</v>
      </c>
      <c r="CE405" s="1" t="s">
        <v>1483</v>
      </c>
      <c r="CF405" s="1" t="str">
        <f aca="false">CONCATENATE(CD405,"_",CE405)</f>
        <v>lbr_LU</v>
      </c>
      <c r="CG405" s="1" t="str">
        <f aca="false">_xlfn.CONCAT(K405, "_",L405)</f>
        <v>tube_FOURTH_RAIL</v>
      </c>
      <c r="CH405" s="7" t="str">
        <f aca="false">_xlfn.CONCAT("{BLACK}Length: {GOLD}", TEXT(ROUNDUP(IF(AS405&lt;&gt;"",SUM(VALUE(_xlfn.TEXTSPLIT(AS405, ","))), SUM(VALUE(_xlfn.TEXTSPLIT(AP405, ",")))*IF(P405, P405, 1))/16, 1), "#,##0.0"), " tiles{}")</f>
        <v>{BLACK}Length: {GOLD}1.9 tiles{}</v>
      </c>
      <c r="CI405" s="1" t="str">
        <f aca="false">IF(0, VLOOKUP($CG405, Constants!$M:$N, 2, FALSE()),"")</f>
        <v/>
      </c>
      <c r="CJ405" s="1" t="str">
        <f aca="false">IF(P405&gt;1,_xlfn.CONCAT("{BLACK}Cars: {GOLD}", P405),"")</f>
        <v>{BLACK}Cars: {GOLD}3</v>
      </c>
      <c r="CK405" s="1" t="s">
        <v>1540</v>
      </c>
      <c r="CL405" s="1" t="str">
        <f aca="false">IF($BX405="concept_trains","{GREEN}Concept Vehicle",IF($BX405="!param_no_gameplay_units","{GREEN}Included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{YELLOW}35% penalty for long distance travel{}</v>
      </c>
      <c r="CN405" s="1" t="str">
        <f aca="false">_xlfn.CONCAT(CI405,IF(CI405&lt;&gt;""," ",""),CJ405,IF(OR(CJ405&lt;&gt;"",CI405&lt;&gt;""),"{}",""),CH405,CM405,"{SILVER}",CK405,IF(CL405&lt;&gt;"","{}{}",""),CL405)</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406" customFormat="false" ht="14.25" hidden="false" customHeight="false" outlineLevel="0" collapsed="false">
      <c r="A406" s="1" t="s">
        <v>1541</v>
      </c>
      <c r="B406" s="15" t="s">
        <v>1542</v>
      </c>
      <c r="C406" s="1" t="n">
        <v>302</v>
      </c>
      <c r="D406" s="1" t="n">
        <v>4302</v>
      </c>
      <c r="E406" s="1" t="n">
        <v>617</v>
      </c>
      <c r="G406" s="1" t="str">
        <f aca="false">IF($F406&lt;&gt;"",_xlfn.CONCAT(VLOOKUP($CE406, Constants!$T:$U, 2, FALSE()),",",$F406),VLOOKUP($CE406, Constants!$T:$U, 2, FALSE()))</f>
        <v>role/passenger</v>
      </c>
      <c r="H406" s="1" t="str">
        <f aca="false">IF($G406&lt;&gt;"",_xlfn.CONCAT(VLOOKUP($CG406, Constants!$M:$P, 4, FALSE()),",",$G406),VLOOKUP($CG406, Constants!$M:$P, 4, FALSE()))</f>
        <v>flag/GB,power/electric,role/passenger</v>
      </c>
      <c r="I406" s="1" t="s">
        <v>241</v>
      </c>
      <c r="J406" s="1" t="s">
        <v>466</v>
      </c>
      <c r="K406" s="1" t="s">
        <v>1481</v>
      </c>
      <c r="L406" s="1" t="s">
        <v>1482</v>
      </c>
      <c r="M406" s="1" t="n">
        <v>1980</v>
      </c>
      <c r="O406" s="1" t="n">
        <v>2017</v>
      </c>
      <c r="P406" s="1" t="n">
        <v>3</v>
      </c>
      <c r="Q406" s="1" t="n">
        <v>980</v>
      </c>
      <c r="Z406" s="1" t="n">
        <f aca="false">27+26+18</f>
        <v>71</v>
      </c>
      <c r="AB406" s="1" t="n">
        <v>10</v>
      </c>
      <c r="AC406" s="1" t="n">
        <v>60</v>
      </c>
      <c r="AD406" s="4" t="n">
        <f aca="false">IF(AND(Z406&gt;0,AC406&gt;0),(AC406/((Z406+AA406)*10)),"")</f>
        <v>0.0845070422535211</v>
      </c>
      <c r="AE406" s="1" t="n">
        <v>50</v>
      </c>
      <c r="AF406" s="1" t="n">
        <f aca="false">ROUND(AE406*1.6, 0)</f>
        <v>80</v>
      </c>
      <c r="AH406" s="1" t="n">
        <v>18.37</v>
      </c>
      <c r="AI406" s="1" t="n">
        <v>18.37</v>
      </c>
      <c r="AJ406" s="1" t="n">
        <v>2.85</v>
      </c>
      <c r="AK406" s="1" t="n">
        <v>3.62</v>
      </c>
      <c r="AL406" s="5" t="n">
        <v>138</v>
      </c>
      <c r="AM406" s="1" t="str">
        <f aca="false">CONCATENATE(VLOOKUP(AN406, 'Voxel Sizes'!$A$2:$B$18,2,FALSE()),"x",INT(AJ406*15), "x", INT(AK406*15))</f>
        <v>186x42x54</v>
      </c>
      <c r="AN406" s="1" t="n">
        <f aca="false">ROUND(15*((AI406*10)/256),0)</f>
        <v>11</v>
      </c>
      <c r="AP406" s="1" t="str">
        <f aca="false">CONCATENATE(VLOOKUP(AN406,Constants!$A$2:$C$16,IF(AO406&lt;&gt;"", 3, 2), FALSE()),IF(AO406&lt;&gt;"",CONCATENATE(",",VLOOKUP(AO406,$B:$AP,41,FALSE())),""))</f>
        <v>4,3,4</v>
      </c>
      <c r="AT406" s="1" t="s">
        <v>1543</v>
      </c>
      <c r="AV406" s="1" t="s">
        <v>468</v>
      </c>
      <c r="AW406" s="1" t="s">
        <v>1544</v>
      </c>
      <c r="AZ406" s="1" t="n">
        <v>33</v>
      </c>
      <c r="BA406" s="16" t="n">
        <f aca="false">IF(O406&lt;&gt;"",MAX(16,(O406-M406)+8),"")</f>
        <v>45</v>
      </c>
      <c r="BB406" s="1" t="n">
        <v>-25</v>
      </c>
      <c r="BD406" s="1" t="n">
        <f aca="false">MIN(AE406/150, 1)*30</f>
        <v>10</v>
      </c>
      <c r="BE406" s="1" t="n">
        <f aca="false">MIN(Q406/4000, 1)*20</f>
        <v>4.9</v>
      </c>
      <c r="BF406" s="1" t="n">
        <f aca="false">MIN(AC406/400,1)*20</f>
        <v>3</v>
      </c>
      <c r="BG406" s="4" t="n">
        <f aca="false">1-(MAX(M406-1900, 0)/750)</f>
        <v>0.893333333333333</v>
      </c>
      <c r="BH406" s="1" t="n">
        <f aca="false">((MAX($P406,1)*MIN($AL406/300,1)))*IF(J406="Wagon",50,10)</f>
        <v>13.8</v>
      </c>
      <c r="BI406" s="1" t="n">
        <f aca="false">VLOOKUP($K406,Constants!$I:$K, 2, FALSE())</f>
        <v>0.9</v>
      </c>
      <c r="BJ406" s="1" t="n">
        <f aca="false">VLOOKUP($K406,Constants!$I:$K, 3, FALSE())*IF(AND(J406="multiple_unit",AE406&lt;110),0.75,1)</f>
        <v>1.2</v>
      </c>
      <c r="BK406" s="1" t="n">
        <f aca="false">INT(POWER(((Constants!$G$2+$BD406+$BE406+$BF406+$BH406)*$BG406)*$BJ406, 1.05))+$BC406</f>
        <v>47</v>
      </c>
      <c r="BL406" s="1" t="n">
        <f aca="false">INT(POWER((((Constants!$G$1+$BD406+$BE406+$BF406+$BH406)*($BG406))*$BI406),IF($J406="wagon",1,1.2)))+$BB406</f>
        <v>52</v>
      </c>
      <c r="BM406" s="17" t="n">
        <f aca="false">BK406*IF($J406="wagon",62.5,781.25)</f>
        <v>36718.75</v>
      </c>
      <c r="BN406" s="17" t="n">
        <f aca="false">BL406*IF($J406="wagon",2.73,81.25)</f>
        <v>4225</v>
      </c>
      <c r="BT406" s="1" t="s">
        <v>1545</v>
      </c>
      <c r="BU406" s="1" t="str">
        <f aca="false">IF(J406="locomotive","B","")</f>
        <v/>
      </c>
      <c r="BV406" s="1" t="str">
        <f aca="false">IF(OR($J406="locomotive",$J406="wagon"),"B","")</f>
        <v/>
      </c>
      <c r="BY406" s="1" t="n">
        <v>11</v>
      </c>
      <c r="BZ406" s="1" t="n">
        <v>120</v>
      </c>
      <c r="CC406" s="1" t="s">
        <v>367</v>
      </c>
      <c r="CD406" s="1" t="str">
        <f aca="false">VLOOKUP(M406,Eras!$A$2:$C$10, 2, TRUE())</f>
        <v>lbr</v>
      </c>
      <c r="CE406" s="1" t="s">
        <v>1483</v>
      </c>
      <c r="CF406" s="1" t="str">
        <f aca="false">CONCATENATE(CD406,"_",CE406)</f>
        <v>lbr_LU</v>
      </c>
      <c r="CG406" s="1" t="str">
        <f aca="false">_xlfn.CONCAT(K406, "_",L406)</f>
        <v>tube_FOURTH_RAIL</v>
      </c>
      <c r="CH406" s="7" t="str">
        <f aca="false">_xlfn.CONCAT("{BLACK}Length: {GOLD}", TEXT(ROUNDUP(IF(AS406&lt;&gt;"",SUM(VALUE(_xlfn.TEXTSPLIT(AS406, ","))), SUM(VALUE(_xlfn.TEXTSPLIT(AP406, ",")))*IF(P406, P406, 1))/16, 1), "#,##0.0"), " tiles{}")</f>
        <v>{BLACK}Length: {GOLD}2.1 tiles{}</v>
      </c>
      <c r="CI406" s="1" t="str">
        <f aca="false">IF(0, VLOOKUP($CG406, Constants!$M:$N, 2, FALSE()),"")</f>
        <v/>
      </c>
      <c r="CJ406" s="1" t="str">
        <f aca="false">IF(P406&gt;1,_xlfn.CONCAT("{BLACK}Cars: {GOLD}", P406),"")</f>
        <v>{BLACK}Cars: {GOLD}3</v>
      </c>
      <c r="CK406" s="1" t="s">
        <v>1546</v>
      </c>
      <c r="CL406" s="1" t="str">
        <f aca="false">IF($BX406="concept_trains","{GREEN}Concept Vehicle",IF($BX406="!param_no_gameplay_units","{GREEN}Included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{YELLOW}35% penalty for long distance travel{}</v>
      </c>
      <c r="CN406" s="1" t="str">
        <f aca="false">_xlfn.CONCAT(CI406,IF(CI406&lt;&gt;""," ",""),CJ406,IF(OR(CJ406&lt;&gt;"",CI406&lt;&gt;""),"{}",""),CH406,CM406,"{SILVER}",CK406,IF(CL406&lt;&gt;"","{}{}",""),CL406)</f>
        <v>{BLACK}Cars: {GOLD}3{}{BLACK}Length: {GOLD}2.1 tiles{}{YELLOW}35% penalty for long distance travel{}{SILVER}The D78 stock replaced pre-war stock on the District Line. It has the longest car lengths to have been used on the Underground network, at 18.37m for a driving motor car.</v>
      </c>
    </row>
    <row r="407" customFormat="false" ht="14.25" hidden="false" customHeight="false" outlineLevel="0" collapsed="false">
      <c r="A407" s="1" t="s">
        <v>1541</v>
      </c>
      <c r="B407" s="25" t="s">
        <v>1547</v>
      </c>
      <c r="C407" s="1" t="n">
        <v>4302</v>
      </c>
      <c r="E407" s="1" t="n">
        <v>618</v>
      </c>
      <c r="G407" s="1" t="str">
        <f aca="false">IF($F407&lt;&gt;"",_xlfn.CONCAT(VLOOKUP($CE407, Constants!$T:$U, 2, FALSE()),",",$F407),VLOOKUP($CE407, Constants!$T:$U, 2, FALSE()))</f>
        <v>role/passenger</v>
      </c>
      <c r="H407" s="1" t="str">
        <f aca="false">IF($G407&lt;&gt;"",_xlfn.CONCAT(VLOOKUP($CG407, Constants!$M:$P, 4, FALSE()),",",$G407),VLOOKUP($CG407, Constants!$M:$P, 4, FALSE()))</f>
        <v>flag/GB,power/electric,role/passenger</v>
      </c>
      <c r="I407" s="1" t="s">
        <v>241</v>
      </c>
      <c r="J407" s="1" t="s">
        <v>466</v>
      </c>
      <c r="K407" s="1" t="s">
        <v>1481</v>
      </c>
      <c r="L407" s="1" t="s">
        <v>1482</v>
      </c>
      <c r="M407" s="1" t="n">
        <v>1980</v>
      </c>
      <c r="O407" s="1" t="n">
        <v>2017</v>
      </c>
      <c r="P407" s="1" t="n">
        <v>6</v>
      </c>
      <c r="Q407" s="1" t="n">
        <v>980</v>
      </c>
      <c r="Z407" s="1" t="n">
        <f aca="false">27+18+26+26+18+27</f>
        <v>142</v>
      </c>
      <c r="AB407" s="1" t="n">
        <v>10</v>
      </c>
      <c r="AC407" s="1" t="n">
        <v>60</v>
      </c>
      <c r="AD407" s="4" t="n">
        <f aca="false">IF(AND(Z407&gt;0,AC407&gt;0),(AC407/((Z407+AA407)*10)),"")</f>
        <v>0.0422535211267606</v>
      </c>
      <c r="AE407" s="1" t="n">
        <v>50</v>
      </c>
      <c r="AF407" s="1" t="n">
        <f aca="false">ROUND(AE407*1.6, 0)</f>
        <v>80</v>
      </c>
      <c r="AH407" s="1" t="n">
        <v>18.37</v>
      </c>
      <c r="AI407" s="1" t="n">
        <v>18.37</v>
      </c>
      <c r="AJ407" s="1" t="n">
        <v>2.85</v>
      </c>
      <c r="AK407" s="1" t="n">
        <v>3.62</v>
      </c>
      <c r="AL407" s="5" t="n">
        <v>138</v>
      </c>
      <c r="AM407" s="1" t="str">
        <f aca="false">CONCATENATE(VLOOKUP(AN407, 'Voxel Sizes'!$A$2:$B$18,2,FALSE()),"x",INT(AJ407*15), "x", INT(AK407*15))</f>
        <v>186x42x54</v>
      </c>
      <c r="AN407" s="1" t="n">
        <f aca="false">ROUND(15*((AI407*10)/256),0)</f>
        <v>11</v>
      </c>
      <c r="AP407" s="1" t="str">
        <f aca="false">CONCATENATE(VLOOKUP(AN407,Constants!$A$2:$C$16,IF(AO407&lt;&gt;"", 3, 2), FALSE()),IF(AO407&lt;&gt;"",CONCATENATE(",",VLOOKUP(AO407,$B:$AP,41,FALSE())),""))</f>
        <v>4,3,4</v>
      </c>
      <c r="AT407" s="1" t="s">
        <v>1548</v>
      </c>
      <c r="AV407" s="1" t="s">
        <v>1549</v>
      </c>
      <c r="AW407" s="1" t="s">
        <v>1544</v>
      </c>
      <c r="AZ407" s="1" t="n">
        <v>33</v>
      </c>
      <c r="BA407" s="16" t="n">
        <f aca="false">IF(O407&lt;&gt;"",MAX(16,(O407-M407)+8),"")</f>
        <v>45</v>
      </c>
      <c r="BB407" s="1" t="n">
        <v>-25</v>
      </c>
      <c r="BD407" s="1" t="n">
        <f aca="false">MIN(AE407/150, 1)*30</f>
        <v>10</v>
      </c>
      <c r="BE407" s="1" t="n">
        <f aca="false">MIN(Q407/4000, 1)*20</f>
        <v>4.9</v>
      </c>
      <c r="BF407" s="1" t="n">
        <f aca="false">MIN(AC407/400,1)*20</f>
        <v>3</v>
      </c>
      <c r="BG407" s="4" t="n">
        <f aca="false">1-(MAX(M407-1900, 0)/750)</f>
        <v>0.893333333333333</v>
      </c>
      <c r="BH407" s="1" t="n">
        <f aca="false">((MAX($P407,1)*MIN($AL407/300,1)))*IF(J407="Wagon",50,10)</f>
        <v>27.6</v>
      </c>
      <c r="BI407" s="1" t="n">
        <f aca="false">VLOOKUP($K407,Constants!$I:$K, 2, FALSE())</f>
        <v>0.9</v>
      </c>
      <c r="BJ407" s="1" t="n">
        <f aca="false">VLOOKUP($K407,Constants!$I:$K, 3, FALSE())*IF(AND(J407="multiple_unit",AE407&lt;110),0.75,1)</f>
        <v>1.2</v>
      </c>
      <c r="BK407" s="1" t="n">
        <f aca="false">INT(POWER(((Constants!$G$2+$BD407+$BE407+$BF407+$BH407)*$BG407)*$BJ407, 1.05))+$BC407</f>
        <v>66</v>
      </c>
      <c r="BL407" s="1" t="n">
        <f aca="false">INT(POWER((((Constants!$G$1+$BD407+$BE407+$BF407+$BH407)*($BG407))*$BI407),IF($J407="wagon",1,1.2)))+$BB407</f>
        <v>80</v>
      </c>
      <c r="BM407" s="17" t="n">
        <f aca="false">BK407*IF($J407="wagon",62.5,781.25)</f>
        <v>51562.5</v>
      </c>
      <c r="BN407" s="17" t="n">
        <f aca="false">BL407*IF($J407="wagon",2.73,81.25)</f>
        <v>6500</v>
      </c>
      <c r="BT407" s="1" t="s">
        <v>1545</v>
      </c>
      <c r="BU407" s="1" t="str">
        <f aca="false">IF(J407="locomotive","B","")</f>
        <v/>
      </c>
      <c r="BV407" s="1" t="str">
        <f aca="false">IF(OR($J407="locomotive",$J407="wagon"),"B","")</f>
        <v/>
      </c>
      <c r="BY407" s="1" t="n">
        <v>11</v>
      </c>
      <c r="BZ407" s="1" t="n">
        <v>120</v>
      </c>
      <c r="CC407" s="1" t="s">
        <v>367</v>
      </c>
      <c r="CD407" s="1" t="str">
        <f aca="false">VLOOKUP(M407,Eras!$A$2:$C$10, 2, TRUE())</f>
        <v>lbr</v>
      </c>
      <c r="CE407" s="1" t="s">
        <v>1483</v>
      </c>
      <c r="CF407" s="1" t="str">
        <f aca="false">CONCATENATE(CD407,"_",CE407)</f>
        <v>lbr_LU</v>
      </c>
      <c r="CG407" s="1" t="str">
        <f aca="false">_xlfn.CONCAT(K407, "_",L407)</f>
        <v>tube_FOURTH_RAIL</v>
      </c>
      <c r="CH407" s="7" t="str">
        <f aca="false">_xlfn.CONCAT("{BLACK}Length: {GOLD}", TEXT(ROUNDUP(IF(AS407&lt;&gt;"",SUM(VALUE(_xlfn.TEXTSPLIT(AS407, ","))), SUM(VALUE(_xlfn.TEXTSPLIT(AP407, ",")))*IF(P407, P407, 1))/16, 1), "#,##0.0"), " tiles{}")</f>
        <v>{BLACK}Length: {GOLD}4.2 tiles{}</v>
      </c>
      <c r="CI407" s="1" t="str">
        <f aca="false">IF(0, VLOOKUP($CG407, Constants!$M:$N, 2, FALSE()),"")</f>
        <v/>
      </c>
      <c r="CJ407" s="1" t="str">
        <f aca="false">IF(P407&gt;1,_xlfn.CONCAT("{BLACK}Cars: {GOLD}", P407),"")</f>
        <v>{BLACK}Cars: {GOLD}6</v>
      </c>
      <c r="CK407" s="1" t="s">
        <v>1546</v>
      </c>
      <c r="CL407" s="1" t="str">
        <f aca="false">IF($BX407="concept_trains","{GREEN}Concept Vehicle",IF($BX407="!param_no_gameplay_units","{GREEN}Included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{YELLOW}35% penalty for long distance travel{}</v>
      </c>
      <c r="CN407" s="1" t="str">
        <f aca="false">_xlfn.CONCAT(CI407,IF(CI407&lt;&gt;""," ",""),CJ407,IF(OR(CJ407&lt;&gt;"",CI407&lt;&gt;""),"{}",""),CH407,CM407,"{SILVER}",CK407,IF(CL407&lt;&gt;"","{}{}",""),CL407)</f>
        <v>{BLACK}Cars: {GOLD}6{}{BLACK}Length: {GOLD}4.2 tiles{}{YELLOW}35% penalty for long distance travel{}{SILVER}The D78 stock replaced pre-war stock on the District Line. It has the longest car lengths to have been used on the Underground network, at 18.37m for a driving motor car.</v>
      </c>
    </row>
    <row r="408" customFormat="false" ht="14.25" hidden="false" customHeight="false" outlineLevel="0" collapsed="false">
      <c r="A408" s="1" t="s">
        <v>1550</v>
      </c>
      <c r="B408" s="15" t="s">
        <v>1551</v>
      </c>
      <c r="C408" s="1" t="n">
        <v>303</v>
      </c>
      <c r="E408" s="1" t="n">
        <v>619</v>
      </c>
      <c r="G408" s="1" t="str">
        <f aca="false">IF($F408&lt;&gt;"",_xlfn.CONCAT(VLOOKUP($CE408, Constants!$T:$U, 2, FALSE()),",",$F408),VLOOKUP($CE408, Constants!$T:$U, 2, FALSE()))</f>
        <v>role/passenger</v>
      </c>
      <c r="H408" s="1" t="str">
        <f aca="false">IF($G408&lt;&gt;"",_xlfn.CONCAT(VLOOKUP($CG408, Constants!$M:$P, 4, FALSE()),",",$G408),VLOOKUP($CG408, Constants!$M:$P, 4, FALSE()))</f>
        <v>flag/GB,power/electric,role/passenger</v>
      </c>
      <c r="I408" s="1" t="s">
        <v>241</v>
      </c>
      <c r="J408" s="1" t="s">
        <v>466</v>
      </c>
      <c r="K408" s="1" t="s">
        <v>1481</v>
      </c>
      <c r="L408" s="1" t="s">
        <v>1482</v>
      </c>
      <c r="M408" s="1" t="n">
        <v>1993</v>
      </c>
      <c r="P408" s="1" t="n">
        <v>4</v>
      </c>
      <c r="Q408" s="1" t="n">
        <v>1150</v>
      </c>
      <c r="Z408" s="1" t="n">
        <f aca="false">20+22+29+22</f>
        <v>93</v>
      </c>
      <c r="AB408" s="1" t="n">
        <v>10</v>
      </c>
      <c r="AC408" s="1" t="n">
        <v>70</v>
      </c>
      <c r="AD408" s="4" t="n">
        <f aca="false">IF(AND(Z408&gt;0,AC408&gt;0),(AC408/((Z408+AA408)*10)),"")</f>
        <v>0.0752688172043011</v>
      </c>
      <c r="AE408" s="1" t="n">
        <v>62</v>
      </c>
      <c r="AF408" s="1" t="n">
        <f aca="false">ROUND(AE408*1.6, 0)</f>
        <v>99</v>
      </c>
      <c r="AH408" s="1" t="n">
        <v>16.25</v>
      </c>
      <c r="AI408" s="1" t="n">
        <v>16.25</v>
      </c>
      <c r="AJ408" s="1" t="n">
        <v>2.62</v>
      </c>
      <c r="AK408" s="1" t="n">
        <v>2.87</v>
      </c>
      <c r="AL408" s="5" t="n">
        <v>114</v>
      </c>
      <c r="AM408" s="1" t="str">
        <f aca="false">CONCATENATE(VLOOKUP(AN408, 'Voxel Sizes'!$A$2:$B$18,2,FALSE()),"x",INT(AJ408*15), "x", INT(AK408*15))</f>
        <v>164x39x43</v>
      </c>
      <c r="AN408" s="1" t="n">
        <f aca="false">ROUND(15*((AI408*10)/256),0)</f>
        <v>10</v>
      </c>
      <c r="AP408" s="1" t="str">
        <f aca="false">CONCATENATE(VLOOKUP(AN408,Constants!$A$2:$C$16,IF(AO408&lt;&gt;"", 3, 2), FALSE()),IF(AO408&lt;&gt;"",CONCATENATE(",",VLOOKUP(AO408,$B:$AP,41,FALSE())),""))</f>
        <v>4,2,4</v>
      </c>
      <c r="AT408" s="1" t="s">
        <v>1552</v>
      </c>
      <c r="AV408" s="1" t="s">
        <v>918</v>
      </c>
      <c r="AZ408" s="1" t="n">
        <v>29</v>
      </c>
      <c r="BA408" s="16" t="str">
        <f aca="false">IF(O408&lt;&gt;"",MAX(16,(O408-M408)+8),"")</f>
        <v/>
      </c>
      <c r="BB408" s="1" t="n">
        <v>-22</v>
      </c>
      <c r="BD408" s="1" t="n">
        <f aca="false">MIN(AE408/150, 1)*30</f>
        <v>12.4</v>
      </c>
      <c r="BE408" s="1" t="n">
        <f aca="false">MIN(Q408/4000, 1)*20</f>
        <v>5.75</v>
      </c>
      <c r="BF408" s="1" t="n">
        <f aca="false">MIN(AC408/400,1)*20</f>
        <v>3.5</v>
      </c>
      <c r="BG408" s="4" t="n">
        <f aca="false">1-(MAX(M408-1900, 0)/750)</f>
        <v>0.876</v>
      </c>
      <c r="BH408" s="1" t="n">
        <f aca="false">((MAX($P408,1)*MIN($AL408/300,1)))*IF(J408="Wagon",50,10)</f>
        <v>15.2</v>
      </c>
      <c r="BI408" s="1" t="n">
        <f aca="false">VLOOKUP($K408,Constants!$I:$K, 2, FALSE())</f>
        <v>0.9</v>
      </c>
      <c r="BJ408" s="1" t="n">
        <f aca="false">VLOOKUP($K408,Constants!$I:$K, 3, FALSE())*IF(AND(J408="multiple_unit",AE408&lt;110),0.75,1)</f>
        <v>1.2</v>
      </c>
      <c r="BK408" s="1" t="n">
        <f aca="false">INT(POWER(((Constants!$G$2+$BD408+$BE408+$BF408+$BH408)*$BG408)*$BJ408, 1.05))+$BC408</f>
        <v>53</v>
      </c>
      <c r="BL408" s="1" t="n">
        <f aca="false">INT(POWER((((Constants!$G$1+$BD408+$BE408+$BF408+$BH408)*($BG408))*$BI408),IF($J408="wagon",1,1.2)))+$BB408</f>
        <v>63</v>
      </c>
      <c r="BM408" s="17" t="n">
        <f aca="false">BK408*IF($J408="wagon",62.5,781.25)</f>
        <v>41406.25</v>
      </c>
      <c r="BN408" s="17" t="n">
        <f aca="false">BL408*IF($J408="wagon",2.73,81.25)</f>
        <v>5118.75</v>
      </c>
      <c r="BU408" s="1" t="str">
        <f aca="false">IF(J408="locomotive","B","")</f>
        <v/>
      </c>
      <c r="BV408" s="1" t="str">
        <f aca="false">IF(OR($J408="locomotive",$J408="wagon"),"B","")</f>
        <v/>
      </c>
      <c r="BY408" s="1" t="n">
        <v>3</v>
      </c>
      <c r="BZ408" s="1" t="n">
        <v>120</v>
      </c>
      <c r="CC408" s="1" t="s">
        <v>367</v>
      </c>
      <c r="CD408" s="1" t="str">
        <f aca="false">VLOOKUP(M408,Eras!$A$2:$C$10, 2, TRUE())</f>
        <v>lbr</v>
      </c>
      <c r="CE408" s="1" t="s">
        <v>1483</v>
      </c>
      <c r="CF408" s="1" t="str">
        <f aca="false">CONCATENATE(CD408,"_",CE408)</f>
        <v>lbr_LU</v>
      </c>
      <c r="CG408" s="1" t="str">
        <f aca="false">_xlfn.CONCAT(K408, "_",L408)</f>
        <v>tube_FOURTH_RAIL</v>
      </c>
      <c r="CH408" s="7" t="str">
        <f aca="false">_xlfn.CONCAT("{BLACK}Length: {GOLD}", TEXT(ROUNDUP(IF(AS408&lt;&gt;"",SUM(VALUE(_xlfn.TEXTSPLIT(AS408, ","))), SUM(VALUE(_xlfn.TEXTSPLIT(AP408, ",")))*IF(P408, P408, 1))/16, 1), "#,##0.0"), " tiles{}")</f>
        <v>{BLACK}Length: {GOLD}2.5 tiles{}</v>
      </c>
      <c r="CI408" s="1" t="str">
        <f aca="false">IF(0, VLOOKUP($CG408, Constants!$M:$N, 2, FALSE()),"")</f>
        <v/>
      </c>
      <c r="CJ408" s="1" t="str">
        <f aca="false">IF(P408&gt;1,_xlfn.CONCAT("{BLACK}Cars: {GOLD}", P408),"")</f>
        <v>{BLACK}Cars: {GOLD}4</v>
      </c>
      <c r="CK408" s="1" t="s">
        <v>1553</v>
      </c>
      <c r="CL408" s="1" t="str">
        <f aca="false">IF($BX408="concept_trains","{GREEN}Concept Vehicle",IF($BX408="!param_no_gameplay_units","{GREEN}Included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{YELLOW}35% penalty for long distance travel{}</v>
      </c>
      <c r="CN408" s="1" t="str">
        <f aca="false">_xlfn.CONCAT(CI408,IF(CI408&lt;&gt;""," ",""),CJ408,IF(OR(CJ408&lt;&gt;"",CI408&lt;&gt;""),"{}",""),CH408,CM408,"{SILVER}",CK408,IF(CL408&lt;&gt;"","{}{}",""),CL408)</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409" customFormat="false" ht="14.25" hidden="false" customHeight="false" outlineLevel="0" collapsed="false">
      <c r="A409" s="1" t="s">
        <v>1554</v>
      </c>
      <c r="B409" s="15" t="s">
        <v>1555</v>
      </c>
      <c r="C409" s="1" t="n">
        <v>304</v>
      </c>
      <c r="E409" s="1" t="n">
        <v>620</v>
      </c>
      <c r="G409" s="1" t="str">
        <f aca="false">IF($F409&lt;&gt;"",_xlfn.CONCAT(VLOOKUP($CE409, Constants!$T:$U, 2, FALSE()),",",$F409),VLOOKUP($CE409, Constants!$T:$U, 2, FALSE()))</f>
        <v>role/passenger</v>
      </c>
      <c r="H409" s="1" t="str">
        <f aca="false">IF($G409&lt;&gt;"",_xlfn.CONCAT(VLOOKUP($CG409, Constants!$M:$P, 4, FALSE()),",",$G409),VLOOKUP($CG409, Constants!$M:$P, 4, FALSE()))</f>
        <v>flag/GB,power/electric,role/passenger</v>
      </c>
      <c r="I409" s="1" t="s">
        <v>241</v>
      </c>
      <c r="J409" s="1" t="s">
        <v>466</v>
      </c>
      <c r="K409" s="1" t="s">
        <v>1481</v>
      </c>
      <c r="L409" s="1" t="s">
        <v>1482</v>
      </c>
      <c r="M409" s="1" t="n">
        <v>1996</v>
      </c>
      <c r="P409" s="1" t="n">
        <v>3</v>
      </c>
      <c r="Q409" s="1" t="n">
        <v>1200</v>
      </c>
      <c r="Z409" s="1" t="n">
        <f aca="false">29+27+21</f>
        <v>77</v>
      </c>
      <c r="AB409" s="1" t="n">
        <v>10</v>
      </c>
      <c r="AC409" s="1" t="n">
        <v>65</v>
      </c>
      <c r="AD409" s="4" t="n">
        <f aca="false">IF(AND(Z409&gt;0,AC409&gt;0),(AC409/((Z409+AA409)*10)),"")</f>
        <v>0.0844155844155844</v>
      </c>
      <c r="AE409" s="1" t="n">
        <v>62</v>
      </c>
      <c r="AF409" s="1" t="n">
        <f aca="false">ROUND(AE409*1.6, 0)</f>
        <v>99</v>
      </c>
      <c r="AH409" s="1" t="n">
        <v>17.77</v>
      </c>
      <c r="AI409" s="1" t="n">
        <v>17.77</v>
      </c>
      <c r="AJ409" s="1" t="n">
        <v>2.63</v>
      </c>
      <c r="AK409" s="1" t="n">
        <v>2.87</v>
      </c>
      <c r="AL409" s="5" t="n">
        <v>108</v>
      </c>
      <c r="AM409" s="1" t="str">
        <f aca="false">CONCATENATE(VLOOKUP(AN409, 'Voxel Sizes'!$A$2:$B$18,2,FALSE()),"x",INT(AJ409*15), "x", INT(AK409*15))</f>
        <v>164x39x43</v>
      </c>
      <c r="AN409" s="1" t="n">
        <f aca="false">ROUND(15*((AI409*10)/256),0)</f>
        <v>10</v>
      </c>
      <c r="AP409" s="1" t="str">
        <f aca="false">CONCATENATE(VLOOKUP(AN409,Constants!$A$2:$C$16,IF(AO409&lt;&gt;"", 3, 2), FALSE()),IF(AO409&lt;&gt;"",CONCATENATE(",",VLOOKUP(AO409,$B:$AP,41,FALSE())),""))</f>
        <v>4,2,4</v>
      </c>
      <c r="AT409" s="1" t="s">
        <v>1556</v>
      </c>
      <c r="AV409" s="1" t="s">
        <v>468</v>
      </c>
      <c r="AZ409" s="1" t="n">
        <v>32</v>
      </c>
      <c r="BA409" s="16" t="str">
        <f aca="false">IF(O409&lt;&gt;"",MAX(16,(O409-M409)+8),"")</f>
        <v/>
      </c>
      <c r="BB409" s="1" t="n">
        <v>-25</v>
      </c>
      <c r="BC409" s="1" t="n">
        <v>5</v>
      </c>
      <c r="BD409" s="1" t="n">
        <f aca="false">MIN(AE409/150, 1)*30</f>
        <v>12.4</v>
      </c>
      <c r="BE409" s="1" t="n">
        <f aca="false">MIN(Q409/4000, 1)*20</f>
        <v>6</v>
      </c>
      <c r="BF409" s="1" t="n">
        <f aca="false">MIN(AC409/400,1)*20</f>
        <v>3.25</v>
      </c>
      <c r="BG409" s="4" t="n">
        <f aca="false">1-(MAX(M409-1900, 0)/750)</f>
        <v>0.872</v>
      </c>
      <c r="BH409" s="1" t="n">
        <f aca="false">((MAX($P409,1)*MIN($AL409/300,1)))*IF(J409="Wagon",50,10)</f>
        <v>10.8</v>
      </c>
      <c r="BI409" s="1" t="n">
        <f aca="false">VLOOKUP($K409,Constants!$I:$K, 2, FALSE())</f>
        <v>0.9</v>
      </c>
      <c r="BJ409" s="1" t="n">
        <f aca="false">VLOOKUP($K409,Constants!$I:$K, 3, FALSE())*IF(AND(J409="multiple_unit",AE409&lt;110),0.75,1)</f>
        <v>1.2</v>
      </c>
      <c r="BK409" s="1" t="n">
        <f aca="false">INT(POWER(((Constants!$G$2+$BD409+$BE409+$BF409+$BH409)*$BG409)*$BJ409, 1.05))+$BC409</f>
        <v>52</v>
      </c>
      <c r="BL409" s="1" t="n">
        <f aca="false">INT(POWER((((Constants!$G$1+$BD409+$BE409+$BF409+$BH409)*($BG409))*$BI409),IF($J409="wagon",1,1.2)))+$BB409</f>
        <v>51</v>
      </c>
      <c r="BM409" s="17" t="n">
        <f aca="false">BK409*IF($J409="wagon",62.5,781.25)</f>
        <v>40625</v>
      </c>
      <c r="BN409" s="17" t="n">
        <f aca="false">BL409*IF($J409="wagon",2.73,81.25)</f>
        <v>4143.75</v>
      </c>
      <c r="BU409" s="1" t="str">
        <f aca="false">IF(J409="locomotive","B","")</f>
        <v/>
      </c>
      <c r="BV409" s="1" t="str">
        <f aca="false">IF(OR($J409="locomotive",$J409="wagon"),"B","")</f>
        <v/>
      </c>
      <c r="BY409" s="1" t="n">
        <v>2</v>
      </c>
      <c r="BZ409" s="1" t="n">
        <v>120</v>
      </c>
      <c r="CC409" s="1" t="s">
        <v>367</v>
      </c>
      <c r="CD409" s="1" t="str">
        <f aca="false">VLOOKUP(M409,Eras!$A$2:$C$10, 2, TRUE())</f>
        <v>prv</v>
      </c>
      <c r="CE409" s="1" t="s">
        <v>1483</v>
      </c>
      <c r="CF409" s="1" t="str">
        <f aca="false">CONCATENATE(CD409,"_",CE409)</f>
        <v>prv_LU</v>
      </c>
      <c r="CG409" s="1" t="str">
        <f aca="false">_xlfn.CONCAT(K409, "_",L409)</f>
        <v>tube_FOURTH_RAIL</v>
      </c>
      <c r="CH409" s="7" t="str">
        <f aca="false">_xlfn.CONCAT("{BLACK}Length: {GOLD}", TEXT(ROUNDUP(IF(AS409&lt;&gt;"",SUM(VALUE(_xlfn.TEXTSPLIT(AS409, ","))), SUM(VALUE(_xlfn.TEXTSPLIT(AP409, ",")))*IF(P409, P409, 1))/16, 1), "#,##0.0"), " tiles{}")</f>
        <v>{BLACK}Length: {GOLD}1.9 tiles{}</v>
      </c>
      <c r="CI409" s="1" t="str">
        <f aca="false">IF(0, VLOOKUP($CG409, Constants!$M:$N, 2, FALSE()),"")</f>
        <v/>
      </c>
      <c r="CJ409" s="1" t="str">
        <f aca="false">IF(P409&gt;1,_xlfn.CONCAT("{BLACK}Cars: {GOLD}", P409),"")</f>
        <v>{BLACK}Cars: {GOLD}3</v>
      </c>
      <c r="CK409" s="1" t="s">
        <v>1557</v>
      </c>
      <c r="CL409" s="1" t="str">
        <f aca="false">IF($BX409="concept_trains","{GREEN}Concept Vehicle",IF($BX409="!param_no_gameplay_units","{GREEN}Included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{YELLOW}35% penalty for long distance travel{}</v>
      </c>
      <c r="CN409" s="1" t="str">
        <f aca="false">_xlfn.CONCAT(CI409,IF(CI409&lt;&gt;""," ",""),CJ409,IF(OR(CJ409&lt;&gt;"",CI409&lt;&gt;""),"{}",""),CH409,CM409,"{SILVER}",CK409,IF(CL409&lt;&gt;"","{}{}",""),CL409)</f>
        <v>{BLACK}Cars: {GOLD}3{}{BLACK}Length: {GOLD}1.9 tiles{}{YELLOW}35% penalty for long distance travel{}{SILVER}Outwardly very similar to the 1996 stock used for the Jubilee Line, the Northern Line's 1995 stock features more advanced traction hardware due to a later design finalisation date.</v>
      </c>
    </row>
    <row r="410" customFormat="false" ht="14.25" hidden="false" customHeight="false" outlineLevel="0" collapsed="false">
      <c r="A410" s="1" t="s">
        <v>1558</v>
      </c>
      <c r="B410" s="15" t="s">
        <v>1559</v>
      </c>
      <c r="C410" s="1" t="n">
        <v>305</v>
      </c>
      <c r="E410" s="1" t="n">
        <v>621</v>
      </c>
      <c r="G410" s="1" t="str">
        <f aca="false">IF($F410&lt;&gt;"",_xlfn.CONCAT(VLOOKUP($CE410, Constants!$T:$U, 2, FALSE()),",",$F410),VLOOKUP($CE410, Constants!$T:$U, 2, FALSE()))</f>
        <v>role/passenger</v>
      </c>
      <c r="H410" s="1" t="str">
        <f aca="false">IF($G410&lt;&gt;"",_xlfn.CONCAT(VLOOKUP($CG410, Constants!$M:$P, 4, FALSE()),",",$G410),VLOOKUP($CG410, Constants!$M:$P, 4, FALSE()))</f>
        <v>flag/GB,power/electric,role/passenger</v>
      </c>
      <c r="I410" s="1" t="s">
        <v>241</v>
      </c>
      <c r="J410" s="1" t="s">
        <v>466</v>
      </c>
      <c r="K410" s="1" t="s">
        <v>1481</v>
      </c>
      <c r="L410" s="1" t="s">
        <v>1482</v>
      </c>
      <c r="M410" s="1" t="n">
        <v>2009</v>
      </c>
      <c r="P410" s="1" t="n">
        <v>4</v>
      </c>
      <c r="Q410" s="1" t="n">
        <v>1200</v>
      </c>
      <c r="Z410" s="1" t="n">
        <f aca="false">197.3/2</f>
        <v>98.65</v>
      </c>
      <c r="AB410" s="1" t="n">
        <v>10</v>
      </c>
      <c r="AC410" s="1" t="n">
        <v>75</v>
      </c>
      <c r="AD410" s="4" t="n">
        <f aca="false">IF(AND(Z410&gt;0,AC410&gt;0),(AC410/((Z410+AA410)*10)),"")</f>
        <v>0.0760263558033452</v>
      </c>
      <c r="AE410" s="1" t="n">
        <v>50</v>
      </c>
      <c r="AF410" s="1" t="n">
        <f aca="false">ROUND(AE410*1.6, 0)</f>
        <v>80</v>
      </c>
      <c r="AH410" s="1" t="n">
        <v>16.595</v>
      </c>
      <c r="AI410" s="1" t="n">
        <v>16.595</v>
      </c>
      <c r="AJ410" s="1" t="n">
        <v>2.68</v>
      </c>
      <c r="AK410" s="1" t="n">
        <v>2.883</v>
      </c>
      <c r="AL410" s="5" t="n">
        <v>141</v>
      </c>
      <c r="AM410" s="1" t="str">
        <f aca="false">CONCATENATE(VLOOKUP(AN410, 'Voxel Sizes'!$A$2:$B$18,2,FALSE()),"x",INT(AJ410*15), "x", INT(AK410*15))</f>
        <v>164x40x43</v>
      </c>
      <c r="AN410" s="1" t="n">
        <f aca="false">ROUND(15*((AI410*10)/256),0)</f>
        <v>10</v>
      </c>
      <c r="AP410" s="1" t="str">
        <f aca="false">CONCATENATE(VLOOKUP(AN410,Constants!$A$2:$C$16,IF(AO410&lt;&gt;"", 3, 2), FALSE()),IF(AO410&lt;&gt;"",CONCATENATE(",",VLOOKUP(AO410,$B:$AP,41,FALSE())),""))</f>
        <v>4,2,4</v>
      </c>
      <c r="AT410" s="1" t="s">
        <v>1560</v>
      </c>
      <c r="AV410" s="1" t="s">
        <v>918</v>
      </c>
      <c r="AZ410" s="1" t="n">
        <v>31</v>
      </c>
      <c r="BA410" s="16" t="str">
        <f aca="false">IF(O410&lt;&gt;"",MAX(16,(O410-M410)+8),"")</f>
        <v/>
      </c>
      <c r="BB410" s="1" t="n">
        <v>-25</v>
      </c>
      <c r="BC410" s="1" t="n">
        <v>-8</v>
      </c>
      <c r="BD410" s="1" t="n">
        <f aca="false">MIN(AE410/150, 1)*30</f>
        <v>10</v>
      </c>
      <c r="BE410" s="1" t="n">
        <f aca="false">MIN(Q410/4000, 1)*20</f>
        <v>6</v>
      </c>
      <c r="BF410" s="1" t="n">
        <f aca="false">MIN(AC410/400,1)*20</f>
        <v>3.75</v>
      </c>
      <c r="BG410" s="4" t="n">
        <f aca="false">1-(MAX(M410-1900, 0)/750)</f>
        <v>0.854666666666667</v>
      </c>
      <c r="BH410" s="1" t="n">
        <f aca="false">((MAX($P410,1)*MIN($AL410/300,1)))*IF(J410="Wagon",50,10)</f>
        <v>18.8</v>
      </c>
      <c r="BI410" s="1" t="n">
        <f aca="false">VLOOKUP($K410,Constants!$I:$K, 2, FALSE())</f>
        <v>0.9</v>
      </c>
      <c r="BJ410" s="1" t="n">
        <f aca="false">VLOOKUP($K410,Constants!$I:$K, 3, FALSE())*IF(AND(J410="multiple_unit",AE410&lt;110),0.75,1)</f>
        <v>1.2</v>
      </c>
      <c r="BK410" s="1" t="n">
        <f aca="false">INT(POWER(((Constants!$G$2+$BD410+$BE410+$BF410+$BH410)*$BG410)*$BJ410, 1.05))+$BC410</f>
        <v>46</v>
      </c>
      <c r="BL410" s="1" t="n">
        <f aca="false">INT(POWER((((Constants!$G$1+$BD410+$BE410+$BF410+$BH410)*($BG410))*$BI410),IF($J410="wagon",1,1.2)))+$BB410</f>
        <v>61</v>
      </c>
      <c r="BM410" s="17" t="n">
        <f aca="false">BK410*IF($J410="wagon",62.5,781.25)</f>
        <v>35937.5</v>
      </c>
      <c r="BN410" s="17" t="n">
        <f aca="false">BL410*IF($J410="wagon",2.73,81.25)</f>
        <v>4956.25</v>
      </c>
      <c r="BU410" s="1" t="str">
        <f aca="false">IF(J410="locomotive","B","")</f>
        <v/>
      </c>
      <c r="BV410" s="1" t="str">
        <f aca="false">IF(OR($J410="locomotive",$J410="wagon"),"B","")</f>
        <v/>
      </c>
      <c r="BY410" s="1" t="n">
        <v>12</v>
      </c>
      <c r="BZ410" s="1" t="n">
        <v>120</v>
      </c>
      <c r="CC410" s="1" t="s">
        <v>367</v>
      </c>
      <c r="CD410" s="1" t="str">
        <f aca="false">VLOOKUP(M410,Eras!$A$2:$C$10, 2, TRUE())</f>
        <v>mod</v>
      </c>
      <c r="CE410" s="1" t="s">
        <v>1483</v>
      </c>
      <c r="CF410" s="1" t="str">
        <f aca="false">CONCATENATE(CD410,"_",CE410)</f>
        <v>mod_LU</v>
      </c>
      <c r="CG410" s="1" t="str">
        <f aca="false">_xlfn.CONCAT(K410, "_",L410)</f>
        <v>tube_FOURTH_RAIL</v>
      </c>
      <c r="CH410" s="7" t="str">
        <f aca="false">_xlfn.CONCAT("{BLACK}Length: {GOLD}", TEXT(ROUNDUP(IF(AS410&lt;&gt;"",SUM(VALUE(_xlfn.TEXTSPLIT(AS410, ","))), SUM(VALUE(_xlfn.TEXTSPLIT(AP410, ",")))*IF(P410, P410, 1))/16, 1), "#,##0.0"), " tiles{}")</f>
        <v>{BLACK}Length: {GOLD}2.5 tiles{}</v>
      </c>
      <c r="CI410" s="1" t="str">
        <f aca="false">IF(0, VLOOKUP($CG410, Constants!$M:$N, 2, FALSE()),"")</f>
        <v/>
      </c>
      <c r="CJ410" s="1" t="str">
        <f aca="false">IF(P410&gt;1,_xlfn.CONCAT("{BLACK}Cars: {GOLD}", P410),"")</f>
        <v>{BLACK}Cars: {GOLD}4</v>
      </c>
      <c r="CK410" s="1" t="s">
        <v>1561</v>
      </c>
      <c r="CL410" s="1" t="str">
        <f aca="false">IF($BX410="concept_trains","{GREEN}Concept Vehicle",IF($BX410="!param_no_gameplay_units","{GREEN}Included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{YELLOW}35% penalty for long distance travel{}</v>
      </c>
      <c r="CN410" s="1" t="str">
        <f aca="false">_xlfn.CONCAT(CI410,IF(CI410&lt;&gt;""," ",""),CJ410,IF(OR(CJ410&lt;&gt;"",CI410&lt;&gt;""),"{}",""),CH410,CM410,"{SILVER}",CK410,IF(CL410&lt;&gt;"","{}{}",""),CL410)</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411" customFormat="false" ht="14.25" hidden="false" customHeight="false" outlineLevel="0" collapsed="false">
      <c r="A411" s="1" t="s">
        <v>1562</v>
      </c>
      <c r="B411" s="15" t="s">
        <v>1563</v>
      </c>
      <c r="C411" s="1" t="n">
        <v>306</v>
      </c>
      <c r="E411" s="1" t="n">
        <v>622</v>
      </c>
      <c r="G411" s="1" t="str">
        <f aca="false">IF($F411&lt;&gt;"",_xlfn.CONCAT(VLOOKUP($CE411, Constants!$T:$U, 2, FALSE()),",",$F411),VLOOKUP($CE411, Constants!$T:$U, 2, FALSE()))</f>
        <v>role/passenger</v>
      </c>
      <c r="H411" s="1" t="str">
        <f aca="false">IF($G411&lt;&gt;"",_xlfn.CONCAT(VLOOKUP($CG411, Constants!$M:$P, 4, FALSE()),",",$G411),VLOOKUP($CG411, Constants!$M:$P, 4, FALSE()))</f>
        <v>flag/GB,power/electric,role/passenger</v>
      </c>
      <c r="I411" s="1" t="s">
        <v>241</v>
      </c>
      <c r="J411" s="1" t="s">
        <v>466</v>
      </c>
      <c r="K411" s="1" t="s">
        <v>1481</v>
      </c>
      <c r="L411" s="1" t="s">
        <v>1482</v>
      </c>
      <c r="M411" s="1" t="n">
        <v>2010</v>
      </c>
      <c r="P411" s="1" t="n">
        <v>7</v>
      </c>
      <c r="Q411" s="1" t="n">
        <v>2400</v>
      </c>
      <c r="Z411" s="1" t="n">
        <v>213.7</v>
      </c>
      <c r="AB411" s="1" t="n">
        <v>10</v>
      </c>
      <c r="AC411" s="1" t="n">
        <v>180</v>
      </c>
      <c r="AD411" s="4" t="n">
        <f aca="false">IF(AND(Z411&gt;0,AC411&gt;0),(AC411/((Z411+AA411)*10)),"")</f>
        <v>0.084230229293402</v>
      </c>
      <c r="AE411" s="1" t="n">
        <v>62</v>
      </c>
      <c r="AF411" s="1" t="n">
        <f aca="false">ROUND(AE411*1.6, 0)</f>
        <v>99</v>
      </c>
      <c r="AH411" s="1" t="n">
        <v>17.45</v>
      </c>
      <c r="AI411" s="1" t="n">
        <v>17.45</v>
      </c>
      <c r="AJ411" s="1" t="n">
        <v>2.92</v>
      </c>
      <c r="AK411" s="1" t="n">
        <v>3.68</v>
      </c>
      <c r="AL411" s="5" t="n">
        <v>156</v>
      </c>
      <c r="AM411" s="1" t="str">
        <f aca="false">CONCATENATE(VLOOKUP(AN411, 'Voxel Sizes'!$A$2:$B$18,2,FALSE()),"x",INT(AJ411*15), "x", INT(AK411*15))</f>
        <v>164x43x55</v>
      </c>
      <c r="AN411" s="1" t="n">
        <f aca="false">ROUND(15*((AI411*10)/256),0)</f>
        <v>10</v>
      </c>
      <c r="AP411" s="1" t="str">
        <f aca="false">CONCATENATE(VLOOKUP(AN411,Constants!$A$2:$C$16,IF(AO411&lt;&gt;"", 3, 2), FALSE()),IF(AO411&lt;&gt;"",CONCATENATE(",",VLOOKUP(AO411,$B:$AP,41,FALSE())),""))</f>
        <v>4,2,4</v>
      </c>
      <c r="AT411" s="1" t="s">
        <v>1564</v>
      </c>
      <c r="AV411" s="1" t="s">
        <v>1565</v>
      </c>
      <c r="AZ411" s="1" t="n">
        <v>34</v>
      </c>
      <c r="BA411" s="16" t="str">
        <f aca="false">IF(O411&lt;&gt;"",MAX(16,(O411-M411)+8),"")</f>
        <v/>
      </c>
      <c r="BB411" s="1" t="n">
        <v>-25</v>
      </c>
      <c r="BD411" s="1" t="n">
        <f aca="false">MIN(AE411/150, 1)*30</f>
        <v>12.4</v>
      </c>
      <c r="BE411" s="1" t="n">
        <f aca="false">MIN(Q411/4000, 1)*20</f>
        <v>12</v>
      </c>
      <c r="BF411" s="1" t="n">
        <f aca="false">MIN(AC411/400,1)*20</f>
        <v>9</v>
      </c>
      <c r="BG411" s="4" t="n">
        <f aca="false">1-(MAX(M411-1900, 0)/750)</f>
        <v>0.853333333333333</v>
      </c>
      <c r="BH411" s="1" t="n">
        <f aca="false">((MAX($P411,1)*MIN($AL411/300,1)))*IF(J411="Wagon",50,10)</f>
        <v>36.4</v>
      </c>
      <c r="BI411" s="1" t="n">
        <f aca="false">VLOOKUP($K411,Constants!$I:$K, 2, FALSE())</f>
        <v>0.9</v>
      </c>
      <c r="BJ411" s="1" t="n">
        <f aca="false">VLOOKUP($K411,Constants!$I:$K, 3, FALSE())*IF(AND(J411="multiple_unit",AE411&lt;110),0.75,1)</f>
        <v>1.2</v>
      </c>
      <c r="BK411" s="1" t="n">
        <f aca="false">INT(POWER(((Constants!$G$2+$BD411+$BE411+$BF411+$BH411)*$BG411)*$BJ411, 1.05))+$BC411</f>
        <v>95</v>
      </c>
      <c r="BL411" s="1" t="n">
        <f aca="false">INT(POWER((((Constants!$G$1+$BD411+$BE411+$BF411+$BH411)*($BG411))*$BI411),IF($J411="wagon",1,1.2)))+$BB411</f>
        <v>125</v>
      </c>
      <c r="BM411" s="17" t="n">
        <f aca="false">BK411*IF($J411="wagon",62.5,781.25)</f>
        <v>74218.75</v>
      </c>
      <c r="BN411" s="17" t="n">
        <f aca="false">BL411*IF($J411="wagon",2.73,81.25)</f>
        <v>10156.25</v>
      </c>
      <c r="BU411" s="1" t="str">
        <f aca="false">IF(J411="locomotive","B","")</f>
        <v/>
      </c>
      <c r="BV411" s="1" t="str">
        <f aca="false">IF(OR($J411="locomotive",$J411="wagon"),"B","")</f>
        <v/>
      </c>
      <c r="BX411" s="1" t="s">
        <v>1247</v>
      </c>
      <c r="BY411" s="1" t="n">
        <v>1</v>
      </c>
      <c r="BZ411" s="1" t="n">
        <v>120</v>
      </c>
      <c r="CC411" s="1" t="s">
        <v>367</v>
      </c>
      <c r="CD411" s="1" t="str">
        <f aca="false">VLOOKUP(M411,Eras!$A$2:$C$10, 2, TRUE())</f>
        <v>mod</v>
      </c>
      <c r="CE411" s="1" t="s">
        <v>1483</v>
      </c>
      <c r="CF411" s="1" t="str">
        <f aca="false">CONCATENATE(CD411,"_",CE411)</f>
        <v>mod_LU</v>
      </c>
      <c r="CG411" s="1" t="str">
        <f aca="false">_xlfn.CONCAT(K411, "_",L411)</f>
        <v>tube_FOURTH_RAIL</v>
      </c>
      <c r="CH411" s="7" t="str">
        <f aca="false">_xlfn.CONCAT("{BLACK}Length: {GOLD}", TEXT(ROUNDUP(IF(AS411&lt;&gt;"",SUM(VALUE(_xlfn.TEXTSPLIT(AS411, ","))), SUM(VALUE(_xlfn.TEXTSPLIT(AP411, ",")))*IF(P411, P411, 1))/16, 1), "#,##0.0"), " tiles{}")</f>
        <v>{BLACK}Length: {GOLD}4.4 tiles{}</v>
      </c>
      <c r="CI411" s="1" t="str">
        <f aca="false">IF(0, VLOOKUP($CG411, Constants!$M:$N, 2, FALSE()),"")</f>
        <v/>
      </c>
      <c r="CJ411" s="1" t="str">
        <f aca="false">IF(P411&gt;1,_xlfn.CONCAT("{BLACK}Cars: {GOLD}", P411),"")</f>
        <v>{BLACK}Cars: {GOLD}7</v>
      </c>
      <c r="CK411" s="1" t="s">
        <v>1566</v>
      </c>
      <c r="CL411" s="1" t="str">
        <f aca="false">IF($BX411="concept_trains","{GREEN}Concept Vehicle",IF($BX411="!param_no_gameplay_units","{GREEN}Included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penalty for long distance travel{}</v>
      </c>
      <c r="CN411" s="1" t="str">
        <f aca="false">_xlfn.CONCAT(CI411,IF(CI411&lt;&gt;""," ",""),CJ411,IF(OR(CJ411&lt;&gt;"",CI411&lt;&gt;""),"{}",""),CH411,CM411,"{SILVER}",CK411,IF(CL411&lt;&gt;"","{}{}",""),CL411)</f>
        <v>{BLACK}Cars: {GOLD}7{}{BLACK}Length: {GOLD}4.4 tiles{}{YELLOW}35% penalty for long distance travel{}{SILVER}The S stock is the standard stock for London Underground's surface lines. It replaces several types of stock, some of which had become severely outdated and unreliable by 2010.</v>
      </c>
    </row>
    <row r="412" customFormat="false" ht="14.25" hidden="false" customHeight="false" outlineLevel="0" collapsed="false">
      <c r="A412" s="1" t="s">
        <v>1567</v>
      </c>
      <c r="B412" s="15" t="s">
        <v>1568</v>
      </c>
      <c r="C412" s="1" t="n">
        <v>307</v>
      </c>
      <c r="E412" s="1" t="n">
        <v>623</v>
      </c>
      <c r="G412" s="1" t="str">
        <f aca="false">IF($F412&lt;&gt;"",_xlfn.CONCAT(VLOOKUP($CE412, Constants!$T:$U, 2, FALSE()),",",$F412),VLOOKUP($CE412, Constants!$T:$U, 2, FALSE()))</f>
        <v>role/passenger</v>
      </c>
      <c r="H412" s="1" t="str">
        <f aca="false">IF($G412&lt;&gt;"",_xlfn.CONCAT(VLOOKUP($CG412, Constants!$M:$P, 4, FALSE()),",",$G412),VLOOKUP($CG412, Constants!$M:$P, 4, FALSE()))</f>
        <v>flag/GB,power/electric,role/passenger</v>
      </c>
      <c r="I412" s="1" t="s">
        <v>241</v>
      </c>
      <c r="J412" s="1" t="s">
        <v>466</v>
      </c>
      <c r="K412" s="1" t="s">
        <v>1481</v>
      </c>
      <c r="L412" s="1" t="s">
        <v>1482</v>
      </c>
      <c r="M412" s="1" t="n">
        <v>2010</v>
      </c>
      <c r="P412" s="1" t="n">
        <v>6</v>
      </c>
      <c r="Q412" s="1" t="n">
        <v>2400</v>
      </c>
      <c r="Z412" s="1" t="n">
        <f aca="false">213.7/7*6</f>
        <v>183.171428571429</v>
      </c>
      <c r="AB412" s="1" t="n">
        <v>10</v>
      </c>
      <c r="AC412" s="1" t="n">
        <v>180</v>
      </c>
      <c r="AD412" s="4" t="n">
        <f aca="false">IF(AND(Z412&gt;0,AC412&gt;0),(AC412/((Z412+AA412)*10)),"")</f>
        <v>0.0982686008423021</v>
      </c>
      <c r="AE412" s="1" t="n">
        <v>62</v>
      </c>
      <c r="AF412" s="1" t="n">
        <f aca="false">ROUND(AE412*1.6, 0)</f>
        <v>99</v>
      </c>
      <c r="AH412" s="1" t="n">
        <v>17.45</v>
      </c>
      <c r="AI412" s="1" t="n">
        <v>17.45</v>
      </c>
      <c r="AJ412" s="1" t="n">
        <v>2.92</v>
      </c>
      <c r="AK412" s="1" t="n">
        <v>3.68</v>
      </c>
      <c r="AL412" s="5" t="n">
        <v>156</v>
      </c>
      <c r="AM412" s="1" t="str">
        <f aca="false">CONCATENATE(VLOOKUP(AN412, 'Voxel Sizes'!$A$2:$B$18,2,FALSE()),"x",INT(AJ412*15), "x", INT(AK412*15))</f>
        <v>164x43x55</v>
      </c>
      <c r="AN412" s="1" t="n">
        <f aca="false">ROUND(15*((AI412*10)/256),0)</f>
        <v>10</v>
      </c>
      <c r="AP412" s="1" t="str">
        <f aca="false">CONCATENATE(VLOOKUP(AN412,Constants!$A$2:$C$16,IF(AO412&lt;&gt;"", 3, 2), FALSE()),IF(AO412&lt;&gt;"",CONCATENATE(",",VLOOKUP(AO412,$B:$AP,41,FALSE())),""))</f>
        <v>4,2,4</v>
      </c>
      <c r="AT412" s="1" t="s">
        <v>1569</v>
      </c>
      <c r="AV412" s="1" t="s">
        <v>1302</v>
      </c>
      <c r="AW412" s="1" t="s">
        <v>1563</v>
      </c>
      <c r="AZ412" s="1" t="n">
        <v>34</v>
      </c>
      <c r="BA412" s="16" t="str">
        <f aca="false">IF(O412&lt;&gt;"",MAX(16,(O412-M412)+8),"")</f>
        <v/>
      </c>
      <c r="BB412" s="1" t="n">
        <v>-25</v>
      </c>
      <c r="BD412" s="1" t="n">
        <f aca="false">MIN(AE412/150, 1)*30</f>
        <v>12.4</v>
      </c>
      <c r="BE412" s="1" t="n">
        <f aca="false">MIN(Q412/4000, 1)*20</f>
        <v>12</v>
      </c>
      <c r="BF412" s="1" t="n">
        <f aca="false">MIN(AC412/400,1)*20</f>
        <v>9</v>
      </c>
      <c r="BG412" s="4" t="n">
        <f aca="false">1-(MAX(M412-1900, 0)/750)</f>
        <v>0.853333333333333</v>
      </c>
      <c r="BH412" s="1" t="n">
        <f aca="false">((MAX($P412,1)*MIN($AL412/300,1)))*IF(J412="Wagon",50,10)</f>
        <v>31.2</v>
      </c>
      <c r="BI412" s="1" t="n">
        <f aca="false">VLOOKUP($K412,Constants!$I:$K, 2, FALSE())</f>
        <v>0.9</v>
      </c>
      <c r="BJ412" s="1" t="n">
        <f aca="false">VLOOKUP($K412,Constants!$I:$K, 3, FALSE())*IF(AND(J412="multiple_unit",AE412&lt;110),0.75,1)</f>
        <v>1.2</v>
      </c>
      <c r="BK412" s="1" t="n">
        <f aca="false">INT(POWER(((Constants!$G$2+$BD412+$BE412+$BF412+$BH412)*$BG412)*$BJ412, 1.05))+$BC412</f>
        <v>88</v>
      </c>
      <c r="BL412" s="1" t="n">
        <f aca="false">INT(POWER((((Constants!$G$1+$BD412+$BE412+$BF412+$BH412)*($BG412))*$BI412),IF($J412="wagon",1,1.2)))+$BB412</f>
        <v>114</v>
      </c>
      <c r="BM412" s="17" t="n">
        <f aca="false">BK412*IF($J412="wagon",62.5,781.25)</f>
        <v>68750</v>
      </c>
      <c r="BN412" s="17" t="n">
        <f aca="false">BL412*IF($J412="wagon",2.73,81.25)</f>
        <v>9262.5</v>
      </c>
      <c r="BU412" s="1" t="str">
        <f aca="false">IF(J412="locomotive","B","")</f>
        <v/>
      </c>
      <c r="BV412" s="1" t="str">
        <f aca="false">IF(OR($J412="locomotive",$J412="wagon"),"B","")</f>
        <v/>
      </c>
      <c r="BX412" s="1" t="s">
        <v>1252</v>
      </c>
      <c r="BY412" s="1" t="n">
        <v>1</v>
      </c>
      <c r="BZ412" s="1" t="n">
        <v>120</v>
      </c>
      <c r="CC412" s="1" t="s">
        <v>367</v>
      </c>
      <c r="CD412" s="1" t="str">
        <f aca="false">VLOOKUP(M412,Eras!$A$2:$C$10, 2, TRUE())</f>
        <v>mod</v>
      </c>
      <c r="CE412" s="1" t="s">
        <v>1483</v>
      </c>
      <c r="CF412" s="1" t="str">
        <f aca="false">CONCATENATE(CD412,"_",CE412)</f>
        <v>mod_LU</v>
      </c>
      <c r="CG412" s="1" t="str">
        <f aca="false">_xlfn.CONCAT(K412, "_",L412)</f>
        <v>tube_FOURTH_RAIL</v>
      </c>
      <c r="CH412" s="7" t="str">
        <f aca="false">_xlfn.CONCAT("{BLACK}Length: {GOLD}", TEXT(ROUNDUP(IF(AS412&lt;&gt;"",SUM(VALUE(_xlfn.TEXTSPLIT(AS412, ","))), SUM(VALUE(_xlfn.TEXTSPLIT(AP412, ",")))*IF(P412, P412, 1))/16, 1), "#,##0.0"), " tiles{}")</f>
        <v>{BLACK}Length: {GOLD}3.8 tiles{}</v>
      </c>
      <c r="CI412" s="1" t="str">
        <f aca="false">IF(0, VLOOKUP($CG412, Constants!$M:$N, 2, FALSE()),"")</f>
        <v/>
      </c>
      <c r="CJ412" s="1" t="str">
        <f aca="false">IF(P412&gt;1,_xlfn.CONCAT("{BLACK}Cars: {GOLD}", P412),"")</f>
        <v>{BLACK}Cars: {GOLD}6</v>
      </c>
      <c r="CK412" s="1" t="s">
        <v>1570</v>
      </c>
      <c r="CL412" s="1" t="str">
        <f aca="false">IF($BX412="concept_trains","{GREEN}Concept Vehicle",IF($BX412="!param_no_gameplay_units","{GREEN}Included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{YELLOW}35% penalty for long distance travel{}</v>
      </c>
      <c r="CN412" s="1" t="str">
        <f aca="false">_xlfn.CONCAT(CI412,IF(CI412&lt;&gt;""," ",""),CJ412,IF(OR(CJ412&lt;&gt;"",CI412&lt;&gt;""),"{}",""),CH412,CM412,"{SILVER}",CK412,IF(CL412&lt;&gt;"","{}{}",""),CL412)</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413" customFormat="false" ht="14.25" hidden="false" customHeight="false" outlineLevel="0" collapsed="false">
      <c r="A413" s="1" t="s">
        <v>1571</v>
      </c>
      <c r="B413" s="15" t="s">
        <v>1572</v>
      </c>
      <c r="C413" s="1" t="n">
        <v>308</v>
      </c>
      <c r="E413" s="1" t="n">
        <v>624</v>
      </c>
      <c r="G413" s="1" t="str">
        <f aca="false">IF($F413&lt;&gt;"",_xlfn.CONCAT(VLOOKUP($CE413, Constants!$T:$U, 2, FALSE()),",",$F413),VLOOKUP($CE413, Constants!$T:$U, 2, FALSE()))</f>
        <v>role/passenger</v>
      </c>
      <c r="H413" s="1" t="str">
        <f aca="false">IF($G413&lt;&gt;"",_xlfn.CONCAT(VLOOKUP($CG413, Constants!$M:$P, 4, FALSE()),",",$G413),VLOOKUP($CG413, Constants!$M:$P, 4, FALSE()))</f>
        <v>flag/GB,power/electric,role/passenger</v>
      </c>
      <c r="I413" s="1" t="s">
        <v>241</v>
      </c>
      <c r="J413" s="1" t="s">
        <v>466</v>
      </c>
      <c r="K413" s="1" t="s">
        <v>1481</v>
      </c>
      <c r="L413" s="1" t="s">
        <v>1482</v>
      </c>
      <c r="M413" s="1" t="n">
        <v>2025</v>
      </c>
      <c r="P413" s="1" t="n">
        <v>9</v>
      </c>
      <c r="Q413" s="1" t="n">
        <v>3400</v>
      </c>
      <c r="Z413" s="1" t="n">
        <v>190</v>
      </c>
      <c r="AB413" s="1" t="n">
        <v>10</v>
      </c>
      <c r="AC413" s="1" t="n">
        <v>160</v>
      </c>
      <c r="AD413" s="4" t="n">
        <f aca="false">IF(AND(Z413&gt;0,AC413&gt;0),(AC413/((Z413+AA413)*10)),"")</f>
        <v>0.0842105263157895</v>
      </c>
      <c r="AE413" s="1" t="n">
        <v>62</v>
      </c>
      <c r="AF413" s="1" t="n">
        <f aca="false">ROUND(AE413*1.6, 0)</f>
        <v>99</v>
      </c>
      <c r="AH413" s="1" t="n">
        <v>15.6</v>
      </c>
      <c r="AI413" s="1" t="n">
        <v>15.6</v>
      </c>
      <c r="AJ413" s="1" t="n">
        <v>2.6</v>
      </c>
      <c r="AK413" s="1" t="n">
        <v>2.8</v>
      </c>
      <c r="AL413" s="5" t="n">
        <v>119</v>
      </c>
      <c r="AM413" s="1" t="str">
        <f aca="false">CONCATENATE(VLOOKUP(AN413, 'Voxel Sizes'!$A$2:$B$18,2,FALSE()),"x",INT(AJ413*15), "x", INT(AK413*15))</f>
        <v>152x39x42</v>
      </c>
      <c r="AN413" s="1" t="n">
        <f aca="false">ROUND(15*((AI413*10)/256),0)</f>
        <v>9</v>
      </c>
      <c r="AP413" s="1" t="str">
        <f aca="false">CONCATENATE(VLOOKUP(AN413,Constants!$A$2:$C$16,IF(AO413&lt;&gt;"", 3, 2), FALSE()),IF(AO413&lt;&gt;"",CONCATENATE(",",VLOOKUP(AO413,$B:$AP,41,FALSE())),""))</f>
        <v>2,5,2</v>
      </c>
      <c r="AR413" s="6" t="str">
        <f aca="false">LU_NTFL_UL</f>
        <v>2,5,2,2,2,2,2,4,2,2,2,2,2,4,2,2,2,2,2,4,2,2,2,2,2,5,2</v>
      </c>
      <c r="AS413" s="6" t="str">
        <f aca="false">LU_NTFL_VLEN</f>
        <v>9,6,8,6,8,6,8,6,9</v>
      </c>
      <c r="AT413" s="1" t="str">
        <f aca="false">LU_NTFL_VEH</f>
        <v>lu_ntfl,lu_ntfl_mid1,lu_ntfl_mid2,lu_ntfl_mid1,lu_ntfl_mid2,lu_ntfl_mid1,lu_ntfl_mid2,lu_ntfl_mid1,lu_ntfl_rear</v>
      </c>
      <c r="AV413" s="1" t="str">
        <f aca="false">LU_NTFL_NS</f>
        <v>1,1,1,0,0,0,0,0,1</v>
      </c>
      <c r="AZ413" s="1" t="n">
        <v>32</v>
      </c>
      <c r="BA413" s="16" t="str">
        <f aca="false">IF(O413&lt;&gt;"",MAX(16,(O413-M413)+8),"")</f>
        <v/>
      </c>
      <c r="BB413" s="1" t="n">
        <v>-25</v>
      </c>
      <c r="BD413" s="1" t="n">
        <f aca="false">MIN(AE413/150, 1)*30</f>
        <v>12.4</v>
      </c>
      <c r="BE413" s="1" t="n">
        <f aca="false">MIN(Q413/4000, 1)*20</f>
        <v>17</v>
      </c>
      <c r="BF413" s="1" t="n">
        <f aca="false">MIN(AC413/400,1)*20</f>
        <v>8</v>
      </c>
      <c r="BG413" s="4" t="n">
        <f aca="false">1-(MAX(M413-1900, 0)/750)</f>
        <v>0.833333333333333</v>
      </c>
      <c r="BH413" s="1" t="n">
        <f aca="false">((MAX($P413,1)*MIN($AL413/300,1)))*IF(J413="Wagon",50,10)</f>
        <v>35.7</v>
      </c>
      <c r="BI413" s="1" t="n">
        <f aca="false">VLOOKUP($K413,Constants!$I:$K, 2, FALSE())</f>
        <v>0.9</v>
      </c>
      <c r="BJ413" s="1" t="n">
        <f aca="false">VLOOKUP($K413,Constants!$I:$K, 3, FALSE())*IF(AND(J413="multiple_unit",AE413&lt;110),0.75,1)</f>
        <v>1.2</v>
      </c>
      <c r="BK413" s="1" t="n">
        <f aca="false">INT(POWER(((Constants!$G$2+$BD413+$BE413+$BF413+$BH413)*$BG413)*$BJ413, 1.05))+$BC413</f>
        <v>97</v>
      </c>
      <c r="BL413" s="1" t="n">
        <f aca="false">INT(POWER((((Constants!$G$1+$BD413+$BE413+$BF413+$BH413)*($BG413))*$BI413),IF($J413="wagon",1,1.2)))+$BB413</f>
        <v>127</v>
      </c>
      <c r="BM413" s="17" t="n">
        <f aca="false">BK413*IF($J413="wagon",62.5,781.25)</f>
        <v>75781.25</v>
      </c>
      <c r="BN413" s="17" t="n">
        <f aca="false">BL413*IF($J413="wagon",2.73,81.25)</f>
        <v>10318.75</v>
      </c>
      <c r="BU413" s="1" t="str">
        <f aca="false">IF(J413="locomotive","B","")</f>
        <v/>
      </c>
      <c r="BV413" s="1" t="str">
        <f aca="false">IF(OR($J413="locomotive",$J413="wagon"),"B","")</f>
        <v/>
      </c>
      <c r="BY413" s="1" t="n">
        <v>6</v>
      </c>
      <c r="BZ413" s="1" t="n">
        <v>120</v>
      </c>
      <c r="CC413" s="1" t="s">
        <v>367</v>
      </c>
      <c r="CD413" s="1" t="str">
        <f aca="false">VLOOKUP(M413,Eras!$A$2:$C$10, 2, TRUE())</f>
        <v>mod</v>
      </c>
      <c r="CE413" s="1" t="s">
        <v>1483</v>
      </c>
      <c r="CF413" s="1" t="str">
        <f aca="false">CONCATENATE(CD413,"_",CE413)</f>
        <v>mod_LU</v>
      </c>
      <c r="CG413" s="1" t="str">
        <f aca="false">_xlfn.CONCAT(K413, "_",L413)</f>
        <v>tube_FOURTH_RAIL</v>
      </c>
      <c r="CH413" s="7" t="str">
        <f aca="false">_xlfn.CONCAT("{BLACK}Length: {GOLD}", TEXT(ROUNDUP(IF(AS413&lt;&gt;"",SUM(VALUE(_xlfn.TEXTSPLIT(AS413, ","))), SUM(VALUE(_xlfn.TEXTSPLIT(AP413, ",")))*IF(P413, P413, 1))/16, 1), "#,##0.0"), " tiles{}")</f>
        <v>{BLACK}Length: {GOLD}4.2 tiles{}</v>
      </c>
      <c r="CI413" s="1" t="str">
        <f aca="false">IF(0, VLOOKUP($CG413, Constants!$M:$N, 2, FALSE()),"")</f>
        <v/>
      </c>
      <c r="CJ413" s="1" t="str">
        <f aca="false">IF(P413&gt;1,_xlfn.CONCAT("{BLACK}Cars: {GOLD}", P413),"")</f>
        <v>{BLACK}Cars: {GOLD}9</v>
      </c>
      <c r="CK413" s="1" t="s">
        <v>1573</v>
      </c>
      <c r="CL413" s="1" t="str">
        <f aca="false">IF($BX413="concept_trains","{GREEN}Concept Vehicle",IF($BX413="!param_no_gameplay_units","{GREEN}Included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{YELLOW}35% penalty for long distance travel{}</v>
      </c>
      <c r="CN413" s="1" t="str">
        <f aca="false">_xlfn.CONCAT(CI413,IF(CI413&lt;&gt;""," ",""),CJ413,IF(OR(CJ413&lt;&gt;"",CI413&lt;&gt;""),"{}",""),CH413,CM413,"{SILVER}",CK413,IF(CL413&lt;&gt;"","{}{}",""),CL413)</f>
        <v>{BLACK}Cars: {GOLD}9{}{BLACK}Length: {GOLD}4.2 tiles{}{YELLOW}35% penalty for long distance travel{}{SILVER}The New Tube for London is intended to replace all of London Underground's existing deep-level Tube stock, starting with the 1973 stock on the Piccadilly Line.</v>
      </c>
    </row>
    <row r="414" customFormat="false" ht="14.25" hidden="false" customHeight="false" outlineLevel="0" collapsed="false">
      <c r="A414" s="1" t="s">
        <v>1574</v>
      </c>
      <c r="B414" s="15" t="s">
        <v>1575</v>
      </c>
      <c r="C414" s="1" t="n">
        <v>309</v>
      </c>
      <c r="E414" s="1" t="n">
        <v>625</v>
      </c>
      <c r="G414" s="1" t="str">
        <f aca="false">IF($F414&lt;&gt;"",_xlfn.CONCAT(VLOOKUP($CE414, Constants!$T:$U, 2, FALSE()),",",$F414),VLOOKUP($CE414, Constants!$T:$U, 2, FALSE()))</f>
        <v>role/passenger</v>
      </c>
      <c r="H414" s="1" t="str">
        <f aca="false">IF($G414&lt;&gt;"",_xlfn.CONCAT(VLOOKUP($CG414, Constants!$M:$P, 4, FALSE()),",",$G414),VLOOKUP($CG414, Constants!$M:$P, 4, FALSE()))</f>
        <v>flag/GB,power/electric,role/passenger</v>
      </c>
      <c r="I414" s="1" t="s">
        <v>241</v>
      </c>
      <c r="J414" s="1" t="s">
        <v>466</v>
      </c>
      <c r="K414" s="1" t="s">
        <v>1481</v>
      </c>
      <c r="L414" s="1" t="s">
        <v>1482</v>
      </c>
      <c r="M414" s="1" t="n">
        <v>1980</v>
      </c>
      <c r="P414" s="1" t="n">
        <v>3</v>
      </c>
      <c r="Q414" s="1" t="n">
        <v>300</v>
      </c>
      <c r="Z414" s="1" t="n">
        <v>60</v>
      </c>
      <c r="AB414" s="1" t="n">
        <v>9</v>
      </c>
      <c r="AC414" s="1" t="n">
        <v>45</v>
      </c>
      <c r="AD414" s="4" t="n">
        <f aca="false">IF(AND(Z414&gt;0,AC414&gt;0),(AC414/((Z414+AA414)*10)),"")</f>
        <v>0.075</v>
      </c>
      <c r="AE414" s="1" t="n">
        <v>34</v>
      </c>
      <c r="AF414" s="1" t="n">
        <f aca="false">ROUND(AE414*1.6, 0)</f>
        <v>54</v>
      </c>
      <c r="AH414" s="1" t="n">
        <v>12.58</v>
      </c>
      <c r="AI414" s="1" t="n">
        <v>12.58</v>
      </c>
      <c r="AJ414" s="1" t="n">
        <v>2.34</v>
      </c>
      <c r="AK414" s="1" t="n">
        <v>2.65</v>
      </c>
      <c r="AL414" s="5" t="n">
        <v>90</v>
      </c>
      <c r="AM414" s="1" t="str">
        <f aca="false">CONCATENATE(VLOOKUP(AN414, 'Voxel Sizes'!$A$2:$B$18,2,FALSE()),"x",INT(AJ414*15), "x", INT(AK414*15))</f>
        <v>120x35x39</v>
      </c>
      <c r="AN414" s="1" t="n">
        <f aca="false">ROUND(15*((AI414*10)/256),0)</f>
        <v>7</v>
      </c>
      <c r="AP414" s="1" t="str">
        <f aca="false">CONCATENATE(VLOOKUP(AN414,Constants!$A$2:$C$16,IF(AO414&lt;&gt;"", 3, 2), FALSE()),IF(AO414&lt;&gt;"",CONCATENATE(",",VLOOKUP(AO414,$B:$AP,41,FALSE())),""))</f>
        <v>2,3,2</v>
      </c>
      <c r="AT414" s="1" t="s">
        <v>1576</v>
      </c>
      <c r="AV414" s="1" t="s">
        <v>468</v>
      </c>
      <c r="AZ414" s="1" t="n">
        <v>33</v>
      </c>
      <c r="BA414" s="16" t="str">
        <f aca="false">IF(O414&lt;&gt;"",MAX(16,(O414-M414)+8),"")</f>
        <v/>
      </c>
      <c r="BD414" s="1" t="n">
        <f aca="false">MIN(AE414/150, 1)*30</f>
        <v>6.8</v>
      </c>
      <c r="BE414" s="1" t="n">
        <f aca="false">MIN(Q414/4000, 1)*20</f>
        <v>1.5</v>
      </c>
      <c r="BF414" s="1" t="n">
        <f aca="false">MIN(AC414/400,1)*20</f>
        <v>2.25</v>
      </c>
      <c r="BG414" s="4" t="n">
        <f aca="false">1-(MAX(M414-1900, 0)/750)</f>
        <v>0.893333333333333</v>
      </c>
      <c r="BH414" s="1" t="n">
        <f aca="false">((MAX($P414,1)*MIN($AL414/300,1)))*IF(J414="Wagon",50,10)</f>
        <v>9</v>
      </c>
      <c r="BI414" s="1" t="n">
        <f aca="false">VLOOKUP($K414,Constants!$I:$K, 2, FALSE())</f>
        <v>0.9</v>
      </c>
      <c r="BJ414" s="1" t="n">
        <f aca="false">VLOOKUP($K414,Constants!$I:$K, 3, FALSE())*IF(AND(J414="multiple_unit",AE414&lt;110),0.75,1)</f>
        <v>1.2</v>
      </c>
      <c r="BK414" s="1" t="n">
        <f aca="false">INT(POWER(((Constants!$G$2+$BD414+$BE414+$BF414+$BH414)*$BG414)*$BJ414, 1.05))+$BC414</f>
        <v>30</v>
      </c>
      <c r="BL414" s="1" t="n">
        <f aca="false">INT(POWER((((Constants!$G$1+$BD414+$BE414+$BF414+$BH414)*($BG414))*$BI414),IF($J414="wagon",1,1.2)))+$BB414</f>
        <v>54</v>
      </c>
      <c r="BM414" s="17" t="n">
        <f aca="false">BK414*IF($J414="wagon",62.5,781.25)</f>
        <v>23437.5</v>
      </c>
      <c r="BN414" s="17" t="n">
        <f aca="false">BL414*IF($J414="wagon",2.73,81.25)</f>
        <v>4387.5</v>
      </c>
      <c r="BU414" s="1" t="str">
        <f aca="false">IF(J414="locomotive","B","")</f>
        <v/>
      </c>
      <c r="BV414" s="1" t="str">
        <f aca="false">IF(OR($J414="locomotive",$J414="wagon"),"B","")</f>
        <v/>
      </c>
      <c r="BY414" s="1" t="n">
        <v>5</v>
      </c>
      <c r="BZ414" s="1" t="n">
        <v>120</v>
      </c>
      <c r="CC414" s="1" t="s">
        <v>367</v>
      </c>
      <c r="CD414" s="1" t="str">
        <f aca="false">VLOOKUP(M414,Eras!$A$2:$C$10, 2, TRUE())</f>
        <v>lbr</v>
      </c>
      <c r="CE414" s="1" t="s">
        <v>1483</v>
      </c>
      <c r="CF414" s="1" t="str">
        <f aca="false">CONCATENATE(CD414,"_",CE414)</f>
        <v>lbr_LU</v>
      </c>
      <c r="CG414" s="1" t="str">
        <f aca="false">_xlfn.CONCAT(K414, "_",L414)</f>
        <v>tube_FOURTH_RAIL</v>
      </c>
      <c r="CH414" s="7" t="str">
        <f aca="false">_xlfn.CONCAT("{BLACK}Length: {GOLD}", TEXT(ROUNDUP(IF(AS414&lt;&gt;"",SUM(VALUE(_xlfn.TEXTSPLIT(AS414, ","))), SUM(VALUE(_xlfn.TEXTSPLIT(AP414, ",")))*IF(P414, P414, 1))/16, 1), "#,##0.0"), " tiles{}")</f>
        <v>{BLACK}Length: {GOLD}1.4 tiles{}</v>
      </c>
      <c r="CI414" s="1" t="str">
        <f aca="false">IF(0, VLOOKUP($CG414, Constants!$M:$N, 2, FALSE()),"")</f>
        <v/>
      </c>
      <c r="CJ414" s="1" t="str">
        <f aca="false">IF(P414&gt;1,_xlfn.CONCAT("{BLACK}Cars: {GOLD}", P414),"")</f>
        <v>{BLACK}Cars: {GOLD}3</v>
      </c>
      <c r="CK414" s="1" t="s">
        <v>1577</v>
      </c>
      <c r="CL414" s="1" t="str">
        <f aca="false">IF($BX414="concept_trains","{GREEN}Concept Vehicle",IF($BX414="!param_no_gameplay_units","{GREEN}Included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{YELLOW}35% penalty for long distance travel{}</v>
      </c>
      <c r="CN414" s="1" t="str">
        <f aca="false">_xlfn.CONCAT(CI414,IF(CI414&lt;&gt;""," ",""),CJ414,IF(OR(CJ414&lt;&gt;"",CI414&lt;&gt;""),"{}",""),CH414,CM414,"{SILVER}",CK414,IF(CL414&lt;&gt;"","{}{}",""),CL414)</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415" customFormat="false" ht="14.25" hidden="false" customHeight="false" outlineLevel="0" collapsed="false">
      <c r="A415" s="1" t="s">
        <v>1578</v>
      </c>
      <c r="B415" s="15" t="s">
        <v>1579</v>
      </c>
      <c r="C415" s="1" t="n">
        <v>10</v>
      </c>
      <c r="E415" s="1" t="n">
        <v>1001</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241</v>
      </c>
      <c r="J415" s="1" t="s">
        <v>1580</v>
      </c>
      <c r="K415" s="1" t="s">
        <v>1581</v>
      </c>
      <c r="L415" s="1" t="s">
        <v>243</v>
      </c>
      <c r="M415" s="1" t="n">
        <v>1700</v>
      </c>
      <c r="O415" s="1" t="n">
        <v>1870</v>
      </c>
      <c r="Z415" s="1" t="n">
        <v>8</v>
      </c>
      <c r="AB415" s="1" t="n">
        <v>3</v>
      </c>
      <c r="AD415" s="4" t="str">
        <f aca="false">IF(AND(Z415&gt;0,AC415&gt;0),(AC415/((Z415+AA415)*10)),"")</f>
        <v/>
      </c>
      <c r="AE415" s="1" t="n">
        <v>45</v>
      </c>
      <c r="AF415" s="1" t="n">
        <f aca="false">ROUND(AE415*1.6, 0)</f>
        <v>72</v>
      </c>
      <c r="AH415" s="1" t="n">
        <v>8</v>
      </c>
      <c r="AI415" s="1" t="n">
        <v>8</v>
      </c>
      <c r="AL415" s="5" t="n">
        <v>18</v>
      </c>
      <c r="AM415" s="1" t="str">
        <f aca="false">CONCATENATE(VLOOKUP(AN415, 'Voxel Sizes'!$A$2:$B$18,2,FALSE()),"x",INT(AJ415*15), "x", INT(AK415*15))</f>
        <v>82x0x0</v>
      </c>
      <c r="AN415" s="1" t="n">
        <f aca="false">ROUND(15*((AI415*10)/256),0)</f>
        <v>5</v>
      </c>
      <c r="AP415" s="1" t="str">
        <f aca="false">CONCATENATE(VLOOKUP(AN415,Constants!$A$2:$C$16,IF(AO415&lt;&gt;"", 3, 2), FALSE()),IF(AO415&lt;&gt;"",CONCATENATE(",",VLOOKUP(AO415,$B:$AP,41,FALSE())),""))</f>
        <v>2,1,2</v>
      </c>
      <c r="AZ415" s="1" t="n">
        <v>30</v>
      </c>
      <c r="BA415" s="16" t="n">
        <f aca="false">IF(O415&lt;&gt;"",MAX(16,(O415-M415)+8),"")</f>
        <v>178</v>
      </c>
      <c r="BB415" s="1" t="n">
        <v>10</v>
      </c>
      <c r="BC415" s="1" t="n">
        <v>10</v>
      </c>
      <c r="BD415" s="1" t="n">
        <f aca="false">MIN(AE415/150, 1)*30</f>
        <v>9</v>
      </c>
      <c r="BE415" s="1" t="n">
        <f aca="false">MIN(Q415/4000, 1)*20</f>
        <v>0</v>
      </c>
      <c r="BF415" s="1" t="n">
        <f aca="false">MIN(AC415/400,1)*20</f>
        <v>0</v>
      </c>
      <c r="BG415" s="4" t="n">
        <f aca="false">1-(MAX(M415-1900, 0)/750)</f>
        <v>1</v>
      </c>
      <c r="BH415" s="1" t="n">
        <f aca="false">((MAX($P415,1)*MIN($AL415/300,1)))*IF(J415="Wagon",50,10)</f>
        <v>3</v>
      </c>
      <c r="BI415" s="1" t="n">
        <f aca="false">VLOOKUP($K415,Constants!$I:$K, 2, FALSE())</f>
        <v>1.2</v>
      </c>
      <c r="BJ415" s="1" t="n">
        <f aca="false">VLOOKUP($K415,Constants!$I:$K, 3, FALSE())*IF(AND(J415="multiple_unit",AE415&lt;110),0.75,1)</f>
        <v>0.6</v>
      </c>
      <c r="BK415" s="1" t="n">
        <f aca="false">INT(POWER(((Constants!$G$2+$BD415+$BE415+$BF415+$BH415)*$BG415)*$BJ415, 1.05))+$BC415</f>
        <v>21</v>
      </c>
      <c r="BL415" s="1" t="n">
        <f aca="false">INT(POWER((((Constants!$G$1+$BD415+$BE415+$BF415+$BH415)*($BG415))*$BI415),IF($J415="wagon",1,1.2)))+$BB415</f>
        <v>42</v>
      </c>
      <c r="BM415" s="17" t="n">
        <f aca="false">BK415*IF($J415="wagon",62.5,781.25)</f>
        <v>1312.5</v>
      </c>
      <c r="BN415" s="17" t="n">
        <f aca="false">BL415*IF($J415="wagon",2.73,81.25)</f>
        <v>114.66</v>
      </c>
      <c r="BU415" s="1" t="str">
        <f aca="false">IF(J415="locomotive","B","")</f>
        <v/>
      </c>
      <c r="BV415" s="1" t="str">
        <f aca="false">IF(OR($J415="locomotive",$J415="wagon"),"B","")</f>
        <v>B</v>
      </c>
      <c r="BY415" s="1" t="n">
        <v>10</v>
      </c>
      <c r="BZ415" s="1" t="n">
        <v>185</v>
      </c>
      <c r="CB415" s="1" t="s">
        <v>366</v>
      </c>
      <c r="CC415" s="1" t="s">
        <v>367</v>
      </c>
      <c r="CD415" s="1" t="str">
        <f aca="false">VLOOKUP(M415,Eras!$A$2:$C$10, 2, TRUE())</f>
        <v>early</v>
      </c>
      <c r="CE415" s="1" t="s">
        <v>1582</v>
      </c>
      <c r="CF415" s="1" t="str">
        <f aca="false">CONCATENATE(CD415,"_",CE415)</f>
        <v>early_Carriage</v>
      </c>
      <c r="CG415" s="1" t="str">
        <f aca="false">_xlfn.CONCAT(K415, "_",L415)</f>
        <v>carriage_PLATEWAY</v>
      </c>
      <c r="CH415" s="7" t="str">
        <f aca="false">_xlfn.CONCAT("{BLACK}Length: {GOLD}", TEXT(ROUNDUP(IF(AS415&lt;&gt;"",SUM(VALUE(_xlfn.TEXTSPLIT(AS415, ","))), SUM(VALUE(_xlfn.TEXTSPLIT(AP415, ",")))*IF(P415, P415, 1))/16, 1), "#,##0.0"), " tiles{}")</f>
        <v>{BLACK}Length: {GOLD}0.4 tiles{}</v>
      </c>
      <c r="CI415" s="1" t="str">
        <f aca="false">IF(0, VLOOKUP($CG415, Constants!$M:$N, 2, FALSE()),"")</f>
        <v/>
      </c>
      <c r="CJ415" s="1" t="str">
        <f aca="false">IF(P415&gt;1,_xlfn.CONCAT("{BLACK}Cars: {GOLD}", P415),"")</f>
        <v/>
      </c>
      <c r="CK415" s="1" t="s">
        <v>1583</v>
      </c>
      <c r="CL415" s="1" t="str">
        <f aca="false">IF($BX415="concept_trains","{GREEN}Concept Vehicle",IF($BX415="!param_no_gameplay_units","{GREEN}Included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
      </c>
      <c r="CN415" s="1" t="str">
        <f aca="false">_xlfn.CONCAT(CI415,IF(CI415&lt;&gt;""," ",""),CJ415,IF(OR(CJ415&lt;&gt;"",CI415&lt;&gt;""),"{}",""),CH415,CM415,"{SILVER}",CK415,IF(CL415&lt;&gt;"","{}{}",""),CL415)</f>
        <v>{BLACK}Length: {GOLD}0.4 tiles{}{SILVER}The first enclosed passenger carriages were adapted from stagecoach bodies, with wooden frames.</v>
      </c>
    </row>
    <row r="416" customFormat="false" ht="14.25" hidden="false" customHeight="false" outlineLevel="0" collapsed="false">
      <c r="A416" s="1" t="s">
        <v>1584</v>
      </c>
      <c r="B416" s="15" t="s">
        <v>1585</v>
      </c>
      <c r="C416" s="1" t="n">
        <v>11</v>
      </c>
      <c r="E416" s="1" t="n">
        <v>1002</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241</v>
      </c>
      <c r="J416" s="1" t="s">
        <v>1580</v>
      </c>
      <c r="K416" s="1" t="s">
        <v>1581</v>
      </c>
      <c r="L416" s="1" t="s">
        <v>192</v>
      </c>
      <c r="M416" s="1" t="n">
        <v>1855</v>
      </c>
      <c r="O416" s="1" t="n">
        <v>1900</v>
      </c>
      <c r="Z416" s="1" t="n">
        <v>18</v>
      </c>
      <c r="AB416" s="1" t="n">
        <v>4</v>
      </c>
      <c r="AD416" s="4" t="str">
        <f aca="false">IF(AND(Z416&gt;0,AC416&gt;0),(AC416/((Z416+AA416)*10)),"")</f>
        <v/>
      </c>
      <c r="AE416" s="1" t="n">
        <v>65</v>
      </c>
      <c r="AF416" s="1" t="n">
        <f aca="false">ROUND(AE416*1.6, 0)</f>
        <v>104</v>
      </c>
      <c r="AH416" s="1" t="n">
        <v>10</v>
      </c>
      <c r="AI416" s="1" t="n">
        <v>10</v>
      </c>
      <c r="AL416" s="5" t="n">
        <v>24</v>
      </c>
      <c r="AM416" s="1" t="str">
        <f aca="false">CONCATENATE(VLOOKUP(AN416, 'Voxel Sizes'!$A$2:$B$18,2,FALSE()),"x",INT(AJ416*15), "x", INT(AK416*15))</f>
        <v>102x0x0</v>
      </c>
      <c r="AN416" s="1" t="n">
        <f aca="false">ROUND(15*((AI416*10)/256),0)</f>
        <v>6</v>
      </c>
      <c r="AP416" s="1" t="str">
        <f aca="false">CONCATENATE(VLOOKUP(AN416,Constants!$A$2:$C$16,IF(AO416&lt;&gt;"", 3, 2), FALSE()),IF(AO416&lt;&gt;"",CONCATENATE(",",VLOOKUP(AO416,$B:$AP,41,FALSE())),""))</f>
        <v>2,2,2</v>
      </c>
      <c r="AZ416" s="1" t="n">
        <v>30</v>
      </c>
      <c r="BA416" s="16" t="n">
        <f aca="false">IF(O416&lt;&gt;"",MAX(16,(O416-M416)+8),"")</f>
        <v>53</v>
      </c>
      <c r="BB416" s="1" t="n">
        <v>35</v>
      </c>
      <c r="BC416" s="1" t="n">
        <v>42</v>
      </c>
      <c r="BD416" s="1" t="n">
        <f aca="false">MIN(AE416/150, 1)*30</f>
        <v>13</v>
      </c>
      <c r="BE416" s="1" t="n">
        <f aca="false">MIN(Q416/4000, 1)*20</f>
        <v>0</v>
      </c>
      <c r="BF416" s="1" t="n">
        <f aca="false">MIN(AC416/400,1)*20</f>
        <v>0</v>
      </c>
      <c r="BG416" s="4" t="n">
        <f aca="false">1-(MAX(M416-1900, 0)/750)</f>
        <v>1</v>
      </c>
      <c r="BH416" s="1" t="n">
        <f aca="false">((MAX($P416,1)*MIN($AL416/300,1)))*IF(J416="Wagon",50,10)</f>
        <v>4</v>
      </c>
      <c r="BI416" s="1" t="n">
        <f aca="false">VLOOKUP($K416,Constants!$I:$K, 2, FALSE())</f>
        <v>1.2</v>
      </c>
      <c r="BJ416" s="1" t="n">
        <f aca="false">VLOOKUP($K416,Constants!$I:$K, 3, FALSE())*IF(AND(J416="multiple_unit",AE416&lt;110),0.75,1)</f>
        <v>0.6</v>
      </c>
      <c r="BK416" s="1" t="n">
        <f aca="false">INT(POWER(((Constants!$G$2+$BD416+$BE416+$BF416+$BH416)*$BG416)*$BJ416, 1.05))+$BC416</f>
        <v>57</v>
      </c>
      <c r="BL416" s="1" t="n">
        <f aca="false">INT(POWER((((Constants!$G$1+$BD416+$BE416+$BF416+$BH416)*($BG416))*$BI416),IF($J416="wagon",1,1.2)))+$BB416</f>
        <v>73</v>
      </c>
      <c r="BM416" s="17" t="n">
        <f aca="false">BK416*IF($J416="wagon",62.5,781.25)</f>
        <v>3562.5</v>
      </c>
      <c r="BN416" s="17" t="n">
        <f aca="false">BL416*IF($J416="wagon",2.73,81.25)</f>
        <v>199.29</v>
      </c>
      <c r="BU416" s="1" t="str">
        <f aca="false">IF(J416="locomotive","B","")</f>
        <v/>
      </c>
      <c r="BV416" s="1" t="str">
        <f aca="false">IF(OR($J416="locomotive",$J416="wagon"),"B","")</f>
        <v>B</v>
      </c>
      <c r="BY416" s="1" t="n">
        <v>10</v>
      </c>
      <c r="BZ416" s="1" t="n">
        <v>185</v>
      </c>
      <c r="CB416" s="1" t="s">
        <v>366</v>
      </c>
      <c r="CC416" s="1" t="s">
        <v>367</v>
      </c>
      <c r="CD416" s="1" t="str">
        <f aca="false">VLOOKUP(M416,Eras!$A$2:$C$10, 2, TRUE())</f>
        <v>vct</v>
      </c>
      <c r="CE416" s="1" t="s">
        <v>1582</v>
      </c>
      <c r="CF416" s="1" t="str">
        <f aca="false">CONCATENATE(CD416,"_",CE416)</f>
        <v>vct_Carriage</v>
      </c>
      <c r="CG416" s="1" t="str">
        <f aca="false">_xlfn.CONCAT(K416, "_",L416)</f>
        <v>carriage_RAIL</v>
      </c>
      <c r="CH416" s="7" t="str">
        <f aca="false">_xlfn.CONCAT("{BLACK}Length: {GOLD}", TEXT(ROUNDUP(IF(AS416&lt;&gt;"",SUM(VALUE(_xlfn.TEXTSPLIT(AS416, ","))), SUM(VALUE(_xlfn.TEXTSPLIT(AP416, ",")))*IF(P416, P416, 1))/16, 1), "#,##0.0"), " tiles{}")</f>
        <v>{BLACK}Length: {GOLD}0.4 tiles{}</v>
      </c>
      <c r="CI416" s="1" t="str">
        <f aca="false">IF(0, VLOOKUP($CG416, Constants!$M:$N, 2, FALSE()),"")</f>
        <v/>
      </c>
      <c r="CJ416" s="1" t="str">
        <f aca="false">IF(P416&gt;1,_xlfn.CONCAT("{BLACK}Cars: {GOLD}", P416),"")</f>
        <v/>
      </c>
      <c r="CK416" s="1" t="s">
        <v>1586</v>
      </c>
      <c r="CL416" s="1" t="str">
        <f aca="false">IF($BX416="concept_trains","{GREEN}Concept Vehicle",IF($BX416="!param_no_gameplay_units","{GREEN}Included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
      </c>
      <c r="CN416" s="1" t="str">
        <f aca="false">_xlfn.CONCAT(CI416,IF(CI416&lt;&gt;""," ",""),CJ416,IF(OR(CJ416&lt;&gt;"",CI416&lt;&gt;""),"{}",""),CH416,CM416,"{SILVER}",CK416,IF(CL416&lt;&gt;"","{}{}",""),CL416)</f>
        <v>{BLACK}Length: {GOLD}0.4 tiles{}{SILVER}Railway carriages from the 1850s to 1870s tended to be built on wooden or wrought iron frames of around 20-24ft in length, with oil lighting internally.</v>
      </c>
    </row>
    <row r="417" customFormat="false" ht="14.25" hidden="false" customHeight="true" outlineLevel="0" collapsed="false">
      <c r="A417" s="1" t="s">
        <v>1587</v>
      </c>
      <c r="B417" s="15" t="s">
        <v>1588</v>
      </c>
      <c r="C417" s="1" t="n">
        <v>12</v>
      </c>
      <c r="E417" s="1" t="n">
        <v>1003</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241</v>
      </c>
      <c r="J417" s="1" t="s">
        <v>1580</v>
      </c>
      <c r="K417" s="1" t="s">
        <v>1581</v>
      </c>
      <c r="L417" s="1" t="s">
        <v>192</v>
      </c>
      <c r="M417" s="1" t="n">
        <v>1875</v>
      </c>
      <c r="O417" s="1" t="n">
        <v>1915</v>
      </c>
      <c r="Z417" s="1" t="n">
        <v>21</v>
      </c>
      <c r="AB417" s="1" t="n">
        <v>4</v>
      </c>
      <c r="AD417" s="4" t="str">
        <f aca="false">IF(AND(Z417&gt;0,AC417&gt;0),(AC417/((Z417+AA417)*10)),"")</f>
        <v/>
      </c>
      <c r="AE417" s="1" t="n">
        <v>75</v>
      </c>
      <c r="AF417" s="1" t="n">
        <f aca="false">ROUND(AE417*1.6, 0)</f>
        <v>120</v>
      </c>
      <c r="AH417" s="1" t="n">
        <v>12</v>
      </c>
      <c r="AI417" s="1" t="n">
        <v>12</v>
      </c>
      <c r="AL417" s="5" t="n">
        <v>30</v>
      </c>
      <c r="AM417" s="1" t="str">
        <f aca="false">CONCATENATE(VLOOKUP(AN417, 'Voxel Sizes'!$A$2:$B$18,2,FALSE()),"x",INT(AJ417*15), "x", INT(AK417*15))</f>
        <v>120x0x0</v>
      </c>
      <c r="AN417" s="1" t="n">
        <f aca="false">ROUND(15*((AI417*10)/256),0)</f>
        <v>7</v>
      </c>
      <c r="AP417" s="1" t="str">
        <f aca="false">CONCATENATE(VLOOKUP(AN417,Constants!$A$2:$C$16,IF(AO417&lt;&gt;"", 3, 2), FALSE()),IF(AO417&lt;&gt;"",CONCATENATE(",",VLOOKUP(AO417,$B:$AP,41,FALSE())),""))</f>
        <v>2,3,2</v>
      </c>
      <c r="AZ417" s="1" t="n">
        <v>30</v>
      </c>
      <c r="BA417" s="16" t="n">
        <f aca="false">IF(O417&lt;&gt;"",MAX(16,(O417-M417)+8),"")</f>
        <v>48</v>
      </c>
      <c r="BB417" s="1" t="n">
        <v>58</v>
      </c>
      <c r="BC417" s="1" t="n">
        <v>48</v>
      </c>
      <c r="BD417" s="1" t="n">
        <f aca="false">MIN(AE417/150, 1)*30</f>
        <v>15</v>
      </c>
      <c r="BE417" s="1" t="n">
        <f aca="false">MIN(Q417/4000, 1)*20</f>
        <v>0</v>
      </c>
      <c r="BF417" s="1" t="n">
        <f aca="false">MIN(AC417/400,1)*20</f>
        <v>0</v>
      </c>
      <c r="BG417" s="4" t="n">
        <f aca="false">1-(MAX(M417-1900, 0)/750)</f>
        <v>1</v>
      </c>
      <c r="BH417" s="1" t="n">
        <f aca="false">((MAX($P417,1)*MIN($AL417/300,1)))*IF(J417="Wagon",50,10)</f>
        <v>5</v>
      </c>
      <c r="BI417" s="1" t="n">
        <f aca="false">VLOOKUP($K417,Constants!$I:$K, 2, FALSE())</f>
        <v>1.2</v>
      </c>
      <c r="BJ417" s="1" t="n">
        <f aca="false">VLOOKUP($K417,Constants!$I:$K, 3, FALSE())*IF(AND(J417="multiple_unit",AE417&lt;110),0.75,1)</f>
        <v>0.6</v>
      </c>
      <c r="BK417" s="1" t="n">
        <f aca="false">INT(POWER(((Constants!$G$2+$BD417+$BE417+$BF417+$BH417)*$BG417)*$BJ417, 1.05))+$BC417</f>
        <v>65</v>
      </c>
      <c r="BL417" s="1" t="n">
        <f aca="false">INT(POWER((((Constants!$G$1+$BD417+$BE417+$BF417+$BH417)*($BG417))*$BI417),IF($J417="wagon",1,1.2)))+$BB417</f>
        <v>100</v>
      </c>
      <c r="BM417" s="17" t="n">
        <f aca="false">BK417*IF($J417="wagon",62.5,781.25)</f>
        <v>4062.5</v>
      </c>
      <c r="BN417" s="17" t="n">
        <f aca="false">BL417*IF($J417="wagon",2.73,81.25)</f>
        <v>273</v>
      </c>
      <c r="BU417" s="1" t="str">
        <f aca="false">IF(J417="locomotive","B","")</f>
        <v/>
      </c>
      <c r="BV417" s="1" t="str">
        <f aca="false">IF(OR($J417="locomotive",$J417="wagon"),"B","")</f>
        <v>B</v>
      </c>
      <c r="BY417" s="1" t="n">
        <v>11</v>
      </c>
      <c r="BZ417" s="1" t="n">
        <v>185</v>
      </c>
      <c r="CB417" s="1" t="s">
        <v>366</v>
      </c>
      <c r="CC417" s="1" t="s">
        <v>367</v>
      </c>
      <c r="CD417" s="1" t="str">
        <f aca="false">VLOOKUP(M417,Eras!$A$2:$C$10, 2, TRUE())</f>
        <v>vct</v>
      </c>
      <c r="CE417" s="1" t="s">
        <v>1582</v>
      </c>
      <c r="CF417" s="1" t="str">
        <f aca="false">CONCATENATE(CD417,"_",CE417)</f>
        <v>vct_Carriage</v>
      </c>
      <c r="CG417" s="1" t="str">
        <f aca="false">_xlfn.CONCAT(K417, "_",L417)</f>
        <v>carriage_RAIL</v>
      </c>
      <c r="CH417" s="7" t="str">
        <f aca="false">_xlfn.CONCAT("{BLACK}Length: {GOLD}", TEXT(ROUNDUP(IF(AS417&lt;&gt;"",SUM(VALUE(_xlfn.TEXTSPLIT(AS417, ","))), SUM(VALUE(_xlfn.TEXTSPLIT(AP417, ",")))*IF(P417, P417, 1))/16, 1), "#,##0.0"), " tiles{}")</f>
        <v>{BLACK}Length: {GOLD}0.5 tiles{}</v>
      </c>
      <c r="CI417" s="1" t="str">
        <f aca="false">IF(0, VLOOKUP($CG417, Constants!$M:$N, 2, FALSE()),"")</f>
        <v/>
      </c>
      <c r="CJ417" s="1" t="str">
        <f aca="false">IF(P417&gt;1,_xlfn.CONCAT("{BLACK}Cars: {GOLD}", P417),"")</f>
        <v/>
      </c>
      <c r="CK417" s="1" t="s">
        <v>1589</v>
      </c>
      <c r="CL417" s="1" t="str">
        <f aca="false">IF($BX417="concept_trains","{GREEN}Concept Vehicle",IF($BX417="!param_no_gameplay_units","{GREEN}Included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
      </c>
      <c r="CN417" s="1" t="str">
        <f aca="false">_xlfn.CONCAT(CI417,IF(CI417&lt;&gt;""," ",""),CJ417,IF(OR(CJ417&lt;&gt;"",CI417&lt;&gt;""),"{}",""),CH417,CM417,"{SILVER}",CK417,IF(CL417&lt;&gt;"","{}{}",""),CL417)</f>
        <v>{BLACK}Length: {GOLD}0.5 tiles{}{SILVER}After early experiments for royal saloons, smoother and faster-running six wheel carriages with then-modern fixtures such as gas lighting became common from the 1870s, displacing older four wheeled stock to smaller suburban lines.</v>
      </c>
    </row>
    <row r="418" customFormat="false" ht="14.25" hidden="false" customHeight="false" outlineLevel="0" collapsed="false">
      <c r="A418" s="1" t="s">
        <v>1590</v>
      </c>
      <c r="B418" s="15" t="s">
        <v>1591</v>
      </c>
      <c r="C418" s="1" t="n">
        <v>13</v>
      </c>
      <c r="E418" s="1" t="n">
        <v>1004</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1" t="s">
        <v>241</v>
      </c>
      <c r="J418" s="1" t="s">
        <v>1580</v>
      </c>
      <c r="K418" s="1" t="s">
        <v>1581</v>
      </c>
      <c r="L418" s="1" t="s">
        <v>1482</v>
      </c>
      <c r="M418" s="1" t="n">
        <v>1889</v>
      </c>
      <c r="O418" s="1" t="n">
        <v>1924</v>
      </c>
      <c r="Z418" s="1" t="n">
        <v>15</v>
      </c>
      <c r="AB418" s="1" t="n">
        <v>7</v>
      </c>
      <c r="AD418" s="4" t="str">
        <f aca="false">IF(AND(Z418&gt;0,AC418&gt;0),(AC418/((Z418+AA418)*10)),"")</f>
        <v/>
      </c>
      <c r="AE418" s="1" t="n">
        <v>30</v>
      </c>
      <c r="AF418" s="1" t="n">
        <f aca="false">ROUND(AE418*1.6, 0)</f>
        <v>48</v>
      </c>
      <c r="AH418" s="1" t="n">
        <v>14</v>
      </c>
      <c r="AI418" s="1" t="n">
        <v>14</v>
      </c>
      <c r="AL418" s="5" t="n">
        <v>66</v>
      </c>
      <c r="AM418" s="1" t="str">
        <f aca="false">CONCATENATE(VLOOKUP(AN418, 'Voxel Sizes'!$A$2:$B$18,2,FALSE()),"x",INT(AJ418*15), "x", INT(AK418*15))</f>
        <v>136x0x0</v>
      </c>
      <c r="AN418" s="1" t="n">
        <f aca="false">ROUND(15*((AI418*10)/256),0)</f>
        <v>8</v>
      </c>
      <c r="AP418" s="1" t="str">
        <f aca="false">CONCATENATE(VLOOKUP(AN418,Constants!$A$2:$C$16,IF(AO418&lt;&gt;"", 3, 2), FALSE()),IF(AO418&lt;&gt;"",CONCATENATE(",",VLOOKUP(AO418,$B:$AP,41,FALSE())),""))</f>
        <v>2,4,2</v>
      </c>
      <c r="AZ418" s="1" t="n">
        <v>30</v>
      </c>
      <c r="BA418" s="16" t="n">
        <f aca="false">IF(O418&lt;&gt;"",MAX(16,(O418-M418)+8),"")</f>
        <v>43</v>
      </c>
      <c r="BB418" s="1" t="n">
        <v>41</v>
      </c>
      <c r="BC418" s="1" t="n">
        <v>20</v>
      </c>
      <c r="BD418" s="1" t="n">
        <f aca="false">MIN(AE418/150, 1)*30</f>
        <v>6</v>
      </c>
      <c r="BE418" s="1" t="n">
        <f aca="false">MIN(Q418/4000, 1)*20</f>
        <v>0</v>
      </c>
      <c r="BF418" s="1" t="n">
        <f aca="false">MIN(AC418/400,1)*20</f>
        <v>0</v>
      </c>
      <c r="BG418" s="4" t="n">
        <f aca="false">1-(MAX(M418-1900, 0)/750)</f>
        <v>1</v>
      </c>
      <c r="BH418" s="1" t="n">
        <f aca="false">((MAX($P418,1)*MIN($AL418/300,1)))*IF(J418="Wagon",50,10)</f>
        <v>11</v>
      </c>
      <c r="BI418" s="1" t="n">
        <f aca="false">VLOOKUP($K418,Constants!$I:$K, 2, FALSE())</f>
        <v>1.2</v>
      </c>
      <c r="BJ418" s="1" t="n">
        <f aca="false">VLOOKUP($K418,Constants!$I:$K, 3, FALSE())*IF(AND(J418="multiple_unit",AE418&lt;110),0.75,1)</f>
        <v>0.6</v>
      </c>
      <c r="BK418" s="1" t="n">
        <f aca="false">INT(POWER(((Constants!$G$2+$BD418+$BE418+$BF418+$BH418)*$BG418)*$BJ418, 1.05))+$BC418</f>
        <v>35</v>
      </c>
      <c r="BL418" s="1" t="n">
        <f aca="false">INT(POWER((((Constants!$G$1+$BD418+$BE418+$BF418+$BH418)*($BG418))*$BI418),IF($J418="wagon",1,1.2)))+$BB418</f>
        <v>79</v>
      </c>
      <c r="BM418" s="17" t="n">
        <f aca="false">BK418*IF($J418="wagon",62.5,781.25)</f>
        <v>2187.5</v>
      </c>
      <c r="BN418" s="17" t="n">
        <f aca="false">BL418*IF($J418="wagon",2.73,81.25)</f>
        <v>215.67</v>
      </c>
      <c r="BU418" s="1" t="str">
        <f aca="false">IF(J418="locomotive","B","")</f>
        <v/>
      </c>
      <c r="BV418" s="1" t="str">
        <f aca="false">IF(OR($J418="locomotive",$J418="wagon"),"B","")</f>
        <v>B</v>
      </c>
      <c r="BY418" s="1" t="n">
        <v>1</v>
      </c>
      <c r="BZ418" s="1" t="n">
        <v>120</v>
      </c>
      <c r="CB418" s="1" t="s">
        <v>366</v>
      </c>
      <c r="CC418" s="1" t="s">
        <v>367</v>
      </c>
      <c r="CD418" s="1" t="str">
        <f aca="false">VLOOKUP(M418,Eras!$A$2:$C$10, 2, TRUE())</f>
        <v>vct</v>
      </c>
      <c r="CE418" s="1" t="s">
        <v>1582</v>
      </c>
      <c r="CF418" s="1" t="str">
        <f aca="false">CONCATENATE(CD418,"_",CE418)</f>
        <v>vct_Carriage</v>
      </c>
      <c r="CG418" s="1" t="str">
        <f aca="false">_xlfn.CONCAT(K418, "_",L418)</f>
        <v>carriage_FOURTH_RAIL</v>
      </c>
      <c r="CH418" s="7" t="str">
        <f aca="false">_xlfn.CONCAT("{BLACK}Length: {GOLD}", TEXT(ROUNDUP(IF(AS418&lt;&gt;"",SUM(VALUE(_xlfn.TEXTSPLIT(AS418, ","))), SUM(VALUE(_xlfn.TEXTSPLIT(AP418, ",")))*IF(P418, P418, 1))/16, 1), "#,##0.0"), " tiles{}")</f>
        <v>{BLACK}Length: {GOLD}0.5 tiles{}</v>
      </c>
      <c r="CI418" s="1" t="str">
        <f aca="false">IF(0, VLOOKUP($CG418, Constants!$M:$N, 2, FALSE()),"")</f>
        <v/>
      </c>
      <c r="CJ418" s="1" t="str">
        <f aca="false">IF(P418&gt;1,_xlfn.CONCAT("{BLACK}Cars: {GOLD}", P418),"")</f>
        <v/>
      </c>
      <c r="CK418" s="1" t="s">
        <v>1592</v>
      </c>
      <c r="CL418" s="1" t="str">
        <f aca="false">IF($BX418="concept_trains","{GREEN}Concept Vehicle",IF($BX418="!param_no_gameplay_units","{GREEN}Included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{YELLOW}35% penalty for long distance travel{}</v>
      </c>
      <c r="CN418" s="1" t="str">
        <f aca="false">_xlfn.CONCAT(CI418,IF(CI418&lt;&gt;""," ",""),CJ418,IF(OR(CJ418&lt;&gt;"",CI418&lt;&gt;""),"{}",""),CH418,CM418,"{SILVER}",CK418,IF(CL418&lt;&gt;"","{}{}",""),CL418)</f>
        <v>{BLACK}Length: {GOLD}0.5 tiles{}{YELLOW}35% penalty for long distance travel{}{SILVER}Early Tube carriages were nicknamed "Padded Cell" due to their tall cushion-backed seats and small windows.</v>
      </c>
    </row>
    <row r="419" customFormat="false" ht="14.25" hidden="false" customHeight="false" outlineLevel="0" collapsed="false">
      <c r="A419" s="1" t="s">
        <v>1593</v>
      </c>
      <c r="B419" s="15" t="s">
        <v>804</v>
      </c>
      <c r="C419" s="1" t="n">
        <v>14</v>
      </c>
      <c r="E419" s="1" t="n">
        <v>1005</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241</v>
      </c>
      <c r="J419" s="1" t="s">
        <v>1580</v>
      </c>
      <c r="K419" s="1" t="s">
        <v>1581</v>
      </c>
      <c r="L419" s="1" t="s">
        <v>192</v>
      </c>
      <c r="M419" s="1" t="n">
        <v>1892</v>
      </c>
      <c r="O419" s="1" t="n">
        <v>1935</v>
      </c>
      <c r="Z419" s="1" t="n">
        <v>28</v>
      </c>
      <c r="AB419" s="1" t="n">
        <v>4</v>
      </c>
      <c r="AD419" s="4" t="str">
        <f aca="false">IF(AND(Z419&gt;0,AC419&gt;0),(AC419/((Z419+AA419)*10)),"")</f>
        <v/>
      </c>
      <c r="AE419" s="1" t="n">
        <v>90</v>
      </c>
      <c r="AF419" s="1" t="n">
        <f aca="false">ROUND(AE419*1.6, 0)</f>
        <v>144</v>
      </c>
      <c r="AH419" s="1" t="n">
        <v>16.2</v>
      </c>
      <c r="AI419" s="1" t="n">
        <v>16.2</v>
      </c>
      <c r="AJ419" s="1" t="n">
        <v>2.8</v>
      </c>
      <c r="AL419" s="5" t="n">
        <v>42</v>
      </c>
      <c r="AM419" s="1" t="str">
        <f aca="false">CONCATENATE(VLOOKUP(AN419, 'Voxel Sizes'!$A$2:$B$18,2,FALSE()),"x",INT(AJ419*15), "x", INT(AK419*15))</f>
        <v>152x42x0</v>
      </c>
      <c r="AN419" s="1" t="n">
        <f aca="false">ROUND(15*((AI419*10)/256),0)</f>
        <v>9</v>
      </c>
      <c r="AP419" s="1" t="str">
        <f aca="false">CONCATENATE(VLOOKUP(AN419,Constants!$A$2:$C$16,IF(AO419&lt;&gt;"", 3, 2), FALSE()),IF(AO419&lt;&gt;"",CONCATENATE(",",VLOOKUP(AO419,$B:$AP,41,FALSE())),""))</f>
        <v>2,5,2</v>
      </c>
      <c r="AZ419" s="1" t="n">
        <v>30</v>
      </c>
      <c r="BA419" s="16" t="n">
        <f aca="false">IF(O419&lt;&gt;"",MAX(16,(O419-M419)+8),"")</f>
        <v>51</v>
      </c>
      <c r="BB419" s="1" t="n">
        <v>69</v>
      </c>
      <c r="BC419" s="1" t="n">
        <f aca="false">19*3</f>
        <v>57</v>
      </c>
      <c r="BD419" s="1" t="n">
        <f aca="false">MIN(AE419/150, 1)*30</f>
        <v>18</v>
      </c>
      <c r="BE419" s="1" t="n">
        <f aca="false">MIN(Q419/4000, 1)*20</f>
        <v>0</v>
      </c>
      <c r="BF419" s="1" t="n">
        <f aca="false">MIN(AC419/400,1)*20</f>
        <v>0</v>
      </c>
      <c r="BG419" s="4" t="n">
        <f aca="false">1-(MAX(M419-1900, 0)/750)</f>
        <v>1</v>
      </c>
      <c r="BH419" s="1" t="n">
        <f aca="false">((MAX($P419,1)*MIN($AL419/300,1)))*IF(J419="Wagon",50,10)</f>
        <v>7</v>
      </c>
      <c r="BI419" s="1" t="n">
        <f aca="false">VLOOKUP($K419,Constants!$I:$K, 2, FALSE())</f>
        <v>1.2</v>
      </c>
      <c r="BJ419" s="1" t="n">
        <f aca="false">VLOOKUP($K419,Constants!$I:$K, 3, FALSE())*IF(AND(J419="multiple_unit",AE419&lt;110),0.75,1)</f>
        <v>0.6</v>
      </c>
      <c r="BK419" s="1" t="n">
        <f aca="false">INT(POWER(((Constants!$G$2+$BD419+$BE419+$BF419+$BH419)*$BG419)*$BJ419, 1.05))+$BC419</f>
        <v>77</v>
      </c>
      <c r="BL419" s="1" t="n">
        <f aca="false">INT(POWER((((Constants!$G$1+$BD419+$BE419+$BF419+$BH419)*($BG419))*$BI419),IF($J419="wagon",1,1.2)))+$BB419</f>
        <v>117</v>
      </c>
      <c r="BM419" s="17" t="n">
        <f aca="false">BK419*IF($J419="wagon",62.5,781.25)</f>
        <v>4812.5</v>
      </c>
      <c r="BN419" s="17" t="n">
        <f aca="false">BL419*IF($J419="wagon",2.73,81.25)</f>
        <v>319.41</v>
      </c>
      <c r="BU419" s="1" t="str">
        <f aca="false">IF(J419="locomotive","B","")</f>
        <v/>
      </c>
      <c r="BV419" s="1" t="str">
        <f aca="false">IF(OR($J419="locomotive",$J419="wagon"),"B","")</f>
        <v>B</v>
      </c>
      <c r="BY419" s="1" t="n">
        <v>1</v>
      </c>
      <c r="BZ419" s="1" t="n">
        <v>185</v>
      </c>
      <c r="CB419" s="1" t="s">
        <v>366</v>
      </c>
      <c r="CC419" s="1" t="s">
        <v>367</v>
      </c>
      <c r="CD419" s="1" t="str">
        <f aca="false">VLOOKUP(M419,Eras!$A$2:$C$10, 2, TRUE())</f>
        <v>vct</v>
      </c>
      <c r="CE419" s="1" t="s">
        <v>1582</v>
      </c>
      <c r="CF419" s="1" t="str">
        <f aca="false">CONCATENATE(CD419,"_",CE419)</f>
        <v>vct_Carriage</v>
      </c>
      <c r="CG419" s="1" t="str">
        <f aca="false">_xlfn.CONCAT(K419, "_",L419)</f>
        <v>carriage_RAIL</v>
      </c>
      <c r="CH419" s="7" t="str">
        <f aca="false">_xlfn.CONCAT("{BLACK}Length: {GOLD}", TEXT(ROUNDUP(IF(AS419&lt;&gt;"",SUM(VALUE(_xlfn.TEXTSPLIT(AS419, ","))), SUM(VALUE(_xlfn.TEXTSPLIT(AP419, ",")))*IF(P419, P419, 1))/16, 1), "#,##0.0"), " tiles{}")</f>
        <v>{BLACK}Length: {GOLD}0.6 tiles{}</v>
      </c>
      <c r="CI419" s="1" t="str">
        <f aca="false">IF(0, VLOOKUP($CG419, Constants!$M:$N, 2, FALSE()),"")</f>
        <v/>
      </c>
      <c r="CJ419" s="1" t="str">
        <f aca="false">IF(P419&gt;1,_xlfn.CONCAT("{BLACK}Cars: {GOLD}", P419),"")</f>
        <v/>
      </c>
      <c r="CK419" s="1" t="s">
        <v>1594</v>
      </c>
      <c r="CL419" s="1" t="str">
        <f aca="false">IF($BX419="concept_trains","{GREEN}Concept Vehicle",IF($BX419="!param_no_gameplay_units","{GREEN}Included for gameplay purposes",""))</f>
        <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
      </c>
      <c r="CN419" s="1" t="str">
        <f aca="false">_xlfn.CONCAT(CI419,IF(CI419&lt;&gt;""," ",""),CJ419,IF(OR(CJ419&lt;&gt;"",CI419&lt;&gt;""),"{}",""),CH419,CM419,"{SILVER}",CK419,IF(CL419&lt;&gt;"","{}{}",""),CL419)</f>
        <v>{BLACK}Length: {GOLD}0.6 tiles{}{SILVER}Toward the end of the Victorian era, passenger carriages began to be mounted on bogies rather than fixed axles. Many featured clerestory-style roofs.</v>
      </c>
    </row>
    <row r="420" customFormat="false" ht="14.25" hidden="false" customHeight="false" outlineLevel="0" collapsed="false">
      <c r="A420" s="1" t="s">
        <v>1595</v>
      </c>
      <c r="B420" s="15" t="s">
        <v>1596</v>
      </c>
      <c r="C420" s="1" t="n">
        <v>15</v>
      </c>
      <c r="E420" s="1" t="n">
        <v>1006</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1" t="s">
        <v>241</v>
      </c>
      <c r="J420" s="1" t="s">
        <v>1580</v>
      </c>
      <c r="K420" s="1" t="s">
        <v>1581</v>
      </c>
      <c r="L420" s="1" t="s">
        <v>192</v>
      </c>
      <c r="M420" s="1" t="n">
        <v>1904</v>
      </c>
      <c r="O420" s="1" t="n">
        <v>1955</v>
      </c>
      <c r="Z420" s="1" t="n">
        <v>34</v>
      </c>
      <c r="AB420" s="1" t="n">
        <v>5</v>
      </c>
      <c r="AD420" s="4" t="str">
        <f aca="false">IF(AND(Z420&gt;0,AC420&gt;0),(AC420/((Z420+AA420)*10)),"")</f>
        <v/>
      </c>
      <c r="AE420" s="1" t="n">
        <v>100</v>
      </c>
      <c r="AF420" s="1" t="n">
        <f aca="false">ROUND(AE420*1.6, 0)</f>
        <v>160</v>
      </c>
      <c r="AH420" s="1" t="n">
        <v>17.7</v>
      </c>
      <c r="AI420" s="1" t="n">
        <v>17.7</v>
      </c>
      <c r="AJ420" s="1" t="n">
        <v>2.83</v>
      </c>
      <c r="AK420" s="1" t="n">
        <v>3.79</v>
      </c>
      <c r="AL420" s="5" t="n">
        <v>48</v>
      </c>
      <c r="AM420" s="1" t="str">
        <f aca="false">CONCATENATE(VLOOKUP(AN420, 'Voxel Sizes'!$A$2:$B$18,2,FALSE()),"x",INT(AJ420*15), "x", INT(AK420*15))</f>
        <v>164x42x56</v>
      </c>
      <c r="AN420" s="1" t="n">
        <f aca="false">ROUND(15*((AI420*10)/256),0)</f>
        <v>10</v>
      </c>
      <c r="AP420" s="1" t="str">
        <f aca="false">CONCATENATE(VLOOKUP(AN420,Constants!$A$2:$C$16,IF(AO420&lt;&gt;"", 3, 2), FALSE()),IF(AO420&lt;&gt;"",CONCATENATE(",",VLOOKUP(AO420,$B:$AP,41,FALSE())),""))</f>
        <v>4,2,4</v>
      </c>
      <c r="AW420" s="26"/>
      <c r="AZ420" s="1" t="n">
        <v>30</v>
      </c>
      <c r="BA420" s="16" t="n">
        <f aca="false">IF(O420&lt;&gt;"",MAX(16,(O420-M420)+8),"")</f>
        <v>59</v>
      </c>
      <c r="BB420" s="1" t="n">
        <v>72</v>
      </c>
      <c r="BC420" s="1" t="n">
        <f aca="false">20*3</f>
        <v>60</v>
      </c>
      <c r="BD420" s="1" t="n">
        <f aca="false">MIN(AE420/150, 1)*30</f>
        <v>20</v>
      </c>
      <c r="BE420" s="1" t="n">
        <f aca="false">MIN(Q420/4000, 1)*20</f>
        <v>0</v>
      </c>
      <c r="BF420" s="1" t="n">
        <f aca="false">MIN(AC420/400,1)*20</f>
        <v>0</v>
      </c>
      <c r="BG420" s="4" t="n">
        <f aca="false">1-(MAX(M420-1900, 0)/750)</f>
        <v>0.994666666666667</v>
      </c>
      <c r="BH420" s="1" t="n">
        <f aca="false">((MAX($P420,1)*MIN($AL420/300,1)))*IF(J420="Wagon",50,10)</f>
        <v>8</v>
      </c>
      <c r="BI420" s="1" t="n">
        <f aca="false">VLOOKUP($K420,Constants!$I:$K, 2, FALSE())</f>
        <v>1.2</v>
      </c>
      <c r="BJ420" s="1" t="n">
        <f aca="false">VLOOKUP($K420,Constants!$I:$K, 3, FALSE())*IF(AND(J420="multiple_unit",AE420&lt;110),0.75,1)</f>
        <v>0.6</v>
      </c>
      <c r="BK420" s="1" t="n">
        <f aca="false">INT(POWER(((Constants!$G$2+$BD420+$BE420+$BF420+$BH420)*$BG420)*$BJ420, 1.05))+$BC420</f>
        <v>82</v>
      </c>
      <c r="BL420" s="1" t="n">
        <f aca="false">INT(POWER((((Constants!$G$1+$BD420+$BE420+$BF420+$BH420)*($BG420))*$BI420),IF($J420="wagon",1,1.2)))+$BB420</f>
        <v>123</v>
      </c>
      <c r="BM420" s="17" t="n">
        <f aca="false">BK420*IF($J420="wagon",62.5,781.25)</f>
        <v>5125</v>
      </c>
      <c r="BN420" s="17" t="n">
        <f aca="false">BL420*IF($J420="wagon",2.73,81.25)</f>
        <v>335.79</v>
      </c>
      <c r="BU420" s="1" t="str">
        <f aca="false">IF(J420="locomotive","B","")</f>
        <v/>
      </c>
      <c r="BV420" s="1" t="str">
        <f aca="false">IF(OR($J420="locomotive",$J420="wagon"),"B","")</f>
        <v>B</v>
      </c>
      <c r="BY420" s="1" t="n">
        <v>1</v>
      </c>
      <c r="BZ420" s="1" t="n">
        <v>185</v>
      </c>
      <c r="CB420" s="1" t="s">
        <v>366</v>
      </c>
      <c r="CC420" s="1" t="s">
        <v>367</v>
      </c>
      <c r="CD420" s="1" t="str">
        <f aca="false">VLOOKUP(M420,Eras!$A$2:$C$10, 2, TRUE())</f>
        <v>edw</v>
      </c>
      <c r="CE420" s="1" t="s">
        <v>1582</v>
      </c>
      <c r="CF420" s="1" t="str">
        <f aca="false">CONCATENATE(CD420,"_",CE420)</f>
        <v>edw_Carriage</v>
      </c>
      <c r="CG420" s="1" t="str">
        <f aca="false">_xlfn.CONCAT(K420, "_",L420)</f>
        <v>carriage_RAIL</v>
      </c>
      <c r="CH420" s="7" t="str">
        <f aca="false">_xlfn.CONCAT("{BLACK}Length: {GOLD}", TEXT(ROUNDUP(IF(AS420&lt;&gt;"",SUM(VALUE(_xlfn.TEXTSPLIT(AS420, ","))), SUM(VALUE(_xlfn.TEXTSPLIT(AP420, ",")))*IF(P420, P420, 1))/16, 1), "#,##0.0"), " tiles{}")</f>
        <v>{BLACK}Length: {GOLD}0.7 tiles{}</v>
      </c>
      <c r="CI420" s="1" t="str">
        <f aca="false">IF(0, VLOOKUP($CG420, Constants!$M:$N, 2, FALSE()),"")</f>
        <v/>
      </c>
      <c r="CJ420" s="1" t="str">
        <f aca="false">IF(P420&gt;1,_xlfn.CONCAT("{BLACK}Cars: {GOLD}", P420),"")</f>
        <v/>
      </c>
      <c r="CK420" s="1" t="s">
        <v>1597</v>
      </c>
      <c r="CL420" s="1" t="str">
        <f aca="false">IF($BX420="concept_trains","{GREEN}Concept Vehicle",IF($BX420="!param_no_gameplay_units","{GREEN}Included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
      </c>
      <c r="CN420" s="1" t="str">
        <f aca="false">_xlfn.CONCAT(CI420,IF(CI420&lt;&gt;""," ",""),CJ420,IF(OR(CJ420&lt;&gt;"",CI420&lt;&gt;""),"{}",""),CH420,CM420,"{SILVER}",CK420,IF(CL420&lt;&gt;"","{}{}",""),CL420)</f>
        <v>{BLACK}Length: {GOLD}0.7 tiles{}{SILVER}In the early 20th century passenger coaches were stretched to greater lengths. This is a typical LNWR design.</v>
      </c>
    </row>
    <row r="421" customFormat="false" ht="14.25" hidden="false" customHeight="false" outlineLevel="0" collapsed="false">
      <c r="A421" s="1" t="s">
        <v>1598</v>
      </c>
      <c r="B421" s="19" t="s">
        <v>1599</v>
      </c>
      <c r="C421" s="1" t="n">
        <v>1010</v>
      </c>
      <c r="E421" s="1" t="n">
        <v>1007</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241</v>
      </c>
      <c r="J421" s="1" t="s">
        <v>1580</v>
      </c>
      <c r="K421" s="1" t="s">
        <v>1581</v>
      </c>
      <c r="L421" s="1" t="s">
        <v>192</v>
      </c>
      <c r="M421" s="1" t="n">
        <v>1906</v>
      </c>
      <c r="O421" s="1" t="n">
        <v>1955</v>
      </c>
      <c r="Z421" s="1" t="n">
        <v>31</v>
      </c>
      <c r="AB421" s="1" t="n">
        <v>6</v>
      </c>
      <c r="AD421" s="4" t="str">
        <f aca="false">IF(AND(Z421&gt;0,AC421&gt;0),(AC421/((Z421+AA421)*10)),"")</f>
        <v/>
      </c>
      <c r="AE421" s="1" t="n">
        <v>100</v>
      </c>
      <c r="AF421" s="1" t="n">
        <f aca="false">ROUND(AE421*1.6, 0)</f>
        <v>160</v>
      </c>
      <c r="AH421" s="1" t="n">
        <v>17.7</v>
      </c>
      <c r="AI421" s="1" t="n">
        <v>17.7</v>
      </c>
      <c r="AJ421" s="1" t="n">
        <v>2.83</v>
      </c>
      <c r="AK421" s="1" t="n">
        <v>3.79</v>
      </c>
      <c r="AL421" s="5" t="n">
        <v>57</v>
      </c>
      <c r="AM421" s="1" t="str">
        <f aca="false">CONCATENATE(VLOOKUP(AN421, 'Voxel Sizes'!$A$2:$B$18,2,FALSE()),"x",INT(AJ421*15), "x", INT(AK421*15))</f>
        <v>164x42x56</v>
      </c>
      <c r="AN421" s="16" t="n">
        <f aca="false">ROUND(15*((AI421*10)/256),0)</f>
        <v>10</v>
      </c>
      <c r="AP421" s="1" t="str">
        <f aca="false">CONCATENATE(VLOOKUP(AN421,Constants!$A$2:$C$16,IF(AO421&lt;&gt;"", 3, 2), FALSE()),IF(AO421&lt;&gt;"",CONCATENATE(",",VLOOKUP(AO421,$B:$AP,41,FALSE())),""))</f>
        <v>4,2,4</v>
      </c>
      <c r="AZ421" s="1" t="n">
        <v>30</v>
      </c>
      <c r="BA421" s="16" t="n">
        <f aca="false">IF(O421&lt;&gt;"",MAX(16,(O421-M421)+8),"")</f>
        <v>57</v>
      </c>
      <c r="BB421" s="1" t="n">
        <v>72</v>
      </c>
      <c r="BC421" s="1" t="n">
        <f aca="false">20*3</f>
        <v>60</v>
      </c>
      <c r="BD421" s="20" t="n">
        <f aca="false">MIN(AE421/150, 1)*30</f>
        <v>20</v>
      </c>
      <c r="BE421" s="20" t="n">
        <f aca="false">MIN(Q421/4000, 1)*20</f>
        <v>0</v>
      </c>
      <c r="BF421" s="20" t="n">
        <f aca="false">MIN(AC421/400,1)*20</f>
        <v>0</v>
      </c>
      <c r="BG421" s="21" t="n">
        <f aca="false">1-(MAX(M421-1900, 0)/750)</f>
        <v>0.992</v>
      </c>
      <c r="BH421" s="20" t="n">
        <f aca="false">((MAX($P421,1)*MIN($AL421/300,1)))*IF(J421="Wagon",50,10)</f>
        <v>9.5</v>
      </c>
      <c r="BI421" s="1" t="n">
        <f aca="false">VLOOKUP($K421,Constants!$I:$K, 2, FALSE())</f>
        <v>1.2</v>
      </c>
      <c r="BJ421" s="1" t="n">
        <f aca="false">VLOOKUP($K421,Constants!$I:$K, 3, FALSE())*IF(AND(J421="multiple_unit",AE421&lt;110),0.75,1)</f>
        <v>0.6</v>
      </c>
      <c r="BK421" s="1" t="n">
        <f aca="false">INT(POWER(((Constants!$G$2+$BD421+$BE421+$BF421+$BH421)*$BG421)*$BJ421, 1.05))+$BC421</f>
        <v>83</v>
      </c>
      <c r="BL421" s="1" t="n">
        <f aca="false">INT(POWER((((Constants!$G$1+$BD421+$BE421+$BF421+$BH421)*($BG421))*$BI421),IF($J421="wagon",1,1.2)))+$BB421</f>
        <v>124</v>
      </c>
      <c r="BM421" s="17" t="n">
        <f aca="false">BK421*IF($J421="wagon",62.5,781.25)</f>
        <v>5187.5</v>
      </c>
      <c r="BN421" s="22" t="n">
        <f aca="false">BL421*IF($J421="wagon",2.73,81.25)</f>
        <v>338.52</v>
      </c>
      <c r="BU421" s="1" t="str">
        <f aca="false">IF(J421="locomotive","B","")</f>
        <v/>
      </c>
      <c r="BV421" s="1" t="str">
        <f aca="false">IF(OR($J421="locomotive",$J421="wagon"),"B","")</f>
        <v>B</v>
      </c>
      <c r="BY421" s="1" t="n">
        <v>1</v>
      </c>
      <c r="BZ421" s="1" t="n">
        <v>165</v>
      </c>
      <c r="CB421" s="1" t="s">
        <v>366</v>
      </c>
      <c r="CC421" s="1" t="s">
        <v>367</v>
      </c>
      <c r="CD421" s="23" t="s">
        <v>382</v>
      </c>
      <c r="CE421" s="26" t="s">
        <v>1582</v>
      </c>
      <c r="CF421" s="23" t="str">
        <f aca="false">CONCATENATE(CD421,"_",CE421)</f>
        <v>edw_Carriage</v>
      </c>
      <c r="CG421" s="23" t="str">
        <f aca="false">_xlfn.CONCAT(K421, "_",L421)</f>
        <v>carriage_RAIL</v>
      </c>
      <c r="CH421" s="7" t="str">
        <f aca="false">_xlfn.CONCAT("{BLACK}Length: {GOLD}", TEXT(ROUNDUP(IF(AS421&lt;&gt;"",SUM(VALUE(_xlfn.TEXTSPLIT(AS421, ","))), SUM(VALUE(_xlfn.TEXTSPLIT(AP421, ",")))*IF(P421, P421, 1))/16, 1), "#,##0.0"), " tiles{}")</f>
        <v>{BLACK}Length: {GOLD}0.7 tiles{}</v>
      </c>
      <c r="CI421" s="1" t="str">
        <f aca="false">IF(0, VLOOKUP($CG421, Constants!$M:$N, 2, FALSE()),"")</f>
        <v/>
      </c>
      <c r="CJ421" s="1" t="str">
        <f aca="false">IF(P421&gt;1,_xlfn.CONCAT("{BLACK}Cars: {GOLD}", P421),"")</f>
        <v/>
      </c>
      <c r="CK421" s="1" t="s">
        <v>1600</v>
      </c>
      <c r="CL421" s="1" t="str">
        <f aca="false">IF($BX421="concept_trains","{GREEN}Concept Vehicle",IF($BX421="!param_no_gameplay_units","{GREEN}Included for gameplay purposes",""))</f>
        <v/>
      </c>
      <c r="CM421" s="1" t="str">
        <f aca="false">IF(CA421="buffet","{YELLOW}25% long distance bonus for consist{}",IF(CB421="DANDY","{YELLOW}Faster downhill speeds for horse-drawn trains (1 required per 2 horses){}",IF(CB421="BRAKE","{YELLOW}Speed bonus for slow wagons{}",IF(CB421="NGPassengers","{YELLOW}Preserved railway bonus: passengers pay more when hauled by old locomotives{}",IF(AND(BZ421&gt;190,NOT(AND(L421="NARROW_GAUGE",CB421&lt;&gt;"PASS"))),CONCATENATE("{YELLOW}",INT((BZ421-185)/1.85),"% bonus for long distance travel{}"),IF(AND(BZ421&lt;180,BZ421&lt;&gt;0),CONCATENATE("{YELLOW}",INT((185-BZ421)/1.85),"% penalty for long distance travel{}"),""))))))</f>
        <v>{YELLOW}10% penalty for long distance travel{}</v>
      </c>
      <c r="CN421" s="1" t="str">
        <f aca="false">_xlfn.CONCAT(CI421,IF(CI421&lt;&gt;""," ",""),CJ421,IF(OR(CJ421&lt;&gt;"",CI421&lt;&gt;""),"{}",""),CH421,CM421,"{SILVER}",CK421,IF(CL421&lt;&gt;"","{}{}",""),CL421)</f>
        <v>{BLACK}Length: {GOLD}0.7 tiles{}{YELLOW}10% penalty for long distance travel{}{SILVER}Non-corridor carriages allow greater seating density, at the cost of passenger comfort.</v>
      </c>
    </row>
    <row r="422" s="26" customFormat="true" ht="14.25" hidden="false" customHeight="false" outlineLevel="0" collapsed="false">
      <c r="A422" s="26" t="s">
        <v>1601</v>
      </c>
      <c r="B422" s="27" t="s">
        <v>1602</v>
      </c>
      <c r="C422" s="1" t="n">
        <v>3114</v>
      </c>
      <c r="E422" s="1" t="n">
        <v>1008</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241</v>
      </c>
      <c r="J422" s="26" t="s">
        <v>1580</v>
      </c>
      <c r="K422" s="26" t="s">
        <v>1603</v>
      </c>
      <c r="L422" s="26" t="s">
        <v>192</v>
      </c>
      <c r="M422" s="26" t="n">
        <v>1905</v>
      </c>
      <c r="N422" s="26" t="n">
        <v>1960</v>
      </c>
      <c r="O422" s="26" t="n">
        <v>1960</v>
      </c>
      <c r="R422" s="2"/>
      <c r="S422" s="3"/>
      <c r="T422" s="3"/>
      <c r="U422" s="3"/>
      <c r="V422" s="3"/>
      <c r="W422" s="3"/>
      <c r="X422" s="3"/>
      <c r="Y422" s="3"/>
      <c r="Z422" s="26" t="n">
        <v>39</v>
      </c>
      <c r="AA422" s="2"/>
      <c r="AB422" s="26" t="n">
        <v>4</v>
      </c>
      <c r="AD422" s="4" t="str">
        <f aca="false">IF(AND(Z422&gt;0,AC422&gt;0),(AC422/((Z422+AA422)*10)),"")</f>
        <v/>
      </c>
      <c r="AE422" s="26" t="n">
        <v>90</v>
      </c>
      <c r="AF422" s="26" t="n">
        <f aca="false">ROUND(AE422*1.6, 0)</f>
        <v>144</v>
      </c>
      <c r="AH422" s="26" t="n">
        <v>19.8</v>
      </c>
      <c r="AI422" s="26" t="n">
        <v>20</v>
      </c>
      <c r="AJ422" s="26" t="n">
        <v>2.82</v>
      </c>
      <c r="AK422" s="26" t="n">
        <v>3.79</v>
      </c>
      <c r="AL422" s="5" t="n">
        <v>18</v>
      </c>
      <c r="AM422" s="1" t="str">
        <f aca="false">CONCATENATE(VLOOKUP(AN422, 'Voxel Sizes'!$A$2:$B$18,2,FALSE()),"x",INT(AJ422*15), "x", INT(AK422*15))</f>
        <v>198x42x56</v>
      </c>
      <c r="AN422" s="26" t="n">
        <f aca="false">ROUND(15*((AI422*10)/256),0)</f>
        <v>12</v>
      </c>
      <c r="AP422" s="1" t="str">
        <f aca="false">CONCATENATE(VLOOKUP(AN422,Constants!$A$2:$C$16,IF(AO422&lt;&gt;"", 3, 2), FALSE()),IF(AO422&lt;&gt;"",CONCATENATE(",",VLOOKUP(AO422,$B:$AP,41,FALSE())),""))</f>
        <v>4,4,4</v>
      </c>
      <c r="AR422" s="6"/>
      <c r="AS422" s="6"/>
      <c r="AZ422" s="26" t="n">
        <v>30</v>
      </c>
      <c r="BA422" s="16" t="n">
        <f aca="false">IF(O422&lt;&gt;"",MAX(16,(O422-M422)+8),"")</f>
        <v>63</v>
      </c>
      <c r="BB422" s="26" t="n">
        <v>1000</v>
      </c>
      <c r="BC422" s="26" t="n">
        <v>110</v>
      </c>
      <c r="BD422" s="26" t="n">
        <f aca="false">MIN(AE422/150, 1)*30</f>
        <v>18</v>
      </c>
      <c r="BE422" s="26" t="n">
        <f aca="false">MIN(Q422/4000, 1)*20</f>
        <v>0</v>
      </c>
      <c r="BF422" s="26" t="n">
        <f aca="false">MIN(AC422/400,1)*20</f>
        <v>0</v>
      </c>
      <c r="BG422" s="4" t="n">
        <f aca="false">1-(MAX(M422-1900, 0)/750)</f>
        <v>0.993333333333333</v>
      </c>
      <c r="BH422" s="26" t="n">
        <f aca="false">((MAX($P422,1)*MIN($AL422/300,1)))*IF(J422="Wagon",50,10)</f>
        <v>3</v>
      </c>
      <c r="BI422" s="1" t="n">
        <f aca="false">VLOOKUP($K422,Constants!$I:$K, 2, FALSE())</f>
        <v>1.5</v>
      </c>
      <c r="BJ422" s="1" t="n">
        <f aca="false">VLOOKUP($K422,Constants!$I:$K, 3, FALSE())*IF(AND(J422="multiple_unit",AE422&lt;110),0.75,1)</f>
        <v>0.7</v>
      </c>
      <c r="BK422" s="1" t="n">
        <f aca="false">INT(POWER(((Constants!$G$2+$BD422+$BE422+$BF422+$BH422)*$BG422)*$BJ422, 1.05))+$BC422</f>
        <v>130</v>
      </c>
      <c r="BL422" s="1" t="n">
        <f aca="false">INT(POWER((((Constants!$G$1+$BD422+$BE422+$BF422+$BH422)*($BG422))*$BI422),IF($J422="wagon",1,1.2)))+$BB422</f>
        <v>1053</v>
      </c>
      <c r="BM422" s="17" t="n">
        <f aca="false">BK422*IF($J422="wagon",62.5,781.25)</f>
        <v>8125</v>
      </c>
      <c r="BN422" s="17" t="n">
        <f aca="false">BL422*IF($J422="wagon",2.73,81.25)</f>
        <v>2874.69</v>
      </c>
      <c r="BU422" s="1" t="str">
        <f aca="false">IF(J422="locomotive","B","")</f>
        <v/>
      </c>
      <c r="BV422" s="1" t="str">
        <f aca="false">IF(OR($J422="locomotive",$J422="wagon"),"B","")</f>
        <v>B</v>
      </c>
      <c r="BY422" s="26" t="n">
        <v>2</v>
      </c>
      <c r="BZ422" s="26" t="n">
        <v>278</v>
      </c>
      <c r="CB422" s="26" t="s">
        <v>366</v>
      </c>
      <c r="CC422" s="26" t="s">
        <v>367</v>
      </c>
      <c r="CD422" s="26" t="str">
        <f aca="false">VLOOKUP(M422,[1]Eras!$A$2:$C$10, 2, TRUE())</f>
        <v>edw</v>
      </c>
      <c r="CE422" s="26" t="s">
        <v>1582</v>
      </c>
      <c r="CF422" s="26" t="str">
        <f aca="false">CONCATENATE(CD422,"_",CE422)</f>
        <v>edw_Carriage</v>
      </c>
      <c r="CG422" s="26" t="str">
        <f aca="false">_xlfn.CONCAT(K422, "_",L422)</f>
        <v>luxury_carriage_RAIL</v>
      </c>
      <c r="CH422" s="7" t="str">
        <f aca="false">_xlfn.CONCAT("{BLACK}Length: {GOLD}", TEXT(ROUNDUP(IF(AS422&lt;&gt;"",SUM(VALUE(_xlfn.TEXTSPLIT(AS422, ","))), SUM(VALUE(_xlfn.TEXTSPLIT(AP422, ",")))*IF(P422, P422, 1))/16, 1), "#,##0.0"), " tiles{}")</f>
        <v>{BLACK}Length: {GOLD}0.8 tiles{}</v>
      </c>
      <c r="CI422" s="1" t="str">
        <f aca="false">IF(0, VLOOKUP($CG422, Constants!$M:$N, 2, FALSE()),"")</f>
        <v/>
      </c>
      <c r="CJ422" s="1" t="str">
        <f aca="false">IF(P422&gt;1,_xlfn.CONCAT("{BLACK}Cars: {GOLD}", P422),"")</f>
        <v/>
      </c>
      <c r="CK422" s="26" t="s">
        <v>1604</v>
      </c>
      <c r="CL422" s="1" t="str">
        <f aca="false">IF($BX422="concept_trains","{GREEN}Concept Vehicle",IF($BX422="!param_no_gameplay_units","{GREEN}Included for gameplay purposes",""))</f>
        <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{YELLOW}50% bonus for long distance travel{}</v>
      </c>
      <c r="CN422" s="1" t="str">
        <f aca="false">_xlfn.CONCAT(CI422,IF(CI422&lt;&gt;""," ",""),CJ422,IF(OR(CJ422&lt;&gt;"",CI422&lt;&gt;""),"{}",""),CH422,CM422,"{SILVER}",CK422,IF(CL422&lt;&gt;"","{}{}",""),CL422)</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22" s="1"/>
    </row>
    <row r="423" customFormat="false" ht="14.25" hidden="false" customHeight="false" outlineLevel="0" collapsed="false">
      <c r="A423" s="1" t="s">
        <v>1605</v>
      </c>
      <c r="B423" s="15" t="s">
        <v>1606</v>
      </c>
      <c r="C423" s="1" t="n">
        <v>16</v>
      </c>
      <c r="E423" s="1" t="n">
        <v>1009</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1" t="s">
        <v>241</v>
      </c>
      <c r="J423" s="1" t="s">
        <v>1580</v>
      </c>
      <c r="K423" s="1" t="s">
        <v>1603</v>
      </c>
      <c r="L423" s="1" t="s">
        <v>192</v>
      </c>
      <c r="M423" s="1" t="n">
        <v>1928</v>
      </c>
      <c r="O423" s="1" t="n">
        <v>1970</v>
      </c>
      <c r="Z423" s="1" t="n">
        <v>40</v>
      </c>
      <c r="AB423" s="1" t="n">
        <v>4</v>
      </c>
      <c r="AD423" s="4" t="str">
        <f aca="false">IF(AND(Z423&gt;0,AC423&gt;0),(AC423/((Z423+AA423)*10)),"")</f>
        <v/>
      </c>
      <c r="AE423" s="1" t="n">
        <v>105</v>
      </c>
      <c r="AF423" s="1" t="n">
        <f aca="false">ROUND(AE423*1.6, 0)</f>
        <v>168</v>
      </c>
      <c r="AH423" s="1" t="n">
        <v>20</v>
      </c>
      <c r="AI423" s="1" t="n">
        <v>20</v>
      </c>
      <c r="AL423" s="5" t="n">
        <v>48</v>
      </c>
      <c r="AM423" s="1" t="str">
        <f aca="false">CONCATENATE(VLOOKUP(AN423, 'Voxel Sizes'!$A$2:$B$18,2,FALSE()),"x",INT(AJ423*15), "x", INT(AK423*15))</f>
        <v>198x0x0</v>
      </c>
      <c r="AN423" s="1" t="n">
        <f aca="false">ROUND(15*((AI423*10)/256),0)</f>
        <v>12</v>
      </c>
      <c r="AP423" s="1" t="str">
        <f aca="false">CONCATENATE(VLOOKUP(AN423,Constants!$A$2:$C$16,IF(AO423&lt;&gt;"", 3, 2), FALSE()),IF(AO423&lt;&gt;"",CONCATENATE(",",VLOOKUP(AO423,$B:$AP,41,FALSE())),""))</f>
        <v>4,4,4</v>
      </c>
      <c r="AZ423" s="1" t="n">
        <v>30</v>
      </c>
      <c r="BA423" s="16" t="n">
        <f aca="false">IF(O423&lt;&gt;"",MAX(16,(O423-M423)+8),"")</f>
        <v>50</v>
      </c>
      <c r="BB423" s="1" t="n">
        <v>93</v>
      </c>
      <c r="BC423" s="1" t="n">
        <f aca="false">26*3</f>
        <v>78</v>
      </c>
      <c r="BD423" s="1" t="n">
        <f aca="false">MIN(AE423/150, 1)*30</f>
        <v>21</v>
      </c>
      <c r="BE423" s="1" t="n">
        <f aca="false">MIN(Q423/4000, 1)*20</f>
        <v>0</v>
      </c>
      <c r="BF423" s="1" t="n">
        <f aca="false">MIN(AC423/400,1)*20</f>
        <v>0</v>
      </c>
      <c r="BG423" s="4" t="n">
        <f aca="false">1-(MAX(M423-1900, 0)/750)</f>
        <v>0.962666666666667</v>
      </c>
      <c r="BH423" s="1" t="n">
        <f aca="false">((MAX($P423,1)*MIN($AL423/300,1)))*IF(J423="Wagon",50,10)</f>
        <v>8</v>
      </c>
      <c r="BI423" s="1" t="n">
        <f aca="false">VLOOKUP($K423,Constants!$I:$K, 2, FALSE())</f>
        <v>1.5</v>
      </c>
      <c r="BJ423" s="1" t="n">
        <f aca="false">VLOOKUP($K423,Constants!$I:$K, 3, FALSE())*IF(AND(J423="multiple_unit",AE423&lt;110),0.75,1)</f>
        <v>0.7</v>
      </c>
      <c r="BK423" s="1" t="n">
        <f aca="false">INT(POWER(((Constants!$G$2+$BD423+$BE423+$BF423+$BH423)*$BG423)*$BJ423, 1.05))+$BC423</f>
        <v>104</v>
      </c>
      <c r="BL423" s="1" t="n">
        <f aca="false">INT(POWER((((Constants!$G$1+$BD423+$BE423+$BF423+$BH423)*($BG423))*$BI423),IF($J423="wagon",1,1.2)))+$BB423</f>
        <v>156</v>
      </c>
      <c r="BM423" s="17" t="n">
        <f aca="false">BK423*IF($J423="wagon",62.5,781.25)</f>
        <v>6500</v>
      </c>
      <c r="BN423" s="17" t="n">
        <f aca="false">BL423*IF($J423="wagon",2.73,81.25)</f>
        <v>425.88</v>
      </c>
      <c r="BU423" s="1" t="str">
        <f aca="false">IF(J423="locomotive","B","")</f>
        <v/>
      </c>
      <c r="BV423" s="1" t="str">
        <f aca="false">IF(OR($J423="locomotive",$J423="wagon"),"B","")</f>
        <v>B</v>
      </c>
      <c r="BY423" s="1" t="n">
        <v>1</v>
      </c>
      <c r="BZ423" s="1" t="n">
        <v>260</v>
      </c>
      <c r="CB423" s="1" t="s">
        <v>366</v>
      </c>
      <c r="CC423" s="1" t="s">
        <v>367</v>
      </c>
      <c r="CD423" s="1" t="str">
        <f aca="false">VLOOKUP(M423,Eras!$A$2:$C$10, 2, TRUE())</f>
        <v>big4</v>
      </c>
      <c r="CE423" s="1" t="s">
        <v>1582</v>
      </c>
      <c r="CF423" s="1" t="str">
        <f aca="false">CONCATENATE(CD423,"_",CE423)</f>
        <v>big4_Carriage</v>
      </c>
      <c r="CG423" s="1" t="str">
        <f aca="false">_xlfn.CONCAT(K423, "_",L423)</f>
        <v>luxury_carriage_RAIL</v>
      </c>
      <c r="CH423" s="7" t="str">
        <f aca="false">_xlfn.CONCAT("{BLACK}Length: {GOLD}", TEXT(ROUNDUP(IF(AS423&lt;&gt;"",SUM(VALUE(_xlfn.TEXTSPLIT(AS423, ","))), SUM(VALUE(_xlfn.TEXTSPLIT(AP423, ",")))*IF(P423, P423, 1))/16, 1), "#,##0.0"), " tiles{}")</f>
        <v>{BLACK}Length: {GOLD}0.8 tiles{}</v>
      </c>
      <c r="CI423" s="1" t="str">
        <f aca="false">IF(0, VLOOKUP($CG423, Constants!$M:$N, 2, FALSE()),"")</f>
        <v/>
      </c>
      <c r="CJ423" s="1" t="str">
        <f aca="false">IF(P423&gt;1,_xlfn.CONCAT("{BLACK}Cars: {GOLD}", P423),"")</f>
        <v/>
      </c>
      <c r="CK423" s="1" t="s">
        <v>1607</v>
      </c>
      <c r="CL423" s="1" t="str">
        <f aca="false">IF($BX423="concept_trains","{GREEN}Concept Vehicle",IF($BX423="!param_no_gameplay_units","{GREEN}Included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{YELLOW}40% bonus for long distance travel{}</v>
      </c>
      <c r="CN423" s="1" t="str">
        <f aca="false">_xlfn.CONCAT(CI423,IF(CI423&lt;&gt;""," ",""),CJ423,IF(OR(CJ423&lt;&gt;"",CI423&lt;&gt;""),"{}",""),CH423,CM423,"{SILVER}",CK423,IF(CL423&lt;&gt;"","{}{}",""),CL423)</f>
        <v>{BLACK}Length: {GOLD}0.8 tiles{}{YELLOW}40% bonus for long distance travel{}{SILVER}The luxurious Pullman cars were large and heavy, with many still in use today for restaurant services.</v>
      </c>
    </row>
    <row r="424" customFormat="false" ht="14.25" hidden="false" customHeight="false" outlineLevel="0" collapsed="false">
      <c r="A424" s="1" t="s">
        <v>1608</v>
      </c>
      <c r="B424" s="15" t="s">
        <v>1609</v>
      </c>
      <c r="C424" s="1" t="n">
        <v>17</v>
      </c>
      <c r="E424" s="1" t="n">
        <v>1010</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241</v>
      </c>
      <c r="J424" s="1" t="s">
        <v>1580</v>
      </c>
      <c r="K424" s="1" t="s">
        <v>1603</v>
      </c>
      <c r="L424" s="1" t="s">
        <v>192</v>
      </c>
      <c r="M424" s="1" t="n">
        <v>1931</v>
      </c>
      <c r="O424" s="1" t="n">
        <v>1965</v>
      </c>
      <c r="Z424" s="1" t="n">
        <v>36</v>
      </c>
      <c r="AB424" s="1" t="n">
        <v>5</v>
      </c>
      <c r="AD424" s="4" t="str">
        <f aca="false">IF(AND(Z424&gt;0,AC424&gt;0),(AC424/((Z424+AA424)*10)),"")</f>
        <v/>
      </c>
      <c r="AE424" s="1" t="n">
        <v>130</v>
      </c>
      <c r="AF424" s="1" t="n">
        <f aca="false">ROUND(AE424*1.6, 0)</f>
        <v>208</v>
      </c>
      <c r="AH424" s="1" t="n">
        <v>17.7</v>
      </c>
      <c r="AI424" s="1" t="n">
        <v>17.7</v>
      </c>
      <c r="AJ424" s="1" t="n">
        <v>2.83</v>
      </c>
      <c r="AK424" s="1" t="n">
        <v>3.79</v>
      </c>
      <c r="AL424" s="5" t="n">
        <v>45</v>
      </c>
      <c r="AM424" s="1" t="str">
        <f aca="false">CONCATENATE(VLOOKUP(AN424, 'Voxel Sizes'!$A$2:$B$18,2,FALSE()),"x",INT(AJ424*15), "x", INT(AK424*15))</f>
        <v>164x42x56</v>
      </c>
      <c r="AN424" s="1" t="n">
        <f aca="false">ROUND(15*((AI424*10)/256),0)</f>
        <v>10</v>
      </c>
      <c r="AP424" s="1" t="str">
        <f aca="false">CONCATENATE(VLOOKUP(AN424,Constants!$A$2:$C$16,IF(AO424&lt;&gt;"", 3, 2), FALSE()),IF(AO424&lt;&gt;"",CONCATENATE(",",VLOOKUP(AO424,$B:$AP,41,FALSE())),""))</f>
        <v>4,2,4</v>
      </c>
      <c r="AY424" s="1" t="s">
        <v>1610</v>
      </c>
      <c r="AZ424" s="1" t="n">
        <v>30</v>
      </c>
      <c r="BA424" s="16" t="n">
        <f aca="false">IF(O424&lt;&gt;"",MAX(16,(O424-M424)+8),"")</f>
        <v>42</v>
      </c>
      <c r="BB424" s="1" t="n">
        <v>102</v>
      </c>
      <c r="BC424" s="1" t="n">
        <f aca="false">31*3</f>
        <v>93</v>
      </c>
      <c r="BD424" s="1" t="n">
        <f aca="false">MIN(AE424/150, 1)*30</f>
        <v>26</v>
      </c>
      <c r="BE424" s="1" t="n">
        <f aca="false">MIN(Q424/4000, 1)*20</f>
        <v>0</v>
      </c>
      <c r="BF424" s="1" t="n">
        <f aca="false">MIN(AC424/400,1)*20</f>
        <v>0</v>
      </c>
      <c r="BG424" s="4" t="n">
        <f aca="false">1-(MAX(M424-1900, 0)/750)</f>
        <v>0.958666666666667</v>
      </c>
      <c r="BH424" s="1" t="n">
        <f aca="false">((MAX($P424,1)*MIN($AL424/300,1)))*IF(J424="Wagon",50,10)</f>
        <v>7.5</v>
      </c>
      <c r="BI424" s="1" t="n">
        <f aca="false">VLOOKUP($K424,Constants!$I:$K, 2, FALSE())</f>
        <v>1.5</v>
      </c>
      <c r="BJ424" s="1" t="n">
        <f aca="false">VLOOKUP($K424,Constants!$I:$K, 3, FALSE())*IF(AND(J424="multiple_unit",AE424&lt;110),0.75,1)</f>
        <v>0.7</v>
      </c>
      <c r="BK424" s="1" t="n">
        <f aca="false">INT(POWER(((Constants!$G$2+$BD424+$BE424+$BF424+$BH424)*$BG424)*$BJ424, 1.05))+$BC424</f>
        <v>123</v>
      </c>
      <c r="BL424" s="1" t="n">
        <f aca="false">INT(POWER((((Constants!$G$1+$BD424+$BE424+$BF424+$BH424)*($BG424))*$BI424),IF($J424="wagon",1,1.2)))+$BB424</f>
        <v>171</v>
      </c>
      <c r="BM424" s="17" t="n">
        <f aca="false">BK424*IF($J424="wagon",62.5,781.25)</f>
        <v>7687.5</v>
      </c>
      <c r="BN424" s="17" t="n">
        <f aca="false">BL424*IF($J424="wagon",2.73,81.25)</f>
        <v>466.83</v>
      </c>
      <c r="BU424" s="1" t="str">
        <f aca="false">IF(J424="locomotive","B","")</f>
        <v/>
      </c>
      <c r="BV424" s="1" t="str">
        <f aca="false">IF(OR($J424="locomotive",$J424="wagon"),"B","")</f>
        <v>B</v>
      </c>
      <c r="BY424" s="1" t="n">
        <v>1</v>
      </c>
      <c r="BZ424" s="1" t="n">
        <v>222</v>
      </c>
      <c r="CB424" s="1" t="s">
        <v>366</v>
      </c>
      <c r="CC424" s="1" t="s">
        <v>367</v>
      </c>
      <c r="CD424" s="1" t="str">
        <f aca="false">VLOOKUP(M424,Eras!$A$2:$C$10, 2, TRUE())</f>
        <v>big4</v>
      </c>
      <c r="CE424" s="1" t="s">
        <v>1582</v>
      </c>
      <c r="CF424" s="1" t="str">
        <f aca="false">CONCATENATE(CD424,"_",CE424)</f>
        <v>big4_Carriage</v>
      </c>
      <c r="CG424" s="1" t="str">
        <f aca="false">_xlfn.CONCAT(K424, "_",L424)</f>
        <v>luxury_carriage_RAIL</v>
      </c>
      <c r="CH424" s="7" t="str">
        <f aca="false">_xlfn.CONCAT("{BLACK}Length: {GOLD}", TEXT(ROUNDUP(IF(AS424&lt;&gt;"",SUM(VALUE(_xlfn.TEXTSPLIT(AS424, ","))), SUM(VALUE(_xlfn.TEXTSPLIT(AP424, ",")))*IF(P424, P424, 1))/16, 1), "#,##0.0"), " tiles{}")</f>
        <v>{BLACK}Length: {GOLD}0.7 tiles{}</v>
      </c>
      <c r="CI424" s="1" t="str">
        <f aca="false">IF(0, VLOOKUP($CG424, Constants!$M:$N, 2, FALSE()),"")</f>
        <v/>
      </c>
      <c r="CJ424" s="1" t="str">
        <f aca="false">IF(P424&gt;1,_xlfn.CONCAT("{BLACK}Cars: {GOLD}", P424),"")</f>
        <v/>
      </c>
      <c r="CK424" s="1" t="s">
        <v>1611</v>
      </c>
      <c r="CL424" s="1" t="str">
        <f aca="false">IF($BX424="concept_trains","{GREEN}Concept Vehicle",IF($BX424="!param_no_gameplay_units","{GREEN}Included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{YELLOW}20% bonus for long distance travel{}</v>
      </c>
      <c r="CN424" s="1" t="str">
        <f aca="false">_xlfn.CONCAT(CI424,IF(CI424&lt;&gt;""," ",""),CJ424,IF(OR(CJ424&lt;&gt;"",CI424&lt;&gt;""),"{}",""),CH424,CM424,"{SILVER}",CK424,IF(CL424&lt;&gt;"","{}{}",""),CL424)</f>
        <v>{BLACK}Length: {GOLD}0.7 tiles{}{YELLOW}20% bonus for long distance travel{}{SILVER}As express services increased in speed, carriages were streamlined with valances between bogies and flexible walls connecting each carriage.</v>
      </c>
    </row>
    <row r="425" customFormat="false" ht="13.5" hidden="false" customHeight="true" outlineLevel="0" collapsed="false">
      <c r="A425" s="1" t="s">
        <v>1612</v>
      </c>
      <c r="B425" s="15" t="s">
        <v>1613</v>
      </c>
      <c r="C425" s="1" t="n">
        <v>18</v>
      </c>
      <c r="E425" s="1" t="n">
        <v>1011</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241</v>
      </c>
      <c r="J425" s="1" t="s">
        <v>1580</v>
      </c>
      <c r="K425" s="1" t="s">
        <v>1581</v>
      </c>
      <c r="L425" s="1" t="s">
        <v>192</v>
      </c>
      <c r="M425" s="1" t="n">
        <v>1951</v>
      </c>
      <c r="N425" s="1" t="n">
        <v>1963</v>
      </c>
      <c r="O425" s="1" t="n">
        <v>1974</v>
      </c>
      <c r="Z425" s="1" t="n">
        <v>32.5</v>
      </c>
      <c r="AB425" s="1" t="n">
        <v>5</v>
      </c>
      <c r="AD425" s="4" t="str">
        <f aca="false">IF(AND(Z425&gt;0,AC425&gt;0),(AC425/((Z425+AA425)*10)),"")</f>
        <v/>
      </c>
      <c r="AE425" s="1" t="n">
        <v>100</v>
      </c>
      <c r="AF425" s="1" t="n">
        <f aca="false">ROUND(AE425*1.6, 0)</f>
        <v>160</v>
      </c>
      <c r="AH425" s="1" t="n">
        <v>19.3</v>
      </c>
      <c r="AI425" s="1" t="n">
        <v>20</v>
      </c>
      <c r="AL425" s="5" t="n">
        <v>63</v>
      </c>
      <c r="AM425" s="1" t="str">
        <f aca="false">CONCATENATE(VLOOKUP(AN425, 'Voxel Sizes'!$A$2:$B$18,2,FALSE()),"x",INT(AJ425*15), "x", INT(AK425*15))</f>
        <v>198x0x0</v>
      </c>
      <c r="AN425" s="1" t="n">
        <f aca="false">ROUND(15*((AI425*10)/256),0)</f>
        <v>12</v>
      </c>
      <c r="AP425" s="1" t="str">
        <f aca="false">CONCATENATE(VLOOKUP(AN425,Constants!$A$2:$C$16,IF(AO425&lt;&gt;"", 3, 2), FALSE()),IF(AO425&lt;&gt;"",CONCATENATE(",",VLOOKUP(AO425,$B:$AP,41,FALSE())),""))</f>
        <v>4,4,4</v>
      </c>
      <c r="AZ425" s="1" t="n">
        <v>30</v>
      </c>
      <c r="BA425" s="16" t="n">
        <f aca="false">IF(O425&lt;&gt;"",MAX(16,(O425-M425)+8),"")</f>
        <v>31</v>
      </c>
      <c r="BB425" s="1" t="n">
        <v>76</v>
      </c>
      <c r="BC425" s="1" t="n">
        <f aca="false">23*3</f>
        <v>69</v>
      </c>
      <c r="BD425" s="1" t="n">
        <f aca="false">MIN(AE425/150, 1)*30</f>
        <v>20</v>
      </c>
      <c r="BE425" s="1" t="n">
        <f aca="false">MIN(Q425/4000, 1)*20</f>
        <v>0</v>
      </c>
      <c r="BF425" s="1" t="n">
        <f aca="false">MIN(AC425/400,1)*20</f>
        <v>0</v>
      </c>
      <c r="BG425" s="4" t="n">
        <f aca="false">1-(MAX(M425-1900, 0)/750)</f>
        <v>0.932</v>
      </c>
      <c r="BH425" s="1" t="n">
        <f aca="false">((MAX($P425,1)*MIN($AL425/300,1)))*IF(J425="Wagon",50,10)</f>
        <v>10.5</v>
      </c>
      <c r="BI425" s="1" t="n">
        <f aca="false">VLOOKUP($K425,Constants!$I:$K, 2, FALSE())</f>
        <v>1.2</v>
      </c>
      <c r="BJ425" s="1" t="n">
        <f aca="false">VLOOKUP($K425,Constants!$I:$K, 3, FALSE())*IF(AND(J425="multiple_unit",AE425&lt;110),0.75,1)</f>
        <v>0.6</v>
      </c>
      <c r="BK425" s="1" t="n">
        <f aca="false">INT(POWER(((Constants!$G$2+$BD425+$BE425+$BF425+$BH425)*$BG425)*$BJ425, 1.05))+$BC425</f>
        <v>92</v>
      </c>
      <c r="BL425" s="1" t="n">
        <f aca="false">INT(POWER((((Constants!$G$1+$BD425+$BE425+$BF425+$BH425)*($BG425))*$BI425),IF($J425="wagon",1,1.2)))+$BB425</f>
        <v>126</v>
      </c>
      <c r="BM425" s="17" t="n">
        <f aca="false">BK425*IF($J425="wagon",62.5,781.25)</f>
        <v>5750</v>
      </c>
      <c r="BN425" s="17" t="n">
        <f aca="false">BL425*IF($J425="wagon",2.73,81.25)</f>
        <v>343.98</v>
      </c>
      <c r="BU425" s="1" t="str">
        <f aca="false">IF(J425="locomotive","B","")</f>
        <v/>
      </c>
      <c r="BV425" s="1" t="str">
        <f aca="false">IF(OR($J425="locomotive",$J425="wagon"),"B","")</f>
        <v>B</v>
      </c>
      <c r="BY425" s="1" t="n">
        <v>1</v>
      </c>
      <c r="BZ425" s="1" t="n">
        <v>185</v>
      </c>
      <c r="CB425" s="1" t="s">
        <v>366</v>
      </c>
      <c r="CC425" s="1" t="s">
        <v>367</v>
      </c>
      <c r="CD425" s="1" t="str">
        <f aca="false">VLOOKUP(M425,Eras!$A$2:$C$10, 2, TRUE())</f>
        <v>ebr</v>
      </c>
      <c r="CE425" s="1" t="s">
        <v>1582</v>
      </c>
      <c r="CF425" s="1" t="str">
        <f aca="false">CONCATENATE(CD425,"_",CE425)</f>
        <v>ebr_Carriage</v>
      </c>
      <c r="CG425" s="1" t="str">
        <f aca="false">_xlfn.CONCAT(K425, "_",L425)</f>
        <v>carriage_RAIL</v>
      </c>
      <c r="CH425" s="7" t="str">
        <f aca="false">_xlfn.CONCAT("{BLACK}Length: {GOLD}", TEXT(ROUNDUP(IF(AS425&lt;&gt;"",SUM(VALUE(_xlfn.TEXTSPLIT(AS425, ","))), SUM(VALUE(_xlfn.TEXTSPLIT(AP425, ",")))*IF(P425, P425, 1))/16, 1), "#,##0.0"), " tiles{}")</f>
        <v>{BLACK}Length: {GOLD}0.8 tiles{}</v>
      </c>
      <c r="CI425" s="1" t="str">
        <f aca="false">IF(0, VLOOKUP($CG425, Constants!$M:$N, 2, FALSE()),"")</f>
        <v/>
      </c>
      <c r="CJ425" s="1" t="str">
        <f aca="false">IF(P425&gt;1,_xlfn.CONCAT("{BLACK}Cars: {GOLD}", P425),"")</f>
        <v/>
      </c>
      <c r="CK425" s="1" t="s">
        <v>1614</v>
      </c>
      <c r="CL425" s="1" t="str">
        <f aca="false">IF($BX425="concept_trains","{GREEN}Concept Vehicle",IF($BX425="!param_no_gameplay_units","{GREEN}Included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
      </c>
      <c r="CN425" s="1" t="str">
        <f aca="false">_xlfn.CONCAT(CI425,IF(CI425&lt;&gt;""," ",""),CJ425,IF(OR(CJ425&lt;&gt;"",CI425&lt;&gt;""),"{}",""),CH425,CM425,"{SILVER}",CK425,IF(CL425&lt;&gt;"","{}{}",""),CL425)</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26" customFormat="false" ht="14.25" hidden="false" customHeight="false" outlineLevel="0" collapsed="false">
      <c r="A426" s="1" t="s">
        <v>1615</v>
      </c>
      <c r="B426" s="15" t="s">
        <v>1616</v>
      </c>
      <c r="C426" s="1" t="n">
        <v>19</v>
      </c>
      <c r="D426" s="1" t="n">
        <v>18</v>
      </c>
      <c r="E426" s="1" t="n">
        <v>1012</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241</v>
      </c>
      <c r="J426" s="1" t="s">
        <v>1580</v>
      </c>
      <c r="K426" s="1" t="s">
        <v>1581</v>
      </c>
      <c r="L426" s="1" t="s">
        <v>192</v>
      </c>
      <c r="M426" s="1" t="n">
        <v>1951</v>
      </c>
      <c r="N426" s="1" t="n">
        <v>1963</v>
      </c>
      <c r="O426" s="1" t="n">
        <v>1974</v>
      </c>
      <c r="Z426" s="1" t="n">
        <v>32.5</v>
      </c>
      <c r="AB426" s="1" t="n">
        <v>5</v>
      </c>
      <c r="AD426" s="4" t="str">
        <f aca="false">IF(AND(Z426&gt;0,AC426&gt;0),(AC426/((Z426+AA426)*10)),"")</f>
        <v/>
      </c>
      <c r="AE426" s="1" t="n">
        <v>100</v>
      </c>
      <c r="AF426" s="1" t="n">
        <f aca="false">ROUND(AE426*1.6, 0)</f>
        <v>160</v>
      </c>
      <c r="AH426" s="1" t="n">
        <v>19.3</v>
      </c>
      <c r="AI426" s="1" t="n">
        <v>20</v>
      </c>
      <c r="AL426" s="5" t="n">
        <v>42</v>
      </c>
      <c r="AM426" s="1" t="str">
        <f aca="false">CONCATENATE(VLOOKUP(AN426, 'Voxel Sizes'!$A$2:$B$18,2,FALSE()),"x",INT(AJ426*15), "x", INT(AK426*15))</f>
        <v>198x0x0</v>
      </c>
      <c r="AN426" s="1" t="n">
        <f aca="false">ROUND(15*((AI426*10)/256),0)</f>
        <v>12</v>
      </c>
      <c r="AP426" s="1" t="str">
        <f aca="false">CONCATENATE(VLOOKUP(AN426,Constants!$A$2:$C$16,IF(AO426&lt;&gt;"", 3, 2), FALSE()),IF(AO426&lt;&gt;"",CONCATENATE(",",VLOOKUP(AO426,$B:$AP,41,FALSE())),""))</f>
        <v>4,4,4</v>
      </c>
      <c r="AZ426" s="1" t="n">
        <v>30</v>
      </c>
      <c r="BA426" s="16" t="n">
        <f aca="false">IF(O426&lt;&gt;"",MAX(16,(O426-M426)+8),"")</f>
        <v>31</v>
      </c>
      <c r="BB426" s="1" t="n">
        <v>126</v>
      </c>
      <c r="BC426" s="1" t="n">
        <v>90</v>
      </c>
      <c r="BD426" s="1" t="n">
        <f aca="false">MIN(AE426/150, 1)*30</f>
        <v>20</v>
      </c>
      <c r="BE426" s="1" t="n">
        <f aca="false">MIN(Q426/4000, 1)*20</f>
        <v>0</v>
      </c>
      <c r="BF426" s="1" t="n">
        <f aca="false">MIN(AC426/400,1)*20</f>
        <v>0</v>
      </c>
      <c r="BG426" s="4" t="n">
        <f aca="false">1-(MAX(M426-1900, 0)/750)</f>
        <v>0.932</v>
      </c>
      <c r="BH426" s="1" t="n">
        <f aca="false">((MAX($P426,1)*MIN($AL426/300,1)))*IF(J426="Wagon",50,10)</f>
        <v>7</v>
      </c>
      <c r="BI426" s="1" t="n">
        <f aca="false">VLOOKUP($K426,Constants!$I:$K, 2, FALSE())</f>
        <v>1.2</v>
      </c>
      <c r="BJ426" s="1" t="n">
        <f aca="false">VLOOKUP($K426,Constants!$I:$K, 3, FALSE())*IF(AND(J426="multiple_unit",AE426&lt;110),0.75,1)</f>
        <v>0.6</v>
      </c>
      <c r="BK426" s="1" t="n">
        <f aca="false">INT(POWER(((Constants!$G$2+$BD426+$BE426+$BF426+$BH426)*$BG426)*$BJ426, 1.05))+$BC426</f>
        <v>110</v>
      </c>
      <c r="BL426" s="1" t="n">
        <f aca="false">INT(POWER((((Constants!$G$1+$BD426+$BE426+$BF426+$BH426)*($BG426))*$BI426),IF($J426="wagon",1,1.2)))+$BB426</f>
        <v>172</v>
      </c>
      <c r="BM426" s="17" t="n">
        <f aca="false">BK426*IF($J426="wagon",62.5,781.25)</f>
        <v>6875</v>
      </c>
      <c r="BN426" s="17" t="n">
        <f aca="false">BL426*IF($J426="wagon",2.73,81.25)</f>
        <v>469.56</v>
      </c>
      <c r="BU426" s="1" t="str">
        <f aca="false">IF(J426="locomotive","B","")</f>
        <v/>
      </c>
      <c r="BV426" s="1" t="str">
        <f aca="false">IF(OR($J426="locomotive",$J426="wagon"),"B","")</f>
        <v>B</v>
      </c>
      <c r="BY426" s="1" t="n">
        <v>1</v>
      </c>
      <c r="BZ426" s="1" t="n">
        <v>222</v>
      </c>
      <c r="CA426" s="1" t="s">
        <v>1617</v>
      </c>
      <c r="CB426" s="1" t="s">
        <v>366</v>
      </c>
      <c r="CC426" s="1" t="s">
        <v>367</v>
      </c>
      <c r="CD426" s="1" t="str">
        <f aca="false">VLOOKUP(M426,Eras!$A$2:$C$10, 2, TRUE())</f>
        <v>ebr</v>
      </c>
      <c r="CE426" s="1" t="s">
        <v>1582</v>
      </c>
      <c r="CF426" s="1" t="str">
        <f aca="false">CONCATENATE(CD426,"_",CE426)</f>
        <v>ebr_Carriage</v>
      </c>
      <c r="CG426" s="1" t="str">
        <f aca="false">_xlfn.CONCAT(K426, "_",L426)</f>
        <v>carriage_RAIL</v>
      </c>
      <c r="CH426" s="7" t="str">
        <f aca="false">_xlfn.CONCAT("{BLACK}Length: {GOLD}", TEXT(ROUNDUP(IF(AS426&lt;&gt;"",SUM(VALUE(_xlfn.TEXTSPLIT(AS426, ","))), SUM(VALUE(_xlfn.TEXTSPLIT(AP426, ",")))*IF(P426, P426, 1))/16, 1), "#,##0.0"), " tiles{}")</f>
        <v>{BLACK}Length: {GOLD}0.8 tiles{}</v>
      </c>
      <c r="CI426" s="1" t="str">
        <f aca="false">IF(0, VLOOKUP($CG426, Constants!$M:$N, 2, FALSE()),"")</f>
        <v/>
      </c>
      <c r="CJ426" s="1" t="str">
        <f aca="false">IF(P426&gt;1,_xlfn.CONCAT("{BLACK}Cars: {GOLD}", P426),"")</f>
        <v/>
      </c>
      <c r="CK426" s="1" t="s">
        <v>1618</v>
      </c>
      <c r="CL426" s="1" t="str">
        <f aca="false">IF($BX426="concept_trains","{GREEN}Concept Vehicle",IF($BX426="!param_no_gameplay_units","{GREEN}Included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{YELLOW}20% bonus for long distance travel{}</v>
      </c>
      <c r="CN426" s="1" t="str">
        <f aca="false">_xlfn.CONCAT(CI426,IF(CI426&lt;&gt;""," ",""),CJ426,IF(OR(CJ426&lt;&gt;"",CI426&lt;&gt;""),"{}",""),CH426,CM426,"{SILVER}",CK426,IF(CL426&lt;&gt;"","{}{}",""),CL426)</f>
        <v>{BLACK}Length: {GOLD}0.8 tiles{}{YELLOW}20% bonus for long distance travel{}{SILVER}Mk1 FO (First Open) carriages had wider and more luxurious seating in a 2+1 arrangement in an open saloon.</v>
      </c>
    </row>
    <row r="427" customFormat="false" ht="14.25" hidden="false" customHeight="false" outlineLevel="0" collapsed="false">
      <c r="A427" s="1" t="s">
        <v>1619</v>
      </c>
      <c r="B427" s="15" t="s">
        <v>1620</v>
      </c>
      <c r="C427" s="1" t="n">
        <v>20</v>
      </c>
      <c r="D427" s="1" t="n">
        <v>18</v>
      </c>
      <c r="E427" s="1" t="n">
        <v>1013</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241</v>
      </c>
      <c r="J427" s="1" t="s">
        <v>1580</v>
      </c>
      <c r="K427" s="1" t="s">
        <v>1581</v>
      </c>
      <c r="L427" s="1" t="s">
        <v>192</v>
      </c>
      <c r="M427" s="1" t="n">
        <v>1951</v>
      </c>
      <c r="N427" s="1" t="n">
        <v>1963</v>
      </c>
      <c r="O427" s="1" t="n">
        <v>1974</v>
      </c>
      <c r="Z427" s="1" t="n">
        <v>32.5</v>
      </c>
      <c r="AB427" s="1" t="n">
        <v>4</v>
      </c>
      <c r="AD427" s="4" t="str">
        <f aca="false">IF(AND(Z427&gt;0,AC427&gt;0),(AC427/((Z427+AA427)*10)),"")</f>
        <v/>
      </c>
      <c r="AE427" s="1" t="n">
        <v>100</v>
      </c>
      <c r="AF427" s="1" t="n">
        <f aca="false">ROUND(AE427*1.6, 0)</f>
        <v>160</v>
      </c>
      <c r="AH427" s="1" t="n">
        <v>19.3</v>
      </c>
      <c r="AI427" s="1" t="n">
        <v>20</v>
      </c>
      <c r="AL427" s="5" t="n">
        <v>48</v>
      </c>
      <c r="AM427" s="1" t="str">
        <f aca="false">CONCATENATE(VLOOKUP(AN427, 'Voxel Sizes'!$A$2:$B$18,2,FALSE()),"x",INT(AJ427*15), "x", INT(AK427*15))</f>
        <v>198x0x0</v>
      </c>
      <c r="AN427" s="1" t="n">
        <f aca="false">ROUND(15*((AI427*10)/256),0)</f>
        <v>12</v>
      </c>
      <c r="AP427" s="1" t="str">
        <f aca="false">CONCATENATE(VLOOKUP(AN427,Constants!$A$2:$C$16,IF(AO427&lt;&gt;"", 3, 2), FALSE()),IF(AO427&lt;&gt;"",CONCATENATE(",",VLOOKUP(AO427,$B:$AP,41,FALSE())),""))</f>
        <v>4,4,4</v>
      </c>
      <c r="AZ427" s="1" t="n">
        <v>30</v>
      </c>
      <c r="BA427" s="16" t="n">
        <f aca="false">IF(O427&lt;&gt;"",MAX(16,(O427-M427)+8),"")</f>
        <v>31</v>
      </c>
      <c r="BB427" s="1" t="n">
        <v>76</v>
      </c>
      <c r="BC427" s="1" t="n">
        <f aca="false">23*3</f>
        <v>69</v>
      </c>
      <c r="BD427" s="1" t="n">
        <f aca="false">MIN(AE427/150, 1)*30</f>
        <v>20</v>
      </c>
      <c r="BE427" s="1" t="n">
        <f aca="false">MIN(Q427/4000, 1)*20</f>
        <v>0</v>
      </c>
      <c r="BF427" s="1" t="n">
        <f aca="false">MIN(AC427/400,1)*20</f>
        <v>0</v>
      </c>
      <c r="BG427" s="4" t="n">
        <f aca="false">1-(MAX(M427-1900, 0)/750)</f>
        <v>0.932</v>
      </c>
      <c r="BH427" s="1" t="n">
        <f aca="false">((MAX($P427,1)*MIN($AL427/300,1)))*IF(J427="Wagon",50,10)</f>
        <v>8</v>
      </c>
      <c r="BI427" s="1" t="n">
        <f aca="false">VLOOKUP($K427,Constants!$I:$K, 2, FALSE())</f>
        <v>1.2</v>
      </c>
      <c r="BJ427" s="1" t="n">
        <f aca="false">VLOOKUP($K427,Constants!$I:$K, 3, FALSE())*IF(AND(J427="multiple_unit",AE427&lt;110),0.75,1)</f>
        <v>0.6</v>
      </c>
      <c r="BK427" s="1" t="n">
        <f aca="false">INT(POWER(((Constants!$G$2+$BD427+$BE427+$BF427+$BH427)*$BG427)*$BJ427, 1.05))+$BC427</f>
        <v>90</v>
      </c>
      <c r="BL427" s="1" t="n">
        <f aca="false">INT(POWER((((Constants!$G$1+$BD427+$BE427+$BF427+$BH427)*($BG427))*$BI427),IF($J427="wagon",1,1.2)))+$BB427</f>
        <v>124</v>
      </c>
      <c r="BM427" s="17" t="n">
        <f aca="false">BK427*IF($J427="wagon",62.5,781.25)</f>
        <v>5625</v>
      </c>
      <c r="BN427" s="17" t="n">
        <f aca="false">BL427*IF($J427="wagon",2.73,81.25)</f>
        <v>338.52</v>
      </c>
      <c r="BU427" s="1" t="str">
        <f aca="false">IF(J427="locomotive","B","")</f>
        <v/>
      </c>
      <c r="BV427" s="1" t="str">
        <f aca="false">IF(OR($J427="locomotive",$J427="wagon"),"B","")</f>
        <v>B</v>
      </c>
      <c r="BY427" s="1" t="n">
        <v>1</v>
      </c>
      <c r="BZ427" s="1" t="n">
        <v>195</v>
      </c>
      <c r="CB427" s="1" t="s">
        <v>366</v>
      </c>
      <c r="CC427" s="1" t="s">
        <v>367</v>
      </c>
      <c r="CD427" s="1" t="str">
        <f aca="false">VLOOKUP(M427,Eras!$A$2:$C$10, 2, TRUE())</f>
        <v>ebr</v>
      </c>
      <c r="CE427" s="1" t="s">
        <v>1582</v>
      </c>
      <c r="CF427" s="1" t="str">
        <f aca="false">CONCATENATE(CD427,"_",CE427)</f>
        <v>ebr_Carriage</v>
      </c>
      <c r="CG427" s="1" t="str">
        <f aca="false">_xlfn.CONCAT(K427, "_",L427)</f>
        <v>carriage_RAIL</v>
      </c>
      <c r="CH427" s="7" t="str">
        <f aca="false">_xlfn.CONCAT("{BLACK}Length: {GOLD}", TEXT(ROUNDUP(IF(AS427&lt;&gt;"",SUM(VALUE(_xlfn.TEXTSPLIT(AS427, ","))), SUM(VALUE(_xlfn.TEXTSPLIT(AP427, ",")))*IF(P427, P427, 1))/16, 1), "#,##0.0"), " tiles{}")</f>
        <v>{BLACK}Length: {GOLD}0.8 tiles{}</v>
      </c>
      <c r="CI427" s="1" t="str">
        <f aca="false">IF(0, VLOOKUP($CG427, Constants!$M:$N, 2, FALSE()),"")</f>
        <v/>
      </c>
      <c r="CJ427" s="1" t="str">
        <f aca="false">IF(P427&gt;1,_xlfn.CONCAT("{BLACK}Cars: {GOLD}", P427),"")</f>
        <v/>
      </c>
      <c r="CK427" s="1" t="s">
        <v>1621</v>
      </c>
      <c r="CL427" s="1" t="str">
        <f aca="false">IF($BX427="concept_trains","{GREEN}Concept Vehicle",IF($BX427="!param_no_gameplay_units","{GREEN}Included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{YELLOW}5% bonus for long distance travel{}</v>
      </c>
      <c r="CN427" s="1" t="str">
        <f aca="false">_xlfn.CONCAT(CI427,IF(CI427&lt;&gt;""," ",""),CJ427,IF(OR(CJ427&lt;&gt;"",CI427&lt;&gt;""),"{}",""),CH427,CM427,"{SILVER}",CK427,IF(CL427&lt;&gt;"","{}{}",""),CL427)</f>
        <v>{BLACK}Length: {GOLD}0.8 tiles{}{YELLOW}5% bonus for long distance travel{}{SILVER}Mk1 SK (Second/Standard Corridor) carriages were divided into 8 compartments, accessed by a gangway along one side of the carriage. This was the most common of all Mk1 carriage types.</v>
      </c>
    </row>
    <row r="428" customFormat="false" ht="14.25" hidden="false" customHeight="false" outlineLevel="0" collapsed="false">
      <c r="A428" s="1" t="s">
        <v>1622</v>
      </c>
      <c r="B428" s="15" t="s">
        <v>1623</v>
      </c>
      <c r="C428" s="1" t="n">
        <v>21</v>
      </c>
      <c r="D428" s="1" t="n">
        <v>18</v>
      </c>
      <c r="E428" s="1" t="n">
        <v>1014</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241</v>
      </c>
      <c r="J428" s="1" t="s">
        <v>1580</v>
      </c>
      <c r="K428" s="1" t="s">
        <v>1581</v>
      </c>
      <c r="L428" s="1" t="s">
        <v>192</v>
      </c>
      <c r="M428" s="1" t="n">
        <v>1951</v>
      </c>
      <c r="N428" s="1" t="n">
        <v>1963</v>
      </c>
      <c r="O428" s="1" t="n">
        <v>1974</v>
      </c>
      <c r="Z428" s="1" t="n">
        <v>32.5</v>
      </c>
      <c r="AB428" s="1" t="n">
        <v>4</v>
      </c>
      <c r="AD428" s="4" t="str">
        <f aca="false">IF(AND(Z428&gt;0,AC428&gt;0),(AC428/((Z428+AA428)*10)),"")</f>
        <v/>
      </c>
      <c r="AE428" s="1" t="n">
        <v>100</v>
      </c>
      <c r="AF428" s="1" t="n">
        <f aca="false">ROUND(AE428*1.6, 0)</f>
        <v>160</v>
      </c>
      <c r="AH428" s="1" t="n">
        <v>19.3</v>
      </c>
      <c r="AI428" s="1" t="n">
        <v>20</v>
      </c>
      <c r="AL428" s="5" t="n">
        <v>42</v>
      </c>
      <c r="AM428" s="1" t="str">
        <f aca="false">CONCATENATE(VLOOKUP(AN428, 'Voxel Sizes'!$A$2:$B$18,2,FALSE()),"x",INT(AJ428*15), "x", INT(AK428*15))</f>
        <v>198x0x0</v>
      </c>
      <c r="AN428" s="1" t="n">
        <f aca="false">ROUND(15*((AI428*10)/256),0)</f>
        <v>12</v>
      </c>
      <c r="AP428" s="1" t="str">
        <f aca="false">CONCATENATE(VLOOKUP(AN428,Constants!$A$2:$C$16,IF(AO428&lt;&gt;"", 3, 2), FALSE()),IF(AO428&lt;&gt;"",CONCATENATE(",",VLOOKUP(AO428,$B:$AP,41,FALSE())),""))</f>
        <v>4,4,4</v>
      </c>
      <c r="AZ428" s="1" t="n">
        <v>30</v>
      </c>
      <c r="BA428" s="16" t="n">
        <f aca="false">IF(O428&lt;&gt;"",MAX(16,(O428-M428)+8),"")</f>
        <v>31</v>
      </c>
      <c r="BB428" s="1" t="n">
        <v>126</v>
      </c>
      <c r="BC428" s="1" t="n">
        <v>90</v>
      </c>
      <c r="BD428" s="1" t="n">
        <f aca="false">MIN(AE428/150, 1)*30</f>
        <v>20</v>
      </c>
      <c r="BE428" s="1" t="n">
        <f aca="false">MIN(Q428/4000, 1)*20</f>
        <v>0</v>
      </c>
      <c r="BF428" s="1" t="n">
        <f aca="false">MIN(AC428/400,1)*20</f>
        <v>0</v>
      </c>
      <c r="BG428" s="4" t="n">
        <f aca="false">1-(MAX(M428-1900, 0)/750)</f>
        <v>0.932</v>
      </c>
      <c r="BH428" s="1" t="n">
        <f aca="false">((MAX($P428,1)*MIN($AL428/300,1)))*IF(J428="Wagon",50,10)</f>
        <v>7</v>
      </c>
      <c r="BI428" s="1" t="n">
        <f aca="false">VLOOKUP($K428,Constants!$I:$K, 2, FALSE())</f>
        <v>1.2</v>
      </c>
      <c r="BJ428" s="1" t="n">
        <f aca="false">VLOOKUP($K428,Constants!$I:$K, 3, FALSE())*IF(AND(J428="multiple_unit",AE428&lt;110),0.75,1)</f>
        <v>0.6</v>
      </c>
      <c r="BK428" s="1" t="n">
        <f aca="false">INT(POWER(((Constants!$G$2+$BD428+$BE428+$BF428+$BH428)*$BG428)*$BJ428, 1.05))+$BC428</f>
        <v>110</v>
      </c>
      <c r="BL428" s="1" t="n">
        <f aca="false">INT(POWER((((Constants!$G$1+$BD428+$BE428+$BF428+$BH428)*($BG428))*$BI428),IF($J428="wagon",1,1.2)))+$BB428</f>
        <v>172</v>
      </c>
      <c r="BM428" s="17" t="n">
        <f aca="false">BK428*IF($J428="wagon",62.5,781.25)</f>
        <v>6875</v>
      </c>
      <c r="BN428" s="17" t="n">
        <f aca="false">BL428*IF($J428="wagon",2.73,81.25)</f>
        <v>469.56</v>
      </c>
      <c r="BU428" s="1" t="str">
        <f aca="false">IF(J428="locomotive","B","")</f>
        <v/>
      </c>
      <c r="BV428" s="1" t="str">
        <f aca="false">IF(OR($J428="locomotive",$J428="wagon"),"B","")</f>
        <v>B</v>
      </c>
      <c r="BY428" s="1" t="n">
        <v>1</v>
      </c>
      <c r="BZ428" s="1" t="n">
        <v>232</v>
      </c>
      <c r="CA428" s="1" t="s">
        <v>1617</v>
      </c>
      <c r="CB428" s="1" t="s">
        <v>366</v>
      </c>
      <c r="CC428" s="1" t="s">
        <v>367</v>
      </c>
      <c r="CD428" s="1" t="str">
        <f aca="false">VLOOKUP(M428,Eras!$A$2:$C$10, 2, TRUE())</f>
        <v>ebr</v>
      </c>
      <c r="CE428" s="1" t="s">
        <v>1582</v>
      </c>
      <c r="CF428" s="1" t="str">
        <f aca="false">CONCATENATE(CD428,"_",CE428)</f>
        <v>ebr_Carriage</v>
      </c>
      <c r="CG428" s="1" t="str">
        <f aca="false">_xlfn.CONCAT(K428, "_",L428)</f>
        <v>carriage_RAIL</v>
      </c>
      <c r="CH428" s="7" t="str">
        <f aca="false">_xlfn.CONCAT("{BLACK}Length: {GOLD}", TEXT(ROUNDUP(IF(AS428&lt;&gt;"",SUM(VALUE(_xlfn.TEXTSPLIT(AS428, ","))), SUM(VALUE(_xlfn.TEXTSPLIT(AP428, ",")))*IF(P428, P428, 1))/16, 1), "#,##0.0"), " tiles{}")</f>
        <v>{BLACK}Length: {GOLD}0.8 tiles{}</v>
      </c>
      <c r="CI428" s="1" t="str">
        <f aca="false">IF(0, VLOOKUP($CG428, Constants!$M:$N, 2, FALSE()),"")</f>
        <v/>
      </c>
      <c r="CJ428" s="1" t="str">
        <f aca="false">IF(P428&gt;1,_xlfn.CONCAT("{BLACK}Cars: {GOLD}", P428),"")</f>
        <v/>
      </c>
      <c r="CK428" s="1" t="s">
        <v>1624</v>
      </c>
      <c r="CL428" s="1" t="str">
        <f aca="false">IF($BX428="concept_trains","{GREEN}Concept Vehicle",IF($BX428="!param_no_gameplay_units","{GREEN}Included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{YELLOW}25% bonus for long distance travel{}</v>
      </c>
      <c r="CN428" s="1" t="str">
        <f aca="false">_xlfn.CONCAT(CI428,IF(CI428&lt;&gt;""," ",""),CJ428,IF(OR(CJ428&lt;&gt;"",CI428&lt;&gt;""),"{}",""),CH428,CM428,"{SILVER}",CK428,IF(CL428&lt;&gt;"","{}{}",""),CL428)</f>
        <v>{BLACK}Length: {GOLD}0.8 tiles{}{YELLOW}25% bonus for long distance travel{}{SILVER}MK1 FK (First Corridor) carriages were divided into 7 compartments, larger and more luxurious than the SK carriages.</v>
      </c>
    </row>
    <row r="429" customFormat="false" ht="14.25" hidden="false" customHeight="false" outlineLevel="0" collapsed="false">
      <c r="A429" s="1" t="s">
        <v>1625</v>
      </c>
      <c r="B429" s="25" t="s">
        <v>1626</v>
      </c>
      <c r="C429" s="1" t="n">
        <v>4020</v>
      </c>
      <c r="D429" s="1" t="n">
        <v>18</v>
      </c>
      <c r="E429" s="1" t="n">
        <v>1015</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241</v>
      </c>
      <c r="J429" s="1" t="s">
        <v>1580</v>
      </c>
      <c r="K429" s="1" t="s">
        <v>1581</v>
      </c>
      <c r="L429" s="1" t="s">
        <v>192</v>
      </c>
      <c r="M429" s="1" t="n">
        <v>1951</v>
      </c>
      <c r="N429" s="1" t="n">
        <v>1963</v>
      </c>
      <c r="O429" s="1" t="n">
        <v>1974</v>
      </c>
      <c r="Z429" s="1" t="n">
        <v>32.5</v>
      </c>
      <c r="AB429" s="1" t="n">
        <v>4</v>
      </c>
      <c r="AD429" s="4" t="str">
        <f aca="false">IF(AND(Z429&gt;0,AC429&gt;0),(AC429/((Z429+AA429)*10)),"")</f>
        <v/>
      </c>
      <c r="AE429" s="1" t="n">
        <v>100</v>
      </c>
      <c r="AF429" s="1" t="n">
        <f aca="false">ROUND(AE429*1.6, 0)</f>
        <v>160</v>
      </c>
      <c r="AH429" s="1" t="n">
        <v>19.3</v>
      </c>
      <c r="AI429" s="1" t="n">
        <v>20</v>
      </c>
      <c r="AL429" s="5" t="n">
        <v>32</v>
      </c>
      <c r="AM429" s="1" t="str">
        <f aca="false">CONCATENATE(VLOOKUP(AN429, 'Voxel Sizes'!$A$2:$B$18,2,FALSE()),"x",INT(AJ429*15), "x", INT(AK429*15))</f>
        <v>198x0x0</v>
      </c>
      <c r="AN429" s="1" t="n">
        <f aca="false">ROUND(15*((AI429*10)/256),0)</f>
        <v>12</v>
      </c>
      <c r="AP429" s="1" t="str">
        <f aca="false">CONCATENATE(VLOOKUP(AN429,Constants!$A$2:$C$16,IF(AO429&lt;&gt;"", 3, 2), FALSE()),IF(AO429&lt;&gt;"",CONCATENATE(",",VLOOKUP(AO429,$B:$AP,41,FALSE())),""))</f>
        <v>4,4,4</v>
      </c>
      <c r="AY429" s="1" t="s">
        <v>1627</v>
      </c>
      <c r="AZ429" s="1" t="n">
        <v>30</v>
      </c>
      <c r="BA429" s="16" t="n">
        <f aca="false">IF(O429&lt;&gt;"",MAX(16,(O429-M429)+8),"")</f>
        <v>31</v>
      </c>
      <c r="BB429" s="1" t="n">
        <v>76</v>
      </c>
      <c r="BC429" s="1" t="n">
        <f aca="false">23*3</f>
        <v>69</v>
      </c>
      <c r="BD429" s="1" t="n">
        <f aca="false">MIN(AE429/150, 1)*30</f>
        <v>20</v>
      </c>
      <c r="BE429" s="1" t="n">
        <f aca="false">MIN(Q429/4000, 1)*20</f>
        <v>0</v>
      </c>
      <c r="BF429" s="1" t="n">
        <f aca="false">MIN(AC429/400,1)*20</f>
        <v>0</v>
      </c>
      <c r="BG429" s="4" t="n">
        <f aca="false">1-(MAX(M429-1900, 0)/750)</f>
        <v>0.932</v>
      </c>
      <c r="BH429" s="1" t="n">
        <f aca="false">((MAX($P429,1)*MIN($AL429/300,1)))*IF(J429="Wagon",50,10)</f>
        <v>5.33333333333333</v>
      </c>
      <c r="BI429" s="1" t="n">
        <f aca="false">VLOOKUP($K429,Constants!$I:$K, 2, FALSE())</f>
        <v>1.2</v>
      </c>
      <c r="BJ429" s="1" t="n">
        <f aca="false">VLOOKUP($K429,Constants!$I:$K, 3, FALSE())*IF(AND(J429="multiple_unit",AE429&lt;110),0.75,1)</f>
        <v>0.6</v>
      </c>
      <c r="BK429" s="1" t="n">
        <f aca="false">INT(POWER(((Constants!$G$2+$BD429+$BE429+$BF429+$BH429)*$BG429)*$BJ429, 1.05))+$BC429</f>
        <v>88</v>
      </c>
      <c r="BL429" s="1" t="n">
        <f aca="false">INT(POWER((((Constants!$G$1+$BD429+$BE429+$BF429+$BH429)*($BG429))*$BI429),IF($J429="wagon",1,1.2)))+$BB429</f>
        <v>121</v>
      </c>
      <c r="BM429" s="17" t="n">
        <f aca="false">BK429*IF($J429="wagon",62.5,781.25)</f>
        <v>5500</v>
      </c>
      <c r="BN429" s="17" t="n">
        <f aca="false">BL429*IF($J429="wagon",2.73,81.25)</f>
        <v>330.33</v>
      </c>
      <c r="BU429" s="1" t="str">
        <f aca="false">IF(J429="locomotive","B","")</f>
        <v/>
      </c>
      <c r="BV429" s="1" t="str">
        <f aca="false">IF(OR($J429="locomotive",$J429="wagon"),"B","")</f>
        <v>B</v>
      </c>
      <c r="BY429" s="1" t="n">
        <v>1</v>
      </c>
      <c r="BZ429" s="1" t="n">
        <v>195</v>
      </c>
      <c r="CB429" s="1" t="s">
        <v>366</v>
      </c>
      <c r="CC429" s="1" t="s">
        <v>367</v>
      </c>
      <c r="CD429" s="1" t="str">
        <f aca="false">VLOOKUP(M429,Eras!$A$2:$C$10, 2, TRUE())</f>
        <v>ebr</v>
      </c>
      <c r="CE429" s="1" t="s">
        <v>1582</v>
      </c>
      <c r="CF429" s="1" t="str">
        <f aca="false">CONCATENATE(CD429,"_",CE429)</f>
        <v>ebr_Carriage</v>
      </c>
      <c r="CG429" s="1" t="str">
        <f aca="false">_xlfn.CONCAT(K429, "_",L429)</f>
        <v>carriage_RAIL</v>
      </c>
      <c r="CH429" s="7" t="str">
        <f aca="false">_xlfn.CONCAT("{BLACK}Length: {GOLD}", TEXT(ROUNDUP(IF(AS429&lt;&gt;"",SUM(VALUE(_xlfn.TEXTSPLIT(AS429, ","))), SUM(VALUE(_xlfn.TEXTSPLIT(AP429, ",")))*IF(P429, P429, 1))/16, 1), "#,##0.0"), " tiles{}")</f>
        <v>{BLACK}Length: {GOLD}0.8 tiles{}</v>
      </c>
      <c r="CI429" s="1" t="str">
        <f aca="false">IF(0, VLOOKUP($CG429, Constants!$M:$N, 2, FALSE()),"")</f>
        <v/>
      </c>
      <c r="CJ429" s="1" t="str">
        <f aca="false">IF(P429&gt;1,_xlfn.CONCAT("{BLACK}Cars: {GOLD}", P429),"")</f>
        <v/>
      </c>
      <c r="CK429" s="1" t="s">
        <v>1628</v>
      </c>
      <c r="CL429" s="1" t="str">
        <f aca="false">IF($BX429="concept_trains","{GREEN}Concept Vehicle",IF($BX429="!param_no_gameplay_units","{GREEN}Included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{YELLOW}5% bonus for long distance travel{}</v>
      </c>
      <c r="CN429" s="1" t="str">
        <f aca="false">_xlfn.CONCAT(CI429,IF(CI429&lt;&gt;""," ",""),CJ429,IF(OR(CJ429&lt;&gt;"",CI429&lt;&gt;""),"{}",""),CH429,CM429,"{SILVER}",CK429,IF(CL429&lt;&gt;"","{}{}",""),CL429)</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30" customFormat="false" ht="14.25" hidden="false" customHeight="false" outlineLevel="0" collapsed="false">
      <c r="A430" s="1" t="s">
        <v>1629</v>
      </c>
      <c r="B430" s="25" t="s">
        <v>1630</v>
      </c>
      <c r="C430" s="1" t="n">
        <v>4021</v>
      </c>
      <c r="D430" s="1" t="n">
        <v>18</v>
      </c>
      <c r="E430" s="1" t="n">
        <v>1016</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241</v>
      </c>
      <c r="J430" s="1" t="s">
        <v>1580</v>
      </c>
      <c r="K430" s="1" t="s">
        <v>1581</v>
      </c>
      <c r="L430" s="1" t="s">
        <v>192</v>
      </c>
      <c r="M430" s="1" t="n">
        <v>1951</v>
      </c>
      <c r="N430" s="1" t="n">
        <v>1963</v>
      </c>
      <c r="O430" s="1" t="n">
        <v>1974</v>
      </c>
      <c r="Z430" s="1" t="n">
        <v>32.5</v>
      </c>
      <c r="AB430" s="1" t="n">
        <v>4</v>
      </c>
      <c r="AD430" s="4" t="str">
        <f aca="false">IF(AND(Z430&gt;0,AC430&gt;0),(AC430/((Z430+AA430)*10)),"")</f>
        <v/>
      </c>
      <c r="AE430" s="1" t="n">
        <v>100</v>
      </c>
      <c r="AF430" s="1" t="n">
        <f aca="false">ROUND(AE430*1.6, 0)</f>
        <v>160</v>
      </c>
      <c r="AH430" s="1" t="n">
        <v>19.3</v>
      </c>
      <c r="AI430" s="1" t="n">
        <v>20</v>
      </c>
      <c r="AL430" s="5" t="n">
        <v>24</v>
      </c>
      <c r="AM430" s="1" t="str">
        <f aca="false">CONCATENATE(VLOOKUP(AN430, 'Voxel Sizes'!$A$2:$B$18,2,FALSE()),"x",INT(AJ430*15), "x", INT(AK430*15))</f>
        <v>198x0x0</v>
      </c>
      <c r="AN430" s="1" t="n">
        <f aca="false">ROUND(15*((AI430*10)/256),0)</f>
        <v>12</v>
      </c>
      <c r="AP430" s="1" t="str">
        <f aca="false">CONCATENATE(VLOOKUP(AN430,Constants!$A$2:$C$16,IF(AO430&lt;&gt;"", 3, 2), FALSE()),IF(AO430&lt;&gt;"",CONCATENATE(",",VLOOKUP(AO430,$B:$AP,41,FALSE())),""))</f>
        <v>4,4,4</v>
      </c>
      <c r="AY430" s="1" t="s">
        <v>1631</v>
      </c>
      <c r="AZ430" s="1" t="n">
        <v>30</v>
      </c>
      <c r="BA430" s="16" t="n">
        <f aca="false">IF(O430&lt;&gt;"",MAX(16,(O430-M430)+8),"")</f>
        <v>31</v>
      </c>
      <c r="BB430" s="1" t="n">
        <v>76</v>
      </c>
      <c r="BC430" s="1" t="n">
        <f aca="false">23*3</f>
        <v>69</v>
      </c>
      <c r="BD430" s="1" t="n">
        <f aca="false">MIN(AE430/150, 1)*30</f>
        <v>20</v>
      </c>
      <c r="BE430" s="1" t="n">
        <f aca="false">MIN(Q430/4000, 1)*20</f>
        <v>0</v>
      </c>
      <c r="BF430" s="1" t="n">
        <f aca="false">MIN(AC430/400,1)*20</f>
        <v>0</v>
      </c>
      <c r="BG430" s="4" t="n">
        <f aca="false">1-(MAX(M430-1900, 0)/750)</f>
        <v>0.932</v>
      </c>
      <c r="BH430" s="1" t="n">
        <f aca="false">((MAX($P430,1)*MIN($AL430/300,1)))*IF(J430="Wagon",50,10)</f>
        <v>4</v>
      </c>
      <c r="BI430" s="1" t="n">
        <f aca="false">VLOOKUP($K430,Constants!$I:$K, 2, FALSE())</f>
        <v>1.2</v>
      </c>
      <c r="BJ430" s="1" t="n">
        <f aca="false">VLOOKUP($K430,Constants!$I:$K, 3, FALSE())*IF(AND(J430="multiple_unit",AE430&lt;110),0.75,1)</f>
        <v>0.6</v>
      </c>
      <c r="BK430" s="1" t="n">
        <f aca="false">INT(POWER(((Constants!$G$2+$BD430+$BE430+$BF430+$BH430)*$BG430)*$BJ430, 1.05))+$BC430</f>
        <v>87</v>
      </c>
      <c r="BL430" s="1" t="n">
        <f aca="false">INT(POWER((((Constants!$G$1+$BD430+$BE430+$BF430+$BH430)*($BG430))*$BI430),IF($J430="wagon",1,1.2)))+$BB430</f>
        <v>119</v>
      </c>
      <c r="BM430" s="17" t="n">
        <f aca="false">BK430*IF($J430="wagon",62.5,781.25)</f>
        <v>5437.5</v>
      </c>
      <c r="BN430" s="17" t="n">
        <f aca="false">BL430*IF($J430="wagon",2.73,81.25)</f>
        <v>324.87</v>
      </c>
      <c r="BU430" s="1" t="str">
        <f aca="false">IF(J430="locomotive","B","")</f>
        <v/>
      </c>
      <c r="BV430" s="1" t="str">
        <f aca="false">IF(OR($J430="locomotive",$J430="wagon"),"B","")</f>
        <v>B</v>
      </c>
      <c r="BY430" s="1" t="n">
        <v>1</v>
      </c>
      <c r="BZ430" s="1" t="n">
        <v>195</v>
      </c>
      <c r="CB430" s="1" t="s">
        <v>366</v>
      </c>
      <c r="CC430" s="1" t="s">
        <v>367</v>
      </c>
      <c r="CD430" s="1" t="str">
        <f aca="false">VLOOKUP(M430,Eras!$A$2:$C$10, 2, TRUE())</f>
        <v>ebr</v>
      </c>
      <c r="CE430" s="1" t="s">
        <v>1582</v>
      </c>
      <c r="CF430" s="1" t="str">
        <f aca="false">CONCATENATE(CD430,"_",CE430)</f>
        <v>ebr_Carriage</v>
      </c>
      <c r="CG430" s="1" t="str">
        <f aca="false">_xlfn.CONCAT(K430, "_",L430)</f>
        <v>carriage_RAIL</v>
      </c>
      <c r="CH430" s="7" t="str">
        <f aca="false">_xlfn.CONCAT("{BLACK}Length: {GOLD}", TEXT(ROUNDUP(IF(AS430&lt;&gt;"",SUM(VALUE(_xlfn.TEXTSPLIT(AS430, ","))), SUM(VALUE(_xlfn.TEXTSPLIT(AP430, ",")))*IF(P430, P430, 1))/16, 1), "#,##0.0"), " tiles{}")</f>
        <v>{BLACK}Length: {GOLD}0.8 tiles{}</v>
      </c>
      <c r="CI430" s="1" t="str">
        <f aca="false">IF(0, VLOOKUP($CG430, Constants!$M:$N, 2, FALSE()),"")</f>
        <v/>
      </c>
      <c r="CJ430" s="1" t="str">
        <f aca="false">IF(P430&gt;1,_xlfn.CONCAT("{BLACK}Cars: {GOLD}", P430),"")</f>
        <v/>
      </c>
      <c r="CK430" s="1" t="s">
        <v>1632</v>
      </c>
      <c r="CL430" s="1" t="str">
        <f aca="false">IF($BX430="concept_trains","{GREEN}Concept Vehicle",IF($BX430="!param_no_gameplay_units","{GREEN}Included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{YELLOW}5% bonus for long distance travel{}</v>
      </c>
      <c r="CN430" s="1" t="str">
        <f aca="false">_xlfn.CONCAT(CI430,IF(CI430&lt;&gt;""," ",""),CJ430,IF(OR(CJ430&lt;&gt;"",CI430&lt;&gt;""),"{}",""),CH430,CM430,"{SILVER}",CK430,IF(CL430&lt;&gt;"","{}{}",""),CL430)</f>
        <v>{BLACK}Length: {GOLD}0.8 tiles{}{YELLOW}5% bonus for long distance travel{}{SILVER}Mk1 BFK carriages  (Brake First Corridor) had just 4 first class compartments but conveying the train guard and providing space for baggage was considered essential. 173 were built.</v>
      </c>
    </row>
    <row r="431" customFormat="false" ht="14.25" hidden="false" customHeight="false" outlineLevel="0" collapsed="false">
      <c r="A431" s="1" t="s">
        <v>1633</v>
      </c>
      <c r="B431" s="15" t="s">
        <v>1634</v>
      </c>
      <c r="C431" s="1" t="n">
        <v>22</v>
      </c>
      <c r="D431" s="1" t="n">
        <v>18</v>
      </c>
      <c r="E431" s="1" t="n">
        <v>1017</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1" t="s">
        <v>241</v>
      </c>
      <c r="J431" s="1" t="s">
        <v>1580</v>
      </c>
      <c r="K431" s="1" t="s">
        <v>1581</v>
      </c>
      <c r="L431" s="1" t="s">
        <v>192</v>
      </c>
      <c r="M431" s="1" t="n">
        <v>1957</v>
      </c>
      <c r="N431" s="1" t="n">
        <v>1963</v>
      </c>
      <c r="O431" s="1" t="n">
        <v>1974</v>
      </c>
      <c r="Z431" s="1" t="n">
        <v>35</v>
      </c>
      <c r="AB431" s="1" t="n">
        <v>4</v>
      </c>
      <c r="AD431" s="4" t="str">
        <f aca="false">IF(AND(Z431&gt;0,AC431&gt;0),(AC431/((Z431+AA431)*10)),"")</f>
        <v/>
      </c>
      <c r="AE431" s="1" t="n">
        <v>100</v>
      </c>
      <c r="AF431" s="1" t="n">
        <f aca="false">ROUND(AE431*1.6, 0)</f>
        <v>160</v>
      </c>
      <c r="AH431" s="1" t="n">
        <v>19.3</v>
      </c>
      <c r="AI431" s="1" t="n">
        <v>20</v>
      </c>
      <c r="AL431" s="5" t="n">
        <v>42</v>
      </c>
      <c r="AM431" s="1" t="str">
        <f aca="false">CONCATENATE(VLOOKUP(AN431, 'Voxel Sizes'!$A$2:$B$18,2,FALSE()),"x",INT(AJ431*15), "x", INT(AK431*15))</f>
        <v>198x0x0</v>
      </c>
      <c r="AN431" s="1" t="n">
        <f aca="false">ROUND(15*((AI431*10)/256),0)</f>
        <v>12</v>
      </c>
      <c r="AP431" s="1" t="str">
        <f aca="false">CONCATENATE(VLOOKUP(AN431,Constants!$A$2:$C$16,IF(AO431&lt;&gt;"", 3, 2), FALSE()),IF(AO431&lt;&gt;"",CONCATENATE(",",VLOOKUP(AO431,$B:$AP,41,FALSE())),""))</f>
        <v>4,4,4</v>
      </c>
      <c r="AZ431" s="1" t="n">
        <v>30</v>
      </c>
      <c r="BA431" s="16" t="n">
        <f aca="false">IF(O431&lt;&gt;"",MAX(16,(O431-M431)+8),"")</f>
        <v>25</v>
      </c>
      <c r="BB431" s="1" t="n">
        <v>1150</v>
      </c>
      <c r="BC431" s="1" t="n">
        <v>150</v>
      </c>
      <c r="BD431" s="1" t="n">
        <f aca="false">MIN(AE431/150, 1)*30</f>
        <v>20</v>
      </c>
      <c r="BE431" s="1" t="n">
        <f aca="false">MIN(Q431/4000, 1)*20</f>
        <v>0</v>
      </c>
      <c r="BF431" s="1" t="n">
        <f aca="false">MIN(AC431/400,1)*20</f>
        <v>0</v>
      </c>
      <c r="BG431" s="4" t="n">
        <f aca="false">1-(MAX(M431-1900, 0)/750)</f>
        <v>0.924</v>
      </c>
      <c r="BH431" s="1" t="n">
        <f aca="false">((MAX($P431,1)*MIN($AL431/300,1)))*IF(J431="Wagon",50,10)</f>
        <v>7</v>
      </c>
      <c r="BI431" s="1" t="n">
        <f aca="false">VLOOKUP($K431,Constants!$I:$K, 2, FALSE())</f>
        <v>1.2</v>
      </c>
      <c r="BJ431" s="1" t="n">
        <f aca="false">VLOOKUP($K431,Constants!$I:$K, 3, FALSE())*IF(AND(J431="multiple_unit",AE431&lt;110),0.75,1)</f>
        <v>0.6</v>
      </c>
      <c r="BK431" s="1" t="n">
        <f aca="false">INT(POWER(((Constants!$G$2+$BD431+$BE431+$BF431+$BH431)*$BG431)*$BJ431, 1.05))+$BC431</f>
        <v>170</v>
      </c>
      <c r="BL431" s="1" t="n">
        <f aca="false">INT(POWER((((Constants!$G$1+$BD431+$BE431+$BF431+$BH431)*($BG431))*$BI431),IF($J431="wagon",1,1.2)))+$BB431</f>
        <v>1196</v>
      </c>
      <c r="BM431" s="17" t="n">
        <f aca="false">BK431*IF($J431="wagon",62.5,781.25)</f>
        <v>10625</v>
      </c>
      <c r="BN431" s="17" t="n">
        <f aca="false">BL431*IF($J431="wagon",2.73,81.25)</f>
        <v>3265.08</v>
      </c>
      <c r="BU431" s="1" t="str">
        <f aca="false">IF(J431="locomotive","B","")</f>
        <v/>
      </c>
      <c r="BV431" s="1" t="str">
        <f aca="false">IF(OR($J431="locomotive",$J431="wagon"),"B","")</f>
        <v>B</v>
      </c>
      <c r="BY431" s="1" t="n">
        <v>1</v>
      </c>
      <c r="BZ431" s="1" t="n">
        <v>185</v>
      </c>
      <c r="CA431" s="1" t="s">
        <v>973</v>
      </c>
      <c r="CB431" s="1" t="s">
        <v>366</v>
      </c>
      <c r="CC431" s="1" t="s">
        <v>367</v>
      </c>
      <c r="CD431" s="1" t="str">
        <f aca="false">VLOOKUP(M431,Eras!$A$2:$C$10, 2, TRUE())</f>
        <v>dsl</v>
      </c>
      <c r="CE431" s="1" t="s">
        <v>1582</v>
      </c>
      <c r="CF431" s="1" t="str">
        <f aca="false">CONCATENATE(CD431,"_",CE431)</f>
        <v>dsl_Carriage</v>
      </c>
      <c r="CG431" s="1" t="str">
        <f aca="false">_xlfn.CONCAT(K431, "_",L431)</f>
        <v>carriage_RAIL</v>
      </c>
      <c r="CH431" s="7" t="str">
        <f aca="false">_xlfn.CONCAT("{BLACK}Length: {GOLD}", TEXT(ROUNDUP(IF(AS431&lt;&gt;"",SUM(VALUE(_xlfn.TEXTSPLIT(AS431, ","))), SUM(VALUE(_xlfn.TEXTSPLIT(AP431, ",")))*IF(P431, P431, 1))/16, 1), "#,##0.0"), " tiles{}")</f>
        <v>{BLACK}Length: {GOLD}0.8 tiles{}</v>
      </c>
      <c r="CI431" s="1" t="str">
        <f aca="false">IF(0, VLOOKUP($CG431, Constants!$M:$N, 2, FALSE()),"")</f>
        <v/>
      </c>
      <c r="CJ431" s="1" t="str">
        <f aca="false">IF(P431&gt;1,_xlfn.CONCAT("{BLACK}Cars: {GOLD}", P431),"")</f>
        <v/>
      </c>
      <c r="CK431" s="1" t="s">
        <v>1635</v>
      </c>
      <c r="CL431" s="1" t="str">
        <f aca="false">IF($BX431="concept_trains","{GREEN}Concept Vehicle",IF($BX431="!param_no_gameplay_units","{GREEN}Included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{YELLOW}25% long distance bonus for consist{}</v>
      </c>
      <c r="CN431" s="1" t="str">
        <f aca="false">_xlfn.CONCAT(CI431,IF(CI431&lt;&gt;""," ",""),CJ431,IF(OR(CJ431&lt;&gt;"",CI431&lt;&gt;""),"{}",""),CH431,CM431,"{SILVER}",CK431,IF(CL431&lt;&gt;"","{}{}",""),CL431)</f>
        <v>{BLACK}Length: {GOLD}0.8 tiles{}{YELLOW}25% long distance bonus for consist{}{SILVER}The Mk1 RMB (Restaurant Mini Buffet) is a TSO carriage in which some of the seating rows have been replaced with a small buffet service restaurant.</v>
      </c>
    </row>
    <row r="432" s="26" customFormat="true" ht="14.25" hidden="false" customHeight="false" outlineLevel="0" collapsed="false">
      <c r="A432" s="26" t="s">
        <v>1636</v>
      </c>
      <c r="B432" s="27" t="s">
        <v>1637</v>
      </c>
      <c r="C432" s="1" t="n">
        <v>3122</v>
      </c>
      <c r="D432" s="1" t="n">
        <v>18</v>
      </c>
      <c r="E432" s="1" t="n">
        <v>1018</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26" t="s">
        <v>241</v>
      </c>
      <c r="J432" s="26" t="s">
        <v>1580</v>
      </c>
      <c r="K432" s="26" t="s">
        <v>1581</v>
      </c>
      <c r="L432" s="26" t="s">
        <v>192</v>
      </c>
      <c r="M432" s="26" t="n">
        <v>1955</v>
      </c>
      <c r="N432" s="26" t="n">
        <v>1981</v>
      </c>
      <c r="O432" s="26" t="n">
        <v>1987</v>
      </c>
      <c r="R432" s="2"/>
      <c r="S432" s="3"/>
      <c r="T432" s="3"/>
      <c r="U432" s="3"/>
      <c r="V432" s="3"/>
      <c r="W432" s="3"/>
      <c r="X432" s="3"/>
      <c r="Y432" s="3"/>
      <c r="Z432" s="26" t="n">
        <v>33</v>
      </c>
      <c r="AA432" s="2"/>
      <c r="AB432" s="26" t="n">
        <v>4</v>
      </c>
      <c r="AD432" s="4" t="str">
        <f aca="false">IF(AND(Z432&gt;0,AC432&gt;0),(AC432/((Z432+AA432)*10)),"")</f>
        <v/>
      </c>
      <c r="AE432" s="26" t="n">
        <v>100</v>
      </c>
      <c r="AF432" s="26" t="n">
        <f aca="false">ROUND(AE432*1.6, 0)</f>
        <v>160</v>
      </c>
      <c r="AH432" s="26" t="n">
        <v>21</v>
      </c>
      <c r="AI432" s="26" t="n">
        <v>21</v>
      </c>
      <c r="AJ432" s="26" t="n">
        <v>2.82</v>
      </c>
      <c r="AK432" s="26" t="n">
        <v>3.79</v>
      </c>
      <c r="AL432" s="5" t="n">
        <v>22</v>
      </c>
      <c r="AM432" s="1" t="str">
        <f aca="false">CONCATENATE(VLOOKUP(AN432, 'Voxel Sizes'!$A$2:$B$18,2,FALSE()),"x",INT(AJ432*15), "x", INT(AK432*15))</f>
        <v>198x42x56</v>
      </c>
      <c r="AN432" s="26" t="n">
        <f aca="false">ROUND(15*((AI432*10)/256),0)</f>
        <v>12</v>
      </c>
      <c r="AP432" s="1" t="str">
        <f aca="false">CONCATENATE(VLOOKUP(AN432,Constants!$A$2:$C$16,IF(AO432&lt;&gt;"", 3, 2), FALSE()),IF(AO432&lt;&gt;"",CONCATENATE(",",VLOOKUP(AO432,$B:$AP,41,FALSE())),""))</f>
        <v>4,4,4</v>
      </c>
      <c r="AR432" s="6"/>
      <c r="AS432" s="6"/>
      <c r="AY432" s="1" t="s">
        <v>1638</v>
      </c>
      <c r="AZ432" s="26" t="n">
        <v>30</v>
      </c>
      <c r="BA432" s="16" t="n">
        <f aca="false">IF(O432&lt;&gt;"",MAX(16,(O432-M432)+8),"")</f>
        <v>40</v>
      </c>
      <c r="BB432" s="26" t="n">
        <v>1000</v>
      </c>
      <c r="BC432" s="26" t="n">
        <v>110</v>
      </c>
      <c r="BD432" s="26" t="n">
        <f aca="false">MIN(AE432/150, 1)*30</f>
        <v>20</v>
      </c>
      <c r="BE432" s="26" t="n">
        <f aca="false">MIN(Q432/4000, 1)*20</f>
        <v>0</v>
      </c>
      <c r="BF432" s="26" t="n">
        <f aca="false">MIN(AC432/400,1)*20</f>
        <v>0</v>
      </c>
      <c r="BG432" s="4" t="n">
        <f aca="false">1-(MAX(M432-1900, 0)/750)</f>
        <v>0.926666666666667</v>
      </c>
      <c r="BH432" s="26" t="n">
        <f aca="false">((MAX($P432,1)*MIN($AL432/300,1)))*IF(J432="Wagon",50,10)</f>
        <v>3.66666666666667</v>
      </c>
      <c r="BI432" s="1" t="n">
        <f aca="false">VLOOKUP($K432,Constants!$I:$K, 2, FALSE())</f>
        <v>1.2</v>
      </c>
      <c r="BJ432" s="1" t="n">
        <f aca="false">VLOOKUP($K432,Constants!$I:$K, 3, FALSE())*IF(AND(J432="multiple_unit",AE432&lt;110),0.75,1)</f>
        <v>0.6</v>
      </c>
      <c r="BK432" s="1" t="n">
        <f aca="false">INT(POWER(((Constants!$G$2+$BD432+$BE432+$BF432+$BH432)*$BG432)*$BJ432, 1.05))+$BC432</f>
        <v>128</v>
      </c>
      <c r="BL432" s="1" t="n">
        <f aca="false">INT(POWER((((Constants!$G$1+$BD432+$BE432+$BF432+$BH432)*($BG432))*$BI432),IF($J432="wagon",1,1.2)))+$BB432</f>
        <v>1042</v>
      </c>
      <c r="BM432" s="17" t="n">
        <f aca="false">BK432*IF($J432="wagon",62.5,781.25)</f>
        <v>8000</v>
      </c>
      <c r="BN432" s="17" t="n">
        <f aca="false">BL432*IF($J432="wagon",2.73,81.25)</f>
        <v>2844.66</v>
      </c>
      <c r="BU432" s="1" t="str">
        <f aca="false">IF(J432="locomotive","B","")</f>
        <v/>
      </c>
      <c r="BV432" s="1" t="str">
        <f aca="false">IF(OR($J432="locomotive",$J432="wagon"),"B","")</f>
        <v>B</v>
      </c>
      <c r="BY432" s="26" t="n">
        <v>2</v>
      </c>
      <c r="BZ432" s="26" t="n">
        <v>278</v>
      </c>
      <c r="CB432" s="26" t="s">
        <v>366</v>
      </c>
      <c r="CC432" s="26" t="s">
        <v>367</v>
      </c>
      <c r="CD432" s="26" t="str">
        <f aca="false">VLOOKUP(M432,[1]Eras!$A$2:$C$10, 2, TRUE())</f>
        <v>dsl</v>
      </c>
      <c r="CE432" s="26" t="s">
        <v>1582</v>
      </c>
      <c r="CF432" s="26" t="str">
        <f aca="false">CONCATENATE(CD432,"_",CE432)</f>
        <v>dsl_Carriage</v>
      </c>
      <c r="CG432" s="26" t="str">
        <f aca="false">_xlfn.CONCAT(K432, "_",L432)</f>
        <v>carriage_RAIL</v>
      </c>
      <c r="CH432" s="7" t="str">
        <f aca="false">_xlfn.CONCAT("{BLACK}Length: {GOLD}", TEXT(ROUNDUP(IF(AS432&lt;&gt;"",SUM(VALUE(_xlfn.TEXTSPLIT(AS432, ","))), SUM(VALUE(_xlfn.TEXTSPLIT(AP432, ",")))*IF(P432, P432, 1))/16, 1), "#,##0.0"), " tiles{}")</f>
        <v>{BLACK}Length: {GOLD}0.8 tiles{}</v>
      </c>
      <c r="CI432" s="1" t="str">
        <f aca="false">IF(0, VLOOKUP($CG432, Constants!$M:$N, 2, FALSE()),"")</f>
        <v/>
      </c>
      <c r="CJ432" s="1" t="str">
        <f aca="false">IF(P432&gt;1,_xlfn.CONCAT("{BLACK}Cars: {GOLD}", P432),"")</f>
        <v/>
      </c>
      <c r="CK432" s="26" t="s">
        <v>1639</v>
      </c>
      <c r="CL432" s="1" t="str">
        <f aca="false">IF($BX432="concept_trains","{GREEN}Concept Vehicle",IF($BX432="!param_no_gameplay_units","{GREEN}Included for gameplay purposes",""))</f>
        <v/>
      </c>
      <c r="CM432" s="26" t="str">
        <f aca="false">IF(CA432="buffet","{YELLOW}25% long distance bonus for consist{}",IF(CD432="BRAKE","{YELLOW}Speed bonus for slow wagons{}",IF(BZ432&gt;190,CONCATENATE("{YELLOW}",INT((BZ432-185)/1.85),"% bonus for long distance travel{}"),IF(AND(BZ432&lt;180,BZ432&lt;&gt;0),CONCATENATE("{YELLOW}",INT((185-BZ432)/1.85),"% penalty for long distance travel{}"),""))))</f>
        <v>{YELLOW}50% bonus for long distance travel{}</v>
      </c>
      <c r="CN432" s="1" t="str">
        <f aca="false">_xlfn.CONCAT(CI432,IF(CI432&lt;&gt;""," ",""),CJ432,IF(OR(CJ432&lt;&gt;"",CI432&lt;&gt;""),"{}",""),CH432,CM432,"{SILVER}",CK432,IF(CL432&lt;&gt;"","{}{}",""),CL432)</f>
        <v>{BLACK}Length: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32" s="1"/>
    </row>
    <row r="433" customFormat="false" ht="14.25" hidden="false" customHeight="false" outlineLevel="0" collapsed="false">
      <c r="A433" s="1" t="s">
        <v>1640</v>
      </c>
      <c r="B433" s="15" t="s">
        <v>1641</v>
      </c>
      <c r="C433" s="1" t="n">
        <v>23</v>
      </c>
      <c r="D433" s="1" t="n">
        <v>22</v>
      </c>
      <c r="E433" s="1" t="n">
        <v>1019</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241</v>
      </c>
      <c r="J433" s="1" t="s">
        <v>1580</v>
      </c>
      <c r="K433" s="1" t="s">
        <v>1581</v>
      </c>
      <c r="L433" s="1" t="s">
        <v>192</v>
      </c>
      <c r="M433" s="1" t="n">
        <v>1957</v>
      </c>
      <c r="N433" s="1" t="n">
        <v>1963</v>
      </c>
      <c r="O433" s="1" t="n">
        <v>1974</v>
      </c>
      <c r="Z433" s="1" t="n">
        <v>35</v>
      </c>
      <c r="AB433" s="1" t="n">
        <v>4</v>
      </c>
      <c r="AD433" s="4" t="str">
        <f aca="false">IF(AND(Z433&gt;0,AC433&gt;0),(AC433/((Z433+AA433)*10)),"")</f>
        <v/>
      </c>
      <c r="AE433" s="1" t="n">
        <v>100</v>
      </c>
      <c r="AF433" s="1" t="n">
        <f aca="false">ROUND(AE433*1.6, 0)</f>
        <v>160</v>
      </c>
      <c r="AH433" s="1" t="n">
        <v>19.3</v>
      </c>
      <c r="AI433" s="1" t="n">
        <v>20</v>
      </c>
      <c r="AL433" s="5" t="n">
        <v>42</v>
      </c>
      <c r="AM433" s="1" t="str">
        <f aca="false">CONCATENATE(VLOOKUP(AN433, 'Voxel Sizes'!$A$2:$B$18,2,FALSE()),"x",INT(AJ433*15), "x", INT(AK433*15))</f>
        <v>198x0x0</v>
      </c>
      <c r="AN433" s="1" t="n">
        <f aca="false">ROUND(15*((AI433*10)/256),0)</f>
        <v>12</v>
      </c>
      <c r="AP433" s="1" t="str">
        <f aca="false">CONCATENATE(VLOOKUP(AN433,Constants!$A$2:$C$16,IF(AO433&lt;&gt;"", 3, 2), FALSE()),IF(AO433&lt;&gt;"",CONCATENATE(",",VLOOKUP(AO433,$B:$AP,41,FALSE())),""))</f>
        <v>4,4,4</v>
      </c>
      <c r="AZ433" s="1" t="n">
        <v>30</v>
      </c>
      <c r="BA433" s="16" t="n">
        <f aca="false">IF(O433&lt;&gt;"",MAX(16,(O433-M433)+8),"")</f>
        <v>25</v>
      </c>
      <c r="BB433" s="1" t="n">
        <v>1150</v>
      </c>
      <c r="BC433" s="1" t="n">
        <v>150</v>
      </c>
      <c r="BD433" s="1" t="n">
        <f aca="false">MIN(AE433/150, 1)*30</f>
        <v>20</v>
      </c>
      <c r="BE433" s="1" t="n">
        <f aca="false">MIN(Q433/4000, 1)*20</f>
        <v>0</v>
      </c>
      <c r="BF433" s="1" t="n">
        <f aca="false">MIN(AC433/400,1)*20</f>
        <v>0</v>
      </c>
      <c r="BG433" s="4" t="n">
        <f aca="false">1-(MAX(M433-1900, 0)/750)</f>
        <v>0.924</v>
      </c>
      <c r="BH433" s="1" t="n">
        <f aca="false">((MAX($P433,1)*MIN($AL433/300,1)))*IF(J433="Wagon",50,10)</f>
        <v>7</v>
      </c>
      <c r="BI433" s="1" t="n">
        <f aca="false">VLOOKUP($K433,Constants!$I:$K, 2, FALSE())</f>
        <v>1.2</v>
      </c>
      <c r="BJ433" s="1" t="n">
        <f aca="false">VLOOKUP($K433,Constants!$I:$K, 3, FALSE())*IF(AND(J433="multiple_unit",AE433&lt;110),0.75,1)</f>
        <v>0.6</v>
      </c>
      <c r="BK433" s="1" t="n">
        <f aca="false">INT(POWER(((Constants!$G$2+$BD433+$BE433+$BF433+$BH433)*$BG433)*$BJ433, 1.05))+$BC433</f>
        <v>170</v>
      </c>
      <c r="BL433" s="1" t="n">
        <f aca="false">INT(POWER((((Constants!$G$1+$BD433+$BE433+$BF433+$BH433)*($BG433))*$BI433),IF($J433="wagon",1,1.2)))+$BB433</f>
        <v>1196</v>
      </c>
      <c r="BM433" s="17" t="n">
        <f aca="false">BK433*IF($J433="wagon",62.5,781.25)</f>
        <v>10625</v>
      </c>
      <c r="BN433" s="17" t="n">
        <f aca="false">BL433*IF($J433="wagon",2.73,81.25)</f>
        <v>3265.08</v>
      </c>
      <c r="BU433" s="1" t="str">
        <f aca="false">IF(J433="locomotive","B","")</f>
        <v/>
      </c>
      <c r="BV433" s="1" t="str">
        <f aca="false">IF(OR($J433="locomotive",$J433="wagon"),"B","")</f>
        <v>B</v>
      </c>
      <c r="BY433" s="1" t="n">
        <v>1</v>
      </c>
      <c r="BZ433" s="1" t="n">
        <v>185</v>
      </c>
      <c r="CA433" s="1" t="s">
        <v>973</v>
      </c>
      <c r="CB433" s="1" t="s">
        <v>366</v>
      </c>
      <c r="CC433" s="1" t="s">
        <v>367</v>
      </c>
      <c r="CD433" s="1" t="str">
        <f aca="false">VLOOKUP(M433,Eras!$A$2:$C$10, 2, TRUE())</f>
        <v>dsl</v>
      </c>
      <c r="CE433" s="1" t="s">
        <v>1582</v>
      </c>
      <c r="CF433" s="1" t="str">
        <f aca="false">CONCATENATE(CD433,"_",CE433)</f>
        <v>dsl_Carriage</v>
      </c>
      <c r="CG433" s="1" t="str">
        <f aca="false">_xlfn.CONCAT(K433, "_",L433)</f>
        <v>carriage_RAIL</v>
      </c>
      <c r="CH433" s="7" t="str">
        <f aca="false">_xlfn.CONCAT("{BLACK}Length: {GOLD}", TEXT(ROUNDUP(IF(AS433&lt;&gt;"",SUM(VALUE(_xlfn.TEXTSPLIT(AS433, ","))), SUM(VALUE(_xlfn.TEXTSPLIT(AP433, ",")))*IF(P433, P433, 1))/16, 1), "#,##0.0"), " tiles{}")</f>
        <v>{BLACK}Length: {GOLD}0.8 tiles{}</v>
      </c>
      <c r="CI433" s="1" t="str">
        <f aca="false">IF(0, VLOOKUP($CG433, Constants!$M:$N, 2, FALSE()),"")</f>
        <v/>
      </c>
      <c r="CJ433" s="1" t="str">
        <f aca="false">IF(P433&gt;1,_xlfn.CONCAT("{BLACK}Cars: {GOLD}", P433),"")</f>
        <v/>
      </c>
      <c r="CK433" s="1" t="s">
        <v>1642</v>
      </c>
      <c r="CL433" s="1" t="str">
        <f aca="false">IF($BX433="concept_trains","{GREEN}Concept Vehicle",IF($BX433="!param_no_gameplay_units","{GREEN}Included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{YELLOW}25% long distance bonus for consist{}</v>
      </c>
      <c r="CN433" s="1" t="str">
        <f aca="false">_xlfn.CONCAT(CI433,IF(CI433&lt;&gt;""," ",""),CJ433,IF(OR(CJ433&lt;&gt;"",CI433&lt;&gt;""),"{}",""),CH433,CM433,"{SILVER}",CK433,IF(CL433&lt;&gt;"","{}{}",""),CL433)</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34" customFormat="false" ht="14.25" hidden="false" customHeight="false" outlineLevel="0" collapsed="false">
      <c r="A434" s="1" t="s">
        <v>1643</v>
      </c>
      <c r="B434" s="19" t="s">
        <v>1644</v>
      </c>
      <c r="C434" s="1" t="n">
        <v>1011</v>
      </c>
      <c r="D434" s="1" t="n">
        <v>18</v>
      </c>
      <c r="E434" s="1" t="n">
        <v>1020</v>
      </c>
      <c r="F434" s="1" t="s">
        <v>171</v>
      </c>
      <c r="G434" s="1" t="str">
        <f aca="false">IF($F434&lt;&gt;"",_xlfn.CONCAT(VLOOKUP($CE434, Constants!$T:$U, 2, FALSE()),",",$F434),VLOOKUP($CE434, Constants!$T:$U, 2, FALSE()))</f>
        <v>role/passenger,_ww_livery/brblue</v>
      </c>
      <c r="H434" s="1" t="str">
        <f aca="false">IF($G434&lt;&gt;"",_xlfn.CONCAT(VLOOKUP($CG434, Constants!$M:$P, 4, FALSE()),",",$G434),VLOOKUP($CG434, Constants!$M:$P, 4, FALSE()))</f>
        <v>flag/GB,role/passenger,_ww_livery/brblue</v>
      </c>
      <c r="I434" s="1" t="s">
        <v>241</v>
      </c>
      <c r="J434" s="1" t="s">
        <v>1580</v>
      </c>
      <c r="K434" s="1" t="s">
        <v>1581</v>
      </c>
      <c r="L434" s="1" t="s">
        <v>192</v>
      </c>
      <c r="M434" s="1" t="n">
        <v>1952</v>
      </c>
      <c r="N434" s="1" t="n">
        <v>1963</v>
      </c>
      <c r="O434" s="1" t="n">
        <v>1977</v>
      </c>
      <c r="Z434" s="1" t="n">
        <v>30</v>
      </c>
      <c r="AB434" s="1" t="n">
        <v>6</v>
      </c>
      <c r="AD434" s="4" t="str">
        <f aca="false">IF(AND(Z434&gt;0,AC434&gt;0),(AC434/((Z434+AA434)*10)),"")</f>
        <v/>
      </c>
      <c r="AE434" s="1" t="n">
        <v>100</v>
      </c>
      <c r="AF434" s="1" t="n">
        <f aca="false">ROUND(AE434*1.6, 0)</f>
        <v>160</v>
      </c>
      <c r="AH434" s="1" t="n">
        <v>19.3</v>
      </c>
      <c r="AI434" s="1" t="n">
        <v>20</v>
      </c>
      <c r="AL434" s="5" t="n">
        <v>66</v>
      </c>
      <c r="AM434" s="1" t="str">
        <f aca="false">CONCATENATE(VLOOKUP(AN434, 'Voxel Sizes'!$A$2:$B$18,2,FALSE()),"x",INT(AJ434*15), "x", INT(AK434*15))</f>
        <v>198x0x0</v>
      </c>
      <c r="AN434" s="16" t="n">
        <f aca="false">ROUND(15*((AI434*10)/256),0)</f>
        <v>12</v>
      </c>
      <c r="AP434" s="1" t="str">
        <f aca="false">CONCATENATE(VLOOKUP(AN434,Constants!$A$2:$C$16,IF(AO434&lt;&gt;"", 3, 2), FALSE()),IF(AO434&lt;&gt;"",CONCATENATE(",",VLOOKUP(AO434,$B:$AP,41,FALSE())),""))</f>
        <v>4,4,4</v>
      </c>
      <c r="AZ434" s="1" t="n">
        <v>30</v>
      </c>
      <c r="BA434" s="16" t="n">
        <f aca="false">IF(O434&lt;&gt;"",MAX(16,(O434-M434)+8),"")</f>
        <v>33</v>
      </c>
      <c r="BB434" s="1" t="n">
        <v>76</v>
      </c>
      <c r="BC434" s="1" t="n">
        <f aca="false">23*3</f>
        <v>69</v>
      </c>
      <c r="BD434" s="20" t="n">
        <f aca="false">MIN(AE434/150, 1)*30</f>
        <v>20</v>
      </c>
      <c r="BE434" s="20" t="n">
        <f aca="false">MIN(Q434/4000, 1)*20</f>
        <v>0</v>
      </c>
      <c r="BF434" s="20" t="n">
        <f aca="false">MIN(AC434/400,1)*20</f>
        <v>0</v>
      </c>
      <c r="BG434" s="21" t="n">
        <f aca="false">1-(MAX(M434-1900, 0)/750)</f>
        <v>0.930666666666667</v>
      </c>
      <c r="BH434" s="20" t="n">
        <f aca="false">((MAX($P434,1)*MIN($AL434/300,1)))*IF(J434="Wagon",50,10)</f>
        <v>11</v>
      </c>
      <c r="BI434" s="1" t="n">
        <f aca="false">VLOOKUP($K434,Constants!$I:$K, 2, FALSE())</f>
        <v>1.2</v>
      </c>
      <c r="BJ434" s="1" t="n">
        <f aca="false">VLOOKUP($K434,Constants!$I:$K, 3, FALSE())*IF(AND(J434="multiple_unit",AE434&lt;110),0.75,1)</f>
        <v>0.6</v>
      </c>
      <c r="BK434" s="1" t="n">
        <f aca="false">INT(POWER(((Constants!$G$2+$BD434+$BE434+$BF434+$BH434)*$BG434)*$BJ434, 1.05))+$BC434</f>
        <v>92</v>
      </c>
      <c r="BL434" s="1" t="n">
        <f aca="false">INT(POWER((((Constants!$G$1+$BD434+$BE434+$BF434+$BH434)*($BG434))*$BI434),IF($J434="wagon",1,1.2)))+$BB434</f>
        <v>127</v>
      </c>
      <c r="BM434" s="17" t="n">
        <f aca="false">BK434*IF($J434="wagon",62.5,781.25)</f>
        <v>5750</v>
      </c>
      <c r="BN434" s="22" t="n">
        <f aca="false">BL434*IF($J434="wagon",2.73,81.25)</f>
        <v>346.71</v>
      </c>
      <c r="BU434" s="1" t="str">
        <f aca="false">IF(J434="locomotive","B","")</f>
        <v/>
      </c>
      <c r="BV434" s="1" t="str">
        <f aca="false">IF(OR($J434="locomotive",$J434="wagon"),"B","")</f>
        <v>B</v>
      </c>
      <c r="BY434" s="1" t="n">
        <v>1</v>
      </c>
      <c r="BZ434" s="1" t="n">
        <v>165</v>
      </c>
      <c r="CB434" s="1" t="s">
        <v>366</v>
      </c>
      <c r="CC434" s="1" t="s">
        <v>367</v>
      </c>
      <c r="CD434" s="23" t="s">
        <v>580</v>
      </c>
      <c r="CE434" s="26" t="s">
        <v>1582</v>
      </c>
      <c r="CF434" s="23" t="str">
        <f aca="false">CONCATENATE(CD434,"_",CE434)</f>
        <v>ebr_Carriage</v>
      </c>
      <c r="CG434" s="23" t="str">
        <f aca="false">_xlfn.CONCAT(K434, "_",L434)</f>
        <v>carriage_RAIL</v>
      </c>
      <c r="CH434" s="7" t="str">
        <f aca="false">_xlfn.CONCAT("{BLACK}Length: {GOLD}", TEXT(ROUNDUP(IF(AS434&lt;&gt;"",SUM(VALUE(_xlfn.TEXTSPLIT(AS434, ","))), SUM(VALUE(_xlfn.TEXTSPLIT(AP434, ",")))*IF(P434, P434, 1))/16, 1), "#,##0.0"), " tiles{}")</f>
        <v>{BLACK}Length: {GOLD}0.8 tiles{}</v>
      </c>
      <c r="CI434" s="1" t="str">
        <f aca="false">IF(0, VLOOKUP($CG434, Constants!$M:$N, 2, FALSE()),"")</f>
        <v/>
      </c>
      <c r="CJ434" s="1" t="str">
        <f aca="false">IF(P434&gt;1,_xlfn.CONCAT("{BLACK}Cars: {GOLD}", P434),"")</f>
        <v/>
      </c>
      <c r="CK434" s="1" t="s">
        <v>1645</v>
      </c>
      <c r="CL434" s="1" t="str">
        <f aca="false">IF($BX434="concept_trains","{GREEN}Concept Vehicle",IF($BX434="!param_no_gameplay_units","{GREEN}Included for gameplay purposes",""))</f>
        <v/>
      </c>
      <c r="CM434" s="1" t="str">
        <f aca="false">IF(CA434="buffet","{YELLOW}25% long distance bonus for consist{}",IF(CB434="DANDY","{YELLOW}Faster downhill speeds for horse-drawn trains (1 required per 2 horses){}",IF(CB434="BRAKE","{YELLOW}Speed bonus for slow wagons{}",IF(CB434="NGPassengers","{YELLOW}Preserved railway bonus: passengers pay more when hauled by old locomotives{}",IF(AND(BZ434&gt;190,NOT(AND(L434="NARROW_GAUGE",CB434&lt;&gt;"PASS"))),CONCATENATE("{YELLOW}",INT((BZ434-185)/1.85),"% bonus for long distance travel{}"),IF(AND(BZ434&lt;180,BZ434&lt;&gt;0),CONCATENATE("{YELLOW}",INT((185-BZ434)/1.85),"% penalty for long distance travel{}"),""))))))</f>
        <v>{YELLOW}10% penalty for long distance travel{}</v>
      </c>
      <c r="CN434" s="1" t="str">
        <f aca="false">_xlfn.CONCAT(CI434,IF(CI434&lt;&gt;""," ",""),CJ434,IF(OR(CJ434&lt;&gt;"",CI434&lt;&gt;""),"{}",""),CH434,CM434,"{SILVER}",CK434,IF(CL434&lt;&gt;"","{}{}",""),CL434)</f>
        <v>{BLACK}Length: {GOLD}0.8 tiles{}{YELLOW}10% penalty for long distance travel{}{SILVER}BR built many suburban Mk1 carriages with no gangways, although typically only one or two would be used per train across most of the country.</v>
      </c>
    </row>
    <row r="435" customFormat="false" ht="14.25" hidden="false" customHeight="false" outlineLevel="0" collapsed="false">
      <c r="A435" s="1" t="s">
        <v>1646</v>
      </c>
      <c r="B435" s="15" t="s">
        <v>1647</v>
      </c>
      <c r="C435" s="1" t="n">
        <v>25</v>
      </c>
      <c r="E435" s="1" t="n">
        <v>1021</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241</v>
      </c>
      <c r="J435" s="1" t="s">
        <v>1580</v>
      </c>
      <c r="K435" s="1" t="s">
        <v>1581</v>
      </c>
      <c r="L435" s="1" t="s">
        <v>192</v>
      </c>
      <c r="M435" s="1" t="n">
        <v>1964</v>
      </c>
      <c r="O435" s="1" t="n">
        <v>2010</v>
      </c>
      <c r="Z435" s="1" t="n">
        <v>40</v>
      </c>
      <c r="AB435" s="1" t="n">
        <v>5</v>
      </c>
      <c r="AD435" s="4" t="str">
        <f aca="false">IF(AND(Z435&gt;0,AC435&gt;0),(AC435/((Z435+AA435)*10)),"")</f>
        <v/>
      </c>
      <c r="AE435" s="1" t="n">
        <v>110</v>
      </c>
      <c r="AF435" s="1" t="n">
        <f aca="false">ROUND(AE435*1.6, 0)</f>
        <v>176</v>
      </c>
      <c r="AH435" s="1" t="n">
        <v>19.66</v>
      </c>
      <c r="AI435" s="1" t="n">
        <v>19.66</v>
      </c>
      <c r="AJ435" s="1" t="n">
        <v>2.83</v>
      </c>
      <c r="AK435" s="1" t="n">
        <v>3.79</v>
      </c>
      <c r="AL435" s="5" t="n">
        <v>63</v>
      </c>
      <c r="AM435" s="1" t="str">
        <f aca="false">CONCATENATE(VLOOKUP(AN435, 'Voxel Sizes'!$A$2:$B$18,2,FALSE()),"x",INT(AJ435*15), "x", INT(AK435*15))</f>
        <v>198x42x56</v>
      </c>
      <c r="AN435" s="1" t="n">
        <f aca="false">ROUND(15*((AI435*10)/256),0)</f>
        <v>12</v>
      </c>
      <c r="AP435" s="1" t="str">
        <f aca="false">CONCATENATE(VLOOKUP(AN435,Constants!$A$2:$C$16,IF(AO435&lt;&gt;"", 3, 2), FALSE()),IF(AO435&lt;&gt;"",CONCATENATE(",",VLOOKUP(AO435,$B:$AP,41,FALSE())),""))</f>
        <v>4,4,4</v>
      </c>
      <c r="AZ435" s="1" t="n">
        <v>30</v>
      </c>
      <c r="BA435" s="16" t="n">
        <f aca="false">IF(O435&lt;&gt;"",MAX(16,(O435-M435)+8),"")</f>
        <v>54</v>
      </c>
      <c r="BB435" s="1" t="n">
        <v>79</v>
      </c>
      <c r="BC435" s="1" t="n">
        <f aca="false">25*3</f>
        <v>75</v>
      </c>
      <c r="BD435" s="1" t="n">
        <f aca="false">MIN(AE435/150, 1)*30</f>
        <v>22</v>
      </c>
      <c r="BE435" s="1" t="n">
        <f aca="false">MIN(Q435/4000, 1)*20</f>
        <v>0</v>
      </c>
      <c r="BF435" s="1" t="n">
        <f aca="false">MIN(AC435/400,1)*20</f>
        <v>0</v>
      </c>
      <c r="BG435" s="4" t="n">
        <f aca="false">1-(MAX(M435-1900, 0)/750)</f>
        <v>0.914666666666667</v>
      </c>
      <c r="BH435" s="1" t="n">
        <f aca="false">((MAX($P435,1)*MIN($AL435/300,1)))*IF(J435="Wagon",50,10)</f>
        <v>10.5</v>
      </c>
      <c r="BI435" s="1" t="n">
        <f aca="false">VLOOKUP($K435,Constants!$I:$K, 2, FALSE())</f>
        <v>1.2</v>
      </c>
      <c r="BJ435" s="1" t="n">
        <f aca="false">VLOOKUP($K435,Constants!$I:$K, 3, FALSE())*IF(AND(J435="multiple_unit",AE435&lt;110),0.75,1)</f>
        <v>0.6</v>
      </c>
      <c r="BK435" s="1" t="n">
        <f aca="false">INT(POWER(((Constants!$G$2+$BD435+$BE435+$BF435+$BH435)*$BG435)*$BJ435, 1.05))+$BC435</f>
        <v>98</v>
      </c>
      <c r="BL435" s="1" t="n">
        <f aca="false">INT(POWER((((Constants!$G$1+$BD435+$BE435+$BF435+$BH435)*($BG435))*$BI435),IF($J435="wagon",1,1.2)))+$BB435</f>
        <v>131</v>
      </c>
      <c r="BM435" s="17" t="n">
        <f aca="false">BK435*IF($J435="wagon",62.5,781.25)</f>
        <v>6125</v>
      </c>
      <c r="BN435" s="17" t="n">
        <f aca="false">BL435*IF($J435="wagon",2.73,81.25)</f>
        <v>357.63</v>
      </c>
      <c r="BU435" s="1" t="str">
        <f aca="false">IF(J435="locomotive","B","")</f>
        <v/>
      </c>
      <c r="BV435" s="1" t="str">
        <f aca="false">IF(OR($J435="locomotive",$J435="wagon"),"B","")</f>
        <v>B</v>
      </c>
      <c r="BY435" s="1" t="n">
        <v>1</v>
      </c>
      <c r="BZ435" s="1" t="n">
        <v>185</v>
      </c>
      <c r="CB435" s="1" t="s">
        <v>366</v>
      </c>
      <c r="CC435" s="1" t="s">
        <v>367</v>
      </c>
      <c r="CD435" s="1" t="str">
        <f aca="false">VLOOKUP(M435,Eras!$A$2:$C$10, 2, TRUE())</f>
        <v>dsl</v>
      </c>
      <c r="CE435" s="1" t="s">
        <v>1582</v>
      </c>
      <c r="CF435" s="1" t="str">
        <f aca="false">CONCATENATE(CD435,"_",CE435)</f>
        <v>dsl_Carriage</v>
      </c>
      <c r="CG435" s="1" t="str">
        <f aca="false">_xlfn.CONCAT(K435, "_",L435)</f>
        <v>carriage_RAIL</v>
      </c>
      <c r="CH435" s="7" t="str">
        <f aca="false">_xlfn.CONCAT("{BLACK}Length: {GOLD}", TEXT(ROUNDUP(IF(AS435&lt;&gt;"",SUM(VALUE(_xlfn.TEXTSPLIT(AS435, ","))), SUM(VALUE(_xlfn.TEXTSPLIT(AP435, ",")))*IF(P435, P435, 1))/16, 1), "#,##0.0"), " tiles{}")</f>
        <v>{BLACK}Length: {GOLD}0.8 tiles{}</v>
      </c>
      <c r="CI435" s="1" t="str">
        <f aca="false">IF(0, VLOOKUP($CG435, Constants!$M:$N, 2, FALSE()),"")</f>
        <v/>
      </c>
      <c r="CJ435" s="1" t="str">
        <f aca="false">IF(P435&gt;1,_xlfn.CONCAT("{BLACK}Cars: {GOLD}", P435),"")</f>
        <v/>
      </c>
      <c r="CK435" s="1" t="s">
        <v>1648</v>
      </c>
      <c r="CL435" s="1" t="str">
        <f aca="false">IF($BX435="concept_trains","{GREEN}Concept Vehicle",IF($BX435="!param_no_gameplay_units","{GREEN}Included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{GOLD}0.8 tiles{}{SILVER}The Mk2 carriage is the second BR carriage design. It was built to be stronger than the Mk1, giving better corrosion resistance and being safer for passengers in an accident.</v>
      </c>
    </row>
    <row r="436" customFormat="false" ht="14.25" hidden="false" customHeight="false" outlineLevel="0" collapsed="false">
      <c r="A436" s="1" t="s">
        <v>1649</v>
      </c>
      <c r="B436" s="15" t="s">
        <v>1650</v>
      </c>
      <c r="C436" s="1" t="n">
        <v>26</v>
      </c>
      <c r="D436" s="1" t="n">
        <v>25</v>
      </c>
      <c r="E436" s="1" t="n">
        <v>1022</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241</v>
      </c>
      <c r="J436" s="1" t="s">
        <v>1580</v>
      </c>
      <c r="K436" s="1" t="s">
        <v>1581</v>
      </c>
      <c r="L436" s="1" t="s">
        <v>192</v>
      </c>
      <c r="M436" s="1" t="n">
        <v>1964</v>
      </c>
      <c r="O436" s="1" t="n">
        <v>2010</v>
      </c>
      <c r="Z436" s="1" t="n">
        <v>40</v>
      </c>
      <c r="AB436" s="1" t="n">
        <v>5</v>
      </c>
      <c r="AD436" s="4" t="str">
        <f aca="false">IF(AND(Z436&gt;0,AC436&gt;0),(AC436/((Z436+AA436)*10)),"")</f>
        <v/>
      </c>
      <c r="AE436" s="1" t="n">
        <v>110</v>
      </c>
      <c r="AF436" s="1" t="n">
        <f aca="false">ROUND(AE436*1.6, 0)</f>
        <v>176</v>
      </c>
      <c r="AH436" s="1" t="n">
        <v>19.66</v>
      </c>
      <c r="AI436" s="1" t="n">
        <v>19.66</v>
      </c>
      <c r="AJ436" s="1" t="n">
        <v>2.83</v>
      </c>
      <c r="AK436" s="1" t="n">
        <v>3.79</v>
      </c>
      <c r="AL436" s="5" t="n">
        <v>42</v>
      </c>
      <c r="AM436" s="1" t="str">
        <f aca="false">CONCATENATE(VLOOKUP(AN436, 'Voxel Sizes'!$A$2:$B$18,2,FALSE()),"x",INT(AJ436*15), "x", INT(AK436*15))</f>
        <v>198x42x56</v>
      </c>
      <c r="AN436" s="1" t="n">
        <f aca="false">ROUND(15*((AI436*10)/256),0)</f>
        <v>12</v>
      </c>
      <c r="AP436" s="1" t="str">
        <f aca="false">CONCATENATE(VLOOKUP(AN436,Constants!$A$2:$C$16,IF(AO436&lt;&gt;"", 3, 2), FALSE()),IF(AO436&lt;&gt;"",CONCATENATE(",",VLOOKUP(AO436,$B:$AP,41,FALSE())),""))</f>
        <v>4,4,4</v>
      </c>
      <c r="AZ436" s="1" t="n">
        <v>30</v>
      </c>
      <c r="BA436" s="16" t="n">
        <f aca="false">IF(O436&lt;&gt;"",MAX(16,(O436-M436)+8),"")</f>
        <v>54</v>
      </c>
      <c r="BB436" s="1" t="n">
        <v>135</v>
      </c>
      <c r="BC436" s="1" t="n">
        <v>105</v>
      </c>
      <c r="BD436" s="1" t="n">
        <f aca="false">MIN(AE436/150, 1)*30</f>
        <v>22</v>
      </c>
      <c r="BE436" s="1" t="n">
        <f aca="false">MIN(Q436/4000, 1)*20</f>
        <v>0</v>
      </c>
      <c r="BF436" s="1" t="n">
        <f aca="false">MIN(AC436/400,1)*20</f>
        <v>0</v>
      </c>
      <c r="BG436" s="4" t="n">
        <f aca="false">1-(MAX(M436-1900, 0)/750)</f>
        <v>0.914666666666667</v>
      </c>
      <c r="BH436" s="1" t="n">
        <f aca="false">((MAX($P436,1)*MIN($AL436/300,1)))*IF(J436="Wagon",50,10)</f>
        <v>7</v>
      </c>
      <c r="BI436" s="1" t="n">
        <f aca="false">VLOOKUP($K436,Constants!$I:$K, 2, FALSE())</f>
        <v>1.2</v>
      </c>
      <c r="BJ436" s="1" t="n">
        <f aca="false">VLOOKUP($K436,Constants!$I:$K, 3, FALSE())*IF(AND(J436="multiple_unit",AE436&lt;110),0.75,1)</f>
        <v>0.6</v>
      </c>
      <c r="BK436" s="1" t="n">
        <f aca="false">INT(POWER(((Constants!$G$2+$BD436+$BE436+$BF436+$BH436)*$BG436)*$BJ436, 1.05))+$BC436</f>
        <v>126</v>
      </c>
      <c r="BL436" s="1" t="n">
        <f aca="false">INT(POWER((((Constants!$G$1+$BD436+$BE436+$BF436+$BH436)*($BG436))*$BI436),IF($J436="wagon",1,1.2)))+$BB436</f>
        <v>183</v>
      </c>
      <c r="BM436" s="17" t="n">
        <f aca="false">BK436*IF($J436="wagon",62.5,781.25)</f>
        <v>7875</v>
      </c>
      <c r="BN436" s="17" t="n">
        <f aca="false">BL436*IF($J436="wagon",2.73,81.25)</f>
        <v>499.59</v>
      </c>
      <c r="BU436" s="1" t="str">
        <f aca="false">IF(J436="locomotive","B","")</f>
        <v/>
      </c>
      <c r="BV436" s="1" t="str">
        <f aca="false">IF(OR($J436="locomotive",$J436="wagon"),"B","")</f>
        <v>B</v>
      </c>
      <c r="BY436" s="1" t="n">
        <v>1</v>
      </c>
      <c r="BZ436" s="1" t="n">
        <v>222</v>
      </c>
      <c r="CA436" s="1" t="s">
        <v>1617</v>
      </c>
      <c r="CB436" s="1" t="s">
        <v>366</v>
      </c>
      <c r="CC436" s="1" t="s">
        <v>367</v>
      </c>
      <c r="CD436" s="1" t="str">
        <f aca="false">VLOOKUP(M436,Eras!$A$2:$C$10, 2, TRUE())</f>
        <v>dsl</v>
      </c>
      <c r="CE436" s="1" t="s">
        <v>1582</v>
      </c>
      <c r="CF436" s="1" t="str">
        <f aca="false">CONCATENATE(CD436,"_",CE436)</f>
        <v>dsl_Carriage</v>
      </c>
      <c r="CG436" s="1" t="str">
        <f aca="false">_xlfn.CONCAT(K436, "_",L436)</f>
        <v>carriage_RAIL</v>
      </c>
      <c r="CH436" s="7" t="str">
        <f aca="false">_xlfn.CONCAT("{BLACK}Length: {GOLD}", TEXT(ROUNDUP(IF(AS436&lt;&gt;"",SUM(VALUE(_xlfn.TEXTSPLIT(AS436, ","))), SUM(VALUE(_xlfn.TEXTSPLIT(AP436, ",")))*IF(P436, P436, 1))/16, 1), "#,##0.0"), " tiles{}")</f>
        <v>{BLACK}Length: {GOLD}0.8 tiles{}</v>
      </c>
      <c r="CI436" s="1" t="str">
        <f aca="false">IF(0, VLOOKUP($CG436, Constants!$M:$N, 2, FALSE()),"")</f>
        <v/>
      </c>
      <c r="CJ436" s="1" t="str">
        <f aca="false">IF(P436&gt;1,_xlfn.CONCAT("{BLACK}Cars: {GOLD}", P436),"")</f>
        <v/>
      </c>
      <c r="CK436" s="1" t="s">
        <v>1651</v>
      </c>
      <c r="CL436" s="1" t="str">
        <f aca="false">IF($BX436="concept_trains","{GREEN}Concept Vehicle",IF($BX436="!param_no_gameplay_units","{GREEN}Included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{YELLOW}20% bonus for long distance travel{}</v>
      </c>
      <c r="CN436" s="1" t="str">
        <f aca="false">_xlfn.CONCAT(CI436,IF(CI436&lt;&gt;""," ",""),CJ436,IF(OR(CJ436&lt;&gt;"",CI436&lt;&gt;""),"{}",""),CH436,CM436,"{SILVER}",CK436,IF(CL436&lt;&gt;"","{}{}",""),CL436)</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37" customFormat="false" ht="14.25" hidden="false" customHeight="false" outlineLevel="0" collapsed="false">
      <c r="A437" s="1" t="s">
        <v>1652</v>
      </c>
      <c r="B437" s="25" t="s">
        <v>1653</v>
      </c>
      <c r="C437" s="1" t="n">
        <v>4025</v>
      </c>
      <c r="D437" s="1" t="n">
        <v>25</v>
      </c>
      <c r="E437" s="1" t="n">
        <v>1021</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241</v>
      </c>
      <c r="J437" s="1" t="s">
        <v>1580</v>
      </c>
      <c r="K437" s="1" t="s">
        <v>1581</v>
      </c>
      <c r="L437" s="1" t="s">
        <v>192</v>
      </c>
      <c r="M437" s="1" t="n">
        <v>1964</v>
      </c>
      <c r="O437" s="1" t="n">
        <v>2010</v>
      </c>
      <c r="Z437" s="1" t="n">
        <v>40</v>
      </c>
      <c r="AB437" s="1" t="n">
        <v>5</v>
      </c>
      <c r="AD437" s="4" t="str">
        <f aca="false">IF(AND(Z437&gt;0,AC437&gt;0),(AC437/((Z437+AA437)*10)),"")</f>
        <v/>
      </c>
      <c r="AE437" s="1" t="n">
        <v>110</v>
      </c>
      <c r="AF437" s="1" t="n">
        <f aca="false">ROUND(AE437*1.6, 0)</f>
        <v>176</v>
      </c>
      <c r="AH437" s="1" t="n">
        <v>19.66</v>
      </c>
      <c r="AI437" s="1" t="n">
        <v>19.66</v>
      </c>
      <c r="AJ437" s="1" t="n">
        <v>2.83</v>
      </c>
      <c r="AK437" s="1" t="n">
        <v>3.79</v>
      </c>
      <c r="AL437" s="5" t="n">
        <v>63</v>
      </c>
      <c r="AM437" s="1" t="str">
        <f aca="false">CONCATENATE(VLOOKUP(AN437, 'Voxel Sizes'!$A$2:$B$18,2,FALSE()),"x",INT(AJ437*15), "x", INT(AK437*15))</f>
        <v>198x42x56</v>
      </c>
      <c r="AN437" s="1" t="n">
        <f aca="false">ROUND(15*((AI437*10)/256),0)</f>
        <v>12</v>
      </c>
      <c r="AP437" s="1" t="str">
        <f aca="false">CONCATENATE(VLOOKUP(AN437,Constants!$A$2:$C$16,IF(AO437&lt;&gt;"", 3, 2), FALSE()),IF(AO437&lt;&gt;"",CONCATENATE(",",VLOOKUP(AO437,$B:$AP,41,FALSE())),""))</f>
        <v>4,4,4</v>
      </c>
      <c r="AY437" s="1" t="s">
        <v>1654</v>
      </c>
      <c r="AZ437" s="1" t="n">
        <v>30</v>
      </c>
      <c r="BA437" s="16" t="n">
        <f aca="false">IF(O437&lt;&gt;"",MAX(16,(O437-M437)+8),"")</f>
        <v>54</v>
      </c>
      <c r="BB437" s="1" t="n">
        <v>79</v>
      </c>
      <c r="BC437" s="1" t="n">
        <f aca="false">25*3</f>
        <v>75</v>
      </c>
      <c r="BD437" s="1" t="n">
        <f aca="false">MIN(AE437/150, 1)*30</f>
        <v>22</v>
      </c>
      <c r="BE437" s="1" t="n">
        <f aca="false">MIN(Q437/4000, 1)*20</f>
        <v>0</v>
      </c>
      <c r="BF437" s="1" t="n">
        <f aca="false">MIN(AC437/400,1)*20</f>
        <v>0</v>
      </c>
      <c r="BG437" s="4" t="n">
        <f aca="false">1-(MAX(M437-1900, 0)/750)</f>
        <v>0.914666666666667</v>
      </c>
      <c r="BH437" s="1" t="n">
        <f aca="false">((MAX($P437,1)*MIN($AL437/300,1)))*IF(J437="Wagon",50,10)</f>
        <v>10.5</v>
      </c>
      <c r="BI437" s="1" t="n">
        <f aca="false">VLOOKUP($K437,Constants!$I:$K, 2, FALSE())</f>
        <v>1.2</v>
      </c>
      <c r="BJ437" s="1" t="n">
        <f aca="false">VLOOKUP($K437,Constants!$I:$K, 3, FALSE())*IF(AND(J437="multiple_unit",AE437&lt;110),0.75,1)</f>
        <v>0.6</v>
      </c>
      <c r="BK437" s="1" t="n">
        <f aca="false">INT(POWER(((Constants!$G$2+$BD437+$BE437+$BF437+$BH437)*$BG437)*$BJ437, 1.05))+$BC437</f>
        <v>98</v>
      </c>
      <c r="BL437" s="1" t="n">
        <f aca="false">INT(POWER((((Constants!$G$1+$BD437+$BE437+$BF437+$BH437)*($BG437))*$BI437),IF($J437="wagon",1,1.2)))+$BB437</f>
        <v>131</v>
      </c>
      <c r="BM437" s="17" t="n">
        <f aca="false">BK437*IF($J437="wagon",62.5,781.25)</f>
        <v>6125</v>
      </c>
      <c r="BN437" s="17" t="n">
        <f aca="false">BL437*IF($J437="wagon",2.73,81.25)</f>
        <v>357.63</v>
      </c>
      <c r="BU437" s="1" t="str">
        <f aca="false">IF(J437="locomotive","B","")</f>
        <v/>
      </c>
      <c r="BV437" s="1" t="str">
        <f aca="false">IF(OR($J437="locomotive",$J437="wagon"),"B","")</f>
        <v>B</v>
      </c>
      <c r="BY437" s="1" t="n">
        <v>1</v>
      </c>
      <c r="BZ437" s="1" t="n">
        <v>185</v>
      </c>
      <c r="CB437" s="1" t="s">
        <v>366</v>
      </c>
      <c r="CC437" s="1" t="s">
        <v>367</v>
      </c>
      <c r="CD437" s="1" t="str">
        <f aca="false">VLOOKUP(M437,Eras!$A$2:$C$10, 2, TRUE())</f>
        <v>dsl</v>
      </c>
      <c r="CE437" s="1" t="s">
        <v>1582</v>
      </c>
      <c r="CF437" s="1" t="str">
        <f aca="false">CONCATENATE(CD437,"_",CE437)</f>
        <v>dsl_Carriage</v>
      </c>
      <c r="CG437" s="1" t="str">
        <f aca="false">_xlfn.CONCAT(K437, "_",L437)</f>
        <v>carriage_RAIL</v>
      </c>
      <c r="CH437" s="7" t="str">
        <f aca="false">_xlfn.CONCAT("{BLACK}Length: {GOLD}", TEXT(ROUNDUP(IF(AS437&lt;&gt;"",SUM(VALUE(_xlfn.TEXTSPLIT(AS437, ","))), SUM(VALUE(_xlfn.TEXTSPLIT(AP437, ",")))*IF(P437, P437, 1))/16, 1), "#,##0.0"), " tiles{}")</f>
        <v>{BLACK}Length: {GOLD}0.8 tiles{}</v>
      </c>
      <c r="CI437" s="1" t="str">
        <f aca="false">IF(0, VLOOKUP($CG437, Constants!$M:$N, 2, FALSE()),"")</f>
        <v/>
      </c>
      <c r="CJ437" s="1" t="str">
        <f aca="false">IF(P437&gt;1,_xlfn.CONCAT("{BLACK}Cars: {GOLD}", P437),"")</f>
        <v/>
      </c>
      <c r="CK437" s="1" t="s">
        <v>1655</v>
      </c>
      <c r="CL437" s="1" t="str">
        <f aca="false">IF($BX437="concept_trains","{GREEN}Concept Vehicle",IF($BX437="!param_no_gameplay_units","{GREEN}Included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{GOLD}0.8 tiles{}{SILVER}A common sight within passenger formations, the BSO was the guard’s accomodation, held emergency equipment and provided space for oversize luggage, parcels and bicycles.</v>
      </c>
    </row>
    <row r="438" customFormat="false" ht="14.25" hidden="false" customHeight="false" outlineLevel="0" collapsed="false">
      <c r="A438" s="1" t="s">
        <v>1656</v>
      </c>
      <c r="B438" s="15" t="s">
        <v>1657</v>
      </c>
      <c r="C438" s="1" t="n">
        <v>27</v>
      </c>
      <c r="D438" s="1" t="n">
        <v>25</v>
      </c>
      <c r="E438" s="1" t="n">
        <v>1024</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1" t="s">
        <v>241</v>
      </c>
      <c r="J438" s="1" t="s">
        <v>1580</v>
      </c>
      <c r="K438" s="1" t="s">
        <v>1581</v>
      </c>
      <c r="L438" s="1" t="s">
        <v>192</v>
      </c>
      <c r="M438" s="1" t="n">
        <v>1964</v>
      </c>
      <c r="O438" s="1" t="n">
        <v>2010</v>
      </c>
      <c r="Z438" s="1" t="n">
        <v>40</v>
      </c>
      <c r="AB438" s="1" t="n">
        <v>4</v>
      </c>
      <c r="AD438" s="4" t="str">
        <f aca="false">IF(AND(Z438&gt;0,AC438&gt;0),(AC438/((Z438+AA438)*10)),"")</f>
        <v/>
      </c>
      <c r="AE438" s="1" t="n">
        <v>110</v>
      </c>
      <c r="AF438" s="1" t="n">
        <f aca="false">ROUND(AE438*1.6, 0)</f>
        <v>176</v>
      </c>
      <c r="AH438" s="1" t="n">
        <v>19.66</v>
      </c>
      <c r="AI438" s="1" t="n">
        <v>19.66</v>
      </c>
      <c r="AJ438" s="1" t="n">
        <v>2.83</v>
      </c>
      <c r="AK438" s="1" t="n">
        <v>3.79</v>
      </c>
      <c r="AL438" s="5" t="n">
        <v>42</v>
      </c>
      <c r="AM438" s="1" t="str">
        <f aca="false">CONCATENATE(VLOOKUP(AN438, 'Voxel Sizes'!$A$2:$B$18,2,FALSE()),"x",INT(AJ438*15), "x", INT(AK438*15))</f>
        <v>198x42x56</v>
      </c>
      <c r="AN438" s="1" t="n">
        <f aca="false">ROUND(15*((AI438*10)/256),0)</f>
        <v>12</v>
      </c>
      <c r="AP438" s="1" t="str">
        <f aca="false">CONCATENATE(VLOOKUP(AN438,Constants!$A$2:$C$16,IF(AO438&lt;&gt;"", 3, 2), FALSE()),IF(AO438&lt;&gt;"",CONCATENATE(",",VLOOKUP(AO438,$B:$AP,41,FALSE())),""))</f>
        <v>4,4,4</v>
      </c>
      <c r="AZ438" s="1" t="n">
        <v>30</v>
      </c>
      <c r="BA438" s="16" t="n">
        <f aca="false">IF(O438&lt;&gt;"",MAX(16,(O438-M438)+8),"")</f>
        <v>54</v>
      </c>
      <c r="BB438" s="1" t="n">
        <v>135</v>
      </c>
      <c r="BC438" s="1" t="n">
        <v>107</v>
      </c>
      <c r="BD438" s="1" t="n">
        <f aca="false">MIN(AE438/150, 1)*30</f>
        <v>22</v>
      </c>
      <c r="BE438" s="1" t="n">
        <f aca="false">MIN(Q438/4000, 1)*20</f>
        <v>0</v>
      </c>
      <c r="BF438" s="1" t="n">
        <f aca="false">MIN(AC438/400,1)*20</f>
        <v>0</v>
      </c>
      <c r="BG438" s="4" t="n">
        <f aca="false">1-(MAX(M438-1900, 0)/750)</f>
        <v>0.914666666666667</v>
      </c>
      <c r="BH438" s="1" t="n">
        <f aca="false">((MAX($P438,1)*MIN($AL438/300,1)))*IF(J438="Wagon",50,10)</f>
        <v>7</v>
      </c>
      <c r="BI438" s="1" t="n">
        <f aca="false">VLOOKUP($K438,Constants!$I:$K, 2, FALSE())</f>
        <v>1.2</v>
      </c>
      <c r="BJ438" s="1" t="n">
        <f aca="false">VLOOKUP($K438,Constants!$I:$K, 3, FALSE())*IF(AND(J438="multiple_unit",AE438&lt;110),0.75,1)</f>
        <v>0.6</v>
      </c>
      <c r="BK438" s="1" t="n">
        <f aca="false">INT(POWER(((Constants!$G$2+$BD438+$BE438+$BF438+$BH438)*$BG438)*$BJ438, 1.05))+$BC438</f>
        <v>128</v>
      </c>
      <c r="BL438" s="1" t="n">
        <f aca="false">INT(POWER((((Constants!$G$1+$BD438+$BE438+$BF438+$BH438)*($BG438))*$BI438),IF($J438="wagon",1,1.2)))+$BB438</f>
        <v>183</v>
      </c>
      <c r="BM438" s="17" t="n">
        <f aca="false">BK438*IF($J438="wagon",62.5,781.25)</f>
        <v>8000</v>
      </c>
      <c r="BN438" s="17" t="n">
        <f aca="false">BL438*IF($J438="wagon",2.73,81.25)</f>
        <v>499.59</v>
      </c>
      <c r="BU438" s="1" t="str">
        <f aca="false">IF(J438="locomotive","B","")</f>
        <v/>
      </c>
      <c r="BV438" s="1" t="str">
        <f aca="false">IF(OR($J438="locomotive",$J438="wagon"),"B","")</f>
        <v>B</v>
      </c>
      <c r="BY438" s="1" t="n">
        <v>1</v>
      </c>
      <c r="BZ438" s="1" t="n">
        <v>232</v>
      </c>
      <c r="CA438" s="1" t="s">
        <v>1617</v>
      </c>
      <c r="CB438" s="1" t="s">
        <v>366</v>
      </c>
      <c r="CC438" s="1" t="s">
        <v>367</v>
      </c>
      <c r="CD438" s="1" t="str">
        <f aca="false">VLOOKUP(M438,Eras!$A$2:$C$10, 2, TRUE())</f>
        <v>dsl</v>
      </c>
      <c r="CE438" s="1" t="s">
        <v>1582</v>
      </c>
      <c r="CF438" s="1" t="str">
        <f aca="false">CONCATENATE(CD438,"_",CE438)</f>
        <v>dsl_Carriage</v>
      </c>
      <c r="CG438" s="1" t="str">
        <f aca="false">_xlfn.CONCAT(K438, "_",L438)</f>
        <v>carriage_RAIL</v>
      </c>
      <c r="CH438" s="7" t="str">
        <f aca="false">_xlfn.CONCAT("{BLACK}Length: {GOLD}", TEXT(ROUNDUP(IF(AS438&lt;&gt;"",SUM(VALUE(_xlfn.TEXTSPLIT(AS438, ","))), SUM(VALUE(_xlfn.TEXTSPLIT(AP438, ",")))*IF(P438, P438, 1))/16, 1), "#,##0.0"), " tiles{}")</f>
        <v>{BLACK}Length: {GOLD}0.8 tiles{}</v>
      </c>
      <c r="CI438" s="1" t="str">
        <f aca="false">IF(0, VLOOKUP($CG438, Constants!$M:$N, 2, FALSE()),"")</f>
        <v/>
      </c>
      <c r="CJ438" s="1" t="str">
        <f aca="false">IF(P438&gt;1,_xlfn.CONCAT("{BLACK}Cars: {GOLD}", P438),"")</f>
        <v/>
      </c>
      <c r="CK438" s="1" t="s">
        <v>1658</v>
      </c>
      <c r="CL438" s="1" t="str">
        <f aca="false">IF($BX438="concept_trains","{GREEN}Concept Vehicle",IF($BX438="!param_no_gameplay_units","{GREEN}Included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{YELLOW}25% bonus for long distance travel{}</v>
      </c>
      <c r="CN438" s="1" t="str">
        <f aca="false">_xlfn.CONCAT(CI438,IF(CI438&lt;&gt;""," ",""),CJ438,IF(OR(CJ438&lt;&gt;"",CI438&lt;&gt;""),"{}",""),CH438,CM438,"{SILVER}",CK438,IF(CL438&lt;&gt;"","{}{}",""),CL438)</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39" customFormat="false" ht="14.25" hidden="false" customHeight="false" outlineLevel="0" collapsed="false">
      <c r="A439" s="1" t="s">
        <v>1659</v>
      </c>
      <c r="B439" s="25" t="s">
        <v>1660</v>
      </c>
      <c r="C439" s="1" t="n">
        <v>4027</v>
      </c>
      <c r="D439" s="1" t="n">
        <v>25</v>
      </c>
      <c r="E439" s="1" t="n">
        <v>1025</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1" t="s">
        <v>241</v>
      </c>
      <c r="J439" s="1" t="s">
        <v>1580</v>
      </c>
      <c r="K439" s="1" t="s">
        <v>1581</v>
      </c>
      <c r="L439" s="1" t="s">
        <v>192</v>
      </c>
      <c r="M439" s="1" t="n">
        <v>1964</v>
      </c>
      <c r="O439" s="1" t="n">
        <v>2010</v>
      </c>
      <c r="Z439" s="1" t="n">
        <v>40</v>
      </c>
      <c r="AB439" s="1" t="n">
        <v>4</v>
      </c>
      <c r="AD439" s="4" t="str">
        <f aca="false">IF(AND(Z439&gt;0,AC439&gt;0),(AC439/((Z439+AA439)*10)),"")</f>
        <v/>
      </c>
      <c r="AE439" s="1" t="n">
        <v>110</v>
      </c>
      <c r="AF439" s="1" t="n">
        <f aca="false">ROUND(AE439*1.6, 0)</f>
        <v>176</v>
      </c>
      <c r="AH439" s="1" t="n">
        <v>19.66</v>
      </c>
      <c r="AI439" s="1" t="n">
        <v>19.66</v>
      </c>
      <c r="AJ439" s="1" t="n">
        <v>2.83</v>
      </c>
      <c r="AK439" s="1" t="n">
        <v>3.79</v>
      </c>
      <c r="AL439" s="5" t="n">
        <v>24</v>
      </c>
      <c r="AM439" s="1" t="str">
        <f aca="false">CONCATENATE(VLOOKUP(AN439, 'Voxel Sizes'!$A$2:$B$18,2,FALSE()),"x",INT(AJ439*15), "x", INT(AK439*15))</f>
        <v>198x42x56</v>
      </c>
      <c r="AN439" s="1" t="n">
        <f aca="false">ROUND(15*((AI439*10)/256),0)</f>
        <v>12</v>
      </c>
      <c r="AP439" s="1" t="str">
        <f aca="false">CONCATENATE(VLOOKUP(AN439,Constants!$A$2:$C$16,IF(AO439&lt;&gt;"", 3, 2), FALSE()),IF(AO439&lt;&gt;"",CONCATENATE(",",VLOOKUP(AO439,$B:$AP,41,FALSE())),""))</f>
        <v>4,4,4</v>
      </c>
      <c r="AY439" s="1" t="s">
        <v>1661</v>
      </c>
      <c r="AZ439" s="1" t="n">
        <v>30</v>
      </c>
      <c r="BA439" s="16" t="n">
        <f aca="false">IF(O439&lt;&gt;"",MAX(16,(O439-M439)+8),"")</f>
        <v>54</v>
      </c>
      <c r="BB439" s="1" t="n">
        <v>135</v>
      </c>
      <c r="BC439" s="1" t="n">
        <v>107</v>
      </c>
      <c r="BD439" s="1" t="n">
        <f aca="false">MIN(AE439/150, 1)*30</f>
        <v>22</v>
      </c>
      <c r="BE439" s="1" t="n">
        <f aca="false">MIN(Q439/4000, 1)*20</f>
        <v>0</v>
      </c>
      <c r="BF439" s="1" t="n">
        <f aca="false">MIN(AC439/400,1)*20</f>
        <v>0</v>
      </c>
      <c r="BG439" s="4" t="n">
        <f aca="false">1-(MAX(M439-1900, 0)/750)</f>
        <v>0.914666666666667</v>
      </c>
      <c r="BH439" s="1" t="n">
        <f aca="false">((MAX($P439,1)*MIN($AL439/300,1)))*IF(J439="Wagon",50,10)</f>
        <v>4</v>
      </c>
      <c r="BI439" s="1" t="n">
        <f aca="false">VLOOKUP($K439,Constants!$I:$K, 2, FALSE())</f>
        <v>1.2</v>
      </c>
      <c r="BJ439" s="1" t="n">
        <f aca="false">VLOOKUP($K439,Constants!$I:$K, 3, FALSE())*IF(AND(J439="multiple_unit",AE439&lt;110),0.75,1)</f>
        <v>0.6</v>
      </c>
      <c r="BK439" s="1" t="n">
        <f aca="false">INT(POWER(((Constants!$G$2+$BD439+$BE439+$BF439+$BH439)*$BG439)*$BJ439, 1.05))+$BC439</f>
        <v>126</v>
      </c>
      <c r="BL439" s="1" t="n">
        <f aca="false">INT(POWER((((Constants!$G$1+$BD439+$BE439+$BF439+$BH439)*($BG439))*$BI439),IF($J439="wagon",1,1.2)))+$BB439</f>
        <v>180</v>
      </c>
      <c r="BM439" s="17" t="n">
        <f aca="false">BK439*IF($J439="wagon",62.5,781.25)</f>
        <v>7875</v>
      </c>
      <c r="BN439" s="17" t="n">
        <f aca="false">BL439*IF($J439="wagon",2.73,81.25)</f>
        <v>491.4</v>
      </c>
      <c r="BU439" s="1" t="str">
        <f aca="false">IF(J439="locomotive","B","")</f>
        <v/>
      </c>
      <c r="BV439" s="1" t="str">
        <f aca="false">IF(OR($J439="locomotive",$J439="wagon"),"B","")</f>
        <v>B</v>
      </c>
      <c r="BY439" s="1" t="n">
        <v>1</v>
      </c>
      <c r="BZ439" s="1" t="n">
        <v>232</v>
      </c>
      <c r="CA439" s="1" t="s">
        <v>1617</v>
      </c>
      <c r="CB439" s="1" t="s">
        <v>366</v>
      </c>
      <c r="CC439" s="1" t="s">
        <v>367</v>
      </c>
      <c r="CD439" s="1" t="str">
        <f aca="false">VLOOKUP(M439,Eras!$A$2:$C$10, 2, TRUE())</f>
        <v>dsl</v>
      </c>
      <c r="CE439" s="1" t="s">
        <v>1582</v>
      </c>
      <c r="CF439" s="1" t="str">
        <f aca="false">CONCATENATE(CD439,"_",CE439)</f>
        <v>dsl_Carriage</v>
      </c>
      <c r="CG439" s="1" t="str">
        <f aca="false">_xlfn.CONCAT(K439, "_",L439)</f>
        <v>carriage_RAIL</v>
      </c>
      <c r="CH439" s="7" t="str">
        <f aca="false">_xlfn.CONCAT("{BLACK}Length: {GOLD}", TEXT(ROUNDUP(IF(AS439&lt;&gt;"",SUM(VALUE(_xlfn.TEXTSPLIT(AS439, ","))), SUM(VALUE(_xlfn.TEXTSPLIT(AP439, ",")))*IF(P439, P439, 1))/16, 1), "#,##0.0"), " tiles{}")</f>
        <v>{BLACK}Length: {GOLD}0.8 tiles{}</v>
      </c>
      <c r="CI439" s="1" t="str">
        <f aca="false">IF(0, VLOOKUP($CG439, Constants!$M:$N, 2, FALSE()),"")</f>
        <v/>
      </c>
      <c r="CJ439" s="1" t="str">
        <f aca="false">IF(P439&gt;1,_xlfn.CONCAT("{BLACK}Cars: {GOLD}", P439),"")</f>
        <v/>
      </c>
      <c r="CK439" s="1" t="s">
        <v>1662</v>
      </c>
      <c r="CL439" s="1" t="str">
        <f aca="false">IF($BX439="concept_trains","{GREEN}Concept Vehicle",IF($BX439="!param_no_gameplay_units","{GREEN}Included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{YELLOW}25% bonus for long distance travel{}</v>
      </c>
      <c r="CN439" s="1" t="str">
        <f aca="false">_xlfn.CONCAT(CI439,IF(CI439&lt;&gt;""," ",""),CJ439,IF(OR(CJ439&lt;&gt;"",CI439&lt;&gt;""),"{}",""),CH439,CM439,"{SILVER}",CK439,IF(CL439&lt;&gt;"","{}{}",""),CL439)</f>
        <v>{BLACK}Length: {GOLD}0.8 tiles{}{YELLOW}25% bonus for long distance travel{}{SILVER}Mk2 BFK (Brake First Corridor) coaches provided guard’s office accomodation. In short formations a single BFK would be the only first class accomodation available.</v>
      </c>
    </row>
    <row r="440" customFormat="false" ht="14.25" hidden="false" customHeight="false" outlineLevel="0" collapsed="false">
      <c r="A440" s="1" t="s">
        <v>1663</v>
      </c>
      <c r="B440" s="19" t="s">
        <v>1664</v>
      </c>
      <c r="C440" s="1" t="n">
        <v>1012</v>
      </c>
      <c r="E440" s="1" t="n">
        <v>1026</v>
      </c>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1" t="s">
        <v>241</v>
      </c>
      <c r="J440" s="1" t="s">
        <v>1580</v>
      </c>
      <c r="K440" s="1" t="s">
        <v>1581</v>
      </c>
      <c r="L440" s="1" t="s">
        <v>192</v>
      </c>
      <c r="M440" s="1" t="n">
        <v>1973</v>
      </c>
      <c r="Z440" s="1" t="n">
        <v>40</v>
      </c>
      <c r="AB440" s="1" t="n">
        <v>5</v>
      </c>
      <c r="AD440" s="4" t="str">
        <f aca="false">IF(AND(Z440&gt;0,AC440&gt;0),(AC440/((Z440+AA440)*10)),"")</f>
        <v/>
      </c>
      <c r="AE440" s="1" t="n">
        <v>110</v>
      </c>
      <c r="AF440" s="1" t="n">
        <f aca="false">ROUND(AE440*1.6, 0)</f>
        <v>176</v>
      </c>
      <c r="AH440" s="1" t="n">
        <v>19.66</v>
      </c>
      <c r="AI440" s="1" t="n">
        <v>19.66</v>
      </c>
      <c r="AL440" s="5" t="n">
        <v>63</v>
      </c>
      <c r="AM440" s="1" t="str">
        <f aca="false">CONCATENATE(VLOOKUP(AN440, 'Voxel Sizes'!$A$2:$B$18,2,FALSE()),"x",INT(AJ440*15), "x", INT(AK440*15))</f>
        <v>198x0x0</v>
      </c>
      <c r="AN440" s="16" t="n">
        <f aca="false">ROUND(15*((AI440*10)/256),0)</f>
        <v>12</v>
      </c>
      <c r="AP440" s="1" t="str">
        <f aca="false">CONCATENATE(VLOOKUP(AN440,Constants!$A$2:$C$16,IF(AO440&lt;&gt;"", 3, 2), FALSE()),IF(AO440&lt;&gt;"",CONCATENATE(",",VLOOKUP(AO440,$B:$AP,41,FALSE())),""))</f>
        <v>4,4,4</v>
      </c>
      <c r="AZ440" s="1" t="n">
        <v>30</v>
      </c>
      <c r="BA440" s="16" t="str">
        <f aca="false">IF(O440&lt;&gt;"",MAX(16,(O440-M440)+8),"")</f>
        <v/>
      </c>
      <c r="BB440" s="1" t="n">
        <v>79</v>
      </c>
      <c r="BC440" s="1" t="n">
        <f aca="false">25*3</f>
        <v>75</v>
      </c>
      <c r="BD440" s="20" t="n">
        <f aca="false">MIN(AE440/150, 1)*30</f>
        <v>22</v>
      </c>
      <c r="BE440" s="20" t="n">
        <f aca="false">MIN(Q440/4000, 1)*20</f>
        <v>0</v>
      </c>
      <c r="BF440" s="20" t="n">
        <f aca="false">MIN(AC440/400,1)*20</f>
        <v>0</v>
      </c>
      <c r="BG440" s="21" t="n">
        <f aca="false">1-(MAX(M440-1900, 0)/750)</f>
        <v>0.902666666666667</v>
      </c>
      <c r="BH440" s="20" t="n">
        <f aca="false">((MAX($P440,1)*MIN($AL440/300,1)))*IF(J440="Wagon",50,10)</f>
        <v>10.5</v>
      </c>
      <c r="BI440" s="1" t="n">
        <f aca="false">VLOOKUP($K440,Constants!$I:$K, 2, FALSE())</f>
        <v>1.2</v>
      </c>
      <c r="BJ440" s="1" t="n">
        <f aca="false">VLOOKUP($K440,Constants!$I:$K, 3, FALSE())*IF(AND(J440="multiple_unit",AE440&lt;110),0.75,1)</f>
        <v>0.6</v>
      </c>
      <c r="BK440" s="1" t="n">
        <f aca="false">INT(POWER(((Constants!$G$2+$BD440+$BE440+$BF440+$BH440)*$BG440)*$BJ440, 1.05))+$BC440</f>
        <v>98</v>
      </c>
      <c r="BL440" s="1" t="n">
        <f aca="false">INT(POWER((((Constants!$G$1+$BD440+$BE440+$BF440+$BH440)*($BG440))*$BI440),IF($J440="wagon",1,1.2)))+$BB440</f>
        <v>130</v>
      </c>
      <c r="BM440" s="17" t="n">
        <f aca="false">BK440*IF($J440="wagon",62.5,781.25)</f>
        <v>6125</v>
      </c>
      <c r="BN440" s="22" t="n">
        <f aca="false">BL440*IF($J440="wagon",2.73,81.25)</f>
        <v>354.9</v>
      </c>
      <c r="BU440" s="1" t="str">
        <f aca="false">IF(J440="locomotive","B","")</f>
        <v/>
      </c>
      <c r="BV440" s="1" t="str">
        <f aca="false">IF(OR($J440="locomotive",$J440="wagon"),"B","")</f>
        <v>B</v>
      </c>
      <c r="BY440" s="1" t="n">
        <v>1</v>
      </c>
      <c r="CB440" s="1" t="s">
        <v>366</v>
      </c>
      <c r="CC440" s="1" t="s">
        <v>367</v>
      </c>
      <c r="CD440" s="23" t="s">
        <v>647</v>
      </c>
      <c r="CE440" s="26" t="s">
        <v>1582</v>
      </c>
      <c r="CF440" s="23" t="str">
        <f aca="false">CONCATENATE(CD440,"_",CE440)</f>
        <v>lbr_Carriage</v>
      </c>
      <c r="CG440" s="23" t="str">
        <f aca="false">_xlfn.CONCAT(K440, "_",L440)</f>
        <v>carriage_RAIL</v>
      </c>
      <c r="CH440" s="7" t="str">
        <f aca="false">_xlfn.CONCAT("{BLACK}Length: {GOLD}", TEXT(ROUNDUP(IF(AS440&lt;&gt;"",SUM(VALUE(_xlfn.TEXTSPLIT(AS440, ","))), SUM(VALUE(_xlfn.TEXTSPLIT(AP440, ",")))*IF(P440, P440, 1))/16, 1), "#,##0.0"), " tiles{}")</f>
        <v>{BLACK}Length: {GOLD}0.8 tiles{}</v>
      </c>
      <c r="CI440" s="1" t="str">
        <f aca="false">IF(0, VLOOKUP($CG440, Constants!$M:$N, 2, FALSE()),"")</f>
        <v/>
      </c>
      <c r="CJ440" s="1" t="str">
        <f aca="false">IF(P440&gt;1,_xlfn.CONCAT("{BLACK}Cars: {GOLD}", P440),"")</f>
        <v/>
      </c>
      <c r="CK440" s="1" t="s">
        <v>1665</v>
      </c>
      <c r="CL440" s="1" t="str">
        <f aca="false">IF($BX440="concept_trains","{GREEN}Concept Vehicle",IF($BX440="!param_no_gameplay_units","{GREEN}Included for gameplay purposes",""))</f>
        <v/>
      </c>
      <c r="CM440" s="1" t="str">
        <f aca="false">IF(CA440="buffet","{YELLOW}25% long distance bonus for consist{}",IF(CB440="DANDY","{YELLOW}Faster downhill speeds for horse-drawn trains (1 required per 2 horses){}",IF(CB440="BRAKE","{YELLOW}Speed bonus for slow wagons{}",IF(CB440="NGPassengers","{YELLOW}Preserved railway bonus: passengers pay more when hauled by old locomotives{}",IF(AND(BZ440&gt;190,NOT(AND(L440="NARROW_GAUGE",CB440&lt;&gt;"PASS"))),CONCATENATE("{YELLOW}",INT((BZ440-185)/1.85),"%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{GOLD}0.8 tiles{}{SILVER}The Mark 2F was the final development of the Mark 2 carriage, introducing many features which would be used on the Mark 3 Intercity carriages.</v>
      </c>
    </row>
    <row r="441" customFormat="false" ht="14.25" hidden="false" customHeight="false" outlineLevel="0" collapsed="false">
      <c r="A441" s="1" t="s">
        <v>1666</v>
      </c>
      <c r="B441" s="25" t="s">
        <v>1667</v>
      </c>
      <c r="C441" s="1" t="n">
        <v>4012</v>
      </c>
      <c r="D441" s="1" t="n">
        <v>1012</v>
      </c>
      <c r="E441" s="1" t="n">
        <v>1026</v>
      </c>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1" t="s">
        <v>241</v>
      </c>
      <c r="J441" s="1" t="s">
        <v>1580</v>
      </c>
      <c r="K441" s="1" t="s">
        <v>1581</v>
      </c>
      <c r="L441" s="1" t="s">
        <v>192</v>
      </c>
      <c r="M441" s="1" t="n">
        <v>1985</v>
      </c>
      <c r="Z441" s="1" t="n">
        <v>40</v>
      </c>
      <c r="AB441" s="1" t="n">
        <v>5</v>
      </c>
      <c r="AD441" s="4" t="str">
        <f aca="false">IF(AND(Z441&gt;0,AC441&gt;0),(AC441/((Z441+AA441)*10)),"")</f>
        <v/>
      </c>
      <c r="AE441" s="1" t="n">
        <v>110</v>
      </c>
      <c r="AF441" s="1" t="n">
        <f aca="false">ROUND(AE441*1.6, 0)</f>
        <v>176</v>
      </c>
      <c r="AH441" s="1" t="n">
        <v>19.66</v>
      </c>
      <c r="AI441" s="1" t="n">
        <v>19.66</v>
      </c>
      <c r="AL441" s="5" t="n">
        <v>74</v>
      </c>
      <c r="AM441" s="1" t="str">
        <f aca="false">CONCATENATE(VLOOKUP(AN441, 'Voxel Sizes'!$A$2:$B$18,2,FALSE()),"x",INT(AJ441*15), "x", INT(AK441*15))</f>
        <v>198x0x0</v>
      </c>
      <c r="AN441" s="16" t="n">
        <f aca="false">ROUND(15*((AI441*10)/256),0)</f>
        <v>12</v>
      </c>
      <c r="AP441" s="1" t="str">
        <f aca="false">CONCATENATE(VLOOKUP(AN441,Constants!$A$2:$C$16,IF(AO441&lt;&gt;"", 3, 2), FALSE()),IF(AO441&lt;&gt;"",CONCATENATE(",",VLOOKUP(AO441,$B:$AP,41,FALSE())),""))</f>
        <v>4,4,4</v>
      </c>
      <c r="AW441" s="1" t="s">
        <v>1664</v>
      </c>
      <c r="AZ441" s="1" t="n">
        <v>30</v>
      </c>
      <c r="BA441" s="16" t="str">
        <f aca="false">IF(O441&lt;&gt;"",MAX(16,(O441-M441)+8),"")</f>
        <v/>
      </c>
      <c r="BB441" s="1" t="n">
        <v>79</v>
      </c>
      <c r="BC441" s="1" t="n">
        <f aca="false">25*3</f>
        <v>75</v>
      </c>
      <c r="BD441" s="20" t="n">
        <f aca="false">MIN(AE441/150, 1)*30</f>
        <v>22</v>
      </c>
      <c r="BE441" s="20" t="n">
        <f aca="false">MIN(Q441/4000, 1)*20</f>
        <v>0</v>
      </c>
      <c r="BF441" s="20" t="n">
        <f aca="false">MIN(AC441/400,1)*20</f>
        <v>0</v>
      </c>
      <c r="BG441" s="21" t="n">
        <f aca="false">1-(MAX(M441-1900, 0)/750)</f>
        <v>0.886666666666667</v>
      </c>
      <c r="BH441" s="20" t="n">
        <f aca="false">((MAX($P441,1)*MIN($AL441/300,1)))*IF(J441="Wagon",50,10)</f>
        <v>12.3333333333333</v>
      </c>
      <c r="BI441" s="1" t="n">
        <f aca="false">VLOOKUP($K441,Constants!$I:$K, 2, FALSE())</f>
        <v>1.2</v>
      </c>
      <c r="BJ441" s="1" t="n">
        <f aca="false">VLOOKUP($K441,Constants!$I:$K, 3, FALSE())*IF(AND(J441="multiple_unit",AE441&lt;110),0.75,1)</f>
        <v>0.6</v>
      </c>
      <c r="BK441" s="1" t="n">
        <f aca="false">INT(POWER(((Constants!$G$2+$BD441+$BE441+$BF441+$BH441)*$BG441)*$BJ441, 1.05))+$BC441</f>
        <v>99</v>
      </c>
      <c r="BL441" s="1" t="n">
        <f aca="false">INT(POWER((((Constants!$G$1+$BD441+$BE441+$BF441+$BH441)*($BG441))*$BI441),IF($J441="wagon",1,1.2)))+$BB441</f>
        <v>131</v>
      </c>
      <c r="BM441" s="17" t="n">
        <f aca="false">BK441*IF($J441="wagon",62.5,781.25)</f>
        <v>6187.5</v>
      </c>
      <c r="BN441" s="22" t="n">
        <f aca="false">BL441*IF($J441="wagon",2.73,81.25)</f>
        <v>357.63</v>
      </c>
      <c r="BU441" s="1" t="str">
        <f aca="false">IF(J441="locomotive","B","")</f>
        <v/>
      </c>
      <c r="BV441" s="1" t="str">
        <f aca="false">IF(OR($J441="locomotive",$J441="wagon"),"B","")</f>
        <v>B</v>
      </c>
      <c r="BY441" s="1" t="n">
        <v>1</v>
      </c>
      <c r="BZ441" s="1" t="n">
        <v>165</v>
      </c>
      <c r="CB441" s="1" t="s">
        <v>366</v>
      </c>
      <c r="CC441" s="1" t="s">
        <v>367</v>
      </c>
      <c r="CD441" s="23" t="s">
        <v>647</v>
      </c>
      <c r="CE441" s="26" t="s">
        <v>1582</v>
      </c>
      <c r="CF441" s="23" t="str">
        <f aca="false">CONCATENATE(CD441,"_",CE441)</f>
        <v>lbr_Carriage</v>
      </c>
      <c r="CG441" s="23" t="str">
        <f aca="false">_xlfn.CONCAT(K441, "_",L441)</f>
        <v>carriage_RAIL</v>
      </c>
      <c r="CH441" s="7" t="str">
        <f aca="false">_xlfn.CONCAT("{BLACK}Length: {GOLD}", TEXT(ROUNDUP(IF(AS441&lt;&gt;"",SUM(VALUE(_xlfn.TEXTSPLIT(AS441, ","))), SUM(VALUE(_xlfn.TEXTSPLIT(AP441, ",")))*IF(P441, P441, 1))/16, 1), "#,##0.0"), " tiles{}")</f>
        <v>{BLACK}Length: {GOLD}0.8 tiles{}</v>
      </c>
      <c r="CI441" s="1" t="str">
        <f aca="false">IF(0, VLOOKUP($CG441, Constants!$M:$N, 2, FALSE()),"")</f>
        <v/>
      </c>
      <c r="CJ441" s="1" t="str">
        <f aca="false">IF(P441&gt;1,_xlfn.CONCAT("{BLACK}Cars: {GOLD}", P441),"")</f>
        <v/>
      </c>
      <c r="CK441" s="1" t="s">
        <v>1668</v>
      </c>
      <c r="CL441" s="1" t="str">
        <f aca="false">IF($BX441="concept_trains","{GREEN}Concept Vehicle",IF($BX441="!param_no_gameplay_units","{GREEN}Included for gameplay purposes",""))</f>
        <v/>
      </c>
      <c r="CM441" s="1" t="str">
        <f aca="false">IF(CA441="buffet","{YELLOW}25% long distance bonus for consist{}",IF(CB441="DANDY","{YELLOW}Faster downhill speeds for horse-drawn trains (1 required per 2 horses){}",IF(CB441="BRAKE","{YELLOW}Speed bonus for slow wagons{}",IF(CB441="NGPassengers","{YELLOW}Preserved railway bonus: passengers pay more when hauled by old locomotives{}",IF(AND(BZ441&gt;190,NOT(AND(L441="NARROW_GAUGE",CB441&lt;&gt;"PASS"))),CONCATENATE("{YELLOW}",INT((BZ441-185)/1.85),"% bonus for long distance travel{}"),IF(AND(BZ441&lt;180,BZ441&lt;&gt;0),CONCATENATE("{YELLOW}",INT((185-BZ441)/1.85),"% penalty for long distance travel{}"),""))))))</f>
        <v>{YELLOW}10% penalty for long distance travel{}</v>
      </c>
      <c r="CN441" s="1" t="str">
        <f aca="false">_xlfn.CONCAT(CI441,IF(CI441&lt;&gt;""," ",""),CJ441,IF(OR(CJ441&lt;&gt;"",CI441&lt;&gt;""),"{}",""),CH441,CM441,"{SILVER}",CK441,IF(CL441&lt;&gt;"","{}{}",""),CL441)</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42" customFormat="false" ht="14.25" hidden="false" customHeight="false" outlineLevel="0" collapsed="false">
      <c r="A442" s="1" t="s">
        <v>1669</v>
      </c>
      <c r="B442" s="19" t="s">
        <v>1670</v>
      </c>
      <c r="C442" s="1" t="n">
        <v>1013</v>
      </c>
      <c r="D442" s="1" t="n">
        <v>1012</v>
      </c>
      <c r="E442" s="1" t="n">
        <v>1027</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241</v>
      </c>
      <c r="J442" s="1" t="s">
        <v>1580</v>
      </c>
      <c r="K442" s="1" t="s">
        <v>1581</v>
      </c>
      <c r="L442" s="1" t="s">
        <v>192</v>
      </c>
      <c r="M442" s="1" t="n">
        <v>1973</v>
      </c>
      <c r="Z442" s="1" t="n">
        <v>40</v>
      </c>
      <c r="AB442" s="1" t="n">
        <v>5</v>
      </c>
      <c r="AD442" s="4" t="str">
        <f aca="false">IF(AND(Z442&gt;0,AC442&gt;0),(AC442/((Z442+AA442)*10)),"")</f>
        <v/>
      </c>
      <c r="AE442" s="1" t="n">
        <v>110</v>
      </c>
      <c r="AF442" s="1" t="n">
        <f aca="false">ROUND(AE442*1.6, 0)</f>
        <v>176</v>
      </c>
      <c r="AH442" s="1" t="n">
        <v>19.66</v>
      </c>
      <c r="AI442" s="1" t="n">
        <v>19.66</v>
      </c>
      <c r="AL442" s="5" t="n">
        <v>42</v>
      </c>
      <c r="AM442" s="1" t="str">
        <f aca="false">CONCATENATE(VLOOKUP(AN442, 'Voxel Sizes'!$A$2:$B$18,2,FALSE()),"x",INT(AJ442*15), "x", INT(AK442*15))</f>
        <v>198x0x0</v>
      </c>
      <c r="AN442" s="16" t="n">
        <f aca="false">ROUND(15*((AI442*10)/256),0)</f>
        <v>12</v>
      </c>
      <c r="AP442" s="1" t="str">
        <f aca="false">CONCATENATE(VLOOKUP(AN442,Constants!$A$2:$C$16,IF(AO442&lt;&gt;"", 3, 2), FALSE()),IF(AO442&lt;&gt;"",CONCATENATE(",",VLOOKUP(AO442,$B:$AP,41,FALSE())),""))</f>
        <v>4,4,4</v>
      </c>
      <c r="AZ442" s="1" t="n">
        <v>30</v>
      </c>
      <c r="BA442" s="16" t="str">
        <f aca="false">IF(O442&lt;&gt;"",MAX(16,(O442-M442)+8),"")</f>
        <v/>
      </c>
      <c r="BB442" s="1" t="n">
        <v>135</v>
      </c>
      <c r="BC442" s="1" t="n">
        <v>105</v>
      </c>
      <c r="BD442" s="20" t="n">
        <f aca="false">MIN(AE442/150, 1)*30</f>
        <v>22</v>
      </c>
      <c r="BE442" s="20" t="n">
        <f aca="false">MIN(Q442/4000, 1)*20</f>
        <v>0</v>
      </c>
      <c r="BF442" s="20" t="n">
        <f aca="false">MIN(AC442/400,1)*20</f>
        <v>0</v>
      </c>
      <c r="BG442" s="21" t="n">
        <f aca="false">1-(MAX(M442-1900, 0)/750)</f>
        <v>0.902666666666667</v>
      </c>
      <c r="BH442" s="20" t="n">
        <f aca="false">((MAX($P442,1)*MIN($AL442/300,1)))*IF(J442="Wagon",50,10)</f>
        <v>7</v>
      </c>
      <c r="BI442" s="1" t="n">
        <f aca="false">VLOOKUP($K442,Constants!$I:$K, 2, FALSE())</f>
        <v>1.2</v>
      </c>
      <c r="BJ442" s="1" t="n">
        <f aca="false">VLOOKUP($K442,Constants!$I:$K, 3, FALSE())*IF(AND(J442="multiple_unit",AE442&lt;110),0.75,1)</f>
        <v>0.6</v>
      </c>
      <c r="BK442" s="1" t="n">
        <f aca="false">INT(POWER(((Constants!$G$2+$BD442+$BE442+$BF442+$BH442)*$BG442)*$BJ442, 1.05))+$BC442</f>
        <v>126</v>
      </c>
      <c r="BL442" s="1" t="n">
        <f aca="false">INT(POWER((((Constants!$G$1+$BD442+$BE442+$BF442+$BH442)*($BG442))*$BI442),IF($J442="wagon",1,1.2)))+$BB442</f>
        <v>182</v>
      </c>
      <c r="BM442" s="17" t="n">
        <f aca="false">BK442*IF($J442="wagon",62.5,781.25)</f>
        <v>7875</v>
      </c>
      <c r="BN442" s="22" t="n">
        <f aca="false">BL442*IF($J442="wagon",2.73,81.25)</f>
        <v>496.86</v>
      </c>
      <c r="BU442" s="1" t="str">
        <f aca="false">IF(J442="locomotive","B","")</f>
        <v/>
      </c>
      <c r="BV442" s="1" t="str">
        <f aca="false">IF(OR($J442="locomotive",$J442="wagon"),"B","")</f>
        <v>B</v>
      </c>
      <c r="BY442" s="1" t="n">
        <v>1</v>
      </c>
      <c r="BZ442" s="1" t="n">
        <v>222</v>
      </c>
      <c r="CB442" s="1" t="s">
        <v>366</v>
      </c>
      <c r="CC442" s="1" t="s">
        <v>367</v>
      </c>
      <c r="CD442" s="23" t="s">
        <v>647</v>
      </c>
      <c r="CE442" s="26" t="s">
        <v>1582</v>
      </c>
      <c r="CF442" s="23" t="str">
        <f aca="false">CONCATENATE(CD442,"_",CE442)</f>
        <v>lbr_Carriage</v>
      </c>
      <c r="CG442" s="23" t="str">
        <f aca="false">_xlfn.CONCAT(K442, "_",L442)</f>
        <v>carriage_RAIL</v>
      </c>
      <c r="CH442" s="7" t="str">
        <f aca="false">_xlfn.CONCAT("{BLACK}Length: {GOLD}", TEXT(ROUNDUP(IF(AS442&lt;&gt;"",SUM(VALUE(_xlfn.TEXTSPLIT(AS442, ","))), SUM(VALUE(_xlfn.TEXTSPLIT(AP442, ",")))*IF(P442, P442, 1))/16, 1), "#,##0.0"), " tiles{}")</f>
        <v>{BLACK}Length: {GOLD}0.8 tiles{}</v>
      </c>
      <c r="CI442" s="1" t="str">
        <f aca="false">IF(0, VLOOKUP($CG442, Constants!$M:$N, 2, FALSE()),"")</f>
        <v/>
      </c>
      <c r="CJ442" s="1" t="str">
        <f aca="false">IF(P442&gt;1,_xlfn.CONCAT("{BLACK}Cars: {GOLD}", P442),"")</f>
        <v/>
      </c>
      <c r="CK442" s="1" t="s">
        <v>1671</v>
      </c>
      <c r="CL442" s="1" t="str">
        <f aca="false">IF($BX442="concept_trains","{GREEN}Concept Vehicle",IF($BX442="!param_no_gameplay_units","{GREEN}Included for gameplay purposes",""))</f>
        <v/>
      </c>
      <c r="CM442" s="1" t="str">
        <f aca="false">IF(CA442="buffet","{YELLOW}25% long distance bonus for consist{}",IF(CB442="DANDY","{YELLOW}Faster downhill speeds for horse-drawn trains (1 required per 2 horses){}",IF(CB442="BRAKE","{YELLOW}Speed bonus for slow wagons{}",IF(CB442="NGPassengers","{YELLOW}Preserved railway bonus: passengers pay more when hauled by old locomotives{}",IF(AND(BZ442&gt;190,NOT(AND(L442="NARROW_GAUGE",CB442&lt;&gt;"PASS"))),CONCATENATE("{YELLOW}",INT((BZ442-185)/1.85),"% bonus for long distance travel{}"),IF(AND(BZ442&lt;180,BZ442&lt;&gt;0),CONCATENATE("{YELLOW}",INT((185-BZ442)/1.85),"% penalty for long distance travel{}"),""))))))</f>
        <v>{YELLOW}20% bonus for long distance travel{}</v>
      </c>
      <c r="CN442" s="1" t="str">
        <f aca="false">_xlfn.CONCAT(CI442,IF(CI442&lt;&gt;""," ",""),CJ442,IF(OR(CJ442&lt;&gt;"",CI442&lt;&gt;""),"{}",""),CH442,CM442,"{SILVER}",CK442,IF(CL442&lt;&gt;"","{}{}",""),CL442)</f>
        <v>{BLACK}Length: {GOLD}0.8 tiles{}{YELLOW}20% bonus for long distance travel{}{SILVER}By the point of the Mk2F, BR had abandoned corridor carriage layouts, using only open saloons even for first class.</v>
      </c>
    </row>
    <row r="443" customFormat="false" ht="14.25" hidden="false" customHeight="false" outlineLevel="0" collapsed="false">
      <c r="A443" s="1" t="s">
        <v>1672</v>
      </c>
      <c r="B443" s="19" t="s">
        <v>1673</v>
      </c>
      <c r="C443" s="1" t="n">
        <v>1014</v>
      </c>
      <c r="D443" s="1" t="n">
        <v>1012</v>
      </c>
      <c r="E443" s="1" t="n">
        <v>1028</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1" t="s">
        <v>241</v>
      </c>
      <c r="J443" s="1" t="s">
        <v>1580</v>
      </c>
      <c r="K443" s="1" t="s">
        <v>1581</v>
      </c>
      <c r="L443" s="1" t="s">
        <v>192</v>
      </c>
      <c r="M443" s="1" t="n">
        <v>1973</v>
      </c>
      <c r="Z443" s="1" t="n">
        <v>44</v>
      </c>
      <c r="AB443" s="1" t="n">
        <v>5</v>
      </c>
      <c r="AD443" s="4" t="str">
        <f aca="false">IF(AND(Z443&gt;0,AC443&gt;0),(AC443/((Z443+AA443)*10)),"")</f>
        <v/>
      </c>
      <c r="AE443" s="1" t="n">
        <v>110</v>
      </c>
      <c r="AF443" s="1" t="n">
        <f aca="false">ROUND(AE443*1.6, 0)</f>
        <v>176</v>
      </c>
      <c r="AH443" s="1" t="n">
        <v>19.66</v>
      </c>
      <c r="AI443" s="1" t="n">
        <v>19.66</v>
      </c>
      <c r="AL443" s="5" t="n">
        <v>24</v>
      </c>
      <c r="AM443" s="1" t="str">
        <f aca="false">CONCATENATE(VLOOKUP(AN443, 'Voxel Sizes'!$A$2:$B$18,2,FALSE()),"x",INT(AJ443*15), "x", INT(AK443*15))</f>
        <v>198x0x0</v>
      </c>
      <c r="AN443" s="16" t="n">
        <f aca="false">ROUND(15*((AI443*10)/256),0)</f>
        <v>12</v>
      </c>
      <c r="AP443" s="1" t="str">
        <f aca="false">CONCATENATE(VLOOKUP(AN443,Constants!$A$2:$C$16,IF(AO443&lt;&gt;"", 3, 2), FALSE()),IF(AO443&lt;&gt;"",CONCATENATE(",",VLOOKUP(AO443,$B:$AP,41,FALSE())),""))</f>
        <v>4,4,4</v>
      </c>
      <c r="AZ443" s="1" t="n">
        <v>30</v>
      </c>
      <c r="BA443" s="16" t="str">
        <f aca="false">IF(O443&lt;&gt;"",MAX(16,(O443-M443)+8),"")</f>
        <v/>
      </c>
      <c r="BB443" s="1" t="n">
        <v>1150</v>
      </c>
      <c r="BC443" s="1" t="n">
        <v>150</v>
      </c>
      <c r="BD443" s="20" t="n">
        <f aca="false">MIN(AE443/150, 1)*30</f>
        <v>22</v>
      </c>
      <c r="BE443" s="20" t="n">
        <f aca="false">MIN(Q443/4000, 1)*20</f>
        <v>0</v>
      </c>
      <c r="BF443" s="20" t="n">
        <f aca="false">MIN(AC443/400,1)*20</f>
        <v>0</v>
      </c>
      <c r="BG443" s="21" t="n">
        <f aca="false">1-(MAX(M443-1900, 0)/750)</f>
        <v>0.902666666666667</v>
      </c>
      <c r="BH443" s="20" t="n">
        <f aca="false">((MAX($P443,1)*MIN($AL443/300,1)))*IF(J443="Wagon",50,10)</f>
        <v>4</v>
      </c>
      <c r="BI443" s="1" t="n">
        <f aca="false">VLOOKUP($K443,Constants!$I:$K, 2, FALSE())</f>
        <v>1.2</v>
      </c>
      <c r="BJ443" s="1" t="n">
        <f aca="false">VLOOKUP($K443,Constants!$I:$K, 3, FALSE())*IF(AND(J443="multiple_unit",AE443&lt;110),0.75,1)</f>
        <v>0.6</v>
      </c>
      <c r="BK443" s="1" t="n">
        <f aca="false">INT(POWER(((Constants!$G$2+$BD443+$BE443+$BF443+$BH443)*$BG443)*$BJ443, 1.05))+$BC443</f>
        <v>169</v>
      </c>
      <c r="BL443" s="1" t="n">
        <f aca="false">INT(POWER((((Constants!$G$1+$BD443+$BE443+$BF443+$BH443)*($BG443))*$BI443),IF($J443="wagon",1,1.2)))+$BB443</f>
        <v>1194</v>
      </c>
      <c r="BM443" s="17" t="n">
        <f aca="false">BK443*IF($J443="wagon",62.5,781.25)</f>
        <v>10562.5</v>
      </c>
      <c r="BN443" s="22" t="n">
        <f aca="false">BL443*IF($J443="wagon",2.73,81.25)</f>
        <v>3259.62</v>
      </c>
      <c r="BU443" s="1" t="str">
        <f aca="false">IF(J443="locomotive","B","")</f>
        <v/>
      </c>
      <c r="BV443" s="1" t="str">
        <f aca="false">IF(OR($J443="locomotive",$J443="wagon"),"B","")</f>
        <v>B</v>
      </c>
      <c r="BY443" s="1" t="n">
        <v>1</v>
      </c>
      <c r="BZ443" s="1" t="n">
        <v>222</v>
      </c>
      <c r="CA443" s="1" t="s">
        <v>973</v>
      </c>
      <c r="CB443" s="1" t="s">
        <v>366</v>
      </c>
      <c r="CC443" s="1" t="s">
        <v>367</v>
      </c>
      <c r="CD443" s="23" t="s">
        <v>647</v>
      </c>
      <c r="CE443" s="26" t="s">
        <v>1582</v>
      </c>
      <c r="CF443" s="23" t="str">
        <f aca="false">CONCATENATE(CD443,"_",CE443)</f>
        <v>lbr_Carriage</v>
      </c>
      <c r="CG443" s="23" t="str">
        <f aca="false">_xlfn.CONCAT(K443, "_",L443)</f>
        <v>carriage_RAIL</v>
      </c>
      <c r="CH443" s="7" t="str">
        <f aca="false">_xlfn.CONCAT("{BLACK}Length: {GOLD}", TEXT(ROUNDUP(IF(AS443&lt;&gt;"",SUM(VALUE(_xlfn.TEXTSPLIT(AS443, ","))), SUM(VALUE(_xlfn.TEXTSPLIT(AP443, ",")))*IF(P443, P443, 1))/16, 1), "#,##0.0"), " tiles{}")</f>
        <v>{BLACK}Length: {GOLD}0.8 tiles{}</v>
      </c>
      <c r="CI443" s="1" t="str">
        <f aca="false">IF(0, VLOOKUP($CG443, Constants!$M:$N, 2, FALSE()),"")</f>
        <v/>
      </c>
      <c r="CJ443" s="1" t="str">
        <f aca="false">IF(P443&gt;1,_xlfn.CONCAT("{BLACK}Cars: {GOLD}", P443),"")</f>
        <v/>
      </c>
      <c r="CK443" s="1" t="s">
        <v>1674</v>
      </c>
      <c r="CL443" s="1" t="str">
        <f aca="false">IF($BX443="concept_trains","{GREEN}Concept Vehicle",IF($BX443="!param_no_gameplay_units","{GREEN}Included for gameplay purposes",""))</f>
        <v/>
      </c>
      <c r="CM443" s="1" t="str">
        <f aca="false">IF(CA443="buffet","{YELLOW}25% long distance bonus for consist{}",IF(CB443="DANDY","{YELLOW}Faster downhill speeds for horse-drawn trains (1 required per 2 horses){}",IF(CB443="BRAKE","{YELLOW}Speed bonus for slow wagons{}",IF(CB443="NGPassengers","{YELLOW}Preserved railway bonus: passengers pay more when hauled by old locomotives{}",IF(AND(BZ443&gt;190,NOT(AND(L443="NARROW_GAUGE",CB443&lt;&gt;"PASS"))),CONCATENATE("{YELLOW}",INT((BZ443-185)/1.85),"% bonus for long distance travel{}"),IF(AND(BZ443&lt;180,BZ443&lt;&gt;0),CONCATENATE("{YELLOW}",INT((185-BZ443)/1.85),"% penalty for long distance travel{}"),""))))))</f>
        <v>{YELLOW}25% long distance bonus for consist{}</v>
      </c>
      <c r="CN443" s="1" t="str">
        <f aca="false">_xlfn.CONCAT(CI443,IF(CI443&lt;&gt;""," ",""),CJ443,IF(OR(CJ443&lt;&gt;"",CI443&lt;&gt;""),"{}",""),CH443,CM443,"{SILVER}",CK443,IF(CL443&lt;&gt;"","{}{}",""),CL443)</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44" customFormat="false" ht="14.25" hidden="false" customHeight="false" outlineLevel="0" collapsed="false">
      <c r="A444" s="1" t="s">
        <v>1675</v>
      </c>
      <c r="B444" s="25" t="s">
        <v>1676</v>
      </c>
      <c r="C444" s="1" t="n">
        <v>4013</v>
      </c>
      <c r="D444" s="1" t="n">
        <v>1012</v>
      </c>
      <c r="E444" s="1" t="n">
        <v>1026</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1" t="s">
        <v>241</v>
      </c>
      <c r="J444" s="1" t="s">
        <v>1580</v>
      </c>
      <c r="K444" s="1" t="s">
        <v>1581</v>
      </c>
      <c r="L444" s="1" t="s">
        <v>192</v>
      </c>
      <c r="M444" s="1" t="n">
        <v>1973</v>
      </c>
      <c r="Z444" s="1" t="n">
        <v>40</v>
      </c>
      <c r="AB444" s="1" t="n">
        <v>5</v>
      </c>
      <c r="AD444" s="4" t="str">
        <f aca="false">IF(AND(Z444&gt;0,AC444&gt;0),(AC444/((Z444+AA444)*10)),"")</f>
        <v/>
      </c>
      <c r="AE444" s="1" t="n">
        <v>110</v>
      </c>
      <c r="AF444" s="1" t="n">
        <f aca="false">ROUND(AE444*1.6, 0)</f>
        <v>176</v>
      </c>
      <c r="AH444" s="1" t="n">
        <v>19.66</v>
      </c>
      <c r="AI444" s="1" t="n">
        <v>19.66</v>
      </c>
      <c r="AL444" s="5" t="n">
        <v>63</v>
      </c>
      <c r="AM444" s="1" t="str">
        <f aca="false">CONCATENATE(VLOOKUP(AN444, 'Voxel Sizes'!$A$2:$B$18,2,FALSE()),"x",INT(AJ444*15), "x", INT(AK444*15))</f>
        <v>198x0x0</v>
      </c>
      <c r="AN444" s="16" t="n">
        <f aca="false">ROUND(15*((AI444*10)/256),0)</f>
        <v>12</v>
      </c>
      <c r="AP444" s="1" t="str">
        <f aca="false">CONCATENATE(VLOOKUP(AN444,Constants!$A$2:$C$16,IF(AO444&lt;&gt;"", 3, 2), FALSE()),IF(AO444&lt;&gt;"",CONCATENATE(",",VLOOKUP(AO444,$B:$AP,41,FALSE())),""))</f>
        <v>4,4,4</v>
      </c>
      <c r="AY444" s="1" t="s">
        <v>1677</v>
      </c>
      <c r="AZ444" s="1" t="n">
        <v>30</v>
      </c>
      <c r="BA444" s="16" t="str">
        <f aca="false">IF(O444&lt;&gt;"",MAX(16,(O444-M444)+8),"")</f>
        <v/>
      </c>
      <c r="BB444" s="1" t="n">
        <v>79</v>
      </c>
      <c r="BC444" s="1" t="n">
        <f aca="false">25*3</f>
        <v>75</v>
      </c>
      <c r="BD444" s="20" t="n">
        <f aca="false">MIN(AE444/150, 1)*30</f>
        <v>22</v>
      </c>
      <c r="BE444" s="20" t="n">
        <f aca="false">MIN(Q444/4000, 1)*20</f>
        <v>0</v>
      </c>
      <c r="BF444" s="20" t="n">
        <f aca="false">MIN(AC444/400,1)*20</f>
        <v>0</v>
      </c>
      <c r="BG444" s="21" t="n">
        <f aca="false">1-(MAX(M444-1900, 0)/750)</f>
        <v>0.902666666666667</v>
      </c>
      <c r="BH444" s="20" t="n">
        <f aca="false">((MAX($P444,1)*MIN($AL444/300,1)))*IF(J444="Wagon",50,10)</f>
        <v>10.5</v>
      </c>
      <c r="BI444" s="1" t="n">
        <f aca="false">VLOOKUP($K444,Constants!$I:$K, 2, FALSE())</f>
        <v>1.2</v>
      </c>
      <c r="BJ444" s="1" t="n">
        <f aca="false">VLOOKUP($K444,Constants!$I:$K, 3, FALSE())*IF(AND(J444="multiple_unit",AE444&lt;110),0.75,1)</f>
        <v>0.6</v>
      </c>
      <c r="BK444" s="1" t="n">
        <f aca="false">INT(POWER(((Constants!$G$2+$BD444+$BE444+$BF444+$BH444)*$BG444)*$BJ444, 1.05))+$BC444</f>
        <v>98</v>
      </c>
      <c r="BL444" s="1" t="n">
        <f aca="false">INT(POWER((((Constants!$G$1+$BD444+$BE444+$BF444+$BH444)*($BG444))*$BI444),IF($J444="wagon",1,1.2)))+$BB444</f>
        <v>130</v>
      </c>
      <c r="BM444" s="17" t="n">
        <f aca="false">BK444*IF($J444="wagon",62.5,781.25)</f>
        <v>6125</v>
      </c>
      <c r="BN444" s="22" t="n">
        <f aca="false">BL444*IF($J444="wagon",2.73,81.25)</f>
        <v>354.9</v>
      </c>
      <c r="BU444" s="1" t="str">
        <f aca="false">IF(J444="locomotive","B","")</f>
        <v/>
      </c>
      <c r="BV444" s="1" t="str">
        <f aca="false">IF(OR($J444="locomotive",$J444="wagon"),"B","")</f>
        <v>B</v>
      </c>
      <c r="BY444" s="1" t="n">
        <v>1</v>
      </c>
      <c r="CB444" s="1" t="s">
        <v>366</v>
      </c>
      <c r="CC444" s="1" t="s">
        <v>367</v>
      </c>
      <c r="CD444" s="23" t="s">
        <v>647</v>
      </c>
      <c r="CE444" s="26" t="s">
        <v>1582</v>
      </c>
      <c r="CF444" s="23" t="str">
        <f aca="false">CONCATENATE(CD444,"_",CE444)</f>
        <v>lbr_Carriage</v>
      </c>
      <c r="CG444" s="23" t="str">
        <f aca="false">_xlfn.CONCAT(K444, "_",L444)</f>
        <v>carriage_RAIL</v>
      </c>
      <c r="CH444" s="7" t="str">
        <f aca="false">_xlfn.CONCAT("{BLACK}Length: {GOLD}", TEXT(ROUNDUP(IF(AS444&lt;&gt;"",SUM(VALUE(_xlfn.TEXTSPLIT(AS444, ","))), SUM(VALUE(_xlfn.TEXTSPLIT(AP444, ",")))*IF(P444, P444, 1))/16, 1), "#,##0.0"), " tiles{}")</f>
        <v>{BLACK}Length: {GOLD}0.8 tiles{}</v>
      </c>
      <c r="CI444" s="1" t="str">
        <f aca="false">IF(0, VLOOKUP($CG444, Constants!$M:$N, 2, FALSE()),"")</f>
        <v/>
      </c>
      <c r="CJ444" s="1" t="str">
        <f aca="false">IF(P444&gt;1,_xlfn.CONCAT("{BLACK}Cars: {GOLD}", P444),"")</f>
        <v/>
      </c>
      <c r="CK444" s="1" t="s">
        <v>1678</v>
      </c>
      <c r="CL444" s="1" t="str">
        <f aca="false">IF($BX444="concept_trains","{GREEN}Concept Vehicle",IF($BX444="!param_no_gameplay_units","{GREEN}Included for gameplay purposes",""))</f>
        <v/>
      </c>
      <c r="CM444" s="1" t="str">
        <f aca="false">IF(CA444="buffet","{YELLOW}25% long distance bonus for consist{}",IF(CB444="DANDY","{YELLOW}Faster downhill speeds for horse-drawn trains (1 required per 2 horses){}",IF(CB444="BRAKE","{YELLOW}Speed bonus for slow wagons{}",IF(CB444="NGPassengers","{YELLOW}Preserved railway bonus: passengers pay more when hauled by old locomotives{}",IF(AND(BZ444&gt;190,NOT(AND(L444="NARROW_GAUGE",CB444&lt;&gt;"PASS"))),CONCATENATE("{YELLOW}",INT((BZ444-185)/1.85),"%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{GOLD}0.8 tiles{}{SILVER}Mark 2f BSO coached provided guard and luggage accomodation, and were often seen in formations otherwise containing Mk3a coaches.</v>
      </c>
    </row>
    <row r="445" customFormat="false" ht="14.25" hidden="false" customHeight="false" outlineLevel="0" collapsed="false">
      <c r="A445" s="1" t="s">
        <v>1679</v>
      </c>
      <c r="B445" s="19" t="s">
        <v>1680</v>
      </c>
      <c r="C445" s="1" t="n">
        <v>1015</v>
      </c>
      <c r="D445" s="1" t="n">
        <v>1012</v>
      </c>
      <c r="E445" s="1" t="n">
        <v>1029</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241</v>
      </c>
      <c r="J445" s="1" t="s">
        <v>1580</v>
      </c>
      <c r="K445" s="1" t="s">
        <v>1581</v>
      </c>
      <c r="L445" s="1" t="s">
        <v>192</v>
      </c>
      <c r="M445" s="1" t="n">
        <v>1973</v>
      </c>
      <c r="Z445" s="1" t="n">
        <v>40</v>
      </c>
      <c r="AB445" s="1" t="n">
        <v>5</v>
      </c>
      <c r="AD445" s="4" t="str">
        <f aca="false">IF(AND(Z445&gt;0,AC445&gt;0),(AC445/((Z445+AA445)*10)),"")</f>
        <v/>
      </c>
      <c r="AE445" s="1" t="n">
        <v>110</v>
      </c>
      <c r="AF445" s="1" t="n">
        <f aca="false">ROUND(AE445*1.6, 0)</f>
        <v>176</v>
      </c>
      <c r="AH445" s="1" t="n">
        <v>19.66</v>
      </c>
      <c r="AI445" s="1" t="n">
        <v>19.66</v>
      </c>
      <c r="AL445" s="5" t="n">
        <v>69</v>
      </c>
      <c r="AM445" s="1" t="str">
        <f aca="false">CONCATENATE(VLOOKUP(AN445, 'Voxel Sizes'!$A$2:$B$18,2,FALSE()),"x",INT(AJ445*15), "x", INT(AK445*15))</f>
        <v>198x0x0</v>
      </c>
      <c r="AN445" s="16" t="n">
        <f aca="false">ROUND(15*((AI445*10)/256),0)</f>
        <v>12</v>
      </c>
      <c r="AP445" s="1" t="str">
        <f aca="false">CONCATENATE(VLOOKUP(AN445,Constants!$A$2:$C$16,IF(AO445&lt;&gt;"", 3, 2), FALSE()),IF(AO445&lt;&gt;"",CONCATENATE(",",VLOOKUP(AO445,$B:$AP,41,FALSE())),""))</f>
        <v>4,4,4</v>
      </c>
      <c r="AZ445" s="1" t="n">
        <v>30</v>
      </c>
      <c r="BA445" s="16" t="str">
        <f aca="false">IF(O445&lt;&gt;"",MAX(16,(O445-M445)+8),"")</f>
        <v/>
      </c>
      <c r="BB445" s="1" t="n">
        <v>79</v>
      </c>
      <c r="BC445" s="1" t="n">
        <f aca="false">25*3</f>
        <v>75</v>
      </c>
      <c r="BD445" s="20" t="n">
        <f aca="false">MIN(AE445/150, 1)*30</f>
        <v>22</v>
      </c>
      <c r="BE445" s="20" t="n">
        <f aca="false">MIN(Q445/4000, 1)*20</f>
        <v>0</v>
      </c>
      <c r="BF445" s="20" t="n">
        <f aca="false">MIN(AC445/400,1)*20</f>
        <v>0</v>
      </c>
      <c r="BG445" s="21" t="n">
        <f aca="false">1-(MAX(M445-1900, 0)/750)</f>
        <v>0.902666666666667</v>
      </c>
      <c r="BH445" s="20" t="n">
        <f aca="false">((MAX($P445,1)*MIN($AL445/300,1)))*IF(J445="Wagon",50,10)</f>
        <v>11.5</v>
      </c>
      <c r="BI445" s="1" t="n">
        <f aca="false">VLOOKUP($K445,Constants!$I:$K, 2, FALSE())</f>
        <v>1.2</v>
      </c>
      <c r="BJ445" s="1" t="n">
        <f aca="false">VLOOKUP($K445,Constants!$I:$K, 3, FALSE())*IF(AND(J445="multiple_unit",AE445&lt;110),0.75,1)</f>
        <v>0.6</v>
      </c>
      <c r="BK445" s="1" t="n">
        <f aca="false">INT(POWER(((Constants!$G$2+$BD445+$BE445+$BF445+$BH445)*$BG445)*$BJ445, 1.05))+$BC445</f>
        <v>99</v>
      </c>
      <c r="BL445" s="1" t="n">
        <f aca="false">INT(POWER((((Constants!$G$1+$BD445+$BE445+$BF445+$BH445)*($BG445))*$BI445),IF($J445="wagon",1,1.2)))+$BB445</f>
        <v>131</v>
      </c>
      <c r="BM445" s="17" t="n">
        <f aca="false">BK445*IF($J445="wagon",62.5,781.25)</f>
        <v>6187.5</v>
      </c>
      <c r="BN445" s="22" t="n">
        <f aca="false">BL445*IF($J445="wagon",2.73,81.25)</f>
        <v>357.63</v>
      </c>
      <c r="BU445" s="1" t="str">
        <f aca="false">IF(J445="locomotive","B","")</f>
        <v/>
      </c>
      <c r="BV445" s="1" t="str">
        <f aca="false">IF(OR($J445="locomotive",$J445="wagon"),"B","")</f>
        <v>B</v>
      </c>
      <c r="BX445" s="1" t="s">
        <v>1681</v>
      </c>
      <c r="BY445" s="1" t="n">
        <v>1</v>
      </c>
      <c r="CB445" s="1" t="s">
        <v>705</v>
      </c>
      <c r="CC445" s="1" t="s">
        <v>706</v>
      </c>
      <c r="CD445" s="23" t="s">
        <v>647</v>
      </c>
      <c r="CE445" s="26" t="s">
        <v>1582</v>
      </c>
      <c r="CF445" s="23" t="str">
        <f aca="false">CONCATENATE(CD445,"_",CE445)</f>
        <v>lbr_Carriage</v>
      </c>
      <c r="CG445" s="23" t="str">
        <f aca="false">_xlfn.CONCAT(K445, "_",L445)</f>
        <v>carriage_RAIL</v>
      </c>
      <c r="CH445" s="7" t="str">
        <f aca="false">_xlfn.CONCAT("{BLACK}Length: {GOLD}", TEXT(ROUNDUP(IF(AS445&lt;&gt;"",SUM(VALUE(_xlfn.TEXTSPLIT(AS445, ","))), SUM(VALUE(_xlfn.TEXTSPLIT(AP445, ",")))*IF(P445, P445, 1))/16, 1), "#,##0.0"), " tiles{}")</f>
        <v>{BLACK}Length: {GOLD}0.8 tiles{}</v>
      </c>
      <c r="CI445" s="1" t="str">
        <f aca="false">IF(0, VLOOKUP($CG445, Constants!$M:$N, 2, FALSE()),"")</f>
        <v/>
      </c>
      <c r="CJ445" s="1" t="str">
        <f aca="false">IF(P445&gt;1,_xlfn.CONCAT("{BLACK}Cars: {GOLD}", P445),"")</f>
        <v/>
      </c>
      <c r="CK445" s="1" t="s">
        <v>1682</v>
      </c>
      <c r="CL445" s="1" t="str">
        <f aca="false">IF($BX445="concept_trains","{GREEN}Concept Vehicle",IF($BX445="!param_no_gameplay_units","{GREEN}Included for gameplay purposes",""))</f>
        <v>{GREEN}Included for gameplay purposes</v>
      </c>
      <c r="CM445" s="1" t="str">
        <f aca="false">IF(CA445="buffet","{YELLOW}25% long distance bonus for consist{}",IF(CB445="DANDY","{YELLOW}Faster downhill speeds for horse-drawn trains (1 required per 2 horses){}",IF(CB445="BRAKE","{YELLOW}Speed bonus for slow wagons{}",IF(CB445="NGPassengers","{YELLOW}Preserved railway bonus: passengers pay more when hauled by old locomotives{}",IF(AND(BZ445&gt;190,NOT(AND(L445="NARROW_GAUGE",CB445&lt;&gt;"PASS"))),CONCATENATE("{YELLOW}",INT((BZ445-185)/1.85),"%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{GOLD}0.8 tiles{}{SILVER}By the 1970s BR had ceased to build carriages with the intention of adding parcel vans to passenger services, but that hasn't stopped railfans and modellers wondering what could have been.{}{}{GREEN}Included for gameplay purposes</v>
      </c>
    </row>
    <row r="446" customFormat="false" ht="14.25" hidden="false" customHeight="false" outlineLevel="0" collapsed="false">
      <c r="A446" s="1" t="s">
        <v>1683</v>
      </c>
      <c r="B446" s="15" t="s">
        <v>1684</v>
      </c>
      <c r="C446" s="1" t="n">
        <v>29</v>
      </c>
      <c r="E446" s="1" t="n">
        <v>1030</v>
      </c>
      <c r="F446" s="1" t="s">
        <v>186</v>
      </c>
      <c r="G446" s="1" t="str">
        <f aca="false">IF($F446&lt;&gt;"",_xlfn.CONCAT(VLOOKUP($CE446, Constants!$T:$U, 2, FALSE()),",",$F446),VLOOKUP($CE446, Constants!$T:$U, 2, FALSE()))</f>
        <v>role/passenger,_ww_livery/intercity</v>
      </c>
      <c r="H446" s="1" t="str">
        <f aca="false">IF($G446&lt;&gt;"",_xlfn.CONCAT(VLOOKUP($CG446, Constants!$M:$P, 4, FALSE()),",",$G446),VLOOKUP($CG446, Constants!$M:$P, 4, FALSE()))</f>
        <v>flag/GB,role/passenger,_ww_livery/intercity</v>
      </c>
      <c r="I446" s="1" t="s">
        <v>241</v>
      </c>
      <c r="J446" s="1" t="s">
        <v>1580</v>
      </c>
      <c r="K446" s="1" t="s">
        <v>1581</v>
      </c>
      <c r="L446" s="1" t="s">
        <v>192</v>
      </c>
      <c r="M446" s="1" t="n">
        <v>1975</v>
      </c>
      <c r="Z446" s="1" t="n">
        <v>34</v>
      </c>
      <c r="AB446" s="1" t="n">
        <v>5</v>
      </c>
      <c r="AD446" s="4" t="str">
        <f aca="false">IF(AND(Z446&gt;0,AC446&gt;0),(AC446/((Z446+AA446)*10)),"")</f>
        <v/>
      </c>
      <c r="AE446" s="1" t="n">
        <v>125</v>
      </c>
      <c r="AF446" s="1" t="n">
        <f aca="false">ROUND(AE446*1.6, 0)</f>
        <v>200</v>
      </c>
      <c r="AH446" s="1" t="n">
        <v>23</v>
      </c>
      <c r="AI446" s="1" t="n">
        <v>23</v>
      </c>
      <c r="AJ446" s="1" t="n">
        <v>2.82</v>
      </c>
      <c r="AK446" s="1" t="n">
        <v>3.79</v>
      </c>
      <c r="AL446" s="5" t="n">
        <v>72</v>
      </c>
      <c r="AM446" s="1" t="str">
        <f aca="false">CONCATENATE(VLOOKUP(AN446, 'Voxel Sizes'!$A$2:$B$18,2,FALSE()),"x",INT(AJ446*15), "x", INT(AK446*15))</f>
        <v>214x42x56</v>
      </c>
      <c r="AN446" s="1" t="n">
        <f aca="false">ROUND(15*((AI446*10)/256),0)</f>
        <v>13</v>
      </c>
      <c r="AP446" s="1" t="str">
        <f aca="false">CONCATENATE(VLOOKUP(AN446,Constants!$A$2:$C$16,IF(AO446&lt;&gt;"", 3, 2), FALSE()),IF(AO446&lt;&gt;"",CONCATENATE(",",VLOOKUP(AO446,$B:$AP,41,FALSE())),""))</f>
        <v>4,5,4</v>
      </c>
      <c r="AZ446" s="1" t="n">
        <v>30</v>
      </c>
      <c r="BA446" s="16" t="str">
        <f aca="false">IF(O446&lt;&gt;"",MAX(16,(O446-M446)+8),"")</f>
        <v/>
      </c>
      <c r="BB446" s="1" t="n">
        <v>86</v>
      </c>
      <c r="BC446" s="1" t="n">
        <f aca="false">29*3</f>
        <v>87</v>
      </c>
      <c r="BD446" s="1" t="n">
        <f aca="false">MIN(AE446/150, 1)*30</f>
        <v>25</v>
      </c>
      <c r="BE446" s="1" t="n">
        <f aca="false">MIN(Q446/4000, 1)*20</f>
        <v>0</v>
      </c>
      <c r="BF446" s="1" t="n">
        <f aca="false">MIN(AC446/400,1)*20</f>
        <v>0</v>
      </c>
      <c r="BG446" s="4" t="n">
        <f aca="false">1-(MAX(M446-1900, 0)/750)</f>
        <v>0.9</v>
      </c>
      <c r="BH446" s="1" t="n">
        <f aca="false">((MAX($P446,1)*MIN($AL446/300,1)))*IF(J446="Wagon",50,10)</f>
        <v>12</v>
      </c>
      <c r="BI446" s="1" t="n">
        <f aca="false">VLOOKUP($K446,Constants!$I:$K, 2, FALSE())</f>
        <v>1.2</v>
      </c>
      <c r="BJ446" s="1" t="n">
        <f aca="false">VLOOKUP($K446,Constants!$I:$K, 3, FALSE())*IF(AND(J446="multiple_unit",AE446&lt;110),0.75,1)</f>
        <v>0.6</v>
      </c>
      <c r="BK446" s="1" t="n">
        <f aca="false">INT(POWER(((Constants!$G$2+$BD446+$BE446+$BF446+$BH446)*$BG446)*$BJ446, 1.05))+$BC446</f>
        <v>113</v>
      </c>
      <c r="BL446" s="1" t="n">
        <f aca="false">INT(POWER((((Constants!$G$1+$BD446+$BE446+$BF446+$BH446)*($BG446))*$BI446),IF($J446="wagon",1,1.2)))+$BB446</f>
        <v>142</v>
      </c>
      <c r="BM446" s="17" t="n">
        <f aca="false">BK446*IF($J446="wagon",62.5,781.25)</f>
        <v>7062.5</v>
      </c>
      <c r="BN446" s="17" t="n">
        <f aca="false">BL446*IF($J446="wagon",2.73,81.25)</f>
        <v>387.66</v>
      </c>
      <c r="BU446" s="1" t="str">
        <f aca="false">IF(J446="locomotive","B","")</f>
        <v/>
      </c>
      <c r="BV446" s="1" t="str">
        <f aca="false">IF(OR($J446="locomotive",$J446="wagon"),"B","")</f>
        <v>B</v>
      </c>
      <c r="BY446" s="1" t="n">
        <v>2</v>
      </c>
      <c r="BZ446" s="1" t="n">
        <v>205</v>
      </c>
      <c r="CB446" s="1" t="s">
        <v>366</v>
      </c>
      <c r="CC446" s="1" t="s">
        <v>367</v>
      </c>
      <c r="CD446" s="1" t="str">
        <f aca="false">VLOOKUP(M446,Eras!$A$2:$C$10, 2, TRUE())</f>
        <v>lbr</v>
      </c>
      <c r="CE446" s="1" t="s">
        <v>1582</v>
      </c>
      <c r="CF446" s="1" t="str">
        <f aca="false">CONCATENATE(CD446,"_",CE446)</f>
        <v>lbr_Carriage</v>
      </c>
      <c r="CG446" s="1" t="str">
        <f aca="false">_xlfn.CONCAT(K446, "_",L446)</f>
        <v>carriage_RAIL</v>
      </c>
      <c r="CH446" s="7" t="str">
        <f aca="false">_xlfn.CONCAT("{BLACK}Length: {GOLD}", TEXT(ROUNDUP(IF(AS446&lt;&gt;"",SUM(VALUE(_xlfn.TEXTSPLIT(AS446, ","))), SUM(VALUE(_xlfn.TEXTSPLIT(AP446, ",")))*IF(P446, P446, 1))/16, 1), "#,##0.0"), " tiles{}")</f>
        <v>{BLACK}Length: {GOLD}0.9 tiles{}</v>
      </c>
      <c r="CI446" s="1" t="str">
        <f aca="false">IF(0, VLOOKUP($CG446, Constants!$M:$N, 2, FALSE()),"")</f>
        <v/>
      </c>
      <c r="CJ446" s="1" t="str">
        <f aca="false">IF(P446&gt;1,_xlfn.CONCAT("{BLACK}Cars: {GOLD}", P446),"")</f>
        <v/>
      </c>
      <c r="CK446" s="1" t="s">
        <v>1685</v>
      </c>
      <c r="CL446" s="1" t="str">
        <f aca="false">IF($BX446="concept_trains","{GREEN}Concept Vehicle",IF($BX446="!param_no_gameplay_units","{GREEN}Included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{YELLOW}10% bonus for long distance travel{}</v>
      </c>
      <c r="CN446" s="1" t="str">
        <f aca="false">_xlfn.CONCAT(CI446,IF(CI446&lt;&gt;""," ",""),CJ446,IF(OR(CJ446&lt;&gt;"",CI446&lt;&gt;""),"{}",""),CH446,CM446,"{SILVER}",CK446,IF(CL446&lt;&gt;"","{}{}",""),CL446)</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47" customFormat="false" ht="14.25" hidden="false" customHeight="false" outlineLevel="0" collapsed="false">
      <c r="A447" s="1" t="s">
        <v>1686</v>
      </c>
      <c r="B447" s="15" t="s">
        <v>1687</v>
      </c>
      <c r="C447" s="1" t="n">
        <v>30</v>
      </c>
      <c r="D447" s="1" t="n">
        <v>29</v>
      </c>
      <c r="E447" s="1" t="n">
        <v>1031</v>
      </c>
      <c r="F447" s="1" t="s">
        <v>186</v>
      </c>
      <c r="G447" s="1" t="str">
        <f aca="false">IF($F447&lt;&gt;"",_xlfn.CONCAT(VLOOKUP($CE447, Constants!$T:$U, 2, FALSE()),",",$F447),VLOOKUP($CE447, Constants!$T:$U, 2, FALSE()))</f>
        <v>role/passenger,_ww_livery/intercity</v>
      </c>
      <c r="H447" s="1" t="str">
        <f aca="false">IF($G447&lt;&gt;"",_xlfn.CONCAT(VLOOKUP($CG447, Constants!$M:$P, 4, FALSE()),",",$G447),VLOOKUP($CG447, Constants!$M:$P, 4, FALSE()))</f>
        <v>flag/GB,role/passenger,_ww_livery/intercity</v>
      </c>
      <c r="I447" s="1" t="s">
        <v>241</v>
      </c>
      <c r="J447" s="1" t="s">
        <v>1580</v>
      </c>
      <c r="K447" s="1" t="s">
        <v>1581</v>
      </c>
      <c r="L447" s="1" t="s">
        <v>192</v>
      </c>
      <c r="M447" s="1" t="n">
        <v>1975</v>
      </c>
      <c r="Z447" s="1" t="n">
        <v>34</v>
      </c>
      <c r="AB447" s="1" t="n">
        <v>4</v>
      </c>
      <c r="AD447" s="4" t="str">
        <f aca="false">IF(AND(Z447&gt;0,AC447&gt;0),(AC447/((Z447+AA447)*10)),"")</f>
        <v/>
      </c>
      <c r="AE447" s="1" t="n">
        <v>125</v>
      </c>
      <c r="AF447" s="1" t="n">
        <f aca="false">ROUND(AE447*1.6, 0)</f>
        <v>200</v>
      </c>
      <c r="AH447" s="1" t="n">
        <v>23</v>
      </c>
      <c r="AI447" s="1" t="n">
        <v>23</v>
      </c>
      <c r="AJ447" s="1" t="n">
        <v>2.82</v>
      </c>
      <c r="AK447" s="1" t="n">
        <v>3.79</v>
      </c>
      <c r="AL447" s="5" t="n">
        <v>48</v>
      </c>
      <c r="AM447" s="1" t="str">
        <f aca="false">CONCATENATE(VLOOKUP(AN447, 'Voxel Sizes'!$A$2:$B$18,2,FALSE()),"x",INT(AJ447*15), "x", INT(AK447*15))</f>
        <v>214x42x56</v>
      </c>
      <c r="AN447" s="1" t="n">
        <f aca="false">ROUND(15*((AI447*10)/256),0)</f>
        <v>13</v>
      </c>
      <c r="AP447" s="1" t="str">
        <f aca="false">CONCATENATE(VLOOKUP(AN447,Constants!$A$2:$C$16,IF(AO447&lt;&gt;"", 3, 2), FALSE()),IF(AO447&lt;&gt;"",CONCATENATE(",",VLOOKUP(AO447,$B:$AP,41,FALSE())),""))</f>
        <v>4,5,4</v>
      </c>
      <c r="AZ447" s="1" t="n">
        <v>30</v>
      </c>
      <c r="BA447" s="16" t="str">
        <f aca="false">IF(O447&lt;&gt;"",MAX(16,(O447-M447)+8),"")</f>
        <v/>
      </c>
      <c r="BB447" s="1" t="n">
        <v>136</v>
      </c>
      <c r="BC447" s="1" t="n">
        <v>117</v>
      </c>
      <c r="BD447" s="1" t="n">
        <f aca="false">MIN(AE447/150, 1)*30</f>
        <v>25</v>
      </c>
      <c r="BE447" s="1" t="n">
        <f aca="false">MIN(Q447/4000, 1)*20</f>
        <v>0</v>
      </c>
      <c r="BF447" s="1" t="n">
        <f aca="false">MIN(AC447/400,1)*20</f>
        <v>0</v>
      </c>
      <c r="BG447" s="4" t="n">
        <f aca="false">1-(MAX(M447-1900, 0)/750)</f>
        <v>0.9</v>
      </c>
      <c r="BH447" s="1" t="n">
        <f aca="false">((MAX($P447,1)*MIN($AL447/300,1)))*IF(J447="Wagon",50,10)</f>
        <v>8</v>
      </c>
      <c r="BI447" s="1" t="n">
        <f aca="false">VLOOKUP($K447,Constants!$I:$K, 2, FALSE())</f>
        <v>1.2</v>
      </c>
      <c r="BJ447" s="1" t="n">
        <f aca="false">VLOOKUP($K447,Constants!$I:$K, 3, FALSE())*IF(AND(J447="multiple_unit",AE447&lt;110),0.75,1)</f>
        <v>0.6</v>
      </c>
      <c r="BK447" s="1" t="n">
        <f aca="false">INT(POWER(((Constants!$G$2+$BD447+$BE447+$BF447+$BH447)*$BG447)*$BJ447, 1.05))+$BC447</f>
        <v>140</v>
      </c>
      <c r="BL447" s="1" t="n">
        <f aca="false">INT(POWER((((Constants!$G$1+$BD447+$BE447+$BF447+$BH447)*($BG447))*$BI447),IF($J447="wagon",1,1.2)))+$BB447</f>
        <v>187</v>
      </c>
      <c r="BM447" s="17" t="n">
        <f aca="false">BK447*IF($J447="wagon",62.5,781.25)</f>
        <v>8750</v>
      </c>
      <c r="BN447" s="17" t="n">
        <f aca="false">BL447*IF($J447="wagon",2.73,81.25)</f>
        <v>510.51</v>
      </c>
      <c r="BU447" s="1" t="str">
        <f aca="false">IF(J447="locomotive","B","")</f>
        <v/>
      </c>
      <c r="BV447" s="1" t="str">
        <f aca="false">IF(OR($J447="locomotive",$J447="wagon"),"B","")</f>
        <v>B</v>
      </c>
      <c r="BY447" s="1" t="n">
        <v>2</v>
      </c>
      <c r="BZ447" s="1" t="n">
        <v>242</v>
      </c>
      <c r="CB447" s="1" t="s">
        <v>366</v>
      </c>
      <c r="CC447" s="1" t="s">
        <v>367</v>
      </c>
      <c r="CD447" s="1" t="str">
        <f aca="false">VLOOKUP(M447,Eras!$A$2:$C$10, 2, TRUE())</f>
        <v>lbr</v>
      </c>
      <c r="CE447" s="1" t="s">
        <v>1582</v>
      </c>
      <c r="CF447" s="1" t="str">
        <f aca="false">CONCATENATE(CD447,"_",CE447)</f>
        <v>lbr_Carriage</v>
      </c>
      <c r="CG447" s="1" t="str">
        <f aca="false">_xlfn.CONCAT(K447, "_",L447)</f>
        <v>carriage_RAIL</v>
      </c>
      <c r="CH447" s="7" t="str">
        <f aca="false">_xlfn.CONCAT("{BLACK}Length: {GOLD}", TEXT(ROUNDUP(IF(AS447&lt;&gt;"",SUM(VALUE(_xlfn.TEXTSPLIT(AS447, ","))), SUM(VALUE(_xlfn.TEXTSPLIT(AP447, ",")))*IF(P447, P447, 1))/16, 1), "#,##0.0"), " tiles{}")</f>
        <v>{BLACK}Length: {GOLD}0.9 tiles{}</v>
      </c>
      <c r="CI447" s="1" t="str">
        <f aca="false">IF(0, VLOOKUP($CG447, Constants!$M:$N, 2, FALSE()),"")</f>
        <v/>
      </c>
      <c r="CJ447" s="1" t="str">
        <f aca="false">IF(P447&gt;1,_xlfn.CONCAT("{BLACK}Cars: {GOLD}", P447),"")</f>
        <v/>
      </c>
      <c r="CK447" s="1" t="s">
        <v>1688</v>
      </c>
      <c r="CL447" s="1" t="str">
        <f aca="false">IF($BX447="concept_trains","{GREEN}Concept Vehicle",IF($BX447="!param_no_gameplay_units","{GREEN}Included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{YELLOW}30% bonus for long distance travel{}</v>
      </c>
      <c r="CN447" s="1" t="str">
        <f aca="false">_xlfn.CONCAT(CI447,IF(CI447&lt;&gt;""," ",""),CJ447,IF(OR(CJ447&lt;&gt;"",CI447&lt;&gt;""),"{}",""),CH447,CM447,"{SILVER}",CK447,IF(CL447&lt;&gt;"","{}{}",""),CL447)</f>
        <v>{BLACK}Length: {GOLD}0.9 tiles{}{YELLOW}30% bonus for long distance travel{}{SILVER}Mk3 carriages followed the by now standard practice of first class vehicles featuring an open saloon with lower seating density than standard class.</v>
      </c>
    </row>
    <row r="448" customFormat="false" ht="14.25" hidden="false" customHeight="false" outlineLevel="0" collapsed="false">
      <c r="A448" s="1" t="s">
        <v>1689</v>
      </c>
      <c r="B448" s="15" t="s">
        <v>1690</v>
      </c>
      <c r="C448" s="1" t="n">
        <v>31</v>
      </c>
      <c r="D448" s="1" t="n">
        <v>29</v>
      </c>
      <c r="E448" s="1" t="n">
        <v>1032</v>
      </c>
      <c r="F448" s="1" t="s">
        <v>186</v>
      </c>
      <c r="G448" s="1" t="str">
        <f aca="false">IF($F448&lt;&gt;"",_xlfn.CONCAT(VLOOKUP($CE448, Constants!$T:$U, 2, FALSE()),",",$F448),VLOOKUP($CE448, Constants!$T:$U, 2, FALSE()))</f>
        <v>role/passenger,_ww_livery/intercity</v>
      </c>
      <c r="H448" s="1" t="str">
        <f aca="false">IF($G448&lt;&gt;"",_xlfn.CONCAT(VLOOKUP($CG448, Constants!$M:$P, 4, FALSE()),",",$G448),VLOOKUP($CG448, Constants!$M:$P, 4, FALSE()))</f>
        <v>flag/GB,role/passenger,_ww_livery/intercity</v>
      </c>
      <c r="I448" s="1" t="s">
        <v>241</v>
      </c>
      <c r="J448" s="1" t="s">
        <v>1580</v>
      </c>
      <c r="K448" s="1" t="s">
        <v>1581</v>
      </c>
      <c r="L448" s="1" t="s">
        <v>192</v>
      </c>
      <c r="M448" s="1" t="n">
        <v>1980</v>
      </c>
      <c r="Z448" s="1" t="n">
        <v>38</v>
      </c>
      <c r="AB448" s="1" t="n">
        <v>4</v>
      </c>
      <c r="AD448" s="4" t="str">
        <f aca="false">IF(AND(Z448&gt;0,AC448&gt;0),(AC448/((Z448+AA448)*10)),"")</f>
        <v/>
      </c>
      <c r="AE448" s="1" t="n">
        <v>125</v>
      </c>
      <c r="AF448" s="1" t="n">
        <f aca="false">ROUND(AE448*1.6, 0)</f>
        <v>200</v>
      </c>
      <c r="AH448" s="1" t="n">
        <v>23</v>
      </c>
      <c r="AI448" s="1" t="n">
        <v>23</v>
      </c>
      <c r="AJ448" s="1" t="n">
        <v>2.82</v>
      </c>
      <c r="AK448" s="1" t="n">
        <v>3.79</v>
      </c>
      <c r="AL448" s="5" t="n">
        <v>24</v>
      </c>
      <c r="AM448" s="1" t="str">
        <f aca="false">CONCATENATE(VLOOKUP(AN448, 'Voxel Sizes'!$A$2:$B$18,2,FALSE()),"x",INT(AJ448*15), "x", INT(AK448*15))</f>
        <v>214x42x56</v>
      </c>
      <c r="AN448" s="1" t="n">
        <f aca="false">ROUND(15*((AI448*10)/256),0)</f>
        <v>13</v>
      </c>
      <c r="AP448" s="1" t="str">
        <f aca="false">CONCATENATE(VLOOKUP(AN448,Constants!$A$2:$C$16,IF(AO448&lt;&gt;"", 3, 2), FALSE()),IF(AO448&lt;&gt;"",CONCATENATE(",",VLOOKUP(AO448,$B:$AP,41,FALSE())),""))</f>
        <v>4,5,4</v>
      </c>
      <c r="AZ448" s="1" t="n">
        <v>30</v>
      </c>
      <c r="BA448" s="16" t="str">
        <f aca="false">IF(O448&lt;&gt;"",MAX(16,(O448-M448)+8),"")</f>
        <v/>
      </c>
      <c r="BB448" s="1" t="n">
        <v>1150</v>
      </c>
      <c r="BC448" s="1" t="n">
        <v>160</v>
      </c>
      <c r="BD448" s="1" t="n">
        <f aca="false">MIN(AE448/150, 1)*30</f>
        <v>25</v>
      </c>
      <c r="BE448" s="1" t="n">
        <f aca="false">MIN(Q448/4000, 1)*20</f>
        <v>0</v>
      </c>
      <c r="BF448" s="1" t="n">
        <f aca="false">MIN(AC448/400,1)*20</f>
        <v>0</v>
      </c>
      <c r="BG448" s="4" t="n">
        <f aca="false">1-(MAX(M448-1900, 0)/750)</f>
        <v>0.893333333333333</v>
      </c>
      <c r="BH448" s="1" t="n">
        <f aca="false">((MAX($P448,1)*MIN($AL448/300,1)))*IF(J448="Wagon",50,10)</f>
        <v>4</v>
      </c>
      <c r="BI448" s="1" t="n">
        <f aca="false">VLOOKUP($K448,Constants!$I:$K, 2, FALSE())</f>
        <v>1.2</v>
      </c>
      <c r="BJ448" s="1" t="n">
        <f aca="false">VLOOKUP($K448,Constants!$I:$K, 3, FALSE())*IF(AND(J448="multiple_unit",AE448&lt;110),0.75,1)</f>
        <v>0.6</v>
      </c>
      <c r="BK448" s="1" t="n">
        <f aca="false">INT(POWER(((Constants!$G$2+$BD448+$BE448+$BF448+$BH448)*$BG448)*$BJ448, 1.05))+$BC448</f>
        <v>181</v>
      </c>
      <c r="BL448" s="1" t="n">
        <f aca="false">INT(POWER((((Constants!$G$1+$BD448+$BE448+$BF448+$BH448)*($BG448))*$BI448),IF($J448="wagon",1,1.2)))+$BB448</f>
        <v>1197</v>
      </c>
      <c r="BM448" s="17" t="n">
        <f aca="false">BK448*IF($J448="wagon",62.5,781.25)</f>
        <v>11312.5</v>
      </c>
      <c r="BN448" s="17" t="n">
        <f aca="false">BL448*IF($J448="wagon",2.73,81.25)</f>
        <v>3267.81</v>
      </c>
      <c r="BU448" s="1" t="str">
        <f aca="false">IF(J448="locomotive","B","")</f>
        <v/>
      </c>
      <c r="BV448" s="1" t="str">
        <f aca="false">IF(OR($J448="locomotive",$J448="wagon"),"B","")</f>
        <v>B</v>
      </c>
      <c r="BY448" s="1" t="n">
        <v>6</v>
      </c>
      <c r="BZ448" s="1" t="n">
        <v>205</v>
      </c>
      <c r="CA448" s="1" t="s">
        <v>973</v>
      </c>
      <c r="CB448" s="1" t="s">
        <v>366</v>
      </c>
      <c r="CC448" s="1" t="s">
        <v>367</v>
      </c>
      <c r="CD448" s="1" t="str">
        <f aca="false">VLOOKUP(M448,Eras!$A$2:$C$10, 2, TRUE())</f>
        <v>lbr</v>
      </c>
      <c r="CE448" s="1" t="s">
        <v>1582</v>
      </c>
      <c r="CF448" s="1" t="str">
        <f aca="false">CONCATENATE(CD448,"_",CE448)</f>
        <v>lbr_Carriage</v>
      </c>
      <c r="CG448" s="1" t="str">
        <f aca="false">_xlfn.CONCAT(K448, "_",L448)</f>
        <v>carriage_RAIL</v>
      </c>
      <c r="CH448" s="7" t="str">
        <f aca="false">_xlfn.CONCAT("{BLACK}Length: {GOLD}", TEXT(ROUNDUP(IF(AS448&lt;&gt;"",SUM(VALUE(_xlfn.TEXTSPLIT(AS448, ","))), SUM(VALUE(_xlfn.TEXTSPLIT(AP448, ",")))*IF(P448, P448, 1))/16, 1), "#,##0.0"), " tiles{}")</f>
        <v>{BLACK}Length: {GOLD}0.9 tiles{}</v>
      </c>
      <c r="CI448" s="1" t="str">
        <f aca="false">IF(0, VLOOKUP($CG448, Constants!$M:$N, 2, FALSE()),"")</f>
        <v/>
      </c>
      <c r="CJ448" s="1" t="str">
        <f aca="false">IF(P448&gt;1,_xlfn.CONCAT("{BLACK}Cars: {GOLD}", P448),"")</f>
        <v/>
      </c>
      <c r="CK448" s="1" t="s">
        <v>1691</v>
      </c>
      <c r="CL448" s="1" t="str">
        <f aca="false">IF($BX448="concept_trains","{GREEN}Concept Vehicle",IF($BX448="!param_no_gameplay_units","{GREEN}Included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{YELLOW}25% long distance bonus for consist{}</v>
      </c>
      <c r="CN448" s="1" t="str">
        <f aca="false">_xlfn.CONCAT(CI448,IF(CI448&lt;&gt;""," ",""),CJ448,IF(OR(CJ448&lt;&gt;"",CI448&lt;&gt;""),"{}",""),CH448,CM448,"{SILVER}",CK448,IF(CL448&lt;&gt;"","{}{}",""),CL448)</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49" customFormat="false" ht="14.25" hidden="false" customHeight="false" outlineLevel="0" collapsed="false">
      <c r="A449" s="1" t="s">
        <v>1692</v>
      </c>
      <c r="B449" s="15" t="s">
        <v>1693</v>
      </c>
      <c r="C449" s="1" t="n">
        <v>32</v>
      </c>
      <c r="D449" s="1" t="n">
        <v>29</v>
      </c>
      <c r="E449" s="1" t="n">
        <v>1033</v>
      </c>
      <c r="F449" s="1" t="s">
        <v>186</v>
      </c>
      <c r="G449" s="1" t="str">
        <f aca="false">IF($F449&lt;&gt;"",_xlfn.CONCAT(VLOOKUP($CE449, Constants!$T:$U, 2, FALSE()),",",$F449),VLOOKUP($CE449, Constants!$T:$U, 2, FALSE()))</f>
        <v>role/passenger,_ww_livery/intercity</v>
      </c>
      <c r="H449" s="1" t="str">
        <f aca="false">IF($G449&lt;&gt;"",_xlfn.CONCAT(VLOOKUP($CG449, Constants!$M:$P, 4, FALSE()),",",$G449),VLOOKUP($CG449, Constants!$M:$P, 4, FALSE()))</f>
        <v>flag/GB,role/passenger,_ww_livery/intercity</v>
      </c>
      <c r="I449" s="1" t="s">
        <v>241</v>
      </c>
      <c r="J449" s="1" t="s">
        <v>1580</v>
      </c>
      <c r="K449" s="1" t="s">
        <v>1581</v>
      </c>
      <c r="L449" s="1" t="s">
        <v>192</v>
      </c>
      <c r="M449" s="1" t="n">
        <v>1987</v>
      </c>
      <c r="Z449" s="1" t="n">
        <v>38</v>
      </c>
      <c r="AB449" s="1" t="n">
        <v>4</v>
      </c>
      <c r="AD449" s="4" t="str">
        <f aca="false">IF(AND(Z449&gt;0,AC449&gt;0),(AC449/((Z449+AA449)*10)),"")</f>
        <v/>
      </c>
      <c r="AE449" s="1" t="n">
        <v>125</v>
      </c>
      <c r="AF449" s="1" t="n">
        <f aca="false">ROUND(AE449*1.6, 0)</f>
        <v>200</v>
      </c>
      <c r="AH449" s="1" t="n">
        <v>23</v>
      </c>
      <c r="AI449" s="1" t="n">
        <v>23</v>
      </c>
      <c r="AJ449" s="1" t="n">
        <v>2.82</v>
      </c>
      <c r="AK449" s="1" t="n">
        <v>3.79</v>
      </c>
      <c r="AL449" s="5" t="n">
        <v>30</v>
      </c>
      <c r="AM449" s="1" t="str">
        <f aca="false">CONCATENATE(VLOOKUP(AN449, 'Voxel Sizes'!$A$2:$B$18,2,FALSE()),"x",INT(AJ449*15), "x", INT(AK449*15))</f>
        <v>214x42x56</v>
      </c>
      <c r="AN449" s="1" t="n">
        <f aca="false">ROUND(15*((AI449*10)/256),0)</f>
        <v>13</v>
      </c>
      <c r="AP449" s="1" t="str">
        <f aca="false">CONCATENATE(VLOOKUP(AN449,Constants!$A$2:$C$16,IF(AO449&lt;&gt;"", 3, 2), FALSE()),IF(AO449&lt;&gt;"",CONCATENATE(",",VLOOKUP(AO449,$B:$AP,41,FALSE())),""))</f>
        <v>4,5,4</v>
      </c>
      <c r="AZ449" s="1" t="n">
        <v>30</v>
      </c>
      <c r="BA449" s="16" t="str">
        <f aca="false">IF(O449&lt;&gt;"",MAX(16,(O449-M449)+8),"")</f>
        <v/>
      </c>
      <c r="BB449" s="1" t="n">
        <v>1200</v>
      </c>
      <c r="BC449" s="1" t="n">
        <v>170</v>
      </c>
      <c r="BD449" s="1" t="n">
        <f aca="false">MIN(AE449/150, 1)*30</f>
        <v>25</v>
      </c>
      <c r="BE449" s="1" t="n">
        <f aca="false">MIN(Q449/4000, 1)*20</f>
        <v>0</v>
      </c>
      <c r="BF449" s="1" t="n">
        <f aca="false">MIN(AC449/400,1)*20</f>
        <v>0</v>
      </c>
      <c r="BG449" s="4" t="n">
        <f aca="false">1-(MAX(M449-1900, 0)/750)</f>
        <v>0.884</v>
      </c>
      <c r="BH449" s="1" t="n">
        <f aca="false">((MAX($P449,1)*MIN($AL449/300,1)))*IF(J449="Wagon",50,10)</f>
        <v>5</v>
      </c>
      <c r="BI449" s="1" t="n">
        <f aca="false">VLOOKUP($K449,Constants!$I:$K, 2, FALSE())</f>
        <v>1.2</v>
      </c>
      <c r="BJ449" s="1" t="n">
        <f aca="false">VLOOKUP($K449,Constants!$I:$K, 3, FALSE())*IF(AND(J449="multiple_unit",AE449&lt;110),0.75,1)</f>
        <v>0.6</v>
      </c>
      <c r="BK449" s="1" t="n">
        <f aca="false">INT(POWER(((Constants!$G$2+$BD449+$BE449+$BF449+$BH449)*$BG449)*$BJ449, 1.05))+$BC449</f>
        <v>191</v>
      </c>
      <c r="BL449" s="1" t="n">
        <f aca="false">INT(POWER((((Constants!$G$1+$BD449+$BE449+$BF449+$BH449)*($BG449))*$BI449),IF($J449="wagon",1,1.2)))+$BB449</f>
        <v>1247</v>
      </c>
      <c r="BM449" s="17" t="n">
        <f aca="false">BK449*IF($J449="wagon",62.5,781.25)</f>
        <v>11937.5</v>
      </c>
      <c r="BN449" s="17" t="n">
        <f aca="false">BL449*IF($J449="wagon",2.73,81.25)</f>
        <v>3404.31</v>
      </c>
      <c r="BU449" s="1" t="str">
        <f aca="false">IF(J449="locomotive","B","")</f>
        <v/>
      </c>
      <c r="BV449" s="1" t="str">
        <f aca="false">IF(OR($J449="locomotive",$J449="wagon"),"B","")</f>
        <v>B</v>
      </c>
      <c r="BY449" s="1" t="n">
        <v>6</v>
      </c>
      <c r="BZ449" s="1" t="n">
        <v>242</v>
      </c>
      <c r="CA449" s="1" t="s">
        <v>973</v>
      </c>
      <c r="CB449" s="1" t="s">
        <v>366</v>
      </c>
      <c r="CC449" s="1" t="s">
        <v>367</v>
      </c>
      <c r="CD449" s="1" t="str">
        <f aca="false">VLOOKUP(M449,Eras!$A$2:$C$10, 2, TRUE())</f>
        <v>lbr</v>
      </c>
      <c r="CE449" s="1" t="s">
        <v>1582</v>
      </c>
      <c r="CF449" s="1" t="str">
        <f aca="false">CONCATENATE(CD449,"_",CE449)</f>
        <v>lbr_Carriage</v>
      </c>
      <c r="CG449" s="1" t="str">
        <f aca="false">_xlfn.CONCAT(K449, "_",L449)</f>
        <v>carriage_RAIL</v>
      </c>
      <c r="CH449" s="7" t="str">
        <f aca="false">_xlfn.CONCAT("{BLACK}Length: {GOLD}", TEXT(ROUNDUP(IF(AS449&lt;&gt;"",SUM(VALUE(_xlfn.TEXTSPLIT(AS449, ","))), SUM(VALUE(_xlfn.TEXTSPLIT(AP449, ",")))*IF(P449, P449, 1))/16, 1), "#,##0.0"), " tiles{}")</f>
        <v>{BLACK}Length: {GOLD}0.9 tiles{}</v>
      </c>
      <c r="CI449" s="1" t="str">
        <f aca="false">IF(0, VLOOKUP($CG449, Constants!$M:$N, 2, FALSE()),"")</f>
        <v/>
      </c>
      <c r="CJ449" s="1" t="str">
        <f aca="false">IF(P449&gt;1,_xlfn.CONCAT("{BLACK}Cars: {GOLD}", P449),"")</f>
        <v/>
      </c>
      <c r="CK449" s="1" t="s">
        <v>1694</v>
      </c>
      <c r="CL449" s="1" t="str">
        <f aca="false">IF($BX449="concept_trains","{GREEN}Concept Vehicle",IF($BX449="!param_no_gameplay_units","{GREEN}Included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{YELLOW}25% long distance bonus for consist{}</v>
      </c>
      <c r="CN449" s="1" t="str">
        <f aca="false">_xlfn.CONCAT(CI449,IF(CI449&lt;&gt;""," ",""),CJ449,IF(OR(CJ449&lt;&gt;"",CI449&lt;&gt;""),"{}",""),CH449,CM449,"{SILVER}",CK449,IF(CL449&lt;&gt;"","{}{}",""),CL449)</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50" s="26" customFormat="true" ht="14.25" hidden="false" customHeight="false" outlineLevel="0" collapsed="false">
      <c r="A450" s="26" t="s">
        <v>1695</v>
      </c>
      <c r="B450" s="27" t="s">
        <v>1696</v>
      </c>
      <c r="C450" s="1" t="n">
        <v>3123</v>
      </c>
      <c r="D450" s="26" t="n">
        <v>29</v>
      </c>
      <c r="E450" s="1" t="n">
        <v>1034</v>
      </c>
      <c r="F450" s="1" t="s">
        <v>186</v>
      </c>
      <c r="G450" s="1" t="str">
        <f aca="false">IF($F450&lt;&gt;"",_xlfn.CONCAT(VLOOKUP($CE450, Constants!$T:$U, 2, FALSE()),",",$F450),VLOOKUP($CE450, Constants!$T:$U, 2, FALSE()))</f>
        <v>role/passenger,_ww_livery/intercity</v>
      </c>
      <c r="H450" s="1" t="str">
        <f aca="false">IF($G450&lt;&gt;"",_xlfn.CONCAT(VLOOKUP($CG450, Constants!$M:$P, 4, FALSE()),",",$G450),VLOOKUP($CG450, Constants!$M:$P, 4, FALSE()))</f>
        <v>flag/GB,role/passenger,_ww_livery/intercity</v>
      </c>
      <c r="I450" s="26" t="s">
        <v>241</v>
      </c>
      <c r="J450" s="26" t="s">
        <v>1580</v>
      </c>
      <c r="K450" s="26" t="s">
        <v>1581</v>
      </c>
      <c r="L450" s="26" t="s">
        <v>192</v>
      </c>
      <c r="M450" s="26" t="n">
        <v>1975</v>
      </c>
      <c r="R450" s="2"/>
      <c r="S450" s="3"/>
      <c r="T450" s="3"/>
      <c r="U450" s="3"/>
      <c r="V450" s="3"/>
      <c r="W450" s="3"/>
      <c r="X450" s="3"/>
      <c r="Y450" s="3"/>
      <c r="Z450" s="26" t="n">
        <v>34</v>
      </c>
      <c r="AA450" s="2"/>
      <c r="AB450" s="26" t="n">
        <v>3</v>
      </c>
      <c r="AD450" s="4" t="str">
        <f aca="false">IF(AND(Z450&gt;0,AC450&gt;0),(AC450/((Z450+AA450)*10)),"")</f>
        <v/>
      </c>
      <c r="AE450" s="26" t="n">
        <v>125</v>
      </c>
      <c r="AF450" s="26" t="n">
        <f aca="false">ROUND(AE450*1.6, 0)</f>
        <v>200</v>
      </c>
      <c r="AH450" s="26" t="n">
        <v>23</v>
      </c>
      <c r="AI450" s="26" t="n">
        <v>23</v>
      </c>
      <c r="AJ450" s="26" t="n">
        <v>2.82</v>
      </c>
      <c r="AK450" s="26" t="n">
        <v>3.79</v>
      </c>
      <c r="AL450" s="5" t="n">
        <v>24</v>
      </c>
      <c r="AM450" s="1" t="str">
        <f aca="false">CONCATENATE(VLOOKUP(AN450, 'Voxel Sizes'!$A$2:$B$18,2,FALSE()),"x",INT(AJ450*15), "x", INT(AK450*15))</f>
        <v>214x42x56</v>
      </c>
      <c r="AN450" s="26" t="n">
        <f aca="false">ROUND(15*((AI450*10)/256),0)</f>
        <v>13</v>
      </c>
      <c r="AP450" s="1" t="str">
        <f aca="false">CONCATENATE(VLOOKUP(AN450,Constants!$A$2:$C$16,IF(AO450&lt;&gt;"", 3, 2), FALSE()),IF(AO450&lt;&gt;"",CONCATENATE(",",VLOOKUP(AO450,$B:$AP,41,FALSE())),""))</f>
        <v>4,5,4</v>
      </c>
      <c r="AR450" s="6"/>
      <c r="AS450" s="6"/>
      <c r="AY450" s="1" t="s">
        <v>1697</v>
      </c>
      <c r="AZ450" s="26" t="n">
        <v>30</v>
      </c>
      <c r="BA450" s="16" t="str">
        <f aca="false">IF(O450&lt;&gt;"",MAX(16,(O450-M450)+8),"")</f>
        <v/>
      </c>
      <c r="BB450" s="26" t="n">
        <v>1150</v>
      </c>
      <c r="BC450" s="26" t="n">
        <v>150</v>
      </c>
      <c r="BD450" s="26" t="n">
        <f aca="false">MIN(AE450/150, 1)*30</f>
        <v>25</v>
      </c>
      <c r="BE450" s="26" t="n">
        <f aca="false">MIN(Q450/4000, 1)*20</f>
        <v>0</v>
      </c>
      <c r="BF450" s="26" t="n">
        <f aca="false">MIN(AC450/400,1)*20</f>
        <v>0</v>
      </c>
      <c r="BG450" s="4" t="n">
        <f aca="false">1-(MAX(M450-1900, 0)/750)</f>
        <v>0.9</v>
      </c>
      <c r="BH450" s="26" t="n">
        <f aca="false">((MAX($P450,1)*MIN($AL450/300,1)))*IF(J450="Wagon",50,10)</f>
        <v>4</v>
      </c>
      <c r="BI450" s="1" t="n">
        <f aca="false">VLOOKUP($K450,Constants!$I:$K, 2, FALSE())</f>
        <v>1.2</v>
      </c>
      <c r="BJ450" s="1" t="n">
        <f aca="false">VLOOKUP($K450,Constants!$I:$K, 3, FALSE())*IF(AND(J450="multiple_unit",AE450&lt;110),0.75,1)</f>
        <v>0.6</v>
      </c>
      <c r="BK450" s="1" t="n">
        <f aca="false">INT(POWER(((Constants!$G$2+$BD450+$BE450+$BF450+$BH450)*$BG450)*$BJ450, 1.05))+$BC450</f>
        <v>171</v>
      </c>
      <c r="BL450" s="1" t="n">
        <f aca="false">INT(POWER((((Constants!$G$1+$BD450+$BE450+$BF450+$BH450)*($BG450))*$BI450),IF($J450="wagon",1,1.2)))+$BB450</f>
        <v>1197</v>
      </c>
      <c r="BM450" s="17" t="n">
        <f aca="false">BK450*IF($J450="wagon",62.5,781.25)</f>
        <v>10687.5</v>
      </c>
      <c r="BN450" s="17" t="n">
        <f aca="false">BL450*IF($J450="wagon",2.73,81.25)</f>
        <v>3267.81</v>
      </c>
      <c r="BU450" s="1" t="str">
        <f aca="false">IF(J450="locomotive","B","")</f>
        <v/>
      </c>
      <c r="BV450" s="1" t="str">
        <f aca="false">IF(OR($J450="locomotive",$J450="wagon"),"B","")</f>
        <v>B</v>
      </c>
      <c r="BY450" s="26" t="n">
        <v>2</v>
      </c>
      <c r="BZ450" s="26" t="n">
        <v>278</v>
      </c>
      <c r="CB450" s="26" t="s">
        <v>366</v>
      </c>
      <c r="CC450" s="26" t="s">
        <v>367</v>
      </c>
      <c r="CD450" s="1" t="str">
        <f aca="false">VLOOKUP(M450,Eras!$A$2:$C$10, 2, TRUE())</f>
        <v>lbr</v>
      </c>
      <c r="CE450" s="26" t="s">
        <v>1582</v>
      </c>
      <c r="CF450" s="26" t="str">
        <f aca="false">CONCATENATE(CD450,"_",CE450)</f>
        <v>lbr_Carriage</v>
      </c>
      <c r="CG450" s="26" t="str">
        <f aca="false">_xlfn.CONCAT(K450, "_",L450)</f>
        <v>carriage_RAIL</v>
      </c>
      <c r="CH450" s="7" t="str">
        <f aca="false">_xlfn.CONCAT("{BLACK}Length: {GOLD}", TEXT(ROUNDUP(IF(AS450&lt;&gt;"",SUM(VALUE(_xlfn.TEXTSPLIT(AS450, ","))), SUM(VALUE(_xlfn.TEXTSPLIT(AP450, ",")))*IF(P450, P450, 1))/16, 1), "#,##0.0"), " tiles{}")</f>
        <v>{BLACK}Length: {GOLD}0.9 tiles{}</v>
      </c>
      <c r="CI450" s="1" t="str">
        <f aca="false">IF(0, VLOOKUP($CG450, Constants!$M:$N, 2, FALSE()),"")</f>
        <v/>
      </c>
      <c r="CJ450" s="1" t="str">
        <f aca="false">IF(P450&gt;1,_xlfn.CONCAT("{BLACK}Cars: {GOLD}", P450),"")</f>
        <v/>
      </c>
      <c r="CK450" s="26" t="s">
        <v>1698</v>
      </c>
      <c r="CL450" s="1" t="str">
        <f aca="false">IF($BX450="concept_trains","{GREEN}Concept Vehicle",IF($BX450="!param_no_gameplay_units","{GREEN}Included for gameplay purposes",""))</f>
        <v/>
      </c>
      <c r="CM450" s="26" t="str">
        <f aca="false">IF(CA450="buffet","{YELLOW}25% long distance bonus for consist{}",IF(CD450="BRAKE","{YELLOW}Speed bonus for slow wagons{}",IF(BZ450&gt;190,CONCATENATE("{YELLOW}",INT((BZ450-185)/1.85),"% bonus for long distance travel{}"),IF(AND(BZ450&lt;180,BZ450&lt;&gt;0),CONCATENATE("{YELLOW}",INT((185-BZ450)/1.85),"% penalty for long distance travel{}"),""))))</f>
        <v>{YELLOW}50% bonus for long distance travel{}</v>
      </c>
      <c r="CN450" s="1" t="str">
        <f aca="false">_xlfn.CONCAT(CI450,IF(CI450&lt;&gt;""," ",""),CJ450,IF(OR(CJ450&lt;&gt;"",CI450&lt;&gt;""),"{}",""),CH450,CM450,"{SILVER}",CK450,IF(CL450&lt;&gt;"","{}{}",""),CL450)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50" s="1"/>
    </row>
    <row r="451" customFormat="false" ht="14.25" hidden="false" customHeight="false" outlineLevel="0" collapsed="false">
      <c r="A451" s="26" t="s">
        <v>1699</v>
      </c>
      <c r="B451" s="25" t="s">
        <v>1700</v>
      </c>
      <c r="C451" s="1" t="n">
        <v>4129</v>
      </c>
      <c r="D451" s="26" t="n">
        <v>29</v>
      </c>
      <c r="E451" s="1" t="n">
        <v>1035</v>
      </c>
      <c r="F451" s="1" t="s">
        <v>186</v>
      </c>
      <c r="G451" s="1" t="str">
        <f aca="false">IF($F451&lt;&gt;"",_xlfn.CONCAT(VLOOKUP($CE451, Constants!$T:$U, 2, FALSE()),",",$F451),VLOOKUP($CE451, Constants!$T:$U, 2, FALSE()))</f>
        <v>role/passenger,_ww_livery/intercity</v>
      </c>
      <c r="H451" s="1" t="str">
        <f aca="false">IF($G451&lt;&gt;"",_xlfn.CONCAT(VLOOKUP($CG451, Constants!$M:$P, 4, FALSE()),",",$G451),VLOOKUP($CG451, Constants!$M:$P, 4, FALSE()))</f>
        <v>flag/GB,role/passenger,_ww_livery/intercity</v>
      </c>
      <c r="I451" s="26" t="s">
        <v>241</v>
      </c>
      <c r="J451" s="26" t="s">
        <v>1580</v>
      </c>
      <c r="K451" s="26" t="s">
        <v>1581</v>
      </c>
      <c r="L451" s="26" t="s">
        <v>192</v>
      </c>
      <c r="M451" s="26" t="n">
        <v>1985</v>
      </c>
      <c r="N451" s="26"/>
      <c r="O451" s="26"/>
      <c r="P451" s="26"/>
      <c r="Q451" s="26"/>
      <c r="Z451" s="26" t="n">
        <v>34</v>
      </c>
      <c r="AB451" s="26" t="n">
        <v>3</v>
      </c>
      <c r="AC451" s="26"/>
      <c r="AD451" s="4" t="str">
        <f aca="false">IF(AND(Z451&gt;0,AC451&gt;0),(AC451/((Z451+AA451)*10)),"")</f>
        <v/>
      </c>
      <c r="AE451" s="26" t="n">
        <v>125</v>
      </c>
      <c r="AF451" s="26" t="n">
        <f aca="false">ROUND(AE451*1.6, 0)</f>
        <v>200</v>
      </c>
      <c r="AG451" s="26"/>
      <c r="AH451" s="26" t="n">
        <v>23</v>
      </c>
      <c r="AI451" s="26" t="n">
        <v>23</v>
      </c>
      <c r="AJ451" s="26" t="n">
        <v>2.82</v>
      </c>
      <c r="AK451" s="26" t="n">
        <v>3.79</v>
      </c>
      <c r="AL451" s="5" t="n">
        <v>48</v>
      </c>
      <c r="AM451" s="1" t="str">
        <f aca="false">CONCATENATE(VLOOKUP(AN451, 'Voxel Sizes'!$A$2:$B$18,2,FALSE()),"x",INT(AJ451*15), "x", INT(AK451*15))</f>
        <v>214x42x56</v>
      </c>
      <c r="AN451" s="26" t="n">
        <f aca="false">ROUND(15*((AI451*10)/256),0)</f>
        <v>13</v>
      </c>
      <c r="AO451" s="26"/>
      <c r="AP451" s="1" t="str">
        <f aca="false">CONCATENATE(VLOOKUP(AN451,Constants!$A$2:$C$16,IF(AO451&lt;&gt;"", 3, 2), FALSE()),IF(AO451&lt;&gt;"",CONCATENATE(",",VLOOKUP(AO451,$B:$AP,41,FALSE())),""))</f>
        <v>4,5,4</v>
      </c>
      <c r="AQ451" s="26"/>
      <c r="AT451" s="26"/>
      <c r="AU451" s="26"/>
      <c r="AV451" s="26"/>
      <c r="AW451" s="26"/>
      <c r="AX451" s="26"/>
      <c r="AY451" s="1" t="s">
        <v>1701</v>
      </c>
      <c r="AZ451" s="26" t="n">
        <v>30</v>
      </c>
      <c r="BA451" s="16" t="str">
        <f aca="false">IF(O451&lt;&gt;"",MAX(16,(O451-M451)+8),"")</f>
        <v/>
      </c>
      <c r="BB451" s="26" t="n">
        <v>1150</v>
      </c>
      <c r="BC451" s="26" t="n">
        <v>150</v>
      </c>
      <c r="BD451" s="26" t="n">
        <f aca="false">MIN(AE451/150, 1)*30</f>
        <v>25</v>
      </c>
      <c r="BE451" s="26" t="n">
        <f aca="false">MIN(Q451/4000, 1)*20</f>
        <v>0</v>
      </c>
      <c r="BF451" s="26" t="n">
        <f aca="false">MIN(AC451/400,1)*20</f>
        <v>0</v>
      </c>
      <c r="BG451" s="4" t="n">
        <f aca="false">1-(MAX(M451-1900, 0)/750)</f>
        <v>0.886666666666667</v>
      </c>
      <c r="BH451" s="26" t="n">
        <f aca="false">((MAX($P451,1)*MIN($AL451/300,1)))*IF(J451="Wagon",50,10)</f>
        <v>8</v>
      </c>
      <c r="BI451" s="1" t="n">
        <f aca="false">VLOOKUP($K451,Constants!$I:$K, 2, FALSE())</f>
        <v>1.2</v>
      </c>
      <c r="BJ451" s="1" t="n">
        <f aca="false">VLOOKUP($K451,Constants!$I:$K, 3, FALSE())*IF(AND(J451="multiple_unit",AE451&lt;110),0.75,1)</f>
        <v>0.6</v>
      </c>
      <c r="BK451" s="1" t="n">
        <f aca="false">INT(POWER(((Constants!$G$2+$BD451+$BE451+$BF451+$BH451)*$BG451)*$BJ451, 1.05))+$BC451</f>
        <v>173</v>
      </c>
      <c r="BL451" s="1" t="n">
        <f aca="false">INT(POWER((((Constants!$G$1+$BD451+$BE451+$BF451+$BH451)*($BG451))*$BI451),IF($J451="wagon",1,1.2)))+$BB451</f>
        <v>1201</v>
      </c>
      <c r="BM451" s="17" t="n">
        <f aca="false">BK451*IF($J451="wagon",62.5,781.25)</f>
        <v>10812.5</v>
      </c>
      <c r="BN451" s="17" t="n">
        <f aca="false">BL451*IF($J451="wagon",2.73,81.25)</f>
        <v>3278.73</v>
      </c>
      <c r="BO451" s="26"/>
      <c r="BP451" s="26"/>
      <c r="BQ451" s="26"/>
      <c r="BR451" s="26"/>
      <c r="BS451" s="26"/>
      <c r="BT451" s="26"/>
      <c r="BU451" s="1" t="str">
        <f aca="false">IF(J451="locomotive","B","")</f>
        <v/>
      </c>
      <c r="BV451" s="1" t="str">
        <f aca="false">IF(OR($J451="locomotive",$J451="wagon"),"B","")</f>
        <v>B</v>
      </c>
      <c r="BW451" s="26"/>
      <c r="BX451" s="26"/>
      <c r="BY451" s="26" t="n">
        <v>2</v>
      </c>
      <c r="BZ451" s="1" t="n">
        <v>242</v>
      </c>
      <c r="CA451" s="26"/>
      <c r="CB451" s="26" t="s">
        <v>366</v>
      </c>
      <c r="CC451" s="26" t="s">
        <v>367</v>
      </c>
      <c r="CD451" s="1" t="str">
        <f aca="false">VLOOKUP(M451,Eras!$A$2:$C$10, 2, TRUE())</f>
        <v>lbr</v>
      </c>
      <c r="CE451" s="26" t="s">
        <v>1582</v>
      </c>
      <c r="CF451" s="26" t="str">
        <f aca="false">CONCATENATE(CD451,"_",CE451)</f>
        <v>lbr_Carriage</v>
      </c>
      <c r="CG451" s="26" t="str">
        <f aca="false">_xlfn.CONCAT(K451, "_",L451)</f>
        <v>carriage_RAIL</v>
      </c>
      <c r="CH451" s="7" t="str">
        <f aca="false">_xlfn.CONCAT("{BLACK}Length: {GOLD}", TEXT(ROUNDUP(IF(AS451&lt;&gt;"",SUM(VALUE(_xlfn.TEXTSPLIT(AS451, ","))), SUM(VALUE(_xlfn.TEXTSPLIT(AP451, ",")))*IF(P451, P451, 1))/16, 1), "#,##0.0"), " tiles{}")</f>
        <v>{BLACK}Length: {GOLD}0.9 tiles{}</v>
      </c>
      <c r="CI451" s="1" t="str">
        <f aca="false">IF(0, VLOOKUP($CG451, Constants!$M:$N, 2, FALSE()),"")</f>
        <v/>
      </c>
      <c r="CJ451" s="1" t="str">
        <f aca="false">IF(P451&gt;1,_xlfn.CONCAT("{BLACK}Cars: {GOLD}", P451),"")</f>
        <v/>
      </c>
      <c r="CK451" s="26" t="s">
        <v>1702</v>
      </c>
      <c r="CL451" s="1" t="str">
        <f aca="false">IF($BX451="concept_trains","{GREEN}Concept Vehicle",IF($BX451="!param_no_gameplay_units","{GREEN}Included for gameplay purposes",""))</f>
        <v/>
      </c>
      <c r="CM451" s="26" t="str">
        <f aca="false">IF(CA451="buffet","{YELLOW}25% long distance bonus for consist{}",IF(CD451="BRAKE","{YELLOW}Speed bonus for slow wagons{}",IF(BZ451&gt;190,CONCATENATE("{YELLOW}",INT((BZ451-185)/1.85),"% bonus for long distance travel{}"),IF(AND(BZ451&lt;180,BZ451&lt;&gt;0),CONCATENATE("{YELLOW}",INT((185-BZ451)/1.85),"% penalty for long distance travel{}"),""))))</f>
        <v>{YELLOW}30% bonus for long distance travel{}</v>
      </c>
      <c r="CN451" s="1" t="str">
        <f aca="false">_xlfn.CONCAT(CI451,IF(CI451&lt;&gt;""," ",""),CJ451,IF(OR(CJ451&lt;&gt;"",CI451&lt;&gt;""),"{}",""),CH451,CM451,"{SILVER}",CK451,IF(CL451&lt;&gt;"","{}{}",""),CL451)</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51" s="26"/>
      <c r="CP451" s="26"/>
    </row>
    <row r="452" customFormat="false" ht="14.25" hidden="false" customHeight="false" outlineLevel="0" collapsed="false">
      <c r="A452" s="26" t="s">
        <v>1703</v>
      </c>
      <c r="B452" s="25" t="s">
        <v>1704</v>
      </c>
      <c r="C452" s="1" t="n">
        <v>4130</v>
      </c>
      <c r="D452" s="26" t="n">
        <v>29</v>
      </c>
      <c r="E452" s="1" t="n">
        <v>1036</v>
      </c>
      <c r="F452" s="1" t="s">
        <v>186</v>
      </c>
      <c r="G452" s="1" t="str">
        <f aca="false">IF($F452&lt;&gt;"",_xlfn.CONCAT(VLOOKUP($CE452, Constants!$T:$U, 2, FALSE()),",",$F452),VLOOKUP($CE452, Constants!$T:$U, 2, FALSE()))</f>
        <v>role/passenger,_ww_livery/intercity</v>
      </c>
      <c r="H452" s="1" t="str">
        <f aca="false">IF($G452&lt;&gt;"",_xlfn.CONCAT(VLOOKUP($CG452, Constants!$M:$P, 4, FALSE()),",",$G452),VLOOKUP($CG452, Constants!$M:$P, 4, FALSE()))</f>
        <v>flag/GB,role/passenger,_ww_livery/intercity</v>
      </c>
      <c r="I452" s="26" t="s">
        <v>241</v>
      </c>
      <c r="J452" s="26" t="s">
        <v>1580</v>
      </c>
      <c r="K452" s="26" t="s">
        <v>1581</v>
      </c>
      <c r="L452" s="26" t="s">
        <v>192</v>
      </c>
      <c r="M452" s="26" t="n">
        <v>1985</v>
      </c>
      <c r="N452" s="26"/>
      <c r="O452" s="26"/>
      <c r="P452" s="26"/>
      <c r="Q452" s="26"/>
      <c r="Z452" s="26" t="n">
        <v>34</v>
      </c>
      <c r="AB452" s="26" t="n">
        <v>3</v>
      </c>
      <c r="AC452" s="26"/>
      <c r="AD452" s="4" t="str">
        <f aca="false">IF(AND(Z452&gt;0,AC452&gt;0),(AC452/((Z452+AA452)*10)),"")</f>
        <v/>
      </c>
      <c r="AE452" s="26" t="n">
        <v>125</v>
      </c>
      <c r="AF452" s="26" t="n">
        <f aca="false">ROUND(AE452*1.6, 0)</f>
        <v>200</v>
      </c>
      <c r="AG452" s="26"/>
      <c r="AH452" s="26" t="n">
        <v>23</v>
      </c>
      <c r="AI452" s="26" t="n">
        <v>23</v>
      </c>
      <c r="AJ452" s="26" t="n">
        <v>2.82</v>
      </c>
      <c r="AK452" s="26" t="n">
        <v>3.79</v>
      </c>
      <c r="AL452" s="5" t="n">
        <v>48</v>
      </c>
      <c r="AM452" s="1" t="str">
        <f aca="false">CONCATENATE(VLOOKUP(AN452, 'Voxel Sizes'!$A$2:$B$18,2,FALSE()),"x",INT(AJ452*15), "x", INT(AK452*15))</f>
        <v>214x42x56</v>
      </c>
      <c r="AN452" s="26" t="n">
        <f aca="false">ROUND(15*((AI452*10)/256),0)</f>
        <v>13</v>
      </c>
      <c r="AO452" s="26"/>
      <c r="AP452" s="1" t="str">
        <f aca="false">CONCATENATE(VLOOKUP(AN452,Constants!$A$2:$C$16,IF(AO452&lt;&gt;"", 3, 2), FALSE()),IF(AO452&lt;&gt;"",CONCATENATE(",",VLOOKUP(AO452,$B:$AP,41,FALSE())),""))</f>
        <v>4,5,4</v>
      </c>
      <c r="AQ452" s="26"/>
      <c r="AT452" s="26"/>
      <c r="AU452" s="26"/>
      <c r="AV452" s="26"/>
      <c r="AW452" s="26"/>
      <c r="AX452" s="26"/>
      <c r="AY452" s="1" t="s">
        <v>1705</v>
      </c>
      <c r="AZ452" s="26" t="n">
        <v>30</v>
      </c>
      <c r="BA452" s="16" t="str">
        <f aca="false">IF(O452&lt;&gt;"",MAX(16,(O452-M452)+8),"")</f>
        <v/>
      </c>
      <c r="BB452" s="26" t="n">
        <v>1150</v>
      </c>
      <c r="BC452" s="26" t="n">
        <v>150</v>
      </c>
      <c r="BD452" s="26" t="n">
        <f aca="false">MIN(AE452/150, 1)*30</f>
        <v>25</v>
      </c>
      <c r="BE452" s="26" t="n">
        <f aca="false">MIN(Q452/4000, 1)*20</f>
        <v>0</v>
      </c>
      <c r="BF452" s="26" t="n">
        <f aca="false">MIN(AC452/400,1)*20</f>
        <v>0</v>
      </c>
      <c r="BG452" s="4" t="n">
        <f aca="false">1-(MAX(M452-1900, 0)/750)</f>
        <v>0.886666666666667</v>
      </c>
      <c r="BH452" s="26" t="n">
        <f aca="false">((MAX($P452,1)*MIN($AL452/300,1)))*IF(J452="Wagon",50,10)</f>
        <v>8</v>
      </c>
      <c r="BI452" s="1" t="n">
        <f aca="false">VLOOKUP($K452,Constants!$I:$K, 2, FALSE())</f>
        <v>1.2</v>
      </c>
      <c r="BJ452" s="1" t="n">
        <f aca="false">VLOOKUP($K452,Constants!$I:$K, 3, FALSE())*IF(AND(J452="multiple_unit",AE452&lt;110),0.75,1)</f>
        <v>0.6</v>
      </c>
      <c r="BK452" s="1" t="n">
        <f aca="false">INT(POWER(((Constants!$G$2+$BD452+$BE452+$BF452+$BH452)*$BG452)*$BJ452, 1.05))+$BC452</f>
        <v>173</v>
      </c>
      <c r="BL452" s="1" t="n">
        <f aca="false">INT(POWER((((Constants!$G$1+$BD452+$BE452+$BF452+$BH452)*($BG452))*$BI452),IF($J452="wagon",1,1.2)))+$BB452</f>
        <v>1201</v>
      </c>
      <c r="BM452" s="17" t="n">
        <f aca="false">BK452*IF($J452="wagon",62.5,781.25)</f>
        <v>10812.5</v>
      </c>
      <c r="BN452" s="17" t="n">
        <f aca="false">BL452*IF($J452="wagon",2.73,81.25)</f>
        <v>3278.73</v>
      </c>
      <c r="BO452" s="26"/>
      <c r="BP452" s="26"/>
      <c r="BQ452" s="26"/>
      <c r="BR452" s="26"/>
      <c r="BS452" s="26"/>
      <c r="BT452" s="26"/>
      <c r="BU452" s="1" t="str">
        <f aca="false">IF(J452="locomotive","B","")</f>
        <v/>
      </c>
      <c r="BV452" s="1" t="str">
        <f aca="false">IF(OR($J452="locomotive",$J452="wagon"),"B","")</f>
        <v>B</v>
      </c>
      <c r="BW452" s="26"/>
      <c r="BX452" s="26"/>
      <c r="BY452" s="26" t="n">
        <v>2</v>
      </c>
      <c r="BZ452" s="1" t="n">
        <v>242</v>
      </c>
      <c r="CA452" s="26"/>
      <c r="CB452" s="26" t="s">
        <v>366</v>
      </c>
      <c r="CC452" s="26" t="s">
        <v>367</v>
      </c>
      <c r="CD452" s="1" t="str">
        <f aca="false">VLOOKUP(M452,Eras!$A$2:$C$10, 2, TRUE())</f>
        <v>lbr</v>
      </c>
      <c r="CE452" s="26" t="s">
        <v>1582</v>
      </c>
      <c r="CF452" s="26" t="str">
        <f aca="false">CONCATENATE(CD452,"_",CE452)</f>
        <v>lbr_Carriage</v>
      </c>
      <c r="CG452" s="26" t="str">
        <f aca="false">_xlfn.CONCAT(K452, "_",L452)</f>
        <v>carriage_RAIL</v>
      </c>
      <c r="CH452" s="7" t="str">
        <f aca="false">_xlfn.CONCAT("{BLACK}Length: {GOLD}", TEXT(ROUNDUP(IF(AS452&lt;&gt;"",SUM(VALUE(_xlfn.TEXTSPLIT(AS452, ","))), SUM(VALUE(_xlfn.TEXTSPLIT(AP452, ",")))*IF(P452, P452, 1))/16, 1), "#,##0.0"), " tiles{}")</f>
        <v>{BLACK}Length: {GOLD}0.9 tiles{}</v>
      </c>
      <c r="CI452" s="1" t="str">
        <f aca="false">IF(0, VLOOKUP($CG452, Constants!$M:$N, 2, FALSE()),"")</f>
        <v/>
      </c>
      <c r="CJ452" s="1" t="str">
        <f aca="false">IF(P452&gt;1,_xlfn.CONCAT("{BLACK}Cars: {GOLD}", P452),"")</f>
        <v/>
      </c>
      <c r="CK452" s="26" t="s">
        <v>1706</v>
      </c>
      <c r="CL452" s="1" t="str">
        <f aca="false">IF($BX452="concept_trains","{GREEN}Concept Vehicle",IF($BX452="!param_no_gameplay_units","{GREEN}Included for gameplay purposes",""))</f>
        <v/>
      </c>
      <c r="CM452" s="26" t="str">
        <f aca="false">IF(CA452="buffet","{YELLOW}25% long distance bonus for consist{}",IF(CD452="BRAKE","{YELLOW}Speed bonus for slow wagons{}",IF(BZ452&gt;190,CONCATENATE("{YELLOW}",INT((BZ452-185)/1.85),"% bonus for long distance travel{}"),IF(AND(BZ452&lt;180,BZ452&lt;&gt;0),CONCATENATE("{YELLOW}",INT((185-BZ452)/1.85),"% penalty for long distance travel{}"),""))))</f>
        <v>{YELLOW}30% bonus for long distance travel{}</v>
      </c>
      <c r="CN452" s="1" t="str">
        <f aca="false">_xlfn.CONCAT(CI452,IF(CI452&lt;&gt;""," ",""),CJ452,IF(OR(CJ452&lt;&gt;"",CI452&lt;&gt;""),"{}",""),CH452,CM452,"{SILVER}",CK452,IF(CL452&lt;&gt;"","{}{}",""),CL452)</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52" s="26"/>
      <c r="CP452" s="26"/>
    </row>
    <row r="453" customFormat="false" ht="14.25" hidden="false" customHeight="false" outlineLevel="0" collapsed="false">
      <c r="A453" s="1" t="s">
        <v>1707</v>
      </c>
      <c r="B453" s="15" t="s">
        <v>1708</v>
      </c>
      <c r="C453" s="1" t="n">
        <v>33</v>
      </c>
      <c r="D453" s="1" t="n">
        <v>29</v>
      </c>
      <c r="E453" s="1" t="n">
        <v>1037</v>
      </c>
      <c r="F453" s="1" t="s">
        <v>186</v>
      </c>
      <c r="G453" s="1" t="str">
        <f aca="false">IF($F453&lt;&gt;"",_xlfn.CONCAT(VLOOKUP($CE453, Constants!$T:$U, 2, FALSE()),",",$F453),VLOOKUP($CE453, Constants!$T:$U, 2, FALSE()))</f>
        <v>role/mail,_ww_livery/intercity</v>
      </c>
      <c r="H453" s="1" t="str">
        <f aca="false">IF($G453&lt;&gt;"",_xlfn.CONCAT(VLOOKUP($CG453, Constants!$M:$P, 4, FALSE()),",",$G453),VLOOKUP($CG453, Constants!$M:$P, 4, FALSE()))</f>
        <v>flag/GB,role/mail,_ww_livery/intercity</v>
      </c>
      <c r="I453" s="1" t="s">
        <v>241</v>
      </c>
      <c r="J453" s="1" t="s">
        <v>1580</v>
      </c>
      <c r="K453" s="1" t="s">
        <v>1581</v>
      </c>
      <c r="L453" s="1" t="s">
        <v>192</v>
      </c>
      <c r="M453" s="1" t="n">
        <v>1978</v>
      </c>
      <c r="Z453" s="1" t="n">
        <v>34</v>
      </c>
      <c r="AB453" s="1" t="n">
        <v>5</v>
      </c>
      <c r="AD453" s="4" t="str">
        <f aca="false">IF(AND(Z453&gt;0,AC453&gt;0),(AC453/((Z453+AA453)*10)),"")</f>
        <v/>
      </c>
      <c r="AE453" s="1" t="n">
        <v>125</v>
      </c>
      <c r="AF453" s="1" t="n">
        <f aca="false">ROUND(AE453*1.6, 0)</f>
        <v>200</v>
      </c>
      <c r="AH453" s="1" t="n">
        <v>23</v>
      </c>
      <c r="AI453" s="1" t="n">
        <v>23</v>
      </c>
      <c r="AJ453" s="1" t="n">
        <v>2.82</v>
      </c>
      <c r="AK453" s="1" t="n">
        <v>3.79</v>
      </c>
      <c r="AL453" s="5" t="n">
        <v>78</v>
      </c>
      <c r="AM453" s="1" t="str">
        <f aca="false">CONCATENATE(VLOOKUP(AN453, 'Voxel Sizes'!$A$2:$B$18,2,FALSE()),"x",INT(AJ453*15), "x", INT(AK453*15))</f>
        <v>214x42x56</v>
      </c>
      <c r="AN453" s="1" t="n">
        <f aca="false">ROUND(15*((AI453*10)/256),0)</f>
        <v>13</v>
      </c>
      <c r="AP453" s="1" t="str">
        <f aca="false">CONCATENATE(VLOOKUP(AN453,Constants!$A$2:$C$16,IF(AO453&lt;&gt;"", 3, 2), FALSE()),IF(AO453&lt;&gt;"",CONCATENATE(",",VLOOKUP(AO453,$B:$AP,41,FALSE())),""))</f>
        <v>4,5,4</v>
      </c>
      <c r="AZ453" s="1" t="n">
        <v>30</v>
      </c>
      <c r="BA453" s="16" t="str">
        <f aca="false">IF(O453&lt;&gt;"",MAX(16,(O453-M453)+8),"")</f>
        <v/>
      </c>
      <c r="BB453" s="1" t="n">
        <v>86</v>
      </c>
      <c r="BC453" s="1" t="n">
        <f aca="false">29*3</f>
        <v>87</v>
      </c>
      <c r="BD453" s="1" t="n">
        <f aca="false">MIN(AE453/150, 1)*30</f>
        <v>25</v>
      </c>
      <c r="BE453" s="1" t="n">
        <f aca="false">MIN(Q453/4000, 1)*20</f>
        <v>0</v>
      </c>
      <c r="BF453" s="1" t="n">
        <f aca="false">MIN(AC453/400,1)*20</f>
        <v>0</v>
      </c>
      <c r="BG453" s="4" t="n">
        <f aca="false">1-(MAX(M453-1900, 0)/750)</f>
        <v>0.896</v>
      </c>
      <c r="BH453" s="1" t="n">
        <f aca="false">((MAX($P453,1)*MIN($AL453/300,1)))*IF(J453="Wagon",50,10)</f>
        <v>13</v>
      </c>
      <c r="BI453" s="1" t="n">
        <f aca="false">VLOOKUP($K453,Constants!$I:$K, 2, FALSE())</f>
        <v>1.2</v>
      </c>
      <c r="BJ453" s="1" t="n">
        <f aca="false">VLOOKUP($K453,Constants!$I:$K, 3, FALSE())*IF(AND(J453="multiple_unit",AE453&lt;110),0.75,1)</f>
        <v>0.6</v>
      </c>
      <c r="BK453" s="1" t="n">
        <f aca="false">INT(POWER(((Constants!$G$2+$BD453+$BE453+$BF453+$BH453)*$BG453)*$BJ453, 1.05))+$BC453</f>
        <v>114</v>
      </c>
      <c r="BL453" s="1" t="n">
        <f aca="false">INT(POWER((((Constants!$G$1+$BD453+$BE453+$BF453+$BH453)*($BG453))*$BI453),IF($J453="wagon",1,1.2)))+$BB453</f>
        <v>142</v>
      </c>
      <c r="BM453" s="17" t="n">
        <f aca="false">BK453*IF($J453="wagon",62.5,781.25)</f>
        <v>7125</v>
      </c>
      <c r="BN453" s="17" t="n">
        <f aca="false">BL453*IF($J453="wagon",2.73,81.25)</f>
        <v>387.66</v>
      </c>
      <c r="BU453" s="1" t="str">
        <f aca="false">IF(J453="locomotive","B","")</f>
        <v/>
      </c>
      <c r="BV453" s="1" t="str">
        <f aca="false">IF(OR($J453="locomotive",$J453="wagon"),"B","")</f>
        <v>B</v>
      </c>
      <c r="BX453" s="1" t="s">
        <v>1681</v>
      </c>
      <c r="BY453" s="1" t="n">
        <v>2</v>
      </c>
      <c r="BZ453" s="1" t="n">
        <v>185</v>
      </c>
      <c r="CB453" s="1" t="s">
        <v>705</v>
      </c>
      <c r="CC453" s="1" t="s">
        <v>706</v>
      </c>
      <c r="CD453" s="1" t="str">
        <f aca="false">VLOOKUP(M453,Eras!$A$2:$C$10, 2, TRUE())</f>
        <v>lbr</v>
      </c>
      <c r="CE453" s="1" t="s">
        <v>1709</v>
      </c>
      <c r="CF453" s="1" t="str">
        <f aca="false">CONCATENATE(CD453,"_",CE453)</f>
        <v>lbr_Mail Carriage</v>
      </c>
      <c r="CG453" s="1" t="str">
        <f aca="false">_xlfn.CONCAT(K453, "_",L453)</f>
        <v>carriage_RAIL</v>
      </c>
      <c r="CH453" s="7" t="str">
        <f aca="false">_xlfn.CONCAT("{BLACK}Length: {GOLD}", TEXT(ROUNDUP(IF(AS453&lt;&gt;"",SUM(VALUE(_xlfn.TEXTSPLIT(AS453, ","))), SUM(VALUE(_xlfn.TEXTSPLIT(AP453, ",")))*IF(P453, P453, 1))/16, 1), "#,##0.0"), " tiles{}")</f>
        <v>{BLACK}Length: {GOLD}0.9 tiles{}</v>
      </c>
      <c r="CI453" s="1" t="str">
        <f aca="false">IF(0, VLOOKUP($CG453, Constants!$M:$N, 2, FALSE()),"")</f>
        <v/>
      </c>
      <c r="CJ453" s="1" t="str">
        <f aca="false">IF(P453&gt;1,_xlfn.CONCAT("{BLACK}Cars: {GOLD}", P453),"")</f>
        <v/>
      </c>
      <c r="CK453" s="1" t="s">
        <v>1710</v>
      </c>
      <c r="CL453" s="1" t="str">
        <f aca="false">IF($BX453="concept_trains","{GREEN}Concept Vehicle",IF($BX453="!param_no_gameplay_units","{GREEN}Included for gameplay purposes",""))</f>
        <v>{GREEN}Included for gameplay purposes</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{GOLD}0.9 tiles{}{SILVER}BR did not build any carriage-based utility vans after the Mk1, but this vehicle is included as a "what could have been" if HSTs and express services had included a high speed parcels car.{}{}{GREEN}Included for gameplay purposes</v>
      </c>
    </row>
    <row r="454" s="26" customFormat="true" ht="14.25" hidden="false" customHeight="false" outlineLevel="0" collapsed="false">
      <c r="A454" s="26" t="s">
        <v>1711</v>
      </c>
      <c r="B454" s="27" t="s">
        <v>1712</v>
      </c>
      <c r="C454" s="1" t="n">
        <v>3058</v>
      </c>
      <c r="D454" s="26" t="n">
        <v>3059</v>
      </c>
      <c r="E454" s="1" t="n">
        <v>1038</v>
      </c>
      <c r="G454" s="1" t="str">
        <f aca="false">IF($F454&lt;&gt;"",_xlfn.CONCAT(VLOOKUP($CE454, Constants!$T:$U, 2, FALSE()),",",$F454),VLOOKUP($CE454, Constants!$T:$U, 2, FALSE()))</f>
        <v>role/express_passenger</v>
      </c>
      <c r="H454" s="1" t="str">
        <f aca="false">IF($G454&lt;&gt;"",_xlfn.CONCAT(VLOOKUP($CG454, Constants!$M:$P, 4, FALSE()),",",$G454),VLOOKUP($CG454, Constants!$M:$P, 4, FALSE()))</f>
        <v>flag/GB,role/express_passenger</v>
      </c>
      <c r="I454" s="26" t="s">
        <v>241</v>
      </c>
      <c r="J454" s="26" t="s">
        <v>1075</v>
      </c>
      <c r="K454" s="1" t="s">
        <v>1581</v>
      </c>
      <c r="L454" s="26" t="s">
        <v>192</v>
      </c>
      <c r="M454" s="26" t="n">
        <v>1986</v>
      </c>
      <c r="N454" s="26" t="n">
        <v>1991</v>
      </c>
      <c r="O454" s="26" t="n">
        <v>1994</v>
      </c>
      <c r="P454" s="26" t="n">
        <v>10</v>
      </c>
      <c r="Q454" s="26" t="n">
        <v>10</v>
      </c>
      <c r="R454" s="2"/>
      <c r="S454" s="3"/>
      <c r="T454" s="3"/>
      <c r="U454" s="3"/>
      <c r="V454" s="3"/>
      <c r="W454" s="3"/>
      <c r="X454" s="3"/>
      <c r="Y454" s="3"/>
      <c r="Z454" s="26" t="n">
        <v>258.2</v>
      </c>
      <c r="AA454" s="2"/>
      <c r="AB454" s="26" t="n">
        <v>4</v>
      </c>
      <c r="AC454" s="26" t="n">
        <v>5</v>
      </c>
      <c r="AD454" s="4" t="n">
        <f aca="false">IF(AND(Z454&gt;0,AC454&gt;0),(AC454/((Z454+AA454)*10)),"")</f>
        <v>0.00193648334624322</v>
      </c>
      <c r="AE454" s="26" t="n">
        <v>140</v>
      </c>
      <c r="AF454" s="26" t="n">
        <f aca="false">ROUND(AE454*1.6, 0)</f>
        <v>224</v>
      </c>
      <c r="AH454" s="26" t="n">
        <v>20.9</v>
      </c>
      <c r="AI454" s="26" t="n">
        <v>20.9</v>
      </c>
      <c r="AJ454" s="26" t="n">
        <v>2.7</v>
      </c>
      <c r="AK454" s="26" t="n">
        <v>3.5</v>
      </c>
      <c r="AL454" s="5" t="n">
        <v>49</v>
      </c>
      <c r="AM454" s="1" t="str">
        <f aca="false">CONCATENATE(VLOOKUP(AN454, 'Voxel Sizes'!$A$2:$B$18,2,FALSE()),"x",INT(AJ454*15), "x", INT(AK454*15))</f>
        <v>198x40x52</v>
      </c>
      <c r="AN454" s="26" t="n">
        <f aca="false">ROUND(15*((AI454*10)/256),0)</f>
        <v>12</v>
      </c>
      <c r="AP454" s="1" t="str">
        <f aca="false">CONCATENATE(VLOOKUP(AN454,Constants!$A$2:$C$16,IF(AO454&lt;&gt;"", 3, 2), FALSE()),IF(AO454&lt;&gt;"",CONCATENATE(",",VLOOKUP(AO454,$B:$AP,41,FALSE())),""))</f>
        <v>4,4,4</v>
      </c>
      <c r="AR454" s="6"/>
      <c r="AS454" s="6"/>
      <c r="AT454" s="26" t="s">
        <v>1713</v>
      </c>
      <c r="AV454" s="26" t="s">
        <v>1714</v>
      </c>
      <c r="AW454" s="26" t="s">
        <v>1715</v>
      </c>
      <c r="AZ454" s="26" t="n">
        <v>20</v>
      </c>
      <c r="BA454" s="16" t="n">
        <f aca="false">IF(O454&lt;&gt;"",MAX(16,(O454-M454)+8),"")</f>
        <v>16</v>
      </c>
      <c r="BB454" s="26" t="n">
        <v>-45</v>
      </c>
      <c r="BC454" s="26" t="n">
        <v>-65</v>
      </c>
      <c r="BD454" s="26" t="n">
        <f aca="false">MIN(AE454/150, 1)*30</f>
        <v>28</v>
      </c>
      <c r="BE454" s="26" t="n">
        <f aca="false">MIN(Q454/4000, 1)*20</f>
        <v>0.05</v>
      </c>
      <c r="BF454" s="26" t="n">
        <f aca="false">MIN(AC454/400,1)*20</f>
        <v>0.25</v>
      </c>
      <c r="BG454" s="4" t="n">
        <f aca="false">1-(MAX(M454-1900, 0)/750)</f>
        <v>0.885333333333333</v>
      </c>
      <c r="BH454" s="26" t="n">
        <f aca="false">((MAX($P454,1)*MIN($AL454/300,1)))*IF(J454="Wagon",50,10)</f>
        <v>16.3333333333333</v>
      </c>
      <c r="BI454" s="1" t="n">
        <f aca="false">VLOOKUP($K454,Constants!$I:$K, 2, FALSE())</f>
        <v>1.2</v>
      </c>
      <c r="BJ454" s="1" t="n">
        <f aca="false">VLOOKUP($K454,Constants!$I:$K, 3, FALSE())*IF(AND(J454="multiple_unit",AE454&lt;110),0.75,1)</f>
        <v>0.6</v>
      </c>
      <c r="BK454" s="1" t="n">
        <f aca="false">INT(POWER(((Constants!$G$2+$BD454+$BE454+$BF454+$BH454)*$BG454)*$BJ454, 1.05))+$BC454</f>
        <v>-34</v>
      </c>
      <c r="BL454" s="1" t="n">
        <f aca="false">INT(POWER((((Constants!$G$1+$BD454+$BE454+$BF454+$BH454)*($BG454))*$BI454),IF($J454="wagon",1,1.2)))+$BB454</f>
        <v>100</v>
      </c>
      <c r="BM454" s="17" t="n">
        <f aca="false">BK454*IF($J454="wagon",62.5,781.25)</f>
        <v>-26562.5</v>
      </c>
      <c r="BN454" s="17" t="n">
        <f aca="false">BL454*IF($J454="wagon",2.73,81.25)</f>
        <v>8125</v>
      </c>
      <c r="BR454" s="26" t="n">
        <v>1</v>
      </c>
      <c r="BS454" s="26" t="n">
        <v>1</v>
      </c>
      <c r="BT454" s="26" t="s">
        <v>1716</v>
      </c>
      <c r="BU454" s="1" t="str">
        <f aca="false">IF(J454="locomotive","B","")</f>
        <v/>
      </c>
      <c r="BV454" s="1" t="str">
        <f aca="false">IF(OR($J454="locomotive",$J454="wagon"),"B","")</f>
        <v/>
      </c>
      <c r="BX454" s="26" t="s">
        <v>1717</v>
      </c>
      <c r="BY454" s="26" t="n">
        <v>7</v>
      </c>
      <c r="BZ454" s="26" t="n">
        <v>222</v>
      </c>
      <c r="CB454" s="26" t="s">
        <v>366</v>
      </c>
      <c r="CC454" s="26" t="s">
        <v>367</v>
      </c>
      <c r="CD454" s="1" t="str">
        <f aca="false">VLOOKUP(M454,Eras!$A$2:$C$10, 2, TRUE())</f>
        <v>lbr</v>
      </c>
      <c r="CE454" s="26" t="s">
        <v>913</v>
      </c>
      <c r="CF454" s="26" t="str">
        <f aca="false">CONCATENATE(CD454,"_",CE454)</f>
        <v>lbr_EMU (Express)</v>
      </c>
      <c r="CG454" s="26" t="str">
        <f aca="false">_xlfn.CONCAT(K454, "_",L454)</f>
        <v>carriage_RAIL</v>
      </c>
      <c r="CH454" s="7" t="str">
        <f aca="false">_xlfn.CONCAT("{BLACK}Length: {GOLD}", TEXT(ROUNDUP(IF(AS454&lt;&gt;"",SUM(VALUE(_xlfn.TEXTSPLIT(AS454, ","))), SUM(VALUE(_xlfn.TEXTSPLIT(AP454, ",")))*IF(P454, P454, 1))/16, 1), "#,##0.0"), " tiles{}")</f>
        <v>{BLACK}Length: {GOLD}7.5 tiles{}</v>
      </c>
      <c r="CI454" s="1" t="str">
        <f aca="false">IF(0, VLOOKUP($CG454, Constants!$M:$N, 2, FALSE()),"")</f>
        <v/>
      </c>
      <c r="CJ454" s="1" t="str">
        <f aca="false">IF(P454&gt;1,_xlfn.CONCAT("{BLACK}Cars: {GOLD}", P454),"")</f>
        <v>{BLACK}Cars: {GOLD}10</v>
      </c>
      <c r="CK454" s="26" t="s">
        <v>1718</v>
      </c>
      <c r="CL454" s="1" t="str">
        <f aca="false">IF($BX454="concept_trains","{GREEN}Concept Vehicle",IF($BX454="!param_no_gameplay_units","{GREEN}Included for gameplay purposes",""))</f>
        <v/>
      </c>
      <c r="CM454" s="26" t="str">
        <f aca="false">IF(CA454="buffet","{YELLOW}25% long distance bonus for consist{}",IF(CD454="BRAKE","{YELLOW}Speed bonus for slow wagons{}",IF(BZ454&gt;190,CONCATENATE("{YELLOW}",INT((BZ454-185)/1.85),"% bonus for long distance travel{}"),IF(AND(BZ454&lt;180,BZ454&lt;&gt;0),CONCATENATE("{YELLOW}",INT((185-BZ454)/1.85),"% penalty for long distance travel{}"),""))))</f>
        <v>{YELLOW}20% bonus for long distance travel{}</v>
      </c>
      <c r="CN454" s="1" t="str">
        <f aca="false">_xlfn.CONCAT(CI454,IF(CI454&lt;&gt;""," ",""),CJ454,IF(OR(CJ454&lt;&gt;"",CI454&lt;&gt;""),"{}",""),CH454,CM454,"{SILVER}",CK454,IF(CL454&lt;&gt;"","{}{}",""),CL454)</f>
        <v>{BLACK}Cars: {GOLD}10{}{BLACK}Length: {GOLD}7.5 tiles{}{YELLOW}20% bonus for long distance travel{}{SILVER}An articulated trailer rake of APT-S Vehicles, intended to run with a Driving Motor and a DVT but also usable in other weird combinations.</v>
      </c>
      <c r="XFD454" s="1"/>
    </row>
    <row r="455" s="26" customFormat="true" ht="14.25" hidden="false" customHeight="false" outlineLevel="0" collapsed="false">
      <c r="A455" s="26" t="s">
        <v>1719</v>
      </c>
      <c r="B455" s="27" t="s">
        <v>1720</v>
      </c>
      <c r="C455" s="1" t="n">
        <v>3059</v>
      </c>
      <c r="E455" s="1" t="n">
        <v>1039</v>
      </c>
      <c r="G455" s="1" t="str">
        <f aca="false">IF($F455&lt;&gt;"",_xlfn.CONCAT(VLOOKUP($CE455, Constants!$T:$U, 2, FALSE()),",",$F455),VLOOKUP($CE455, Constants!$T:$U, 2, FALSE()))</f>
        <v>role/express_passenger</v>
      </c>
      <c r="H455" s="1" t="str">
        <f aca="false">IF($G455&lt;&gt;"",_xlfn.CONCAT(VLOOKUP($CG455, Constants!$M:$P, 4, FALSE()),",",$G455),VLOOKUP($CG455, Constants!$M:$P, 4, FALSE()))</f>
        <v>flag/GB,role/express_passenger</v>
      </c>
      <c r="I455" s="26" t="s">
        <v>241</v>
      </c>
      <c r="J455" s="26" t="s">
        <v>1075</v>
      </c>
      <c r="K455" s="1" t="s">
        <v>1581</v>
      </c>
      <c r="L455" s="26" t="s">
        <v>192</v>
      </c>
      <c r="M455" s="26" t="n">
        <v>1986</v>
      </c>
      <c r="N455" s="26" t="n">
        <v>1991</v>
      </c>
      <c r="O455" s="26" t="n">
        <v>1994</v>
      </c>
      <c r="P455" s="26" t="n">
        <v>6</v>
      </c>
      <c r="Q455" s="26" t="n">
        <v>10</v>
      </c>
      <c r="R455" s="2"/>
      <c r="S455" s="3"/>
      <c r="T455" s="3"/>
      <c r="U455" s="3"/>
      <c r="V455" s="3"/>
      <c r="W455" s="3"/>
      <c r="X455" s="3"/>
      <c r="Y455" s="3"/>
      <c r="Z455" s="26" t="n">
        <v>209.6</v>
      </c>
      <c r="AA455" s="2"/>
      <c r="AB455" s="26" t="n">
        <v>4</v>
      </c>
      <c r="AC455" s="26" t="n">
        <v>5</v>
      </c>
      <c r="AD455" s="4" t="n">
        <f aca="false">IF(AND(Z455&gt;0,AC455&gt;0),(AC455/((Z455+AA455)*10)),"")</f>
        <v>0.00238549618320611</v>
      </c>
      <c r="AE455" s="26" t="n">
        <v>140</v>
      </c>
      <c r="AF455" s="26" t="n">
        <f aca="false">ROUND(AE455*1.6, 0)</f>
        <v>224</v>
      </c>
      <c r="AH455" s="26" t="n">
        <v>20.9</v>
      </c>
      <c r="AI455" s="26" t="n">
        <v>20.9</v>
      </c>
      <c r="AJ455" s="26" t="n">
        <v>2.7</v>
      </c>
      <c r="AK455" s="26" t="n">
        <v>3.5</v>
      </c>
      <c r="AL455" s="5" t="n">
        <v>50</v>
      </c>
      <c r="AM455" s="1" t="str">
        <f aca="false">CONCATENATE(VLOOKUP(AN455, 'Voxel Sizes'!$A$2:$B$18,2,FALSE()),"x",INT(AJ455*15), "x", INT(AK455*15))</f>
        <v>198x40x52</v>
      </c>
      <c r="AN455" s="26" t="n">
        <f aca="false">ROUND(15*((AI455*10)/256),0)</f>
        <v>12</v>
      </c>
      <c r="AP455" s="1" t="str">
        <f aca="false">CONCATENATE(VLOOKUP(AN455,Constants!$A$2:$C$16,IF(AO455&lt;&gt;"", 3, 2), FALSE()),IF(AO455&lt;&gt;"",CONCATENATE(",",VLOOKUP(AO455,$B:$AP,41,FALSE())),""))</f>
        <v>4,4,4</v>
      </c>
      <c r="AR455" s="6"/>
      <c r="AS455" s="6"/>
      <c r="AT455" s="26" t="s">
        <v>1721</v>
      </c>
      <c r="AV455" s="26" t="s">
        <v>894</v>
      </c>
      <c r="AW455" s="26" t="s">
        <v>1715</v>
      </c>
      <c r="AZ455" s="26" t="n">
        <v>20</v>
      </c>
      <c r="BA455" s="16" t="n">
        <f aca="false">IF(O455&lt;&gt;"",MAX(16,(O455-M455)+8),"")</f>
        <v>16</v>
      </c>
      <c r="BB455" s="26" t="n">
        <v>-45</v>
      </c>
      <c r="BC455" s="26" t="n">
        <v>-65</v>
      </c>
      <c r="BD455" s="26" t="n">
        <f aca="false">MIN(AE455/150, 1)*30</f>
        <v>28</v>
      </c>
      <c r="BE455" s="26" t="n">
        <f aca="false">MIN(Q455/4000, 1)*20</f>
        <v>0.05</v>
      </c>
      <c r="BF455" s="26" t="n">
        <f aca="false">MIN(AC455/400,1)*20</f>
        <v>0.25</v>
      </c>
      <c r="BG455" s="4" t="n">
        <f aca="false">1-(MAX(M455-1900, 0)/750)</f>
        <v>0.885333333333333</v>
      </c>
      <c r="BH455" s="26" t="n">
        <f aca="false">((MAX($P455,1)*MIN($AL455/300,1)))*IF(J455="Wagon",50,10)</f>
        <v>10</v>
      </c>
      <c r="BI455" s="1" t="n">
        <f aca="false">VLOOKUP($K455,Constants!$I:$K, 2, FALSE())</f>
        <v>1.2</v>
      </c>
      <c r="BJ455" s="1" t="n">
        <f aca="false">VLOOKUP($K455,Constants!$I:$K, 3, FALSE())*IF(AND(J455="multiple_unit",AE455&lt;110),0.75,1)</f>
        <v>0.6</v>
      </c>
      <c r="BK455" s="1" t="n">
        <f aca="false">INT(POWER(((Constants!$G$2+$BD455+$BE455+$BF455+$BH455)*$BG455)*$BJ455, 1.05))+$BC455</f>
        <v>-39</v>
      </c>
      <c r="BL455" s="1" t="n">
        <f aca="false">INT(POWER((((Constants!$G$1+$BD455+$BE455+$BF455+$BH455)*($BG455))*$BI455),IF($J455="wagon",1,1.2)))+$BB455</f>
        <v>81</v>
      </c>
      <c r="BM455" s="17" t="n">
        <f aca="false">BK455*IF($J455="wagon",62.5,781.25)</f>
        <v>-30468.75</v>
      </c>
      <c r="BN455" s="17" t="n">
        <f aca="false">BL455*IF($J455="wagon",2.73,81.25)</f>
        <v>6581.25</v>
      </c>
      <c r="BR455" s="26" t="n">
        <v>1</v>
      </c>
      <c r="BS455" s="26" t="n">
        <v>1</v>
      </c>
      <c r="BT455" s="26" t="s">
        <v>1722</v>
      </c>
      <c r="BU455" s="1" t="str">
        <f aca="false">IF(J455="locomotive","B","")</f>
        <v/>
      </c>
      <c r="BV455" s="1" t="str">
        <f aca="false">IF(OR($J455="locomotive",$J455="wagon"),"B","")</f>
        <v/>
      </c>
      <c r="BX455" s="26" t="s">
        <v>1723</v>
      </c>
      <c r="BY455" s="26" t="n">
        <v>7</v>
      </c>
      <c r="BZ455" s="26" t="n">
        <v>222</v>
      </c>
      <c r="CB455" s="26" t="s">
        <v>366</v>
      </c>
      <c r="CC455" s="26" t="s">
        <v>367</v>
      </c>
      <c r="CD455" s="1" t="str">
        <f aca="false">VLOOKUP(M455,Eras!$A$2:$C$10, 2, TRUE())</f>
        <v>lbr</v>
      </c>
      <c r="CE455" s="26" t="s">
        <v>913</v>
      </c>
      <c r="CF455" s="26" t="str">
        <f aca="false">CONCATENATE(CD455,"_",CE455)</f>
        <v>lbr_EMU (Express)</v>
      </c>
      <c r="CG455" s="26" t="str">
        <f aca="false">_xlfn.CONCAT(K455, "_",L455)</f>
        <v>carriage_RAIL</v>
      </c>
      <c r="CH455" s="7" t="str">
        <f aca="false">_xlfn.CONCAT("{BLACK}Length: {GOLD}", TEXT(ROUNDUP(IF(AS455&lt;&gt;"",SUM(VALUE(_xlfn.TEXTSPLIT(AS455, ","))), SUM(VALUE(_xlfn.TEXTSPLIT(AP455, ",")))*IF(P455, P455, 1))/16, 1), "#,##0.0"), " tiles{}")</f>
        <v>{BLACK}Length: {GOLD}4.5 tiles{}</v>
      </c>
      <c r="CI455" s="1" t="str">
        <f aca="false">IF(0, VLOOKUP($CG455, Constants!$M:$N, 2, FALSE()),"")</f>
        <v/>
      </c>
      <c r="CJ455" s="1" t="str">
        <f aca="false">IF(P455&gt;1,_xlfn.CONCAT("{BLACK}Cars: {GOLD}", P455),"")</f>
        <v>{BLACK}Cars: {GOLD}6</v>
      </c>
      <c r="CK455" s="26" t="s">
        <v>1718</v>
      </c>
      <c r="CL455" s="1" t="str">
        <f aca="false">IF($BX455="concept_trains","{GREEN}Concept Vehicle",IF($BX455="!param_no_gameplay_units","{GREEN}Included for gameplay purposes",""))</f>
        <v/>
      </c>
      <c r="CM455" s="26" t="str">
        <f aca="false">IF(CA455="buffet","{YELLOW}25% long distance bonus for consist{}",IF(CD455="BRAKE","{YELLOW}Speed bonus for slow wagons{}",IF(BZ455&gt;190,CONCATENATE("{YELLOW}",INT((BZ455-185)/1.85),"% bonus for long distance travel{}"),IF(AND(BZ455&lt;180,BZ455&lt;&gt;0),CONCATENATE("{YELLOW}",INT((185-BZ455)/1.85),"% penalty for long distance travel{}"),""))))</f>
        <v>{YELLOW}20% bonus for long distance travel{}</v>
      </c>
      <c r="CN455" s="1" t="str">
        <f aca="false">_xlfn.CONCAT(CI455,IF(CI455&lt;&gt;""," ",""),CJ455,IF(OR(CJ455&lt;&gt;"",CI455&lt;&gt;""),"{}",""),CH455,CM455,"{SILVER}",CK455,IF(CL455&lt;&gt;"","{}{}",""),CL455)</f>
        <v>{BLACK}Cars: {GOLD}6{}{BLACK}Length: {GOLD}4.5 tiles{}{YELLOW}20% bonus for long distance travel{}{SILVER}An articulated trailer rake of APT-S Vehicles, intended to run with a Driving Motor and a DVT but also usable in other weird combinations.</v>
      </c>
      <c r="XFD455" s="1"/>
    </row>
    <row r="456" customFormat="false" ht="14.25" hidden="false" customHeight="false" outlineLevel="0" collapsed="false">
      <c r="A456" s="1" t="s">
        <v>1724</v>
      </c>
      <c r="B456" s="15" t="s">
        <v>1725</v>
      </c>
      <c r="C456" s="1" t="n">
        <v>34</v>
      </c>
      <c r="E456" s="1" t="n">
        <v>1040</v>
      </c>
      <c r="F456" s="1" t="s">
        <v>186</v>
      </c>
      <c r="G456" s="1" t="str">
        <f aca="false">IF($F456&lt;&gt;"",_xlfn.CONCAT(VLOOKUP($CE456, Constants!$T:$U, 2, FALSE()),",",$F456),VLOOKUP($CE456, Constants!$T:$U, 2, FALSE()))</f>
        <v>role/passenger,_ww_livery/intercity</v>
      </c>
      <c r="H456" s="1" t="str">
        <f aca="false">IF($G456&lt;&gt;"",_xlfn.CONCAT(VLOOKUP($CG456, Constants!$M:$P, 4, FALSE()),",",$G456),VLOOKUP($CG456, Constants!$M:$P, 4, FALSE()))</f>
        <v>flag/GB,role/passenger,_ww_livery/intercity</v>
      </c>
      <c r="I456" s="1" t="s">
        <v>241</v>
      </c>
      <c r="J456" s="1" t="s">
        <v>1580</v>
      </c>
      <c r="K456" s="1" t="s">
        <v>1581</v>
      </c>
      <c r="L456" s="1" t="s">
        <v>192</v>
      </c>
      <c r="M456" s="1" t="n">
        <v>1988</v>
      </c>
      <c r="Z456" s="1" t="n">
        <v>40</v>
      </c>
      <c r="AB456" s="1" t="n">
        <v>5</v>
      </c>
      <c r="AD456" s="4" t="str">
        <f aca="false">IF(AND(Z456&gt;0,AC456&gt;0),(AC456/((Z456+AA456)*10)),"")</f>
        <v/>
      </c>
      <c r="AE456" s="1" t="n">
        <v>140</v>
      </c>
      <c r="AF456" s="1" t="n">
        <f aca="false">ROUND(AE456*1.6, 0)</f>
        <v>224</v>
      </c>
      <c r="AH456" s="1" t="n">
        <v>23</v>
      </c>
      <c r="AI456" s="1" t="n">
        <v>23</v>
      </c>
      <c r="AJ456" s="1" t="n">
        <v>2.82</v>
      </c>
      <c r="AK456" s="1" t="n">
        <v>3.79</v>
      </c>
      <c r="AL456" s="5" t="n">
        <v>72</v>
      </c>
      <c r="AM456" s="1" t="str">
        <f aca="false">CONCATENATE(VLOOKUP(AN456, 'Voxel Sizes'!$A$2:$B$18,2,FALSE()),"x",INT(AJ456*15), "x", INT(AK456*15))</f>
        <v>214x42x56</v>
      </c>
      <c r="AN456" s="1" t="n">
        <f aca="false">ROUND(15*((AI456*10)/256),0)</f>
        <v>13</v>
      </c>
      <c r="AP456" s="1" t="str">
        <f aca="false">CONCATENATE(VLOOKUP(AN456,Constants!$A$2:$C$16,IF(AO456&lt;&gt;"", 3, 2), FALSE()),IF(AO456&lt;&gt;"",CONCATENATE(",",VLOOKUP(AO456,$B:$AP,41,FALSE())),""))</f>
        <v>4,5,4</v>
      </c>
      <c r="AZ456" s="1" t="n">
        <v>30</v>
      </c>
      <c r="BA456" s="16" t="str">
        <f aca="false">IF(O456&lt;&gt;"",MAX(16,(O456-M456)+8),"")</f>
        <v/>
      </c>
      <c r="BB456" s="1" t="n">
        <v>90</v>
      </c>
      <c r="BC456" s="1" t="n">
        <f aca="false">31*3</f>
        <v>93</v>
      </c>
      <c r="BD456" s="1" t="n">
        <f aca="false">MIN(AE456/150, 1)*30</f>
        <v>28</v>
      </c>
      <c r="BE456" s="1" t="n">
        <f aca="false">MIN(Q456/4000, 1)*20</f>
        <v>0</v>
      </c>
      <c r="BF456" s="1" t="n">
        <f aca="false">MIN(AC456/400,1)*20</f>
        <v>0</v>
      </c>
      <c r="BG456" s="4" t="n">
        <f aca="false">1-(MAX(M456-1900, 0)/750)</f>
        <v>0.882666666666667</v>
      </c>
      <c r="BH456" s="1" t="n">
        <f aca="false">((MAX($P456,1)*MIN($AL456/300,1)))*IF(J456="Wagon",50,10)</f>
        <v>12</v>
      </c>
      <c r="BI456" s="1" t="n">
        <f aca="false">VLOOKUP($K456,Constants!$I:$K, 2, FALSE())</f>
        <v>1.2</v>
      </c>
      <c r="BJ456" s="1" t="n">
        <f aca="false">VLOOKUP($K456,Constants!$I:$K, 3, FALSE())*IF(AND(J456="multiple_unit",AE456&lt;110),0.75,1)</f>
        <v>0.6</v>
      </c>
      <c r="BK456" s="1" t="n">
        <f aca="false">INT(POWER(((Constants!$G$2+$BD456+$BE456+$BF456+$BH456)*$BG456)*$BJ456, 1.05))+$BC456</f>
        <v>120</v>
      </c>
      <c r="BL456" s="1" t="n">
        <f aca="false">INT(POWER((((Constants!$G$1+$BD456+$BE456+$BF456+$BH456)*($BG456))*$BI456),IF($J456="wagon",1,1.2)))+$BB456</f>
        <v>148</v>
      </c>
      <c r="BM456" s="17" t="n">
        <f aca="false">BK456*IF($J456="wagon",62.5,781.25)</f>
        <v>7500</v>
      </c>
      <c r="BN456" s="17" t="n">
        <f aca="false">BL456*IF($J456="wagon",2.73,81.25)</f>
        <v>404.04</v>
      </c>
      <c r="BU456" s="1" t="str">
        <f aca="false">IF(J456="locomotive","B","")</f>
        <v/>
      </c>
      <c r="BV456" s="1" t="str">
        <f aca="false">IF(OR($J456="locomotive",$J456="wagon"),"B","")</f>
        <v>B</v>
      </c>
      <c r="BY456" s="1" t="n">
        <v>7</v>
      </c>
      <c r="BZ456" s="1" t="n">
        <v>222</v>
      </c>
      <c r="CB456" s="1" t="s">
        <v>366</v>
      </c>
      <c r="CC456" s="1" t="s">
        <v>367</v>
      </c>
      <c r="CD456" s="1" t="str">
        <f aca="false">VLOOKUP(M456,Eras!$A$2:$C$10, 2, TRUE())</f>
        <v>lbr</v>
      </c>
      <c r="CE456" s="1" t="s">
        <v>1582</v>
      </c>
      <c r="CF456" s="1" t="str">
        <f aca="false">CONCATENATE(CD456,"_",CE456)</f>
        <v>lbr_Carriage</v>
      </c>
      <c r="CG456" s="1" t="str">
        <f aca="false">_xlfn.CONCAT(K456, "_",L456)</f>
        <v>carriage_RAIL</v>
      </c>
      <c r="CH456" s="7" t="str">
        <f aca="false">_xlfn.CONCAT("{BLACK}Length: {GOLD}", TEXT(ROUNDUP(IF(AS456&lt;&gt;"",SUM(VALUE(_xlfn.TEXTSPLIT(AS456, ","))), SUM(VALUE(_xlfn.TEXTSPLIT(AP456, ",")))*IF(P456, P456, 1))/16, 1), "#,##0.0"), " tiles{}")</f>
        <v>{BLACK}Length: {GOLD}0.9 tiles{}</v>
      </c>
      <c r="CI456" s="1" t="str">
        <f aca="false">IF(0, VLOOKUP($CG456, Constants!$M:$N, 2, FALSE()),"")</f>
        <v/>
      </c>
      <c r="CJ456" s="1" t="str">
        <f aca="false">IF(P456&gt;1,_xlfn.CONCAT("{BLACK}Cars: {GOLD}", P456),"")</f>
        <v/>
      </c>
      <c r="CK456" s="1" t="s">
        <v>1726</v>
      </c>
      <c r="CL456" s="1" t="str">
        <f aca="false">IF($BX456="concept_trains","{GREEN}Concept Vehicle",IF($BX456="!param_no_gameplay_units","{GREEN}Included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{YELLOW}20% bonus for long distance travel{}</v>
      </c>
      <c r="CN456" s="1" t="str">
        <f aca="false">_xlfn.CONCAT(CI456,IF(CI456&lt;&gt;""," ",""),CJ456,IF(OR(CJ456&lt;&gt;"",CI456&lt;&gt;""),"{}",""),CH456,CM456,"{SILVER}",CK456,IF(CL456&lt;&gt;"","{}{}",""),CL456)</f>
        <v>{BLACK}Length: {GOLD}0.9 tiles{}{YELLOW}20% bonus for long distance travel{}{SILVER}The Mk4 carriage is a further improvement on the Mk3. It's designed for use with the Class 91 for Intercity 225 services. Access is improved with greater consideration for wheelchair users.</v>
      </c>
    </row>
    <row r="457" customFormat="false" ht="14.25" hidden="false" customHeight="false" outlineLevel="0" collapsed="false">
      <c r="A457" s="1" t="s">
        <v>1727</v>
      </c>
      <c r="B457" s="15" t="s">
        <v>1728</v>
      </c>
      <c r="C457" s="1" t="n">
        <v>35</v>
      </c>
      <c r="D457" s="1" t="n">
        <v>34</v>
      </c>
      <c r="E457" s="1" t="n">
        <v>1041</v>
      </c>
      <c r="F457" s="1" t="s">
        <v>186</v>
      </c>
      <c r="G457" s="1" t="str">
        <f aca="false">IF($F457&lt;&gt;"",_xlfn.CONCAT(VLOOKUP($CE457, Constants!$T:$U, 2, FALSE()),",",$F457),VLOOKUP($CE457, Constants!$T:$U, 2, FALSE()))</f>
        <v>role/passenger,_ww_livery/intercity</v>
      </c>
      <c r="H457" s="1" t="str">
        <f aca="false">IF($G457&lt;&gt;"",_xlfn.CONCAT(VLOOKUP($CG457, Constants!$M:$P, 4, FALSE()),",",$G457),VLOOKUP($CG457, Constants!$M:$P, 4, FALSE()))</f>
        <v>flag/GB,role/passenger,_ww_livery/intercity</v>
      </c>
      <c r="I457" s="1" t="s">
        <v>241</v>
      </c>
      <c r="J457" s="1" t="s">
        <v>1580</v>
      </c>
      <c r="K457" s="1" t="s">
        <v>1581</v>
      </c>
      <c r="L457" s="1" t="s">
        <v>192</v>
      </c>
      <c r="M457" s="1" t="n">
        <v>1988</v>
      </c>
      <c r="Z457" s="1" t="n">
        <v>40</v>
      </c>
      <c r="AB457" s="1" t="n">
        <v>4</v>
      </c>
      <c r="AD457" s="4" t="str">
        <f aca="false">IF(AND(Z457&gt;0,AC457&gt;0),(AC457/((Z457+AA457)*10)),"")</f>
        <v/>
      </c>
      <c r="AE457" s="1" t="n">
        <v>140</v>
      </c>
      <c r="AF457" s="1" t="n">
        <f aca="false">ROUND(AE457*1.6, 0)</f>
        <v>224</v>
      </c>
      <c r="AH457" s="1" t="n">
        <v>23</v>
      </c>
      <c r="AI457" s="1" t="n">
        <v>23</v>
      </c>
      <c r="AJ457" s="1" t="n">
        <v>2.82</v>
      </c>
      <c r="AK457" s="1" t="n">
        <v>3.79</v>
      </c>
      <c r="AL457" s="5" t="n">
        <v>48</v>
      </c>
      <c r="AM457" s="1" t="str">
        <f aca="false">CONCATENATE(VLOOKUP(AN457, 'Voxel Sizes'!$A$2:$B$18,2,FALSE()),"x",INT(AJ457*15), "x", INT(AK457*15))</f>
        <v>214x42x56</v>
      </c>
      <c r="AN457" s="1" t="n">
        <f aca="false">ROUND(15*((AI457*10)/256),0)</f>
        <v>13</v>
      </c>
      <c r="AP457" s="1" t="str">
        <f aca="false">CONCATENATE(VLOOKUP(AN457,Constants!$A$2:$C$16,IF(AO457&lt;&gt;"", 3, 2), FALSE()),IF(AO457&lt;&gt;"",CONCATENATE(",",VLOOKUP(AO457,$B:$AP,41,FALSE())),""))</f>
        <v>4,5,4</v>
      </c>
      <c r="AZ457" s="1" t="n">
        <v>30</v>
      </c>
      <c r="BA457" s="16" t="str">
        <f aca="false">IF(O457&lt;&gt;"",MAX(16,(O457-M457)+8),"")</f>
        <v/>
      </c>
      <c r="BB457" s="1" t="n">
        <v>145</v>
      </c>
      <c r="BC457" s="1" t="n">
        <v>123</v>
      </c>
      <c r="BD457" s="1" t="n">
        <f aca="false">MIN(AE457/150, 1)*30</f>
        <v>28</v>
      </c>
      <c r="BE457" s="1" t="n">
        <f aca="false">MIN(Q457/4000, 1)*20</f>
        <v>0</v>
      </c>
      <c r="BF457" s="1" t="n">
        <f aca="false">MIN(AC457/400,1)*20</f>
        <v>0</v>
      </c>
      <c r="BG457" s="4" t="n">
        <f aca="false">1-(MAX(M457-1900, 0)/750)</f>
        <v>0.882666666666667</v>
      </c>
      <c r="BH457" s="1" t="n">
        <f aca="false">((MAX($P457,1)*MIN($AL457/300,1)))*IF(J457="Wagon",50,10)</f>
        <v>8</v>
      </c>
      <c r="BI457" s="1" t="n">
        <f aca="false">VLOOKUP($K457,Constants!$I:$K, 2, FALSE())</f>
        <v>1.2</v>
      </c>
      <c r="BJ457" s="1" t="n">
        <f aca="false">VLOOKUP($K457,Constants!$I:$K, 3, FALSE())*IF(AND(J457="multiple_unit",AE457&lt;110),0.75,1)</f>
        <v>0.6</v>
      </c>
      <c r="BK457" s="1" t="n">
        <f aca="false">INT(POWER(((Constants!$G$2+$BD457+$BE457+$BF457+$BH457)*$BG457)*$BJ457, 1.05))+$BC457</f>
        <v>148</v>
      </c>
      <c r="BL457" s="1" t="n">
        <f aca="false">INT(POWER((((Constants!$G$1+$BD457+$BE457+$BF457+$BH457)*($BG457))*$BI457),IF($J457="wagon",1,1.2)))+$BB457</f>
        <v>199</v>
      </c>
      <c r="BM457" s="17" t="n">
        <f aca="false">BK457*IF($J457="wagon",62.5,781.25)</f>
        <v>9250</v>
      </c>
      <c r="BN457" s="17" t="n">
        <f aca="false">BL457*IF($J457="wagon",2.73,81.25)</f>
        <v>543.27</v>
      </c>
      <c r="BU457" s="1" t="str">
        <f aca="false">IF(J457="locomotive","B","")</f>
        <v/>
      </c>
      <c r="BV457" s="1" t="str">
        <f aca="false">IF(OR($J457="locomotive",$J457="wagon"),"B","")</f>
        <v>B</v>
      </c>
      <c r="BY457" s="1" t="n">
        <v>7</v>
      </c>
      <c r="BZ457" s="1" t="n">
        <v>250</v>
      </c>
      <c r="CB457" s="1" t="s">
        <v>366</v>
      </c>
      <c r="CC457" s="1" t="s">
        <v>367</v>
      </c>
      <c r="CD457" s="1" t="str">
        <f aca="false">VLOOKUP(M457,Eras!$A$2:$C$10, 2, TRUE())</f>
        <v>lbr</v>
      </c>
      <c r="CE457" s="1" t="s">
        <v>1582</v>
      </c>
      <c r="CF457" s="1" t="str">
        <f aca="false">CONCATENATE(CD457,"_",CE457)</f>
        <v>lbr_Carriage</v>
      </c>
      <c r="CG457" s="1" t="str">
        <f aca="false">_xlfn.CONCAT(K457, "_",L457)</f>
        <v>carriage_RAIL</v>
      </c>
      <c r="CH457" s="7" t="str">
        <f aca="false">_xlfn.CONCAT("{BLACK}Length: {GOLD}", TEXT(ROUNDUP(IF(AS457&lt;&gt;"",SUM(VALUE(_xlfn.TEXTSPLIT(AS457, ","))), SUM(VALUE(_xlfn.TEXTSPLIT(AP457, ",")))*IF(P457, P457, 1))/16, 1), "#,##0.0"), " tiles{}")</f>
        <v>{BLACK}Length: {GOLD}0.9 tiles{}</v>
      </c>
      <c r="CI457" s="1" t="str">
        <f aca="false">IF(0, VLOOKUP($CG457, Constants!$M:$N, 2, FALSE()),"")</f>
        <v/>
      </c>
      <c r="CJ457" s="1" t="str">
        <f aca="false">IF(P457&gt;1,_xlfn.CONCAT("{BLACK}Cars: {GOLD}", P457),"")</f>
        <v/>
      </c>
      <c r="CK457" s="1" t="s">
        <v>1729</v>
      </c>
      <c r="CL457" s="1" t="str">
        <f aca="false">IF($BX457="concept_trains","{GREEN}Concept Vehicle",IF($BX457="!param_no_gameplay_units","{GREEN}Included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{YELLOW}35% bonus for long distance travel{}</v>
      </c>
      <c r="CN457" s="1" t="str">
        <f aca="false">_xlfn.CONCAT(CI457,IF(CI457&lt;&gt;""," ",""),CJ457,IF(OR(CJ457&lt;&gt;"",CI457&lt;&gt;""),"{}",""),CH457,CM457,"{SILVER}",CK457,IF(CL457&lt;&gt;"","{}{}",""),CL457)</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58" customFormat="false" ht="14.25" hidden="false" customHeight="false" outlineLevel="0" collapsed="false">
      <c r="A458" s="1" t="s">
        <v>1730</v>
      </c>
      <c r="B458" s="15" t="s">
        <v>1731</v>
      </c>
      <c r="C458" s="1" t="n">
        <v>36</v>
      </c>
      <c r="D458" s="1" t="n">
        <v>34</v>
      </c>
      <c r="E458" s="1" t="n">
        <v>1042</v>
      </c>
      <c r="F458" s="1" t="s">
        <v>186</v>
      </c>
      <c r="G458" s="1" t="str">
        <f aca="false">IF($F458&lt;&gt;"",_xlfn.CONCAT(VLOOKUP($CE458, Constants!$T:$U, 2, FALSE()),",",$F458),VLOOKUP($CE458, Constants!$T:$U, 2, FALSE()))</f>
        <v>role/passenger,_ww_livery/intercity</v>
      </c>
      <c r="H458" s="1" t="str">
        <f aca="false">IF($G458&lt;&gt;"",_xlfn.CONCAT(VLOOKUP($CG458, Constants!$M:$P, 4, FALSE()),",",$G458),VLOOKUP($CG458, Constants!$M:$P, 4, FALSE()))</f>
        <v>flag/GB,role/passenger,_ww_livery/intercity</v>
      </c>
      <c r="I458" s="1" t="s">
        <v>241</v>
      </c>
      <c r="J458" s="1" t="s">
        <v>1580</v>
      </c>
      <c r="K458" s="1" t="s">
        <v>1581</v>
      </c>
      <c r="L458" s="1" t="s">
        <v>192</v>
      </c>
      <c r="M458" s="1" t="n">
        <v>1988</v>
      </c>
      <c r="Z458" s="1" t="n">
        <v>42</v>
      </c>
      <c r="AB458" s="1" t="n">
        <v>4</v>
      </c>
      <c r="AD458" s="4" t="str">
        <f aca="false">IF(AND(Z458&gt;0,AC458&gt;0),(AC458/((Z458+AA458)*10)),"")</f>
        <v/>
      </c>
      <c r="AE458" s="1" t="n">
        <v>140</v>
      </c>
      <c r="AF458" s="1" t="n">
        <f aca="false">ROUND(AE458*1.6, 0)</f>
        <v>224</v>
      </c>
      <c r="AH458" s="1" t="n">
        <v>23</v>
      </c>
      <c r="AI458" s="1" t="n">
        <v>23</v>
      </c>
      <c r="AJ458" s="1" t="n">
        <v>2.82</v>
      </c>
      <c r="AK458" s="1" t="n">
        <v>3.79</v>
      </c>
      <c r="AL458" s="5" t="n">
        <v>24</v>
      </c>
      <c r="AM458" s="1" t="str">
        <f aca="false">CONCATENATE(VLOOKUP(AN458, 'Voxel Sizes'!$A$2:$B$18,2,FALSE()),"x",INT(AJ458*15), "x", INT(AK458*15))</f>
        <v>214x42x56</v>
      </c>
      <c r="AN458" s="1" t="n">
        <f aca="false">ROUND(15*((AI458*10)/256),0)</f>
        <v>13</v>
      </c>
      <c r="AP458" s="1" t="str">
        <f aca="false">CONCATENATE(VLOOKUP(AN458,Constants!$A$2:$C$16,IF(AO458&lt;&gt;"", 3, 2), FALSE()),IF(AO458&lt;&gt;"",CONCATENATE(",",VLOOKUP(AO458,$B:$AP,41,FALSE())),""))</f>
        <v>4,5,4</v>
      </c>
      <c r="AZ458" s="1" t="n">
        <v>30</v>
      </c>
      <c r="BA458" s="16" t="str">
        <f aca="false">IF(O458&lt;&gt;"",MAX(16,(O458-M458)+8),"")</f>
        <v/>
      </c>
      <c r="BB458" s="1" t="n">
        <v>1350</v>
      </c>
      <c r="BC458" s="1" t="n">
        <v>190</v>
      </c>
      <c r="BD458" s="1" t="n">
        <f aca="false">MIN(AE458/150, 1)*30</f>
        <v>28</v>
      </c>
      <c r="BE458" s="1" t="n">
        <f aca="false">MIN(Q458/4000, 1)*20</f>
        <v>0</v>
      </c>
      <c r="BF458" s="1" t="n">
        <f aca="false">MIN(AC458/400,1)*20</f>
        <v>0</v>
      </c>
      <c r="BG458" s="4" t="n">
        <f aca="false">1-(MAX(M458-1900, 0)/750)</f>
        <v>0.882666666666667</v>
      </c>
      <c r="BH458" s="1" t="n">
        <f aca="false">((MAX($P458,1)*MIN($AL458/300,1)))*IF(J458="Wagon",50,10)</f>
        <v>4</v>
      </c>
      <c r="BI458" s="1" t="n">
        <f aca="false">VLOOKUP($K458,Constants!$I:$K, 2, FALSE())</f>
        <v>1.2</v>
      </c>
      <c r="BJ458" s="1" t="n">
        <f aca="false">VLOOKUP($K458,Constants!$I:$K, 3, FALSE())*IF(AND(J458="multiple_unit",AE458&lt;110),0.75,1)</f>
        <v>0.6</v>
      </c>
      <c r="BK458" s="1" t="n">
        <f aca="false">INT(POWER(((Constants!$G$2+$BD458+$BE458+$BF458+$BH458)*$BG458)*$BJ458, 1.05))+$BC458</f>
        <v>212</v>
      </c>
      <c r="BL458" s="1" t="n">
        <f aca="false">INT(POWER((((Constants!$G$1+$BD458+$BE458+$BF458+$BH458)*($BG458))*$BI458),IF($J458="wagon",1,1.2)))+$BB458</f>
        <v>1399</v>
      </c>
      <c r="BM458" s="17" t="n">
        <f aca="false">BK458*IF($J458="wagon",62.5,781.25)</f>
        <v>13250</v>
      </c>
      <c r="BN458" s="17" t="n">
        <f aca="false">BL458*IF($J458="wagon",2.73,81.25)</f>
        <v>3819.27</v>
      </c>
      <c r="BU458" s="1" t="str">
        <f aca="false">IF(J458="locomotive","B","")</f>
        <v/>
      </c>
      <c r="BV458" s="1" t="str">
        <f aca="false">IF(OR($J458="locomotive",$J458="wagon"),"B","")</f>
        <v>B</v>
      </c>
      <c r="BY458" s="1" t="n">
        <v>7</v>
      </c>
      <c r="BZ458" s="1" t="n">
        <v>250</v>
      </c>
      <c r="CA458" s="1" t="s">
        <v>973</v>
      </c>
      <c r="CB458" s="1" t="s">
        <v>366</v>
      </c>
      <c r="CC458" s="1" t="s">
        <v>367</v>
      </c>
      <c r="CD458" s="1" t="str">
        <f aca="false">VLOOKUP(M458,Eras!$A$2:$C$10, 2, TRUE())</f>
        <v>lbr</v>
      </c>
      <c r="CE458" s="1" t="s">
        <v>1582</v>
      </c>
      <c r="CF458" s="1" t="str">
        <f aca="false">CONCATENATE(CD458,"_",CE458)</f>
        <v>lbr_Carriage</v>
      </c>
      <c r="CG458" s="1" t="str">
        <f aca="false">_xlfn.CONCAT(K458, "_",L458)</f>
        <v>carriage_RAIL</v>
      </c>
      <c r="CH458" s="7" t="str">
        <f aca="false">_xlfn.CONCAT("{BLACK}Length: {GOLD}", TEXT(ROUNDUP(IF(AS458&lt;&gt;"",SUM(VALUE(_xlfn.TEXTSPLIT(AS458, ","))), SUM(VALUE(_xlfn.TEXTSPLIT(AP458, ",")))*IF(P458, P458, 1))/16, 1), "#,##0.0"), " tiles{}")</f>
        <v>{BLACK}Length: {GOLD}0.9 tiles{}</v>
      </c>
      <c r="CI458" s="1" t="str">
        <f aca="false">IF(0, VLOOKUP($CG458, Constants!$M:$N, 2, FALSE()),"")</f>
        <v/>
      </c>
      <c r="CJ458" s="1" t="str">
        <f aca="false">IF(P458&gt;1,_xlfn.CONCAT("{BLACK}Cars: {GOLD}", P458),"")</f>
        <v/>
      </c>
      <c r="CK458" s="1" t="s">
        <v>1732</v>
      </c>
      <c r="CL458" s="1" t="str">
        <f aca="false">IF($BX458="concept_trains","{GREEN}Concept Vehicle",IF($BX458="!param_no_gameplay_units","{GREEN}Included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{YELLOW}25% long distance bonus for consist{}</v>
      </c>
      <c r="CN458" s="1" t="str">
        <f aca="false">_xlfn.CONCAT(CI458,IF(CI458&lt;&gt;""," ",""),CJ458,IF(OR(CJ458&lt;&gt;"",CI458&lt;&gt;""),"{}",""),CH458,CM458,"{SILVER}",CK458,IF(CL458&lt;&gt;"","{}{}",""),CL458)</f>
        <v>{BLACK}Length: {GOLD}0.9 tiles{}{YELLOW}25% long distance bonus for consist{}{SILVER}Intercity 225 formations included restaurant cars from their introduction, initially as first class RFB cars.</v>
      </c>
    </row>
    <row r="459" customFormat="false" ht="14.25" hidden="false" customHeight="false" outlineLevel="0" collapsed="false">
      <c r="A459" s="1" t="s">
        <v>1733</v>
      </c>
      <c r="B459" s="15" t="s">
        <v>1734</v>
      </c>
      <c r="C459" s="1" t="n">
        <v>37</v>
      </c>
      <c r="D459" s="1" t="n">
        <v>34</v>
      </c>
      <c r="E459" s="1" t="n">
        <v>1043</v>
      </c>
      <c r="F459" s="1" t="s">
        <v>186</v>
      </c>
      <c r="G459" s="1" t="str">
        <f aca="false">IF($F459&lt;&gt;"",_xlfn.CONCAT(VLOOKUP($CE459, Constants!$T:$U, 2, FALSE()),",",$F459),VLOOKUP($CE459, Constants!$T:$U, 2, FALSE()))</f>
        <v>role/passenger,_ww_livery/intercity</v>
      </c>
      <c r="H459" s="1" t="str">
        <f aca="false">IF($G459&lt;&gt;"",_xlfn.CONCAT(VLOOKUP($CG459, Constants!$M:$P, 4, FALSE()),",",$G459),VLOOKUP($CG459, Constants!$M:$P, 4, FALSE()))</f>
        <v>flag/GB,role/passenger,_ww_livery/intercity</v>
      </c>
      <c r="I459" s="1" t="s">
        <v>241</v>
      </c>
      <c r="J459" s="1" t="s">
        <v>1580</v>
      </c>
      <c r="K459" s="1" t="s">
        <v>1581</v>
      </c>
      <c r="L459" s="1" t="s">
        <v>192</v>
      </c>
      <c r="M459" s="1" t="n">
        <v>2018</v>
      </c>
      <c r="Z459" s="1" t="n">
        <v>42</v>
      </c>
      <c r="AB459" s="1" t="n">
        <v>4</v>
      </c>
      <c r="AD459" s="4" t="str">
        <f aca="false">IF(AND(Z459&gt;0,AC459&gt;0),(AC459/((Z459+AA459)*10)),"")</f>
        <v/>
      </c>
      <c r="AE459" s="1" t="n">
        <v>140</v>
      </c>
      <c r="AF459" s="1" t="n">
        <f aca="false">ROUND(AE459*1.6, 0)</f>
        <v>224</v>
      </c>
      <c r="AH459" s="1" t="n">
        <v>23</v>
      </c>
      <c r="AI459" s="1" t="n">
        <v>23</v>
      </c>
      <c r="AJ459" s="1" t="n">
        <v>2.82</v>
      </c>
      <c r="AK459" s="1" t="n">
        <v>3.79</v>
      </c>
      <c r="AL459" s="5" t="n">
        <v>30</v>
      </c>
      <c r="AM459" s="1" t="str">
        <f aca="false">CONCATENATE(VLOOKUP(AN459, 'Voxel Sizes'!$A$2:$B$18,2,FALSE()),"x",INT(AJ459*15), "x", INT(AK459*15))</f>
        <v>214x42x56</v>
      </c>
      <c r="AN459" s="1" t="n">
        <f aca="false">ROUND(15*((AI459*10)/256),0)</f>
        <v>13</v>
      </c>
      <c r="AP459" s="1" t="str">
        <f aca="false">CONCATENATE(VLOOKUP(AN459,Constants!$A$2:$C$16,IF(AO459&lt;&gt;"", 3, 2), FALSE()),IF(AO459&lt;&gt;"",CONCATENATE(",",VLOOKUP(AO459,$B:$AP,41,FALSE())),""))</f>
        <v>4,5,4</v>
      </c>
      <c r="AZ459" s="1" t="n">
        <v>30</v>
      </c>
      <c r="BA459" s="16" t="str">
        <f aca="false">IF(O459&lt;&gt;"",MAX(16,(O459-M459)+8),"")</f>
        <v/>
      </c>
      <c r="BB459" s="1" t="n">
        <v>1150</v>
      </c>
      <c r="BC459" s="1" t="n">
        <v>160</v>
      </c>
      <c r="BD459" s="1" t="n">
        <f aca="false">MIN(AE459/150, 1)*30</f>
        <v>28</v>
      </c>
      <c r="BE459" s="1" t="n">
        <f aca="false">MIN(Q459/4000, 1)*20</f>
        <v>0</v>
      </c>
      <c r="BF459" s="1" t="n">
        <f aca="false">MIN(AC459/400,1)*20</f>
        <v>0</v>
      </c>
      <c r="BG459" s="4" t="n">
        <f aca="false">1-(MAX(M459-1900, 0)/750)</f>
        <v>0.842666666666667</v>
      </c>
      <c r="BH459" s="1" t="n">
        <f aca="false">((MAX($P459,1)*MIN($AL459/300,1)))*IF(J459="Wagon",50,10)</f>
        <v>5</v>
      </c>
      <c r="BI459" s="1" t="n">
        <f aca="false">VLOOKUP($K459,Constants!$I:$K, 2, FALSE())</f>
        <v>1.2</v>
      </c>
      <c r="BJ459" s="1" t="n">
        <f aca="false">VLOOKUP($K459,Constants!$I:$K, 3, FALSE())*IF(AND(J459="multiple_unit",AE459&lt;110),0.75,1)</f>
        <v>0.6</v>
      </c>
      <c r="BK459" s="1" t="n">
        <f aca="false">INT(POWER(((Constants!$G$2+$BD459+$BE459+$BF459+$BH459)*$BG459)*$BJ459, 1.05))+$BC459</f>
        <v>182</v>
      </c>
      <c r="BL459" s="1" t="n">
        <f aca="false">INT(POWER((((Constants!$G$1+$BD459+$BE459+$BF459+$BH459)*($BG459))*$BI459),IF($J459="wagon",1,1.2)))+$BB459</f>
        <v>1198</v>
      </c>
      <c r="BM459" s="17" t="n">
        <f aca="false">BK459*IF($J459="wagon",62.5,781.25)</f>
        <v>11375</v>
      </c>
      <c r="BN459" s="17" t="n">
        <f aca="false">BL459*IF($J459="wagon",2.73,81.25)</f>
        <v>3270.54</v>
      </c>
      <c r="BU459" s="1" t="str">
        <f aca="false">IF(J459="locomotive","B","")</f>
        <v/>
      </c>
      <c r="BV459" s="1" t="str">
        <f aca="false">IF(OR($J459="locomotive",$J459="wagon"),"B","")</f>
        <v>B</v>
      </c>
      <c r="BY459" s="1" t="n">
        <v>2</v>
      </c>
      <c r="BZ459" s="1" t="n">
        <v>222</v>
      </c>
      <c r="CA459" s="1" t="s">
        <v>973</v>
      </c>
      <c r="CB459" s="1" t="s">
        <v>366</v>
      </c>
      <c r="CC459" s="1" t="s">
        <v>367</v>
      </c>
      <c r="CD459" s="1" t="str">
        <f aca="false">VLOOKUP(M459,Eras!$A$2:$C$10, 2, TRUE())</f>
        <v>mod</v>
      </c>
      <c r="CE459" s="1" t="s">
        <v>1582</v>
      </c>
      <c r="CF459" s="1" t="str">
        <f aca="false">CONCATENATE(CD459,"_",CE459)</f>
        <v>mod_Carriage</v>
      </c>
      <c r="CG459" s="1" t="str">
        <f aca="false">_xlfn.CONCAT(K459, "_",L459)</f>
        <v>carriage_RAIL</v>
      </c>
      <c r="CH459" s="7" t="str">
        <f aca="false">_xlfn.CONCAT("{BLACK}Length: {GOLD}", TEXT(ROUNDUP(IF(AS459&lt;&gt;"",SUM(VALUE(_xlfn.TEXTSPLIT(AS459, ","))), SUM(VALUE(_xlfn.TEXTSPLIT(AP459, ",")))*IF(P459, P459, 1))/16, 1), "#,##0.0"), " tiles{}")</f>
        <v>{BLACK}Length: {GOLD}0.9 tiles{}</v>
      </c>
      <c r="CI459" s="1" t="str">
        <f aca="false">IF(0, VLOOKUP($CG459, Constants!$M:$N, 2, FALSE()),"")</f>
        <v/>
      </c>
      <c r="CJ459" s="1" t="str">
        <f aca="false">IF(P459&gt;1,_xlfn.CONCAT("{BLACK}Cars: {GOLD}", P459),"")</f>
        <v/>
      </c>
      <c r="CK459" s="1" t="s">
        <v>1735</v>
      </c>
      <c r="CL459" s="1" t="str">
        <f aca="false">IF($BX459="concept_trains","{GREEN}Concept Vehicle",IF($BX459="!param_no_gameplay_units","{GREEN}Included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{YELLOW}25% long distance bonus for consist{}</v>
      </c>
      <c r="CN459" s="1" t="str">
        <f aca="false">_xlfn.CONCAT(CI459,IF(CI459&lt;&gt;""," ",""),CJ459,IF(OR(CJ459&lt;&gt;"",CI459&lt;&gt;""),"{}",""),CH459,CM459,"{SILVER}",CK459,IF(CL459&lt;&gt;"","{}{}",""),CL459)</f>
        <v>{BLACK}Length: {GOLD}0.9 tiles{}{YELLOW}25% long distance bonus for consist{}{SILVER}As LNER took over East Coast Express services, RSB cars with standard-class seating were introduced, allowing more passengers to sit in the buffet car.</v>
      </c>
    </row>
    <row r="460" customFormat="false" ht="14.25" hidden="false" customHeight="false" outlineLevel="0" collapsed="false">
      <c r="A460" s="1" t="s">
        <v>1736</v>
      </c>
      <c r="B460" s="15" t="s">
        <v>1737</v>
      </c>
      <c r="C460" s="1" t="n">
        <v>38</v>
      </c>
      <c r="D460" s="1" t="n">
        <v>34</v>
      </c>
      <c r="E460" s="1" t="n">
        <v>1044</v>
      </c>
      <c r="F460" s="1" t="s">
        <v>186</v>
      </c>
      <c r="G460" s="1" t="str">
        <f aca="false">IF($F460&lt;&gt;"",_xlfn.CONCAT(VLOOKUP($CE460, Constants!$T:$U, 2, FALSE()),",",$F460),VLOOKUP($CE460, Constants!$T:$U, 2, FALSE()))</f>
        <v>role/mail,_ww_livery/intercity</v>
      </c>
      <c r="H460" s="1" t="str">
        <f aca="false">IF($G460&lt;&gt;"",_xlfn.CONCAT(VLOOKUP($CG460, Constants!$M:$P, 4, FALSE()),",",$G460),VLOOKUP($CG460, Constants!$M:$P, 4, FALSE()))</f>
        <v>flag/GB,role/mail,_ww_livery/intercity</v>
      </c>
      <c r="I460" s="1" t="s">
        <v>241</v>
      </c>
      <c r="J460" s="1" t="s">
        <v>1580</v>
      </c>
      <c r="K460" s="1" t="s">
        <v>1581</v>
      </c>
      <c r="L460" s="1" t="s">
        <v>192</v>
      </c>
      <c r="M460" s="1" t="n">
        <v>1991</v>
      </c>
      <c r="Z460" s="1" t="n">
        <v>40</v>
      </c>
      <c r="AB460" s="1" t="n">
        <v>5</v>
      </c>
      <c r="AD460" s="4" t="str">
        <f aca="false">IF(AND(Z460&gt;0,AC460&gt;0),(AC460/((Z460+AA460)*10)),"")</f>
        <v/>
      </c>
      <c r="AE460" s="1" t="n">
        <v>140</v>
      </c>
      <c r="AF460" s="1" t="n">
        <f aca="false">ROUND(AE460*1.6, 0)</f>
        <v>224</v>
      </c>
      <c r="AH460" s="1" t="n">
        <v>23</v>
      </c>
      <c r="AI460" s="1" t="n">
        <v>23</v>
      </c>
      <c r="AJ460" s="1" t="n">
        <v>2.82</v>
      </c>
      <c r="AK460" s="1" t="n">
        <v>3.79</v>
      </c>
      <c r="AL460" s="5" t="n">
        <v>78</v>
      </c>
      <c r="AM460" s="1" t="str">
        <f aca="false">CONCATENATE(VLOOKUP(AN460, 'Voxel Sizes'!$A$2:$B$18,2,FALSE()),"x",INT(AJ460*15), "x", INT(AK460*15))</f>
        <v>214x42x56</v>
      </c>
      <c r="AN460" s="1" t="n">
        <f aca="false">ROUND(15*((AI460*10)/256),0)</f>
        <v>13</v>
      </c>
      <c r="AP460" s="1" t="str">
        <f aca="false">CONCATENATE(VLOOKUP(AN460,Constants!$A$2:$C$16,IF(AO460&lt;&gt;"", 3, 2), FALSE()),IF(AO460&lt;&gt;"",CONCATENATE(",",VLOOKUP(AO460,$B:$AP,41,FALSE())),""))</f>
        <v>4,5,4</v>
      </c>
      <c r="AZ460" s="1" t="n">
        <v>30</v>
      </c>
      <c r="BA460" s="16" t="str">
        <f aca="false">IF(O460&lt;&gt;"",MAX(16,(O460-M460)+8),"")</f>
        <v/>
      </c>
      <c r="BB460" s="1" t="n">
        <v>90</v>
      </c>
      <c r="BC460" s="1" t="n">
        <f aca="false">31*3</f>
        <v>93</v>
      </c>
      <c r="BD460" s="1" t="n">
        <f aca="false">MIN(AE460/150, 1)*30</f>
        <v>28</v>
      </c>
      <c r="BE460" s="1" t="n">
        <f aca="false">MIN(Q460/4000, 1)*20</f>
        <v>0</v>
      </c>
      <c r="BF460" s="1" t="n">
        <f aca="false">MIN(AC460/400,1)*20</f>
        <v>0</v>
      </c>
      <c r="BG460" s="4" t="n">
        <f aca="false">1-(MAX(M460-1900, 0)/750)</f>
        <v>0.878666666666667</v>
      </c>
      <c r="BH460" s="1" t="n">
        <f aca="false">((MAX($P460,1)*MIN($AL460/300,1)))*IF(J460="Wagon",50,10)</f>
        <v>13</v>
      </c>
      <c r="BI460" s="1" t="n">
        <f aca="false">VLOOKUP($K460,Constants!$I:$K, 2, FALSE())</f>
        <v>1.2</v>
      </c>
      <c r="BJ460" s="1" t="n">
        <f aca="false">VLOOKUP($K460,Constants!$I:$K, 3, FALSE())*IF(AND(J460="multiple_unit",AE460&lt;110),0.75,1)</f>
        <v>0.6</v>
      </c>
      <c r="BK460" s="1" t="n">
        <f aca="false">INT(POWER(((Constants!$G$2+$BD460+$BE460+$BF460+$BH460)*$BG460)*$BJ460, 1.05))+$BC460</f>
        <v>121</v>
      </c>
      <c r="BL460" s="1" t="n">
        <f aca="false">INT(POWER((((Constants!$G$1+$BD460+$BE460+$BF460+$BH460)*($BG460))*$BI460),IF($J460="wagon",1,1.2)))+$BB460</f>
        <v>149</v>
      </c>
      <c r="BM460" s="17" t="n">
        <f aca="false">BK460*IF($J460="wagon",62.5,781.25)</f>
        <v>7562.5</v>
      </c>
      <c r="BN460" s="17" t="n">
        <f aca="false">BL460*IF($J460="wagon",2.73,81.25)</f>
        <v>406.77</v>
      </c>
      <c r="BU460" s="1" t="str">
        <f aca="false">IF(J460="locomotive","B","")</f>
        <v/>
      </c>
      <c r="BV460" s="1" t="str">
        <f aca="false">IF(OR($J460="locomotive",$J460="wagon"),"B","")</f>
        <v>B</v>
      </c>
      <c r="BX460" s="1" t="s">
        <v>1681</v>
      </c>
      <c r="BY460" s="1" t="n">
        <v>5</v>
      </c>
      <c r="BZ460" s="1" t="n">
        <v>185</v>
      </c>
      <c r="CB460" s="1" t="s">
        <v>705</v>
      </c>
      <c r="CC460" s="1" t="s">
        <v>706</v>
      </c>
      <c r="CD460" s="1" t="str">
        <f aca="false">VLOOKUP(M460,Eras!$A$2:$C$10, 2, TRUE())</f>
        <v>lbr</v>
      </c>
      <c r="CE460" s="1" t="s">
        <v>1709</v>
      </c>
      <c r="CF460" s="1" t="str">
        <f aca="false">CONCATENATE(CD460,"_",CE460)</f>
        <v>lbr_Mail Carriage</v>
      </c>
      <c r="CG460" s="1" t="str">
        <f aca="false">_xlfn.CONCAT(K460, "_",L460)</f>
        <v>carriage_RAIL</v>
      </c>
      <c r="CH460" s="7" t="str">
        <f aca="false">_xlfn.CONCAT("{BLACK}Length: {GOLD}", TEXT(ROUNDUP(IF(AS460&lt;&gt;"",SUM(VALUE(_xlfn.TEXTSPLIT(AS460, ","))), SUM(VALUE(_xlfn.TEXTSPLIT(AP460, ",")))*IF(P460, P460, 1))/16, 1), "#,##0.0"), " tiles{}")</f>
        <v>{BLACK}Length: {GOLD}0.9 tiles{}</v>
      </c>
      <c r="CI460" s="1" t="str">
        <f aca="false">IF(0, VLOOKUP($CG460, Constants!$M:$N, 2, FALSE()),"")</f>
        <v/>
      </c>
      <c r="CJ460" s="1" t="str">
        <f aca="false">IF(P460&gt;1,_xlfn.CONCAT("{BLACK}Cars: {GOLD}", P460),"")</f>
        <v/>
      </c>
      <c r="CK460" s="1" t="s">
        <v>1738</v>
      </c>
      <c r="CL460" s="1" t="str">
        <f aca="false">IF($BX460="concept_trains","{GREEN}Concept Vehicle",IF($BX460="!param_no_gameplay_units","{GREEN}Included for gameplay purposes",""))</f>
        <v>{GREEN}Included for gameplay purposes</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{GOLD}0.9 tiles{}{SILVER}By the time the Mk4 was introduced, the end of post on the rail was in sight, with Travelling Post Office services ceasing in 1996. But what if BR had continued to build parcel vans?{}{}{GREEN}Included for gameplay purposes</v>
      </c>
    </row>
    <row r="461" s="26" customFormat="true" ht="14.25" hidden="false" customHeight="false" outlineLevel="0" collapsed="false">
      <c r="A461" s="26" t="s">
        <v>1739</v>
      </c>
      <c r="B461" s="27" t="s">
        <v>1740</v>
      </c>
      <c r="C461" s="1" t="n">
        <v>3124</v>
      </c>
      <c r="D461" s="26" t="n">
        <v>3125</v>
      </c>
      <c r="E461" s="1" t="n">
        <v>1045</v>
      </c>
      <c r="G461" s="1" t="str">
        <f aca="false">IF($F461&lt;&gt;"",_xlfn.CONCAT(VLOOKUP($CE461, Constants!$T:$U, 2, FALSE()),",",$F461),VLOOKUP($CE461, Constants!$T:$U, 2, FALSE()))</f>
        <v>role/passenger</v>
      </c>
      <c r="H461" s="1" t="str">
        <f aca="false">IF($G461&lt;&gt;"",_xlfn.CONCAT(VLOOKUP($CG461, Constants!$M:$P, 4, FALSE()),",",$G461),VLOOKUP($CG461, Constants!$M:$P, 4, FALSE()))</f>
        <v>flag/GB,role/passenger</v>
      </c>
      <c r="I461" s="26" t="s">
        <v>241</v>
      </c>
      <c r="J461" s="26" t="s">
        <v>1075</v>
      </c>
      <c r="K461" s="26" t="s">
        <v>1603</v>
      </c>
      <c r="L461" s="26" t="s">
        <v>192</v>
      </c>
      <c r="M461" s="26" t="n">
        <v>1997</v>
      </c>
      <c r="P461" s="26" t="n">
        <v>7</v>
      </c>
      <c r="R461" s="2"/>
      <c r="S461" s="3"/>
      <c r="T461" s="3"/>
      <c r="U461" s="3"/>
      <c r="V461" s="3"/>
      <c r="W461" s="3"/>
      <c r="X461" s="3"/>
      <c r="Y461" s="3"/>
      <c r="Z461" s="26" t="n">
        <v>363.4</v>
      </c>
      <c r="AA461" s="2"/>
      <c r="AB461" s="26" t="n">
        <v>3</v>
      </c>
      <c r="AD461" s="4" t="str">
        <f aca="false">IF(AND(Z461&gt;0,AC461&gt;0),(AC461/((Z461+AA461)*10)),"")</f>
        <v/>
      </c>
      <c r="AE461" s="26" t="n">
        <v>125</v>
      </c>
      <c r="AF461" s="26" t="n">
        <f aca="false">ROUND(AE461*1.6, 0)</f>
        <v>200</v>
      </c>
      <c r="AH461" s="26" t="n">
        <v>23</v>
      </c>
      <c r="AI461" s="26" t="n">
        <v>23</v>
      </c>
      <c r="AJ461" s="26" t="n">
        <v>2.82</v>
      </c>
      <c r="AK461" s="26" t="n">
        <v>3.79</v>
      </c>
      <c r="AL461" s="5" t="n">
        <v>25</v>
      </c>
      <c r="AM461" s="1" t="str">
        <f aca="false">CONCATENATE(VLOOKUP(AN461, 'Voxel Sizes'!$A$2:$B$18,2,FALSE()),"x",INT(AJ461*15), "x", INT(AK461*15))</f>
        <v>214x42x56</v>
      </c>
      <c r="AN461" s="26" t="n">
        <f aca="false">ROUND(15*((AI461*10)/256),0)</f>
        <v>13</v>
      </c>
      <c r="AP461" s="1" t="str">
        <f aca="false">CONCATENATE(VLOOKUP(AN461,Constants!$A$2:$C$16,IF(AO461&lt;&gt;"", 3, 2), FALSE()),IF(AO461&lt;&gt;"",CONCATENATE(",",VLOOKUP(AO461,$B:$AP,41,FALSE())),""))</f>
        <v>4,5,4</v>
      </c>
      <c r="AR461" s="6"/>
      <c r="AS461" s="6"/>
      <c r="AT461" s="26" t="s">
        <v>1741</v>
      </c>
      <c r="AV461" s="26" t="s">
        <v>1742</v>
      </c>
      <c r="AW461" s="26" t="s">
        <v>1743</v>
      </c>
      <c r="AY461" s="1"/>
      <c r="AZ461" s="26" t="n">
        <v>30</v>
      </c>
      <c r="BA461" s="16" t="str">
        <f aca="false">IF(O461&lt;&gt;"",MAX(16,(O461-M461)+8),"")</f>
        <v/>
      </c>
      <c r="BB461" s="26" t="n">
        <v>170</v>
      </c>
      <c r="BC461" s="26" t="n">
        <v>80</v>
      </c>
      <c r="BD461" s="26" t="n">
        <f aca="false">MIN(AE461/150, 1)*30</f>
        <v>25</v>
      </c>
      <c r="BE461" s="26" t="n">
        <f aca="false">MIN(Q461/4000, 1)*20</f>
        <v>0</v>
      </c>
      <c r="BF461" s="26" t="n">
        <f aca="false">MIN(AC461/400,1)*20</f>
        <v>0</v>
      </c>
      <c r="BG461" s="4" t="n">
        <f aca="false">1-(MAX(M461-1900, 0)/750)</f>
        <v>0.870666666666667</v>
      </c>
      <c r="BH461" s="26" t="n">
        <f aca="false">((MAX($P461,1)*MIN($AL461/300,1)))*IF(J461="Wagon",50,10)</f>
        <v>5.83333333333333</v>
      </c>
      <c r="BI461" s="1" t="n">
        <f aca="false">VLOOKUP($K461,Constants!$I:$K, 2, FALSE())</f>
        <v>1.5</v>
      </c>
      <c r="BJ461" s="1" t="n">
        <f aca="false">VLOOKUP($K461,Constants!$I:$K, 3, FALSE())*IF(AND(J461="multiple_unit",AE461&lt;110),0.75,1)</f>
        <v>0.7</v>
      </c>
      <c r="BK461" s="1" t="n">
        <f aca="false">INT(POWER(((Constants!$G$2+$BD461+$BE461+$BF461+$BH461)*$BG461)*$BJ461, 1.05))+$BC461</f>
        <v>105</v>
      </c>
      <c r="BL461" s="1" t="n">
        <f aca="false">INT(POWER((((Constants!$G$1+$BD461+$BE461+$BF461+$BH461)*($BG461))*$BI461),IF($J461="wagon",1,1.2)))+$BB461</f>
        <v>305</v>
      </c>
      <c r="BM461" s="17" t="n">
        <f aca="false">BK461*IF($J461="wagon",62.5,781.25)</f>
        <v>82031.25</v>
      </c>
      <c r="BN461" s="17" t="n">
        <f aca="false">BL461*IF($J461="wagon",2.73,81.25)</f>
        <v>24781.25</v>
      </c>
      <c r="BU461" s="1" t="str">
        <f aca="false">IF(J461="locomotive","B","")</f>
        <v/>
      </c>
      <c r="BV461" s="1" t="str">
        <f aca="false">IF(OR($J461="locomotive",$J461="wagon"),"B","")</f>
        <v/>
      </c>
      <c r="BY461" s="26" t="n">
        <v>2</v>
      </c>
      <c r="BZ461" s="26" t="n">
        <v>185</v>
      </c>
      <c r="CA461" s="26" t="s">
        <v>1744</v>
      </c>
      <c r="CB461" s="26" t="s">
        <v>366</v>
      </c>
      <c r="CC461" s="26" t="s">
        <v>367</v>
      </c>
      <c r="CD461" s="1" t="str">
        <f aca="false">VLOOKUP(M461,Eras!$A$2:$C$10, 2, TRUE())</f>
        <v>prv</v>
      </c>
      <c r="CE461" s="26" t="s">
        <v>1582</v>
      </c>
      <c r="CF461" s="26" t="str">
        <f aca="false">CONCATENATE(CD461,"_",CE461)</f>
        <v>prv_Carriage</v>
      </c>
      <c r="CG461" s="26" t="str">
        <f aca="false">_xlfn.CONCAT(K461, "_",L461)</f>
        <v>luxury_carriage_RAIL</v>
      </c>
      <c r="CH461" s="7" t="str">
        <f aca="false">_xlfn.CONCAT("{BLACK}Length: {GOLD}", TEXT(ROUNDUP(IF(AS461&lt;&gt;"",SUM(VALUE(_xlfn.TEXTSPLIT(AS461, ","))), SUM(VALUE(_xlfn.TEXTSPLIT(AP461, ",")))*IF(P461, P461, 1))/16, 1), "#,##0.0"), " tiles{}")</f>
        <v>{BLACK}Length: {GOLD}5.7 tiles{}</v>
      </c>
      <c r="CI461" s="1" t="str">
        <f aca="false">IF(0, VLOOKUP($CG461, Constants!$M:$N, 2, FALSE()),"")</f>
        <v/>
      </c>
      <c r="CJ461" s="1" t="str">
        <f aca="false">IF(P461&gt;1,_xlfn.CONCAT("{BLACK}Cars: {GOLD}", P461),"")</f>
        <v>{BLACK}Cars: {GOLD}7</v>
      </c>
      <c r="CK461" s="26" t="s">
        <v>1745</v>
      </c>
      <c r="CL461" s="1" t="str">
        <f aca="false">IF($BX461="concept_trains","{GREEN}Concept Vehicle",IF($BX461="!param_no_gameplay_units","{GREEN}Included for gameplay purposes",""))</f>
        <v/>
      </c>
      <c r="CM461" s="26" t="s">
        <v>1746</v>
      </c>
      <c r="CN461" s="1" t="str">
        <f aca="false">_xlfn.CONCAT(CI461,IF(CI461&lt;&gt;""," ",""),CJ461,IF(OR(CJ461&lt;&gt;"",CI461&lt;&gt;""),"{}",""),CH461,CM461,"{SILVER}",CK461,IF(CL461&lt;&gt;"","{}{}",""),CL461)</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61" s="1"/>
    </row>
    <row r="462" s="26" customFormat="true" ht="14.25" hidden="false" customHeight="false" outlineLevel="0" collapsed="false">
      <c r="A462" s="26" t="s">
        <v>1747</v>
      </c>
      <c r="B462" s="27" t="s">
        <v>1748</v>
      </c>
      <c r="C462" s="1" t="n">
        <v>3125</v>
      </c>
      <c r="E462" s="1" t="n">
        <v>1046</v>
      </c>
      <c r="G462" s="1" t="str">
        <f aca="false">IF($F462&lt;&gt;"",_xlfn.CONCAT(VLOOKUP($CE462, Constants!$T:$U, 2, FALSE()),",",$F462),VLOOKUP($CE462, Constants!$T:$U, 2, FALSE()))</f>
        <v>role/passenger</v>
      </c>
      <c r="H462" s="1" t="str">
        <f aca="false">IF($G462&lt;&gt;"",_xlfn.CONCAT(VLOOKUP($CG462, Constants!$M:$P, 4, FALSE()),",",$G462),VLOOKUP($CG462, Constants!$M:$P, 4, FALSE()))</f>
        <v>flag/GB,role/passenger</v>
      </c>
      <c r="I462" s="26" t="s">
        <v>241</v>
      </c>
      <c r="J462" s="26" t="s">
        <v>1075</v>
      </c>
      <c r="K462" s="26" t="s">
        <v>1603</v>
      </c>
      <c r="L462" s="26" t="s">
        <v>192</v>
      </c>
      <c r="M462" s="26" t="n">
        <v>1997</v>
      </c>
      <c r="P462" s="26" t="n">
        <v>8</v>
      </c>
      <c r="R462" s="2"/>
      <c r="S462" s="3"/>
      <c r="T462" s="3"/>
      <c r="U462" s="3"/>
      <c r="V462" s="3"/>
      <c r="W462" s="3"/>
      <c r="X462" s="3"/>
      <c r="Y462" s="3"/>
      <c r="Z462" s="26" t="n">
        <v>419.8</v>
      </c>
      <c r="AA462" s="2"/>
      <c r="AB462" s="26" t="n">
        <v>3</v>
      </c>
      <c r="AD462" s="4" t="str">
        <f aca="false">IF(AND(Z462&gt;0,AC462&gt;0),(AC462/((Z462+AA462)*10)),"")</f>
        <v/>
      </c>
      <c r="AE462" s="26" t="n">
        <v>125</v>
      </c>
      <c r="AF462" s="26" t="n">
        <f aca="false">ROUND(AE462*1.6, 0)</f>
        <v>200</v>
      </c>
      <c r="AH462" s="26" t="n">
        <v>23</v>
      </c>
      <c r="AI462" s="26" t="n">
        <v>23</v>
      </c>
      <c r="AJ462" s="26" t="n">
        <v>2.82</v>
      </c>
      <c r="AK462" s="26" t="n">
        <v>3.79</v>
      </c>
      <c r="AL462" s="5" t="n">
        <v>25</v>
      </c>
      <c r="AM462" s="1" t="str">
        <f aca="false">CONCATENATE(VLOOKUP(AN462, 'Voxel Sizes'!$A$2:$B$18,2,FALSE()),"x",INT(AJ462*15), "x", INT(AK462*15))</f>
        <v>214x42x56</v>
      </c>
      <c r="AN462" s="26" t="n">
        <f aca="false">ROUND(15*((AI462*10)/256),0)</f>
        <v>13</v>
      </c>
      <c r="AP462" s="1" t="str">
        <f aca="false">CONCATENATE(VLOOKUP(AN462,Constants!$A$2:$C$16,IF(AO462&lt;&gt;"", 3, 2), FALSE()),IF(AO462&lt;&gt;"",CONCATENATE(",",VLOOKUP(AO462,$B:$AP,41,FALSE())),""))</f>
        <v>4,5,4</v>
      </c>
      <c r="AR462" s="6"/>
      <c r="AS462" s="6"/>
      <c r="AT462" s="26" t="s">
        <v>1749</v>
      </c>
      <c r="AV462" s="26" t="s">
        <v>1021</v>
      </c>
      <c r="AW462" s="26" t="s">
        <v>1743</v>
      </c>
      <c r="AY462" s="1"/>
      <c r="AZ462" s="26" t="n">
        <v>30</v>
      </c>
      <c r="BA462" s="16" t="str">
        <f aca="false">IF(O462&lt;&gt;"",MAX(16,(O462-M462)+8),"")</f>
        <v/>
      </c>
      <c r="BB462" s="26" t="n">
        <v>180</v>
      </c>
      <c r="BC462" s="26" t="n">
        <v>90</v>
      </c>
      <c r="BD462" s="26" t="n">
        <f aca="false">MIN(AE462/150, 1)*30</f>
        <v>25</v>
      </c>
      <c r="BE462" s="26" t="n">
        <f aca="false">MIN(Q462/4000, 1)*20</f>
        <v>0</v>
      </c>
      <c r="BF462" s="26" t="n">
        <f aca="false">MIN(AC462/400,1)*20</f>
        <v>0</v>
      </c>
      <c r="BG462" s="4" t="n">
        <f aca="false">1-(MAX(M462-1900, 0)/750)</f>
        <v>0.870666666666667</v>
      </c>
      <c r="BH462" s="26" t="n">
        <f aca="false">((MAX($P462,1)*MIN($AL462/300,1)))*IF(J462="Wagon",50,10)</f>
        <v>6.66666666666667</v>
      </c>
      <c r="BI462" s="1" t="n">
        <f aca="false">VLOOKUP($K462,Constants!$I:$K, 2, FALSE())</f>
        <v>1.5</v>
      </c>
      <c r="BJ462" s="1" t="n">
        <f aca="false">VLOOKUP($K462,Constants!$I:$K, 3, FALSE())*IF(AND(J462="multiple_unit",AE462&lt;110),0.75,1)</f>
        <v>0.7</v>
      </c>
      <c r="BK462" s="1" t="n">
        <f aca="false">INT(POWER(((Constants!$G$2+$BD462+$BE462+$BF462+$BH462)*$BG462)*$BJ462, 1.05))+$BC462</f>
        <v>116</v>
      </c>
      <c r="BL462" s="1" t="n">
        <f aca="false">INT(POWER((((Constants!$G$1+$BD462+$BE462+$BF462+$BH462)*($BG462))*$BI462),IF($J462="wagon",1,1.2)))+$BB462</f>
        <v>318</v>
      </c>
      <c r="BM462" s="17" t="n">
        <f aca="false">BK462*IF($J462="wagon",62.5,781.25)</f>
        <v>90625</v>
      </c>
      <c r="BN462" s="17" t="n">
        <f aca="false">BL462*IF($J462="wagon",2.73,81.25)</f>
        <v>25837.5</v>
      </c>
      <c r="BU462" s="1" t="str">
        <f aca="false">IF(J462="locomotive","B","")</f>
        <v/>
      </c>
      <c r="BV462" s="1" t="str">
        <f aca="false">IF(OR($J462="locomotive",$J462="wagon"),"B","")</f>
        <v/>
      </c>
      <c r="BY462" s="26" t="n">
        <v>2</v>
      </c>
      <c r="BZ462" s="26" t="n">
        <v>185</v>
      </c>
      <c r="CA462" s="26" t="s">
        <v>1744</v>
      </c>
      <c r="CB462" s="26" t="s">
        <v>366</v>
      </c>
      <c r="CC462" s="26" t="s">
        <v>367</v>
      </c>
      <c r="CD462" s="1" t="str">
        <f aca="false">VLOOKUP(M462,Eras!$A$2:$C$10, 2, TRUE())</f>
        <v>prv</v>
      </c>
      <c r="CE462" s="26" t="s">
        <v>1582</v>
      </c>
      <c r="CF462" s="26" t="str">
        <f aca="false">CONCATENATE(CD462,"_",CE462)</f>
        <v>prv_Carriage</v>
      </c>
      <c r="CG462" s="26" t="str">
        <f aca="false">_xlfn.CONCAT(K462, "_",L462)</f>
        <v>luxury_carriage_RAIL</v>
      </c>
      <c r="CH462" s="7" t="str">
        <f aca="false">_xlfn.CONCAT("{BLACK}Length: {GOLD}", TEXT(ROUNDUP(IF(AS462&lt;&gt;"",SUM(VALUE(_xlfn.TEXTSPLIT(AS462, ","))), SUM(VALUE(_xlfn.TEXTSPLIT(AP462, ",")))*IF(P462, P462, 1))/16, 1), "#,##0.0"), " tiles{}")</f>
        <v>{BLACK}Length: {GOLD}6.5 tiles{}</v>
      </c>
      <c r="CI462" s="1" t="str">
        <f aca="false">IF(0, VLOOKUP($CG462, Constants!$M:$N, 2, FALSE()),"")</f>
        <v/>
      </c>
      <c r="CJ462" s="1" t="str">
        <f aca="false">IF(P462&gt;1,_xlfn.CONCAT("{BLACK}Cars: {GOLD}", P462),"")</f>
        <v>{BLACK}Cars: {GOLD}8</v>
      </c>
      <c r="CK462" s="26" t="s">
        <v>1750</v>
      </c>
      <c r="CL462" s="1" t="str">
        <f aca="false">IF($BX462="concept_trains","{GREEN}Concept Vehicle",IF($BX462="!param_no_gameplay_units","{GREEN}Included for gameplay purposes",""))</f>
        <v/>
      </c>
      <c r="CM462" s="26" t="s">
        <v>1746</v>
      </c>
      <c r="CN462" s="1" t="str">
        <f aca="false">_xlfn.CONCAT(CI462,IF(CI462&lt;&gt;""," ",""),CJ462,IF(OR(CJ462&lt;&gt;"",CI462&lt;&gt;""),"{}",""),CH462,CM462,"{SILVER}",CK462,IF(CL462&lt;&gt;"","{}{}",""),CL462)</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62" s="1"/>
    </row>
    <row r="463" s="26" customFormat="true" ht="14.25" hidden="false" customHeight="false" outlineLevel="0" collapsed="false">
      <c r="A463" s="26" t="s">
        <v>1751</v>
      </c>
      <c r="B463" s="27" t="s">
        <v>1752</v>
      </c>
      <c r="C463" s="1" t="n">
        <v>3126</v>
      </c>
      <c r="D463" s="26" t="n">
        <v>3125</v>
      </c>
      <c r="E463" s="1" t="n">
        <v>1047</v>
      </c>
      <c r="G463" s="1" t="str">
        <f aca="false">IF($F463&lt;&gt;"",_xlfn.CONCAT(VLOOKUP($CE463, Constants!$T:$U, 2, FALSE()),",",$F463),VLOOKUP($CE463, Constants!$T:$U, 2, FALSE()))</f>
        <v>role/passenger</v>
      </c>
      <c r="H463" s="1" t="str">
        <f aca="false">IF($G463&lt;&gt;"",_xlfn.CONCAT(VLOOKUP($CG463, Constants!$M:$P, 4, FALSE()),",",$G463),VLOOKUP($CG463, Constants!$M:$P, 4, FALSE()))</f>
        <v>flag/GB,role/passenger</v>
      </c>
      <c r="I463" s="26" t="s">
        <v>241</v>
      </c>
      <c r="J463" s="26" t="s">
        <v>1580</v>
      </c>
      <c r="K463" s="26" t="s">
        <v>1753</v>
      </c>
      <c r="L463" s="26" t="s">
        <v>192</v>
      </c>
      <c r="M463" s="26" t="n">
        <v>1997</v>
      </c>
      <c r="R463" s="2"/>
      <c r="S463" s="3"/>
      <c r="T463" s="3"/>
      <c r="U463" s="3"/>
      <c r="V463" s="3"/>
      <c r="W463" s="3"/>
      <c r="X463" s="3"/>
      <c r="Y463" s="3"/>
      <c r="Z463" s="26" t="n">
        <v>46.1</v>
      </c>
      <c r="AA463" s="2"/>
      <c r="AB463" s="26" t="n">
        <v>3</v>
      </c>
      <c r="AD463" s="4" t="str">
        <f aca="false">IF(AND(Z463&gt;0,AC463&gt;0),(AC463/((Z463+AA463)*10)),"")</f>
        <v/>
      </c>
      <c r="AE463" s="26" t="n">
        <v>125</v>
      </c>
      <c r="AF463" s="26" t="n">
        <f aca="false">ROUND(AE463*1.6, 0)</f>
        <v>200</v>
      </c>
      <c r="AH463" s="26" t="n">
        <v>23</v>
      </c>
      <c r="AI463" s="26" t="n">
        <v>23</v>
      </c>
      <c r="AJ463" s="26" t="n">
        <v>2.82</v>
      </c>
      <c r="AK463" s="26" t="n">
        <v>3.79</v>
      </c>
      <c r="AL463" s="5" t="n">
        <v>0</v>
      </c>
      <c r="AM463" s="1" t="str">
        <f aca="false">CONCATENATE(VLOOKUP(AN463, 'Voxel Sizes'!$A$2:$B$18,2,FALSE()),"x",INT(AJ463*15), "x", INT(AK463*15))</f>
        <v>214x42x56</v>
      </c>
      <c r="AN463" s="26" t="n">
        <f aca="false">ROUND(15*((AI463*10)/256),0)</f>
        <v>13</v>
      </c>
      <c r="AP463" s="1" t="str">
        <f aca="false">CONCATENATE(VLOOKUP(AN463,Constants!$A$2:$C$16,IF(AO463&lt;&gt;"", 3, 2), FALSE()),IF(AO463&lt;&gt;"",CONCATENATE(",",VLOOKUP(AO463,$B:$AP,41,FALSE())),""))</f>
        <v>4,5,4</v>
      </c>
      <c r="AR463" s="6"/>
      <c r="AS463" s="6"/>
      <c r="AY463" s="1"/>
      <c r="AZ463" s="26" t="n">
        <v>30</v>
      </c>
      <c r="BA463" s="16" t="str">
        <f aca="false">IF(O463&lt;&gt;"",MAX(16,(O463-M463)+8),"")</f>
        <v/>
      </c>
      <c r="BB463" s="26" t="n">
        <v>1250</v>
      </c>
      <c r="BC463" s="26" t="n">
        <v>150</v>
      </c>
      <c r="BD463" s="26" t="n">
        <f aca="false">MIN(AE463/150, 1)*30</f>
        <v>25</v>
      </c>
      <c r="BE463" s="26" t="n">
        <f aca="false">MIN(Q463/4000, 1)*20</f>
        <v>0</v>
      </c>
      <c r="BF463" s="26" t="n">
        <f aca="false">MIN(AC463/400,1)*20</f>
        <v>0</v>
      </c>
      <c r="BG463" s="4" t="n">
        <f aca="false">1-(MAX(M463-1900, 0)/750)</f>
        <v>0.870666666666667</v>
      </c>
      <c r="BH463" s="26" t="n">
        <f aca="false">((MAX($P463,1)*MIN($AL463/300,1)))*IF(J463="Wagon",50,10)</f>
        <v>0</v>
      </c>
      <c r="BI463" s="1" t="n">
        <f aca="false">VLOOKUP($K463,Constants!$I:$K, 2, FALSE())</f>
        <v>1</v>
      </c>
      <c r="BJ463" s="1" t="n">
        <f aca="false">VLOOKUP($K463,Constants!$I:$K, 3, FALSE())*IF(AND(J463="multiple_unit",AE463&lt;110),0.75,1)</f>
        <v>1.5</v>
      </c>
      <c r="BK463" s="1" t="n">
        <f aca="false">INT(POWER(((Constants!$G$2+$BD463+$BE463+$BF463+$BH463)*$BG463)*$BJ463, 1.05))+$BC463</f>
        <v>197</v>
      </c>
      <c r="BL463" s="1" t="n">
        <f aca="false">INT(POWER((((Constants!$G$1+$BD463+$BE463+$BF463+$BH463)*($BG463))*$BI463),IF($J463="wagon",1,1.2)))+$BB463</f>
        <v>1284</v>
      </c>
      <c r="BM463" s="17" t="n">
        <f aca="false">BK463*IF($J463="wagon",62.5,781.25)</f>
        <v>12312.5</v>
      </c>
      <c r="BN463" s="17" t="n">
        <f aca="false">BL463*IF($J463="wagon",2.73,81.25)</f>
        <v>3505.32</v>
      </c>
      <c r="BU463" s="1" t="str">
        <f aca="false">IF(J463="locomotive","B","")</f>
        <v/>
      </c>
      <c r="BV463" s="1" t="str">
        <f aca="false">IF(OR($J463="locomotive",$J463="wagon"),"B","")</f>
        <v>B</v>
      </c>
      <c r="BY463" s="26" t="n">
        <v>2</v>
      </c>
      <c r="BZ463" s="26" t="n">
        <v>185</v>
      </c>
      <c r="CA463" s="26" t="s">
        <v>1753</v>
      </c>
      <c r="CB463" s="26" t="s">
        <v>366</v>
      </c>
      <c r="CC463" s="26" t="s">
        <v>367</v>
      </c>
      <c r="CD463" s="1" t="str">
        <f aca="false">VLOOKUP(M463,Eras!$A$2:$C$10, 2, TRUE())</f>
        <v>prv</v>
      </c>
      <c r="CE463" s="26" t="s">
        <v>1582</v>
      </c>
      <c r="CF463" s="26" t="str">
        <f aca="false">CONCATENATE(CD463,"_",CE463)</f>
        <v>prv_Carriage</v>
      </c>
      <c r="CG463" s="26" t="str">
        <f aca="false">_xlfn.CONCAT(K463, "_",L463)</f>
        <v>generator_car_RAIL</v>
      </c>
      <c r="CH463" s="7" t="str">
        <f aca="false">_xlfn.CONCAT("{BLACK}Length: {GOLD}", TEXT(ROUNDUP(IF(AS463&lt;&gt;"",SUM(VALUE(_xlfn.TEXTSPLIT(AS463, ","))), SUM(VALUE(_xlfn.TEXTSPLIT(AP463, ",")))*IF(P463, P463, 1))/16, 1), "#,##0.0"), " tiles{}")</f>
        <v>{BLACK}Length: {GOLD}0.9 tiles{}</v>
      </c>
      <c r="CI463" s="1" t="str">
        <f aca="false">IF(0, VLOOKUP($CG463, Constants!$M:$N, 2, FALSE()),"")</f>
        <v/>
      </c>
      <c r="CJ463" s="1" t="str">
        <f aca="false">IF(P463&gt;1,_xlfn.CONCAT("{BLACK}Cars: {GOLD}", P463),"")</f>
        <v/>
      </c>
      <c r="CK463" s="26" t="s">
        <v>1754</v>
      </c>
      <c r="CL463" s="1" t="str">
        <f aca="false">IF($BX463="concept_trains","{GREEN}Concept Vehicle",IF($BX463="!param_no_gameplay_units","{GREEN}Included for gameplay purposes",""))</f>
        <v/>
      </c>
      <c r="CM463" s="26" t="str">
        <f aca="false">IF(CA463="buffet","{YELLOW}25% long distance bonus for consist{}",IF(CD463="BRAKE","{YELLOW}Speed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{GOLD}0.9 tiles{}{SILVER}The Nightstar rolling stock was so power-hungry that a number of Mk3 Sleepers were converted with 450 kVA generator sets for use when away from electrified areas.</v>
      </c>
      <c r="XFD463" s="1"/>
    </row>
    <row r="464" s="26" customFormat="true" ht="14.25" hidden="false" customHeight="false" outlineLevel="0" collapsed="false">
      <c r="A464" s="26" t="s">
        <v>1755</v>
      </c>
      <c r="B464" s="27" t="s">
        <v>1756</v>
      </c>
      <c r="C464" s="1" t="n">
        <v>3127</v>
      </c>
      <c r="D464" s="26" t="n">
        <v>3125</v>
      </c>
      <c r="E464" s="1" t="n">
        <v>1048</v>
      </c>
      <c r="G464" s="1" t="str">
        <f aca="false">IF($F464&lt;&gt;"",_xlfn.CONCAT(VLOOKUP($CE464, Constants!$T:$U, 2, FALSE()),",",$F464),VLOOKUP($CE464, Constants!$T:$U, 2, FALSE()))</f>
        <v>role/passenger</v>
      </c>
      <c r="H464" s="1" t="str">
        <f aca="false">IF($G464&lt;&gt;"",_xlfn.CONCAT(VLOOKUP($CG464, Constants!$M:$P, 4, FALSE()),",",$G464),VLOOKUP($CG464, Constants!$M:$P, 4, FALSE()))</f>
        <v>flag/GB,role/passenger</v>
      </c>
      <c r="I464" s="26" t="s">
        <v>241</v>
      </c>
      <c r="J464" s="26" t="s">
        <v>1580</v>
      </c>
      <c r="K464" s="26" t="s">
        <v>1753</v>
      </c>
      <c r="L464" s="26" t="s">
        <v>192</v>
      </c>
      <c r="M464" s="26" t="n">
        <v>1997</v>
      </c>
      <c r="R464" s="2"/>
      <c r="S464" s="3"/>
      <c r="T464" s="3"/>
      <c r="U464" s="3"/>
      <c r="V464" s="3"/>
      <c r="W464" s="3"/>
      <c r="X464" s="3"/>
      <c r="Y464" s="3"/>
      <c r="Z464" s="26" t="n">
        <v>46.1</v>
      </c>
      <c r="AA464" s="2"/>
      <c r="AB464" s="26" t="n">
        <v>3</v>
      </c>
      <c r="AD464" s="4" t="str">
        <f aca="false">IF(AND(Z464&gt;0,AC464&gt;0),(AC464/((Z464+AA464)*10)),"")</f>
        <v/>
      </c>
      <c r="AE464" s="26" t="n">
        <v>125</v>
      </c>
      <c r="AF464" s="26" t="n">
        <f aca="false">ROUND(AE464*1.6, 0)</f>
        <v>200</v>
      </c>
      <c r="AH464" s="26" t="n">
        <v>23</v>
      </c>
      <c r="AI464" s="26" t="n">
        <v>23</v>
      </c>
      <c r="AJ464" s="26" t="n">
        <v>2.82</v>
      </c>
      <c r="AK464" s="26" t="n">
        <v>3.79</v>
      </c>
      <c r="AL464" s="5" t="n">
        <v>0</v>
      </c>
      <c r="AM464" s="1" t="str">
        <f aca="false">CONCATENATE(VLOOKUP(AN464, 'Voxel Sizes'!$A$2:$B$18,2,FALSE()),"x",INT(AJ464*15), "x", INT(AK464*15))</f>
        <v>214x42x56</v>
      </c>
      <c r="AN464" s="26" t="n">
        <f aca="false">ROUND(15*((AI464*10)/256),0)</f>
        <v>13</v>
      </c>
      <c r="AP464" s="1" t="str">
        <f aca="false">CONCATENATE(VLOOKUP(AN464,Constants!$A$2:$C$16,IF(AO464&lt;&gt;"", 3, 2), FALSE()),IF(AO464&lt;&gt;"",CONCATENATE(",",VLOOKUP(AO464,$B:$AP,41,FALSE())),""))</f>
        <v>4,5,4</v>
      </c>
      <c r="AR464" s="6"/>
      <c r="AS464" s="6"/>
      <c r="AY464" s="1"/>
      <c r="AZ464" s="26" t="n">
        <v>30</v>
      </c>
      <c r="BA464" s="16" t="str">
        <f aca="false">IF(O464&lt;&gt;"",MAX(16,(O464-M464)+8),"")</f>
        <v/>
      </c>
      <c r="BB464" s="26" t="n">
        <v>1250</v>
      </c>
      <c r="BC464" s="26" t="n">
        <v>150</v>
      </c>
      <c r="BD464" s="26" t="n">
        <f aca="false">MIN(AE464/150, 1)*30</f>
        <v>25</v>
      </c>
      <c r="BE464" s="26" t="n">
        <f aca="false">MIN(Q464/4000, 1)*20</f>
        <v>0</v>
      </c>
      <c r="BF464" s="26" t="n">
        <f aca="false">MIN(AC464/400,1)*20</f>
        <v>0</v>
      </c>
      <c r="BG464" s="4" t="n">
        <f aca="false">1-(MAX(M464-1900, 0)/750)</f>
        <v>0.870666666666667</v>
      </c>
      <c r="BH464" s="26" t="n">
        <f aca="false">((MAX($P464,1)*MIN($AL464/300,1)))*IF(J464="Wagon",50,10)</f>
        <v>0</v>
      </c>
      <c r="BI464" s="1" t="n">
        <f aca="false">VLOOKUP($K464,Constants!$I:$K, 2, FALSE())</f>
        <v>1</v>
      </c>
      <c r="BJ464" s="1" t="n">
        <f aca="false">VLOOKUP($K464,Constants!$I:$K, 3, FALSE())*IF(AND(J464="multiple_unit",AE464&lt;110),0.75,1)</f>
        <v>1.5</v>
      </c>
      <c r="BK464" s="1" t="n">
        <f aca="false">INT(POWER(((Constants!$G$2+$BD464+$BE464+$BF464+$BH464)*$BG464)*$BJ464, 1.05))+$BC464</f>
        <v>197</v>
      </c>
      <c r="BL464" s="1" t="n">
        <f aca="false">INT(POWER((((Constants!$G$1+$BD464+$BE464+$BF464+$BH464)*($BG464))*$BI464),IF($J464="wagon",1,1.2)))+$BB464</f>
        <v>1284</v>
      </c>
      <c r="BM464" s="17" t="n">
        <f aca="false">BK464*IF($J464="wagon",62.5,781.25)</f>
        <v>12312.5</v>
      </c>
      <c r="BN464" s="17" t="n">
        <f aca="false">BL464*IF($J464="wagon",2.73,81.25)</f>
        <v>3505.32</v>
      </c>
      <c r="BU464" s="1" t="str">
        <f aca="false">IF(J464="locomotive","B","")</f>
        <v/>
      </c>
      <c r="BV464" s="1" t="str">
        <f aca="false">IF(OR($J464="locomotive",$J464="wagon"),"B","")</f>
        <v>B</v>
      </c>
      <c r="BY464" s="26" t="n">
        <v>2</v>
      </c>
      <c r="BZ464" s="26" t="n">
        <v>185</v>
      </c>
      <c r="CA464" s="26" t="s">
        <v>1753</v>
      </c>
      <c r="CB464" s="26" t="s">
        <v>366</v>
      </c>
      <c r="CC464" s="26" t="s">
        <v>367</v>
      </c>
      <c r="CD464" s="1" t="str">
        <f aca="false">VLOOKUP(M464,Eras!$A$2:$C$10, 2, TRUE())</f>
        <v>prv</v>
      </c>
      <c r="CE464" s="26" t="s">
        <v>1582</v>
      </c>
      <c r="CF464" s="26" t="str">
        <f aca="false">CONCATENATE(CD464,"_",CE464)</f>
        <v>prv_Carriage</v>
      </c>
      <c r="CG464" s="26" t="str">
        <f aca="false">_xlfn.CONCAT(K464, "_",L464)</f>
        <v>generator_car_RAIL</v>
      </c>
      <c r="CH464" s="7" t="str">
        <f aca="false">_xlfn.CONCAT("{BLACK}Length: {GOLD}", TEXT(ROUNDUP(IF(AS464&lt;&gt;"",SUM(VALUE(_xlfn.TEXTSPLIT(AS464, ","))), SUM(VALUE(_xlfn.TEXTSPLIT(AP464, ",")))*IF(P464, P464, 1))/16, 1), "#,##0.0"), " tiles{}")</f>
        <v>{BLACK}Length: {GOLD}0.9 tiles{}</v>
      </c>
      <c r="CI464" s="1" t="str">
        <f aca="false">IF(0, VLOOKUP($CG464, Constants!$M:$N, 2, FALSE()),"")</f>
        <v/>
      </c>
      <c r="CJ464" s="1" t="str">
        <f aca="false">IF(P464&gt;1,_xlfn.CONCAT("{BLACK}Cars: {GOLD}", P464),"")</f>
        <v/>
      </c>
      <c r="CK464" s="26" t="s">
        <v>1754</v>
      </c>
      <c r="CL464" s="1" t="str">
        <f aca="false">IF($BX464="concept_trains","{GREEN}Concept Vehicle",IF($BX464="!param_no_gameplay_units","{GREEN}Included for gameplay purposes",""))</f>
        <v/>
      </c>
      <c r="CM464" s="26" t="str">
        <f aca="false">IF(CA464="buffet","{YELLOW}25% long distance bonus for consist{}",IF(CD464="BRAKE","{YELLOW}Speed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{GOLD}0.9 tiles{}{SILVER}The Nightstar rolling stock was so power-hungry that a number of Mk3 Sleepers were converted with 450 kVA generator sets for use when away from electrified areas.</v>
      </c>
      <c r="XFD464" s="1"/>
    </row>
    <row r="465" customFormat="false" ht="14.25" hidden="false" customHeight="false" outlineLevel="0" collapsed="false">
      <c r="A465" s="1" t="s">
        <v>1757</v>
      </c>
      <c r="B465" s="19" t="s">
        <v>1758</v>
      </c>
      <c r="C465" s="1" t="n">
        <v>1017</v>
      </c>
      <c r="E465" s="1" t="n">
        <v>1049</v>
      </c>
      <c r="G465" s="1" t="str">
        <f aca="false">IF($F465&lt;&gt;"",_xlfn.CONCAT(VLOOKUP($CE465, Constants!$T:$U, 2, FALSE()),",",$F465),VLOOKUP($CE465, Constants!$T:$U, 2, FALSE()))</f>
        <v>role/passenger</v>
      </c>
      <c r="H465" s="1" t="str">
        <f aca="false">IF($G465&lt;&gt;"",_xlfn.CONCAT(VLOOKUP($CG465, Constants!$M:$P, 4, FALSE()),",",$G465),VLOOKUP($CG465, Constants!$M:$P, 4, FALSE()))</f>
        <v>flag/GB,role/passenger</v>
      </c>
      <c r="I465" s="1" t="s">
        <v>241</v>
      </c>
      <c r="J465" s="1" t="s">
        <v>1580</v>
      </c>
      <c r="K465" s="1" t="s">
        <v>1581</v>
      </c>
      <c r="L465" s="1" t="s">
        <v>192</v>
      </c>
      <c r="M465" s="1" t="n">
        <v>2017</v>
      </c>
      <c r="Z465" s="1" t="n">
        <v>40</v>
      </c>
      <c r="AB465" s="1" t="n">
        <v>5</v>
      </c>
      <c r="AD465" s="4" t="str">
        <f aca="false">IF(AND(Z465&gt;0,AC465&gt;0),(AC465/((Z465+AA465)*10)),"")</f>
        <v/>
      </c>
      <c r="AE465" s="1" t="n">
        <v>125</v>
      </c>
      <c r="AF465" s="1" t="n">
        <f aca="false">ROUND(AE465*1.6, 0)</f>
        <v>200</v>
      </c>
      <c r="AH465" s="1" t="n">
        <v>23</v>
      </c>
      <c r="AI465" s="1" t="n">
        <v>23</v>
      </c>
      <c r="AL465" s="5" t="n">
        <v>57</v>
      </c>
      <c r="AM465" s="1" t="str">
        <f aca="false">CONCATENATE(VLOOKUP(AN465, 'Voxel Sizes'!$A$2:$B$18,2,FALSE()),"x",INT(AJ465*15), "x", INT(AK465*15))</f>
        <v>214x0x0</v>
      </c>
      <c r="AN465" s="16" t="n">
        <f aca="false">ROUND(15*((AI465*10)/256),0)</f>
        <v>13</v>
      </c>
      <c r="AP465" s="1" t="str">
        <f aca="false">CONCATENATE(VLOOKUP(AN465,Constants!$A$2:$C$16,IF(AO465&lt;&gt;"", 3, 2), FALSE()),IF(AO465&lt;&gt;"",CONCATENATE(",",VLOOKUP(AO465,$B:$AP,41,FALSE())),""))</f>
        <v>4,5,4</v>
      </c>
      <c r="AZ465" s="1" t="n">
        <v>30</v>
      </c>
      <c r="BA465" s="16" t="str">
        <f aca="false">IF(O465&lt;&gt;"",MAX(16,(O465-M465)+8),"")</f>
        <v/>
      </c>
      <c r="BB465" s="1" t="n">
        <v>85</v>
      </c>
      <c r="BC465" s="1" t="n">
        <v>85</v>
      </c>
      <c r="BD465" s="20" t="n">
        <f aca="false">MIN(AE465/150, 1)*30</f>
        <v>25</v>
      </c>
      <c r="BE465" s="20" t="n">
        <f aca="false">MIN(Q465/4000, 1)*20</f>
        <v>0</v>
      </c>
      <c r="BF465" s="20" t="n">
        <f aca="false">MIN(AC465/400,1)*20</f>
        <v>0</v>
      </c>
      <c r="BG465" s="21" t="n">
        <f aca="false">1-(MAX(M465-1900, 0)/750)</f>
        <v>0.844</v>
      </c>
      <c r="BH465" s="20" t="n">
        <f aca="false">((MAX($P465,1)*MIN($AL465/300,1)))*IF(J465="Wagon",50,10)</f>
        <v>9.5</v>
      </c>
      <c r="BI465" s="1" t="n">
        <f aca="false">VLOOKUP($K465,Constants!$I:$K, 2, FALSE())</f>
        <v>1.2</v>
      </c>
      <c r="BJ465" s="1" t="n">
        <f aca="false">VLOOKUP($K465,Constants!$I:$K, 3, FALSE())*IF(AND(J465="multiple_unit",AE465&lt;110),0.75,1)</f>
        <v>0.6</v>
      </c>
      <c r="BK465" s="1" t="n">
        <f aca="false">INT(POWER(((Constants!$G$2+$BD465+$BE465+$BF465+$BH465)*$BG465)*$BJ465, 1.05))+$BC465</f>
        <v>108</v>
      </c>
      <c r="BL465" s="1" t="n">
        <f aca="false">INT(POWER((((Constants!$G$1+$BD465+$BE465+$BF465+$BH465)*($BG465))*$BI465),IF($J465="wagon",1,1.2)))+$BB465</f>
        <v>135</v>
      </c>
      <c r="BM465" s="17" t="n">
        <f aca="false">BK465*IF($J465="wagon",62.5,781.25)</f>
        <v>6750</v>
      </c>
      <c r="BN465" s="17" t="n">
        <f aca="false">BL465*IF($J465="wagon",2.73,81.25)</f>
        <v>368.55</v>
      </c>
      <c r="BU465" s="1" t="str">
        <f aca="false">IF(J465="locomotive","B","")</f>
        <v/>
      </c>
      <c r="BV465" s="1" t="str">
        <f aca="false">IF(OR($J465="locomotive",$J465="wagon"),"B","")</f>
        <v>B</v>
      </c>
      <c r="BY465" s="1" t="n">
        <v>1</v>
      </c>
      <c r="BZ465" s="1" t="n">
        <v>222</v>
      </c>
      <c r="CB465" s="1" t="s">
        <v>366</v>
      </c>
      <c r="CC465" s="1" t="s">
        <v>367</v>
      </c>
      <c r="CD465" s="1" t="str">
        <f aca="false">VLOOKUP(M465,Eras!$A$2:$C$10, 2, TRUE())</f>
        <v>mod</v>
      </c>
      <c r="CE465" s="26" t="s">
        <v>1582</v>
      </c>
      <c r="CF465" s="23" t="str">
        <f aca="false">CONCATENATE(CD465,"_",CE465)</f>
        <v>mod_Carriage</v>
      </c>
      <c r="CG465" s="23" t="str">
        <f aca="false">_xlfn.CONCAT(K465, "_",L465)</f>
        <v>carriage_RAIL</v>
      </c>
      <c r="CH465" s="7" t="str">
        <f aca="false">_xlfn.CONCAT("{BLACK}Length: {GOLD}", TEXT(ROUNDUP(IF(AS465&lt;&gt;"",SUM(VALUE(_xlfn.TEXTSPLIT(AS465, ","))), SUM(VALUE(_xlfn.TEXTSPLIT(AP465, ",")))*IF(P465, P465, 1))/16, 1), "#,##0.0"), " tiles{}")</f>
        <v>{BLACK}Length: {GOLD}0.9 tiles{}</v>
      </c>
      <c r="CI465" s="1" t="str">
        <f aca="false">IF(0, VLOOKUP($CG465, Constants!$M:$N, 2, FALSE()),"")</f>
        <v/>
      </c>
      <c r="CJ465" s="1" t="str">
        <f aca="false">IF(P465&gt;1,_xlfn.CONCAT("{BLACK}Cars: {GOLD}", P465),"")</f>
        <v/>
      </c>
      <c r="CK465" s="1" t="s">
        <v>1759</v>
      </c>
      <c r="CL465" s="1" t="str">
        <f aca="false">IF($BX465="concept_trains","{GREEN}Concept Vehicle",IF($BX465="!param_no_gameplay_units","{GREEN}Included for gameplay purposes",""))</f>
        <v/>
      </c>
      <c r="CM465" s="1" t="str">
        <f aca="false">IF(CA465="buffet","{YELLOW}25% long distance bonus for consist{}",IF(CB465="DANDY","{YELLOW}Faster downhill speeds for horse-drawn trains (1 required per 2 horses){}",IF(CB465="BRAKE","{YELLOW}Speed bonus for slow wagons{}",IF(CB465="NGPassengers","{YELLOW}Preserved railway bonus: passengers pay more when hauled by old locomotives{}",IF(AND(BZ465&gt;190,NOT(AND(L465="NARROW_GAUGE",CB465&lt;&gt;"PASS"))),CONCATENATE("{YELLOW}",INT((BZ465-185)/1.85),"% bonus for long distance travel{}"),IF(AND(BZ465&lt;180,BZ465&lt;&gt;0),CONCATENATE("{YELLOW}",INT((185-BZ465)/1.85),"% penalty for long distance travel{}"),""))))))</f>
        <v>{YELLOW}20% bonus for long distance travel{}</v>
      </c>
      <c r="CN465" s="1" t="str">
        <f aca="false">_xlfn.CONCAT(CI465,IF(CI465&lt;&gt;""," ",""),CJ465,IF(OR(CJ465&lt;&gt;"",CI465&lt;&gt;""),"{}",""),CH465,CM465,"{SILVER}",CK465,IF(CL465&lt;&gt;"","{}{}",""),CL465)</f>
        <v>{BLACK}Length: {GOLD}0.9 tiles{}{YELLOW}20% bonus for long distance travel{}{SILVER}The Mark 5A was built for loco-hauled services on the TransPennine Express, but was withdrawn barely four years after introduction.</v>
      </c>
    </row>
    <row r="466" s="26" customFormat="true" ht="14.25" hidden="false" customHeight="false" outlineLevel="0" collapsed="false">
      <c r="A466" s="26" t="s">
        <v>1760</v>
      </c>
      <c r="B466" s="27" t="s">
        <v>1761</v>
      </c>
      <c r="C466" s="1" t="n">
        <v>3128</v>
      </c>
      <c r="E466" s="1" t="n">
        <v>1050</v>
      </c>
      <c r="G466" s="1" t="str">
        <f aca="false">IF($F466&lt;&gt;"",_xlfn.CONCAT(VLOOKUP($CE466, Constants!$T:$U, 2, FALSE()),",",$F466),VLOOKUP($CE466, Constants!$T:$U, 2, FALSE()))</f>
        <v>role/passenger</v>
      </c>
      <c r="H466" s="1" t="str">
        <f aca="false">IF($G466&lt;&gt;"",_xlfn.CONCAT(VLOOKUP($CG466, Constants!$M:$P, 4, FALSE()),",",$G466),VLOOKUP($CG466, Constants!$M:$P, 4, FALSE()))</f>
        <v>flag/GB,role/passenger</v>
      </c>
      <c r="I466" s="26" t="s">
        <v>241</v>
      </c>
      <c r="J466" s="26" t="s">
        <v>1580</v>
      </c>
      <c r="K466" s="26" t="s">
        <v>1581</v>
      </c>
      <c r="L466" s="26" t="s">
        <v>192</v>
      </c>
      <c r="M466" s="26" t="n">
        <v>2018</v>
      </c>
      <c r="R466" s="2"/>
      <c r="S466" s="3"/>
      <c r="T466" s="3"/>
      <c r="U466" s="3"/>
      <c r="V466" s="3"/>
      <c r="W466" s="3"/>
      <c r="X466" s="3"/>
      <c r="Y466" s="3"/>
      <c r="Z466" s="26" t="n">
        <v>43</v>
      </c>
      <c r="AA466" s="2"/>
      <c r="AB466" s="26" t="n">
        <v>3</v>
      </c>
      <c r="AD466" s="4" t="str">
        <f aca="false">IF(AND(Z466&gt;0,AC466&gt;0),(AC466/((Z466+AA466)*10)),"")</f>
        <v/>
      </c>
      <c r="AE466" s="26" t="n">
        <v>125</v>
      </c>
      <c r="AF466" s="26" t="n">
        <f aca="false">ROUND(AE466*1.6, 0)</f>
        <v>200</v>
      </c>
      <c r="AH466" s="26" t="n">
        <v>22.2</v>
      </c>
      <c r="AI466" s="26" t="n">
        <v>22</v>
      </c>
      <c r="AJ466" s="26" t="n">
        <v>2.75</v>
      </c>
      <c r="AK466" s="26" t="n">
        <v>3.79</v>
      </c>
      <c r="AL466" s="5" t="n">
        <v>10</v>
      </c>
      <c r="AM466" s="1" t="str">
        <f aca="false">CONCATENATE(VLOOKUP(AN466, 'Voxel Sizes'!$A$2:$B$18,2,FALSE()),"x",INT(AJ466*15), "x", INT(AK466*15))</f>
        <v>214x41x56</v>
      </c>
      <c r="AN466" s="26" t="n">
        <f aca="false">ROUND(15*((AI466*10)/256),0)</f>
        <v>13</v>
      </c>
      <c r="AP466" s="1" t="str">
        <f aca="false">CONCATENATE(VLOOKUP(AN466,Constants!$A$2:$C$16,IF(AO466&lt;&gt;"", 3, 2), FALSE()),IF(AO466&lt;&gt;"",CONCATENATE(",",VLOOKUP(AO466,$B:$AP,41,FALSE())),""))</f>
        <v>4,5,4</v>
      </c>
      <c r="AR466" s="6"/>
      <c r="AS466" s="6"/>
      <c r="AY466" s="1" t="s">
        <v>1762</v>
      </c>
      <c r="AZ466" s="26" t="n">
        <v>30</v>
      </c>
      <c r="BA466" s="16" t="str">
        <f aca="false">IF(O466&lt;&gt;"",MAX(16,(O466-M466)+8),"")</f>
        <v/>
      </c>
      <c r="BB466" s="26" t="n">
        <v>1150</v>
      </c>
      <c r="BC466" s="26" t="n">
        <v>150</v>
      </c>
      <c r="BD466" s="26" t="n">
        <f aca="false">MIN(AE466/150, 1)*30</f>
        <v>25</v>
      </c>
      <c r="BE466" s="26" t="n">
        <f aca="false">MIN(Q466/4000, 1)*20</f>
        <v>0</v>
      </c>
      <c r="BF466" s="26" t="n">
        <f aca="false">MIN(AC466/400,1)*20</f>
        <v>0</v>
      </c>
      <c r="BG466" s="4" t="n">
        <f aca="false">1-(MAX(M466-1900, 0)/750)</f>
        <v>0.842666666666667</v>
      </c>
      <c r="BH466" s="26" t="n">
        <f aca="false">((MAX($P466,1)*MIN($AL466/300,1)))*IF(J466="Wagon",50,10)</f>
        <v>1.66666666666667</v>
      </c>
      <c r="BI466" s="1" t="n">
        <f aca="false">VLOOKUP($K466,Constants!$I:$K, 2, FALSE())</f>
        <v>1.2</v>
      </c>
      <c r="BJ466" s="1" t="n">
        <f aca="false">VLOOKUP($K466,Constants!$I:$K, 3, FALSE())*IF(AND(J466="multiple_unit",AE466&lt;110),0.75,1)</f>
        <v>0.6</v>
      </c>
      <c r="BK466" s="1" t="n">
        <f aca="false">INT(POWER(((Constants!$G$2+$BD466+$BE466+$BF466+$BH466)*$BG466)*$BJ466, 1.05))+$BC466</f>
        <v>168</v>
      </c>
      <c r="BL466" s="1" t="n">
        <f aca="false">INT(POWER((((Constants!$G$1+$BD466+$BE466+$BF466+$BH466)*($BG466))*$BI466),IF($J466="wagon",1,1.2)))+$BB466</f>
        <v>1192</v>
      </c>
      <c r="BM466" s="17" t="n">
        <f aca="false">BK466*IF($J466="wagon",62.5,781.25)</f>
        <v>10500</v>
      </c>
      <c r="BN466" s="17" t="n">
        <f aca="false">BL466*IF($J466="wagon",2.73,81.25)</f>
        <v>3254.16</v>
      </c>
      <c r="BU466" s="1" t="str">
        <f aca="false">IF(J466="locomotive","B","")</f>
        <v/>
      </c>
      <c r="BV466" s="1" t="str">
        <f aca="false">IF(OR($J466="locomotive",$J466="wagon"),"B","")</f>
        <v>B</v>
      </c>
      <c r="BY466" s="26" t="n">
        <v>2</v>
      </c>
      <c r="BZ466" s="26" t="n">
        <v>278</v>
      </c>
      <c r="CB466" s="26" t="s">
        <v>366</v>
      </c>
      <c r="CC466" s="26" t="s">
        <v>367</v>
      </c>
      <c r="CD466" s="1" t="str">
        <f aca="false">VLOOKUP(M466,Eras!$A$2:$C$10, 2, TRUE())</f>
        <v>mod</v>
      </c>
      <c r="CE466" s="26" t="s">
        <v>1582</v>
      </c>
      <c r="CF466" s="26" t="str">
        <f aca="false">CONCATENATE(CD466,"_",CE466)</f>
        <v>mod_Carriage</v>
      </c>
      <c r="CG466" s="26" t="str">
        <f aca="false">_xlfn.CONCAT(K466, "_",L466)</f>
        <v>carriage_RAIL</v>
      </c>
      <c r="CH466" s="7" t="str">
        <f aca="false">_xlfn.CONCAT("{BLACK}Length: {GOLD}", TEXT(ROUNDUP(IF(AS466&lt;&gt;"",SUM(VALUE(_xlfn.TEXTSPLIT(AS466, ","))), SUM(VALUE(_xlfn.TEXTSPLIT(AP466, ",")))*IF(P466, P466, 1))/16, 1), "#,##0.0"), " tiles{}")</f>
        <v>{BLACK}Length: {GOLD}0.9 tiles{}</v>
      </c>
      <c r="CI466" s="1" t="str">
        <f aca="false">IF(0, VLOOKUP($CG466, Constants!$M:$N, 2, FALSE()),"")</f>
        <v/>
      </c>
      <c r="CJ466" s="1" t="str">
        <f aca="false">IF(P466&gt;1,_xlfn.CONCAT("{BLACK}Cars: {GOLD}", P466),"")</f>
        <v/>
      </c>
      <c r="CK466" s="26" t="s">
        <v>1763</v>
      </c>
      <c r="CL466" s="1" t="str">
        <f aca="false">IF($BX466="concept_trains","{GREEN}Concept Vehicle",IF($BX466="!param_no_gameplay_units","{GREEN}Included for gameplay purposes",""))</f>
        <v/>
      </c>
      <c r="CM466" s="26" t="str">
        <f aca="false">IF(CA466="buffet","{YELLOW}25% long distance bonus for consist{}",IF(CD466="BRAKE","{YELLOW}Speed bonus for slow wagons{}",IF(BZ466&gt;190,CONCATENATE("{YELLOW}",INT((BZ466-185)/1.85),"% bonus for long distance travel{}"),IF(AND(BZ466&lt;180,BZ466&lt;&gt;0),CONCATENATE("{YELLOW}",INT((185-BZ466)/1.85),"% penalty for long distance travel{}"),""))))</f>
        <v>{YELLOW}50% bonus for long distance travel{}</v>
      </c>
      <c r="CN466" s="1" t="str">
        <f aca="false">_xlfn.CONCAT(CI466,IF(CI466&lt;&gt;""," ",""),CJ466,IF(OR(CJ466&lt;&gt;"",CI466&lt;&gt;""),"{}",""),CH466,CM466,"{SILVER}",CK466,IF(CL466&lt;&gt;"","{}{}",""),CL466)</f>
        <v>{BLACK}Length: {GOLD}0.9 tiles{}{YELLOW}50% bonus for long distance travel{}{SILVER}The Mk5 sleeper trains were procured to replace Mk3 sleepers. With the end of double berths, these trains have an even lower capacity than what they replaced!</v>
      </c>
      <c r="XFD466" s="1"/>
    </row>
    <row r="467" s="26" customFormat="true" ht="14.25" hidden="false" customHeight="false" outlineLevel="0" collapsed="false">
      <c r="A467" s="26" t="s">
        <v>1764</v>
      </c>
      <c r="B467" s="27" t="s">
        <v>1765</v>
      </c>
      <c r="C467" s="1" t="n">
        <v>3129</v>
      </c>
      <c r="D467" s="26" t="n">
        <v>3128</v>
      </c>
      <c r="E467" s="1" t="n">
        <v>1051</v>
      </c>
      <c r="G467" s="1" t="str">
        <f aca="false">IF($F467&lt;&gt;"",_xlfn.CONCAT(VLOOKUP($CE467, Constants!$T:$U, 2, FALSE()),",",$F467),VLOOKUP($CE467, Constants!$T:$U, 2, FALSE()))</f>
        <v>role/passenger</v>
      </c>
      <c r="H467" s="1" t="str">
        <f aca="false">IF($G467&lt;&gt;"",_xlfn.CONCAT(VLOOKUP($CG467, Constants!$M:$P, 4, FALSE()),",",$G467),VLOOKUP($CG467, Constants!$M:$P, 4, FALSE()))</f>
        <v>flag/GB,role/passenger</v>
      </c>
      <c r="I467" s="26" t="s">
        <v>241</v>
      </c>
      <c r="J467" s="26" t="s">
        <v>1580</v>
      </c>
      <c r="K467" s="26" t="s">
        <v>1581</v>
      </c>
      <c r="L467" s="26" t="s">
        <v>192</v>
      </c>
      <c r="M467" s="26" t="n">
        <v>2018</v>
      </c>
      <c r="R467" s="2"/>
      <c r="S467" s="3"/>
      <c r="T467" s="3"/>
      <c r="U467" s="3"/>
      <c r="V467" s="3"/>
      <c r="W467" s="3"/>
      <c r="X467" s="3"/>
      <c r="Y467" s="3"/>
      <c r="Z467" s="26" t="n">
        <v>43</v>
      </c>
      <c r="AA467" s="2"/>
      <c r="AB467" s="26" t="n">
        <v>3</v>
      </c>
      <c r="AD467" s="4" t="str">
        <f aca="false">IF(AND(Z467&gt;0,AC467&gt;0),(AC467/((Z467+AA467)*10)),"")</f>
        <v/>
      </c>
      <c r="AE467" s="26" t="n">
        <v>125</v>
      </c>
      <c r="AF467" s="26" t="n">
        <f aca="false">ROUND(AE467*1.6, 0)</f>
        <v>200</v>
      </c>
      <c r="AH467" s="26" t="n">
        <v>22.2</v>
      </c>
      <c r="AI467" s="26" t="n">
        <v>22</v>
      </c>
      <c r="AJ467" s="26" t="n">
        <v>2.75</v>
      </c>
      <c r="AK467" s="26" t="n">
        <v>3.79</v>
      </c>
      <c r="AL467" s="5" t="n">
        <v>30</v>
      </c>
      <c r="AM467" s="1" t="str">
        <f aca="false">CONCATENATE(VLOOKUP(AN467, 'Voxel Sizes'!$A$2:$B$18,2,FALSE()),"x",INT(AJ467*15), "x", INT(AK467*15))</f>
        <v>214x41x56</v>
      </c>
      <c r="AN467" s="26" t="n">
        <f aca="false">ROUND(15*((AI467*10)/256),0)</f>
        <v>13</v>
      </c>
      <c r="AP467" s="1" t="str">
        <f aca="false">CONCATENATE(VLOOKUP(AN467,Constants!$A$2:$C$16,IF(AO467&lt;&gt;"", 3, 2), FALSE()),IF(AO467&lt;&gt;"",CONCATENATE(",",VLOOKUP(AO467,$B:$AP,41,FALSE())),""))</f>
        <v>4,5,4</v>
      </c>
      <c r="AR467" s="6"/>
      <c r="AS467" s="6"/>
      <c r="AY467" s="1" t="s">
        <v>1766</v>
      </c>
      <c r="AZ467" s="26" t="n">
        <v>30</v>
      </c>
      <c r="BA467" s="16" t="str">
        <f aca="false">IF(O467&lt;&gt;"",MAX(16,(O467-M467)+8),"")</f>
        <v/>
      </c>
      <c r="BB467" s="26" t="n">
        <v>1150</v>
      </c>
      <c r="BC467" s="26" t="n">
        <v>150</v>
      </c>
      <c r="BD467" s="26" t="n">
        <f aca="false">MIN(AE467/150, 1)*30</f>
        <v>25</v>
      </c>
      <c r="BE467" s="26" t="n">
        <f aca="false">MIN(Q467/4000, 1)*20</f>
        <v>0</v>
      </c>
      <c r="BF467" s="26" t="n">
        <f aca="false">MIN(AC467/400,1)*20</f>
        <v>0</v>
      </c>
      <c r="BG467" s="4" t="n">
        <f aca="false">1-(MAX(M467-1900, 0)/750)</f>
        <v>0.842666666666667</v>
      </c>
      <c r="BH467" s="26" t="n">
        <f aca="false">((MAX($P467,1)*MIN($AL467/300,1)))*IF(J467="Wagon",50,10)</f>
        <v>5</v>
      </c>
      <c r="BI467" s="1" t="n">
        <f aca="false">VLOOKUP($K467,Constants!$I:$K, 2, FALSE())</f>
        <v>1.2</v>
      </c>
      <c r="BJ467" s="1" t="n">
        <f aca="false">VLOOKUP($K467,Constants!$I:$K, 3, FALSE())*IF(AND(J467="multiple_unit",AE467&lt;110),0.75,1)</f>
        <v>0.6</v>
      </c>
      <c r="BK467" s="1" t="n">
        <f aca="false">INT(POWER(((Constants!$G$2+$BD467+$BE467+$BF467+$BH467)*$BG467)*$BJ467, 1.05))+$BC467</f>
        <v>170</v>
      </c>
      <c r="BL467" s="1" t="n">
        <f aca="false">INT(POWER((((Constants!$G$1+$BD467+$BE467+$BF467+$BH467)*($BG467))*$BI467),IF($J467="wagon",1,1.2)))+$BB467</f>
        <v>1195</v>
      </c>
      <c r="BM467" s="17" t="n">
        <f aca="false">BK467*IF($J467="wagon",62.5,781.25)</f>
        <v>10625</v>
      </c>
      <c r="BN467" s="17" t="n">
        <f aca="false">BL467*IF($J467="wagon",2.73,81.25)</f>
        <v>3262.35</v>
      </c>
      <c r="BU467" s="1" t="str">
        <f aca="false">IF(J467="locomotive","B","")</f>
        <v/>
      </c>
      <c r="BV467" s="1" t="str">
        <f aca="false">IF(OR($J467="locomotive",$J467="wagon"),"B","")</f>
        <v>B</v>
      </c>
      <c r="BY467" s="26" t="n">
        <v>2</v>
      </c>
      <c r="BZ467" s="26" t="n">
        <v>222</v>
      </c>
      <c r="CB467" s="26" t="s">
        <v>366</v>
      </c>
      <c r="CC467" s="26" t="s">
        <v>367</v>
      </c>
      <c r="CD467" s="1" t="str">
        <f aca="false">VLOOKUP(M467,Eras!$A$2:$C$10, 2, TRUE())</f>
        <v>mod</v>
      </c>
      <c r="CE467" s="26" t="s">
        <v>1582</v>
      </c>
      <c r="CF467" s="26" t="str">
        <f aca="false">CONCATENATE(CD467,"_",CE467)</f>
        <v>mod_Carriage</v>
      </c>
      <c r="CG467" s="26" t="str">
        <f aca="false">_xlfn.CONCAT(K467, "_",L467)</f>
        <v>carriage_RAIL</v>
      </c>
      <c r="CH467" s="7" t="str">
        <f aca="false">_xlfn.CONCAT("{BLACK}Length: {GOLD}", TEXT(ROUNDUP(IF(AS467&lt;&gt;"",SUM(VALUE(_xlfn.TEXTSPLIT(AS467, ","))), SUM(VALUE(_xlfn.TEXTSPLIT(AP467, ",")))*IF(P467, P467, 1))/16, 1), "#,##0.0"), " tiles{}")</f>
        <v>{BLACK}Length: {GOLD}0.9 tiles{}</v>
      </c>
      <c r="CI467" s="1" t="str">
        <f aca="false">IF(0, VLOOKUP($CG467, Constants!$M:$N, 2, FALSE()),"")</f>
        <v/>
      </c>
      <c r="CJ467" s="1" t="str">
        <f aca="false">IF(P467&gt;1,_xlfn.CONCAT("{BLACK}Cars: {GOLD}", P467),"")</f>
        <v/>
      </c>
      <c r="CK467" s="26" t="s">
        <v>1767</v>
      </c>
      <c r="CL467" s="1" t="str">
        <f aca="false">IF($BX467="concept_trains","{GREEN}Concept Vehicle",IF($BX467="!param_no_gameplay_units","{GREEN}Included for gameplay purposes",""))</f>
        <v/>
      </c>
      <c r="CM467" s="26" t="str">
        <f aca="false">IF(CA467="buffet","{YELLOW}25% long distance bonus for consist{}",IF(CD467="BRAKE","{YELLOW}Speed bonus for slow wagons{}",IF(BZ467&gt;190,CONCATENATE("{YELLOW}",INT((BZ467-185)/1.85),"% bonus for long distance travel{}"),IF(AND(BZ467&lt;180,BZ467&lt;&gt;0),CONCATENATE("{YELLOW}",INT((185-BZ467)/1.85),"% penalty for long distance travel{}"),""))))</f>
        <v>{YELLOW}20% bonus for long distance travel{}</v>
      </c>
      <c r="CN467" s="1" t="str">
        <f aca="false">_xlfn.CONCAT(CI467,IF(CI467&lt;&gt;""," ",""),CJ467,IF(OR(CJ467&lt;&gt;"",CI467&lt;&gt;""),"{}",""),CH467,CM467,"{SILVER}",CK467,IF(CL467&lt;&gt;"","{}{}",""),CL467)</f>
        <v>{BLACK}Length: {GOLD}0.9 tiles{}{YELLOW}20% bonus for long distance travel{}{SILVER}Mk5 sleeper services make up for their pathetic berth count with conventional seated stock, featuring a 2+1 airline style seating and not enough recline in the seats.</v>
      </c>
      <c r="XFD467" s="1"/>
    </row>
    <row r="468" s="26" customFormat="true" ht="14.25" hidden="false" customHeight="false" outlineLevel="0" collapsed="false">
      <c r="A468" s="26" t="s">
        <v>1768</v>
      </c>
      <c r="B468" s="27" t="s">
        <v>1769</v>
      </c>
      <c r="C468" s="1" t="n">
        <v>3130</v>
      </c>
      <c r="D468" s="26" t="n">
        <v>3128</v>
      </c>
      <c r="E468" s="1" t="n">
        <v>1052</v>
      </c>
      <c r="G468" s="1" t="str">
        <f aca="false">IF($F468&lt;&gt;"",_xlfn.CONCAT(VLOOKUP($CE468, Constants!$T:$U, 2, FALSE()),",",$F468),VLOOKUP($CE468, Constants!$T:$U, 2, FALSE()))</f>
        <v>role/passenger</v>
      </c>
      <c r="H468" s="1" t="str">
        <f aca="false">IF($G468&lt;&gt;"",_xlfn.CONCAT(VLOOKUP($CG468, Constants!$M:$P, 4, FALSE()),",",$G468),VLOOKUP($CG468, Constants!$M:$P, 4, FALSE()))</f>
        <v>flag/GB,role/passenger</v>
      </c>
      <c r="I468" s="26" t="s">
        <v>241</v>
      </c>
      <c r="J468" s="26" t="s">
        <v>1580</v>
      </c>
      <c r="K468" s="26" t="s">
        <v>1581</v>
      </c>
      <c r="L468" s="26" t="s">
        <v>192</v>
      </c>
      <c r="M468" s="26" t="n">
        <v>2018</v>
      </c>
      <c r="R468" s="2"/>
      <c r="S468" s="3"/>
      <c r="T468" s="3"/>
      <c r="U468" s="3"/>
      <c r="V468" s="3"/>
      <c r="W468" s="3"/>
      <c r="X468" s="3"/>
      <c r="Y468" s="3"/>
      <c r="Z468" s="26" t="n">
        <v>43</v>
      </c>
      <c r="AA468" s="2"/>
      <c r="AB468" s="26" t="n">
        <v>3</v>
      </c>
      <c r="AD468" s="4" t="str">
        <f aca="false">IF(AND(Z468&gt;0,AC468&gt;0),(AC468/((Z468+AA468)*10)),"")</f>
        <v/>
      </c>
      <c r="AE468" s="26" t="n">
        <v>125</v>
      </c>
      <c r="AF468" s="26" t="n">
        <f aca="false">ROUND(AE468*1.6, 0)</f>
        <v>200</v>
      </c>
      <c r="AH468" s="26" t="n">
        <v>22.2</v>
      </c>
      <c r="AI468" s="26" t="n">
        <v>22</v>
      </c>
      <c r="AJ468" s="26" t="n">
        <v>2.75</v>
      </c>
      <c r="AK468" s="26" t="n">
        <v>3.79</v>
      </c>
      <c r="AL468" s="5" t="n">
        <v>0</v>
      </c>
      <c r="AM468" s="1" t="str">
        <f aca="false">CONCATENATE(VLOOKUP(AN468, 'Voxel Sizes'!$A$2:$B$18,2,FALSE()),"x",INT(AJ468*15), "x", INT(AK468*15))</f>
        <v>214x41x56</v>
      </c>
      <c r="AN468" s="26" t="n">
        <f aca="false">ROUND(15*((AI468*10)/256),0)</f>
        <v>13</v>
      </c>
      <c r="AP468" s="1" t="str">
        <f aca="false">CONCATENATE(VLOOKUP(AN468,Constants!$A$2:$C$16,IF(AO468&lt;&gt;"", 3, 2), FALSE()),IF(AO468&lt;&gt;"",CONCATENATE(",",VLOOKUP(AO468,$B:$AP,41,FALSE())),""))</f>
        <v>4,5,4</v>
      </c>
      <c r="AR468" s="6"/>
      <c r="AS468" s="6"/>
      <c r="AY468" s="1" t="s">
        <v>1770</v>
      </c>
      <c r="AZ468" s="26" t="n">
        <v>30</v>
      </c>
      <c r="BA468" s="16" t="str">
        <f aca="false">IF(O468&lt;&gt;"",MAX(16,(O468-M468)+8),"")</f>
        <v/>
      </c>
      <c r="BB468" s="26" t="n">
        <v>1150</v>
      </c>
      <c r="BC468" s="26" t="n">
        <v>150</v>
      </c>
      <c r="BD468" s="26" t="n">
        <f aca="false">MIN(AE468/150, 1)*30</f>
        <v>25</v>
      </c>
      <c r="BE468" s="26" t="n">
        <f aca="false">MIN(Q468/4000, 1)*20</f>
        <v>0</v>
      </c>
      <c r="BF468" s="26" t="n">
        <f aca="false">MIN(AC468/400,1)*20</f>
        <v>0</v>
      </c>
      <c r="BG468" s="4" t="n">
        <f aca="false">1-(MAX(M468-1900, 0)/750)</f>
        <v>0.842666666666667</v>
      </c>
      <c r="BH468" s="26" t="n">
        <f aca="false">((MAX($P468,1)*MIN($AL468/300,1)))*IF(J468="Wagon",50,10)</f>
        <v>0</v>
      </c>
      <c r="BI468" s="1" t="n">
        <f aca="false">VLOOKUP($K468,Constants!$I:$K, 2, FALSE())</f>
        <v>1.2</v>
      </c>
      <c r="BJ468" s="1" t="n">
        <f aca="false">VLOOKUP($K468,Constants!$I:$K, 3, FALSE())*IF(AND(J468="multiple_unit",AE468&lt;110),0.75,1)</f>
        <v>0.6</v>
      </c>
      <c r="BK468" s="1" t="n">
        <f aca="false">INT(POWER(((Constants!$G$2+$BD468+$BE468+$BF468+$BH468)*$BG468)*$BJ468, 1.05))+$BC468</f>
        <v>167</v>
      </c>
      <c r="BL468" s="1" t="n">
        <f aca="false">INT(POWER((((Constants!$G$1+$BD468+$BE468+$BF468+$BH468)*($BG468))*$BI468),IF($J468="wagon",1,1.2)))+$BB468</f>
        <v>1190</v>
      </c>
      <c r="BM468" s="17" t="n">
        <f aca="false">BK468*IF($J468="wagon",62.5,781.25)</f>
        <v>10437.5</v>
      </c>
      <c r="BN468" s="17" t="n">
        <f aca="false">BL468*IF($J468="wagon",2.73,81.25)</f>
        <v>3248.7</v>
      </c>
      <c r="BU468" s="1" t="str">
        <f aca="false">IF(J468="locomotive","B","")</f>
        <v/>
      </c>
      <c r="BV468" s="1" t="str">
        <f aca="false">IF(OR($J468="locomotive",$J468="wagon"),"B","")</f>
        <v>B</v>
      </c>
      <c r="BY468" s="26" t="n">
        <v>2</v>
      </c>
      <c r="BZ468" s="26" t="n">
        <v>278</v>
      </c>
      <c r="CA468" s="26" t="s">
        <v>973</v>
      </c>
      <c r="CB468" s="26" t="s">
        <v>366</v>
      </c>
      <c r="CC468" s="26" t="s">
        <v>367</v>
      </c>
      <c r="CD468" s="1" t="str">
        <f aca="false">VLOOKUP(M468,Eras!$A$2:$C$10, 2, TRUE())</f>
        <v>mod</v>
      </c>
      <c r="CE468" s="26" t="s">
        <v>1582</v>
      </c>
      <c r="CF468" s="26" t="str">
        <f aca="false">CONCATENATE(CD468,"_",CE468)</f>
        <v>mod_Carriage</v>
      </c>
      <c r="CG468" s="26" t="str">
        <f aca="false">_xlfn.CONCAT(K468, "_",L468)</f>
        <v>carriage_RAIL</v>
      </c>
      <c r="CH468" s="7" t="str">
        <f aca="false">_xlfn.CONCAT("{BLACK}Length: {GOLD}", TEXT(ROUNDUP(IF(AS468&lt;&gt;"",SUM(VALUE(_xlfn.TEXTSPLIT(AS468, ","))), SUM(VALUE(_xlfn.TEXTSPLIT(AP468, ",")))*IF(P468, P468, 1))/16, 1), "#,##0.0"), " tiles{}")</f>
        <v>{BLACK}Length: {GOLD}0.9 tiles{}</v>
      </c>
      <c r="CI468" s="1" t="str">
        <f aca="false">IF(0, VLOOKUP($CG468, Constants!$M:$N, 2, FALSE()),"")</f>
        <v/>
      </c>
      <c r="CJ468" s="1" t="str">
        <f aca="false">IF(P468&gt;1,_xlfn.CONCAT("{BLACK}Cars: {GOLD}", P468),"")</f>
        <v/>
      </c>
      <c r="CK468" s="26" t="s">
        <v>1771</v>
      </c>
      <c r="CL468" s="1" t="str">
        <f aca="false">IF($BX468="concept_trains","{GREEN}Concept Vehicle",IF($BX468="!param_no_gameplay_units","{GREEN}Included for gameplay purposes",""))</f>
        <v/>
      </c>
      <c r="CM468" s="26" t="str">
        <f aca="false">IF(CA468="buffet","{YELLOW}25% long distance bonus for consist{}",IF(CD468="BRAKE","{YELLOW}Speed bonus for slow wagons{}",IF(BZ468&gt;190,CONCATENATE("{YELLOW}",INT((BZ468-185)/1.85),"% bonus for long distance travel{}"),IF(AND(BZ468&lt;180,BZ468&lt;&gt;0),CONCATENATE("{YELLOW}",INT((185-BZ468)/1.85),"% penalty for long distance travel{}"),""))))</f>
        <v>{YELLOW}25% long distance bonus for consist{}</v>
      </c>
      <c r="CN468" s="1" t="str">
        <f aca="false">_xlfn.CONCAT(CI468,IF(CI468&lt;&gt;""," ",""),CJ468,IF(OR(CJ468&lt;&gt;"",CI468&lt;&gt;""),"{}",""),CH468,CM468,"{SILVER}",CK468,IF(CL468&lt;&gt;"","{}{}",""),CL468)</f>
        <v>{BLACK}Length: {GOLD}0.9 tiles{}{YELLOW}25% long distance bonus for consist{}{SILVER}The Mk5 ‘Club Car’ is the dining facility for sleeper services, but the 30 seats within are not bookable for travel.</v>
      </c>
      <c r="XFD468" s="1"/>
    </row>
    <row r="469" s="26" customFormat="true" ht="14.25" hidden="false" customHeight="false" outlineLevel="0" collapsed="false">
      <c r="A469" s="26" t="s">
        <v>1772</v>
      </c>
      <c r="B469" s="27" t="s">
        <v>1773</v>
      </c>
      <c r="C469" s="1" t="n">
        <v>3117</v>
      </c>
      <c r="D469" s="1" t="n">
        <v>18</v>
      </c>
      <c r="E469" s="1" t="n">
        <v>1053</v>
      </c>
      <c r="G469" s="1" t="str">
        <f aca="false">IF($F469&lt;&gt;"",_xlfn.CONCAT(VLOOKUP($CE469, Constants!$T:$U, 2, FALSE()),",",$F469),VLOOKUP($CE469, Constants!$T:$U, 2, FALSE()))</f>
        <v>role/mail</v>
      </c>
      <c r="H469" s="1" t="str">
        <f aca="false">IF($G469&lt;&gt;"",_xlfn.CONCAT(VLOOKUP($CG469, Constants!$M:$P, 4, FALSE()),",",$G469),VLOOKUP($CG469, Constants!$M:$P, 4, FALSE()))</f>
        <v>flag/GB,role/mail</v>
      </c>
      <c r="I469" s="26" t="s">
        <v>241</v>
      </c>
      <c r="J469" s="26" t="s">
        <v>1580</v>
      </c>
      <c r="K469" s="26" t="s">
        <v>1581</v>
      </c>
      <c r="L469" s="26" t="s">
        <v>192</v>
      </c>
      <c r="M469" s="26" t="n">
        <v>1957</v>
      </c>
      <c r="N469" s="26" t="n">
        <v>1981</v>
      </c>
      <c r="O469" s="26" t="n">
        <v>2002</v>
      </c>
      <c r="R469" s="2"/>
      <c r="S469" s="3"/>
      <c r="T469" s="3"/>
      <c r="U469" s="3"/>
      <c r="V469" s="3"/>
      <c r="W469" s="3"/>
      <c r="X469" s="3"/>
      <c r="Y469" s="3"/>
      <c r="Z469" s="26" t="n">
        <v>33</v>
      </c>
      <c r="AA469" s="2"/>
      <c r="AB469" s="26" t="n">
        <v>4</v>
      </c>
      <c r="AD469" s="4" t="str">
        <f aca="false">IF(AND(Z469&gt;0,AC469&gt;0),(AC469/((Z469+AA469)*10)),"")</f>
        <v/>
      </c>
      <c r="AE469" s="26" t="n">
        <v>100</v>
      </c>
      <c r="AF469" s="26" t="n">
        <f aca="false">ROUND(AE469*1.6, 0)</f>
        <v>160</v>
      </c>
      <c r="AH469" s="26" t="n">
        <v>18.4</v>
      </c>
      <c r="AI469" s="26" t="n">
        <v>18</v>
      </c>
      <c r="AJ469" s="26" t="n">
        <v>2.82</v>
      </c>
      <c r="AK469" s="26" t="n">
        <v>3.79</v>
      </c>
      <c r="AL469" s="5" t="n">
        <v>65</v>
      </c>
      <c r="AM469" s="1" t="str">
        <f aca="false">CONCATENATE(VLOOKUP(AN469, 'Voxel Sizes'!$A$2:$B$18,2,FALSE()),"x",INT(AJ469*15), "x", INT(AK469*15))</f>
        <v>186x42x56</v>
      </c>
      <c r="AN469" s="26" t="n">
        <f aca="false">ROUND(15*((AI469*10)/256),0)</f>
        <v>11</v>
      </c>
      <c r="AP469" s="1" t="str">
        <f aca="false">CONCATENATE(VLOOKUP(AN469,Constants!$A$2:$C$16,IF(AO469&lt;&gt;"", 3, 2), FALSE()),IF(AO469&lt;&gt;"",CONCATENATE(",",VLOOKUP(AO469,$B:$AP,41,FALSE())),""))</f>
        <v>4,3,4</v>
      </c>
      <c r="AR469" s="6"/>
      <c r="AS469" s="6"/>
      <c r="AY469" s="1"/>
      <c r="AZ469" s="26" t="n">
        <v>30</v>
      </c>
      <c r="BA469" s="16" t="n">
        <f aca="false">IF(O469&lt;&gt;"",MAX(16,(O469-M469)+8),"")</f>
        <v>53</v>
      </c>
      <c r="BB469" s="26" t="n">
        <v>55</v>
      </c>
      <c r="BC469" s="26" t="n">
        <v>25</v>
      </c>
      <c r="BD469" s="26" t="n">
        <f aca="false">MIN(AE469/150, 1)*30</f>
        <v>20</v>
      </c>
      <c r="BE469" s="26" t="n">
        <f aca="false">MIN(Q469/4000, 1)*20</f>
        <v>0</v>
      </c>
      <c r="BF469" s="26" t="n">
        <f aca="false">MIN(AC469/400,1)*20</f>
        <v>0</v>
      </c>
      <c r="BG469" s="4" t="n">
        <f aca="false">1-(MAX(M469-1900, 0)/750)</f>
        <v>0.924</v>
      </c>
      <c r="BH469" s="26" t="n">
        <f aca="false">((MAX($P469,1)*MIN($AL469/300,1)))*IF(J469="Wagon",50,10)</f>
        <v>10.8333333333333</v>
      </c>
      <c r="BI469" s="1" t="n">
        <f aca="false">VLOOKUP($K469,Constants!$I:$K, 2, FALSE())</f>
        <v>1.2</v>
      </c>
      <c r="BJ469" s="1" t="n">
        <f aca="false">VLOOKUP($K469,Constants!$I:$K, 3, FALSE())*IF(AND(J469="multiple_unit",AE469&lt;110),0.75,1)</f>
        <v>0.6</v>
      </c>
      <c r="BK469" s="1" t="n">
        <f aca="false">INT(POWER(((Constants!$G$2+$BD469+$BE469+$BF469+$BH469)*$BG469)*$BJ469, 1.05))+$BC469</f>
        <v>48</v>
      </c>
      <c r="BL469" s="1" t="n">
        <f aca="false">INT(POWER((((Constants!$G$1+$BD469+$BE469+$BF469+$BH469)*($BG469))*$BI469),IF($J469="wagon",1,1.2)))+$BB469</f>
        <v>105</v>
      </c>
      <c r="BM469" s="17" t="n">
        <f aca="false">BK469*IF($J469="wagon",62.5,781.25)</f>
        <v>3000</v>
      </c>
      <c r="BN469" s="17" t="n">
        <f aca="false">BL469*IF($J469="wagon",2.73,81.25)</f>
        <v>286.65</v>
      </c>
      <c r="BU469" s="1" t="str">
        <f aca="false">IF(J469="locomotive","B","")</f>
        <v/>
      </c>
      <c r="BV469" s="1" t="str">
        <f aca="false">IF(OR($J469="locomotive",$J469="wagon"),"B","")</f>
        <v>B</v>
      </c>
      <c r="BY469" s="26" t="n">
        <v>1</v>
      </c>
      <c r="BZ469" s="26" t="n">
        <v>185</v>
      </c>
      <c r="CB469" s="26" t="s">
        <v>705</v>
      </c>
      <c r="CC469" s="26" t="s">
        <v>706</v>
      </c>
      <c r="CD469" s="1" t="str">
        <f aca="false">VLOOKUP(M469,Eras!$A$2:$C$10, 2, TRUE())</f>
        <v>dsl</v>
      </c>
      <c r="CE469" s="26" t="s">
        <v>1709</v>
      </c>
      <c r="CF469" s="26" t="str">
        <f aca="false">CONCATENATE(CD469,"_",CE469)</f>
        <v>dsl_Mail Carriage</v>
      </c>
      <c r="CG469" s="26" t="str">
        <f aca="false">_xlfn.CONCAT(K469, "_",L469)</f>
        <v>carriage_RAIL</v>
      </c>
      <c r="CH469" s="7" t="str">
        <f aca="false">_xlfn.CONCAT("{BLACK}Length: {GOLD}", TEXT(ROUNDUP(IF(AS469&lt;&gt;"",SUM(VALUE(_xlfn.TEXTSPLIT(AS469, ","))), SUM(VALUE(_xlfn.TEXTSPLIT(AP469, ",")))*IF(P469, P469, 1))/16, 1), "#,##0.0"), " tiles{}")</f>
        <v>{BLACK}Length: {GOLD}0.7 tiles{}</v>
      </c>
      <c r="CI469" s="1" t="str">
        <f aca="false">IF(0, VLOOKUP($CG469, Constants!$M:$N, 2, FALSE()),"")</f>
        <v/>
      </c>
      <c r="CJ469" s="1" t="str">
        <f aca="false">IF(P469&gt;1,_xlfn.CONCAT("{BLACK}Cars: {GOLD}", P469),"")</f>
        <v/>
      </c>
      <c r="CK469" s="26" t="s">
        <v>1774</v>
      </c>
      <c r="CL469" s="1" t="str">
        <f aca="false">IF($BX469="concept_trains","{GREEN}Concept Vehicle",IF($BX469="!param_no_gameplay_units","{GREEN}Included for gameplay purposes",""))</f>
        <v/>
      </c>
      <c r="CM469" s="26" t="str">
        <f aca="false">IF(CA469="buffet","{YELLOW}25% long distance bonus for consist{}",IF(CD469="BRAKE","{YELLOW}Speed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{GOLD}0.7 tiles{}{SILVER}The standard parcels and baggage car on British Rail for decades, the Mk1 Brake Gangwayed was extremely versatile. This represents a standard 57’ frame example, making it noticably shorter than the standard Mk1 coach.</v>
      </c>
      <c r="XFD469" s="1"/>
    </row>
    <row r="470" s="26" customFormat="true" ht="14.25" hidden="false" customHeight="false" outlineLevel="0" collapsed="false">
      <c r="A470" s="26" t="s">
        <v>1775</v>
      </c>
      <c r="B470" s="27" t="s">
        <v>1776</v>
      </c>
      <c r="C470" s="1" t="n">
        <v>3118</v>
      </c>
      <c r="D470" s="1" t="n">
        <v>18</v>
      </c>
      <c r="E470" s="1" t="n">
        <v>1054</v>
      </c>
      <c r="G470" s="1" t="str">
        <f aca="false">IF($F470&lt;&gt;"",_xlfn.CONCAT(VLOOKUP($CE470, Constants!$T:$U, 2, FALSE()),",",$F470),VLOOKUP($CE470, Constants!$T:$U, 2, FALSE()))</f>
        <v>role/mail</v>
      </c>
      <c r="H470" s="1" t="str">
        <f aca="false">IF($G470&lt;&gt;"",_xlfn.CONCAT(VLOOKUP($CG470, Constants!$M:$P, 4, FALSE()),",",$G470),VLOOKUP($CG470, Constants!$M:$P, 4, FALSE()))</f>
        <v>flag/GB,role/mail</v>
      </c>
      <c r="I470" s="26" t="s">
        <v>241</v>
      </c>
      <c r="J470" s="26" t="s">
        <v>1580</v>
      </c>
      <c r="K470" s="26" t="s">
        <v>1581</v>
      </c>
      <c r="L470" s="26" t="s">
        <v>192</v>
      </c>
      <c r="M470" s="26" t="n">
        <v>1975</v>
      </c>
      <c r="N470" s="26" t="n">
        <v>1998</v>
      </c>
      <c r="O470" s="26" t="n">
        <v>2002</v>
      </c>
      <c r="R470" s="2"/>
      <c r="S470" s="3"/>
      <c r="T470" s="3"/>
      <c r="U470" s="3"/>
      <c r="V470" s="3"/>
      <c r="W470" s="3"/>
      <c r="X470" s="3"/>
      <c r="Y470" s="3"/>
      <c r="Z470" s="26" t="n">
        <v>33</v>
      </c>
      <c r="AA470" s="2"/>
      <c r="AB470" s="26" t="n">
        <v>4</v>
      </c>
      <c r="AD470" s="4" t="str">
        <f aca="false">IF(AND(Z470&gt;0,AC470&gt;0),(AC470/((Z470+AA470)*10)),"")</f>
        <v/>
      </c>
      <c r="AE470" s="26" t="n">
        <v>110</v>
      </c>
      <c r="AF470" s="26" t="n">
        <f aca="false">ROUND(AE470*1.6, 0)</f>
        <v>176</v>
      </c>
      <c r="AH470" s="26" t="n">
        <v>18.4</v>
      </c>
      <c r="AI470" s="26" t="n">
        <v>18</v>
      </c>
      <c r="AJ470" s="26" t="n">
        <v>2.82</v>
      </c>
      <c r="AK470" s="26" t="n">
        <v>3.79</v>
      </c>
      <c r="AL470" s="5" t="n">
        <v>65</v>
      </c>
      <c r="AM470" s="1" t="str">
        <f aca="false">CONCATENATE(VLOOKUP(AN470, 'Voxel Sizes'!$A$2:$B$18,2,FALSE()),"x",INT(AJ470*15), "x", INT(AK470*15))</f>
        <v>186x42x56</v>
      </c>
      <c r="AN470" s="26" t="n">
        <f aca="false">ROUND(15*((AI470*10)/256),0)</f>
        <v>11</v>
      </c>
      <c r="AP470" s="1" t="str">
        <f aca="false">CONCATENATE(VLOOKUP(AN470,Constants!$A$2:$C$16,IF(AO470&lt;&gt;"", 3, 2), FALSE()),IF(AO470&lt;&gt;"",CONCATENATE(",",VLOOKUP(AO470,$B:$AP,41,FALSE())),""))</f>
        <v>4,3,4</v>
      </c>
      <c r="AR470" s="6"/>
      <c r="AS470" s="6"/>
      <c r="AY470" s="1"/>
      <c r="AZ470" s="26" t="n">
        <v>30</v>
      </c>
      <c r="BA470" s="16" t="n">
        <f aca="false">IF(O470&lt;&gt;"",MAX(16,(O470-M470)+8),"")</f>
        <v>35</v>
      </c>
      <c r="BB470" s="26" t="n">
        <v>75</v>
      </c>
      <c r="BC470" s="26" t="n">
        <v>35</v>
      </c>
      <c r="BD470" s="26" t="n">
        <f aca="false">MIN(AE470/150, 1)*30</f>
        <v>22</v>
      </c>
      <c r="BE470" s="26" t="n">
        <f aca="false">MIN(Q470/4000, 1)*20</f>
        <v>0</v>
      </c>
      <c r="BF470" s="26" t="n">
        <f aca="false">MIN(AC470/400,1)*20</f>
        <v>0</v>
      </c>
      <c r="BG470" s="4" t="n">
        <f aca="false">1-(MAX(M470-1900, 0)/750)</f>
        <v>0.9</v>
      </c>
      <c r="BH470" s="26" t="n">
        <f aca="false">((MAX($P470,1)*MIN($AL470/300,1)))*IF(J470="Wagon",50,10)</f>
        <v>10.8333333333333</v>
      </c>
      <c r="BI470" s="1" t="n">
        <f aca="false">VLOOKUP($K470,Constants!$I:$K, 2, FALSE())</f>
        <v>1.2</v>
      </c>
      <c r="BJ470" s="1" t="n">
        <f aca="false">VLOOKUP($K470,Constants!$I:$K, 3, FALSE())*IF(AND(J470="multiple_unit",AE470&lt;110),0.75,1)</f>
        <v>0.6</v>
      </c>
      <c r="BK470" s="1" t="n">
        <f aca="false">INT(POWER(((Constants!$G$2+$BD470+$BE470+$BF470+$BH470)*$BG470)*$BJ470, 1.05))+$BC470</f>
        <v>58</v>
      </c>
      <c r="BL470" s="1" t="n">
        <f aca="false">INT(POWER((((Constants!$G$1+$BD470+$BE470+$BF470+$BH470)*($BG470))*$BI470),IF($J470="wagon",1,1.2)))+$BB470</f>
        <v>126</v>
      </c>
      <c r="BM470" s="17" t="n">
        <f aca="false">BK470*IF($J470="wagon",62.5,781.25)</f>
        <v>3625</v>
      </c>
      <c r="BN470" s="17" t="n">
        <f aca="false">BL470*IF($J470="wagon",2.73,81.25)</f>
        <v>343.98</v>
      </c>
      <c r="BU470" s="1" t="str">
        <f aca="false">IF(J470="locomotive","B","")</f>
        <v/>
      </c>
      <c r="BV470" s="1" t="str">
        <f aca="false">IF(OR($J470="locomotive",$J470="wagon"),"B","")</f>
        <v>B</v>
      </c>
      <c r="BY470" s="26" t="n">
        <v>1</v>
      </c>
      <c r="BZ470" s="26" t="n">
        <v>185</v>
      </c>
      <c r="CB470" s="26" t="s">
        <v>705</v>
      </c>
      <c r="CC470" s="26" t="s">
        <v>706</v>
      </c>
      <c r="CD470" s="1" t="str">
        <f aca="false">VLOOKUP(M470,Eras!$A$2:$C$10, 2, TRUE())</f>
        <v>lbr</v>
      </c>
      <c r="CE470" s="26" t="s">
        <v>1709</v>
      </c>
      <c r="CF470" s="26" t="str">
        <f aca="false">CONCATENATE(CD470,"_",CE470)</f>
        <v>lbr_Mail Carriage</v>
      </c>
      <c r="CG470" s="26" t="str">
        <f aca="false">_xlfn.CONCAT(K470, "_",L470)</f>
        <v>carriage_RAIL</v>
      </c>
      <c r="CH470" s="7" t="str">
        <f aca="false">_xlfn.CONCAT("{BLACK}Length: {GOLD}", TEXT(ROUNDUP(IF(AS470&lt;&gt;"",SUM(VALUE(_xlfn.TEXTSPLIT(AS470, ","))), SUM(VALUE(_xlfn.TEXTSPLIT(AP470, ",")))*IF(P470, P470, 1))/16, 1), "#,##0.0"), " tiles{}")</f>
        <v>{BLACK}Length: {GOLD}0.7 tiles{}</v>
      </c>
      <c r="CI470" s="1" t="str">
        <f aca="false">IF(0, VLOOKUP($CG470, Constants!$M:$N, 2, FALSE()),"")</f>
        <v/>
      </c>
      <c r="CJ470" s="1" t="str">
        <f aca="false">IF(P470&gt;1,_xlfn.CONCAT("{BLACK}Cars: {GOLD}", P470),"")</f>
        <v/>
      </c>
      <c r="CK470" s="26" t="s">
        <v>1777</v>
      </c>
      <c r="CL470" s="1" t="str">
        <f aca="false">IF($BX470="concept_trains","{GREEN}Concept Vehicle",IF($BX470="!param_no_gameplay_units","{GREEN}Included for gameplay purposes",""))</f>
        <v/>
      </c>
      <c r="CM470" s="26" t="str">
        <f aca="false">IF(CA470="buffet","{YELLOW}25% long distance bonus for consist{}",IF(CD470="BRAKE","{YELLOW}Speed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{GOLD}0.7 tiles{}{SILVER}In the 1980s a number of BG vehicles were upgraded with B4 bogies and cleared for travel at 110mph, to provide additional capacity within fast passenger services, which were typically run with Mark 2 stock.</v>
      </c>
      <c r="XFD470" s="1"/>
    </row>
    <row r="471" s="26" customFormat="true" ht="14.25" hidden="false" customHeight="false" outlineLevel="0" collapsed="false">
      <c r="A471" s="26" t="s">
        <v>1778</v>
      </c>
      <c r="B471" s="27" t="s">
        <v>1779</v>
      </c>
      <c r="C471" s="1" t="n">
        <v>3119</v>
      </c>
      <c r="D471" s="1" t="n">
        <v>18</v>
      </c>
      <c r="E471" s="1" t="n">
        <v>1055</v>
      </c>
      <c r="G471" s="1" t="str">
        <f aca="false">IF($F471&lt;&gt;"",_xlfn.CONCAT(VLOOKUP($CE471, Constants!$T:$U, 2, FALSE()),",",$F471),VLOOKUP($CE471, Constants!$T:$U, 2, FALSE()))</f>
        <v>role/mail</v>
      </c>
      <c r="H471" s="1" t="str">
        <f aca="false">IF($G471&lt;&gt;"",_xlfn.CONCAT(VLOOKUP($CG471, Constants!$M:$P, 4, FALSE()),",",$G471),VLOOKUP($CG471, Constants!$M:$P, 4, FALSE()))</f>
        <v>flag/GB,role/mail</v>
      </c>
      <c r="I471" s="26" t="s">
        <v>241</v>
      </c>
      <c r="J471" s="26" t="s">
        <v>1580</v>
      </c>
      <c r="K471" s="26" t="s">
        <v>1581</v>
      </c>
      <c r="L471" s="26" t="s">
        <v>192</v>
      </c>
      <c r="M471" s="26" t="n">
        <v>1989</v>
      </c>
      <c r="N471" s="26" t="n">
        <v>2002</v>
      </c>
      <c r="O471" s="26" t="n">
        <v>2002</v>
      </c>
      <c r="R471" s="2"/>
      <c r="S471" s="3"/>
      <c r="T471" s="3"/>
      <c r="U471" s="3"/>
      <c r="V471" s="3"/>
      <c r="W471" s="3"/>
      <c r="X471" s="3"/>
      <c r="Y471" s="3"/>
      <c r="Z471" s="26" t="n">
        <v>33</v>
      </c>
      <c r="AA471" s="2"/>
      <c r="AB471" s="26" t="n">
        <v>5</v>
      </c>
      <c r="AD471" s="4" t="str">
        <f aca="false">IF(AND(Z471&gt;0,AC471&gt;0),(AC471/((Z471+AA471)*10)),"")</f>
        <v/>
      </c>
      <c r="AE471" s="26" t="n">
        <v>100</v>
      </c>
      <c r="AF471" s="26" t="n">
        <f aca="false">ROUND(AE471*1.6, 0)</f>
        <v>160</v>
      </c>
      <c r="AH471" s="26" t="n">
        <v>18.4</v>
      </c>
      <c r="AI471" s="26" t="n">
        <v>18</v>
      </c>
      <c r="AJ471" s="26" t="n">
        <v>2.82</v>
      </c>
      <c r="AK471" s="26" t="n">
        <v>3.79</v>
      </c>
      <c r="AL471" s="5" t="n">
        <v>72</v>
      </c>
      <c r="AM471" s="1" t="str">
        <f aca="false">CONCATENATE(VLOOKUP(AN471, 'Voxel Sizes'!$A$2:$B$18,2,FALSE()),"x",INT(AJ471*15), "x", INT(AK471*15))</f>
        <v>186x42x56</v>
      </c>
      <c r="AN471" s="26" t="n">
        <f aca="false">ROUND(15*((AI471*10)/256),0)</f>
        <v>11</v>
      </c>
      <c r="AP471" s="1" t="str">
        <f aca="false">CONCATENATE(VLOOKUP(AN471,Constants!$A$2:$C$16,IF(AO471&lt;&gt;"", 3, 2), FALSE()),IF(AO471&lt;&gt;"",CONCATENATE(",",VLOOKUP(AO471,$B:$AP,41,FALSE())),""))</f>
        <v>4,3,4</v>
      </c>
      <c r="AR471" s="6"/>
      <c r="AS471" s="6"/>
      <c r="AY471" s="1"/>
      <c r="AZ471" s="26" t="n">
        <v>30</v>
      </c>
      <c r="BA471" s="16" t="n">
        <f aca="false">IF(O471&lt;&gt;"",MAX(16,(O471-M471)+8),"")</f>
        <v>21</v>
      </c>
      <c r="BB471" s="26" t="n">
        <v>65</v>
      </c>
      <c r="BC471" s="26" t="n">
        <v>45</v>
      </c>
      <c r="BD471" s="26" t="n">
        <f aca="false">MIN(AE471/150, 1)*30</f>
        <v>20</v>
      </c>
      <c r="BE471" s="26" t="n">
        <f aca="false">MIN(Q471/4000, 1)*20</f>
        <v>0</v>
      </c>
      <c r="BF471" s="26" t="n">
        <f aca="false">MIN(AC471/400,1)*20</f>
        <v>0</v>
      </c>
      <c r="BG471" s="4" t="n">
        <f aca="false">1-(MAX(M471-1900, 0)/750)</f>
        <v>0.881333333333333</v>
      </c>
      <c r="BH471" s="26" t="n">
        <f aca="false">((MAX($P471,1)*MIN($AL471/300,1)))*IF(J471="Wagon",50,10)</f>
        <v>12</v>
      </c>
      <c r="BI471" s="1" t="n">
        <f aca="false">VLOOKUP($K471,Constants!$I:$K, 2, FALSE())</f>
        <v>1.2</v>
      </c>
      <c r="BJ471" s="1" t="n">
        <f aca="false">VLOOKUP($K471,Constants!$I:$K, 3, FALSE())*IF(AND(J471="multiple_unit",AE471&lt;110),0.75,1)</f>
        <v>0.6</v>
      </c>
      <c r="BK471" s="1" t="n">
        <f aca="false">INT(POWER(((Constants!$G$2+$BD471+$BE471+$BF471+$BH471)*$BG471)*$BJ471, 1.05))+$BC471</f>
        <v>67</v>
      </c>
      <c r="BL471" s="1" t="n">
        <f aca="false">INT(POWER((((Constants!$G$1+$BD471+$BE471+$BF471+$BH471)*($BG471))*$BI471),IF($J471="wagon",1,1.2)))+$BB471</f>
        <v>114</v>
      </c>
      <c r="BM471" s="17" t="n">
        <f aca="false">BK471*IF($J471="wagon",62.5,781.25)</f>
        <v>4187.5</v>
      </c>
      <c r="BN471" s="17" t="n">
        <f aca="false">BL471*IF($J471="wagon",2.73,81.25)</f>
        <v>311.22</v>
      </c>
      <c r="BU471" s="1" t="str">
        <f aca="false">IF(J471="locomotive","B","")</f>
        <v/>
      </c>
      <c r="BV471" s="1" t="str">
        <f aca="false">IF(OR($J471="locomotive",$J471="wagon"),"B","")</f>
        <v>B</v>
      </c>
      <c r="BY471" s="26" t="n">
        <v>1</v>
      </c>
      <c r="BZ471" s="26" t="n">
        <v>185</v>
      </c>
      <c r="CB471" s="26" t="s">
        <v>705</v>
      </c>
      <c r="CC471" s="26" t="s">
        <v>706</v>
      </c>
      <c r="CD471" s="1" t="str">
        <f aca="false">VLOOKUP(M471,Eras!$A$2:$C$10, 2, TRUE())</f>
        <v>lbr</v>
      </c>
      <c r="CE471" s="26" t="s">
        <v>1709</v>
      </c>
      <c r="CF471" s="26" t="str">
        <f aca="false">CONCATENATE(CD471,"_",CE471)</f>
        <v>lbr_Mail Carriage</v>
      </c>
      <c r="CG471" s="26" t="str">
        <f aca="false">_xlfn.CONCAT(K471, "_",L471)</f>
        <v>carriage_RAIL</v>
      </c>
      <c r="CH471" s="7" t="str">
        <f aca="false">_xlfn.CONCAT("{BLACK}Length: {GOLD}", TEXT(ROUNDUP(IF(AS471&lt;&gt;"",SUM(VALUE(_xlfn.TEXTSPLIT(AS471, ","))), SUM(VALUE(_xlfn.TEXTSPLIT(AP471, ",")))*IF(P471, P471, 1))/16, 1), "#,##0.0"), " tiles{}")</f>
        <v>{BLACK}Length: {GOLD}0.7 tiles{}</v>
      </c>
      <c r="CI471" s="1" t="str">
        <f aca="false">IF(0, VLOOKUP($CG471, Constants!$M:$N, 2, FALSE()),"")</f>
        <v/>
      </c>
      <c r="CJ471" s="1" t="str">
        <f aca="false">IF(P471&gt;1,_xlfn.CONCAT("{BLACK}Cars: {GOLD}", P471),"")</f>
        <v/>
      </c>
      <c r="CK471" s="26" t="s">
        <v>1780</v>
      </c>
      <c r="CL471" s="1" t="str">
        <f aca="false">IF($BX471="concept_trains","{GREEN}Concept Vehicle",IF($BX471="!param_no_gameplay_units","{GREEN}Included for gameplay purposes",""))</f>
        <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{GOLD}0.7 tiles{}{SILVER}By the 90s parcels traffic was in decline on the railway, and increasingly movement focused on fixed flows between mail terminals. As a result, a number of vehicles were rebuilt with roller shutter doors for faster loading.</v>
      </c>
      <c r="XFD471" s="1"/>
    </row>
    <row r="472" s="1" customFormat="true" ht="14.25" hidden="false" customHeight="false" outlineLevel="0" collapsed="false">
      <c r="A472" s="26" t="s">
        <v>1781</v>
      </c>
      <c r="B472" s="27" t="s">
        <v>1782</v>
      </c>
      <c r="C472" s="1" t="n">
        <v>3120</v>
      </c>
      <c r="D472" s="26"/>
      <c r="E472" s="1" t="n">
        <v>1056</v>
      </c>
      <c r="F472" s="26"/>
      <c r="G472" s="1" t="str">
        <f aca="false">IF($F472&lt;&gt;"",_xlfn.CONCAT(VLOOKUP($CE472, Constants!$T:$U, 2, FALSE()),",",$F472),VLOOKUP($CE472, Constants!$T:$U, 2, FALSE()))</f>
        <v>role/passenger</v>
      </c>
      <c r="H472" s="1" t="str">
        <f aca="false">IF($G472&lt;&gt;"",_xlfn.CONCAT(VLOOKUP($CG472, Constants!$M:$P, 4, FALSE()),",",$G472),VLOOKUP($CG472, Constants!$M:$P, 4, FALSE()))</f>
        <v>flag/GB,role/passenger</v>
      </c>
      <c r="I472" s="26" t="s">
        <v>241</v>
      </c>
      <c r="J472" s="26" t="s">
        <v>1580</v>
      </c>
      <c r="K472" s="26" t="s">
        <v>1580</v>
      </c>
      <c r="L472" s="26" t="s">
        <v>192</v>
      </c>
      <c r="M472" s="26" t="n">
        <v>1958</v>
      </c>
      <c r="N472" s="26" t="n">
        <v>1975</v>
      </c>
      <c r="O472" s="26" t="n">
        <v>1990</v>
      </c>
      <c r="P472" s="26"/>
      <c r="Q472" s="26"/>
      <c r="R472" s="2"/>
      <c r="S472" s="3"/>
      <c r="T472" s="3"/>
      <c r="U472" s="3"/>
      <c r="V472" s="3"/>
      <c r="W472" s="3"/>
      <c r="X472" s="3"/>
      <c r="Y472" s="3"/>
      <c r="Z472" s="26" t="n">
        <v>21</v>
      </c>
      <c r="AA472" s="2"/>
      <c r="AB472" s="26" t="n">
        <v>4</v>
      </c>
      <c r="AC472" s="26"/>
      <c r="AD472" s="4" t="str">
        <f aca="false">IF(AND(Z472&gt;0,AC472&gt;0),(AC472/((Z472+AA472)*10)),"")</f>
        <v/>
      </c>
      <c r="AE472" s="26" t="n">
        <v>80</v>
      </c>
      <c r="AF472" s="26" t="n">
        <f aca="false">ROUND(AE472*1.6, 0)</f>
        <v>128</v>
      </c>
      <c r="AG472" s="26"/>
      <c r="AH472" s="26" t="n">
        <v>19.8</v>
      </c>
      <c r="AI472" s="26" t="n">
        <v>20</v>
      </c>
      <c r="AJ472" s="26" t="n">
        <v>2.82</v>
      </c>
      <c r="AK472" s="26" t="n">
        <v>3.79</v>
      </c>
      <c r="AL472" s="5" t="n">
        <v>12</v>
      </c>
      <c r="AM472" s="1" t="str">
        <f aca="false">CONCATENATE(VLOOKUP(AN472, 'Voxel Sizes'!$A$2:$B$18,2,FALSE()),"x",INT(AJ472*15), "x", INT(AK472*15))</f>
        <v>198x42x56</v>
      </c>
      <c r="AN472" s="26" t="n">
        <f aca="false">ROUND(15*((AI472*10)/256),0)</f>
        <v>12</v>
      </c>
      <c r="AO472" s="26"/>
      <c r="AP472" s="1" t="str">
        <f aca="false">CONCATENATE(VLOOKUP(AN472,Constants!$A$2:$C$16,IF(AO472&lt;&gt;"", 3, 2), FALSE()),IF(AO472&lt;&gt;"",CONCATENATE(",",VLOOKUP(AO472,$B:$AP,41,FALSE())),""))</f>
        <v>4,4,4</v>
      </c>
      <c r="AQ472" s="26"/>
      <c r="AR472" s="6"/>
      <c r="AS472" s="6"/>
      <c r="AT472" s="26"/>
      <c r="AU472" s="26"/>
      <c r="AV472" s="26"/>
      <c r="AW472" s="26"/>
      <c r="AX472" s="26"/>
      <c r="AZ472" s="26" t="n">
        <v>30</v>
      </c>
      <c r="BA472" s="16" t="n">
        <f aca="false">IF(O472&lt;&gt;"",MAX(16,(O472-M472)+8),"")</f>
        <v>40</v>
      </c>
      <c r="BB472" s="26"/>
      <c r="BC472" s="26"/>
      <c r="BD472" s="26" t="n">
        <f aca="false">MIN(AE472/150, 1)*30</f>
        <v>16</v>
      </c>
      <c r="BE472" s="26" t="n">
        <f aca="false">MIN(Q472/4000, 1)*20</f>
        <v>0</v>
      </c>
      <c r="BF472" s="26" t="n">
        <f aca="false">MIN(AC472/400,1)*20</f>
        <v>0</v>
      </c>
      <c r="BG472" s="4" t="n">
        <f aca="false">1-(MAX(M472-1900, 0)/750)</f>
        <v>0.922666666666667</v>
      </c>
      <c r="BH472" s="26" t="n">
        <f aca="false">((MAX($P472,1)*MIN($AL472/300,1)))*IF(J472="Wagon",50,10)</f>
        <v>2</v>
      </c>
      <c r="BI472" s="1" t="n">
        <f aca="false">VLOOKUP($K472,Constants!$I:$K, 2, FALSE())</f>
        <v>1</v>
      </c>
      <c r="BJ472" s="1" t="n">
        <f aca="false">VLOOKUP($K472,Constants!$I:$K, 3, FALSE())*IF(AND(J472="multiple_unit",AE472&lt;110),0.75,1)</f>
        <v>0.45</v>
      </c>
      <c r="BK472" s="1" t="n">
        <f aca="false">INT(POWER(((Constants!$G$2+$BD472+$BE472+$BF472+$BH472)*$BG472)*$BJ472, 1.05))+$BC472</f>
        <v>10</v>
      </c>
      <c r="BL472" s="1" t="n">
        <f aca="false">INT(POWER((((Constants!$G$1+$BD472+$BE472+$BF472+$BH472)*($BG472))*$BI472),IF($J472="wagon",1,1.2)))+$BB472</f>
        <v>30</v>
      </c>
      <c r="BM472" s="17" t="n">
        <f aca="false">BK472*IF($J472="wagon",62.5,781.25)</f>
        <v>625</v>
      </c>
      <c r="BN472" s="17" t="n">
        <f aca="false">BL472*IF($J472="wagon",2.73,81.25)</f>
        <v>81.9</v>
      </c>
      <c r="BO472" s="26"/>
      <c r="BP472" s="26"/>
      <c r="BQ472" s="26"/>
      <c r="BR472" s="26"/>
      <c r="BS472" s="26"/>
      <c r="BT472" s="26"/>
      <c r="BU472" s="1" t="str">
        <f aca="false">IF(J472="locomotive","B","")</f>
        <v/>
      </c>
      <c r="BV472" s="1" t="str">
        <f aca="false">IF(OR($J472="locomotive",$J472="wagon"),"B","")</f>
        <v>B</v>
      </c>
      <c r="BW472" s="26"/>
      <c r="BX472" s="26"/>
      <c r="BY472" s="26" t="n">
        <v>2</v>
      </c>
      <c r="BZ472" s="26" t="n">
        <v>278</v>
      </c>
      <c r="CA472" s="26"/>
      <c r="CB472" s="26" t="s">
        <v>1783</v>
      </c>
      <c r="CC472" s="26" t="s">
        <v>367</v>
      </c>
      <c r="CD472" s="1" t="str">
        <f aca="false">VLOOKUP(M472,Eras!$A$2:$C$10, 2, TRUE())</f>
        <v>dsl</v>
      </c>
      <c r="CE472" s="26" t="s">
        <v>1582</v>
      </c>
      <c r="CF472" s="26" t="str">
        <f aca="false">CONCATENATE(CD472,"_",CE472)</f>
        <v>dsl_Carriage</v>
      </c>
      <c r="CG472" s="26" t="str">
        <f aca="false">_xlfn.CONCAT(K472, "_",L472)</f>
        <v>wagon_RAIL</v>
      </c>
      <c r="CH472" s="7" t="str">
        <f aca="false">_xlfn.CONCAT("{BLACK}Length: {GOLD}", TEXT(ROUNDUP(IF(AS472&lt;&gt;"",SUM(VALUE(_xlfn.TEXTSPLIT(AS472, ","))), SUM(VALUE(_xlfn.TEXTSPLIT(AP472, ",")))*IF(P472, P472, 1))/16, 1), "#,##0.0"), " tiles{}")</f>
        <v>{BLACK}Length: {GOLD}0.8 tiles{}</v>
      </c>
      <c r="CI472" s="1" t="str">
        <f aca="false">IF(0, VLOOKUP($CG472, Constants!$M:$N, 2, FALSE()),"")</f>
        <v/>
      </c>
      <c r="CJ472" s="1" t="str">
        <f aca="false">IF(P472&gt;1,_xlfn.CONCAT("{BLACK}Cars: {GOLD}", P472),"")</f>
        <v/>
      </c>
      <c r="CK472" s="26" t="s">
        <v>1784</v>
      </c>
      <c r="CL472" s="1" t="str">
        <f aca="false">IF($BX472="concept_trains","{GREEN}Concept Vehicle",IF($BX472="!param_no_gameplay_units","{GREEN}Included for gameplay purposes",""))</f>
        <v/>
      </c>
      <c r="CM472" s="26" t="str">
        <f aca="false">IF(CA472="buffet","{YELLOW}25% long distance bonus for consist{}",IF(CD472="BRAKE","{YELLOW}Speed bonus for slow wagons{}",IF(BZ472&gt;190,CONCATENATE("{YELLOW}",INT((BZ472-185)/1.85),"% bonus for long distance travel (for passengers){}"),IF(AND(BZ472&lt;180,BZ472&lt;&gt;0),CONCATENATE("{YELLOW}",INT((185-BZ472)/1.85),"% penalty for long distance travel{}"),""))))</f>
        <v>{YELLOW}50% bonus for long distance travel (for passengers){}</v>
      </c>
      <c r="CN472" s="1" t="str">
        <f aca="false">_xlfn.CONCAT(CI472,IF(CI472&lt;&gt;""," ",""),CJ472,IF(OR(CJ472&lt;&gt;"",CI472&lt;&gt;""),"{}",""),CH472,CM472,"{SILVER}",CK472,IF(CL472&lt;&gt;"","{}{}",""),CL472)</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73" s="1" customFormat="true" ht="14.25" hidden="false" customHeight="false" outlineLevel="0" collapsed="false">
      <c r="A473" s="26" t="s">
        <v>1785</v>
      </c>
      <c r="B473" s="27" t="s">
        <v>1786</v>
      </c>
      <c r="C473" s="1" t="n">
        <v>3121</v>
      </c>
      <c r="D473" s="26"/>
      <c r="E473" s="1" t="n">
        <v>1057</v>
      </c>
      <c r="F473" s="26"/>
      <c r="G473" s="1" t="str">
        <f aca="false">IF($F473&lt;&gt;"",_xlfn.CONCAT(VLOOKUP($CE473, Constants!$T:$U, 2, FALSE()),",",$F473),VLOOKUP($CE473, Constants!$T:$U, 2, FALSE()))</f>
        <v>role/passenger</v>
      </c>
      <c r="H473" s="1" t="str">
        <f aca="false">IF($G473&lt;&gt;"",_xlfn.CONCAT(VLOOKUP($CG473, Constants!$M:$P, 4, FALSE()),",",$G473),VLOOKUP($CG473, Constants!$M:$P, 4, FALSE()))</f>
        <v>flag/GB,role/passenger</v>
      </c>
      <c r="I473" s="26" t="s">
        <v>241</v>
      </c>
      <c r="J473" s="26" t="s">
        <v>1075</v>
      </c>
      <c r="K473" s="26" t="s">
        <v>1580</v>
      </c>
      <c r="L473" s="26" t="s">
        <v>192</v>
      </c>
      <c r="M473" s="26" t="n">
        <v>1964</v>
      </c>
      <c r="N473" s="26" t="n">
        <v>1985</v>
      </c>
      <c r="O473" s="26" t="n">
        <v>1990</v>
      </c>
      <c r="P473" s="26" t="n">
        <v>4</v>
      </c>
      <c r="Q473" s="26"/>
      <c r="R473" s="2"/>
      <c r="S473" s="3"/>
      <c r="T473" s="3"/>
      <c r="U473" s="3"/>
      <c r="V473" s="3"/>
      <c r="W473" s="3"/>
      <c r="X473" s="3"/>
      <c r="Y473" s="3"/>
      <c r="Z473" s="26" t="n">
        <v>87</v>
      </c>
      <c r="AA473" s="2"/>
      <c r="AB473" s="26" t="n">
        <v>4</v>
      </c>
      <c r="AC473" s="26"/>
      <c r="AD473" s="4" t="str">
        <f aca="false">IF(AND(Z473&gt;0,AC473&gt;0),(AC473/((Z473+AA473)*10)),"")</f>
        <v/>
      </c>
      <c r="AE473" s="26" t="n">
        <v>75</v>
      </c>
      <c r="AF473" s="26" t="n">
        <f aca="false">ROUND(AE473*1.6, 0)</f>
        <v>120</v>
      </c>
      <c r="AG473" s="26"/>
      <c r="AH473" s="26" t="n">
        <v>16.4</v>
      </c>
      <c r="AI473" s="26" t="n">
        <v>15</v>
      </c>
      <c r="AJ473" s="26" t="n">
        <v>2.82</v>
      </c>
      <c r="AK473" s="26" t="n">
        <v>3.79</v>
      </c>
      <c r="AL473" s="5" t="n">
        <v>18</v>
      </c>
      <c r="AM473" s="1" t="str">
        <f aca="false">CONCATENATE(VLOOKUP(AN473, 'Voxel Sizes'!$A$2:$B$18,2,FALSE()),"x",INT(AJ473*15), "x", INT(AK473*15))</f>
        <v>152x42x56</v>
      </c>
      <c r="AN473" s="26" t="n">
        <f aca="false">ROUND(15*((AI473*10)/256),0)</f>
        <v>9</v>
      </c>
      <c r="AO473" s="26"/>
      <c r="AP473" s="1" t="str">
        <f aca="false">CONCATENATE(VLOOKUP(AN473,Constants!$A$2:$C$16,IF(AO473&lt;&gt;"", 3, 2), FALSE()),IF(AO473&lt;&gt;"",CONCATENATE(",",VLOOKUP(AO473,$B:$AP,41,FALSE())),""))</f>
        <v>2,5,2</v>
      </c>
      <c r="AQ473" s="26"/>
      <c r="AR473" s="29" t="s">
        <v>1787</v>
      </c>
      <c r="AS473" s="6" t="s">
        <v>1788</v>
      </c>
      <c r="AT473" s="26" t="s">
        <v>1789</v>
      </c>
      <c r="AU473" s="26"/>
      <c r="AV473" s="26" t="s">
        <v>918</v>
      </c>
      <c r="AW473" s="26" t="s">
        <v>1790</v>
      </c>
      <c r="AX473" s="26"/>
      <c r="AZ473" s="26" t="n">
        <v>30</v>
      </c>
      <c r="BA473" s="16" t="n">
        <f aca="false">IF(O473&lt;&gt;"",MAX(16,(O473-M473)+8),"")</f>
        <v>34</v>
      </c>
      <c r="BB473" s="26"/>
      <c r="BC473" s="26"/>
      <c r="BD473" s="26" t="n">
        <f aca="false">MIN(AE473/150, 1)*30</f>
        <v>15</v>
      </c>
      <c r="BE473" s="26" t="n">
        <f aca="false">MIN(Q473/4000, 1)*20</f>
        <v>0</v>
      </c>
      <c r="BF473" s="26" t="n">
        <f aca="false">MIN(AC473/400,1)*20</f>
        <v>0</v>
      </c>
      <c r="BG473" s="4" t="n">
        <f aca="false">1-(MAX(M473-1900, 0)/750)</f>
        <v>0.914666666666667</v>
      </c>
      <c r="BH473" s="26" t="n">
        <f aca="false">((MAX($P473,1)*MIN($AL473/300,1)))*IF(J473="Wagon",50,10)</f>
        <v>2.4</v>
      </c>
      <c r="BI473" s="1" t="n">
        <f aca="false">VLOOKUP($K473,Constants!$I:$K, 2, FALSE())</f>
        <v>1</v>
      </c>
      <c r="BJ473" s="1" t="n">
        <f aca="false">VLOOKUP($K473,Constants!$I:$K, 3, FALSE())*IF(AND(J473="multiple_unit",AE473&lt;110),0.75,1)</f>
        <v>0.45</v>
      </c>
      <c r="BK473" s="1" t="n">
        <f aca="false">INT(POWER(((Constants!$G$2+$BD473+$BE473+$BF473+$BH473)*$BG473)*$BJ473, 1.05))+$BC473</f>
        <v>10</v>
      </c>
      <c r="BL473" s="1" t="n">
        <f aca="false">INT(POWER((((Constants!$G$1+$BD473+$BE473+$BF473+$BH473)*($BG473))*$BI473),IF($J473="wagon",1,1.2)))+$BB473</f>
        <v>58</v>
      </c>
      <c r="BM473" s="17" t="n">
        <f aca="false">BK473*IF($J473="wagon",62.5,781.25)</f>
        <v>7812.5</v>
      </c>
      <c r="BN473" s="17" t="n">
        <f aca="false">BL473*IF($J473="wagon",2.73,81.25)</f>
        <v>4712.5</v>
      </c>
      <c r="BO473" s="26"/>
      <c r="BP473" s="26"/>
      <c r="BQ473" s="26"/>
      <c r="BR473" s="26"/>
      <c r="BS473" s="26"/>
      <c r="BT473" s="26"/>
      <c r="BU473" s="1" t="str">
        <f aca="false">IF(J473="locomotive","B","")</f>
        <v/>
      </c>
      <c r="BV473" s="1" t="str">
        <f aca="false">IF(OR($J473="locomotive",$J473="wagon"),"B","")</f>
        <v/>
      </c>
      <c r="BW473" s="26"/>
      <c r="BX473" s="26"/>
      <c r="BY473" s="26" t="n">
        <v>2</v>
      </c>
      <c r="BZ473" s="26" t="n">
        <v>278</v>
      </c>
      <c r="CA473" s="26"/>
      <c r="CB473" s="26" t="s">
        <v>1783</v>
      </c>
      <c r="CC473" s="26" t="s">
        <v>367</v>
      </c>
      <c r="CD473" s="1" t="str">
        <f aca="false">VLOOKUP(M473,Eras!$A$2:$C$10, 2, TRUE())</f>
        <v>dsl</v>
      </c>
      <c r="CE473" s="26" t="s">
        <v>1582</v>
      </c>
      <c r="CF473" s="26" t="str">
        <f aca="false">CONCATENATE(CD473,"_",CE473)</f>
        <v>dsl_Carriage</v>
      </c>
      <c r="CG473" s="26" t="str">
        <f aca="false">_xlfn.CONCAT(K473, "_",L473)</f>
        <v>wagon_RAIL</v>
      </c>
      <c r="CH473" s="7" t="str">
        <f aca="false">_xlfn.CONCAT("{BLACK}Length: {GOLD}", TEXT(ROUNDUP(IF(AS473&lt;&gt;"",SUM(VALUE(_xlfn.TEXTSPLIT(AS473, ","))), SUM(VALUE(_xlfn.TEXTSPLIT(AP473, ",")))*IF(P473, P473, 1))/16, 1), "#,##0.0"), " tiles{}")</f>
        <v>{BLACK}Length: {GOLD}2.4 tiles{}</v>
      </c>
      <c r="CI473" s="1" t="str">
        <f aca="false">IF(0, VLOOKUP($CG473, Constants!$M:$N, 2, FALSE()),"")</f>
        <v/>
      </c>
      <c r="CJ473" s="1" t="str">
        <f aca="false">IF(P473&gt;1,_xlfn.CONCAT("{BLACK}Cars: {GOLD}", P473),"")</f>
        <v>{BLACK}Cars: {GOLD}4</v>
      </c>
      <c r="CK473" s="26" t="s">
        <v>1791</v>
      </c>
      <c r="CL473" s="1" t="str">
        <f aca="false">IF($BX473="concept_trains","{GREEN}Concept Vehicle",IF($BX473="!param_no_gameplay_units","{GREEN}Included for gameplay purposes",""))</f>
        <v/>
      </c>
      <c r="CM473" s="26" t="str">
        <f aca="false">IF(CA473="buffet","{YELLOW}25% long distance bonus for consist{}",IF(CD473="BRAKE","{YELLOW}Speed bonus for slow wagons{}",IF(BZ473&gt;190,CONCATENATE("{YELLOW}",INT((BZ473-185)/1.85),"% bonus for long distance travel (for passengers){}"),IF(AND(BZ473&lt;180,BZ473&lt;&gt;0),CONCATENATE("{YELLOW}",INT((185-BZ473)/1.85),"% penalty for long distance travel{}"),""))))</f>
        <v>{YELLOW}50% bonus for long distance travel (for passengers){}</v>
      </c>
      <c r="CN473" s="1" t="str">
        <f aca="false">_xlfn.CONCAT(CI473,IF(CI473&lt;&gt;""," ",""),CJ473,IF(OR(CJ473&lt;&gt;"",CI473&lt;&gt;""),"{}",""),CH473,CM473,"{SILVER}",CK473,IF(CL473&lt;&gt;"","{}{}",""),CL473)</f>
        <v>{BLACK}Cars: {GOLD}4{}{BLACK}Length: {GOLD}2.4 tiles{}{YELLOW}50% bonus for long distance travel (for passengers){}{SILVER}Large and articulated, the cartic 4 sets were built for motorail services and used to move new cars from factories to export.</v>
      </c>
    </row>
    <row r="474" s="26" customFormat="true" ht="14.25" hidden="false" customHeight="false" outlineLevel="0" collapsed="false">
      <c r="A474" s="26" t="s">
        <v>1792</v>
      </c>
      <c r="B474" s="27" t="s">
        <v>1793</v>
      </c>
      <c r="C474" s="1" t="n">
        <v>3115</v>
      </c>
      <c r="E474" s="1" t="n">
        <v>1058</v>
      </c>
      <c r="G474" s="1" t="str">
        <f aca="false">IF($F474&lt;&gt;"",_xlfn.CONCAT(VLOOKUP($CE474, Constants!$T:$U, 2, FALSE()),",",$F474),VLOOKUP($CE474, Constants!$T:$U, 2, FALSE()))</f>
        <v>role/passenger</v>
      </c>
      <c r="H474" s="1" t="str">
        <f aca="false">IF($G474&lt;&gt;"",_xlfn.CONCAT(VLOOKUP($CG474, Constants!$M:$P, 4, FALSE()),",",$G474),VLOOKUP($CG474, Constants!$M:$P, 4, FALSE()))</f>
        <v>flag/GB,role/passenger</v>
      </c>
      <c r="I474" s="26" t="s">
        <v>241</v>
      </c>
      <c r="J474" s="26" t="s">
        <v>1580</v>
      </c>
      <c r="K474" s="26" t="s">
        <v>1603</v>
      </c>
      <c r="L474" s="26" t="s">
        <v>192</v>
      </c>
      <c r="M474" s="26" t="n">
        <v>1936</v>
      </c>
      <c r="N474" s="26" t="n">
        <v>1974</v>
      </c>
      <c r="O474" s="26" t="n">
        <v>1980</v>
      </c>
      <c r="R474" s="2"/>
      <c r="S474" s="3"/>
      <c r="T474" s="3"/>
      <c r="U474" s="3"/>
      <c r="V474" s="3"/>
      <c r="W474" s="3"/>
      <c r="X474" s="3"/>
      <c r="Y474" s="3"/>
      <c r="Z474" s="26" t="n">
        <v>38</v>
      </c>
      <c r="AA474" s="2"/>
      <c r="AB474" s="26" t="n">
        <v>4</v>
      </c>
      <c r="AD474" s="4" t="str">
        <f aca="false">IF(AND(Z474&gt;0,AC474&gt;0),(AC474/((Z474+AA474)*10)),"")</f>
        <v/>
      </c>
      <c r="AE474" s="26" t="n">
        <v>90</v>
      </c>
      <c r="AF474" s="26" t="n">
        <f aca="false">ROUND(AE474*1.6, 0)</f>
        <v>144</v>
      </c>
      <c r="AH474" s="26" t="n">
        <v>19.2</v>
      </c>
      <c r="AI474" s="26" t="n">
        <v>20</v>
      </c>
      <c r="AJ474" s="26" t="n">
        <v>2.82</v>
      </c>
      <c r="AK474" s="26" t="n">
        <v>3.79</v>
      </c>
      <c r="AL474" s="5" t="n">
        <v>18</v>
      </c>
      <c r="AM474" s="1" t="str">
        <f aca="false">CONCATENATE(VLOOKUP(AN474, 'Voxel Sizes'!$A$2:$B$18,2,FALSE()),"x",INT(AJ474*15), "x", INT(AK474*15))</f>
        <v>198x42x56</v>
      </c>
      <c r="AN474" s="26" t="n">
        <f aca="false">ROUND(15*((AI474*10)/256),0)</f>
        <v>12</v>
      </c>
      <c r="AP474" s="1" t="str">
        <f aca="false">CONCATENATE(VLOOKUP(AN474,Constants!$A$2:$C$16,IF(AO474&lt;&gt;"", 3, 2), FALSE()),IF(AO474&lt;&gt;"",CONCATENATE(",",VLOOKUP(AO474,$B:$AP,41,FALSE())),""))</f>
        <v>4,4,4</v>
      </c>
      <c r="AR474" s="6"/>
      <c r="AS474" s="6"/>
      <c r="AY474" s="1" t="s">
        <v>1794</v>
      </c>
      <c r="AZ474" s="26" t="n">
        <v>30</v>
      </c>
      <c r="BA474" s="16" t="n">
        <f aca="false">IF(O474&lt;&gt;"",MAX(16,(O474-M474)+8),"")</f>
        <v>52</v>
      </c>
      <c r="BB474" s="26" t="n">
        <v>1000</v>
      </c>
      <c r="BC474" s="26" t="n">
        <v>110</v>
      </c>
      <c r="BD474" s="26" t="n">
        <f aca="false">MIN(AE474/150, 1)*30</f>
        <v>18</v>
      </c>
      <c r="BE474" s="26" t="n">
        <f aca="false">MIN(Q474/4000, 1)*20</f>
        <v>0</v>
      </c>
      <c r="BF474" s="26" t="n">
        <f aca="false">MIN(AC474/400,1)*20</f>
        <v>0</v>
      </c>
      <c r="BG474" s="4" t="n">
        <f aca="false">1-(MAX(M474-1900, 0)/750)</f>
        <v>0.952</v>
      </c>
      <c r="BH474" s="26" t="n">
        <f aca="false">((MAX($P474,1)*MIN($AL474/300,1)))*IF(J474="Wagon",50,10)</f>
        <v>3</v>
      </c>
      <c r="BI474" s="1" t="n">
        <f aca="false">VLOOKUP($K474,Constants!$I:$K, 2, FALSE())</f>
        <v>1.5</v>
      </c>
      <c r="BJ474" s="1" t="n">
        <f aca="false">VLOOKUP($K474,Constants!$I:$K, 3, FALSE())*IF(AND(J474="multiple_unit",AE474&lt;110),0.75,1)</f>
        <v>0.7</v>
      </c>
      <c r="BK474" s="1" t="n">
        <f aca="false">INT(POWER(((Constants!$G$2+$BD474+$BE474+$BF474+$BH474)*$BG474)*$BJ474, 1.05))+$BC474</f>
        <v>129</v>
      </c>
      <c r="BL474" s="1" t="n">
        <f aca="false">INT(POWER((((Constants!$G$1+$BD474+$BE474+$BF474+$BH474)*($BG474))*$BI474),IF($J474="wagon",1,1.2)))+$BB474</f>
        <v>1051</v>
      </c>
      <c r="BM474" s="17" t="n">
        <f aca="false">BK474*IF($J474="wagon",62.5,781.25)</f>
        <v>8062.5</v>
      </c>
      <c r="BN474" s="17" t="n">
        <f aca="false">BL474*IF($J474="wagon",2.73,81.25)</f>
        <v>2869.23</v>
      </c>
      <c r="BU474" s="1" t="str">
        <f aca="false">IF(J474="locomotive","B","")</f>
        <v/>
      </c>
      <c r="BV474" s="1" t="str">
        <f aca="false">IF(OR($J474="locomotive",$J474="wagon"),"B","")</f>
        <v>B</v>
      </c>
      <c r="BY474" s="26" t="n">
        <v>2</v>
      </c>
      <c r="BZ474" s="26" t="n">
        <v>278</v>
      </c>
      <c r="CB474" s="26" t="s">
        <v>366</v>
      </c>
      <c r="CC474" s="26" t="s">
        <v>367</v>
      </c>
      <c r="CD474" s="1" t="str">
        <f aca="false">VLOOKUP(M474,Eras!$A$2:$C$10, 2, TRUE())</f>
        <v>big4</v>
      </c>
      <c r="CE474" s="26" t="s">
        <v>1582</v>
      </c>
      <c r="CF474" s="26" t="str">
        <f aca="false">CONCATENATE(CD474,"_",CE474)</f>
        <v>big4_Carriage</v>
      </c>
      <c r="CG474" s="26" t="str">
        <f aca="false">_xlfn.CONCAT(K474, "_",L474)</f>
        <v>luxury_carriage_RAIL</v>
      </c>
      <c r="CH474" s="7" t="str">
        <f aca="false">_xlfn.CONCAT("{BLACK}Length: {GOLD}", TEXT(ROUNDUP(IF(AS474&lt;&gt;"",SUM(VALUE(_xlfn.TEXTSPLIT(AS474, ","))), SUM(VALUE(_xlfn.TEXTSPLIT(AP474, ",")))*IF(P474, P474, 1))/16, 1), "#,##0.0"), " tiles{}")</f>
        <v>{BLACK}Length: {GOLD}0.8 tiles{}</v>
      </c>
      <c r="CI474" s="1" t="str">
        <f aca="false">IF(0, VLOOKUP($CG474, Constants!$M:$N, 2, FALSE()),"")</f>
        <v/>
      </c>
      <c r="CJ474" s="1" t="str">
        <f aca="false">IF(P474&gt;1,_xlfn.CONCAT("{BLACK}Cars: {GOLD}", P474),"")</f>
        <v/>
      </c>
      <c r="CK474" s="26" t="s">
        <v>1795</v>
      </c>
      <c r="CL474" s="1" t="str">
        <f aca="false">IF($BX474="concept_trains","{GREEN}Concept Vehicle",IF($BX474="!param_no_gameplay_units","{GREEN}Included for gameplay purposes",""))</f>
        <v/>
      </c>
      <c r="CM474" s="26" t="str">
        <f aca="false">IF(CA474="buffet","{YELLOW}25% long distance bonus for consist{}",IF(CD474="BRAKE","{YELLOW}Speed bonus for slow wagons{}",IF(BZ474&gt;190,CONCATENATE("{YELLOW}",INT((BZ474-185)/1.85),"% bonus for long distance travel{}"),IF(AND(BZ474&lt;180,BZ474&lt;&gt;0),CONCATENATE("{YELLOW}",INT((185-BZ474)/1.85),"% penalty for long distance travel{}"),""))))</f>
        <v>{YELLOW}50% bonus for long distance travel{}</v>
      </c>
      <c r="CN474" s="1" t="str">
        <f aca="false">_xlfn.CONCAT(CI474,IF(CI474&lt;&gt;""," ",""),CJ474,IF(OR(CJ474&lt;&gt;"",CI474&lt;&gt;""),"{}",""),CH474,CM474,"{SILVER}",CK474,IF(CL474&lt;&gt;"","{}{}",""),CL474)</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74" s="1"/>
    </row>
    <row r="475" s="26" customFormat="true" ht="14.25" hidden="false" customHeight="false" outlineLevel="0" collapsed="false">
      <c r="A475" s="26" t="s">
        <v>1796</v>
      </c>
      <c r="B475" s="27" t="s">
        <v>1797</v>
      </c>
      <c r="C475" s="1" t="n">
        <v>3116</v>
      </c>
      <c r="E475" s="1" t="n">
        <v>1059</v>
      </c>
      <c r="G475" s="1" t="str">
        <f aca="false">IF($F475&lt;&gt;"",_xlfn.CONCAT(VLOOKUP($CE475, Constants!$T:$U, 2, FALSE()),",",$F475),VLOOKUP($CE475, Constants!$T:$U, 2, FALSE()))</f>
        <v>role/passenger</v>
      </c>
      <c r="H475" s="1" t="str">
        <f aca="false">IF($G475&lt;&gt;"",_xlfn.CONCAT(VLOOKUP($CG475, Constants!$M:$P, 4, FALSE()),",",$G475),VLOOKUP($CG475, Constants!$M:$P, 4, FALSE()))</f>
        <v>flag/GB,role/passenger</v>
      </c>
      <c r="I475" s="26" t="s">
        <v>241</v>
      </c>
      <c r="J475" s="26" t="s">
        <v>1580</v>
      </c>
      <c r="K475" s="26" t="s">
        <v>1581</v>
      </c>
      <c r="L475" s="26" t="s">
        <v>192</v>
      </c>
      <c r="M475" s="26" t="n">
        <v>1936</v>
      </c>
      <c r="N475" s="26" t="n">
        <v>1974</v>
      </c>
      <c r="O475" s="26" t="n">
        <v>1980</v>
      </c>
      <c r="R475" s="2"/>
      <c r="S475" s="3"/>
      <c r="T475" s="3"/>
      <c r="U475" s="3"/>
      <c r="V475" s="3"/>
      <c r="W475" s="3"/>
      <c r="X475" s="3"/>
      <c r="Y475" s="3"/>
      <c r="Z475" s="26" t="n">
        <v>21</v>
      </c>
      <c r="AA475" s="2"/>
      <c r="AB475" s="26" t="n">
        <v>4</v>
      </c>
      <c r="AD475" s="4" t="str">
        <f aca="false">IF(AND(Z475&gt;0,AC475&gt;0),(AC475/((Z475+AA475)*10)),"")</f>
        <v/>
      </c>
      <c r="AE475" s="26" t="n">
        <v>90</v>
      </c>
      <c r="AF475" s="26" t="n">
        <f aca="false">ROUND(AE475*1.6, 0)</f>
        <v>144</v>
      </c>
      <c r="AH475" s="26" t="n">
        <v>12.1</v>
      </c>
      <c r="AI475" s="26" t="n">
        <v>12</v>
      </c>
      <c r="AJ475" s="26" t="n">
        <v>2.82</v>
      </c>
      <c r="AK475" s="26" t="n">
        <v>3.79</v>
      </c>
      <c r="AL475" s="5" t="n">
        <v>18</v>
      </c>
      <c r="AM475" s="1" t="str">
        <f aca="false">CONCATENATE(VLOOKUP(AN475, 'Voxel Sizes'!$A$2:$B$18,2,FALSE()),"x",INT(AJ475*15), "x", INT(AK475*15))</f>
        <v>120x42x56</v>
      </c>
      <c r="AN475" s="26" t="n">
        <f aca="false">ROUND(15*((AI475*10)/256),0)</f>
        <v>7</v>
      </c>
      <c r="AP475" s="1" t="str">
        <f aca="false">CONCATENATE(VLOOKUP(AN475,Constants!$A$2:$C$16,IF(AO475&lt;&gt;"", 3, 2), FALSE()),IF(AO475&lt;&gt;"",CONCATENATE(",",VLOOKUP(AO475,$B:$AP,41,FALSE())),""))</f>
        <v>2,3,2</v>
      </c>
      <c r="AR475" s="6"/>
      <c r="AS475" s="6"/>
      <c r="AY475" s="1"/>
      <c r="AZ475" s="26" t="n">
        <v>30</v>
      </c>
      <c r="BA475" s="16" t="n">
        <f aca="false">IF(O475&lt;&gt;"",MAX(16,(O475-M475)+8),"")</f>
        <v>52</v>
      </c>
      <c r="BB475" s="26" t="n">
        <v>1000</v>
      </c>
      <c r="BC475" s="26" t="n">
        <v>110</v>
      </c>
      <c r="BD475" s="26" t="n">
        <f aca="false">MIN(AE475/150, 1)*30</f>
        <v>18</v>
      </c>
      <c r="BE475" s="26" t="n">
        <f aca="false">MIN(Q475/4000, 1)*20</f>
        <v>0</v>
      </c>
      <c r="BF475" s="26" t="n">
        <f aca="false">MIN(AC475/400,1)*20</f>
        <v>0</v>
      </c>
      <c r="BG475" s="4" t="n">
        <f aca="false">1-(MAX(M475-1900, 0)/750)</f>
        <v>0.952</v>
      </c>
      <c r="BH475" s="26" t="n">
        <f aca="false">((MAX($P475,1)*MIN($AL475/300,1)))*IF(J475="Wagon",50,10)</f>
        <v>3</v>
      </c>
      <c r="BI475" s="1" t="n">
        <f aca="false">VLOOKUP($K475,Constants!$I:$K, 2, FALSE())</f>
        <v>1.2</v>
      </c>
      <c r="BJ475" s="1" t="n">
        <f aca="false">VLOOKUP($K475,Constants!$I:$K, 3, FALSE())*IF(AND(J475="multiple_unit",AE475&lt;110),0.75,1)</f>
        <v>0.6</v>
      </c>
      <c r="BK475" s="1" t="n">
        <f aca="false">INT(POWER(((Constants!$G$2+$BD475+$BE475+$BF475+$BH475)*$BG475)*$BJ475, 1.05))+$BC475</f>
        <v>126</v>
      </c>
      <c r="BL475" s="1" t="n">
        <f aca="false">INT(POWER((((Constants!$G$1+$BD475+$BE475+$BF475+$BH475)*($BG475))*$BI475),IF($J475="wagon",1,1.2)))+$BB475</f>
        <v>1041</v>
      </c>
      <c r="BM475" s="17" t="n">
        <f aca="false">BK475*IF($J475="wagon",62.5,781.25)</f>
        <v>7875</v>
      </c>
      <c r="BN475" s="17" t="n">
        <f aca="false">BL475*IF($J475="wagon",2.73,81.25)</f>
        <v>2841.93</v>
      </c>
      <c r="BU475" s="1" t="str">
        <f aca="false">IF(J475="locomotive","B","")</f>
        <v/>
      </c>
      <c r="BV475" s="1" t="str">
        <f aca="false">IF(OR($J475="locomotive",$J475="wagon"),"B","")</f>
        <v>B</v>
      </c>
      <c r="BY475" s="26" t="n">
        <v>2</v>
      </c>
      <c r="BZ475" s="26" t="n">
        <v>185</v>
      </c>
      <c r="CB475" s="26" t="s">
        <v>705</v>
      </c>
      <c r="CC475" s="26" t="s">
        <v>706</v>
      </c>
      <c r="CD475" s="1" t="str">
        <f aca="false">VLOOKUP(M475,Eras!$A$2:$C$10, 2, TRUE())</f>
        <v>big4</v>
      </c>
      <c r="CE475" s="26" t="s">
        <v>1582</v>
      </c>
      <c r="CF475" s="26" t="str">
        <f aca="false">CONCATENATE(CD475,"_",CE475)</f>
        <v>big4_Carriage</v>
      </c>
      <c r="CG475" s="26" t="str">
        <f aca="false">_xlfn.CONCAT(K475, "_",L475)</f>
        <v>carriage_RAIL</v>
      </c>
      <c r="CH475" s="7" t="str">
        <f aca="false">_xlfn.CONCAT("{BLACK}Length: {GOLD}", TEXT(ROUNDUP(IF(AS475&lt;&gt;"",SUM(VALUE(_xlfn.TEXTSPLIT(AS475, ","))), SUM(VALUE(_xlfn.TEXTSPLIT(AP475, ",")))*IF(P475, P475, 1))/16, 1), "#,##0.0"), " tiles{}")</f>
        <v>{BLACK}Length: {GOLD}0.5 tiles{}</v>
      </c>
      <c r="CI475" s="1" t="str">
        <f aca="false">IF(0, VLOOKUP($CG475, Constants!$M:$N, 2, FALSE()),"")</f>
        <v/>
      </c>
      <c r="CJ475" s="1" t="str">
        <f aca="false">IF(P475&gt;1,_xlfn.CONCAT("{BLACK}Cars: {GOLD}", P475),"")</f>
        <v/>
      </c>
      <c r="CK475" s="26" t="s">
        <v>1798</v>
      </c>
      <c r="CL475" s="1" t="str">
        <f aca="false">IF($BX475="concept_trains","{GREEN}Concept Vehicle",IF($BX475="!param_no_gameplay_units","{GREEN}Included for gameplay purposes",""))</f>
        <v/>
      </c>
      <c r="CM475" s="26" t="str">
        <f aca="false">IF(CA475="buffet","{YELLOW}25% long distance bonus for consist{}",IF(CD475="BRAKE","{YELLOW}Speed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{GOLD}0.5 tiles{}{SILVER}These two-axle baggage cars were a fixture of the night ferry service, running with the sleeping cars on the 11 hour schedule from London to Paris.</v>
      </c>
      <c r="XFD475" s="1"/>
    </row>
    <row r="476" s="1" customFormat="true" ht="14.25" hidden="false" customHeight="false" outlineLevel="0" collapsed="false">
      <c r="A476" s="24" t="s">
        <v>1799</v>
      </c>
      <c r="B476" s="25" t="s">
        <v>1800</v>
      </c>
      <c r="C476" s="1" t="n">
        <v>5011</v>
      </c>
      <c r="D476" s="26"/>
      <c r="E476" s="1" t="n">
        <v>-1</v>
      </c>
      <c r="F476" s="26"/>
      <c r="G476" s="1" t="str">
        <f aca="false">IF($F476&lt;&gt;"",_xlfn.CONCAT(VLOOKUP($CE476, Constants!$T:$U, 2, FALSE()),",",$F476),VLOOKUP($CE476, Constants!$T:$U, 2, FALSE()))</f>
        <v>role/passenger</v>
      </c>
      <c r="H476" s="1" t="str">
        <f aca="false">IF($G476&lt;&gt;"",_xlfn.CONCAT(VLOOKUP($CG476, Constants!$M:$P, 4, FALSE()),",",$G476),VLOOKUP($CG476, Constants!$M:$P, 4, FALSE()))</f>
        <v>flag/GB,role/passenger</v>
      </c>
      <c r="I476" s="26" t="s">
        <v>241</v>
      </c>
      <c r="J476" s="26" t="s">
        <v>349</v>
      </c>
      <c r="K476" s="1" t="s">
        <v>1581</v>
      </c>
      <c r="L476" s="26" t="s">
        <v>192</v>
      </c>
      <c r="M476" s="26" t="n">
        <v>1993</v>
      </c>
      <c r="N476" s="26" t="n">
        <v>1997</v>
      </c>
      <c r="O476" s="26"/>
      <c r="P476" s="26" t="n">
        <v>4</v>
      </c>
      <c r="Q476" s="26"/>
      <c r="R476" s="2"/>
      <c r="S476" s="3"/>
      <c r="T476" s="3"/>
      <c r="U476" s="3"/>
      <c r="V476" s="3"/>
      <c r="W476" s="3"/>
      <c r="X476" s="3"/>
      <c r="Y476" s="3"/>
      <c r="Z476" s="26" t="n">
        <f aca="false">63*P476</f>
        <v>252</v>
      </c>
      <c r="AA476" s="2"/>
      <c r="AB476" s="26" t="n">
        <v>4</v>
      </c>
      <c r="AC476" s="26"/>
      <c r="AD476" s="4" t="str">
        <f aca="false">IF(AND(Z476&gt;0,AC476&gt;0),(AC476/((Z476+AA476)*10)),"")</f>
        <v/>
      </c>
      <c r="AE476" s="26" t="n">
        <v>87</v>
      </c>
      <c r="AF476" s="26" t="n">
        <f aca="false">ROUND(AE476*1.6, 0)</f>
        <v>139</v>
      </c>
      <c r="AG476" s="26"/>
      <c r="AH476" s="26" t="n">
        <v>26</v>
      </c>
      <c r="AI476" s="26" t="n">
        <v>26</v>
      </c>
      <c r="AJ476" s="26" t="n">
        <v>4.2</v>
      </c>
      <c r="AK476" s="26" t="n">
        <v>5.57</v>
      </c>
      <c r="AL476" s="5" t="n">
        <v>18</v>
      </c>
      <c r="AM476" s="1" t="str">
        <f aca="false">CONCATENATE(VLOOKUP(AN476, 'Voxel Sizes'!$A$2:$B$18,2,FALSE()),"x",INT(AJ476*15), "x", INT(AK476*15))</f>
        <v>256x63x83</v>
      </c>
      <c r="AN476" s="26" t="n">
        <f aca="false">ROUND(15*((AI476*10)/256),0)</f>
        <v>15</v>
      </c>
      <c r="AO476" s="26"/>
      <c r="AP476" s="1" t="str">
        <f aca="false">CONCATENATE(VLOOKUP(AN476,Constants!$A$2:$C$16,IF(AO476&lt;&gt;"", 3, 2), FALSE()),IF(AO476&lt;&gt;"",CONCATENATE(",",VLOOKUP(AO476,$B:$AP,41,FALSE())),""))</f>
        <v>4,7,4</v>
      </c>
      <c r="AQ476" s="26"/>
      <c r="AR476" s="29"/>
      <c r="AS476" s="6"/>
      <c r="AT476" s="26" t="s">
        <v>1801</v>
      </c>
      <c r="AU476" s="26"/>
      <c r="AV476" s="26" t="s">
        <v>1802</v>
      </c>
      <c r="AW476" s="26" t="s">
        <v>1803</v>
      </c>
      <c r="AX476" s="26"/>
      <c r="AZ476" s="26" t="n">
        <v>35</v>
      </c>
      <c r="BA476" s="16" t="str">
        <f aca="false">IF(O476&lt;&gt;"",MAX(16,(O476-M476)+8),"")</f>
        <v/>
      </c>
      <c r="BB476" s="26" t="n">
        <v>25</v>
      </c>
      <c r="BC476" s="26" t="n">
        <v>25</v>
      </c>
      <c r="BD476" s="26" t="n">
        <f aca="false">MIN(AE476/150, 1)*30</f>
        <v>17.4</v>
      </c>
      <c r="BE476" s="26" t="n">
        <f aca="false">MIN(Q476/4000, 1)*20</f>
        <v>0</v>
      </c>
      <c r="BF476" s="26" t="n">
        <f aca="false">MIN(AC476/400,1)*20</f>
        <v>0</v>
      </c>
      <c r="BG476" s="4" t="n">
        <f aca="false">1-(MAX(M476-1900, 0)/750)</f>
        <v>0.876</v>
      </c>
      <c r="BH476" s="26" t="n">
        <f aca="false">((MAX($P476,1)*MIN($AL476/300,1)))*IF(J476="Wagon",50,10)</f>
        <v>2.4</v>
      </c>
      <c r="BI476" s="1" t="n">
        <f aca="false">VLOOKUP($K476,Constants!$I:$K, 2, FALSE())</f>
        <v>1.2</v>
      </c>
      <c r="BJ476" s="1" t="n">
        <f aca="false">VLOOKUP($K476,Constants!$I:$K, 3, FALSE())*IF(AND(J476="multiple_unit",AE476&lt;110),0.75,1)</f>
        <v>0.6</v>
      </c>
      <c r="BK476" s="1" t="n">
        <f aca="false">INT(POWER(((Constants!$G$2+$BD476+$BE476+$BF476+$BH476)*$BG476)*$BJ476, 1.05))+$BC476</f>
        <v>39</v>
      </c>
      <c r="BL476" s="1" t="n">
        <f aca="false">INT(POWER((((Constants!$G$1+$BD476+$BE476+$BF476+$BH476)*($BG476))*$BI476),IF($J476="wagon",1,1.2)))+$BB476</f>
        <v>100</v>
      </c>
      <c r="BM476" s="17" t="n">
        <f aca="false">BK476*IF($J476="wagon",62.5,781.25)</f>
        <v>30468.75</v>
      </c>
      <c r="BN476" s="17" t="n">
        <f aca="false">BL476*IF($J476="wagon",2.73,81.25)</f>
        <v>8125</v>
      </c>
      <c r="BO476" s="26"/>
      <c r="BP476" s="26"/>
      <c r="BQ476" s="26"/>
      <c r="BR476" s="26"/>
      <c r="BS476" s="26"/>
      <c r="BT476" s="26"/>
      <c r="BU476" s="1" t="str">
        <f aca="false">IF(J476="locomotive","B","")</f>
        <v/>
      </c>
      <c r="BV476" s="1" t="str">
        <f aca="false">IF(OR($J476="locomotive",$J476="wagon"),"B","")</f>
        <v/>
      </c>
      <c r="BW476" s="26"/>
      <c r="BX476" s="26"/>
      <c r="BY476" s="26" t="n">
        <v>2</v>
      </c>
      <c r="BZ476" s="26" t="n">
        <v>278</v>
      </c>
      <c r="CA476" s="26"/>
      <c r="CB476" s="26" t="s">
        <v>366</v>
      </c>
      <c r="CC476" s="26" t="s">
        <v>367</v>
      </c>
      <c r="CD476" s="1" t="str">
        <f aca="false">VLOOKUP(M476,Eras!$A$2:$C$10, 2, TRUE())</f>
        <v>lbr</v>
      </c>
      <c r="CE476" s="26" t="s">
        <v>1582</v>
      </c>
      <c r="CF476" s="26" t="str">
        <f aca="false">CONCATENATE(CD476,"_",CE476)</f>
        <v>lbr_Carriage</v>
      </c>
      <c r="CG476" s="26" t="str">
        <f aca="false">_xlfn.CONCAT(K476, "_",L476)</f>
        <v>carriage_RAIL</v>
      </c>
      <c r="CH476" s="7" t="str">
        <f aca="false">_xlfn.CONCAT("{BLACK}Length: {GOLD}", TEXT(ROUNDUP(IF(AS476&lt;&gt;"",SUM(VALUE(_xlfn.TEXTSPLIT(AS476, ","))), SUM(VALUE(_xlfn.TEXTSPLIT(AP476, ",")))*IF(P476, P476, 1))/16, 1), "#,##0.0"), " tiles{}")</f>
        <v>{BLACK}Length: {GOLD}3.8 tiles{}</v>
      </c>
      <c r="CI476" s="1" t="str">
        <f aca="false">IF(0, VLOOKUP($CG476, Constants!$M:$N, 2, FALSE()),"")</f>
        <v/>
      </c>
      <c r="CJ476" s="1" t="str">
        <f aca="false">IF(P476&gt;1,_xlfn.CONCAT("{BLACK}Cars: {GOLD}", P476),"")</f>
        <v>{BLACK}Cars: {GOLD}4</v>
      </c>
      <c r="CK476" s="26"/>
      <c r="CL476" s="1" t="str">
        <f aca="false">IF($BX476="concept_trains","{GREEN}Concept Vehicle",IF($BX476="!param_no_gameplay_units","{GREEN}Included for gameplay purposes",""))</f>
        <v/>
      </c>
      <c r="CM476" s="26" t="str">
        <f aca="false">IF(CA476="buffet","{YELLOW}25% long distance bonus for consist{}",IF(CD476="BRAKE","{YELLOW}Speed bonus for slow wagons{}",IF(BZ476&gt;190,CONCATENATE("{YELLOW}",INT((BZ476-185)/1.85),"% bonus for long distance travel (for passengers){}"),IF(AND(BZ476&lt;180,BZ476&lt;&gt;0),CONCATENATE("{YELLOW}",INT((185-BZ476)/1.85),"% penalty for long distance travel{}"),""))))</f>
        <v>{YELLOW}50% bonus for long distance travel (for passengers){}</v>
      </c>
      <c r="CN476" s="1" t="str">
        <f aca="false">_xlfn.CONCAT(CI476,IF(CI476&lt;&gt;""," ",""),CJ476,IF(OR(CJ476&lt;&gt;"",CI476&lt;&gt;""),"{}",""),CH476,CM476,"{SILVER}",CK476,IF(CL476&lt;&gt;"","{}{}",""),CL476)</f>
        <v>{BLACK}Cars: {GOLD}4{}{BLACK}Length: {GOLD}3.8 tiles{}{YELLOW}50% bonus for long distance travel (for passengers){}{SILVER}</v>
      </c>
    </row>
    <row r="477" customFormat="false" ht="14.25" hidden="false" customHeight="false" outlineLevel="0" collapsed="false">
      <c r="A477" s="1" t="s">
        <v>1804</v>
      </c>
      <c r="B477" s="15" t="s">
        <v>1805</v>
      </c>
      <c r="C477" s="1" t="n">
        <v>39</v>
      </c>
      <c r="E477" s="1" t="n">
        <v>1060</v>
      </c>
      <c r="G477" s="1" t="str">
        <f aca="false">IF($F477&lt;&gt;"",_xlfn.CONCAT(VLOOKUP($CE477, Constants!$T:$U, 2, FALSE()),",",$F477),VLOOKUP($CE477, Constants!$T:$U, 2, FALSE()))</f>
        <v>role/passenger</v>
      </c>
      <c r="H477" s="1" t="str">
        <f aca="false">IF($G477&lt;&gt;"",_xlfn.CONCAT(VLOOKUP($CG477, Constants!$M:$P, 4, FALSE()),",",$G477),VLOOKUP($CG477, Constants!$M:$P, 4, FALSE()))</f>
        <v>flag/GB,role/passenger</v>
      </c>
      <c r="I477" s="1" t="s">
        <v>241</v>
      </c>
      <c r="J477" s="1" t="s">
        <v>1580</v>
      </c>
      <c r="K477" s="1" t="s">
        <v>1581</v>
      </c>
      <c r="L477" s="1" t="s">
        <v>243</v>
      </c>
      <c r="M477" s="1" t="n">
        <v>1700</v>
      </c>
      <c r="O477" s="1" t="n">
        <v>1870</v>
      </c>
      <c r="Z477" s="1" t="n">
        <v>8</v>
      </c>
      <c r="AB477" s="1" t="n">
        <v>3</v>
      </c>
      <c r="AD477" s="4" t="str">
        <f aca="false">IF(AND(Z477&gt;0,AC477&gt;0),(AC477/((Z477+AA477)*10)),"")</f>
        <v/>
      </c>
      <c r="AE477" s="1" t="n">
        <v>45</v>
      </c>
      <c r="AF477" s="1" t="n">
        <f aca="false">ROUND(AE477*1.6, 0)</f>
        <v>72</v>
      </c>
      <c r="AH477" s="1" t="n">
        <v>8</v>
      </c>
      <c r="AI477" s="1" t="n">
        <v>8</v>
      </c>
      <c r="AL477" s="5" t="n">
        <v>24</v>
      </c>
      <c r="AM477" s="1" t="str">
        <f aca="false">CONCATENATE(VLOOKUP(AN477, 'Voxel Sizes'!$A$2:$B$18,2,FALSE()),"x",INT(AJ477*15), "x", INT(AK477*15))</f>
        <v>82x0x0</v>
      </c>
      <c r="AN477" s="1" t="n">
        <f aca="false">ROUND(15*((AI477*10)/256),0)</f>
        <v>5</v>
      </c>
      <c r="AP477" s="1" t="str">
        <f aca="false">CONCATENATE(VLOOKUP(AN477,Constants!$A$2:$C$16,IF(AO477&lt;&gt;"", 3, 2), FALSE()),IF(AO477&lt;&gt;"",CONCATENATE(",",VLOOKUP(AO477,$B:$AP,41,FALSE())),""))</f>
        <v>2,1,2</v>
      </c>
      <c r="AZ477" s="1" t="n">
        <v>30</v>
      </c>
      <c r="BA477" s="16" t="n">
        <f aca="false">IF(O477&lt;&gt;"",MAX(16,(O477-M477)+8),"")</f>
        <v>178</v>
      </c>
      <c r="BB477" s="1" t="n">
        <v>5</v>
      </c>
      <c r="BC477" s="1" t="n">
        <v>4</v>
      </c>
      <c r="BD477" s="1" t="n">
        <f aca="false">MIN(AE477/150, 1)*30</f>
        <v>9</v>
      </c>
      <c r="BE477" s="1" t="n">
        <f aca="false">MIN(Q477/4000, 1)*20</f>
        <v>0</v>
      </c>
      <c r="BF477" s="1" t="n">
        <f aca="false">MIN(AC477/400,1)*20</f>
        <v>0</v>
      </c>
      <c r="BG477" s="4" t="n">
        <f aca="false">1-(MAX(M477-1900, 0)/750)</f>
        <v>1</v>
      </c>
      <c r="BH477" s="1" t="n">
        <f aca="false">((MAX($P477,1)*MIN($AL477/300,1)))*IF(J477="Wagon",50,10)</f>
        <v>4</v>
      </c>
      <c r="BI477" s="1" t="n">
        <f aca="false">VLOOKUP($K477,Constants!$I:$K, 2, FALSE())</f>
        <v>1.2</v>
      </c>
      <c r="BJ477" s="1" t="n">
        <f aca="false">VLOOKUP($K477,Constants!$I:$K, 3, FALSE())*IF(AND(J477="multiple_unit",AE477&lt;110),0.75,1)</f>
        <v>0.6</v>
      </c>
      <c r="BK477" s="1" t="n">
        <f aca="false">INT(POWER(((Constants!$G$2+$BD477+$BE477+$BF477+$BH477)*$BG477)*$BJ477, 1.05))+$BC477</f>
        <v>16</v>
      </c>
      <c r="BL477" s="1" t="n">
        <f aca="false">INT(POWER((((Constants!$G$1+$BD477+$BE477+$BF477+$BH477)*($BG477))*$BI477),IF($J477="wagon",1,1.2)))+$BB477</f>
        <v>38</v>
      </c>
      <c r="BM477" s="17" t="n">
        <f aca="false">BK477*IF($J477="wagon",62.5,781.25)</f>
        <v>1000</v>
      </c>
      <c r="BN477" s="17" t="n">
        <f aca="false">BL477*IF($J477="wagon",2.73,81.25)</f>
        <v>103.74</v>
      </c>
      <c r="BU477" s="1" t="str">
        <f aca="false">IF(J477="locomotive","B","")</f>
        <v/>
      </c>
      <c r="BV477" s="1" t="str">
        <f aca="false">IF(OR($J477="locomotive",$J477="wagon"),"B","")</f>
        <v>B</v>
      </c>
      <c r="BY477" s="1" t="n">
        <v>10</v>
      </c>
      <c r="BZ477" s="1" t="n">
        <v>185</v>
      </c>
      <c r="CB477" s="1" t="s">
        <v>705</v>
      </c>
      <c r="CC477" s="1" t="s">
        <v>706</v>
      </c>
      <c r="CD477" s="1" t="str">
        <f aca="false">VLOOKUP(M477,Eras!$A$2:$C$10, 2, TRUE())</f>
        <v>early</v>
      </c>
      <c r="CE477" s="1" t="s">
        <v>1582</v>
      </c>
      <c r="CF477" s="1" t="str">
        <f aca="false">CONCATENATE(CD477,"_",CE477)</f>
        <v>early_Carriage</v>
      </c>
      <c r="CG477" s="1" t="str">
        <f aca="false">_xlfn.CONCAT(K477, "_",L477)</f>
        <v>carriage_PLATEWAY</v>
      </c>
      <c r="CH477" s="7" t="str">
        <f aca="false">_xlfn.CONCAT("{BLACK}Length: {GOLD}", TEXT(ROUNDUP(IF(AS477&lt;&gt;"",SUM(VALUE(_xlfn.TEXTSPLIT(AS477, ","))), SUM(VALUE(_xlfn.TEXTSPLIT(AP477, ",")))*IF(P477, P477, 1))/16, 1), "#,##0.0"), " tiles{}")</f>
        <v>{BLACK}Length: {GOLD}0.4 tiles{}</v>
      </c>
      <c r="CI477" s="1" t="str">
        <f aca="false">IF(0, VLOOKUP($CG477, Constants!$M:$N, 2, FALSE()),"")</f>
        <v/>
      </c>
      <c r="CJ477" s="1" t="str">
        <f aca="false">IF(P477&gt;1,_xlfn.CONCAT("{BLACK}Cars: {GOLD}", P477),"")</f>
        <v/>
      </c>
      <c r="CK477" s="1" t="s">
        <v>1806</v>
      </c>
      <c r="CL477" s="1" t="str">
        <f aca="false">IF($BX477="concept_trains","{GREEN}Concept Vehicle",IF($BX477="!param_no_gameplay_units","{GREEN}Included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tiles{}{SILVER}Although dedicated brake carriages were not common until the 1840s, this one is included in the set to allow early parcel and mail transport.</v>
      </c>
    </row>
    <row r="478" customFormat="false" ht="14.25" hidden="false" customHeight="true" outlineLevel="0" collapsed="false">
      <c r="A478" s="1" t="s">
        <v>1807</v>
      </c>
      <c r="B478" s="15" t="s">
        <v>1808</v>
      </c>
      <c r="C478" s="1" t="n">
        <v>40</v>
      </c>
      <c r="E478" s="1" t="n">
        <v>1061</v>
      </c>
      <c r="G478" s="1" t="str">
        <f aca="false">IF($F478&lt;&gt;"",_xlfn.CONCAT(VLOOKUP($CE478, Constants!$T:$U, 2, FALSE()),",",$F478),VLOOKUP($CE478, Constants!$T:$U, 2, FALSE()))</f>
        <v>role/passenger</v>
      </c>
      <c r="H478" s="1" t="str">
        <f aca="false">IF($G478&lt;&gt;"",_xlfn.CONCAT(VLOOKUP($CG478, Constants!$M:$P, 4, FALSE()),",",$G478),VLOOKUP($CG478, Constants!$M:$P, 4, FALSE()))</f>
        <v>flag/GB,role/passenger</v>
      </c>
      <c r="I478" s="1" t="s">
        <v>241</v>
      </c>
      <c r="J478" s="1" t="s">
        <v>1580</v>
      </c>
      <c r="K478" s="1" t="s">
        <v>1581</v>
      </c>
      <c r="L478" s="1" t="s">
        <v>192</v>
      </c>
      <c r="M478" s="1" t="n">
        <v>1855</v>
      </c>
      <c r="O478" s="1" t="n">
        <v>1900</v>
      </c>
      <c r="Z478" s="1" t="n">
        <v>18</v>
      </c>
      <c r="AB478" s="1" t="n">
        <v>4</v>
      </c>
      <c r="AD478" s="4" t="str">
        <f aca="false">IF(AND(Z478&gt;0,AC478&gt;0),(AC478/((Z478+AA478)*10)),"")</f>
        <v/>
      </c>
      <c r="AE478" s="1" t="n">
        <v>65</v>
      </c>
      <c r="AF478" s="1" t="n">
        <f aca="false">ROUND(AE478*1.6, 0)</f>
        <v>104</v>
      </c>
      <c r="AH478" s="1" t="n">
        <v>10</v>
      </c>
      <c r="AI478" s="1" t="n">
        <v>10</v>
      </c>
      <c r="AL478" s="5" t="n">
        <v>24</v>
      </c>
      <c r="AM478" s="1" t="str">
        <f aca="false">CONCATENATE(VLOOKUP(AN478, 'Voxel Sizes'!$A$2:$B$18,2,FALSE()),"x",INT(AJ478*15), "x", INT(AK478*15))</f>
        <v>102x0x0</v>
      </c>
      <c r="AN478" s="1" t="n">
        <f aca="false">ROUND(15*((AI478*10)/256),0)</f>
        <v>6</v>
      </c>
      <c r="AP478" s="1" t="str">
        <f aca="false">CONCATENATE(VLOOKUP(AN478,Constants!$A$2:$C$16,IF(AO478&lt;&gt;"", 3, 2), FALSE()),IF(AO478&lt;&gt;"",CONCATENATE(",",VLOOKUP(AO478,$B:$AP,41,FALSE())),""))</f>
        <v>2,2,2</v>
      </c>
      <c r="AZ478" s="1" t="n">
        <v>30</v>
      </c>
      <c r="BA478" s="16" t="n">
        <f aca="false">IF(O478&lt;&gt;"",MAX(16,(O478-M478)+8),"")</f>
        <v>53</v>
      </c>
      <c r="BB478" s="1" t="n">
        <v>20</v>
      </c>
      <c r="BC478" s="1" t="n">
        <v>10</v>
      </c>
      <c r="BD478" s="1" t="n">
        <f aca="false">MIN(AE478/150, 1)*30</f>
        <v>13</v>
      </c>
      <c r="BE478" s="1" t="n">
        <f aca="false">MIN(Q478/4000, 1)*20</f>
        <v>0</v>
      </c>
      <c r="BF478" s="1" t="n">
        <f aca="false">MIN(AC478/400,1)*20</f>
        <v>0</v>
      </c>
      <c r="BG478" s="4" t="n">
        <f aca="false">1-(MAX(M478-1900, 0)/750)</f>
        <v>1</v>
      </c>
      <c r="BH478" s="1" t="n">
        <f aca="false">((MAX($P478,1)*MIN($AL478/300,1)))*IF(J478="Wagon",50,10)</f>
        <v>4</v>
      </c>
      <c r="BI478" s="1" t="n">
        <f aca="false">VLOOKUP($K478,Constants!$I:$K, 2, FALSE())</f>
        <v>1.2</v>
      </c>
      <c r="BJ478" s="1" t="n">
        <f aca="false">VLOOKUP($K478,Constants!$I:$K, 3, FALSE())*IF(AND(J478="multiple_unit",AE478&lt;110),0.75,1)</f>
        <v>0.6</v>
      </c>
      <c r="BK478" s="1" t="n">
        <f aca="false">INT(POWER(((Constants!$G$2+$BD478+$BE478+$BF478+$BH478)*$BG478)*$BJ478, 1.05))+$BC478</f>
        <v>25</v>
      </c>
      <c r="BL478" s="1" t="n">
        <f aca="false">INT(POWER((((Constants!$G$1+$BD478+$BE478+$BF478+$BH478)*($BG478))*$BI478),IF($J478="wagon",1,1.2)))+$BB478</f>
        <v>58</v>
      </c>
      <c r="BM478" s="17" t="n">
        <f aca="false">BK478*IF($J478="wagon",62.5,781.25)</f>
        <v>1562.5</v>
      </c>
      <c r="BN478" s="17" t="n">
        <f aca="false">BL478*IF($J478="wagon",2.73,81.25)</f>
        <v>158.34</v>
      </c>
      <c r="BU478" s="1" t="str">
        <f aca="false">IF(J478="locomotive","B","")</f>
        <v/>
      </c>
      <c r="BV478" s="1" t="str">
        <f aca="false">IF(OR($J478="locomotive",$J478="wagon"),"B","")</f>
        <v>B</v>
      </c>
      <c r="BY478" s="1" t="n">
        <v>10</v>
      </c>
      <c r="BZ478" s="1" t="n">
        <v>185</v>
      </c>
      <c r="CB478" s="1" t="s">
        <v>705</v>
      </c>
      <c r="CC478" s="1" t="s">
        <v>706</v>
      </c>
      <c r="CD478" s="1" t="str">
        <f aca="false">VLOOKUP(M478,Eras!$A$2:$C$10, 2, TRUE())</f>
        <v>vct</v>
      </c>
      <c r="CE478" s="1" t="s">
        <v>1582</v>
      </c>
      <c r="CF478" s="1" t="str">
        <f aca="false">CONCATENATE(CD478,"_",CE478)</f>
        <v>vct_Carriage</v>
      </c>
      <c r="CG478" s="1" t="str">
        <f aca="false">_xlfn.CONCAT(K478, "_",L478)</f>
        <v>carriage_RAIL</v>
      </c>
      <c r="CH478" s="7" t="str">
        <f aca="false">_xlfn.CONCAT("{BLACK}Length: {GOLD}", TEXT(ROUNDUP(IF(AS478&lt;&gt;"",SUM(VALUE(_xlfn.TEXTSPLIT(AS478, ","))), SUM(VALUE(_xlfn.TEXTSPLIT(AP478, ",")))*IF(P478, P478, 1))/16, 1), "#,##0.0"), " tiles{}")</f>
        <v>{BLACK}Length: {GOLD}0.4 tiles{}</v>
      </c>
      <c r="CI478" s="1" t="str">
        <f aca="false">IF(0, VLOOKUP($CG478, Constants!$M:$N, 2, FALSE()),"")</f>
        <v/>
      </c>
      <c r="CJ478" s="1" t="str">
        <f aca="false">IF(P478&gt;1,_xlfn.CONCAT("{BLACK}Cars: {GOLD}", P478),"")</f>
        <v/>
      </c>
      <c r="CK478" s="1" t="s">
        <v>1809</v>
      </c>
      <c r="CL478" s="1" t="str">
        <f aca="false">IF($BX478="concept_trains","{GREEN}Concept Vehicle",IF($BX478="!param_no_gameplay_units","{GREEN}Included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tiles{}{SILVER}Early four-wheel carriages did not have locomotive-controlled brakes so, like freight trains, were reliant on the brakes in the guard's van.</v>
      </c>
    </row>
    <row r="479" customFormat="false" ht="14.25" hidden="false" customHeight="false" outlineLevel="0" collapsed="false">
      <c r="A479" s="1" t="s">
        <v>1810</v>
      </c>
      <c r="B479" s="15" t="s">
        <v>1811</v>
      </c>
      <c r="C479" s="1" t="n">
        <v>41</v>
      </c>
      <c r="E479" s="1" t="n">
        <v>1062</v>
      </c>
      <c r="G479" s="1" t="str">
        <f aca="false">IF($F479&lt;&gt;"",_xlfn.CONCAT(VLOOKUP($CE479, Constants!$T:$U, 2, FALSE()),",",$F479),VLOOKUP($CE479, Constants!$T:$U, 2, FALSE()))</f>
        <v>role/passenger</v>
      </c>
      <c r="H479" s="1" t="str">
        <f aca="false">IF($G479&lt;&gt;"",_xlfn.CONCAT(VLOOKUP($CG479, Constants!$M:$P, 4, FALSE()),",",$G479),VLOOKUP($CG479, Constants!$M:$P, 4, FALSE()))</f>
        <v>flag/GB,role/passenger</v>
      </c>
      <c r="I479" s="1" t="s">
        <v>241</v>
      </c>
      <c r="J479" s="1" t="s">
        <v>1580</v>
      </c>
      <c r="K479" s="1" t="s">
        <v>1581</v>
      </c>
      <c r="L479" s="1" t="s">
        <v>192</v>
      </c>
      <c r="M479" s="1" t="n">
        <v>1875</v>
      </c>
      <c r="O479" s="1" t="n">
        <v>1915</v>
      </c>
      <c r="Z479" s="1" t="n">
        <v>21</v>
      </c>
      <c r="AB479" s="1" t="n">
        <v>4</v>
      </c>
      <c r="AD479" s="4" t="str">
        <f aca="false">IF(AND(Z479&gt;0,AC479&gt;0),(AC479/((Z479+AA479)*10)),"")</f>
        <v/>
      </c>
      <c r="AE479" s="1" t="n">
        <v>75</v>
      </c>
      <c r="AF479" s="1" t="n">
        <f aca="false">ROUND(AE479*1.6, 0)</f>
        <v>120</v>
      </c>
      <c r="AH479" s="1" t="n">
        <v>12</v>
      </c>
      <c r="AI479" s="1" t="n">
        <v>12</v>
      </c>
      <c r="AL479" s="5" t="n">
        <v>30</v>
      </c>
      <c r="AM479" s="1" t="str">
        <f aca="false">CONCATENATE(VLOOKUP(AN479, 'Voxel Sizes'!$A$2:$B$18,2,FALSE()),"x",INT(AJ479*15), "x", INT(AK479*15))</f>
        <v>120x0x0</v>
      </c>
      <c r="AN479" s="1" t="n">
        <f aca="false">ROUND(15*((AI479*10)/256),0)</f>
        <v>7</v>
      </c>
      <c r="AP479" s="1" t="str">
        <f aca="false">CONCATENATE(VLOOKUP(AN479,Constants!$A$2:$C$16,IF(AO479&lt;&gt;"", 3, 2), FALSE()),IF(AO479&lt;&gt;"",CONCATENATE(",",VLOOKUP(AO479,$B:$AP,41,FALSE())),""))</f>
        <v>2,3,2</v>
      </c>
      <c r="AZ479" s="1" t="n">
        <v>30</v>
      </c>
      <c r="BA479" s="16" t="n">
        <f aca="false">IF(O479&lt;&gt;"",MAX(16,(O479-M479)+8),"")</f>
        <v>48</v>
      </c>
      <c r="BB479" s="1" t="n">
        <v>39</v>
      </c>
      <c r="BC479" s="1" t="n">
        <v>16</v>
      </c>
      <c r="BD479" s="1" t="n">
        <f aca="false">MIN(AE479/150, 1)*30</f>
        <v>15</v>
      </c>
      <c r="BE479" s="1" t="n">
        <f aca="false">MIN(Q479/4000, 1)*20</f>
        <v>0</v>
      </c>
      <c r="BF479" s="1" t="n">
        <f aca="false">MIN(AC479/400,1)*20</f>
        <v>0</v>
      </c>
      <c r="BG479" s="4" t="n">
        <f aca="false">1-(MAX(M479-1900, 0)/750)</f>
        <v>1</v>
      </c>
      <c r="BH479" s="1" t="n">
        <f aca="false">((MAX($P479,1)*MIN($AL479/300,1)))*IF(J479="Wagon",50,10)</f>
        <v>5</v>
      </c>
      <c r="BI479" s="1" t="n">
        <f aca="false">VLOOKUP($K479,Constants!$I:$K, 2, FALSE())</f>
        <v>1.2</v>
      </c>
      <c r="BJ479" s="1" t="n">
        <f aca="false">VLOOKUP($K479,Constants!$I:$K, 3, FALSE())*IF(AND(J479="multiple_unit",AE479&lt;110),0.75,1)</f>
        <v>0.6</v>
      </c>
      <c r="BK479" s="1" t="n">
        <f aca="false">INT(POWER(((Constants!$G$2+$BD479+$BE479+$BF479+$BH479)*$BG479)*$BJ479, 1.05))+$BC479</f>
        <v>33</v>
      </c>
      <c r="BL479" s="1" t="n">
        <f aca="false">INT(POWER((((Constants!$G$1+$BD479+$BE479+$BF479+$BH479)*($BG479))*$BI479),IF($J479="wagon",1,1.2)))+$BB479</f>
        <v>81</v>
      </c>
      <c r="BM479" s="17" t="n">
        <f aca="false">BK479*IF($J479="wagon",62.5,781.25)</f>
        <v>2062.5</v>
      </c>
      <c r="BN479" s="17" t="n">
        <f aca="false">BL479*IF($J479="wagon",2.73,81.25)</f>
        <v>221.13</v>
      </c>
      <c r="BU479" s="1" t="str">
        <f aca="false">IF(J479="locomotive","B","")</f>
        <v/>
      </c>
      <c r="BV479" s="1" t="str">
        <f aca="false">IF(OR($J479="locomotive",$J479="wagon"),"B","")</f>
        <v>B</v>
      </c>
      <c r="BY479" s="1" t="n">
        <v>11</v>
      </c>
      <c r="BZ479" s="1" t="n">
        <v>185</v>
      </c>
      <c r="CB479" s="1" t="s">
        <v>705</v>
      </c>
      <c r="CC479" s="1" t="s">
        <v>706</v>
      </c>
      <c r="CD479" s="1" t="str">
        <f aca="false">VLOOKUP(M479,Eras!$A$2:$C$10, 2, TRUE())</f>
        <v>vct</v>
      </c>
      <c r="CE479" s="1" t="s">
        <v>1582</v>
      </c>
      <c r="CF479" s="1" t="str">
        <f aca="false">CONCATENATE(CD479,"_",CE479)</f>
        <v>vct_Carriage</v>
      </c>
      <c r="CG479" s="1" t="str">
        <f aca="false">_xlfn.CONCAT(K479, "_",L479)</f>
        <v>carriage_RAIL</v>
      </c>
      <c r="CH479" s="7" t="str">
        <f aca="false">_xlfn.CONCAT("{BLACK}Length: {GOLD}", TEXT(ROUNDUP(IF(AS479&lt;&gt;"",SUM(VALUE(_xlfn.TEXTSPLIT(AS479, ","))), SUM(VALUE(_xlfn.TEXTSPLIT(AP479, ",")))*IF(P479, P479, 1))/16, 1), "#,##0.0"), " tiles{}")</f>
        <v>{BLACK}Length: {GOLD}0.5 tiles{}</v>
      </c>
      <c r="CI479" s="1" t="str">
        <f aca="false">IF(0, VLOOKUP($CG479, Constants!$M:$N, 2, FALSE()),"")</f>
        <v/>
      </c>
      <c r="CJ479" s="1" t="str">
        <f aca="false">IF(P479&gt;1,_xlfn.CONCAT("{BLACK}Cars: {GOLD}", P479),"")</f>
        <v/>
      </c>
      <c r="CK479" s="1" t="s">
        <v>1812</v>
      </c>
      <c r="CL479" s="1" t="str">
        <f aca="false">IF($BX479="concept_trains","{GREEN}Concept Vehicle",IF($BX479="!param_no_gameplay_units","{GREEN}Included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{GOLD}0.5 tiles{}{SILVER}Although carriages gained more luxurious fixtures and fittings through the Victorian era, braking still required a guard's van.</v>
      </c>
    </row>
    <row r="480" customFormat="false" ht="14.25" hidden="false" customHeight="false" outlineLevel="0" collapsed="false">
      <c r="A480" s="1" t="s">
        <v>1813</v>
      </c>
      <c r="B480" s="15" t="s">
        <v>1814</v>
      </c>
      <c r="C480" s="1" t="n">
        <v>42</v>
      </c>
      <c r="E480" s="1" t="n">
        <v>1063</v>
      </c>
      <c r="G480" s="1" t="str">
        <f aca="false">IF($F480&lt;&gt;"",_xlfn.CONCAT(VLOOKUP($CE480, Constants!$T:$U, 2, FALSE()),",",$F480),VLOOKUP($CE480, Constants!$T:$U, 2, FALSE()))</f>
        <v>role/mail</v>
      </c>
      <c r="H480" s="1" t="str">
        <f aca="false">IF($G480&lt;&gt;"",_xlfn.CONCAT(VLOOKUP($CG480, Constants!$M:$P, 4, FALSE()),",",$G480),VLOOKUP($CG480, Constants!$M:$P, 4, FALSE()))</f>
        <v>flag/GB,role/mail</v>
      </c>
      <c r="I480" s="1" t="s">
        <v>241</v>
      </c>
      <c r="J480" s="1" t="s">
        <v>1580</v>
      </c>
      <c r="K480" s="1" t="s">
        <v>1581</v>
      </c>
      <c r="L480" s="1" t="s">
        <v>192</v>
      </c>
      <c r="M480" s="1" t="n">
        <v>1892</v>
      </c>
      <c r="O480" s="1" t="n">
        <v>1935</v>
      </c>
      <c r="Z480" s="1" t="n">
        <v>28</v>
      </c>
      <c r="AB480" s="1" t="n">
        <v>4</v>
      </c>
      <c r="AD480" s="4" t="str">
        <f aca="false">IF(AND(Z480&gt;0,AC480&gt;0),(AC480/((Z480+AA480)*10)),"")</f>
        <v/>
      </c>
      <c r="AE480" s="1" t="n">
        <v>90</v>
      </c>
      <c r="AF480" s="1" t="n">
        <f aca="false">ROUND(AE480*1.6, 0)</f>
        <v>144</v>
      </c>
      <c r="AH480" s="1" t="n">
        <v>16.2</v>
      </c>
      <c r="AI480" s="1" t="n">
        <v>16.2</v>
      </c>
      <c r="AJ480" s="1" t="n">
        <v>2.8</v>
      </c>
      <c r="AL480" s="5" t="n">
        <v>51</v>
      </c>
      <c r="AM480" s="1" t="str">
        <f aca="false">CONCATENATE(VLOOKUP(AN480, 'Voxel Sizes'!$A$2:$B$18,2,FALSE()),"x",INT(AJ480*15), "x", INT(AK480*15))</f>
        <v>152x42x0</v>
      </c>
      <c r="AN480" s="1" t="n">
        <f aca="false">ROUND(15*((AI480*10)/256),0)</f>
        <v>9</v>
      </c>
      <c r="AP480" s="1" t="str">
        <f aca="false">CONCATENATE(VLOOKUP(AN480,Constants!$A$2:$C$16,IF(AO480&lt;&gt;"", 3, 2), FALSE()),IF(AO480&lt;&gt;"",CONCATENATE(",",VLOOKUP(AO480,$B:$AP,41,FALSE())),""))</f>
        <v>2,5,2</v>
      </c>
      <c r="AZ480" s="1" t="n">
        <v>30</v>
      </c>
      <c r="BA480" s="16" t="n">
        <f aca="false">IF(O480&lt;&gt;"",MAX(16,(O480-M480)+8),"")</f>
        <v>51</v>
      </c>
      <c r="BB480" s="1" t="n">
        <v>47</v>
      </c>
      <c r="BC480" s="1" t="n">
        <v>20</v>
      </c>
      <c r="BD480" s="1" t="n">
        <f aca="false">MIN(AE480/150, 1)*30</f>
        <v>18</v>
      </c>
      <c r="BE480" s="1" t="n">
        <f aca="false">MIN(Q480/4000, 1)*20</f>
        <v>0</v>
      </c>
      <c r="BF480" s="1" t="n">
        <f aca="false">MIN(AC480/400,1)*20</f>
        <v>0</v>
      </c>
      <c r="BG480" s="4" t="n">
        <f aca="false">1-(MAX(M480-1900, 0)/750)</f>
        <v>1</v>
      </c>
      <c r="BH480" s="1" t="n">
        <f aca="false">((MAX($P480,1)*MIN($AL480/300,1)))*IF(J480="Wagon",50,10)</f>
        <v>8.5</v>
      </c>
      <c r="BI480" s="1" t="n">
        <f aca="false">VLOOKUP($K480,Constants!$I:$K, 2, FALSE())</f>
        <v>1.2</v>
      </c>
      <c r="BJ480" s="1" t="n">
        <f aca="false">VLOOKUP($K480,Constants!$I:$K, 3, FALSE())*IF(AND(J480="multiple_unit",AE480&lt;110),0.75,1)</f>
        <v>0.6</v>
      </c>
      <c r="BK480" s="1" t="n">
        <f aca="false">INT(POWER(((Constants!$G$2+$BD480+$BE480+$BF480+$BH480)*$BG480)*$BJ480, 1.05))+$BC480</f>
        <v>41</v>
      </c>
      <c r="BL480" s="1" t="n">
        <f aca="false">INT(POWER((((Constants!$G$1+$BD480+$BE480+$BF480+$BH480)*($BG480))*$BI480),IF($J480="wagon",1,1.2)))+$BB480</f>
        <v>96</v>
      </c>
      <c r="BM480" s="17" t="n">
        <f aca="false">BK480*IF($J480="wagon",62.5,781.25)</f>
        <v>2562.5</v>
      </c>
      <c r="BN480" s="17" t="n">
        <f aca="false">BL480*IF($J480="wagon",2.73,81.25)</f>
        <v>262.08</v>
      </c>
      <c r="BU480" s="1" t="str">
        <f aca="false">IF(J480="locomotive","B","")</f>
        <v/>
      </c>
      <c r="BV480" s="1" t="str">
        <f aca="false">IF(OR($J480="locomotive",$J480="wagon"),"B","")</f>
        <v>B</v>
      </c>
      <c r="BY480" s="1" t="n">
        <v>1</v>
      </c>
      <c r="BZ480" s="1" t="n">
        <v>185</v>
      </c>
      <c r="CB480" s="1" t="s">
        <v>705</v>
      </c>
      <c r="CC480" s="1" t="s">
        <v>706</v>
      </c>
      <c r="CD480" s="1" t="str">
        <f aca="false">VLOOKUP(M480,Eras!$A$2:$C$10, 2, TRUE())</f>
        <v>vct</v>
      </c>
      <c r="CE480" s="1" t="s">
        <v>1709</v>
      </c>
      <c r="CF480" s="1" t="str">
        <f aca="false">CONCATENATE(CD480,"_",CE480)</f>
        <v>vct_Mail Carriage</v>
      </c>
      <c r="CG480" s="1" t="str">
        <f aca="false">_xlfn.CONCAT(K480, "_",L480)</f>
        <v>carriage_RAIL</v>
      </c>
      <c r="CH480" s="7" t="str">
        <f aca="false">_xlfn.CONCAT("{BLACK}Length: {GOLD}", TEXT(ROUNDUP(IF(AS480&lt;&gt;"",SUM(VALUE(_xlfn.TEXTSPLIT(AS480, ","))), SUM(VALUE(_xlfn.TEXTSPLIT(AP480, ",")))*IF(P480, P480, 1))/16, 1), "#,##0.0"), " tiles{}")</f>
        <v>{BLACK}Length: {GOLD}0.6 tiles{}</v>
      </c>
      <c r="CI480" s="1" t="str">
        <f aca="false">IF(0, VLOOKUP($CG480, Constants!$M:$N, 2, FALSE()),"")</f>
        <v/>
      </c>
      <c r="CJ480" s="1" t="str">
        <f aca="false">IF(P480&gt;1,_xlfn.CONCAT("{BLACK}Cars: {GOLD}", P480),"")</f>
        <v/>
      </c>
      <c r="CK480" s="1" t="s">
        <v>1815</v>
      </c>
      <c r="CL480" s="1" t="str">
        <f aca="false">IF($BX480="concept_trains","{GREEN}Concept Vehicle",IF($BX480="!param_no_gameplay_units","{GREEN}Included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{GOLD}0.6 tiles{}{SILVER}This brake carriage is designed for use with clerestory carriages. It can carry parcels and mail.</v>
      </c>
    </row>
    <row r="481" customFormat="false" ht="14.25" hidden="false" customHeight="false" outlineLevel="0" collapsed="false">
      <c r="A481" s="1" t="s">
        <v>1816</v>
      </c>
      <c r="B481" s="15" t="s">
        <v>1817</v>
      </c>
      <c r="C481" s="1" t="n">
        <v>43</v>
      </c>
      <c r="E481" s="1" t="n">
        <v>1064</v>
      </c>
      <c r="G481" s="1" t="str">
        <f aca="false">IF($F481&lt;&gt;"",_xlfn.CONCAT(VLOOKUP($CE481, Constants!$T:$U, 2, FALSE()),",",$F481),VLOOKUP($CE481, Constants!$T:$U, 2, FALSE()))</f>
        <v>role/mail</v>
      </c>
      <c r="H481" s="1" t="str">
        <f aca="false">IF($G481&lt;&gt;"",_xlfn.CONCAT(VLOOKUP($CG481, Constants!$M:$P, 4, FALSE()),",",$G481),VLOOKUP($CG481, Constants!$M:$P, 4, FALSE()))</f>
        <v>flag/GB,role/mail</v>
      </c>
      <c r="I481" s="1" t="s">
        <v>241</v>
      </c>
      <c r="J481" s="1" t="s">
        <v>1580</v>
      </c>
      <c r="K481" s="1" t="s">
        <v>1581</v>
      </c>
      <c r="L481" s="1" t="s">
        <v>192</v>
      </c>
      <c r="M481" s="1" t="n">
        <v>1904</v>
      </c>
      <c r="O481" s="1" t="n">
        <v>1955</v>
      </c>
      <c r="Z481" s="1" t="n">
        <v>29</v>
      </c>
      <c r="AB481" s="1" t="n">
        <v>5</v>
      </c>
      <c r="AD481" s="4" t="str">
        <f aca="false">IF(AND(Z481&gt;0,AC481&gt;0),(AC481/((Z481+AA481)*10)),"")</f>
        <v/>
      </c>
      <c r="AE481" s="1" t="n">
        <v>100</v>
      </c>
      <c r="AF481" s="1" t="n">
        <f aca="false">ROUND(AE481*1.6, 0)</f>
        <v>160</v>
      </c>
      <c r="AH481" s="1" t="n">
        <v>17.7</v>
      </c>
      <c r="AI481" s="1" t="n">
        <v>17.7</v>
      </c>
      <c r="AJ481" s="1" t="n">
        <v>2.83</v>
      </c>
      <c r="AK481" s="1" t="n">
        <v>3.79</v>
      </c>
      <c r="AL481" s="5" t="n">
        <v>57</v>
      </c>
      <c r="AM481" s="1" t="str">
        <f aca="false">CONCATENATE(VLOOKUP(AN481, 'Voxel Sizes'!$A$2:$B$18,2,FALSE()),"x",INT(AJ481*15), "x", INT(AK481*15))</f>
        <v>164x42x56</v>
      </c>
      <c r="AN481" s="1" t="n">
        <f aca="false">ROUND(15*((AI481*10)/256),0)</f>
        <v>10</v>
      </c>
      <c r="AP481" s="1" t="str">
        <f aca="false">CONCATENATE(VLOOKUP(AN481,Constants!$A$2:$C$16,IF(AO481&lt;&gt;"", 3, 2), FALSE()),IF(AO481&lt;&gt;"",CONCATENATE(",",VLOOKUP(AO481,$B:$AP,41,FALSE())),""))</f>
        <v>4,2,4</v>
      </c>
      <c r="AZ481" s="1" t="n">
        <v>30</v>
      </c>
      <c r="BA481" s="16" t="n">
        <f aca="false">IF(O481&lt;&gt;"",MAX(16,(O481-M481)+8),"")</f>
        <v>59</v>
      </c>
      <c r="BB481" s="1" t="n">
        <v>49</v>
      </c>
      <c r="BC481" s="1" t="n">
        <v>21</v>
      </c>
      <c r="BD481" s="1" t="n">
        <f aca="false">MIN(AE481/150, 1)*30</f>
        <v>20</v>
      </c>
      <c r="BE481" s="1" t="n">
        <f aca="false">MIN(Q481/4000, 1)*20</f>
        <v>0</v>
      </c>
      <c r="BF481" s="1" t="n">
        <f aca="false">MIN(AC481/400,1)*20</f>
        <v>0</v>
      </c>
      <c r="BG481" s="4" t="n">
        <f aca="false">1-(MAX(M481-1900, 0)/750)</f>
        <v>0.994666666666667</v>
      </c>
      <c r="BH481" s="1" t="n">
        <f aca="false">((MAX($P481,1)*MIN($AL481/300,1)))*IF(J481="Wagon",50,10)</f>
        <v>9.5</v>
      </c>
      <c r="BI481" s="1" t="n">
        <f aca="false">VLOOKUP($K481,Constants!$I:$K, 2, FALSE())</f>
        <v>1.2</v>
      </c>
      <c r="BJ481" s="1" t="n">
        <f aca="false">VLOOKUP($K481,Constants!$I:$K, 3, FALSE())*IF(AND(J481="multiple_unit",AE481&lt;110),0.75,1)</f>
        <v>0.6</v>
      </c>
      <c r="BK481" s="1" t="n">
        <f aca="false">INT(POWER(((Constants!$G$2+$BD481+$BE481+$BF481+$BH481)*$BG481)*$BJ481, 1.05))+$BC481</f>
        <v>44</v>
      </c>
      <c r="BL481" s="1" t="n">
        <f aca="false">INT(POWER((((Constants!$G$1+$BD481+$BE481+$BF481+$BH481)*($BG481))*$BI481),IF($J481="wagon",1,1.2)))+$BB481</f>
        <v>102</v>
      </c>
      <c r="BM481" s="17" t="n">
        <f aca="false">BK481*IF($J481="wagon",62.5,781.25)</f>
        <v>2750</v>
      </c>
      <c r="BN481" s="17" t="n">
        <f aca="false">BL481*IF($J481="wagon",2.73,81.25)</f>
        <v>278.46</v>
      </c>
      <c r="BU481" s="1" t="str">
        <f aca="false">IF(J481="locomotive","B","")</f>
        <v/>
      </c>
      <c r="BV481" s="1" t="str">
        <f aca="false">IF(OR($J481="locomotive",$J481="wagon"),"B","")</f>
        <v>B</v>
      </c>
      <c r="BY481" s="1" t="n">
        <v>1</v>
      </c>
      <c r="BZ481" s="1" t="n">
        <v>185</v>
      </c>
      <c r="CB481" s="1" t="s">
        <v>705</v>
      </c>
      <c r="CC481" s="1" t="s">
        <v>706</v>
      </c>
      <c r="CD481" s="1" t="str">
        <f aca="false">VLOOKUP(M481,Eras!$A$2:$C$10, 2, TRUE())</f>
        <v>edw</v>
      </c>
      <c r="CE481" s="1" t="s">
        <v>1709</v>
      </c>
      <c r="CF481" s="1" t="str">
        <f aca="false">CONCATENATE(CD481,"_",CE481)</f>
        <v>edw_Mail Carriage</v>
      </c>
      <c r="CG481" s="1" t="str">
        <f aca="false">_xlfn.CONCAT(K481, "_",L481)</f>
        <v>carriage_RAIL</v>
      </c>
      <c r="CH481" s="7" t="str">
        <f aca="false">_xlfn.CONCAT("{BLACK}Length: {GOLD}", TEXT(ROUNDUP(IF(AS481&lt;&gt;"",SUM(VALUE(_xlfn.TEXTSPLIT(AS481, ","))), SUM(VALUE(_xlfn.TEXTSPLIT(AP481, ",")))*IF(P481, P481, 1))/16, 1), "#,##0.0"), " tiles{}")</f>
        <v>{BLACK}Length: {GOLD}0.7 tiles{}</v>
      </c>
      <c r="CI481" s="1" t="str">
        <f aca="false">IF(0, VLOOKUP($CG481, Constants!$M:$N, 2, FALSE()),"")</f>
        <v/>
      </c>
      <c r="CJ481" s="1" t="str">
        <f aca="false">IF(P481&gt;1,_xlfn.CONCAT("{BLACK}Cars: {GOLD}", P481),"")</f>
        <v/>
      </c>
      <c r="CK481" s="1" t="s">
        <v>1818</v>
      </c>
      <c r="CL481" s="1" t="str">
        <f aca="false">IF($BX481="concept_trains","{GREEN}Concept Vehicle",IF($BX481="!param_no_gameplay_units","{GREEN}Included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{GOLD}0.7 tiles{}{SILVER}Brake carriages continued to be a fixture of passenger trains during the steam era, carrying bulky luggage and parcels.</v>
      </c>
    </row>
    <row r="482" customFormat="false" ht="14.25" hidden="false" customHeight="false" outlineLevel="0" collapsed="false">
      <c r="A482" s="1" t="s">
        <v>1819</v>
      </c>
      <c r="B482" s="15" t="s">
        <v>1820</v>
      </c>
      <c r="C482" s="1" t="n">
        <v>44</v>
      </c>
      <c r="D482" s="1" t="n">
        <v>18</v>
      </c>
      <c r="E482" s="1" t="n">
        <v>1065</v>
      </c>
      <c r="G482" s="1" t="str">
        <f aca="false">IF($F482&lt;&gt;"",_xlfn.CONCAT(VLOOKUP($CE482, Constants!$T:$U, 2, FALSE()),",",$F482),VLOOKUP($CE482, Constants!$T:$U, 2, FALSE()))</f>
        <v>role/mail</v>
      </c>
      <c r="H482" s="1" t="str">
        <f aca="false">IF($G482&lt;&gt;"",_xlfn.CONCAT(VLOOKUP($CG482, Constants!$M:$P, 4, FALSE()),",",$G482),VLOOKUP($CG482, Constants!$M:$P, 4, FALSE()))</f>
        <v>flag/GB,role/mail</v>
      </c>
      <c r="I482" s="1" t="s">
        <v>241</v>
      </c>
      <c r="J482" s="1" t="s">
        <v>1580</v>
      </c>
      <c r="K482" s="1" t="s">
        <v>1581</v>
      </c>
      <c r="L482" s="1" t="s">
        <v>192</v>
      </c>
      <c r="M482" s="1" t="n">
        <v>1951</v>
      </c>
      <c r="N482" s="1" t="n">
        <v>1963</v>
      </c>
      <c r="O482" s="1" t="n">
        <v>1974</v>
      </c>
      <c r="Z482" s="1" t="n">
        <v>31</v>
      </c>
      <c r="AB482" s="1" t="n">
        <v>5</v>
      </c>
      <c r="AD482" s="4" t="str">
        <f aca="false">IF(AND(Z482&gt;0,AC482&gt;0),(AC482/((Z482+AA482)*10)),"")</f>
        <v/>
      </c>
      <c r="AE482" s="1" t="n">
        <v>100</v>
      </c>
      <c r="AF482" s="1" t="n">
        <f aca="false">ROUND(AE482*1.6, 0)</f>
        <v>160</v>
      </c>
      <c r="AH482" s="1" t="n">
        <v>19.3</v>
      </c>
      <c r="AI482" s="1" t="n">
        <v>20</v>
      </c>
      <c r="AL482" s="5" t="n">
        <v>66</v>
      </c>
      <c r="AM482" s="1" t="str">
        <f aca="false">CONCATENATE(VLOOKUP(AN482, 'Voxel Sizes'!$A$2:$B$18,2,FALSE()),"x",INT(AJ482*15), "x", INT(AK482*15))</f>
        <v>198x0x0</v>
      </c>
      <c r="AN482" s="1" t="n">
        <f aca="false">ROUND(15*((AI482*10)/256),0)</f>
        <v>12</v>
      </c>
      <c r="AP482" s="1" t="str">
        <f aca="false">CONCATENATE(VLOOKUP(AN482,Constants!$A$2:$C$16,IF(AO482&lt;&gt;"", 3, 2), FALSE()),IF(AO482&lt;&gt;"",CONCATENATE(",",VLOOKUP(AO482,$B:$AP,41,FALSE())),""))</f>
        <v>4,4,4</v>
      </c>
      <c r="AZ482" s="1" t="n">
        <v>30</v>
      </c>
      <c r="BA482" s="16" t="n">
        <f aca="false">IF(O482&lt;&gt;"",MAX(16,(O482-M482)+8),"")</f>
        <v>31</v>
      </c>
      <c r="BB482" s="1" t="n">
        <v>55</v>
      </c>
      <c r="BC482" s="1" t="n">
        <v>25</v>
      </c>
      <c r="BD482" s="1" t="n">
        <f aca="false">MIN(AE482/150, 1)*30</f>
        <v>20</v>
      </c>
      <c r="BE482" s="1" t="n">
        <f aca="false">MIN(Q482/4000, 1)*20</f>
        <v>0</v>
      </c>
      <c r="BF482" s="1" t="n">
        <f aca="false">MIN(AC482/400,1)*20</f>
        <v>0</v>
      </c>
      <c r="BG482" s="4" t="n">
        <f aca="false">1-(MAX(M482-1900, 0)/750)</f>
        <v>0.932</v>
      </c>
      <c r="BH482" s="1" t="n">
        <f aca="false">((MAX($P482,1)*MIN($AL482/300,1)))*IF(J482="Wagon",50,10)</f>
        <v>11</v>
      </c>
      <c r="BI482" s="1" t="n">
        <f aca="false">VLOOKUP($K482,Constants!$I:$K, 2, FALSE())</f>
        <v>1.2</v>
      </c>
      <c r="BJ482" s="1" t="n">
        <f aca="false">VLOOKUP($K482,Constants!$I:$K, 3, FALSE())*IF(AND(J482="multiple_unit",AE482&lt;110),0.75,1)</f>
        <v>0.6</v>
      </c>
      <c r="BK482" s="1" t="n">
        <f aca="false">INT(POWER(((Constants!$G$2+$BD482+$BE482+$BF482+$BH482)*$BG482)*$BJ482, 1.05))+$BC482</f>
        <v>48</v>
      </c>
      <c r="BL482" s="1" t="n">
        <f aca="false">INT(POWER((((Constants!$G$1+$BD482+$BE482+$BF482+$BH482)*($BG482))*$BI482),IF($J482="wagon",1,1.2)))+$BB482</f>
        <v>106</v>
      </c>
      <c r="BM482" s="17" t="n">
        <f aca="false">BK482*IF($J482="wagon",62.5,781.25)</f>
        <v>3000</v>
      </c>
      <c r="BN482" s="17" t="n">
        <f aca="false">BL482*IF($J482="wagon",2.73,81.25)</f>
        <v>289.38</v>
      </c>
      <c r="BU482" s="1" t="str">
        <f aca="false">IF(J482="locomotive","B","")</f>
        <v/>
      </c>
      <c r="BV482" s="1" t="str">
        <f aca="false">IF(OR($J482="locomotive",$J482="wagon"),"B","")</f>
        <v>B</v>
      </c>
      <c r="BX482" s="1" t="s">
        <v>1681</v>
      </c>
      <c r="BY482" s="1" t="n">
        <v>1</v>
      </c>
      <c r="BZ482" s="1" t="n">
        <v>185</v>
      </c>
      <c r="CB482" s="1" t="s">
        <v>705</v>
      </c>
      <c r="CC482" s="1" t="s">
        <v>706</v>
      </c>
      <c r="CD482" s="1" t="str">
        <f aca="false">VLOOKUP(M482,Eras!$A$2:$C$10, 2, TRUE())</f>
        <v>ebr</v>
      </c>
      <c r="CE482" s="1" t="s">
        <v>1709</v>
      </c>
      <c r="CF482" s="1" t="str">
        <f aca="false">CONCATENATE(CD482,"_",CE482)</f>
        <v>ebr_Mail Carriage</v>
      </c>
      <c r="CG482" s="1" t="str">
        <f aca="false">_xlfn.CONCAT(K482, "_",L482)</f>
        <v>carriage_RAIL</v>
      </c>
      <c r="CH482" s="7" t="str">
        <f aca="false">_xlfn.CONCAT("{BLACK}Length: {GOLD}", TEXT(ROUNDUP(IF(AS482&lt;&gt;"",SUM(VALUE(_xlfn.TEXTSPLIT(AS482, ","))), SUM(VALUE(_xlfn.TEXTSPLIT(AP482, ",")))*IF(P482, P482, 1))/16, 1), "#,##0.0"), " tiles{}")</f>
        <v>{BLACK}Length: {GOLD}0.8 tiles{}</v>
      </c>
      <c r="CI482" s="1" t="str">
        <f aca="false">IF(0, VLOOKUP($CG482, Constants!$M:$N, 2, FALSE()),"")</f>
        <v/>
      </c>
      <c r="CJ482" s="1" t="str">
        <f aca="false">IF(P482&gt;1,_xlfn.CONCAT("{BLACK}Cars: {GOLD}", P482),"")</f>
        <v/>
      </c>
      <c r="CK482" s="1" t="s">
        <v>1821</v>
      </c>
      <c r="CL482" s="1" t="str">
        <f aca="false">IF($BX482="concept_trains","{GREEN}Concept Vehicle",IF($BX482="!param_no_gameplay_units","{GREEN}Included for gameplay purposes",""))</f>
        <v>{GREEN}Included for gameplay purposes</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{GOLD}0.8 tiles{}{SILVER}BG for (Brake Gangway) is the BR designation for a brake coach. As well as a guard's compartment it had two large areas for storing luggage.{}{}{GREEN}Included for gameplay purposes</v>
      </c>
    </row>
    <row r="483" customFormat="false" ht="14.25" hidden="false" customHeight="false" outlineLevel="0" collapsed="false">
      <c r="A483" s="1" t="s">
        <v>1822</v>
      </c>
      <c r="B483" s="25" t="s">
        <v>1823</v>
      </c>
      <c r="C483" s="1" t="n">
        <v>4044</v>
      </c>
      <c r="D483" s="1" t="n">
        <v>18</v>
      </c>
      <c r="E483" s="1" t="n">
        <v>1066</v>
      </c>
      <c r="G483" s="1" t="str">
        <f aca="false">IF($F483&lt;&gt;"",_xlfn.CONCAT(VLOOKUP($CE483, Constants!$T:$U, 2, FALSE()),",",$F483),VLOOKUP($CE483, Constants!$T:$U, 2, FALSE()))</f>
        <v>role/mail</v>
      </c>
      <c r="H483" s="1" t="str">
        <f aca="false">IF($G483&lt;&gt;"",_xlfn.CONCAT(VLOOKUP($CG483, Constants!$M:$P, 4, FALSE()),",",$G483),VLOOKUP($CG483, Constants!$M:$P, 4, FALSE()))</f>
        <v>flag/GB,role/mail</v>
      </c>
      <c r="I483" s="1" t="s">
        <v>241</v>
      </c>
      <c r="J483" s="1" t="s">
        <v>1580</v>
      </c>
      <c r="K483" s="1" t="s">
        <v>1581</v>
      </c>
      <c r="L483" s="1" t="s">
        <v>192</v>
      </c>
      <c r="M483" s="1" t="n">
        <v>1956</v>
      </c>
      <c r="N483" s="1" t="n">
        <v>1963</v>
      </c>
      <c r="O483" s="1" t="n">
        <v>1995</v>
      </c>
      <c r="Z483" s="1" t="n">
        <v>30</v>
      </c>
      <c r="AB483" s="1" t="n">
        <v>5</v>
      </c>
      <c r="AD483" s="4" t="str">
        <f aca="false">IF(AND(Z483&gt;0,AC483&gt;0),(AC483/((Z483+AA483)*10)),"")</f>
        <v/>
      </c>
      <c r="AE483" s="1" t="n">
        <v>100</v>
      </c>
      <c r="AF483" s="1" t="n">
        <f aca="false">ROUND(AE483*1.6, 0)</f>
        <v>160</v>
      </c>
      <c r="AH483" s="1" t="n">
        <v>17.3</v>
      </c>
      <c r="AI483" s="1" t="n">
        <v>17.3</v>
      </c>
      <c r="AL483" s="5" t="n">
        <v>57</v>
      </c>
      <c r="AM483" s="1" t="str">
        <f aca="false">CONCATENATE(VLOOKUP(AN483, 'Voxel Sizes'!$A$2:$B$18,2,FALSE()),"x",INT(AJ483*15), "x", INT(AK483*15))</f>
        <v>164x0x0</v>
      </c>
      <c r="AN483" s="1" t="n">
        <f aca="false">ROUND(15*((AI483*10)/256),0)</f>
        <v>10</v>
      </c>
      <c r="AP483" s="1" t="str">
        <f aca="false">CONCATENATE(VLOOKUP(AN483,Constants!$A$2:$C$16,IF(AO483&lt;&gt;"", 3, 2), FALSE()),IF(AO483&lt;&gt;"",CONCATENATE(",",VLOOKUP(AO483,$B:$AP,41,FALSE())),""))</f>
        <v>4,2,4</v>
      </c>
      <c r="AZ483" s="1" t="n">
        <v>45</v>
      </c>
      <c r="BA483" s="16" t="n">
        <f aca="false">IF(O483&lt;&gt;"",MAX(16,(O483-M483)+8),"")</f>
        <v>47</v>
      </c>
      <c r="BB483" s="1" t="n">
        <v>25</v>
      </c>
      <c r="BC483" s="1" t="n">
        <v>20</v>
      </c>
      <c r="BD483" s="1" t="n">
        <f aca="false">MIN(AE483/150, 1)*30</f>
        <v>20</v>
      </c>
      <c r="BE483" s="1" t="n">
        <f aca="false">MIN(Q483/4000, 1)*20</f>
        <v>0</v>
      </c>
      <c r="BF483" s="1" t="n">
        <f aca="false">MIN(AC483/400,1)*20</f>
        <v>0</v>
      </c>
      <c r="BG483" s="4" t="n">
        <f aca="false">1-(MAX(M483-1900, 0)/750)</f>
        <v>0.925333333333333</v>
      </c>
      <c r="BH483" s="1" t="n">
        <f aca="false">((MAX($P483,1)*MIN($AL483/300,1)))*IF(J483="Wagon",50,10)</f>
        <v>9.5</v>
      </c>
      <c r="BI483" s="1" t="n">
        <f aca="false">VLOOKUP($K483,Constants!$I:$K, 2, FALSE())</f>
        <v>1.2</v>
      </c>
      <c r="BJ483" s="1" t="n">
        <f aca="false">VLOOKUP($K483,Constants!$I:$K, 3, FALSE())*IF(AND(J483="multiple_unit",AE483&lt;110),0.75,1)</f>
        <v>0.6</v>
      </c>
      <c r="BK483" s="1" t="n">
        <f aca="false">INT(POWER(((Constants!$G$2+$BD483+$BE483+$BF483+$BH483)*$BG483)*$BJ483, 1.05))+$BC483</f>
        <v>42</v>
      </c>
      <c r="BL483" s="1" t="n">
        <f aca="false">INT(POWER((((Constants!$G$1+$BD483+$BE483+$BF483+$BH483)*($BG483))*$BI483),IF($J483="wagon",1,1.2)))+$BB483</f>
        <v>74</v>
      </c>
      <c r="BM483" s="17" t="n">
        <f aca="false">BK483*IF($J483="wagon",62.5,781.25)</f>
        <v>2625</v>
      </c>
      <c r="BN483" s="17" t="n">
        <f aca="false">BL483*IF($J483="wagon",2.73,81.25)</f>
        <v>202.02</v>
      </c>
      <c r="BU483" s="1" t="str">
        <f aca="false">IF(J483="locomotive","B","")</f>
        <v/>
      </c>
      <c r="BV483" s="1" t="str">
        <f aca="false">IF(OR($J483="locomotive",$J483="wagon"),"B","")</f>
        <v>B</v>
      </c>
      <c r="BY483" s="1" t="n">
        <v>1</v>
      </c>
      <c r="BZ483" s="1" t="n">
        <v>185</v>
      </c>
      <c r="CB483" s="1" t="s">
        <v>705</v>
      </c>
      <c r="CC483" s="1" t="s">
        <v>706</v>
      </c>
      <c r="CD483" s="1" t="str">
        <f aca="false">VLOOKUP(M483,Eras!$A$2:$C$10, 2, TRUE())</f>
        <v>dsl</v>
      </c>
      <c r="CE483" s="1" t="s">
        <v>1709</v>
      </c>
      <c r="CF483" s="1" t="str">
        <f aca="false">CONCATENATE(CD483,"_",CE483)</f>
        <v>dsl_Mail Carriage</v>
      </c>
      <c r="CG483" s="1" t="str">
        <f aca="false">_xlfn.CONCAT(K483, "_",L483)</f>
        <v>carriage_RAIL</v>
      </c>
      <c r="CH483" s="7" t="str">
        <f aca="false">_xlfn.CONCAT("{BLACK}Length: {GOLD}", TEXT(ROUNDUP(IF(AS483&lt;&gt;"",SUM(VALUE(_xlfn.TEXTSPLIT(AS483, ","))), SUM(VALUE(_xlfn.TEXTSPLIT(AP483, ",")))*IF(P483, P483, 1))/16, 1), "#,##0.0"), " tiles{}")</f>
        <v>{BLACK}Length: {GOLD}0.7 tiles{}</v>
      </c>
      <c r="CI483" s="1" t="str">
        <f aca="false">IF(0, VLOOKUP($CG483, Constants!$M:$N, 2, FALSE()),"")</f>
        <v/>
      </c>
      <c r="CJ483" s="1" t="str">
        <f aca="false">IF(P483&gt;1,_xlfn.CONCAT("{BLACK}Cars: {GOLD}", P483),"")</f>
        <v/>
      </c>
      <c r="CK483" s="1" t="s">
        <v>1824</v>
      </c>
      <c r="CL483" s="1" t="str">
        <f aca="false">IF($BX483="concept_trains","{GREEN}Concept Vehicle",IF($BX483="!param_no_gameplay_units","{GREEN}Included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tiles{}{SILVER}General Utility Vans were simple, flat-sided bogie vans used for mail and parcels service. This vehicle represents a typical 100mph capable NOX type. Despite being a Mk1 design it is on a 57 foot underframe.</v>
      </c>
    </row>
    <row r="484" customFormat="false" ht="14.25" hidden="false" customHeight="false" outlineLevel="0" collapsed="false">
      <c r="A484" s="1" t="s">
        <v>1825</v>
      </c>
      <c r="B484" s="15" t="s">
        <v>1826</v>
      </c>
      <c r="C484" s="1" t="n">
        <v>45</v>
      </c>
      <c r="D484" s="1" t="n">
        <v>25</v>
      </c>
      <c r="E484" s="1" t="n">
        <v>1067</v>
      </c>
      <c r="G484" s="1" t="str">
        <f aca="false">IF($F484&lt;&gt;"",_xlfn.CONCAT(VLOOKUP($CE484, Constants!$T:$U, 2, FALSE()),",",$F484),VLOOKUP($CE484, Constants!$T:$U, 2, FALSE()))</f>
        <v>role/passenger</v>
      </c>
      <c r="H484" s="1" t="str">
        <f aca="false">IF($G484&lt;&gt;"",_xlfn.CONCAT(VLOOKUP($CG484, Constants!$M:$P, 4, FALSE()),",",$G484),VLOOKUP($CG484, Constants!$M:$P, 4, FALSE()))</f>
        <v>flag/GB,role/passenger</v>
      </c>
      <c r="I484" s="1" t="s">
        <v>241</v>
      </c>
      <c r="J484" s="1" t="s">
        <v>1580</v>
      </c>
      <c r="K484" s="1" t="s">
        <v>1581</v>
      </c>
      <c r="L484" s="1" t="s">
        <v>192</v>
      </c>
      <c r="M484" s="1" t="n">
        <v>1964</v>
      </c>
      <c r="O484" s="1" t="n">
        <v>2010</v>
      </c>
      <c r="Z484" s="1" t="n">
        <v>33</v>
      </c>
      <c r="AB484" s="1" t="n">
        <v>5</v>
      </c>
      <c r="AD484" s="4" t="str">
        <f aca="false">IF(AND(Z484&gt;0,AC484&gt;0),(AC484/((Z484+AA484)*10)),"")</f>
        <v/>
      </c>
      <c r="AE484" s="1" t="n">
        <v>110</v>
      </c>
      <c r="AF484" s="1" t="n">
        <f aca="false">ROUND(AE484*1.6, 0)</f>
        <v>176</v>
      </c>
      <c r="AH484" s="1" t="n">
        <v>19.66</v>
      </c>
      <c r="AI484" s="1" t="n">
        <v>19.66</v>
      </c>
      <c r="AJ484" s="1" t="n">
        <v>2.83</v>
      </c>
      <c r="AK484" s="1" t="n">
        <v>3.79</v>
      </c>
      <c r="AL484" s="5" t="n">
        <v>69</v>
      </c>
      <c r="AM484" s="1" t="str">
        <f aca="false">CONCATENATE(VLOOKUP(AN484, 'Voxel Sizes'!$A$2:$B$18,2,FALSE()),"x",INT(AJ484*15), "x", INT(AK484*15))</f>
        <v>198x42x56</v>
      </c>
      <c r="AN484" s="1" t="n">
        <f aca="false">ROUND(15*((AI484*10)/256),0)</f>
        <v>12</v>
      </c>
      <c r="AP484" s="1" t="str">
        <f aca="false">CONCATENATE(VLOOKUP(AN484,Constants!$A$2:$C$16,IF(AO484&lt;&gt;"", 3, 2), FALSE()),IF(AO484&lt;&gt;"",CONCATENATE(",",VLOOKUP(AO484,$B:$AP,41,FALSE())),""))</f>
        <v>4,4,4</v>
      </c>
      <c r="AZ484" s="1" t="n">
        <v>30</v>
      </c>
      <c r="BA484" s="16" t="n">
        <f aca="false">IF(O484&lt;&gt;"",MAX(16,(O484-M484)+8),"")</f>
        <v>54</v>
      </c>
      <c r="BB484" s="1" t="n">
        <v>58</v>
      </c>
      <c r="BC484" s="1" t="n">
        <v>27</v>
      </c>
      <c r="BD484" s="1" t="n">
        <f aca="false">MIN(AE484/150, 1)*30</f>
        <v>22</v>
      </c>
      <c r="BE484" s="1" t="n">
        <f aca="false">MIN(Q484/4000, 1)*20</f>
        <v>0</v>
      </c>
      <c r="BF484" s="1" t="n">
        <f aca="false">MIN(AC484/400,1)*20</f>
        <v>0</v>
      </c>
      <c r="BG484" s="4" t="n">
        <f aca="false">1-(MAX(M484-1900, 0)/750)</f>
        <v>0.914666666666667</v>
      </c>
      <c r="BH484" s="1" t="n">
        <f aca="false">((MAX($P484,1)*MIN($AL484/300,1)))*IF(J484="Wagon",50,10)</f>
        <v>11.5</v>
      </c>
      <c r="BI484" s="1" t="n">
        <f aca="false">VLOOKUP($K484,Constants!$I:$K, 2, FALSE())</f>
        <v>1.2</v>
      </c>
      <c r="BJ484" s="1" t="n">
        <f aca="false">VLOOKUP($K484,Constants!$I:$K, 3, FALSE())*IF(AND(J484="multiple_unit",AE484&lt;110),0.75,1)</f>
        <v>0.6</v>
      </c>
      <c r="BK484" s="1" t="n">
        <f aca="false">INT(POWER(((Constants!$G$2+$BD484+$BE484+$BF484+$BH484)*$BG484)*$BJ484, 1.05))+$BC484</f>
        <v>51</v>
      </c>
      <c r="BL484" s="1" t="n">
        <f aca="false">INT(POWER((((Constants!$G$1+$BD484+$BE484+$BF484+$BH484)*($BG484))*$BI484),IF($J484="wagon",1,1.2)))+$BB484</f>
        <v>111</v>
      </c>
      <c r="BM484" s="17" t="n">
        <f aca="false">BK484*IF($J484="wagon",62.5,781.25)</f>
        <v>3187.5</v>
      </c>
      <c r="BN484" s="17" t="n">
        <f aca="false">BL484*IF($J484="wagon",2.73,81.25)</f>
        <v>303.03</v>
      </c>
      <c r="BU484" s="1" t="str">
        <f aca="false">IF(J484="locomotive","B","")</f>
        <v/>
      </c>
      <c r="BV484" s="1" t="str">
        <f aca="false">IF(OR($J484="locomotive",$J484="wagon"),"B","")</f>
        <v>B</v>
      </c>
      <c r="BX484" s="1" t="s">
        <v>1681</v>
      </c>
      <c r="BY484" s="1" t="n">
        <v>1</v>
      </c>
      <c r="BZ484" s="1" t="n">
        <v>185</v>
      </c>
      <c r="CB484" s="1" t="s">
        <v>705</v>
      </c>
      <c r="CC484" s="1" t="s">
        <v>706</v>
      </c>
      <c r="CD484" s="1" t="str">
        <f aca="false">VLOOKUP(M484,Eras!$A$2:$C$10, 2, TRUE())</f>
        <v>dsl</v>
      </c>
      <c r="CE484" s="1" t="s">
        <v>1582</v>
      </c>
      <c r="CF484" s="1" t="str">
        <f aca="false">CONCATENATE(CD484,"_",CE484)</f>
        <v>dsl_Carriage</v>
      </c>
      <c r="CG484" s="1" t="str">
        <f aca="false">_xlfn.CONCAT(K484, "_",L484)</f>
        <v>carriage_RAIL</v>
      </c>
      <c r="CH484" s="7" t="str">
        <f aca="false">_xlfn.CONCAT("{BLACK}Length: {GOLD}", TEXT(ROUNDUP(IF(AS484&lt;&gt;"",SUM(VALUE(_xlfn.TEXTSPLIT(AS484, ","))), SUM(VALUE(_xlfn.TEXTSPLIT(AP484, ",")))*IF(P484, P484, 1))/16, 1), "#,##0.0"), " tiles{}")</f>
        <v>{BLACK}Length: {GOLD}0.8 tiles{}</v>
      </c>
      <c r="CI484" s="1" t="str">
        <f aca="false">IF(0, VLOOKUP($CG484, Constants!$M:$N, 2, FALSE()),"")</f>
        <v/>
      </c>
      <c r="CJ484" s="1" t="str">
        <f aca="false">IF(P484&gt;1,_xlfn.CONCAT("{BLACK}Cars: {GOLD}", P484),"")</f>
        <v/>
      </c>
      <c r="CK484" s="1" t="s">
        <v>1827</v>
      </c>
      <c r="CL484" s="1" t="str">
        <f aca="false">IF($BX484="concept_trains","{GREEN}Concept Vehicle",IF($BX484="!param_no_gameplay_units","{GREEN}Included for gameplay purposes",""))</f>
        <v>{GREEN}Included for gameplay purposes</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{GOLD}0.8 tiles{}{SILVER}BR started rationalising the number of carriage variants with the Mk2 so there was no dedicated parcels van, and most consists used a Mk1 BG attached to Mk2 passenger stock.{}{}{GREEN}Included for gameplay purposes</v>
      </c>
    </row>
    <row r="485" customFormat="false" ht="14.25" hidden="false" customHeight="false" outlineLevel="0" collapsed="false">
      <c r="A485" s="1" t="s">
        <v>1828</v>
      </c>
      <c r="B485" s="15" t="s">
        <v>1829</v>
      </c>
      <c r="C485" s="1" t="n">
        <v>46</v>
      </c>
      <c r="E485" s="1" t="n">
        <v>1068</v>
      </c>
      <c r="G485" s="1" t="str">
        <f aca="false">IF($F485&lt;&gt;"",_xlfn.CONCAT(VLOOKUP($CE485, Constants!$T:$U, 2, FALSE()),",",$F485),VLOOKUP($CE485, Constants!$T:$U, 2, FALSE()))</f>
        <v>role/mail</v>
      </c>
      <c r="H485" s="1" t="str">
        <f aca="false">IF($G485&lt;&gt;"",_xlfn.CONCAT(VLOOKUP($CG485, Constants!$M:$P, 4, FALSE()),",",$G485),VLOOKUP($CG485, Constants!$M:$P, 4, FALSE()))</f>
        <v>flag/GB,role/mail</v>
      </c>
      <c r="I485" s="1" t="s">
        <v>241</v>
      </c>
      <c r="J485" s="1" t="s">
        <v>1580</v>
      </c>
      <c r="K485" s="1" t="s">
        <v>1580</v>
      </c>
      <c r="L485" s="1" t="s">
        <v>192</v>
      </c>
      <c r="M485" s="1" t="n">
        <v>1958</v>
      </c>
      <c r="Z485" s="1" t="n">
        <v>30</v>
      </c>
      <c r="AB485" s="1" t="n">
        <v>6</v>
      </c>
      <c r="AD485" s="4" t="str">
        <f aca="false">IF(AND(Z485&gt;0,AC485&gt;0),(AC485/((Z485+AA485)*10)),"")</f>
        <v/>
      </c>
      <c r="AE485" s="1" t="n">
        <v>100</v>
      </c>
      <c r="AF485" s="1" t="n">
        <f aca="false">ROUND(AE485*1.6, 0)</f>
        <v>160</v>
      </c>
      <c r="AH485" s="1" t="n">
        <v>19.3</v>
      </c>
      <c r="AI485" s="1" t="n">
        <v>20</v>
      </c>
      <c r="AL485" s="5" t="n">
        <v>78</v>
      </c>
      <c r="AM485" s="1" t="str">
        <f aca="false">CONCATENATE(VLOOKUP(AN485, 'Voxel Sizes'!$A$2:$B$18,2,FALSE()),"x",INT(AJ485*15), "x", INT(AK485*15))</f>
        <v>198x0x0</v>
      </c>
      <c r="AN485" s="1" t="n">
        <f aca="false">ROUND(15*((AI485*10)/256),0)</f>
        <v>12</v>
      </c>
      <c r="AP485" s="1" t="str">
        <f aca="false">CONCATENATE(VLOOKUP(AN485,Constants!$A$2:$C$16,IF(AO485&lt;&gt;"", 3, 2), FALSE()),IF(AO485&lt;&gt;"",CONCATENATE(",",VLOOKUP(AO485,$B:$AP,41,FALSE())),""))</f>
        <v>4,4,4</v>
      </c>
      <c r="AZ485" s="1" t="n">
        <v>30</v>
      </c>
      <c r="BA485" s="16" t="str">
        <f aca="false">IF(O485&lt;&gt;"",MAX(16,(O485-M485)+8),"")</f>
        <v/>
      </c>
      <c r="BB485" s="1" t="n">
        <v>48</v>
      </c>
      <c r="BC485" s="1" t="n">
        <v>19</v>
      </c>
      <c r="BD485" s="1" t="n">
        <f aca="false">MIN(AE485/150, 1)*30</f>
        <v>20</v>
      </c>
      <c r="BE485" s="1" t="n">
        <f aca="false">MIN(Q485/4000, 1)*20</f>
        <v>0</v>
      </c>
      <c r="BF485" s="1" t="n">
        <f aca="false">MIN(AC485/400,1)*20</f>
        <v>0</v>
      </c>
      <c r="BG485" s="4" t="n">
        <f aca="false">1-(MAX(M485-1900, 0)/750)</f>
        <v>0.922666666666667</v>
      </c>
      <c r="BH485" s="1" t="n">
        <f aca="false">((MAX($P485,1)*MIN($AL485/300,1)))*IF(J485="Wagon",50,10)</f>
        <v>13</v>
      </c>
      <c r="BI485" s="1" t="n">
        <f aca="false">VLOOKUP($K485,Constants!$I:$K, 2, FALSE())</f>
        <v>1</v>
      </c>
      <c r="BJ485" s="1" t="n">
        <f aca="false">VLOOKUP($K485,Constants!$I:$K, 3, FALSE())*IF(AND(J485="multiple_unit",AE485&lt;110),0.75,1)</f>
        <v>0.45</v>
      </c>
      <c r="BK485" s="1" t="n">
        <f aca="false">INT(POWER(((Constants!$G$2+$BD485+$BE485+$BF485+$BH485)*$BG485)*$BJ485, 1.05))+$BC485</f>
        <v>37</v>
      </c>
      <c r="BL485" s="1" t="n">
        <f aca="false">INT(POWER((((Constants!$G$1+$BD485+$BE485+$BF485+$BH485)*($BG485))*$BI485),IF($J485="wagon",1,1.2)))+$BB485</f>
        <v>92</v>
      </c>
      <c r="BM485" s="17" t="n">
        <f aca="false">BK485*IF($J485="wagon",62.5,781.25)</f>
        <v>2312.5</v>
      </c>
      <c r="BN485" s="17" t="n">
        <f aca="false">BL485*IF($J485="wagon",2.73,81.25)</f>
        <v>251.16</v>
      </c>
      <c r="BU485" s="1" t="str">
        <f aca="false">IF(J485="locomotive","B","")</f>
        <v/>
      </c>
      <c r="BV485" s="1" t="str">
        <f aca="false">IF(OR($J485="locomotive",$J485="wagon"),"B","")</f>
        <v>B</v>
      </c>
      <c r="BY485" s="1" t="n">
        <v>1</v>
      </c>
      <c r="BZ485" s="1" t="n">
        <v>233</v>
      </c>
      <c r="CB485" s="1" t="s">
        <v>705</v>
      </c>
      <c r="CC485" s="1" t="s">
        <v>706</v>
      </c>
      <c r="CD485" s="1" t="str">
        <f aca="false">VLOOKUP(M485,Eras!$A$2:$C$10, 2, TRUE())</f>
        <v>dsl</v>
      </c>
      <c r="CE485" s="1" t="s">
        <v>1709</v>
      </c>
      <c r="CF485" s="1" t="str">
        <f aca="false">CONCATENATE(CD485,"_",CE485)</f>
        <v>dsl_Mail Carriage</v>
      </c>
      <c r="CG485" s="1" t="str">
        <f aca="false">_xlfn.CONCAT(K485, "_",L485)</f>
        <v>wagon_RAIL</v>
      </c>
      <c r="CH485" s="7" t="str">
        <f aca="false">_xlfn.CONCAT("{BLACK}Length: {GOLD}", TEXT(ROUNDUP(IF(AS485&lt;&gt;"",SUM(VALUE(_xlfn.TEXTSPLIT(AS485, ","))), SUM(VALUE(_xlfn.TEXTSPLIT(AP485, ",")))*IF(P485, P485, 1))/16, 1), "#,##0.0"), " tiles{}")</f>
        <v>{BLACK}Length: {GOLD}0.8 tiles{}</v>
      </c>
      <c r="CI485" s="1" t="str">
        <f aca="false">IF(0, VLOOKUP($CG485, Constants!$M:$N, 2, FALSE()),"")</f>
        <v/>
      </c>
      <c r="CJ485" s="1" t="str">
        <f aca="false">IF(P485&gt;1,_xlfn.CONCAT("{BLACK}Cars: {GOLD}", P485),"")</f>
        <v/>
      </c>
      <c r="CK485" s="1" t="s">
        <v>1830</v>
      </c>
      <c r="CL485" s="1" t="str">
        <f aca="false">IF($BX485="concept_trains","{GREEN}Concept Vehicle",IF($BX485="!param_no_gameplay_units","{GREEN}Included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{YELLOW}25% bonus for long distance travel{}</v>
      </c>
      <c r="CN485" s="1" t="str">
        <f aca="false">_xlfn.CONCAT(CI485,IF(CI485&lt;&gt;""," ",""),CJ485,IF(OR(CJ485&lt;&gt;"",CI485&lt;&gt;""),"{}",""),CH485,CM485,"{SILVER}",CK485,IF(CL485&lt;&gt;"","{}{}",""),CL485)</f>
        <v>{BLACK}Length: {GOLD}0.8 tiles{}{YELLOW}25% bonus for long distance travel{}{SILVER}Based on the Mark 1 carriage, the TPO (Travelling Post Office) allowed mail to be sorted as it was transported.</v>
      </c>
    </row>
    <row r="486" customFormat="false" ht="14.25" hidden="false" customHeight="false" outlineLevel="0" collapsed="false">
      <c r="A486" s="1" t="s">
        <v>1831</v>
      </c>
      <c r="B486" s="15" t="s">
        <v>1832</v>
      </c>
      <c r="C486" s="1" t="n">
        <v>47</v>
      </c>
      <c r="E486" s="1" t="n">
        <v>1500</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241</v>
      </c>
      <c r="J486" s="1" t="s">
        <v>1580</v>
      </c>
      <c r="K486" s="1" t="s">
        <v>1580</v>
      </c>
      <c r="L486" s="1" t="s">
        <v>243</v>
      </c>
      <c r="M486" s="1" t="n">
        <v>1700</v>
      </c>
      <c r="O486" s="1" t="n">
        <v>1875</v>
      </c>
      <c r="Z486" s="1" t="n">
        <v>2</v>
      </c>
      <c r="AB486" s="1" t="n">
        <v>3</v>
      </c>
      <c r="AD486" s="4" t="str">
        <f aca="false">IF(AND(Z486&gt;0,AC486&gt;0),(AC486/((Z486+AA486)*10)),"")</f>
        <v/>
      </c>
      <c r="AE486" s="1" t="n">
        <v>30</v>
      </c>
      <c r="AF486" s="1" t="n">
        <f aca="false">ROUND(AE486*1.6, 0)</f>
        <v>48</v>
      </c>
      <c r="AH486" s="1" t="n">
        <v>4.9</v>
      </c>
      <c r="AI486" s="1" t="n">
        <v>6</v>
      </c>
      <c r="AL486" s="5" t="n">
        <v>12</v>
      </c>
      <c r="AM486" s="1" t="str">
        <f aca="false">CONCATENATE(VLOOKUP(AN486, 'Voxel Sizes'!$A$2:$B$18,2,FALSE()),"x",INT(AJ486*15), "x", INT(AK486*15))</f>
        <v>60x0x0</v>
      </c>
      <c r="AN486" s="1" t="n">
        <f aca="false">ROUND(15*((AI486*10)/256),0)</f>
        <v>4</v>
      </c>
      <c r="AP486" s="1" t="str">
        <f aca="false">CONCATENATE(VLOOKUP(AN486,Constants!$A$2:$C$16,IF(AO486&lt;&gt;"", 3, 2), FALSE()),IF(AO486&lt;&gt;"",CONCATENATE(",",VLOOKUP(AO486,$B:$AP,41,FALSE())),""))</f>
        <v>1,2,1</v>
      </c>
      <c r="AZ486" s="1" t="n">
        <v>30</v>
      </c>
      <c r="BA486" s="16" t="n">
        <f aca="false">IF(O486&lt;&gt;"",MAX(16,(O486-M486)+8),"")</f>
        <v>183</v>
      </c>
      <c r="BB486" s="1" t="n">
        <v>-15</v>
      </c>
      <c r="BC486" s="1" t="n">
        <v>-2</v>
      </c>
      <c r="BD486" s="1" t="n">
        <f aca="false">MIN(AE486/150, 1)*30</f>
        <v>6</v>
      </c>
      <c r="BE486" s="1" t="n">
        <f aca="false">MIN(Q486/4000, 1)*20</f>
        <v>0</v>
      </c>
      <c r="BF486" s="1" t="n">
        <f aca="false">MIN(AC486/400,1)*20</f>
        <v>0</v>
      </c>
      <c r="BG486" s="4" t="n">
        <f aca="false">1-(MAX(M486-1900, 0)/750)</f>
        <v>1</v>
      </c>
      <c r="BH486" s="1" t="n">
        <f aca="false">((MAX($P486,1)*MIN($AL486/300,1)))*IF(J486="Wagon",50,10)</f>
        <v>2</v>
      </c>
      <c r="BI486" s="1" t="n">
        <f aca="false">VLOOKUP($K486,Constants!$I:$K, 2, FALSE())</f>
        <v>1</v>
      </c>
      <c r="BJ486" s="1" t="n">
        <f aca="false">VLOOKUP($K486,Constants!$I:$K, 3, FALSE())*IF(AND(J486="multiple_unit",AE486&lt;110),0.75,1)</f>
        <v>0.45</v>
      </c>
      <c r="BK486" s="1" t="n">
        <f aca="false">INT(POWER(((Constants!$G$2+$BD486+$BE486+$BF486+$BH486)*$BG486)*$BJ486, 1.05))+$BC486</f>
        <v>4</v>
      </c>
      <c r="BL486" s="1" t="n">
        <f aca="false">INT(POWER((((Constants!$G$1+$BD486+$BE486+$BF486+$BH486)*($BG486))*$BI486),IF($J486="wagon",1,1.2)))+$BB486</f>
        <v>8</v>
      </c>
      <c r="BM486" s="17" t="n">
        <f aca="false">BK486*IF($J486="wagon",62.5,781.25)</f>
        <v>250</v>
      </c>
      <c r="BN486" s="17" t="n">
        <f aca="false">BL486*IF($J486="wagon",2.73,81.25)</f>
        <v>21.84</v>
      </c>
      <c r="BU486" s="1" t="str">
        <f aca="false">IF(J486="locomotive","B","")</f>
        <v/>
      </c>
      <c r="BV486" s="1" t="str">
        <f aca="false">IF(OR($J486="locomotive",$J486="wagon"),"B","")</f>
        <v>B</v>
      </c>
      <c r="BY486" s="1" t="n">
        <v>1</v>
      </c>
      <c r="BZ486" s="1" t="n">
        <v>185</v>
      </c>
      <c r="CB486" s="1" t="s">
        <v>1833</v>
      </c>
      <c r="CC486" s="1" t="s">
        <v>1834</v>
      </c>
      <c r="CD486" s="1" t="str">
        <f aca="false">VLOOKUP(M486,Eras!$A$2:$C$10, 2, TRUE())</f>
        <v>early</v>
      </c>
      <c r="CE486" s="1" t="s">
        <v>1835</v>
      </c>
      <c r="CF486" s="1" t="str">
        <f aca="false">CONCATENATE(CD486,"_",CE486)</f>
        <v>early_Open Wagon</v>
      </c>
      <c r="CG486" s="1" t="str">
        <f aca="false">_xlfn.CONCAT(K486, "_",L486)</f>
        <v>wagon_PLATEWAY</v>
      </c>
      <c r="CH486" s="7" t="str">
        <f aca="false">_xlfn.CONCAT("{BLACK}Length: {GOLD}", TEXT(ROUNDUP(IF(AS486&lt;&gt;"",SUM(VALUE(_xlfn.TEXTSPLIT(AS486, ","))), SUM(VALUE(_xlfn.TEXTSPLIT(AP486, ",")))*IF(P486, P486, 1))/16, 1), "#,##0.0"), " tiles{}")</f>
        <v>{BLACK}Length: {GOLD}0.3 tiles{}</v>
      </c>
      <c r="CI486" s="1" t="str">
        <f aca="false">IF(0, VLOOKUP($CG486, Constants!$M:$N, 2, FALSE()),"")</f>
        <v/>
      </c>
      <c r="CJ486" s="1" t="str">
        <f aca="false">IF(P486&gt;1,_xlfn.CONCAT("{BLACK}Cars: {GOLD}", P486),"")</f>
        <v/>
      </c>
      <c r="CK486" s="1" t="s">
        <v>1836</v>
      </c>
      <c r="CL486" s="1" t="str">
        <f aca="false">IF($BX486="concept_trains","{GREEN}Concept Vehicle",IF($BX486="!param_no_gameplay_units","{GREEN}Included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{GOLD}0.3 tiles{}{SILVER}Early open wagons had simple four-wheeled structures and were typically pulled by horses on quarry lines.</v>
      </c>
    </row>
    <row r="487" customFormat="false" ht="14.25" hidden="false" customHeight="false" outlineLevel="0" collapsed="false">
      <c r="A487" s="1" t="s">
        <v>1837</v>
      </c>
      <c r="B487" s="15" t="s">
        <v>1838</v>
      </c>
      <c r="C487" s="1" t="n">
        <v>48</v>
      </c>
      <c r="E487" s="1" t="n">
        <v>1501</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241</v>
      </c>
      <c r="J487" s="1" t="s">
        <v>1580</v>
      </c>
      <c r="K487" s="1" t="s">
        <v>1580</v>
      </c>
      <c r="L487" s="1" t="s">
        <v>192</v>
      </c>
      <c r="M487" s="1" t="n">
        <v>1850</v>
      </c>
      <c r="O487" s="1" t="n">
        <v>1920</v>
      </c>
      <c r="Z487" s="1" t="n">
        <v>5</v>
      </c>
      <c r="AB487" s="1" t="n">
        <v>3</v>
      </c>
      <c r="AD487" s="4" t="str">
        <f aca="false">IF(AND(Z487&gt;0,AC487&gt;0),(AC487/((Z487+AA487)*10)),"")</f>
        <v/>
      </c>
      <c r="AE487" s="1" t="n">
        <v>35</v>
      </c>
      <c r="AF487" s="1" t="n">
        <f aca="false">ROUND(AE487*1.6, 0)</f>
        <v>56</v>
      </c>
      <c r="AH487" s="1" t="n">
        <v>4.9</v>
      </c>
      <c r="AI487" s="1" t="n">
        <v>6</v>
      </c>
      <c r="AL487" s="5" t="n">
        <v>15</v>
      </c>
      <c r="AM487" s="1" t="str">
        <f aca="false">CONCATENATE(VLOOKUP(AN487, 'Voxel Sizes'!$A$2:$B$18,2,FALSE()),"x",INT(AJ487*15), "x", INT(AK487*15))</f>
        <v>60x0x0</v>
      </c>
      <c r="AN487" s="1" t="n">
        <f aca="false">ROUND(15*((AI487*10)/256),0)</f>
        <v>4</v>
      </c>
      <c r="AP487" s="1" t="str">
        <f aca="false">CONCATENATE(VLOOKUP(AN487,Constants!$A$2:$C$16,IF(AO487&lt;&gt;"", 3, 2), FALSE()),IF(AO487&lt;&gt;"",CONCATENATE(",",VLOOKUP(AO487,$B:$AP,41,FALSE())),""))</f>
        <v>1,2,1</v>
      </c>
      <c r="AZ487" s="1" t="n">
        <v>30</v>
      </c>
      <c r="BA487" s="16" t="n">
        <f aca="false">IF(O487&lt;&gt;"",MAX(16,(O487-M487)+8),"")</f>
        <v>78</v>
      </c>
      <c r="BD487" s="1" t="n">
        <f aca="false">MIN(AE487/150, 1)*30</f>
        <v>7</v>
      </c>
      <c r="BE487" s="1" t="n">
        <f aca="false">MIN(Q487/4000, 1)*20</f>
        <v>0</v>
      </c>
      <c r="BF487" s="1" t="n">
        <f aca="false">MIN(AC487/400,1)*20</f>
        <v>0</v>
      </c>
      <c r="BG487" s="4" t="n">
        <f aca="false">1-(MAX(M487-1900, 0)/750)</f>
        <v>1</v>
      </c>
      <c r="BH487" s="1" t="n">
        <f aca="false">((MAX($P487,1)*MIN($AL487/300,1)))*IF(J487="Wagon",50,10)</f>
        <v>2.5</v>
      </c>
      <c r="BI487" s="1" t="n">
        <f aca="false">VLOOKUP($K487,Constants!$I:$K, 2, FALSE())</f>
        <v>1</v>
      </c>
      <c r="BJ487" s="1" t="n">
        <f aca="false">VLOOKUP($K487,Constants!$I:$K, 3, FALSE())*IF(AND(J487="multiple_unit",AE487&lt;110),0.75,1)</f>
        <v>0.45</v>
      </c>
      <c r="BK487" s="1" t="n">
        <f aca="false">INT(POWER(((Constants!$G$2+$BD487+$BE487+$BF487+$BH487)*$BG487)*$BJ487, 1.05))+$BC487</f>
        <v>7</v>
      </c>
      <c r="BL487" s="1" t="n">
        <f aca="false">INT(POWER((((Constants!$G$1+$BD487+$BE487+$BF487+$BH487)*($BG487))*$BI487),IF($J487="wagon",1,1.2)))+$BB487</f>
        <v>24</v>
      </c>
      <c r="BM487" s="17" t="n">
        <f aca="false">BK487*IF($J487="wagon",62.5,781.25)</f>
        <v>437.5</v>
      </c>
      <c r="BN487" s="17" t="n">
        <f aca="false">BL487*IF($J487="wagon",2.73,81.25)</f>
        <v>65.52</v>
      </c>
      <c r="BU487" s="1" t="str">
        <f aca="false">IF(J487="locomotive","B","")</f>
        <v/>
      </c>
      <c r="BV487" s="1" t="str">
        <f aca="false">IF(OR($J487="locomotive",$J487="wagon"),"B","")</f>
        <v>B</v>
      </c>
      <c r="BY487" s="1" t="n">
        <v>1</v>
      </c>
      <c r="BZ487" s="1" t="n">
        <v>185</v>
      </c>
      <c r="CB487" s="1" t="s">
        <v>1833</v>
      </c>
      <c r="CC487" s="1" t="s">
        <v>1834</v>
      </c>
      <c r="CD487" s="1" t="str">
        <f aca="false">VLOOKUP(M487,Eras!$A$2:$C$10, 2, TRUE())</f>
        <v>vct</v>
      </c>
      <c r="CE487" s="1" t="s">
        <v>1835</v>
      </c>
      <c r="CF487" s="1" t="str">
        <f aca="false">CONCATENATE(CD487,"_",CE487)</f>
        <v>vct_Open Wagon</v>
      </c>
      <c r="CG487" s="1" t="str">
        <f aca="false">_xlfn.CONCAT(K487, "_",L487)</f>
        <v>wagon_RAIL</v>
      </c>
      <c r="CH487" s="7" t="str">
        <f aca="false">_xlfn.CONCAT("{BLACK}Length: {GOLD}", TEXT(ROUNDUP(IF(AS487&lt;&gt;"",SUM(VALUE(_xlfn.TEXTSPLIT(AS487, ","))), SUM(VALUE(_xlfn.TEXTSPLIT(AP487, ",")))*IF(P487, P487, 1))/16, 1), "#,##0.0"), " tiles{}")</f>
        <v>{BLACK}Length: {GOLD}0.3 tiles{}</v>
      </c>
      <c r="CI487" s="1" t="str">
        <f aca="false">IF(0, VLOOKUP($CG487, Constants!$M:$N, 2, FALSE()),"")</f>
        <v/>
      </c>
      <c r="CJ487" s="1" t="str">
        <f aca="false">IF(P487&gt;1,_xlfn.CONCAT("{BLACK}Cars: {GOLD}", P487),"")</f>
        <v/>
      </c>
      <c r="CK487" s="1" t="s">
        <v>1839</v>
      </c>
      <c r="CL487" s="1" t="str">
        <f aca="false">IF($BX487="concept_trains","{GREEN}Concept Vehicle",IF($BX487="!param_no_gameplay_units","{GREEN}Included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{GOLD}0.3 tiles{}{SILVER}Open "plank" wagons are named for the number of planks used in the construction of their sides.</v>
      </c>
    </row>
    <row r="488" customFormat="false" ht="14.25" hidden="false" customHeight="false" outlineLevel="0" collapsed="false">
      <c r="A488" s="1" t="s">
        <v>1840</v>
      </c>
      <c r="B488" s="15" t="s">
        <v>1841</v>
      </c>
      <c r="C488" s="1" t="n">
        <v>49</v>
      </c>
      <c r="E488" s="1" t="n">
        <v>1502</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241</v>
      </c>
      <c r="J488" s="1" t="s">
        <v>1580</v>
      </c>
      <c r="K488" s="1" t="s">
        <v>1580</v>
      </c>
      <c r="L488" s="1" t="s">
        <v>192</v>
      </c>
      <c r="M488" s="1" t="n">
        <v>1902</v>
      </c>
      <c r="O488" s="1" t="n">
        <v>1965</v>
      </c>
      <c r="Z488" s="1" t="n">
        <v>8</v>
      </c>
      <c r="AB488" s="1" t="n">
        <v>3</v>
      </c>
      <c r="AD488" s="4" t="str">
        <f aca="false">IF(AND(Z488&gt;0,AC488&gt;0),(AC488/((Z488+AA488)*10)),"")</f>
        <v/>
      </c>
      <c r="AE488" s="1" t="n">
        <v>45</v>
      </c>
      <c r="AF488" s="1" t="n">
        <f aca="false">ROUND(AE488*1.6, 0)</f>
        <v>72</v>
      </c>
      <c r="AH488" s="1" t="n">
        <v>4.9</v>
      </c>
      <c r="AI488" s="1" t="n">
        <v>6</v>
      </c>
      <c r="AL488" s="5" t="n">
        <v>21</v>
      </c>
      <c r="AM488" s="1" t="str">
        <f aca="false">CONCATENATE(VLOOKUP(AN488, 'Voxel Sizes'!$A$2:$B$18,2,FALSE()),"x",INT(AJ488*15), "x", INT(AK488*15))</f>
        <v>60x0x0</v>
      </c>
      <c r="AN488" s="1" t="n">
        <f aca="false">ROUND(15*((AI488*10)/256),0)</f>
        <v>4</v>
      </c>
      <c r="AP488" s="1" t="str">
        <f aca="false">CONCATENATE(VLOOKUP(AN488,Constants!$A$2:$C$16,IF(AO488&lt;&gt;"", 3, 2), FALSE()),IF(AO488&lt;&gt;"",CONCATENATE(",",VLOOKUP(AO488,$B:$AP,41,FALSE())),""))</f>
        <v>1,2,1</v>
      </c>
      <c r="AZ488" s="1" t="n">
        <v>30</v>
      </c>
      <c r="BA488" s="16" t="n">
        <f aca="false">IF(O488&lt;&gt;"",MAX(16,(O488-M488)+8),"")</f>
        <v>71</v>
      </c>
      <c r="BD488" s="1" t="n">
        <f aca="false">MIN(AE488/150, 1)*30</f>
        <v>9</v>
      </c>
      <c r="BE488" s="1" t="n">
        <f aca="false">MIN(Q488/4000, 1)*20</f>
        <v>0</v>
      </c>
      <c r="BF488" s="1" t="n">
        <f aca="false">MIN(AC488/400,1)*20</f>
        <v>0</v>
      </c>
      <c r="BG488" s="4" t="n">
        <f aca="false">1-(MAX(M488-1900, 0)/750)</f>
        <v>0.997333333333333</v>
      </c>
      <c r="BH488" s="1" t="n">
        <f aca="false">((MAX($P488,1)*MIN($AL488/300,1)))*IF(J488="Wagon",50,10)</f>
        <v>3.5</v>
      </c>
      <c r="BI488" s="1" t="n">
        <f aca="false">VLOOKUP($K488,Constants!$I:$K, 2, FALSE())</f>
        <v>1</v>
      </c>
      <c r="BJ488" s="1" t="n">
        <f aca="false">VLOOKUP($K488,Constants!$I:$K, 3, FALSE())*IF(AND(J488="multiple_unit",AE488&lt;110),0.75,1)</f>
        <v>0.45</v>
      </c>
      <c r="BK488" s="1" t="n">
        <f aca="false">INT(POWER(((Constants!$G$2+$BD488+$BE488+$BF488+$BH488)*$BG488)*$BJ488, 1.05))+$BC488</f>
        <v>8</v>
      </c>
      <c r="BL488" s="1" t="n">
        <f aca="false">INT(POWER((((Constants!$G$1+$BD488+$BE488+$BF488+$BH488)*($BG488))*$BI488),IF($J488="wagon",1,1.2)))+$BB488</f>
        <v>27</v>
      </c>
      <c r="BM488" s="17" t="n">
        <f aca="false">BK488*IF($J488="wagon",62.5,781.25)</f>
        <v>500</v>
      </c>
      <c r="BN488" s="17" t="n">
        <f aca="false">BL488*IF($J488="wagon",2.73,81.25)</f>
        <v>73.71</v>
      </c>
      <c r="BU488" s="1" t="str">
        <f aca="false">IF(J488="locomotive","B","")</f>
        <v/>
      </c>
      <c r="BV488" s="1" t="str">
        <f aca="false">IF(OR($J488="locomotive",$J488="wagon"),"B","")</f>
        <v>B</v>
      </c>
      <c r="BY488" s="1" t="n">
        <v>1</v>
      </c>
      <c r="BZ488" s="1" t="n">
        <v>185</v>
      </c>
      <c r="CB488" s="1" t="s">
        <v>1842</v>
      </c>
      <c r="CC488" s="1" t="s">
        <v>1834</v>
      </c>
      <c r="CD488" s="1" t="str">
        <f aca="false">VLOOKUP(M488,Eras!$A$2:$C$10, 2, TRUE())</f>
        <v>edw</v>
      </c>
      <c r="CE488" s="1" t="s">
        <v>1835</v>
      </c>
      <c r="CF488" s="1" t="str">
        <f aca="false">CONCATENATE(CD488,"_",CE488)</f>
        <v>edw_Open Wagon</v>
      </c>
      <c r="CG488" s="1" t="str">
        <f aca="false">_xlfn.CONCAT(K488, "_",L488)</f>
        <v>wagon_RAIL</v>
      </c>
      <c r="CH488" s="7" t="str">
        <f aca="false">_xlfn.CONCAT("{BLACK}Length: {GOLD}", TEXT(ROUNDUP(IF(AS488&lt;&gt;"",SUM(VALUE(_xlfn.TEXTSPLIT(AS488, ","))), SUM(VALUE(_xlfn.TEXTSPLIT(AP488, ",")))*IF(P488, P488, 1))/16, 1), "#,##0.0"), " tiles{}")</f>
        <v>{BLACK}Length: {GOLD}0.3 tiles{}</v>
      </c>
      <c r="CI488" s="1" t="str">
        <f aca="false">IF(0, VLOOKUP($CG488, Constants!$M:$N, 2, FALSE()),"")</f>
        <v/>
      </c>
      <c r="CJ488" s="1" t="str">
        <f aca="false">IF(P488&gt;1,_xlfn.CONCAT("{BLACK}Cars: {GOLD}", P488),"")</f>
        <v/>
      </c>
      <c r="CK488" s="1" t="s">
        <v>1843</v>
      </c>
      <c r="CL488" s="1" t="str">
        <f aca="false">IF($BX488="concept_trains","{GREEN}Concept Vehicle",IF($BX488="!param_no_gameplay_units","{GREEN}Included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{GOLD}0.3 tiles{}{SILVER}The 5 plank wagon became one of the common standard types used by the GWR, with thousands built.</v>
      </c>
    </row>
    <row r="489" customFormat="false" ht="14.25" hidden="false" customHeight="false" outlineLevel="0" collapsed="false">
      <c r="A489" s="1" t="s">
        <v>1844</v>
      </c>
      <c r="B489" s="15" t="s">
        <v>1845</v>
      </c>
      <c r="C489" s="1" t="n">
        <v>50</v>
      </c>
      <c r="E489" s="1" t="n">
        <v>1503</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241</v>
      </c>
      <c r="J489" s="1" t="s">
        <v>1580</v>
      </c>
      <c r="K489" s="1" t="s">
        <v>1580</v>
      </c>
      <c r="L489" s="1" t="s">
        <v>192</v>
      </c>
      <c r="M489" s="1" t="n">
        <v>1935</v>
      </c>
      <c r="O489" s="1" t="n">
        <v>1970</v>
      </c>
      <c r="Z489" s="1" t="n">
        <v>10</v>
      </c>
      <c r="AB489" s="1" t="n">
        <v>4</v>
      </c>
      <c r="AD489" s="4" t="str">
        <f aca="false">IF(AND(Z489&gt;0,AC489&gt;0),(AC489/((Z489+AA489)*10)),"")</f>
        <v/>
      </c>
      <c r="AE489" s="1" t="n">
        <v>50</v>
      </c>
      <c r="AF489" s="1" t="n">
        <f aca="false">ROUND(AE489*1.6, 0)</f>
        <v>80</v>
      </c>
      <c r="AH489" s="1" t="n">
        <v>8</v>
      </c>
      <c r="AI489" s="1" t="n">
        <v>8</v>
      </c>
      <c r="AL489" s="5" t="n">
        <v>27</v>
      </c>
      <c r="AM489" s="1" t="str">
        <f aca="false">CONCATENATE(VLOOKUP(AN489, 'Voxel Sizes'!$A$2:$B$18,2,FALSE()),"x",INT(AJ489*15), "x", INT(AK489*15))</f>
        <v>82x0x0</v>
      </c>
      <c r="AN489" s="1" t="n">
        <f aca="false">ROUND(15*((AI489*10)/256),0)</f>
        <v>5</v>
      </c>
      <c r="AP489" s="1" t="str">
        <f aca="false">CONCATENATE(VLOOKUP(AN489,Constants!$A$2:$C$16,IF(AO489&lt;&gt;"", 3, 2), FALSE()),IF(AO489&lt;&gt;"",CONCATENATE(",",VLOOKUP(AO489,$B:$AP,41,FALSE())),""))</f>
        <v>2,1,2</v>
      </c>
      <c r="AZ489" s="1" t="n">
        <v>30</v>
      </c>
      <c r="BA489" s="16" t="n">
        <f aca="false">IF(O489&lt;&gt;"",MAX(16,(O489-M489)+8),"")</f>
        <v>43</v>
      </c>
      <c r="BD489" s="1" t="n">
        <f aca="false">MIN(AE489/150, 1)*30</f>
        <v>10</v>
      </c>
      <c r="BE489" s="1" t="n">
        <f aca="false">MIN(Q489/4000, 1)*20</f>
        <v>0</v>
      </c>
      <c r="BF489" s="1" t="n">
        <f aca="false">MIN(AC489/400,1)*20</f>
        <v>0</v>
      </c>
      <c r="BG489" s="4" t="n">
        <f aca="false">1-(MAX(M489-1900, 0)/750)</f>
        <v>0.953333333333333</v>
      </c>
      <c r="BH489" s="1" t="n">
        <f aca="false">((MAX($P489,1)*MIN($AL489/300,1)))*IF(J489="Wagon",50,10)</f>
        <v>4.5</v>
      </c>
      <c r="BI489" s="1" t="n">
        <f aca="false">VLOOKUP($K489,Constants!$I:$K, 2, FALSE())</f>
        <v>1</v>
      </c>
      <c r="BJ489" s="1" t="n">
        <f aca="false">VLOOKUP($K489,Constants!$I:$K, 3, FALSE())*IF(AND(J489="multiple_unit",AE489&lt;110),0.75,1)</f>
        <v>0.45</v>
      </c>
      <c r="BK489" s="1" t="n">
        <f aca="false">INT(POWER(((Constants!$G$2+$BD489+$BE489+$BF489+$BH489)*$BG489)*$BJ489, 1.05))+$BC489</f>
        <v>9</v>
      </c>
      <c r="BL489" s="1" t="n">
        <f aca="false">INT(POWER((((Constants!$G$1+$BD489+$BE489+$BF489+$BH489)*($BG489))*$BI489),IF($J489="wagon",1,1.2)))+$BB489</f>
        <v>28</v>
      </c>
      <c r="BM489" s="17" t="n">
        <f aca="false">BK489*IF($J489="wagon",62.5,781.25)</f>
        <v>562.5</v>
      </c>
      <c r="BN489" s="17" t="n">
        <f aca="false">BL489*IF($J489="wagon",2.73,81.25)</f>
        <v>76.44</v>
      </c>
      <c r="BU489" s="1" t="str">
        <f aca="false">IF(J489="locomotive","B","")</f>
        <v/>
      </c>
      <c r="BV489" s="1" t="str">
        <f aca="false">IF(OR($J489="locomotive",$J489="wagon"),"B","")</f>
        <v>B</v>
      </c>
      <c r="BY489" s="1" t="n">
        <v>1</v>
      </c>
      <c r="BZ489" s="1" t="n">
        <v>185</v>
      </c>
      <c r="CB489" s="1" t="s">
        <v>1842</v>
      </c>
      <c r="CC489" s="1" t="s">
        <v>1834</v>
      </c>
      <c r="CD489" s="1" t="str">
        <f aca="false">VLOOKUP(M489,Eras!$A$2:$C$10, 2, TRUE())</f>
        <v>big4</v>
      </c>
      <c r="CE489" s="1" t="s">
        <v>1835</v>
      </c>
      <c r="CF489" s="1" t="str">
        <f aca="false">CONCATENATE(CD489,"_",CE489)</f>
        <v>big4_Open Wagon</v>
      </c>
      <c r="CG489" s="1" t="str">
        <f aca="false">_xlfn.CONCAT(K489, "_",L489)</f>
        <v>wagon_RAIL</v>
      </c>
      <c r="CH489" s="7" t="str">
        <f aca="false">_xlfn.CONCAT("{BLACK}Length: {GOLD}", TEXT(ROUNDUP(IF(AS489&lt;&gt;"",SUM(VALUE(_xlfn.TEXTSPLIT(AS489, ","))), SUM(VALUE(_xlfn.TEXTSPLIT(AP489, ",")))*IF(P489, P489, 1))/16, 1), "#,##0.0"), " tiles{}")</f>
        <v>{BLACK}Length: {GOLD}0.4 tiles{}</v>
      </c>
      <c r="CI489" s="1" t="str">
        <f aca="false">IF(0, VLOOKUP($CG489, Constants!$M:$N, 2, FALSE()),"")</f>
        <v/>
      </c>
      <c r="CJ489" s="1" t="str">
        <f aca="false">IF(P489&gt;1,_xlfn.CONCAT("{BLACK}Cars: {GOLD}", P489),"")</f>
        <v/>
      </c>
      <c r="CK489" s="1" t="s">
        <v>1846</v>
      </c>
      <c r="CL489" s="1" t="str">
        <f aca="false">IF($BX489="concept_trains","{GREEN}Concept Vehicle",IF($BX489="!param_no_gameplay_units","{GREEN}Included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tiles{}{SILVER}Steel wagons were introduced in the 1930s to have a longer service life than wooden wagons, which were proving uneconomical for many owners to operate after recessions at the start of the decade.</v>
      </c>
      <c r="CO489" s="1" t="n">
        <v>1</v>
      </c>
    </row>
    <row r="490" customFormat="false" ht="14.25" hidden="false" customHeight="false" outlineLevel="0" collapsed="false">
      <c r="A490" s="1" t="s">
        <v>1847</v>
      </c>
      <c r="B490" s="15" t="s">
        <v>1848</v>
      </c>
      <c r="C490" s="1" t="n">
        <v>51</v>
      </c>
      <c r="E490" s="1" t="n">
        <v>1504</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241</v>
      </c>
      <c r="J490" s="1" t="s">
        <v>1580</v>
      </c>
      <c r="K490" s="1" t="s">
        <v>1580</v>
      </c>
      <c r="L490" s="1" t="s">
        <v>192</v>
      </c>
      <c r="M490" s="1" t="n">
        <v>1938</v>
      </c>
      <c r="O490" s="1" t="n">
        <v>1980</v>
      </c>
      <c r="Z490" s="1" t="n">
        <v>11</v>
      </c>
      <c r="AB490" s="1" t="n">
        <v>7</v>
      </c>
      <c r="AD490" s="4" t="str">
        <f aca="false">IF(AND(Z490&gt;0,AC490&gt;0),(AC490/((Z490+AA490)*10)),"")</f>
        <v/>
      </c>
      <c r="AE490" s="1" t="n">
        <v>50</v>
      </c>
      <c r="AF490" s="1" t="n">
        <f aca="false">ROUND(AE490*1.6, 0)</f>
        <v>80</v>
      </c>
      <c r="AH490" s="1" t="n">
        <v>8</v>
      </c>
      <c r="AI490" s="1" t="n">
        <v>8</v>
      </c>
      <c r="AL490" s="5" t="n">
        <v>21</v>
      </c>
      <c r="AM490" s="1" t="str">
        <f aca="false">CONCATENATE(VLOOKUP(AN490, 'Voxel Sizes'!$A$2:$B$18,2,FALSE()),"x",INT(AJ490*15), "x", INT(AK490*15))</f>
        <v>82x0x0</v>
      </c>
      <c r="AN490" s="1" t="n">
        <f aca="false">ROUND(15*((AI490*10)/256),0)</f>
        <v>5</v>
      </c>
      <c r="AP490" s="1" t="str">
        <f aca="false">CONCATENATE(VLOOKUP(AN490,Constants!$A$2:$C$16,IF(AO490&lt;&gt;"", 3, 2), FALSE()),IF(AO490&lt;&gt;"",CONCATENATE(",",VLOOKUP(AO490,$B:$AP,41,FALSE())),""))</f>
        <v>2,1,2</v>
      </c>
      <c r="AZ490" s="1" t="n">
        <v>30</v>
      </c>
      <c r="BA490" s="16" t="n">
        <f aca="false">IF(O490&lt;&gt;"",MAX(16,(O490-M490)+8),"")</f>
        <v>50</v>
      </c>
      <c r="BD490" s="1" t="n">
        <f aca="false">MIN(AE490/150, 1)*30</f>
        <v>10</v>
      </c>
      <c r="BE490" s="1" t="n">
        <f aca="false">MIN(Q490/4000, 1)*20</f>
        <v>0</v>
      </c>
      <c r="BF490" s="1" t="n">
        <f aca="false">MIN(AC490/400,1)*20</f>
        <v>0</v>
      </c>
      <c r="BG490" s="4" t="n">
        <f aca="false">1-(MAX(M490-1900, 0)/750)</f>
        <v>0.949333333333333</v>
      </c>
      <c r="BH490" s="1" t="n">
        <f aca="false">((MAX($P490,1)*MIN($AL490/300,1)))*IF(J490="Wagon",50,10)</f>
        <v>3.5</v>
      </c>
      <c r="BI490" s="1" t="n">
        <f aca="false">VLOOKUP($K490,Constants!$I:$K, 2, FALSE())</f>
        <v>1</v>
      </c>
      <c r="BJ490" s="1" t="n">
        <f aca="false">VLOOKUP($K490,Constants!$I:$K, 3, FALSE())*IF(AND(J490="multiple_unit",AE490&lt;110),0.75,1)</f>
        <v>0.45</v>
      </c>
      <c r="BK490" s="1" t="n">
        <f aca="false">INT(POWER(((Constants!$G$2+$BD490+$BE490+$BF490+$BH490)*$BG490)*$BJ490, 1.05))+$BC490</f>
        <v>8</v>
      </c>
      <c r="BL490" s="1" t="n">
        <f aca="false">INT(POWER((((Constants!$G$1+$BD490+$BE490+$BF490+$BH490)*($BG490))*$BI490),IF($J490="wagon",1,1.2)))+$BB490</f>
        <v>27</v>
      </c>
      <c r="BM490" s="17" t="n">
        <f aca="false">BK490*IF($J490="wagon",62.5,781.25)</f>
        <v>500</v>
      </c>
      <c r="BN490" s="17" t="n">
        <f aca="false">BL490*IF($J490="wagon",2.73,81.25)</f>
        <v>73.71</v>
      </c>
      <c r="BU490" s="1" t="str">
        <f aca="false">IF(J490="locomotive","B","")</f>
        <v/>
      </c>
      <c r="BV490" s="1" t="str">
        <f aca="false">IF(OR($J490="locomotive",$J490="wagon"),"B","")</f>
        <v>B</v>
      </c>
      <c r="BY490" s="1" t="n">
        <v>1</v>
      </c>
      <c r="BZ490" s="1" t="n">
        <v>185</v>
      </c>
      <c r="CB490" s="1" t="s">
        <v>1842</v>
      </c>
      <c r="CC490" s="1" t="s">
        <v>1834</v>
      </c>
      <c r="CD490" s="1" t="str">
        <f aca="false">VLOOKUP(M490,Eras!$A$2:$C$10, 2, TRUE())</f>
        <v>big4</v>
      </c>
      <c r="CE490" s="1" t="s">
        <v>1835</v>
      </c>
      <c r="CF490" s="1" t="str">
        <f aca="false">CONCATENATE(CD490,"_",CE490)</f>
        <v>big4_Open Wagon</v>
      </c>
      <c r="CG490" s="1" t="str">
        <f aca="false">_xlfn.CONCAT(K490, "_",L490)</f>
        <v>wagon_RAIL</v>
      </c>
      <c r="CH490" s="7" t="str">
        <f aca="false">_xlfn.CONCAT("{BLACK}Length: {GOLD}", TEXT(ROUNDUP(IF(AS490&lt;&gt;"",SUM(VALUE(_xlfn.TEXTSPLIT(AS490, ","))), SUM(VALUE(_xlfn.TEXTSPLIT(AP490, ",")))*IF(P490, P490, 1))/16, 1), "#,##0.0"), " tiles{}")</f>
        <v>{BLACK}Length: {GOLD}0.4 tiles{}</v>
      </c>
      <c r="CI490" s="1" t="str">
        <f aca="false">IF(0, VLOOKUP($CG490, Constants!$M:$N, 2, FALSE()),"")</f>
        <v/>
      </c>
      <c r="CJ490" s="1" t="str">
        <f aca="false">IF(P490&gt;1,_xlfn.CONCAT("{BLACK}Cars: {GOLD}", P490),"")</f>
        <v/>
      </c>
      <c r="CK490" s="1" t="s">
        <v>1849</v>
      </c>
      <c r="CL490" s="1" t="str">
        <f aca="false">IF($BX490="concept_trains","{GREEN}Concept Vehicle",IF($BX490="!param_no_gameplay_units","{GREEN}Included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tiles{}{SILVER}The LNER built many of these coal hoppers, from 1935 to nationalisation. Although capacity is lower, these can be loaded faster than regular wagons.</v>
      </c>
      <c r="CO490" s="1" t="n">
        <v>1</v>
      </c>
    </row>
    <row r="491" customFormat="false" ht="14.25" hidden="false" customHeight="false" outlineLevel="0" collapsed="false">
      <c r="A491" s="1" t="s">
        <v>1850</v>
      </c>
      <c r="B491" s="15" t="s">
        <v>1851</v>
      </c>
      <c r="C491" s="1" t="n">
        <v>52</v>
      </c>
      <c r="E491" s="1" t="n">
        <v>1505</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241</v>
      </c>
      <c r="J491" s="1" t="s">
        <v>1580</v>
      </c>
      <c r="K491" s="1" t="s">
        <v>1580</v>
      </c>
      <c r="L491" s="1" t="s">
        <v>192</v>
      </c>
      <c r="M491" s="1" t="n">
        <v>1951</v>
      </c>
      <c r="O491" s="1" t="n">
        <v>1985</v>
      </c>
      <c r="Z491" s="1" t="n">
        <v>10</v>
      </c>
      <c r="AB491" s="1" t="n">
        <v>4</v>
      </c>
      <c r="AD491" s="4" t="str">
        <f aca="false">IF(AND(Z491&gt;0,AC491&gt;0),(AC491/((Z491+AA491)*10)),"")</f>
        <v/>
      </c>
      <c r="AE491" s="1" t="n">
        <v>60</v>
      </c>
      <c r="AF491" s="1" t="n">
        <f aca="false">ROUND(AE491*1.6, 0)</f>
        <v>96</v>
      </c>
      <c r="AH491" s="1" t="n">
        <v>8</v>
      </c>
      <c r="AI491" s="1" t="n">
        <v>8</v>
      </c>
      <c r="AL491" s="5" t="n">
        <v>27</v>
      </c>
      <c r="AM491" s="1" t="str">
        <f aca="false">CONCATENATE(VLOOKUP(AN491, 'Voxel Sizes'!$A$2:$B$18,2,FALSE()),"x",INT(AJ491*15), "x", INT(AK491*15))</f>
        <v>82x0x0</v>
      </c>
      <c r="AN491" s="1" t="n">
        <f aca="false">ROUND(15*((AI491*10)/256),0)</f>
        <v>5</v>
      </c>
      <c r="AP491" s="1" t="str">
        <f aca="false">CONCATENATE(VLOOKUP(AN491,Constants!$A$2:$C$16,IF(AO491&lt;&gt;"", 3, 2), FALSE()),IF(AO491&lt;&gt;"",CONCATENATE(",",VLOOKUP(AO491,$B:$AP,41,FALSE())),""))</f>
        <v>2,1,2</v>
      </c>
      <c r="AZ491" s="1" t="n">
        <v>30</v>
      </c>
      <c r="BA491" s="16" t="n">
        <f aca="false">IF(O491&lt;&gt;"",MAX(16,(O491-M491)+8),"")</f>
        <v>42</v>
      </c>
      <c r="BD491" s="1" t="n">
        <f aca="false">MIN(AE491/150, 1)*30</f>
        <v>12</v>
      </c>
      <c r="BE491" s="1" t="n">
        <f aca="false">MIN(Q491/4000, 1)*20</f>
        <v>0</v>
      </c>
      <c r="BF491" s="1" t="n">
        <f aca="false">MIN(AC491/400,1)*20</f>
        <v>0</v>
      </c>
      <c r="BG491" s="4" t="n">
        <f aca="false">1-(MAX(M491-1900, 0)/750)</f>
        <v>0.932</v>
      </c>
      <c r="BH491" s="1" t="n">
        <f aca="false">((MAX($P491,1)*MIN($AL491/300,1)))*IF(J491="Wagon",50,10)</f>
        <v>4.5</v>
      </c>
      <c r="BI491" s="1" t="n">
        <f aca="false">VLOOKUP($K491,Constants!$I:$K, 2, FALSE())</f>
        <v>1</v>
      </c>
      <c r="BJ491" s="1" t="n">
        <f aca="false">VLOOKUP($K491,Constants!$I:$K, 3, FALSE())*IF(AND(J491="multiple_unit",AE491&lt;110),0.75,1)</f>
        <v>0.45</v>
      </c>
      <c r="BK491" s="1" t="n">
        <f aca="false">INT(POWER(((Constants!$G$2+$BD491+$BE491+$BF491+$BH491)*$BG491)*$BJ491, 1.05))+$BC491</f>
        <v>10</v>
      </c>
      <c r="BL491" s="1" t="n">
        <f aca="false">INT(POWER((((Constants!$G$1+$BD491+$BE491+$BF491+$BH491)*($BG491))*$BI491),IF($J491="wagon",1,1.2)))+$BB491</f>
        <v>29</v>
      </c>
      <c r="BM491" s="17" t="n">
        <f aca="false">BK491*IF($J491="wagon",62.5,781.25)</f>
        <v>625</v>
      </c>
      <c r="BN491" s="17" t="n">
        <f aca="false">BL491*IF($J491="wagon",2.73,81.25)</f>
        <v>79.17</v>
      </c>
      <c r="BU491" s="1" t="str">
        <f aca="false">IF(J491="locomotive","B","")</f>
        <v/>
      </c>
      <c r="BV491" s="1" t="str">
        <f aca="false">IF(OR($J491="locomotive",$J491="wagon"),"B","")</f>
        <v>B</v>
      </c>
      <c r="BY491" s="1" t="n">
        <v>1</v>
      </c>
      <c r="BZ491" s="1" t="n">
        <v>185</v>
      </c>
      <c r="CB491" s="1" t="s">
        <v>1842</v>
      </c>
      <c r="CC491" s="1" t="s">
        <v>1834</v>
      </c>
      <c r="CD491" s="1" t="str">
        <f aca="false">VLOOKUP(M491,Eras!$A$2:$C$10, 2, TRUE())</f>
        <v>ebr</v>
      </c>
      <c r="CE491" s="1" t="s">
        <v>1835</v>
      </c>
      <c r="CF491" s="1" t="str">
        <f aca="false">CONCATENATE(CD491,"_",CE491)</f>
        <v>ebr_Open Wagon</v>
      </c>
      <c r="CG491" s="1" t="str">
        <f aca="false">_xlfn.CONCAT(K491, "_",L491)</f>
        <v>wagon_RAIL</v>
      </c>
      <c r="CH491" s="7" t="str">
        <f aca="false">_xlfn.CONCAT("{BLACK}Length: {GOLD}", TEXT(ROUNDUP(IF(AS491&lt;&gt;"",SUM(VALUE(_xlfn.TEXTSPLIT(AS491, ","))), SUM(VALUE(_xlfn.TEXTSPLIT(AP491, ",")))*IF(P491, P491, 1))/16, 1), "#,##0.0"), " tiles{}")</f>
        <v>{BLACK}Length: {GOLD}0.4 tiles{}</v>
      </c>
      <c r="CI491" s="1" t="str">
        <f aca="false">IF(0, VLOOKUP($CG491, Constants!$M:$N, 2, FALSE()),"")</f>
        <v/>
      </c>
      <c r="CJ491" s="1" t="str">
        <f aca="false">IF(P491&gt;1,_xlfn.CONCAT("{BLACK}Cars: {GOLD}", P491),"")</f>
        <v/>
      </c>
      <c r="CK491" s="1" t="s">
        <v>1852</v>
      </c>
      <c r="CL491" s="1" t="str">
        <f aca="false">IF($BX491="concept_trains","{GREEN}Concept Vehicle",IF($BX491="!param_no_gameplay_units","{GREEN}Included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{GOLD}0.4 tiles{}{SILVER}BR continued to make steel bodied wagons following LNER designs, gradually altering the body style.</v>
      </c>
      <c r="CO491" s="1" t="n">
        <v>1</v>
      </c>
    </row>
    <row r="492" customFormat="false" ht="14.25" hidden="false" customHeight="false" outlineLevel="0" collapsed="false">
      <c r="A492" s="1" t="s">
        <v>1853</v>
      </c>
      <c r="B492" s="15" t="s">
        <v>1854</v>
      </c>
      <c r="C492" s="1" t="n">
        <v>53</v>
      </c>
      <c r="E492" s="1" t="n">
        <v>1506</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241</v>
      </c>
      <c r="J492" s="1" t="s">
        <v>1580</v>
      </c>
      <c r="K492" s="1" t="s">
        <v>1580</v>
      </c>
      <c r="L492" s="1" t="s">
        <v>192</v>
      </c>
      <c r="M492" s="1" t="n">
        <v>1971</v>
      </c>
      <c r="O492" s="1" t="n">
        <v>2018</v>
      </c>
      <c r="Z492" s="1" t="n">
        <v>14</v>
      </c>
      <c r="AB492" s="1" t="n">
        <v>5</v>
      </c>
      <c r="AD492" s="4" t="str">
        <f aca="false">IF(AND(Z492&gt;0,AC492&gt;0),(AC492/((Z492+AA492)*10)),"")</f>
        <v/>
      </c>
      <c r="AE492" s="1" t="n">
        <v>70</v>
      </c>
      <c r="AF492" s="1" t="n">
        <f aca="false">ROUND(AE492*1.6, 0)</f>
        <v>112</v>
      </c>
      <c r="AH492" s="1" t="n">
        <v>10</v>
      </c>
      <c r="AI492" s="1" t="n">
        <v>10</v>
      </c>
      <c r="AL492" s="5" t="n">
        <v>33</v>
      </c>
      <c r="AM492" s="1" t="str">
        <f aca="false">CONCATENATE(VLOOKUP(AN492, 'Voxel Sizes'!$A$2:$B$18,2,FALSE()),"x",INT(AJ492*15), "x", INT(AK492*15))</f>
        <v>102x0x0</v>
      </c>
      <c r="AN492" s="1" t="n">
        <f aca="false">ROUND(15*((AI492*10)/256),0)</f>
        <v>6</v>
      </c>
      <c r="AP492" s="1" t="str">
        <f aca="false">CONCATENATE(VLOOKUP(AN492,Constants!$A$2:$C$16,IF(AO492&lt;&gt;"", 3, 2), FALSE()),IF(AO492&lt;&gt;"",CONCATENATE(",",VLOOKUP(AO492,$B:$AP,41,FALSE())),""))</f>
        <v>2,2,2</v>
      </c>
      <c r="AZ492" s="1" t="n">
        <v>30</v>
      </c>
      <c r="BA492" s="16" t="n">
        <f aca="false">IF(O492&lt;&gt;"",MAX(16,(O492-M492)+8),"")</f>
        <v>55</v>
      </c>
      <c r="BD492" s="1" t="n">
        <f aca="false">MIN(AE492/150, 1)*30</f>
        <v>14</v>
      </c>
      <c r="BE492" s="1" t="n">
        <f aca="false">MIN(Q492/4000, 1)*20</f>
        <v>0</v>
      </c>
      <c r="BF492" s="1" t="n">
        <f aca="false">MIN(AC492/400,1)*20</f>
        <v>0</v>
      </c>
      <c r="BG492" s="4" t="n">
        <f aca="false">1-(MAX(M492-1900, 0)/750)</f>
        <v>0.905333333333333</v>
      </c>
      <c r="BH492" s="1" t="n">
        <f aca="false">((MAX($P492,1)*MIN($AL492/300,1)))*IF(J492="Wagon",50,10)</f>
        <v>5.5</v>
      </c>
      <c r="BI492" s="1" t="n">
        <f aca="false">VLOOKUP($K492,Constants!$I:$K, 2, FALSE())</f>
        <v>1</v>
      </c>
      <c r="BJ492" s="1" t="n">
        <f aca="false">VLOOKUP($K492,Constants!$I:$K, 3, FALSE())*IF(AND(J492="multiple_unit",AE492&lt;110),0.75,1)</f>
        <v>0.45</v>
      </c>
      <c r="BK492" s="1" t="n">
        <f aca="false">INT(POWER(((Constants!$G$2+$BD492+$BE492+$BF492+$BH492)*$BG492)*$BJ492, 1.05))+$BC492</f>
        <v>11</v>
      </c>
      <c r="BL492" s="1" t="n">
        <f aca="false">INT(POWER((((Constants!$G$1+$BD492+$BE492+$BF492+$BH492)*($BG492))*$BI492),IF($J492="wagon",1,1.2)))+$BB492</f>
        <v>31</v>
      </c>
      <c r="BM492" s="17" t="n">
        <f aca="false">BK492*IF($J492="wagon",62.5,781.25)</f>
        <v>687.5</v>
      </c>
      <c r="BN492" s="17" t="n">
        <f aca="false">BL492*IF($J492="wagon",2.73,81.25)</f>
        <v>84.63</v>
      </c>
      <c r="BU492" s="1" t="str">
        <f aca="false">IF(J492="locomotive","B","")</f>
        <v/>
      </c>
      <c r="BV492" s="1" t="str">
        <f aca="false">IF(OR($J492="locomotive",$J492="wagon"),"B","")</f>
        <v>B</v>
      </c>
      <c r="BY492" s="1" t="n">
        <v>1</v>
      </c>
      <c r="BZ492" s="1" t="n">
        <v>185</v>
      </c>
      <c r="CB492" s="1" t="s">
        <v>1842</v>
      </c>
      <c r="CC492" s="1" t="s">
        <v>1834</v>
      </c>
      <c r="CD492" s="1" t="str">
        <f aca="false">VLOOKUP(M492,Eras!$A$2:$C$10, 2, TRUE())</f>
        <v>lbr</v>
      </c>
      <c r="CE492" s="1" t="s">
        <v>1835</v>
      </c>
      <c r="CF492" s="1" t="str">
        <f aca="false">CONCATENATE(CD492,"_",CE492)</f>
        <v>lbr_Open Wagon</v>
      </c>
      <c r="CG492" s="1" t="str">
        <f aca="false">_xlfn.CONCAT(K492, "_",L492)</f>
        <v>wagon_RAIL</v>
      </c>
      <c r="CH492" s="7" t="str">
        <f aca="false">_xlfn.CONCAT("{BLACK}Length: {GOLD}", TEXT(ROUNDUP(IF(AS493&lt;&gt;"",SUM(VALUE(_xlfn.TEXTSPLIT(AS493, ","))), SUM(VALUE(_xlfn.TEXTSPLIT(AP492, ",")))*IF(P492, P492, 1))/16, 1), "#,##0.0"), " tiles{}")</f>
        <v>{BLACK}Length: {GOLD}2.9 tiles{}</v>
      </c>
      <c r="CI492" s="1" t="str">
        <f aca="false">IF(0, VLOOKUP($CG492, Constants!$M:$N, 2, FALSE()),"")</f>
        <v/>
      </c>
      <c r="CJ492" s="1" t="str">
        <f aca="false">IF(P492&gt;1,_xlfn.CONCAT("{BLACK}Cars: {GOLD}", P492),"")</f>
        <v/>
      </c>
      <c r="CK492" s="1" t="s">
        <v>1855</v>
      </c>
      <c r="CL492" s="1" t="str">
        <f aca="false">IF($BX492="concept_trains","{GREEN}Concept Vehicle",IF($BX492="!param_no_gameplay_units","{GREEN}Included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{GOLD}2.9 tiles{}{SILVER}The OAA/OBA wagons were BR's first air braked open wagons, later forming part of the Speedlink network. They featured steel end frames with wooden drop sides.</v>
      </c>
      <c r="CO492" s="1" t="n">
        <v>1</v>
      </c>
    </row>
    <row r="493" customFormat="false" ht="14.25" hidden="false" customHeight="false" outlineLevel="0" collapsed="false">
      <c r="A493" s="1" t="s">
        <v>1856</v>
      </c>
      <c r="B493" s="25" t="s">
        <v>1857</v>
      </c>
      <c r="C493" s="1" t="n">
        <v>4058</v>
      </c>
      <c r="D493" s="1" t="n">
        <v>4059</v>
      </c>
      <c r="E493" s="1" t="n">
        <v>1506</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241</v>
      </c>
      <c r="J493" s="1" t="s">
        <v>1075</v>
      </c>
      <c r="K493" s="1" t="s">
        <v>1580</v>
      </c>
      <c r="L493" s="1" t="s">
        <v>192</v>
      </c>
      <c r="M493" s="1" t="n">
        <v>1988</v>
      </c>
      <c r="O493" s="1" t="n">
        <v>2018</v>
      </c>
      <c r="P493" s="1" t="n">
        <v>8</v>
      </c>
      <c r="Z493" s="1" t="n">
        <v>138</v>
      </c>
      <c r="AB493" s="1" t="n">
        <v>7</v>
      </c>
      <c r="AD493" s="4" t="str">
        <f aca="false">IF(AND(Z493&gt;0,AC493&gt;0),(AC493/((Z493+AA493)*10)),"")</f>
        <v/>
      </c>
      <c r="AE493" s="1" t="n">
        <v>60</v>
      </c>
      <c r="AF493" s="1" t="n">
        <f aca="false">ROUND(AE493*1.6, 0)</f>
        <v>96</v>
      </c>
      <c r="AH493" s="1" t="n">
        <v>10</v>
      </c>
      <c r="AI493" s="1" t="n">
        <v>10</v>
      </c>
      <c r="AL493" s="5" t="n">
        <v>38</v>
      </c>
      <c r="AM493" s="1" t="str">
        <f aca="false">CONCATENATE(VLOOKUP(AN493, 'Voxel Sizes'!$A$2:$B$18,2,FALSE()),"x",INT(AJ493*15), "x", INT(AK493*15))</f>
        <v>102x0x0</v>
      </c>
      <c r="AN493" s="1" t="n">
        <f aca="false">ROUND(15*((AI493*10)/256),0)</f>
        <v>6</v>
      </c>
      <c r="AP493" s="1" t="str">
        <f aca="false">CONCATENATE(VLOOKUP(AN493,Constants!$A$2:$C$16,IF(AO493&lt;&gt;"", 3, 2), FALSE()),IF(AO493&lt;&gt;"",CONCATENATE(",",VLOOKUP(AO493,$B:$AP,41,FALSE())),""))</f>
        <v>2,2,2</v>
      </c>
      <c r="AR493" s="6" t="str">
        <f aca="false">REDL_SDT_8_UL</f>
        <v>4,3,4,2,1,2,2,1,2,2,1,2,2,1,2,2,1,2,2,1,2,2,1,2</v>
      </c>
      <c r="AS493" s="6" t="str">
        <f aca="false">REDL_SDT_8_VLEN</f>
        <v>11,5,5,5,5,5,5,5</v>
      </c>
      <c r="AT493" s="1" t="str">
        <f aca="false">REDL_SDT_8_VEH</f>
        <v>redland_sdt_flat,redland_sdt_hopper_inner,redland_sdt_hopper_inner,redland_sdt_hopper_inner,redland_sdt_hopper_inner,redland_sdt_hopper_inner,redland_sdt_hopper_inner,redland_sdt_hopper_outer</v>
      </c>
      <c r="AV493" s="1" t="str">
        <f aca="false">REDL_SDT_8_NV</f>
        <v>1,1,0,0,0,0,0,1</v>
      </c>
      <c r="AW493" s="1" t="s">
        <v>1858</v>
      </c>
      <c r="AY493" s="1" t="s">
        <v>1859</v>
      </c>
      <c r="AZ493" s="1" t="n">
        <v>30</v>
      </c>
      <c r="BA493" s="16" t="n">
        <f aca="false">IF(O493&lt;&gt;"",MAX(16,(O493-M493)+8),"")</f>
        <v>38</v>
      </c>
      <c r="BD493" s="1" t="n">
        <f aca="false">MIN(AE493/150, 1)*30</f>
        <v>12</v>
      </c>
      <c r="BE493" s="1" t="n">
        <f aca="false">MIN(Q493/4000, 1)*20</f>
        <v>0</v>
      </c>
      <c r="BF493" s="1" t="n">
        <f aca="false">MIN(AC493/400,1)*20</f>
        <v>0</v>
      </c>
      <c r="BG493" s="4" t="n">
        <f aca="false">1-(MAX(M493-1900, 0)/750)</f>
        <v>0.882666666666667</v>
      </c>
      <c r="BH493" s="1" t="n">
        <f aca="false">((MAX($P493,1)*MIN($AL493/300,1)))*IF(J493="Wagon",50,10)</f>
        <v>10.1333333333333</v>
      </c>
      <c r="BI493" s="1" t="n">
        <f aca="false">VLOOKUP($K493,Constants!$I:$K, 2, FALSE())</f>
        <v>1</v>
      </c>
      <c r="BJ493" s="1" t="n">
        <f aca="false">VLOOKUP($K493,Constants!$I:$K, 3, FALSE())*IF(AND(J493="multiple_unit",AE493&lt;110),0.75,1)</f>
        <v>0.45</v>
      </c>
      <c r="BK493" s="1" t="n">
        <f aca="false">INT(POWER(((Constants!$G$2+$BD493+$BE493+$BF493+$BH493)*$BG493)*$BJ493, 1.05))+$BC493</f>
        <v>12</v>
      </c>
      <c r="BL493" s="1" t="n">
        <f aca="false">INT(POWER((((Constants!$G$1+$BD493+$BE493+$BF493+$BH493)*($BG493))*$BI493),IF($J493="wagon",1,1.2)))+$BB493</f>
        <v>65</v>
      </c>
      <c r="BM493" s="17" t="n">
        <f aca="false">BK493*IF($J493="wagon",62.5,781.25)</f>
        <v>9375</v>
      </c>
      <c r="BN493" s="17" t="n">
        <f aca="false">BL493*IF($J493="wagon",2.73,81.25)</f>
        <v>5281.25</v>
      </c>
      <c r="BU493" s="1" t="str">
        <f aca="false">IF(J493="locomotive","B","")</f>
        <v/>
      </c>
      <c r="BV493" s="1" t="str">
        <f aca="false">IF(OR($J493="locomotive",$J493="wagon"),"B","")</f>
        <v/>
      </c>
      <c r="BY493" s="1" t="n">
        <v>1</v>
      </c>
      <c r="BZ493" s="1" t="n">
        <v>185</v>
      </c>
      <c r="CB493" s="1" t="s">
        <v>1860</v>
      </c>
      <c r="CC493" s="1" t="s">
        <v>1834</v>
      </c>
      <c r="CD493" s="1" t="str">
        <f aca="false">VLOOKUP(M493,Eras!$A$2:$C$10, 2, TRUE())</f>
        <v>lbr</v>
      </c>
      <c r="CE493" s="1" t="s">
        <v>1835</v>
      </c>
      <c r="CF493" s="1" t="str">
        <f aca="false">CONCATENATE(CD493,"_",CE493)</f>
        <v>lbr_Open Wagon</v>
      </c>
      <c r="CG493" s="1" t="str">
        <f aca="false">_xlfn.CONCAT(K493, "_",L493)</f>
        <v>wagon_RAIL</v>
      </c>
      <c r="CH493" s="7" t="str">
        <f aca="false">_xlfn.CONCAT("{BLACK}Length: {GOLD}", TEXT(ROUNDUP(IF(AS494&lt;&gt;"",SUM(VALUE(_xlfn.TEXTSPLIT(AS494, ","))), SUM(VALUE(_xlfn.TEXTSPLIT(AP493, ",")))*IF(P493, P493, 1))/16, 1), "#,##0.0"), " tiles{}")</f>
        <v>{BLACK}Length: {GOLD}3.5 tiles{}</v>
      </c>
      <c r="CI493" s="1" t="str">
        <f aca="false">IF(0, VLOOKUP($CG493, Constants!$M:$N, 2, FALSE()),"")</f>
        <v/>
      </c>
      <c r="CJ493" s="1" t="str">
        <f aca="false">IF(P493&gt;1,_xlfn.CONCAT("{BLACK}Cars: {GOLD}", P493),"")</f>
        <v>{BLACK}Cars: {GOLD}8</v>
      </c>
      <c r="CK493" s="1" t="s">
        <v>1861</v>
      </c>
      <c r="CL493" s="1" t="str">
        <f aca="false">IF($BX493="concept_trains","{GREEN}Concept Vehicle",IF($BX493="!param_no_gameplay_units","{GREEN}Included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93" s="1"/>
    </row>
    <row r="494" customFormat="false" ht="14.25" hidden="false" customHeight="false" outlineLevel="0" collapsed="false">
      <c r="A494" s="1" t="s">
        <v>1856</v>
      </c>
      <c r="B494" s="25" t="s">
        <v>1862</v>
      </c>
      <c r="C494" s="1" t="n">
        <v>4059</v>
      </c>
      <c r="E494" s="1" t="n">
        <v>1506</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241</v>
      </c>
      <c r="J494" s="1" t="s">
        <v>1075</v>
      </c>
      <c r="K494" s="1" t="s">
        <v>1580</v>
      </c>
      <c r="L494" s="1" t="s">
        <v>192</v>
      </c>
      <c r="M494" s="1" t="n">
        <v>1988</v>
      </c>
      <c r="O494" s="1" t="n">
        <v>2018</v>
      </c>
      <c r="P494" s="1" t="n">
        <v>10</v>
      </c>
      <c r="Z494" s="1" t="n">
        <v>166</v>
      </c>
      <c r="AB494" s="1" t="n">
        <v>7</v>
      </c>
      <c r="AD494" s="4" t="str">
        <f aca="false">IF(AND(Z494&gt;0,AC494&gt;0),(AC494/((Z494+AA494)*10)),"")</f>
        <v/>
      </c>
      <c r="AE494" s="1" t="n">
        <v>60</v>
      </c>
      <c r="AF494" s="1" t="n">
        <f aca="false">ROUND(AE494*1.6, 0)</f>
        <v>96</v>
      </c>
      <c r="AH494" s="1" t="n">
        <v>10</v>
      </c>
      <c r="AI494" s="1" t="n">
        <v>10</v>
      </c>
      <c r="AL494" s="5" t="n">
        <v>38</v>
      </c>
      <c r="AM494" s="1" t="str">
        <f aca="false">CONCATENATE(VLOOKUP(AN494, 'Voxel Sizes'!$A$2:$B$18,2,FALSE()),"x",INT(AJ494*15), "x", INT(AK494*15))</f>
        <v>102x0x0</v>
      </c>
      <c r="AN494" s="1" t="n">
        <f aca="false">ROUND(15*((AI494*10)/256),0)</f>
        <v>6</v>
      </c>
      <c r="AP494" s="1" t="str">
        <f aca="false">CONCATENATE(VLOOKUP(AN494,Constants!$A$2:$C$16,IF(AO494&lt;&gt;"", 3, 2), FALSE()),IF(AO494&lt;&gt;"",CONCATENATE(",",VLOOKUP(AO494,$B:$AP,41,FALSE())),""))</f>
        <v>2,2,2</v>
      </c>
      <c r="AR494" s="6" t="str">
        <f aca="false">REDL_SDT_10_ULEN</f>
        <v>4,3,4,2,1,2,2,1,2,2,1,2,2,1,2,2,1,2,2,1,2,2,1,2,2,1,2,2,1,2</v>
      </c>
      <c r="AS494" s="6" t="str">
        <f aca="false">REDL_SDT_10_VLEN</f>
        <v>11,5,5,5,5,5,5,5,5,5</v>
      </c>
      <c r="AT494" s="1" t="str">
        <f aca="false">REDL_SDT_10_VEH</f>
        <v>redland_sdt_flat,redland_sdt_hopper_inner,redland_sdt_hopper_inner,redland_sdt_hopper_inner,redland_sdt_hopper_inner,redland_sdt_hopper_inner,redland_sdt_hopper_inner,redland_sdt_hopper_inner,redland_sdt_hopper_inner,redland_sdt_hopper_outer</v>
      </c>
      <c r="AV494" s="1" t="str">
        <f aca="false">REDL_SDT_10_NV</f>
        <v>0,0,0,0,0,0,0,0,0,0</v>
      </c>
      <c r="AW494" s="1" t="s">
        <v>1858</v>
      </c>
      <c r="AY494" s="1" t="s">
        <v>1859</v>
      </c>
      <c r="AZ494" s="1" t="n">
        <v>30</v>
      </c>
      <c r="BA494" s="16" t="n">
        <f aca="false">IF(O494&lt;&gt;"",MAX(16,(O494-M494)+8),"")</f>
        <v>38</v>
      </c>
      <c r="BD494" s="1" t="n">
        <f aca="false">MIN(AE494/150, 1)*30</f>
        <v>12</v>
      </c>
      <c r="BE494" s="1" t="n">
        <f aca="false">MIN(Q494/4000, 1)*20</f>
        <v>0</v>
      </c>
      <c r="BF494" s="1" t="n">
        <f aca="false">MIN(AC494/400,1)*20</f>
        <v>0</v>
      </c>
      <c r="BG494" s="4" t="n">
        <f aca="false">1-(MAX(M494-1900, 0)/750)</f>
        <v>0.882666666666667</v>
      </c>
      <c r="BH494" s="1" t="n">
        <f aca="false">((MAX($P494,1)*MIN($AL494/300,1)))*IF(J494="Wagon",50,10)</f>
        <v>12.6666666666667</v>
      </c>
      <c r="BI494" s="1" t="n">
        <f aca="false">VLOOKUP($K494,Constants!$I:$K, 2, FALSE())</f>
        <v>1</v>
      </c>
      <c r="BJ494" s="1" t="n">
        <f aca="false">VLOOKUP($K494,Constants!$I:$K, 3, FALSE())*IF(AND(J494="multiple_unit",AE494&lt;110),0.75,1)</f>
        <v>0.45</v>
      </c>
      <c r="BK494" s="1" t="n">
        <f aca="false">INT(POWER(((Constants!$G$2+$BD494+$BE494+$BF494+$BH494)*$BG494)*$BJ494, 1.05))+$BC494</f>
        <v>13</v>
      </c>
      <c r="BL494" s="1" t="n">
        <f aca="false">INT(POWER((((Constants!$G$1+$BD494+$BE494+$BF494+$BH494)*($BG494))*$BI494),IF($J494="wagon",1,1.2)))+$BB494</f>
        <v>71</v>
      </c>
      <c r="BM494" s="17" t="n">
        <f aca="false">BK494*IF($J494="wagon",62.5,781.25)</f>
        <v>10156.25</v>
      </c>
      <c r="BN494" s="17" t="n">
        <f aca="false">BL494*IF($J494="wagon",2.73,81.25)</f>
        <v>5768.75</v>
      </c>
      <c r="BU494" s="1" t="str">
        <f aca="false">IF(J494="locomotive","B","")</f>
        <v/>
      </c>
      <c r="BV494" s="1" t="str">
        <f aca="false">IF(OR($J494="locomotive",$J494="wagon"),"B","")</f>
        <v/>
      </c>
      <c r="BY494" s="1" t="n">
        <v>1</v>
      </c>
      <c r="BZ494" s="1" t="n">
        <v>185</v>
      </c>
      <c r="CB494" s="1" t="s">
        <v>1860</v>
      </c>
      <c r="CC494" s="1" t="s">
        <v>1834</v>
      </c>
      <c r="CD494" s="1" t="str">
        <f aca="false">VLOOKUP(M494,Eras!$A$2:$C$10, 2, TRUE())</f>
        <v>lbr</v>
      </c>
      <c r="CE494" s="1" t="s">
        <v>1835</v>
      </c>
      <c r="CF494" s="1" t="str">
        <f aca="false">CONCATENATE(CD494,"_",CE494)</f>
        <v>lbr_Open Wagon</v>
      </c>
      <c r="CG494" s="1" t="str">
        <f aca="false">_xlfn.CONCAT(K494, "_",L494)</f>
        <v>wagon_RAIL</v>
      </c>
      <c r="CH494" s="7" t="str">
        <f aca="false">_xlfn.CONCAT("{BLACK}Length: {GOLD}", TEXT(ROUNDUP(IF(AS493&lt;&gt;"",SUM(VALUE(_xlfn.TEXTSPLIT(AS493, ","))), SUM(VALUE(_xlfn.TEXTSPLIT(AP494, ",")))*IF(P494, P494, 1))/16, 1), "#,##0.0"), " tiles{}")</f>
        <v>{BLACK}Length: {GOLD}2.9 tiles{}</v>
      </c>
      <c r="CI494" s="1" t="str">
        <f aca="false">IF(0, VLOOKUP($CG494, Constants!$M:$N, 2, FALSE()),"")</f>
        <v/>
      </c>
      <c r="CJ494" s="1" t="str">
        <f aca="false">IF(P494&gt;1,_xlfn.CONCAT("{BLACK}Cars: {GOLD}", P494),"")</f>
        <v>{BLACK}Cars: {GOLD}10</v>
      </c>
      <c r="CK494" s="1" t="s">
        <v>1861</v>
      </c>
      <c r="CL494" s="1" t="str">
        <f aca="false">IF($BX494="concept_trains","{GREEN}Concept Vehicle",IF($BX494="!param_no_gameplay_units","{GREEN}Included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94" s="1"/>
    </row>
    <row r="495" customFormat="false" ht="14.25" hidden="false" customHeight="false" outlineLevel="0" collapsed="false">
      <c r="A495" s="1" t="s">
        <v>1863</v>
      </c>
      <c r="B495" s="15" t="s">
        <v>1864</v>
      </c>
      <c r="C495" s="1" t="n">
        <v>54</v>
      </c>
      <c r="E495" s="1" t="n">
        <v>1507</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241</v>
      </c>
      <c r="J495" s="1" t="s">
        <v>1580</v>
      </c>
      <c r="K495" s="1" t="s">
        <v>1580</v>
      </c>
      <c r="L495" s="1" t="s">
        <v>192</v>
      </c>
      <c r="M495" s="1" t="n">
        <v>1989</v>
      </c>
      <c r="Z495" s="1" t="n">
        <v>12</v>
      </c>
      <c r="AB495" s="1" t="n">
        <v>6</v>
      </c>
      <c r="AD495" s="4" t="str">
        <f aca="false">IF(AND(Z495&gt;0,AC495&gt;0),(AC495/((Z495+AA495)*10)),"")</f>
        <v/>
      </c>
      <c r="AE495" s="1" t="n">
        <v>80</v>
      </c>
      <c r="AF495" s="1" t="n">
        <f aca="false">ROUND(AE495*1.6, 0)</f>
        <v>128</v>
      </c>
      <c r="AH495" s="1" t="n">
        <v>10</v>
      </c>
      <c r="AI495" s="1" t="n">
        <v>10</v>
      </c>
      <c r="AL495" s="5" t="n">
        <v>45</v>
      </c>
      <c r="AM495" s="1" t="str">
        <f aca="false">CONCATENATE(VLOOKUP(AN495, 'Voxel Sizes'!$A$2:$B$18,2,FALSE()),"x",INT(AJ495*15), "x", INT(AK495*15))</f>
        <v>102x0x0</v>
      </c>
      <c r="AN495" s="1" t="n">
        <f aca="false">ROUND(15*((AI495*10)/256),0)</f>
        <v>6</v>
      </c>
      <c r="AP495" s="1" t="str">
        <f aca="false">CONCATENATE(VLOOKUP(AN495,Constants!$A$2:$C$16,IF(AO495&lt;&gt;"", 3, 2), FALSE()),IF(AO495&lt;&gt;"",CONCATENATE(",",VLOOKUP(AO495,$B:$AP,41,FALSE())),""))</f>
        <v>2,2,2</v>
      </c>
      <c r="AZ495" s="1" t="n">
        <v>30</v>
      </c>
      <c r="BA495" s="16" t="str">
        <f aca="false">IF(O495&lt;&gt;"",MAX(16,(O495-M495)+8),"")</f>
        <v/>
      </c>
      <c r="BD495" s="1" t="n">
        <f aca="false">MIN(AE495/150, 1)*30</f>
        <v>16</v>
      </c>
      <c r="BE495" s="1" t="n">
        <f aca="false">MIN(Q495/4000, 1)*20</f>
        <v>0</v>
      </c>
      <c r="BF495" s="1" t="n">
        <f aca="false">MIN(AC495/400,1)*20</f>
        <v>0</v>
      </c>
      <c r="BG495" s="4" t="n">
        <f aca="false">1-(MAX(M495-1900, 0)/750)</f>
        <v>0.881333333333333</v>
      </c>
      <c r="BH495" s="1" t="n">
        <f aca="false">((MAX($P495,1)*MIN($AL495/300,1)))*IF(J495="Wagon",50,10)</f>
        <v>7.5</v>
      </c>
      <c r="BI495" s="1" t="n">
        <f aca="false">VLOOKUP($K495,Constants!$I:$K, 2, FALSE())</f>
        <v>1</v>
      </c>
      <c r="BJ495" s="1" t="n">
        <f aca="false">VLOOKUP($K495,Constants!$I:$K, 3, FALSE())*IF(AND(J495="multiple_unit",AE495&lt;110),0.75,1)</f>
        <v>0.45</v>
      </c>
      <c r="BK495" s="1" t="n">
        <f aca="false">INT(POWER(((Constants!$G$2+$BD495+$BE495+$BF495+$BH495)*$BG495)*$BJ495, 1.05))+$BC495</f>
        <v>12</v>
      </c>
      <c r="BL495" s="1" t="n">
        <f aca="false">INT(POWER((((Constants!$G$1+$BD495+$BE495+$BF495+$BH495)*($BG495))*$BI495),IF($J495="wagon",1,1.2)))+$BB495</f>
        <v>33</v>
      </c>
      <c r="BM495" s="17" t="n">
        <f aca="false">BK495*IF($J495="wagon",62.5,781.25)</f>
        <v>750</v>
      </c>
      <c r="BN495" s="17" t="n">
        <f aca="false">BL495*IF($J495="wagon",2.73,81.25)</f>
        <v>90.09</v>
      </c>
      <c r="BU495" s="1" t="str">
        <f aca="false">IF(J495="locomotive","B","")</f>
        <v/>
      </c>
      <c r="BV495" s="1" t="str">
        <f aca="false">IF(OR($J495="locomotive",$J495="wagon"),"B","")</f>
        <v>B</v>
      </c>
      <c r="BY495" s="1" t="n">
        <v>1</v>
      </c>
      <c r="BZ495" s="1" t="n">
        <v>185</v>
      </c>
      <c r="CB495" s="1" t="s">
        <v>1842</v>
      </c>
      <c r="CC495" s="1" t="s">
        <v>1834</v>
      </c>
      <c r="CD495" s="1" t="str">
        <f aca="false">VLOOKUP(M495,Eras!$A$2:$C$10, 2, TRUE())</f>
        <v>lbr</v>
      </c>
      <c r="CE495" s="1" t="s">
        <v>1835</v>
      </c>
      <c r="CF495" s="1" t="str">
        <f aca="false">CONCATENATE(CD495,"_",CE495)</f>
        <v>lbr_Open Wagon</v>
      </c>
      <c r="CG495" s="1" t="str">
        <f aca="false">_xlfn.CONCAT(K495, "_",L495)</f>
        <v>wagon_RAIL</v>
      </c>
      <c r="CH495" s="7" t="str">
        <f aca="false">_xlfn.CONCAT("{BLACK}Length: {GOLD}", TEXT(ROUNDUP(IF(AS495&lt;&gt;"",SUM(VALUE(_xlfn.TEXTSPLIT(AS495, ","))), SUM(VALUE(_xlfn.TEXTSPLIT(AP495, ",")))*IF(P495, P495, 1))/16, 1), "#,##0.0"), " tiles{}")</f>
        <v>{BLACK}Length: {GOLD}0.4 tiles{}</v>
      </c>
      <c r="CI495" s="1" t="str">
        <f aca="false">IF(0, VLOOKUP($CG495, Constants!$M:$N, 2, FALSE()),"")</f>
        <v/>
      </c>
      <c r="CJ495" s="1" t="str">
        <f aca="false">IF(P495&gt;1,_xlfn.CONCAT("{BLACK}Cars: {GOLD}", P495),"")</f>
        <v/>
      </c>
      <c r="CK495" s="1" t="s">
        <v>1865</v>
      </c>
      <c r="CL495" s="1" t="str">
        <f aca="false">IF($BX495="concept_trains","{GREEN}Concept Vehicle",IF($BX495="!param_no_gameplay_units","{GREEN}Included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tiles{}{SILVER}MEA wagons used frames from old hopper wagons combined with a new box body.</v>
      </c>
      <c r="CO495" s="1" t="n">
        <v>1</v>
      </c>
    </row>
    <row r="496" customFormat="false" ht="14.25" hidden="false" customHeight="false" outlineLevel="0" collapsed="false">
      <c r="A496" s="1" t="s">
        <v>1866</v>
      </c>
      <c r="B496" s="15" t="s">
        <v>1867</v>
      </c>
      <c r="C496" s="1" t="n">
        <v>55</v>
      </c>
      <c r="E496" s="1" t="n">
        <v>1508</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241</v>
      </c>
      <c r="J496" s="1" t="s">
        <v>1580</v>
      </c>
      <c r="K496" s="1" t="s">
        <v>1580</v>
      </c>
      <c r="L496" s="1" t="s">
        <v>192</v>
      </c>
      <c r="M496" s="1" t="n">
        <v>2015</v>
      </c>
      <c r="Z496" s="1" t="n">
        <v>24</v>
      </c>
      <c r="AB496" s="1" t="n">
        <v>5</v>
      </c>
      <c r="AD496" s="4" t="str">
        <f aca="false">IF(AND(Z496&gt;0,AC496&gt;0),(AC496/((Z496+AA496)*10)),"")</f>
        <v/>
      </c>
      <c r="AE496" s="1" t="n">
        <v>80</v>
      </c>
      <c r="AF496" s="1" t="n">
        <f aca="false">ROUND(AE496*1.6, 0)</f>
        <v>128</v>
      </c>
      <c r="AH496" s="1" t="n">
        <v>17</v>
      </c>
      <c r="AI496" s="1" t="n">
        <v>17</v>
      </c>
      <c r="AL496" s="5" t="n">
        <v>78</v>
      </c>
      <c r="AM496" s="1" t="str">
        <f aca="false">CONCATENATE(VLOOKUP(AN496, 'Voxel Sizes'!$A$2:$B$18,2,FALSE()),"x",INT(AJ496*15), "x", INT(AK496*15))</f>
        <v>164x0x0</v>
      </c>
      <c r="AN496" s="1" t="n">
        <f aca="false">ROUND(15*((AI496*10)/256),0)</f>
        <v>10</v>
      </c>
      <c r="AP496" s="1" t="str">
        <f aca="false">CONCATENATE(VLOOKUP(AN496,Constants!$A$2:$C$16,IF(AO496&lt;&gt;"", 3, 2), FALSE()),IF(AO496&lt;&gt;"",CONCATENATE(",",VLOOKUP(AO496,$B:$AP,41,FALSE())),""))</f>
        <v>4,2,4</v>
      </c>
      <c r="AZ496" s="1" t="n">
        <v>30</v>
      </c>
      <c r="BA496" s="16" t="str">
        <f aca="false">IF(O496&lt;&gt;"",MAX(16,(O496-M496)+8),"")</f>
        <v/>
      </c>
      <c r="BD496" s="1" t="n">
        <f aca="false">MIN(AE496/150, 1)*30</f>
        <v>16</v>
      </c>
      <c r="BE496" s="1" t="n">
        <f aca="false">MIN(Q496/4000, 1)*20</f>
        <v>0</v>
      </c>
      <c r="BF496" s="1" t="n">
        <f aca="false">MIN(AC496/400,1)*20</f>
        <v>0</v>
      </c>
      <c r="BG496" s="4" t="n">
        <f aca="false">1-(MAX(M496-1900, 0)/750)</f>
        <v>0.846666666666667</v>
      </c>
      <c r="BH496" s="1" t="n">
        <f aca="false">((MAX($P496,1)*MIN($AL496/300,1)))*IF(J496="Wagon",50,10)</f>
        <v>13</v>
      </c>
      <c r="BI496" s="1" t="n">
        <f aca="false">VLOOKUP($K496,Constants!$I:$K, 2, FALSE())</f>
        <v>1</v>
      </c>
      <c r="BJ496" s="1" t="n">
        <f aca="false">VLOOKUP($K496,Constants!$I:$K, 3, FALSE())*IF(AND(J496="multiple_unit",AE496&lt;110),0.75,1)</f>
        <v>0.45</v>
      </c>
      <c r="BK496" s="1" t="n">
        <f aca="false">INT(POWER(((Constants!$G$2+$BD496+$BE496+$BF496+$BH496)*$BG496)*$BJ496, 1.05))+$BC496</f>
        <v>14</v>
      </c>
      <c r="BL496" s="1" t="n">
        <f aca="false">INT(POWER((((Constants!$G$1+$BD496+$BE496+$BF496+$BH496)*($BG496))*$BI496),IF($J496="wagon",1,1.2)))+$BB496</f>
        <v>37</v>
      </c>
      <c r="BM496" s="17" t="n">
        <f aca="false">BK496*IF($J496="wagon",62.5,781.25)</f>
        <v>875</v>
      </c>
      <c r="BN496" s="17" t="n">
        <f aca="false">BL496*IF($J496="wagon",2.73,81.25)</f>
        <v>101.01</v>
      </c>
      <c r="BU496" s="1" t="str">
        <f aca="false">IF(J496="locomotive","B","")</f>
        <v/>
      </c>
      <c r="BV496" s="1" t="str">
        <f aca="false">IF(OR($J496="locomotive",$J496="wagon"),"B","")</f>
        <v>B</v>
      </c>
      <c r="BY496" s="1" t="n">
        <v>1</v>
      </c>
      <c r="BZ496" s="1" t="n">
        <v>185</v>
      </c>
      <c r="CB496" s="1" t="s">
        <v>1842</v>
      </c>
      <c r="CC496" s="1" t="s">
        <v>1834</v>
      </c>
      <c r="CD496" s="1" t="str">
        <f aca="false">VLOOKUP(M496,Eras!$A$2:$C$10, 2, TRUE())</f>
        <v>mod</v>
      </c>
      <c r="CE496" s="1" t="s">
        <v>1835</v>
      </c>
      <c r="CF496" s="1" t="str">
        <f aca="false">CONCATENATE(CD496,"_",CE496)</f>
        <v>mod_Open Wagon</v>
      </c>
      <c r="CG496" s="1" t="str">
        <f aca="false">_xlfn.CONCAT(K496, "_",L496)</f>
        <v>wagon_RAIL</v>
      </c>
      <c r="CH496" s="7" t="str">
        <f aca="false">_xlfn.CONCAT("{BLACK}Length: {GOLD}", TEXT(ROUNDUP(IF(AS496&lt;&gt;"",SUM(VALUE(_xlfn.TEXTSPLIT(AS496, ","))), SUM(VALUE(_xlfn.TEXTSPLIT(AP496, ",")))*IF(P496, P496, 1))/16, 1), "#,##0.0"), " tiles{}")</f>
        <v>{BLACK}Length: {GOLD}0.7 tiles{}</v>
      </c>
      <c r="CI496" s="1" t="str">
        <f aca="false">IF(0, VLOOKUP($CG496, Constants!$M:$N, 2, FALSE()),"")</f>
        <v/>
      </c>
      <c r="CJ496" s="1" t="str">
        <f aca="false">IF(P496&gt;1,_xlfn.CONCAT("{BLACK}Cars: {GOLD}", P496),"")</f>
        <v/>
      </c>
      <c r="CK496" s="1" t="s">
        <v>1868</v>
      </c>
      <c r="CL496" s="1" t="str">
        <f aca="false">IF($BX496="concept_trains","{GREEN}Concept Vehicle",IF($BX496="!param_no_gameplay_units","{GREEN}Included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{GOLD}0.7 tiles{}{SILVER}The MWA is another wagon rebuilt using new bodies on an old frame, resulting in a high capacity bogie open wagon.</v>
      </c>
      <c r="CO496" s="1" t="n">
        <v>1</v>
      </c>
    </row>
    <row r="497" customFormat="false" ht="14.25" hidden="false" customHeight="false" outlineLevel="0" collapsed="false">
      <c r="A497" s="1" t="s">
        <v>1869</v>
      </c>
      <c r="B497" s="15" t="s">
        <v>1870</v>
      </c>
      <c r="C497" s="1" t="n">
        <v>56</v>
      </c>
      <c r="E497" s="1" t="n">
        <v>1509</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241</v>
      </c>
      <c r="J497" s="1" t="s">
        <v>1580</v>
      </c>
      <c r="K497" s="1" t="s">
        <v>1580</v>
      </c>
      <c r="L497" s="1" t="s">
        <v>192</v>
      </c>
      <c r="M497" s="1" t="n">
        <v>1968</v>
      </c>
      <c r="O497" s="1" t="n">
        <v>2010</v>
      </c>
      <c r="Z497" s="1" t="n">
        <v>17</v>
      </c>
      <c r="AB497" s="1" t="n">
        <v>8</v>
      </c>
      <c r="AD497" s="4" t="str">
        <f aca="false">IF(AND(Z497&gt;0,AC497&gt;0),(AC497/((Z497+AA497)*10)),"")</f>
        <v/>
      </c>
      <c r="AE497" s="1" t="n">
        <v>60</v>
      </c>
      <c r="AF497" s="1" t="n">
        <f aca="false">ROUND(AE497*1.6, 0)</f>
        <v>96</v>
      </c>
      <c r="AH497" s="1" t="n">
        <v>10</v>
      </c>
      <c r="AI497" s="1" t="n">
        <v>10</v>
      </c>
      <c r="AL497" s="5" t="n">
        <v>45</v>
      </c>
      <c r="AM497" s="1" t="str">
        <f aca="false">CONCATENATE(VLOOKUP(AN497, 'Voxel Sizes'!$A$2:$B$18,2,FALSE()),"x",INT(AJ497*15), "x", INT(AK497*15))</f>
        <v>102x0x0</v>
      </c>
      <c r="AN497" s="1" t="n">
        <f aca="false">ROUND(15*((AI497*10)/256),0)</f>
        <v>6</v>
      </c>
      <c r="AP497" s="1" t="str">
        <f aca="false">CONCATENATE(VLOOKUP(AN497,Constants!$A$2:$C$16,IF(AO497&lt;&gt;"", 3, 2), FALSE()),IF(AO497&lt;&gt;"",CONCATENATE(",",VLOOKUP(AO497,$B:$AP,41,FALSE())),""))</f>
        <v>2,2,2</v>
      </c>
      <c r="AZ497" s="1" t="n">
        <v>30</v>
      </c>
      <c r="BA497" s="16" t="n">
        <f aca="false">IF(O497&lt;&gt;"",MAX(16,(O497-M497)+8),"")</f>
        <v>50</v>
      </c>
      <c r="BD497" s="1" t="n">
        <f aca="false">MIN(AE497/150, 1)*30</f>
        <v>12</v>
      </c>
      <c r="BE497" s="1" t="n">
        <f aca="false">MIN(Q497/4000, 1)*20</f>
        <v>0</v>
      </c>
      <c r="BF497" s="1" t="n">
        <f aca="false">MIN(AC497/400,1)*20</f>
        <v>0</v>
      </c>
      <c r="BG497" s="4" t="n">
        <f aca="false">1-(MAX(M497-1900, 0)/750)</f>
        <v>0.909333333333333</v>
      </c>
      <c r="BH497" s="1" t="n">
        <f aca="false">((MAX($P497,1)*MIN($AL497/300,1)))*IF(J497="Wagon",50,10)</f>
        <v>7.5</v>
      </c>
      <c r="BI497" s="1" t="n">
        <f aca="false">VLOOKUP($K497,Constants!$I:$K, 2, FALSE())</f>
        <v>1</v>
      </c>
      <c r="BJ497" s="1" t="n">
        <f aca="false">VLOOKUP($K497,Constants!$I:$K, 3, FALSE())*IF(AND(J497="multiple_unit",AE497&lt;110),0.75,1)</f>
        <v>0.45</v>
      </c>
      <c r="BK497" s="1" t="n">
        <f aca="false">INT(POWER(((Constants!$G$2+$BD497+$BE497+$BF497+$BH497)*$BG497)*$BJ497, 1.05))+$BC497</f>
        <v>11</v>
      </c>
      <c r="BL497" s="1" t="n">
        <f aca="false">INT(POWER((((Constants!$G$1+$BD497+$BE497+$BF497+$BH497)*($BG497))*$BI497),IF($J497="wagon",1,1.2)))+$BB497</f>
        <v>31</v>
      </c>
      <c r="BM497" s="17" t="n">
        <f aca="false">BK497*IF($J497="wagon",62.5,781.25)</f>
        <v>687.5</v>
      </c>
      <c r="BN497" s="17" t="n">
        <f aca="false">BL497*IF($J497="wagon",2.73,81.25)</f>
        <v>84.63</v>
      </c>
      <c r="BU497" s="1" t="str">
        <f aca="false">IF(J497="locomotive","B","")</f>
        <v/>
      </c>
      <c r="BV497" s="1" t="str">
        <f aca="false">IF(OR($J497="locomotive",$J497="wagon"),"B","")</f>
        <v>B</v>
      </c>
      <c r="BY497" s="1" t="n">
        <v>1</v>
      </c>
      <c r="BZ497" s="1" t="n">
        <v>185</v>
      </c>
      <c r="CB497" s="1" t="s">
        <v>1842</v>
      </c>
      <c r="CC497" s="1" t="s">
        <v>1834</v>
      </c>
      <c r="CD497" s="1" t="str">
        <f aca="false">VLOOKUP(M497,Eras!$A$2:$C$10, 2, TRUE())</f>
        <v>dsl</v>
      </c>
      <c r="CE497" s="1" t="s">
        <v>1835</v>
      </c>
      <c r="CF497" s="1" t="str">
        <f aca="false">CONCATENATE(CD497,"_",CE497)</f>
        <v>dsl_Open Wagon</v>
      </c>
      <c r="CG497" s="1" t="str">
        <f aca="false">_xlfn.CONCAT(K497, "_",L497)</f>
        <v>wagon_RAIL</v>
      </c>
      <c r="CH497" s="7" t="str">
        <f aca="false">_xlfn.CONCAT("{BLACK}Length: {GOLD}", TEXT(ROUNDUP(IF(AS497&lt;&gt;"",SUM(VALUE(_xlfn.TEXTSPLIT(AS497, ","))), SUM(VALUE(_xlfn.TEXTSPLIT(AP497, ",")))*IF(P497, P497, 1))/16, 1), "#,##0.0"), " tiles{}")</f>
        <v>{BLACK}Length: {GOLD}0.4 tiles{}</v>
      </c>
      <c r="CI497" s="1" t="str">
        <f aca="false">IF(0, VLOOKUP($CG497, Constants!$M:$N, 2, FALSE()),"")</f>
        <v/>
      </c>
      <c r="CJ497" s="1" t="str">
        <f aca="false">IF(P497&gt;1,_xlfn.CONCAT("{BLACK}Cars: {GOLD}", P497),"")</f>
        <v/>
      </c>
      <c r="CK497" s="1" t="s">
        <v>1871</v>
      </c>
      <c r="CL497" s="1" t="str">
        <f aca="false">IF($BX497="concept_trains","{GREEN}Concept Vehicle",IF($BX497="!param_no_gameplay_units","{GREEN}Included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{GOLD}0.4 tiles{}{SILVER}MGR "merry-go-round" hoppers enabled coal trains to load and unload without stopping, emptying coal into discharge hoppers underneath the wagons. In OpenTTD this is represented by faster loading speeds.</v>
      </c>
      <c r="CO497" s="1" t="n">
        <v>1</v>
      </c>
    </row>
    <row r="498" customFormat="false" ht="14.25" hidden="false" customHeight="false" outlineLevel="0" collapsed="false">
      <c r="A498" s="1" t="s">
        <v>1872</v>
      </c>
      <c r="B498" s="15" t="s">
        <v>1873</v>
      </c>
      <c r="C498" s="1" t="n">
        <v>57</v>
      </c>
      <c r="E498" s="1" t="n">
        <v>1510</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241</v>
      </c>
      <c r="J498" s="1" t="s">
        <v>1580</v>
      </c>
      <c r="K498" s="1" t="s">
        <v>1580</v>
      </c>
      <c r="L498" s="1" t="s">
        <v>192</v>
      </c>
      <c r="M498" s="1" t="n">
        <v>2000</v>
      </c>
      <c r="Z498" s="1" t="n">
        <v>24</v>
      </c>
      <c r="AB498" s="1" t="n">
        <v>8</v>
      </c>
      <c r="AD498" s="4" t="str">
        <f aca="false">IF(AND(Z498&gt;0,AC498&gt;0),(AC498/((Z498+AA498)*10)),"")</f>
        <v/>
      </c>
      <c r="AE498" s="1" t="n">
        <v>80</v>
      </c>
      <c r="AF498" s="1" t="n">
        <f aca="false">ROUND(AE498*1.6, 0)</f>
        <v>128</v>
      </c>
      <c r="AH498" s="1" t="n">
        <v>19.7</v>
      </c>
      <c r="AI498" s="1" t="n">
        <v>19.4</v>
      </c>
      <c r="AL498" s="5" t="n">
        <v>78</v>
      </c>
      <c r="AM498" s="1" t="str">
        <f aca="false">CONCATENATE(VLOOKUP(AN498, 'Voxel Sizes'!$A$2:$B$18,2,FALSE()),"x",INT(AJ498*15), "x", INT(AK498*15))</f>
        <v>186x0x0</v>
      </c>
      <c r="AN498" s="1" t="n">
        <f aca="false">ROUND(15*((AI498*10)/256),0)</f>
        <v>11</v>
      </c>
      <c r="AP498" s="1" t="str">
        <f aca="false">CONCATENATE(VLOOKUP(AN498,Constants!$A$2:$C$16,IF(AO498&lt;&gt;"", 3, 2), FALSE()),IF(AO498&lt;&gt;"",CONCATENATE(",",VLOOKUP(AO498,$B:$AP,41,FALSE())),""))</f>
        <v>4,3,4</v>
      </c>
      <c r="AZ498" s="1" t="n">
        <v>30</v>
      </c>
      <c r="BA498" s="16" t="str">
        <f aca="false">IF(O498&lt;&gt;"",MAX(16,(O498-M498)+8),"")</f>
        <v/>
      </c>
      <c r="BD498" s="1" t="n">
        <f aca="false">MIN(AE498/150, 1)*30</f>
        <v>16</v>
      </c>
      <c r="BE498" s="1" t="n">
        <f aca="false">MIN(Q498/4000, 1)*20</f>
        <v>0</v>
      </c>
      <c r="BF498" s="1" t="n">
        <f aca="false">MIN(AC498/400,1)*20</f>
        <v>0</v>
      </c>
      <c r="BG498" s="4" t="n">
        <f aca="false">1-(MAX(M498-1900, 0)/750)</f>
        <v>0.866666666666667</v>
      </c>
      <c r="BH498" s="1" t="n">
        <f aca="false">((MAX($P498,1)*MIN($AL498/300,1)))*IF(J498="Wagon",50,10)</f>
        <v>13</v>
      </c>
      <c r="BI498" s="1" t="n">
        <f aca="false">VLOOKUP($K498,Constants!$I:$K, 2, FALSE())</f>
        <v>1</v>
      </c>
      <c r="BJ498" s="1" t="n">
        <f aca="false">VLOOKUP($K498,Constants!$I:$K, 3, FALSE())*IF(AND(J498="multiple_unit",AE498&lt;110),0.75,1)</f>
        <v>0.45</v>
      </c>
      <c r="BK498" s="1" t="n">
        <f aca="false">INT(POWER(((Constants!$G$2+$BD498+$BE498+$BF498+$BH498)*$BG498)*$BJ498, 1.05))+$BC498</f>
        <v>15</v>
      </c>
      <c r="BL498" s="1" t="n">
        <f aca="false">INT(POWER((((Constants!$G$1+$BD498+$BE498+$BF498+$BH498)*($BG498))*$BI498),IF($J498="wagon",1,1.2)))+$BB498</f>
        <v>38</v>
      </c>
      <c r="BM498" s="17" t="n">
        <f aca="false">BK498*IF($J498="wagon",62.5,781.25)</f>
        <v>937.5</v>
      </c>
      <c r="BN498" s="17" t="n">
        <f aca="false">BL498*IF($J498="wagon",2.73,81.25)</f>
        <v>103.74</v>
      </c>
      <c r="BU498" s="1" t="str">
        <f aca="false">IF(J498="locomotive","B","")</f>
        <v/>
      </c>
      <c r="BV498" s="1" t="str">
        <f aca="false">IF(OR($J498="locomotive",$J498="wagon"),"B","")</f>
        <v>B</v>
      </c>
      <c r="BY498" s="1" t="n">
        <v>1</v>
      </c>
      <c r="BZ498" s="1" t="n">
        <v>185</v>
      </c>
      <c r="CB498" s="1" t="s">
        <v>1842</v>
      </c>
      <c r="CC498" s="1" t="s">
        <v>1834</v>
      </c>
      <c r="CD498" s="1" t="str">
        <f aca="false">VLOOKUP(M498,Eras!$A$2:$C$10, 2, TRUE())</f>
        <v>prv</v>
      </c>
      <c r="CE498" s="1" t="s">
        <v>1835</v>
      </c>
      <c r="CF498" s="1" t="str">
        <f aca="false">CONCATENATE(CD498,"_",CE498)</f>
        <v>prv_Open Wagon</v>
      </c>
      <c r="CG498" s="1" t="str">
        <f aca="false">_xlfn.CONCAT(K498, "_",L498)</f>
        <v>wagon_RAIL</v>
      </c>
      <c r="CH498" s="7" t="str">
        <f aca="false">_xlfn.CONCAT("{BLACK}Length: {GOLD}", TEXT(ROUNDUP(IF(AS498&lt;&gt;"",SUM(VALUE(_xlfn.TEXTSPLIT(AS498, ","))), SUM(VALUE(_xlfn.TEXTSPLIT(AP498, ",")))*IF(P498, P498, 1))/16, 1), "#,##0.0"), " tiles{}")</f>
        <v>{BLACK}Length: {GOLD}0.7 tiles{}</v>
      </c>
      <c r="CI498" s="1" t="str">
        <f aca="false">IF(0, VLOOKUP($CG498, Constants!$M:$N, 2, FALSE()),"")</f>
        <v/>
      </c>
      <c r="CJ498" s="1" t="str">
        <f aca="false">IF(P498&gt;1,_xlfn.CONCAT("{BLACK}Cars: {GOLD}", P498),"")</f>
        <v/>
      </c>
      <c r="CK498" s="1" t="s">
        <v>1874</v>
      </c>
      <c r="CL498" s="1" t="str">
        <f aca="false">IF($BX498="concept_trains","{GREEN}Concept Vehicle",IF($BX498="!param_no_gameplay_units","{GREEN}Included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{GOLD}0.7 tiles{}{SILVER}The HHA is a large self-discharging hopper built for Freightliner to use on coal trains.</v>
      </c>
      <c r="CO498" s="1" t="n">
        <v>1</v>
      </c>
    </row>
    <row r="499" customFormat="false" ht="14.25" hidden="false" customHeight="false" outlineLevel="0" collapsed="false">
      <c r="A499" s="1" t="s">
        <v>1875</v>
      </c>
      <c r="B499" s="15" t="s">
        <v>1876</v>
      </c>
      <c r="C499" s="1" t="n">
        <v>58</v>
      </c>
      <c r="E499" s="1" t="n">
        <v>1511</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241</v>
      </c>
      <c r="J499" s="1" t="s">
        <v>1580</v>
      </c>
      <c r="K499" s="1" t="s">
        <v>1580</v>
      </c>
      <c r="L499" s="1" t="s">
        <v>192</v>
      </c>
      <c r="M499" s="1" t="n">
        <v>1930</v>
      </c>
      <c r="O499" s="1" t="n">
        <v>1970</v>
      </c>
      <c r="Z499" s="1" t="n">
        <v>7</v>
      </c>
      <c r="AB499" s="1" t="n">
        <v>9</v>
      </c>
      <c r="AD499" s="4" t="str">
        <f aca="false">IF(AND(Z499&gt;0,AC499&gt;0),(AC499/((Z499+AA499)*10)),"")</f>
        <v/>
      </c>
      <c r="AE499" s="1" t="n">
        <v>60</v>
      </c>
      <c r="AF499" s="1" t="n">
        <f aca="false">ROUND(AE499*1.6, 0)</f>
        <v>96</v>
      </c>
      <c r="AH499" s="1" t="n">
        <v>8</v>
      </c>
      <c r="AI499" s="1" t="n">
        <v>8</v>
      </c>
      <c r="AL499" s="5" t="n">
        <v>27</v>
      </c>
      <c r="AM499" s="1" t="str">
        <f aca="false">CONCATENATE(VLOOKUP(AN499, 'Voxel Sizes'!$A$2:$B$18,2,FALSE()),"x",INT(AJ499*15), "x", INT(AK499*15))</f>
        <v>82x0x0</v>
      </c>
      <c r="AN499" s="1" t="n">
        <f aca="false">ROUND(15*((AI499*10)/256),0)</f>
        <v>5</v>
      </c>
      <c r="AP499" s="1" t="str">
        <f aca="false">CONCATENATE(VLOOKUP(AN499,Constants!$A$2:$C$16,IF(AO499&lt;&gt;"", 3, 2), FALSE()),IF(AO499&lt;&gt;"",CONCATENATE(",",VLOOKUP(AO499,$B:$AP,41,FALSE())),""))</f>
        <v>2,1,2</v>
      </c>
      <c r="AZ499" s="1" t="n">
        <v>30</v>
      </c>
      <c r="BA499" s="16" t="n">
        <f aca="false">IF(O499&lt;&gt;"",MAX(16,(O499-M499)+8),"")</f>
        <v>48</v>
      </c>
      <c r="BD499" s="1" t="n">
        <f aca="false">MIN(AE499/150, 1)*30</f>
        <v>12</v>
      </c>
      <c r="BE499" s="1" t="n">
        <f aca="false">MIN(Q499/4000, 1)*20</f>
        <v>0</v>
      </c>
      <c r="BF499" s="1" t="n">
        <f aca="false">MIN(AC499/400,1)*20</f>
        <v>0</v>
      </c>
      <c r="BG499" s="4" t="n">
        <f aca="false">1-(MAX(M499-1900, 0)/750)</f>
        <v>0.96</v>
      </c>
      <c r="BH499" s="1" t="n">
        <f aca="false">((MAX($P499,1)*MIN($AL499/300,1)))*IF(J499="Wagon",50,10)</f>
        <v>4.5</v>
      </c>
      <c r="BI499" s="1" t="n">
        <f aca="false">VLOOKUP($K499,Constants!$I:$K, 2, FALSE())</f>
        <v>1</v>
      </c>
      <c r="BJ499" s="1" t="n">
        <f aca="false">VLOOKUP($K499,Constants!$I:$K, 3, FALSE())*IF(AND(J499="multiple_unit",AE499&lt;110),0.75,1)</f>
        <v>0.45</v>
      </c>
      <c r="BK499" s="1" t="n">
        <f aca="false">INT(POWER(((Constants!$G$2+$BD499+$BE499+$BF499+$BH499)*$BG499)*$BJ499, 1.05))+$BC499</f>
        <v>10</v>
      </c>
      <c r="BL499" s="1" t="n">
        <f aca="false">INT(POWER((((Constants!$G$1+$BD499+$BE499+$BF499+$BH499)*($BG499))*$BI499),IF($J499="wagon",1,1.2)))+$BB499</f>
        <v>30</v>
      </c>
      <c r="BM499" s="17" t="n">
        <f aca="false">BK499*IF($J499="wagon",62.5,781.25)</f>
        <v>625</v>
      </c>
      <c r="BN499" s="17" t="n">
        <f aca="false">BL499*IF($J499="wagon",2.73,81.25)</f>
        <v>81.9</v>
      </c>
      <c r="BU499" s="1" t="str">
        <f aca="false">IF(J499="locomotive","B","")</f>
        <v/>
      </c>
      <c r="BV499" s="1" t="str">
        <f aca="false">IF(OR($J499="locomotive",$J499="wagon"),"B","")</f>
        <v>B</v>
      </c>
      <c r="BY499" s="1" t="n">
        <v>1</v>
      </c>
      <c r="BZ499" s="1" t="n">
        <v>185</v>
      </c>
      <c r="CB499" s="1" t="s">
        <v>1463</v>
      </c>
      <c r="CC499" s="1" t="s">
        <v>1464</v>
      </c>
      <c r="CD499" s="1" t="str">
        <f aca="false">VLOOKUP(M499,Eras!$A$2:$C$10, 2, TRUE())</f>
        <v>big4</v>
      </c>
      <c r="CE499" s="1" t="s">
        <v>1877</v>
      </c>
      <c r="CF499" s="1" t="str">
        <f aca="false">CONCATENATE(CD499,"_",CE499)</f>
        <v>big4_Extra</v>
      </c>
      <c r="CG499" s="1" t="str">
        <f aca="false">_xlfn.CONCAT(K499, "_",L499)</f>
        <v>wagon_RAIL</v>
      </c>
      <c r="CH499" s="7" t="str">
        <f aca="false">_xlfn.CONCAT("{BLACK}Length: {GOLD}", TEXT(ROUNDUP(IF(AS499&lt;&gt;"",SUM(VALUE(_xlfn.TEXTSPLIT(AS499, ","))), SUM(VALUE(_xlfn.TEXTSPLIT(AP499, ",")))*IF(P499, P499, 1))/16, 1), "#,##0.0"), " tiles{}")</f>
        <v>{BLACK}Length: {GOLD}0.4 tiles{}</v>
      </c>
      <c r="CI499" s="1" t="str">
        <f aca="false">IF(0, VLOOKUP($CG499, Constants!$M:$N, 2, FALSE()),"")</f>
        <v/>
      </c>
      <c r="CJ499" s="1" t="str">
        <f aca="false">IF(P499&gt;1,_xlfn.CONCAT("{BLACK}Cars: {GOLD}", P499),"")</f>
        <v/>
      </c>
      <c r="CK499" s="1" t="s">
        <v>1878</v>
      </c>
      <c r="CL499" s="1" t="str">
        <f aca="false">IF($BX499="concept_trains","{GREEN}Concept Vehicle",IF($BX499="!param_no_gameplay_units","{GREEN}Included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{GOLD}0.4 tiles{}{SILVER}Conflats were built to carry containers, meaning goods could be loaded separately and then the whole container placed on the train in one operation.</v>
      </c>
    </row>
    <row r="500" customFormat="false" ht="14.25" hidden="false" customHeight="false" outlineLevel="0" collapsed="false">
      <c r="A500" s="1" t="s">
        <v>1879</v>
      </c>
      <c r="B500" s="15" t="s">
        <v>1880</v>
      </c>
      <c r="C500" s="1" t="n">
        <v>59</v>
      </c>
      <c r="E500" s="1" t="n">
        <v>1512</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241</v>
      </c>
      <c r="J500" s="1" t="s">
        <v>1580</v>
      </c>
      <c r="K500" s="1" t="s">
        <v>1580</v>
      </c>
      <c r="L500" s="1" t="s">
        <v>192</v>
      </c>
      <c r="M500" s="1" t="n">
        <v>1964</v>
      </c>
      <c r="O500" s="1" t="n">
        <v>1995</v>
      </c>
      <c r="Z500" s="1" t="n">
        <v>17</v>
      </c>
      <c r="AB500" s="1" t="n">
        <v>9</v>
      </c>
      <c r="AD500" s="4" t="str">
        <f aca="false">IF(AND(Z500&gt;0,AC500&gt;0),(AC500/((Z500+AA500)*10)),"")</f>
        <v/>
      </c>
      <c r="AE500" s="1" t="n">
        <v>70</v>
      </c>
      <c r="AF500" s="1" t="n">
        <f aca="false">ROUND(AE500*1.6, 0)</f>
        <v>112</v>
      </c>
      <c r="AH500" s="1" t="n">
        <v>19.3</v>
      </c>
      <c r="AI500" s="1" t="n">
        <v>19.3</v>
      </c>
      <c r="AL500" s="5" t="n">
        <v>60</v>
      </c>
      <c r="AM500" s="1" t="str">
        <f aca="false">CONCATENATE(VLOOKUP(AN500, 'Voxel Sizes'!$A$2:$B$18,2,FALSE()),"x",INT(AJ500*15), "x", INT(AK500*15))</f>
        <v>186x0x0</v>
      </c>
      <c r="AN500" s="1" t="n">
        <f aca="false">ROUND(15*((AI500*10)/256),0)</f>
        <v>11</v>
      </c>
      <c r="AP500" s="1" t="str">
        <f aca="false">CONCATENATE(VLOOKUP(AN500,Constants!$A$2:$C$16,IF(AO500&lt;&gt;"", 3, 2), FALSE()),IF(AO500&lt;&gt;"",CONCATENATE(",",VLOOKUP(AO500,$B:$AP,41,FALSE())),""))</f>
        <v>4,3,4</v>
      </c>
      <c r="AZ500" s="1" t="n">
        <v>30</v>
      </c>
      <c r="BA500" s="16" t="n">
        <f aca="false">IF(O500&lt;&gt;"",MAX(16,(O500-M500)+8),"")</f>
        <v>39</v>
      </c>
      <c r="BD500" s="1" t="n">
        <f aca="false">MIN(AE500/150, 1)*30</f>
        <v>14</v>
      </c>
      <c r="BE500" s="1" t="n">
        <f aca="false">MIN(Q500/4000, 1)*20</f>
        <v>0</v>
      </c>
      <c r="BF500" s="1" t="n">
        <f aca="false">MIN(AC500/400,1)*20</f>
        <v>0</v>
      </c>
      <c r="BG500" s="4" t="n">
        <f aca="false">1-(MAX(M500-1900, 0)/750)</f>
        <v>0.914666666666667</v>
      </c>
      <c r="BH500" s="1" t="n">
        <f aca="false">((MAX($P500,1)*MIN($AL500/300,1)))*IF(J500="Wagon",50,10)</f>
        <v>10</v>
      </c>
      <c r="BI500" s="1" t="n">
        <f aca="false">VLOOKUP($K500,Constants!$I:$K, 2, FALSE())</f>
        <v>1</v>
      </c>
      <c r="BJ500" s="1" t="n">
        <f aca="false">VLOOKUP($K500,Constants!$I:$K, 3, FALSE())*IF(AND(J500="multiple_unit",AE500&lt;110),0.75,1)</f>
        <v>0.45</v>
      </c>
      <c r="BK500" s="1" t="n">
        <f aca="false">INT(POWER(((Constants!$G$2+$BD500+$BE500+$BF500+$BH500)*$BG500)*$BJ500, 1.05))+$BC500</f>
        <v>13</v>
      </c>
      <c r="BL500" s="1" t="n">
        <f aca="false">INT(POWER((((Constants!$G$1+$BD500+$BE500+$BF500+$BH500)*($BG500))*$BI500),IF($J500="wagon",1,1.2)))+$BB500</f>
        <v>35</v>
      </c>
      <c r="BM500" s="17" t="n">
        <f aca="false">BK500*IF($J500="wagon",62.5,781.25)</f>
        <v>812.5</v>
      </c>
      <c r="BN500" s="17" t="n">
        <f aca="false">BL500*IF($J500="wagon",2.73,81.25)</f>
        <v>95.55</v>
      </c>
      <c r="BU500" s="1" t="str">
        <f aca="false">IF(J500="locomotive","B","")</f>
        <v/>
      </c>
      <c r="BV500" s="1" t="str">
        <f aca="false">IF(OR($J500="locomotive",$J500="wagon"),"B","")</f>
        <v>B</v>
      </c>
      <c r="BY500" s="1" t="n">
        <v>1</v>
      </c>
      <c r="BZ500" s="1" t="n">
        <v>185</v>
      </c>
      <c r="CB500" s="1" t="s">
        <v>1463</v>
      </c>
      <c r="CC500" s="1" t="s">
        <v>1464</v>
      </c>
      <c r="CD500" s="1" t="str">
        <f aca="false">VLOOKUP(M500,Eras!$A$2:$C$10, 2, TRUE())</f>
        <v>dsl</v>
      </c>
      <c r="CE500" s="1" t="s">
        <v>1877</v>
      </c>
      <c r="CF500" s="1" t="str">
        <f aca="false">CONCATENATE(CD500,"_",CE500)</f>
        <v>dsl_Extra</v>
      </c>
      <c r="CG500" s="1" t="str">
        <f aca="false">_xlfn.CONCAT(K500, "_",L500)</f>
        <v>wagon_RAIL</v>
      </c>
      <c r="CH500" s="7" t="str">
        <f aca="false">_xlfn.CONCAT("{BLACK}Length: {GOLD}", TEXT(ROUNDUP(IF(AS500&lt;&gt;"",SUM(VALUE(_xlfn.TEXTSPLIT(AS500, ","))), SUM(VALUE(_xlfn.TEXTSPLIT(AP500, ",")))*IF(P500, P500, 1))/16, 1), "#,##0.0"), " tiles{}")</f>
        <v>{BLACK}Length: {GOLD}0.7 tiles{}</v>
      </c>
      <c r="CI500" s="1" t="str">
        <f aca="false">IF(0, VLOOKUP($CG500, Constants!$M:$N, 2, FALSE()),"")</f>
        <v/>
      </c>
      <c r="CJ500" s="1" t="str">
        <f aca="false">IF(P500&gt;1,_xlfn.CONCAT("{BLACK}Cars: {GOLD}", P500),"")</f>
        <v/>
      </c>
      <c r="CK500" s="1" t="s">
        <v>1881</v>
      </c>
      <c r="CL500" s="1" t="str">
        <f aca="false">IF($BX500="concept_trains","{GREEN}Concept Vehicle",IF($BX500="!param_no_gameplay_units","{GREEN}Included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{GOLD}0.7 tiles{}{SILVER}The FFA container wagons were a major advance over short-wheelbase conflats when built, and being easily adapted to the then-new ISO container standard only increased this advantage.</v>
      </c>
    </row>
    <row r="501" customFormat="false" ht="14.25" hidden="false" customHeight="false" outlineLevel="0" collapsed="false">
      <c r="A501" s="1" t="s">
        <v>1882</v>
      </c>
      <c r="B501" s="15" t="s">
        <v>1883</v>
      </c>
      <c r="C501" s="1" t="n">
        <v>60</v>
      </c>
      <c r="E501" s="1" t="n">
        <v>1513</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241</v>
      </c>
      <c r="J501" s="1" t="s">
        <v>1580</v>
      </c>
      <c r="K501" s="1" t="s">
        <v>1580</v>
      </c>
      <c r="L501" s="1" t="s">
        <v>192</v>
      </c>
      <c r="M501" s="1" t="n">
        <v>1991</v>
      </c>
      <c r="Z501" s="1" t="n">
        <v>17</v>
      </c>
      <c r="AB501" s="1" t="n">
        <v>9</v>
      </c>
      <c r="AD501" s="4" t="str">
        <f aca="false">IF(AND(Z501&gt;0,AC501&gt;0),(AC501/((Z501+AA501)*10)),"")</f>
        <v/>
      </c>
      <c r="AE501" s="1" t="n">
        <v>90</v>
      </c>
      <c r="AF501" s="1" t="n">
        <f aca="false">ROUND(AE501*1.6, 0)</f>
        <v>144</v>
      </c>
      <c r="AH501" s="1" t="n">
        <v>19.3</v>
      </c>
      <c r="AI501" s="1" t="n">
        <v>19.3</v>
      </c>
      <c r="AL501" s="5" t="n">
        <v>60</v>
      </c>
      <c r="AM501" s="1" t="str">
        <f aca="false">CONCATENATE(VLOOKUP(AN501, 'Voxel Sizes'!$A$2:$B$18,2,FALSE()),"x",INT(AJ501*15), "x", INT(AK501*15))</f>
        <v>186x0x0</v>
      </c>
      <c r="AN501" s="1" t="n">
        <f aca="false">ROUND(15*((AI501*10)/256),0)</f>
        <v>11</v>
      </c>
      <c r="AP501" s="1" t="str">
        <f aca="false">CONCATENATE(VLOOKUP(AN501,Constants!$A$2:$C$16,IF(AO501&lt;&gt;"", 3, 2), FALSE()),IF(AO501&lt;&gt;"",CONCATENATE(",",VLOOKUP(AO501,$B:$AP,41,FALSE())),""))</f>
        <v>4,3,4</v>
      </c>
      <c r="AZ501" s="1" t="n">
        <v>30</v>
      </c>
      <c r="BA501" s="16" t="str">
        <f aca="false">IF(O501&lt;&gt;"",MAX(16,(O501-M501)+8),"")</f>
        <v/>
      </c>
      <c r="BD501" s="1" t="n">
        <f aca="false">MIN(AE501/150, 1)*30</f>
        <v>18</v>
      </c>
      <c r="BE501" s="1" t="n">
        <f aca="false">MIN(Q501/4000, 1)*20</f>
        <v>0</v>
      </c>
      <c r="BF501" s="1" t="n">
        <f aca="false">MIN(AC501/400,1)*20</f>
        <v>0</v>
      </c>
      <c r="BG501" s="4" t="n">
        <f aca="false">1-(MAX(M501-1900, 0)/750)</f>
        <v>0.878666666666667</v>
      </c>
      <c r="BH501" s="1" t="n">
        <f aca="false">((MAX($P501,1)*MIN($AL501/300,1)))*IF(J501="Wagon",50,10)</f>
        <v>10</v>
      </c>
      <c r="BI501" s="1" t="n">
        <f aca="false">VLOOKUP($K501,Constants!$I:$K, 2, FALSE())</f>
        <v>1</v>
      </c>
      <c r="BJ501" s="1" t="n">
        <f aca="false">VLOOKUP($K501,Constants!$I:$K, 3, FALSE())*IF(AND(J501="multiple_unit",AE501&lt;110),0.75,1)</f>
        <v>0.45</v>
      </c>
      <c r="BK501" s="1" t="n">
        <f aca="false">INT(POWER(((Constants!$G$2+$BD501+$BE501+$BF501+$BH501)*$BG501)*$BJ501, 1.05))+$BC501</f>
        <v>14</v>
      </c>
      <c r="BL501" s="1" t="n">
        <f aca="false">INT(POWER((((Constants!$G$1+$BD501+$BE501+$BF501+$BH501)*($BG501))*$BI501),IF($J501="wagon",1,1.2)))+$BB501</f>
        <v>37</v>
      </c>
      <c r="BM501" s="17" t="n">
        <f aca="false">BK501*IF($J501="wagon",62.5,781.25)</f>
        <v>875</v>
      </c>
      <c r="BN501" s="17" t="n">
        <f aca="false">BL501*IF($J501="wagon",2.73,81.25)</f>
        <v>101.01</v>
      </c>
      <c r="BU501" s="1" t="str">
        <f aca="false">IF(J501="locomotive","B","")</f>
        <v/>
      </c>
      <c r="BV501" s="1" t="str">
        <f aca="false">IF(OR($J501="locomotive",$J501="wagon"),"B","")</f>
        <v>B</v>
      </c>
      <c r="BY501" s="1" t="n">
        <v>1</v>
      </c>
      <c r="BZ501" s="1" t="n">
        <v>185</v>
      </c>
      <c r="CB501" s="1" t="s">
        <v>1463</v>
      </c>
      <c r="CC501" s="1" t="s">
        <v>1464</v>
      </c>
      <c r="CD501" s="1" t="str">
        <f aca="false">VLOOKUP(M501,Eras!$A$2:$C$10, 2, TRUE())</f>
        <v>lbr</v>
      </c>
      <c r="CE501" s="1" t="s">
        <v>1877</v>
      </c>
      <c r="CF501" s="1" t="str">
        <f aca="false">CONCATENATE(CD501,"_",CE501)</f>
        <v>lbr_Extra</v>
      </c>
      <c r="CG501" s="1" t="str">
        <f aca="false">_xlfn.CONCAT(K501, "_",L501)</f>
        <v>wagon_RAIL</v>
      </c>
      <c r="CH501" s="7" t="str">
        <f aca="false">_xlfn.CONCAT("{BLACK}Length: {GOLD}", TEXT(ROUNDUP(IF(AS501&lt;&gt;"",SUM(VALUE(_xlfn.TEXTSPLIT(AS501, ","))), SUM(VALUE(_xlfn.TEXTSPLIT(AP501, ",")))*IF(P501, P501, 1))/16, 1), "#,##0.0"), " tiles{}")</f>
        <v>{BLACK}Length: {GOLD}0.7 tiles{}</v>
      </c>
      <c r="CI501" s="1" t="str">
        <f aca="false">IF(0, VLOOKUP($CG501, Constants!$M:$N, 2, FALSE()),"")</f>
        <v/>
      </c>
      <c r="CJ501" s="1" t="str">
        <f aca="false">IF(P501&gt;1,_xlfn.CONCAT("{BLACK}Cars: {GOLD}", P501),"")</f>
        <v/>
      </c>
      <c r="CK501" s="1" t="s">
        <v>1884</v>
      </c>
      <c r="CL501" s="1" t="str">
        <f aca="false">IF($BX501="concept_trains","{GREEN}Concept Vehicle",IF($BX501="!param_no_gameplay_units","{GREEN}Included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{GOLD}0.7 tiles{}{SILVER}Freightliner had considered replacing the FFA wagons with a shorter 40ft container flat, but the poor running quality of fixed axle wagons resulted in the choice of another standard bogie flat.</v>
      </c>
    </row>
    <row r="502" customFormat="false" ht="14.25" hidden="false" customHeight="false" outlineLevel="0" collapsed="false">
      <c r="A502" s="1" t="s">
        <v>1885</v>
      </c>
      <c r="B502" s="15" t="s">
        <v>1886</v>
      </c>
      <c r="C502" s="1" t="n">
        <v>61</v>
      </c>
      <c r="E502" s="1" t="n">
        <v>1514</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241</v>
      </c>
      <c r="J502" s="1" t="s">
        <v>1580</v>
      </c>
      <c r="K502" s="1" t="s">
        <v>1580</v>
      </c>
      <c r="L502" s="1" t="s">
        <v>192</v>
      </c>
      <c r="M502" s="1" t="n">
        <v>1997</v>
      </c>
      <c r="Z502" s="1" t="n">
        <v>23</v>
      </c>
      <c r="AB502" s="1" t="n">
        <v>9</v>
      </c>
      <c r="AD502" s="4" t="str">
        <f aca="false">IF(AND(Z502&gt;0,AC502&gt;0),(AC502/((Z502+AA502)*10)),"")</f>
        <v/>
      </c>
      <c r="AE502" s="1" t="n">
        <v>90</v>
      </c>
      <c r="AF502" s="1" t="n">
        <f aca="false">ROUND(AE502*1.6, 0)</f>
        <v>144</v>
      </c>
      <c r="AH502" s="1" t="n">
        <v>19.3</v>
      </c>
      <c r="AI502" s="1" t="n">
        <v>19.3</v>
      </c>
      <c r="AL502" s="5" t="n">
        <v>51</v>
      </c>
      <c r="AM502" s="1" t="str">
        <f aca="false">CONCATENATE(VLOOKUP(AN502, 'Voxel Sizes'!$A$2:$B$18,2,FALSE()),"x",INT(AJ502*15), "x", INT(AK502*15))</f>
        <v>186x0x0</v>
      </c>
      <c r="AN502" s="1" t="n">
        <f aca="false">ROUND(15*((AI502*10)/256),0)</f>
        <v>11</v>
      </c>
      <c r="AP502" s="1" t="str">
        <f aca="false">CONCATENATE(VLOOKUP(AN502,Constants!$A$2:$C$16,IF(AO502&lt;&gt;"", 3, 2), FALSE()),IF(AO502&lt;&gt;"",CONCATENATE(",",VLOOKUP(AO502,$B:$AP,41,FALSE())),""))</f>
        <v>4,3,4</v>
      </c>
      <c r="AZ502" s="1" t="n">
        <v>30</v>
      </c>
      <c r="BA502" s="16" t="str">
        <f aca="false">IF(O502&lt;&gt;"",MAX(16,(O502-M502)+8),"")</f>
        <v/>
      </c>
      <c r="BD502" s="1" t="n">
        <f aca="false">MIN(AE502/150, 1)*30</f>
        <v>18</v>
      </c>
      <c r="BE502" s="1" t="n">
        <f aca="false">MIN(Q502/4000, 1)*20</f>
        <v>0</v>
      </c>
      <c r="BF502" s="1" t="n">
        <f aca="false">MIN(AC502/400,1)*20</f>
        <v>0</v>
      </c>
      <c r="BG502" s="4" t="n">
        <f aca="false">1-(MAX(M502-1900, 0)/750)</f>
        <v>0.870666666666667</v>
      </c>
      <c r="BH502" s="1" t="n">
        <f aca="false">((MAX($P502,1)*MIN($AL502/300,1)))*IF(J502="Wagon",50,10)</f>
        <v>8.5</v>
      </c>
      <c r="BI502" s="1" t="n">
        <f aca="false">VLOOKUP($K502,Constants!$I:$K, 2, FALSE())</f>
        <v>1</v>
      </c>
      <c r="BJ502" s="1" t="n">
        <f aca="false">VLOOKUP($K502,Constants!$I:$K, 3, FALSE())*IF(AND(J502="multiple_unit",AE502&lt;110),0.75,1)</f>
        <v>0.45</v>
      </c>
      <c r="BK502" s="1" t="n">
        <f aca="false">INT(POWER(((Constants!$G$2+$BD502+$BE502+$BF502+$BH502)*$BG502)*$BJ502, 1.05))+$BC502</f>
        <v>13</v>
      </c>
      <c r="BL502" s="1" t="n">
        <f aca="false">INT(POWER((((Constants!$G$1+$BD502+$BE502+$BF502+$BH502)*($BG502))*$BI502),IF($J502="wagon",1,1.2)))+$BB502</f>
        <v>36</v>
      </c>
      <c r="BM502" s="17" t="n">
        <f aca="false">BK502*IF($J502="wagon",62.5,781.25)</f>
        <v>812.5</v>
      </c>
      <c r="BN502" s="17" t="n">
        <f aca="false">BL502*IF($J502="wagon",2.73,81.25)</f>
        <v>98.28</v>
      </c>
      <c r="BU502" s="1" t="str">
        <f aca="false">IF(J502="locomotive","B","")</f>
        <v/>
      </c>
      <c r="BV502" s="1" t="str">
        <f aca="false">IF(OR($J502="locomotive",$J502="wagon"),"B","")</f>
        <v>B</v>
      </c>
      <c r="BY502" s="1" t="n">
        <v>1</v>
      </c>
      <c r="BZ502" s="1" t="n">
        <v>185</v>
      </c>
      <c r="CB502" s="1" t="s">
        <v>1463</v>
      </c>
      <c r="CC502" s="1" t="s">
        <v>1464</v>
      </c>
      <c r="CD502" s="1" t="str">
        <f aca="false">VLOOKUP(M502,Eras!$A$2:$C$10, 2, TRUE())</f>
        <v>prv</v>
      </c>
      <c r="CE502" s="1" t="s">
        <v>1877</v>
      </c>
      <c r="CF502" s="1" t="str">
        <f aca="false">CONCATENATE(CD502,"_",CE502)</f>
        <v>prv_Extra</v>
      </c>
      <c r="CG502" s="1" t="str">
        <f aca="false">_xlfn.CONCAT(K502, "_",L502)</f>
        <v>wagon_RAIL</v>
      </c>
      <c r="CH502" s="7" t="str">
        <f aca="false">_xlfn.CONCAT("{BLACK}Length: {GOLD}", TEXT(ROUNDUP(IF(AS502&lt;&gt;"",SUM(VALUE(_xlfn.TEXTSPLIT(AS502, ","))), SUM(VALUE(_xlfn.TEXTSPLIT(AP502, ",")))*IF(P502, P502, 1))/16, 1), "#,##0.0"), " tiles{}")</f>
        <v>{BLACK}Length: {GOLD}0.7 tiles{}</v>
      </c>
      <c r="CI502" s="1" t="str">
        <f aca="false">IF(0, VLOOKUP($CG502, Constants!$M:$N, 2, FALSE()),"")</f>
        <v/>
      </c>
      <c r="CJ502" s="1" t="str">
        <f aca="false">IF(P502&gt;1,_xlfn.CONCAT("{BLACK}Cars: {GOLD}", P502),"")</f>
        <v/>
      </c>
      <c r="CK502" s="1" t="s">
        <v>1887</v>
      </c>
      <c r="CL502" s="1" t="str">
        <f aca="false">IF($BX502="concept_trains","{GREEN}Concept Vehicle",IF($BX502="!param_no_gameplay_units","{GREEN}Included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{GOLD}0.7 tiles{}{SILVER}KTA wagons solve the problem of carrying high-cube containers in the small British loading gauge, using a "pocket" between the axles that can take either a single 40ft container or two 20ft ones.</v>
      </c>
    </row>
    <row r="503" customFormat="false" ht="14.25" hidden="false" customHeight="false" outlineLevel="0" collapsed="false">
      <c r="A503" s="1" t="s">
        <v>1888</v>
      </c>
      <c r="B503" s="15" t="s">
        <v>1889</v>
      </c>
      <c r="C503" s="1" t="n">
        <v>62</v>
      </c>
      <c r="E503" s="1" t="n">
        <v>1515</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241</v>
      </c>
      <c r="J503" s="1" t="s">
        <v>1580</v>
      </c>
      <c r="K503" s="1" t="s">
        <v>1580</v>
      </c>
      <c r="L503" s="1" t="s">
        <v>243</v>
      </c>
      <c r="M503" s="1" t="n">
        <v>1700</v>
      </c>
      <c r="O503" s="1" t="n">
        <v>1875</v>
      </c>
      <c r="Z503" s="1" t="n">
        <v>2</v>
      </c>
      <c r="AB503" s="1" t="n">
        <v>3</v>
      </c>
      <c r="AD503" s="4" t="str">
        <f aca="false">IF(AND(Z503&gt;0,AC503&gt;0),(AC503/((Z503+AA503)*10)),"")</f>
        <v/>
      </c>
      <c r="AE503" s="1" t="n">
        <v>30</v>
      </c>
      <c r="AF503" s="1" t="n">
        <f aca="false">ROUND(AE503*1.6, 0)</f>
        <v>48</v>
      </c>
      <c r="AH503" s="1" t="n">
        <v>6</v>
      </c>
      <c r="AI503" s="1" t="n">
        <v>6</v>
      </c>
      <c r="AL503" s="5" t="n">
        <v>18</v>
      </c>
      <c r="AM503" s="1" t="str">
        <f aca="false">CONCATENATE(VLOOKUP(AN503, 'Voxel Sizes'!$A$2:$B$18,2,FALSE()),"x",INT(AJ503*15), "x", INT(AK503*15))</f>
        <v>60x0x0</v>
      </c>
      <c r="AN503" s="1" t="n">
        <f aca="false">ROUND(15*((AI503*10)/256),0)</f>
        <v>4</v>
      </c>
      <c r="AP503" s="1" t="str">
        <f aca="false">CONCATENATE(VLOOKUP(AN503,Constants!$A$2:$C$16,IF(AO503&lt;&gt;"", 3, 2), FALSE()),IF(AO503&lt;&gt;"",CONCATENATE(",",VLOOKUP(AO503,$B:$AP,41,FALSE())),""))</f>
        <v>1,2,1</v>
      </c>
      <c r="AZ503" s="1" t="n">
        <v>30</v>
      </c>
      <c r="BA503" s="16" t="n">
        <f aca="false">IF(O503&lt;&gt;"",MAX(16,(O503-M503)+8),"")</f>
        <v>183</v>
      </c>
      <c r="BB503" s="1" t="n">
        <v>-15</v>
      </c>
      <c r="BC503" s="1" t="n">
        <v>-2</v>
      </c>
      <c r="BD503" s="1" t="n">
        <f aca="false">MIN(AE503/150, 1)*30</f>
        <v>6</v>
      </c>
      <c r="BE503" s="1" t="n">
        <f aca="false">MIN(Q503/4000, 1)*20</f>
        <v>0</v>
      </c>
      <c r="BF503" s="1" t="n">
        <f aca="false">MIN(AC503/400,1)*20</f>
        <v>0</v>
      </c>
      <c r="BG503" s="4" t="n">
        <f aca="false">1-(MAX(M503-1900, 0)/750)</f>
        <v>1</v>
      </c>
      <c r="BH503" s="1" t="n">
        <f aca="false">((MAX($P503,1)*MIN($AL503/300,1)))*IF(J503="Wagon",50,10)</f>
        <v>3</v>
      </c>
      <c r="BI503" s="1" t="n">
        <f aca="false">VLOOKUP($K503,Constants!$I:$K, 2, FALSE())</f>
        <v>1</v>
      </c>
      <c r="BJ503" s="1" t="n">
        <f aca="false">VLOOKUP($K503,Constants!$I:$K, 3, FALSE())*IF(AND(J503="multiple_unit",AE503&lt;110),0.75,1)</f>
        <v>0.45</v>
      </c>
      <c r="BK503" s="1" t="n">
        <f aca="false">INT(POWER(((Constants!$G$2+$BD503+$BE503+$BF503+$BH503)*$BG503)*$BJ503, 1.05))+$BC503</f>
        <v>4</v>
      </c>
      <c r="BL503" s="1" t="n">
        <f aca="false">INT(POWER((((Constants!$G$1+$BD503+$BE503+$BF503+$BH503)*($BG503))*$BI503),IF($J503="wagon",1,1.2)))+$BB503</f>
        <v>9</v>
      </c>
      <c r="BM503" s="17" t="n">
        <f aca="false">BK503*IF($J503="wagon",62.5,781.25)</f>
        <v>250</v>
      </c>
      <c r="BN503" s="17" t="n">
        <f aca="false">BL503*IF($J503="wagon",2.73,81.25)</f>
        <v>24.57</v>
      </c>
      <c r="BU503" s="1" t="str">
        <f aca="false">IF(J503="locomotive","B","")</f>
        <v/>
      </c>
      <c r="BV503" s="1" t="str">
        <f aca="false">IF(OR($J503="locomotive",$J503="wagon"),"B","")</f>
        <v>B</v>
      </c>
      <c r="BY503" s="1" t="n">
        <v>1</v>
      </c>
      <c r="BZ503" s="1" t="n">
        <v>185</v>
      </c>
      <c r="CB503" s="1" t="s">
        <v>1890</v>
      </c>
      <c r="CC503" s="1" t="s">
        <v>1891</v>
      </c>
      <c r="CD503" s="1" t="str">
        <f aca="false">VLOOKUP(M503,Eras!$A$2:$C$10, 2, TRUE())</f>
        <v>early</v>
      </c>
      <c r="CE503" s="1" t="s">
        <v>1892</v>
      </c>
      <c r="CF503" s="1" t="str">
        <f aca="false">CONCATENATE(CD503,"_",CE503)</f>
        <v>early_Flat Wagon</v>
      </c>
      <c r="CG503" s="1" t="str">
        <f aca="false">_xlfn.CONCAT(K503, "_",L503)</f>
        <v>wagon_PLATEWAY</v>
      </c>
      <c r="CH503" s="7" t="str">
        <f aca="false">_xlfn.CONCAT("{BLACK}Length: {GOLD}", TEXT(ROUNDUP(IF(AS503&lt;&gt;"",SUM(VALUE(_xlfn.TEXTSPLIT(AS503, ","))), SUM(VALUE(_xlfn.TEXTSPLIT(AP503, ",")))*IF(P503, P503, 1))/16, 1), "#,##0.0"), " tiles{}")</f>
        <v>{BLACK}Length: {GOLD}0.3 tiles{}</v>
      </c>
      <c r="CI503" s="1" t="str">
        <f aca="false">IF(0, VLOOKUP($CG503, Constants!$M:$N, 2, FALSE()),"")</f>
        <v/>
      </c>
      <c r="CJ503" s="1" t="str">
        <f aca="false">IF(P503&gt;1,_xlfn.CONCAT("{BLACK}Cars: {GOLD}", P503),"")</f>
        <v/>
      </c>
      <c r="CK503" s="1" t="s">
        <v>1893</v>
      </c>
      <c r="CL503" s="1" t="str">
        <f aca="false">IF($BX503="concept_trains","{GREEN}Concept Vehicle",IF($BX503="!param_no_gameplay_units","{GREEN}Included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{GOLD}0.3 tiles{}{SILVER}Early flat wagons had simple wooden construction, and sometimes featured stakes for securing loads.</v>
      </c>
    </row>
    <row r="504" customFormat="false" ht="14.25" hidden="false" customHeight="false" outlineLevel="0" collapsed="false">
      <c r="A504" s="1" t="s">
        <v>1894</v>
      </c>
      <c r="B504" s="15" t="s">
        <v>1895</v>
      </c>
      <c r="C504" s="1" t="n">
        <v>63</v>
      </c>
      <c r="E504" s="1" t="n">
        <v>1516</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241</v>
      </c>
      <c r="J504" s="1" t="s">
        <v>1580</v>
      </c>
      <c r="K504" s="1" t="s">
        <v>1580</v>
      </c>
      <c r="L504" s="1" t="s">
        <v>192</v>
      </c>
      <c r="M504" s="1" t="n">
        <v>1850</v>
      </c>
      <c r="O504" s="1" t="n">
        <v>1924</v>
      </c>
      <c r="Z504" s="1" t="n">
        <v>5</v>
      </c>
      <c r="AB504" s="1" t="n">
        <v>3</v>
      </c>
      <c r="AD504" s="4" t="str">
        <f aca="false">IF(AND(Z504&gt;0,AC504&gt;0),(AC504/((Z504+AA504)*10)),"")</f>
        <v/>
      </c>
      <c r="AE504" s="1" t="n">
        <v>35</v>
      </c>
      <c r="AF504" s="1" t="n">
        <f aca="false">ROUND(AE504*1.6, 0)</f>
        <v>56</v>
      </c>
      <c r="AH504" s="1" t="n">
        <v>6</v>
      </c>
      <c r="AI504" s="1" t="n">
        <v>6</v>
      </c>
      <c r="AL504" s="5" t="n">
        <v>24</v>
      </c>
      <c r="AM504" s="1" t="str">
        <f aca="false">CONCATENATE(VLOOKUP(AN504, 'Voxel Sizes'!$A$2:$B$18,2,FALSE()),"x",INT(AJ504*15), "x", INT(AK504*15))</f>
        <v>60x0x0</v>
      </c>
      <c r="AN504" s="1" t="n">
        <f aca="false">ROUND(15*((AI504*10)/256),0)</f>
        <v>4</v>
      </c>
      <c r="AP504" s="1" t="str">
        <f aca="false">CONCATENATE(VLOOKUP(AN504,Constants!$A$2:$C$16,IF(AO504&lt;&gt;"", 3, 2), FALSE()),IF(AO504&lt;&gt;"",CONCATENATE(",",VLOOKUP(AO504,$B:$AP,41,FALSE())),""))</f>
        <v>1,2,1</v>
      </c>
      <c r="AZ504" s="1" t="n">
        <v>30</v>
      </c>
      <c r="BA504" s="16" t="n">
        <f aca="false">IF(O504&lt;&gt;"",MAX(16,(O504-M504)+8),"")</f>
        <v>82</v>
      </c>
      <c r="BD504" s="1" t="n">
        <f aca="false">MIN(AE504/150, 1)*30</f>
        <v>7</v>
      </c>
      <c r="BE504" s="1" t="n">
        <f aca="false">MIN(Q504/4000, 1)*20</f>
        <v>0</v>
      </c>
      <c r="BF504" s="1" t="n">
        <f aca="false">MIN(AC504/400,1)*20</f>
        <v>0</v>
      </c>
      <c r="BG504" s="4" t="n">
        <f aca="false">1-(MAX(M504-1900, 0)/750)</f>
        <v>1</v>
      </c>
      <c r="BH504" s="1" t="n">
        <f aca="false">((MAX($P504,1)*MIN($AL504/300,1)))*IF(J504="Wagon",50,10)</f>
        <v>4</v>
      </c>
      <c r="BI504" s="1" t="n">
        <f aca="false">VLOOKUP($K504,Constants!$I:$K, 2, FALSE())</f>
        <v>1</v>
      </c>
      <c r="BJ504" s="1" t="n">
        <f aca="false">VLOOKUP($K504,Constants!$I:$K, 3, FALSE())*IF(AND(J504="multiple_unit",AE504&lt;110),0.75,1)</f>
        <v>0.45</v>
      </c>
      <c r="BK504" s="1" t="n">
        <f aca="false">INT(POWER(((Constants!$G$2+$BD504+$BE504+$BF504+$BH504)*$BG504)*$BJ504, 1.05))+$BC504</f>
        <v>7</v>
      </c>
      <c r="BL504" s="1" t="n">
        <f aca="false">INT(POWER((((Constants!$G$1+$BD504+$BE504+$BF504+$BH504)*($BG504))*$BI504),IF($J504="wagon",1,1.2)))+$BB504</f>
        <v>26</v>
      </c>
      <c r="BM504" s="17" t="n">
        <f aca="false">BK504*IF($J504="wagon",62.5,781.25)</f>
        <v>437.5</v>
      </c>
      <c r="BN504" s="17" t="n">
        <f aca="false">BL504*IF($J504="wagon",2.73,81.25)</f>
        <v>70.98</v>
      </c>
      <c r="BU504" s="1" t="str">
        <f aca="false">IF(J504="locomotive","B","")</f>
        <v/>
      </c>
      <c r="BV504" s="1" t="str">
        <f aca="false">IF(OR($J504="locomotive",$J504="wagon"),"B","")</f>
        <v>B</v>
      </c>
      <c r="BY504" s="1" t="n">
        <v>1</v>
      </c>
      <c r="BZ504" s="1" t="n">
        <v>185</v>
      </c>
      <c r="CB504" s="1" t="s">
        <v>1890</v>
      </c>
      <c r="CC504" s="1" t="s">
        <v>1891</v>
      </c>
      <c r="CD504" s="1" t="str">
        <f aca="false">VLOOKUP(M504,Eras!$A$2:$C$10, 2, TRUE())</f>
        <v>vct</v>
      </c>
      <c r="CE504" s="1" t="s">
        <v>1892</v>
      </c>
      <c r="CF504" s="1" t="str">
        <f aca="false">CONCATENATE(CD504,"_",CE504)</f>
        <v>vct_Flat Wagon</v>
      </c>
      <c r="CG504" s="1" t="str">
        <f aca="false">_xlfn.CONCAT(K504, "_",L504)</f>
        <v>wagon_RAIL</v>
      </c>
      <c r="CH504" s="7" t="str">
        <f aca="false">_xlfn.CONCAT("{BLACK}Length: {GOLD}", TEXT(ROUNDUP(IF(AS504&lt;&gt;"",SUM(VALUE(_xlfn.TEXTSPLIT(AS504, ","))), SUM(VALUE(_xlfn.TEXTSPLIT(AP504, ",")))*IF(P504, P504, 1))/16, 1), "#,##0.0"), " tiles{}")</f>
        <v>{BLACK}Length: {GOLD}0.3 tiles{}</v>
      </c>
      <c r="CI504" s="1" t="str">
        <f aca="false">IF(0, VLOOKUP($CG504, Constants!$M:$N, 2, FALSE()),"")</f>
        <v/>
      </c>
      <c r="CJ504" s="1" t="str">
        <f aca="false">IF(P504&gt;1,_xlfn.CONCAT("{BLACK}Cars: {GOLD}", P504),"")</f>
        <v/>
      </c>
      <c r="CK504" s="1" t="s">
        <v>1896</v>
      </c>
      <c r="CL504" s="1" t="str">
        <f aca="false">IF($BX504="concept_trains","{GREEN}Concept Vehicle",IF($BX504="!param_no_gameplay_units","{GREEN}Included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{GOLD}0.3 tiles{}{SILVER}Flat wagons carried goods such as metal pipes and wood, where a flat surface with bolsters for tying loads down was most convenient.</v>
      </c>
    </row>
    <row r="505" customFormat="false" ht="14.25" hidden="false" customHeight="false" outlineLevel="0" collapsed="false">
      <c r="A505" s="1" t="s">
        <v>1897</v>
      </c>
      <c r="B505" s="15" t="s">
        <v>1898</v>
      </c>
      <c r="C505" s="1" t="n">
        <v>64</v>
      </c>
      <c r="E505" s="1" t="n">
        <v>1517</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241</v>
      </c>
      <c r="J505" s="1" t="s">
        <v>1580</v>
      </c>
      <c r="K505" s="1" t="s">
        <v>1580</v>
      </c>
      <c r="L505" s="1" t="s">
        <v>192</v>
      </c>
      <c r="M505" s="1" t="n">
        <v>1906</v>
      </c>
      <c r="O505" s="1" t="n">
        <v>1960</v>
      </c>
      <c r="Z505" s="1" t="n">
        <v>7</v>
      </c>
      <c r="AB505" s="1" t="n">
        <v>3</v>
      </c>
      <c r="AD505" s="4" t="str">
        <f aca="false">IF(AND(Z505&gt;0,AC505&gt;0),(AC505/((Z505+AA505)*10)),"")</f>
        <v/>
      </c>
      <c r="AE505" s="1" t="n">
        <v>45</v>
      </c>
      <c r="AF505" s="1" t="n">
        <f aca="false">ROUND(AE505*1.6, 0)</f>
        <v>72</v>
      </c>
      <c r="AH505" s="1" t="n">
        <v>8</v>
      </c>
      <c r="AI505" s="1" t="n">
        <v>8</v>
      </c>
      <c r="AL505" s="5" t="n">
        <v>24</v>
      </c>
      <c r="AM505" s="1" t="str">
        <f aca="false">CONCATENATE(VLOOKUP(AN505, 'Voxel Sizes'!$A$2:$B$18,2,FALSE()),"x",INT(AJ505*15), "x", INT(AK505*15))</f>
        <v>82x0x0</v>
      </c>
      <c r="AN505" s="1" t="n">
        <f aca="false">ROUND(15*((AI505*10)/256),0)</f>
        <v>5</v>
      </c>
      <c r="AP505" s="1" t="str">
        <f aca="false">CONCATENATE(VLOOKUP(AN505,Constants!$A$2:$C$16,IF(AO505&lt;&gt;"", 3, 2), FALSE()),IF(AO505&lt;&gt;"",CONCATENATE(",",VLOOKUP(AO505,$B:$AP,41,FALSE())),""))</f>
        <v>2,1,2</v>
      </c>
      <c r="AZ505" s="1" t="n">
        <v>30</v>
      </c>
      <c r="BA505" s="16" t="n">
        <f aca="false">IF(O505&lt;&gt;"",MAX(16,(O505-M505)+8),"")</f>
        <v>62</v>
      </c>
      <c r="BD505" s="1" t="n">
        <f aca="false">MIN(AE505/150, 1)*30</f>
        <v>9</v>
      </c>
      <c r="BE505" s="1" t="n">
        <f aca="false">MIN(Q505/4000, 1)*20</f>
        <v>0</v>
      </c>
      <c r="BF505" s="1" t="n">
        <f aca="false">MIN(AC505/400,1)*20</f>
        <v>0</v>
      </c>
      <c r="BG505" s="4" t="n">
        <f aca="false">1-(MAX(M505-1900, 0)/750)</f>
        <v>0.992</v>
      </c>
      <c r="BH505" s="1" t="n">
        <f aca="false">((MAX($P505,1)*MIN($AL505/300,1)))*IF(J505="Wagon",50,10)</f>
        <v>4</v>
      </c>
      <c r="BI505" s="1" t="n">
        <f aca="false">VLOOKUP($K505,Constants!$I:$K, 2, FALSE())</f>
        <v>1</v>
      </c>
      <c r="BJ505" s="1" t="n">
        <f aca="false">VLOOKUP($K505,Constants!$I:$K, 3, FALSE())*IF(AND(J505="multiple_unit",AE505&lt;110),0.75,1)</f>
        <v>0.45</v>
      </c>
      <c r="BK505" s="1" t="n">
        <f aca="false">INT(POWER(((Constants!$G$2+$BD505+$BE505+$BF505+$BH505)*$BG505)*$BJ505, 1.05))+$BC505</f>
        <v>8</v>
      </c>
      <c r="BL505" s="1" t="n">
        <f aca="false">INT(POWER((((Constants!$G$1+$BD505+$BE505+$BF505+$BH505)*($BG505))*$BI505),IF($J505="wagon",1,1.2)))+$BB505</f>
        <v>27</v>
      </c>
      <c r="BM505" s="17" t="n">
        <f aca="false">BK505*IF($J505="wagon",62.5,781.25)</f>
        <v>500</v>
      </c>
      <c r="BN505" s="17" t="n">
        <f aca="false">BL505*IF($J505="wagon",2.73,81.25)</f>
        <v>73.71</v>
      </c>
      <c r="BU505" s="1" t="str">
        <f aca="false">IF(J505="locomotive","B","")</f>
        <v/>
      </c>
      <c r="BV505" s="1" t="str">
        <f aca="false">IF(OR($J505="locomotive",$J505="wagon"),"B","")</f>
        <v>B</v>
      </c>
      <c r="BY505" s="1" t="n">
        <v>1</v>
      </c>
      <c r="BZ505" s="1" t="n">
        <v>185</v>
      </c>
      <c r="CB505" s="1" t="s">
        <v>1890</v>
      </c>
      <c r="CC505" s="1" t="s">
        <v>1891</v>
      </c>
      <c r="CD505" s="1" t="str">
        <f aca="false">VLOOKUP(M505,Eras!$A$2:$C$10, 2, TRUE())</f>
        <v>edw</v>
      </c>
      <c r="CE505" s="1" t="s">
        <v>1892</v>
      </c>
      <c r="CF505" s="1" t="str">
        <f aca="false">CONCATENATE(CD505,"_",CE505)</f>
        <v>edw_Flat Wagon</v>
      </c>
      <c r="CG505" s="1" t="str">
        <f aca="false">_xlfn.CONCAT(K505, "_",L505)</f>
        <v>wagon_RAIL</v>
      </c>
      <c r="CH505" s="7" t="str">
        <f aca="false">_xlfn.CONCAT("{BLACK}Length: {GOLD}", TEXT(ROUNDUP(IF(AS505&lt;&gt;"",SUM(VALUE(_xlfn.TEXTSPLIT(AS505, ","))), SUM(VALUE(_xlfn.TEXTSPLIT(AP505, ",")))*IF(P505, P505, 1))/16, 1), "#,##0.0"), " tiles{}")</f>
        <v>{BLACK}Length: {GOLD}0.4 tiles{}</v>
      </c>
      <c r="CI505" s="1" t="str">
        <f aca="false">IF(0, VLOOKUP($CG505, Constants!$M:$N, 2, FALSE()),"")</f>
        <v/>
      </c>
      <c r="CJ505" s="1" t="str">
        <f aca="false">IF(P505&gt;1,_xlfn.CONCAT("{BLACK}Cars: {GOLD}", P505),"")</f>
        <v/>
      </c>
      <c r="CK505" s="1" t="s">
        <v>1899</v>
      </c>
      <c r="CL505" s="1" t="str">
        <f aca="false">IF($BX505="concept_trains","{GREEN}Concept Vehicle",IF($BX505="!param_no_gameplay_units","{GREEN}Included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{GOLD}0.4 tiles{}{SILVER}"Beaver" was the GWR telegraph code for a flat wagon, with an additional letter used to identify the length.</v>
      </c>
    </row>
    <row r="506" customFormat="false" ht="14.25" hidden="false" customHeight="false" outlineLevel="0" collapsed="false">
      <c r="A506" s="1" t="s">
        <v>1900</v>
      </c>
      <c r="B506" s="15" t="s">
        <v>1901</v>
      </c>
      <c r="C506" s="1" t="n">
        <v>65</v>
      </c>
      <c r="E506" s="1" t="n">
        <v>1518</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241</v>
      </c>
      <c r="J506" s="1" t="s">
        <v>1580</v>
      </c>
      <c r="K506" s="1" t="s">
        <v>1580</v>
      </c>
      <c r="L506" s="1" t="s">
        <v>192</v>
      </c>
      <c r="M506" s="1" t="n">
        <v>1916</v>
      </c>
      <c r="O506" s="1" t="n">
        <v>1965</v>
      </c>
      <c r="Z506" s="1" t="n">
        <v>14</v>
      </c>
      <c r="AB506" s="1" t="n">
        <v>4</v>
      </c>
      <c r="AD506" s="4" t="str">
        <f aca="false">IF(AND(Z506&gt;0,AC506&gt;0),(AC506/((Z506+AA506)*10)),"")</f>
        <v/>
      </c>
      <c r="AE506" s="1" t="n">
        <v>45</v>
      </c>
      <c r="AF506" s="1" t="n">
        <f aca="false">ROUND(AE506*1.6, 0)</f>
        <v>72</v>
      </c>
      <c r="AH506" s="1" t="n">
        <v>15.2</v>
      </c>
      <c r="AI506" s="1" t="n">
        <v>15.2</v>
      </c>
      <c r="AL506" s="5" t="n">
        <v>42</v>
      </c>
      <c r="AM506" s="1" t="str">
        <f aca="false">CONCATENATE(VLOOKUP(AN506, 'Voxel Sizes'!$A$2:$B$18,2,FALSE()),"x",INT(AJ506*15), "x", INT(AK506*15))</f>
        <v>152x0x0</v>
      </c>
      <c r="AN506" s="1" t="n">
        <f aca="false">ROUND(15*((AI506*10)/256),0)</f>
        <v>9</v>
      </c>
      <c r="AP506" s="1" t="str">
        <f aca="false">CONCATENATE(VLOOKUP(AN506,Constants!$A$2:$C$16,IF(AO506&lt;&gt;"", 3, 2), FALSE()),IF(AO506&lt;&gt;"",CONCATENATE(",",VLOOKUP(AO506,$B:$AP,41,FALSE())),""))</f>
        <v>2,5,2</v>
      </c>
      <c r="AZ506" s="1" t="n">
        <v>30</v>
      </c>
      <c r="BA506" s="16" t="n">
        <f aca="false">IF(O506&lt;&gt;"",MAX(16,(O506-M506)+8),"")</f>
        <v>57</v>
      </c>
      <c r="BD506" s="1" t="n">
        <f aca="false">MIN(AE506/150, 1)*30</f>
        <v>9</v>
      </c>
      <c r="BE506" s="1" t="n">
        <f aca="false">MIN(Q506/4000, 1)*20</f>
        <v>0</v>
      </c>
      <c r="BF506" s="1" t="n">
        <f aca="false">MIN(AC506/400,1)*20</f>
        <v>0</v>
      </c>
      <c r="BG506" s="4" t="n">
        <f aca="false">1-(MAX(M506-1900, 0)/750)</f>
        <v>0.978666666666667</v>
      </c>
      <c r="BH506" s="1" t="n">
        <f aca="false">((MAX($P506,1)*MIN($AL506/300,1)))*IF(J506="Wagon",50,10)</f>
        <v>7</v>
      </c>
      <c r="BI506" s="1" t="n">
        <f aca="false">VLOOKUP($K506,Constants!$I:$K, 2, FALSE())</f>
        <v>1</v>
      </c>
      <c r="BJ506" s="1" t="n">
        <f aca="false">VLOOKUP($K506,Constants!$I:$K, 3, FALSE())*IF(AND(J506="multiple_unit",AE506&lt;110),0.75,1)</f>
        <v>0.45</v>
      </c>
      <c r="BK506" s="1" t="n">
        <f aca="false">INT(POWER(((Constants!$G$2+$BD506+$BE506+$BF506+$BH506)*$BG506)*$BJ506, 1.05))+$BC506</f>
        <v>10</v>
      </c>
      <c r="BL506" s="1" t="n">
        <f aca="false">INT(POWER((((Constants!$G$1+$BD506+$BE506+$BF506+$BH506)*($BG506))*$BI506),IF($J506="wagon",1,1.2)))+$BB506</f>
        <v>30</v>
      </c>
      <c r="BM506" s="17" t="n">
        <f aca="false">BK506*IF($J506="wagon",62.5,781.25)</f>
        <v>625</v>
      </c>
      <c r="BN506" s="17" t="n">
        <f aca="false">BL506*IF($J506="wagon",2.73,81.25)</f>
        <v>81.9</v>
      </c>
      <c r="BU506" s="1" t="str">
        <f aca="false">IF(J506="locomotive","B","")</f>
        <v/>
      </c>
      <c r="BV506" s="1" t="str">
        <f aca="false">IF(OR($J506="locomotive",$J506="wagon"),"B","")</f>
        <v>B</v>
      </c>
      <c r="BY506" s="1" t="n">
        <v>1</v>
      </c>
      <c r="BZ506" s="1" t="n">
        <v>185</v>
      </c>
      <c r="CB506" s="1" t="s">
        <v>1890</v>
      </c>
      <c r="CC506" s="1" t="s">
        <v>1891</v>
      </c>
      <c r="CD506" s="1" t="str">
        <f aca="false">VLOOKUP(M506,Eras!$A$2:$C$10, 2, TRUE())</f>
        <v>edw</v>
      </c>
      <c r="CE506" s="1" t="s">
        <v>1892</v>
      </c>
      <c r="CF506" s="1" t="str">
        <f aca="false">CONCATENATE(CD506,"_",CE506)</f>
        <v>edw_Flat Wagon</v>
      </c>
      <c r="CG506" s="1" t="str">
        <f aca="false">_xlfn.CONCAT(K506, "_",L506)</f>
        <v>wagon_RAIL</v>
      </c>
      <c r="CH506" s="7" t="str">
        <f aca="false">_xlfn.CONCAT("{BLACK}Length: {GOLD}", TEXT(ROUNDUP(IF(AS506&lt;&gt;"",SUM(VALUE(_xlfn.TEXTSPLIT(AS506, ","))), SUM(VALUE(_xlfn.TEXTSPLIT(AP506, ",")))*IF(P506, P506, 1))/16, 1), "#,##0.0"), " tiles{}")</f>
        <v>{BLACK}Length: {GOLD}0.6 tiles{}</v>
      </c>
      <c r="CI506" s="1" t="str">
        <f aca="false">IF(0, VLOOKUP($CG506, Constants!$M:$N, 2, FALSE()),"")</f>
        <v/>
      </c>
      <c r="CJ506" s="1" t="str">
        <f aca="false">IF(P506&gt;1,_xlfn.CONCAT("{BLACK}Cars: {GOLD}", P506),"")</f>
        <v/>
      </c>
      <c r="CK506" s="1" t="s">
        <v>1902</v>
      </c>
      <c r="CL506" s="1" t="str">
        <f aca="false">IF($BX506="concept_trains","{GREEN}Concept Vehicle",IF($BX506="!param_no_gameplay_units","{GREEN}Included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{GOLD}0.6 tiles{}{SILVER}Bolster wagons were some of the earliest goods vehicles to use bogies rather than fixed axles. The wooden bolsters running across the wagon made long, rigid loads easy to tie down.</v>
      </c>
    </row>
    <row r="507" customFormat="false" ht="14.25" hidden="false" customHeight="false" outlineLevel="0" collapsed="false">
      <c r="A507" s="1" t="s">
        <v>1903</v>
      </c>
      <c r="B507" s="15" t="s">
        <v>1904</v>
      </c>
      <c r="C507" s="1" t="n">
        <v>66</v>
      </c>
      <c r="E507" s="1" t="n">
        <v>1519</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241</v>
      </c>
      <c r="J507" s="1" t="s">
        <v>1580</v>
      </c>
      <c r="K507" s="1" t="s">
        <v>1580</v>
      </c>
      <c r="L507" s="1" t="s">
        <v>192</v>
      </c>
      <c r="M507" s="1" t="n">
        <v>1925</v>
      </c>
      <c r="O507" s="1" t="n">
        <v>1970</v>
      </c>
      <c r="Z507" s="1" t="n">
        <v>7</v>
      </c>
      <c r="AB507" s="1" t="n">
        <v>3</v>
      </c>
      <c r="AD507" s="4" t="str">
        <f aca="false">IF(AND(Z507&gt;0,AC507&gt;0),(AC507/((Z507+AA507)*10)),"")</f>
        <v/>
      </c>
      <c r="AE507" s="1" t="n">
        <v>50</v>
      </c>
      <c r="AF507" s="1" t="n">
        <f aca="false">ROUND(AE507*1.6, 0)</f>
        <v>80</v>
      </c>
      <c r="AH507" s="1" t="n">
        <v>10</v>
      </c>
      <c r="AI507" s="1" t="n">
        <v>10</v>
      </c>
      <c r="AL507" s="5" t="n">
        <v>30</v>
      </c>
      <c r="AM507" s="1" t="str">
        <f aca="false">CONCATENATE(VLOOKUP(AN507, 'Voxel Sizes'!$A$2:$B$18,2,FALSE()),"x",INT(AJ507*15), "x", INT(AK507*15))</f>
        <v>102x0x0</v>
      </c>
      <c r="AN507" s="1" t="n">
        <f aca="false">ROUND(15*((AI507*10)/256),0)</f>
        <v>6</v>
      </c>
      <c r="AP507" s="1" t="str">
        <f aca="false">CONCATENATE(VLOOKUP(AN507,Constants!$A$2:$C$16,IF(AO507&lt;&gt;"", 3, 2), FALSE()),IF(AO507&lt;&gt;"",CONCATENATE(",",VLOOKUP(AO507,$B:$AP,41,FALSE())),""))</f>
        <v>2,2,2</v>
      </c>
      <c r="AZ507" s="1" t="n">
        <v>30</v>
      </c>
      <c r="BA507" s="16" t="n">
        <f aca="false">IF(O507&lt;&gt;"",MAX(16,(O507-M507)+8),"")</f>
        <v>53</v>
      </c>
      <c r="BD507" s="1" t="n">
        <f aca="false">MIN(AE507/150, 1)*30</f>
        <v>10</v>
      </c>
      <c r="BE507" s="1" t="n">
        <f aca="false">MIN(Q507/4000, 1)*20</f>
        <v>0</v>
      </c>
      <c r="BF507" s="1" t="n">
        <f aca="false">MIN(AC507/400,1)*20</f>
        <v>0</v>
      </c>
      <c r="BG507" s="4" t="n">
        <f aca="false">1-(MAX(M507-1900, 0)/750)</f>
        <v>0.966666666666667</v>
      </c>
      <c r="BH507" s="1" t="n">
        <f aca="false">((MAX($P507,1)*MIN($AL507/300,1)))*IF(J507="Wagon",50,10)</f>
        <v>5</v>
      </c>
      <c r="BI507" s="1" t="n">
        <f aca="false">VLOOKUP($K507,Constants!$I:$K, 2, FALSE())</f>
        <v>1</v>
      </c>
      <c r="BJ507" s="1" t="n">
        <f aca="false">VLOOKUP($K507,Constants!$I:$K, 3, FALSE())*IF(AND(J507="multiple_unit",AE507&lt;110),0.75,1)</f>
        <v>0.45</v>
      </c>
      <c r="BK507" s="1" t="n">
        <f aca="false">INT(POWER(((Constants!$G$2+$BD507+$BE507+$BF507+$BH507)*$BG507)*$BJ507, 1.05))+$BC507</f>
        <v>9</v>
      </c>
      <c r="BL507" s="1" t="n">
        <f aca="false">INT(POWER((((Constants!$G$1+$BD507+$BE507+$BF507+$BH507)*($BG507))*$BI507),IF($J507="wagon",1,1.2)))+$BB507</f>
        <v>29</v>
      </c>
      <c r="BM507" s="17" t="n">
        <f aca="false">BK507*IF($J507="wagon",62.5,781.25)</f>
        <v>562.5</v>
      </c>
      <c r="BN507" s="17" t="n">
        <f aca="false">BL507*IF($J507="wagon",2.73,81.25)</f>
        <v>79.17</v>
      </c>
      <c r="BU507" s="1" t="str">
        <f aca="false">IF(J507="locomotive","B","")</f>
        <v/>
      </c>
      <c r="BV507" s="1" t="str">
        <f aca="false">IF(OR($J507="locomotive",$J507="wagon"),"B","")</f>
        <v>B</v>
      </c>
      <c r="BY507" s="1" t="n">
        <v>1</v>
      </c>
      <c r="BZ507" s="1" t="n">
        <v>185</v>
      </c>
      <c r="CB507" s="1" t="s">
        <v>1890</v>
      </c>
      <c r="CC507" s="1" t="s">
        <v>1891</v>
      </c>
      <c r="CD507" s="1" t="str">
        <f aca="false">VLOOKUP(M507,Eras!$A$2:$C$10, 2, TRUE())</f>
        <v>big4</v>
      </c>
      <c r="CE507" s="1" t="s">
        <v>1892</v>
      </c>
      <c r="CF507" s="1" t="str">
        <f aca="false">CONCATENATE(CD507,"_",CE507)</f>
        <v>big4_Flat Wagon</v>
      </c>
      <c r="CG507" s="1" t="str">
        <f aca="false">_xlfn.CONCAT(K507, "_",L507)</f>
        <v>wagon_RAIL</v>
      </c>
      <c r="CH507" s="7" t="str">
        <f aca="false">_xlfn.CONCAT("{BLACK}Length: {GOLD}", TEXT(ROUNDUP(IF(AS507&lt;&gt;"",SUM(VALUE(_xlfn.TEXTSPLIT(AS507, ","))), SUM(VALUE(_xlfn.TEXTSPLIT(AP507, ",")))*IF(P507, P507, 1))/16, 1), "#,##0.0"), " tiles{}")</f>
        <v>{BLACK}Length: {GOLD}0.4 tiles{}</v>
      </c>
      <c r="CI507" s="1" t="str">
        <f aca="false">IF(0, VLOOKUP($CG507, Constants!$M:$N, 2, FALSE()),"")</f>
        <v/>
      </c>
      <c r="CJ507" s="1" t="str">
        <f aca="false">IF(P507&gt;1,_xlfn.CONCAT("{BLACK}Cars: {GOLD}", P507),"")</f>
        <v/>
      </c>
      <c r="CK507" s="1" t="s">
        <v>1905</v>
      </c>
      <c r="CL507" s="1" t="str">
        <f aca="false">IF($BX507="concept_trains","{GREEN}Concept Vehicle",IF($BX507="!param_no_gameplay_units","{GREEN}Included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{GOLD}0.4 tiles{}{SILVER}The LMS built double bolsters to carry welded rail, with single rails laid across multiple bolster wagons.</v>
      </c>
    </row>
    <row r="508" customFormat="false" ht="14.25" hidden="false" customHeight="false" outlineLevel="0" collapsed="false">
      <c r="A508" s="1" t="s">
        <v>1906</v>
      </c>
      <c r="B508" s="15" t="s">
        <v>1907</v>
      </c>
      <c r="C508" s="1" t="n">
        <v>67</v>
      </c>
      <c r="E508" s="1" t="n">
        <v>1520</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241</v>
      </c>
      <c r="J508" s="1" t="s">
        <v>1580</v>
      </c>
      <c r="K508" s="1" t="s">
        <v>1580</v>
      </c>
      <c r="L508" s="1" t="s">
        <v>192</v>
      </c>
      <c r="M508" s="1" t="n">
        <v>1949</v>
      </c>
      <c r="O508" s="1" t="n">
        <v>2010</v>
      </c>
      <c r="Z508" s="1" t="n">
        <v>16</v>
      </c>
      <c r="AB508" s="1" t="n">
        <v>5</v>
      </c>
      <c r="AD508" s="4" t="str">
        <f aca="false">IF(AND(Z508&gt;0,AC508&gt;0),(AC508/((Z508+AA508)*10)),"")</f>
        <v/>
      </c>
      <c r="AE508" s="1" t="n">
        <v>60</v>
      </c>
      <c r="AF508" s="1" t="n">
        <f aca="false">ROUND(AE508*1.6, 0)</f>
        <v>96</v>
      </c>
      <c r="AH508" s="1" t="n">
        <v>15.8</v>
      </c>
      <c r="AI508" s="1" t="n">
        <v>19.8</v>
      </c>
      <c r="AL508" s="5" t="n">
        <f aca="false">19*3</f>
        <v>57</v>
      </c>
      <c r="AM508" s="1" t="str">
        <f aca="false">CONCATENATE(VLOOKUP(AN508, 'Voxel Sizes'!$A$2:$B$18,2,FALSE()),"x",INT(AJ508*15), "x", INT(AK508*15))</f>
        <v>198x0x0</v>
      </c>
      <c r="AN508" s="1" t="n">
        <f aca="false">ROUND(15*((AI508*10)/256),0)</f>
        <v>12</v>
      </c>
      <c r="AP508" s="1" t="str">
        <f aca="false">CONCATENATE(VLOOKUP(AN508,Constants!$A$2:$C$16,IF(AO508&lt;&gt;"", 3, 2), FALSE()),IF(AO508&lt;&gt;"",CONCATENATE(",",VLOOKUP(AO508,$B:$AP,41,FALSE())),""))</f>
        <v>4,4,4</v>
      </c>
      <c r="AZ508" s="1" t="n">
        <v>30</v>
      </c>
      <c r="BA508" s="16" t="n">
        <f aca="false">IF(O508&lt;&gt;"",MAX(16,(O508-M508)+8),"")</f>
        <v>69</v>
      </c>
      <c r="BD508" s="1" t="n">
        <f aca="false">MIN(AE508/150, 1)*30</f>
        <v>12</v>
      </c>
      <c r="BE508" s="1" t="n">
        <f aca="false">MIN(Q508/4000, 1)*20</f>
        <v>0</v>
      </c>
      <c r="BF508" s="1" t="n">
        <f aca="false">MIN(AC508/400,1)*20</f>
        <v>0</v>
      </c>
      <c r="BG508" s="4" t="n">
        <f aca="false">1-(MAX(M508-1900, 0)/750)</f>
        <v>0.934666666666667</v>
      </c>
      <c r="BH508" s="1" t="n">
        <f aca="false">((MAX($P508,1)*MIN($AL508/300,1)))*IF(J508="Wagon",50,10)</f>
        <v>9.5</v>
      </c>
      <c r="BI508" s="1" t="n">
        <f aca="false">VLOOKUP($K508,Constants!$I:$K, 2, FALSE())</f>
        <v>1</v>
      </c>
      <c r="BJ508" s="1" t="n">
        <f aca="false">VLOOKUP($K508,Constants!$I:$K, 3, FALSE())*IF(AND(J508="multiple_unit",AE508&lt;110),0.75,1)</f>
        <v>0.45</v>
      </c>
      <c r="BK508" s="1" t="n">
        <f aca="false">INT(POWER(((Constants!$G$2+$BD508+$BE508+$BF508+$BH508)*$BG508)*$BJ508, 1.05))+$BC508</f>
        <v>12</v>
      </c>
      <c r="BL508" s="1" t="n">
        <f aca="false">INT(POWER((((Constants!$G$1+$BD508+$BE508+$BF508+$BH508)*($BG508))*$BI508),IF($J508="wagon",1,1.2)))+$BB508</f>
        <v>34</v>
      </c>
      <c r="BM508" s="17" t="n">
        <f aca="false">BK508*IF($J508="wagon",62.5,781.25)</f>
        <v>750</v>
      </c>
      <c r="BN508" s="17" t="n">
        <f aca="false">BL508*IF($J508="wagon",2.73,81.25)</f>
        <v>92.82</v>
      </c>
      <c r="BU508" s="1" t="str">
        <f aca="false">IF(J508="locomotive","B","")</f>
        <v/>
      </c>
      <c r="BV508" s="1" t="str">
        <f aca="false">IF(OR($J508="locomotive",$J508="wagon"),"B","")</f>
        <v>B</v>
      </c>
      <c r="BY508" s="1" t="n">
        <v>1</v>
      </c>
      <c r="BZ508" s="1" t="n">
        <v>185</v>
      </c>
      <c r="CB508" s="1" t="s">
        <v>1890</v>
      </c>
      <c r="CC508" s="1" t="s">
        <v>1891</v>
      </c>
      <c r="CD508" s="1" t="str">
        <f aca="false">VLOOKUP(M508,Eras!$A$2:$C$10, 2, TRUE())</f>
        <v>ebr</v>
      </c>
      <c r="CE508" s="1" t="s">
        <v>1892</v>
      </c>
      <c r="CF508" s="1" t="str">
        <f aca="false">CONCATENATE(CD508,"_",CE508)</f>
        <v>ebr_Flat Wagon</v>
      </c>
      <c r="CG508" s="1" t="str">
        <f aca="false">_xlfn.CONCAT(K508, "_",L508)</f>
        <v>wagon_RAIL</v>
      </c>
      <c r="CH508" s="7" t="str">
        <f aca="false">_xlfn.CONCAT("{BLACK}Length: {GOLD}", TEXT(ROUNDUP(IF(AS508&lt;&gt;"",SUM(VALUE(_xlfn.TEXTSPLIT(AS508, ","))), SUM(VALUE(_xlfn.TEXTSPLIT(AP508, ",")))*IF(P508, P508, 1))/16, 1), "#,##0.0"), " tiles{}")</f>
        <v>{BLACK}Length: {GOLD}0.8 tiles{}</v>
      </c>
      <c r="CI508" s="1" t="str">
        <f aca="false">IF(0, VLOOKUP($CG508, Constants!$M:$N, 2, FALSE()),"")</f>
        <v/>
      </c>
      <c r="CJ508" s="1" t="str">
        <f aca="false">IF(P508&gt;1,_xlfn.CONCAT("{BLACK}Cars: {GOLD}", P508),"")</f>
        <v/>
      </c>
      <c r="CK508" s="1" t="s">
        <v>1908</v>
      </c>
      <c r="CL508" s="1" t="str">
        <f aca="false">IF($BX508="concept_trains","{GREEN}Concept Vehicle",IF($BX508="!param_no_gameplay_units","{GREEN}Included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509" customFormat="false" ht="14.25" hidden="false" customHeight="false" outlineLevel="0" collapsed="false">
      <c r="A509" s="1" t="s">
        <v>1909</v>
      </c>
      <c r="B509" s="15" t="s">
        <v>1910</v>
      </c>
      <c r="C509" s="1" t="n">
        <v>68</v>
      </c>
      <c r="E509" s="1" t="n">
        <v>1521</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241</v>
      </c>
      <c r="J509" s="1" t="s">
        <v>1580</v>
      </c>
      <c r="K509" s="1" t="s">
        <v>1580</v>
      </c>
      <c r="L509" s="1" t="s">
        <v>192</v>
      </c>
      <c r="M509" s="1" t="n">
        <v>1952</v>
      </c>
      <c r="O509" s="1" t="n">
        <v>1985</v>
      </c>
      <c r="Z509" s="1" t="n">
        <v>9</v>
      </c>
      <c r="AB509" s="1" t="n">
        <v>4</v>
      </c>
      <c r="AD509" s="4" t="str">
        <f aca="false">IF(AND(Z509&gt;0,AC509&gt;0),(AC509/((Z509+AA509)*10)),"")</f>
        <v/>
      </c>
      <c r="AE509" s="1" t="n">
        <v>60</v>
      </c>
      <c r="AF509" s="1" t="n">
        <f aca="false">ROUND(AE509*1.6, 0)</f>
        <v>96</v>
      </c>
      <c r="AH509" s="1" t="n">
        <v>11</v>
      </c>
      <c r="AI509" s="1" t="n">
        <v>11</v>
      </c>
      <c r="AL509" s="5" t="n">
        <v>24</v>
      </c>
      <c r="AM509" s="1" t="str">
        <f aca="false">CONCATENATE(VLOOKUP(AN509, 'Voxel Sizes'!$A$2:$B$18,2,FALSE()),"x",INT(AJ509*15), "x", INT(AK509*15))</f>
        <v>102x0x0</v>
      </c>
      <c r="AN509" s="1" t="n">
        <f aca="false">ROUND(15*((AI509*10)/256),0)</f>
        <v>6</v>
      </c>
      <c r="AP509" s="1" t="str">
        <f aca="false">CONCATENATE(VLOOKUP(AN509,Constants!$A$2:$C$16,IF(AO509&lt;&gt;"", 3, 2), FALSE()),IF(AO509&lt;&gt;"",CONCATENATE(",",VLOOKUP(AO509,$B:$AP,41,FALSE())),""))</f>
        <v>2,2,2</v>
      </c>
      <c r="AZ509" s="1" t="n">
        <v>30</v>
      </c>
      <c r="BA509" s="16" t="n">
        <f aca="false">IF(O509&lt;&gt;"",MAX(16,(O509-M509)+8),"")</f>
        <v>41</v>
      </c>
      <c r="BD509" s="1" t="n">
        <f aca="false">MIN(AE509/150, 1)*30</f>
        <v>12</v>
      </c>
      <c r="BE509" s="1" t="n">
        <f aca="false">MIN(Q509/4000, 1)*20</f>
        <v>0</v>
      </c>
      <c r="BF509" s="1" t="n">
        <f aca="false">MIN(AC509/400,1)*20</f>
        <v>0</v>
      </c>
      <c r="BG509" s="4" t="n">
        <f aca="false">1-(MAX(M509-1900, 0)/750)</f>
        <v>0.930666666666667</v>
      </c>
      <c r="BH509" s="1" t="n">
        <f aca="false">((MAX($P509,1)*MIN($AL509/300,1)))*IF(J509="Wagon",50,10)</f>
        <v>4</v>
      </c>
      <c r="BI509" s="1" t="n">
        <f aca="false">VLOOKUP($K509,Constants!$I:$K, 2, FALSE())</f>
        <v>1</v>
      </c>
      <c r="BJ509" s="1" t="n">
        <f aca="false">VLOOKUP($K509,Constants!$I:$K, 3, FALSE())*IF(AND(J509="multiple_unit",AE509&lt;110),0.75,1)</f>
        <v>0.45</v>
      </c>
      <c r="BK509" s="1" t="n">
        <f aca="false">INT(POWER(((Constants!$G$2+$BD509+$BE509+$BF509+$BH509)*$BG509)*$BJ509, 1.05))+$BC509</f>
        <v>9</v>
      </c>
      <c r="BL509" s="1" t="n">
        <f aca="false">INT(POWER((((Constants!$G$1+$BD509+$BE509+$BF509+$BH509)*($BG509))*$BI509),IF($J509="wagon",1,1.2)))+$BB509</f>
        <v>28</v>
      </c>
      <c r="BM509" s="17" t="n">
        <f aca="false">BK509*IF($J509="wagon",62.5,781.25)</f>
        <v>562.5</v>
      </c>
      <c r="BN509" s="17" t="n">
        <f aca="false">BL509*IF($J509="wagon",2.73,81.25)</f>
        <v>76.44</v>
      </c>
      <c r="BU509" s="1" t="str">
        <f aca="false">IF(J509="locomotive","B","")</f>
        <v/>
      </c>
      <c r="BV509" s="1" t="str">
        <f aca="false">IF(OR($J509="locomotive",$J509="wagon"),"B","")</f>
        <v>B</v>
      </c>
      <c r="BY509" s="1" t="n">
        <v>1</v>
      </c>
      <c r="BZ509" s="1" t="n">
        <v>185</v>
      </c>
      <c r="CB509" s="1" t="s">
        <v>1890</v>
      </c>
      <c r="CC509" s="1" t="s">
        <v>1891</v>
      </c>
      <c r="CD509" s="1" t="str">
        <f aca="false">VLOOKUP(M509,Eras!$A$2:$C$10, 2, TRUE())</f>
        <v>ebr</v>
      </c>
      <c r="CE509" s="1" t="s">
        <v>1892</v>
      </c>
      <c r="CF509" s="1" t="str">
        <f aca="false">CONCATENATE(CD509,"_",CE509)</f>
        <v>ebr_Flat Wagon</v>
      </c>
      <c r="CG509" s="1" t="str">
        <f aca="false">_xlfn.CONCAT(K509, "_",L509)</f>
        <v>wagon_RAIL</v>
      </c>
      <c r="CH509" s="7" t="str">
        <f aca="false">_xlfn.CONCAT("{BLACK}Length: {GOLD}", TEXT(ROUNDUP(IF(AS509&lt;&gt;"",SUM(VALUE(_xlfn.TEXTSPLIT(AS509, ","))), SUM(VALUE(_xlfn.TEXTSPLIT(AP509, ",")))*IF(P509, P509, 1))/16, 1), "#,##0.0"), " tiles{}")</f>
        <v>{BLACK}Length: {GOLD}0.4 tiles{}</v>
      </c>
      <c r="CI509" s="1" t="str">
        <f aca="false">IF(0, VLOOKUP($CG509, Constants!$M:$N, 2, FALSE()),"")</f>
        <v/>
      </c>
      <c r="CJ509" s="1" t="str">
        <f aca="false">IF(P509&gt;1,_xlfn.CONCAT("{BLACK}Cars: {GOLD}", P509),"")</f>
        <v/>
      </c>
      <c r="CK509" s="1" t="s">
        <v>1911</v>
      </c>
      <c r="CL509" s="1" t="str">
        <f aca="false">IF($BX509="concept_trains","{GREEN}Concept Vehicle",IF($BX509="!param_no_gameplay_units","{GREEN}Included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tiles{}{SILVER}"Lowmac" was a GWR code for a low wagon intended to fit tall, bulky cargo within the railway loading gauge. BR built a number of small Lowmac types in the early 1950s.</v>
      </c>
    </row>
    <row r="510" customFormat="false" ht="14.25" hidden="false" customHeight="false" outlineLevel="0" collapsed="false">
      <c r="A510" s="1" t="s">
        <v>1912</v>
      </c>
      <c r="B510" s="15" t="s">
        <v>1913</v>
      </c>
      <c r="C510" s="1" t="n">
        <v>69</v>
      </c>
      <c r="E510" s="1" t="n">
        <v>1522</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241</v>
      </c>
      <c r="J510" s="1" t="s">
        <v>1580</v>
      </c>
      <c r="K510" s="1" t="s">
        <v>1580</v>
      </c>
      <c r="L510" s="1" t="s">
        <v>192</v>
      </c>
      <c r="M510" s="1" t="n">
        <v>1975</v>
      </c>
      <c r="Z510" s="1" t="n">
        <v>16</v>
      </c>
      <c r="AB510" s="1" t="n">
        <v>4</v>
      </c>
      <c r="AD510" s="4" t="str">
        <f aca="false">IF(AND(Z510&gt;0,AC510&gt;0),(AC510/((Z510+AA510)*10)),"")</f>
        <v/>
      </c>
      <c r="AE510" s="1" t="n">
        <v>70</v>
      </c>
      <c r="AF510" s="1" t="n">
        <f aca="false">ROUND(AE510*1.6, 0)</f>
        <v>112</v>
      </c>
      <c r="AH510" s="1" t="n">
        <v>15.8</v>
      </c>
      <c r="AI510" s="1" t="n">
        <v>15.8</v>
      </c>
      <c r="AL510" s="5" t="n">
        <v>45</v>
      </c>
      <c r="AM510" s="1" t="str">
        <f aca="false">CONCATENATE(VLOOKUP(AN510, 'Voxel Sizes'!$A$2:$B$18,2,FALSE()),"x",INT(AJ510*15), "x", INT(AK510*15))</f>
        <v>152x0x0</v>
      </c>
      <c r="AN510" s="1" t="n">
        <f aca="false">ROUND(15*((AI510*10)/256),0)</f>
        <v>9</v>
      </c>
      <c r="AP510" s="1" t="str">
        <f aca="false">CONCATENATE(VLOOKUP(AN510,Constants!$A$2:$C$16,IF(AO510&lt;&gt;"", 3, 2), FALSE()),IF(AO510&lt;&gt;"",CONCATENATE(",",VLOOKUP(AO510,$B:$AP,41,FALSE())),""))</f>
        <v>2,5,2</v>
      </c>
      <c r="AZ510" s="1" t="n">
        <v>30</v>
      </c>
      <c r="BA510" s="16" t="str">
        <f aca="false">IF(O510&lt;&gt;"",MAX(16,(O510-M510)+8),"")</f>
        <v/>
      </c>
      <c r="BD510" s="1" t="n">
        <f aca="false">MIN(AE510/150, 1)*30</f>
        <v>14</v>
      </c>
      <c r="BE510" s="1" t="n">
        <f aca="false">MIN(Q510/4000, 1)*20</f>
        <v>0</v>
      </c>
      <c r="BF510" s="1" t="n">
        <f aca="false">MIN(AC510/400,1)*20</f>
        <v>0</v>
      </c>
      <c r="BG510" s="4" t="n">
        <f aca="false">1-(MAX(M510-1900, 0)/750)</f>
        <v>0.9</v>
      </c>
      <c r="BH510" s="1" t="n">
        <f aca="false">((MAX($P510,1)*MIN($AL510/300,1)))*IF(J510="Wagon",50,10)</f>
        <v>7.5</v>
      </c>
      <c r="BI510" s="1" t="n">
        <f aca="false">VLOOKUP($K510,Constants!$I:$K, 2, FALSE())</f>
        <v>1</v>
      </c>
      <c r="BJ510" s="1" t="n">
        <f aca="false">VLOOKUP($K510,Constants!$I:$K, 3, FALSE())*IF(AND(J510="multiple_unit",AE510&lt;110),0.75,1)</f>
        <v>0.45</v>
      </c>
      <c r="BK510" s="1" t="n">
        <f aca="false">INT(POWER(((Constants!$G$2+$BD510+$BE510+$BF510+$BH510)*$BG510)*$BJ510, 1.05))+$BC510</f>
        <v>12</v>
      </c>
      <c r="BL510" s="1" t="n">
        <f aca="false">INT(POWER((((Constants!$G$1+$BD510+$BE510+$BF510+$BH510)*($BG510))*$BI510),IF($J510="wagon",1,1.2)))+$BB510</f>
        <v>32</v>
      </c>
      <c r="BM510" s="17" t="n">
        <f aca="false">BK510*IF($J510="wagon",62.5,781.25)</f>
        <v>750</v>
      </c>
      <c r="BN510" s="17" t="n">
        <f aca="false">BL510*IF($J510="wagon",2.73,81.25)</f>
        <v>87.36</v>
      </c>
      <c r="BU510" s="1" t="str">
        <f aca="false">IF(J510="locomotive","B","")</f>
        <v/>
      </c>
      <c r="BV510" s="1" t="str">
        <f aca="false">IF(OR($J510="locomotive",$J510="wagon"),"B","")</f>
        <v>B</v>
      </c>
      <c r="BY510" s="1" t="n">
        <v>1</v>
      </c>
      <c r="BZ510" s="1" t="n">
        <v>185</v>
      </c>
      <c r="CB510" s="1" t="s">
        <v>1890</v>
      </c>
      <c r="CC510" s="1" t="s">
        <v>1891</v>
      </c>
      <c r="CD510" s="1" t="str">
        <f aca="false">VLOOKUP(M510,Eras!$A$2:$C$10, 2, TRUE())</f>
        <v>lbr</v>
      </c>
      <c r="CE510" s="1" t="s">
        <v>1892</v>
      </c>
      <c r="CF510" s="1" t="str">
        <f aca="false">CONCATENATE(CD510,"_",CE510)</f>
        <v>lbr_Flat Wagon</v>
      </c>
      <c r="CG510" s="1" t="str">
        <f aca="false">_xlfn.CONCAT(K510, "_",L510)</f>
        <v>wagon_RAIL</v>
      </c>
      <c r="CH510" s="7" t="str">
        <f aca="false">_xlfn.CONCAT("{BLACK}Length: {GOLD}", TEXT(ROUNDUP(IF(AS510&lt;&gt;"",SUM(VALUE(_xlfn.TEXTSPLIT(AS510, ","))), SUM(VALUE(_xlfn.TEXTSPLIT(AP510, ",")))*IF(P510, P510, 1))/16, 1), "#,##0.0"), " tiles{}")</f>
        <v>{BLACK}Length: {GOLD}0.6 tiles{}</v>
      </c>
      <c r="CI510" s="1" t="str">
        <f aca="false">IF(0, VLOOKUP($CG510, Constants!$M:$N, 2, FALSE()),"")</f>
        <v/>
      </c>
      <c r="CJ510" s="1" t="str">
        <f aca="false">IF(P510&gt;1,_xlfn.CONCAT("{BLACK}Cars: {GOLD}", P510),"")</f>
        <v/>
      </c>
      <c r="CK510" s="1" t="s">
        <v>1914</v>
      </c>
      <c r="CL510" s="1" t="str">
        <f aca="false">IF($BX510="concept_trains","{GREEN}Concept Vehicle",IF($BX510="!param_no_gameplay_units","{GREEN}Included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511" customFormat="false" ht="14.25" hidden="false" customHeight="false" outlineLevel="0" collapsed="false">
      <c r="A511" s="1" t="s">
        <v>1915</v>
      </c>
      <c r="B511" s="15" t="s">
        <v>1916</v>
      </c>
      <c r="C511" s="1" t="n">
        <v>70</v>
      </c>
      <c r="E511" s="1" t="n">
        <v>1523</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241</v>
      </c>
      <c r="J511" s="1" t="s">
        <v>1580</v>
      </c>
      <c r="K511" s="1" t="s">
        <v>1580</v>
      </c>
      <c r="L511" s="1" t="s">
        <v>192</v>
      </c>
      <c r="M511" s="1" t="n">
        <v>2009</v>
      </c>
      <c r="Z511" s="1" t="n">
        <v>16</v>
      </c>
      <c r="AB511" s="1" t="n">
        <v>4</v>
      </c>
      <c r="AD511" s="4" t="str">
        <f aca="false">IF(AND(Z511&gt;0,AC511&gt;0),(AC511/((Z511+AA511)*10)),"")</f>
        <v/>
      </c>
      <c r="AE511" s="1" t="n">
        <v>85</v>
      </c>
      <c r="AF511" s="1" t="n">
        <f aca="false">ROUND(AE511*1.6, 0)</f>
        <v>136</v>
      </c>
      <c r="AH511" s="1" t="n">
        <v>15.8</v>
      </c>
      <c r="AI511" s="1" t="n">
        <v>19.8</v>
      </c>
      <c r="AL511" s="5" t="n">
        <v>60</v>
      </c>
      <c r="AM511" s="1" t="str">
        <f aca="false">CONCATENATE(VLOOKUP(AN511, 'Voxel Sizes'!$A$2:$B$18,2,FALSE()),"x",INT(AJ511*15), "x", INT(AK511*15))</f>
        <v>198x0x0</v>
      </c>
      <c r="AN511" s="1" t="n">
        <f aca="false">ROUND(15*((AI511*10)/256),0)</f>
        <v>12</v>
      </c>
      <c r="AP511" s="1" t="str">
        <f aca="false">CONCATENATE(VLOOKUP(AN511,Constants!$A$2:$C$16,IF(AO511&lt;&gt;"", 3, 2), FALSE()),IF(AO511&lt;&gt;"",CONCATENATE(",",VLOOKUP(AO511,$B:$AP,41,FALSE())),""))</f>
        <v>4,4,4</v>
      </c>
      <c r="AZ511" s="1" t="n">
        <v>30</v>
      </c>
      <c r="BA511" s="16" t="str">
        <f aca="false">IF(O511&lt;&gt;"",MAX(16,(O511-M511)+8),"")</f>
        <v/>
      </c>
      <c r="BD511" s="1" t="n">
        <f aca="false">MIN(AE511/150, 1)*30</f>
        <v>17</v>
      </c>
      <c r="BE511" s="1" t="n">
        <f aca="false">MIN(Q511/4000, 1)*20</f>
        <v>0</v>
      </c>
      <c r="BF511" s="1" t="n">
        <f aca="false">MIN(AC511/400,1)*20</f>
        <v>0</v>
      </c>
      <c r="BG511" s="4" t="n">
        <f aca="false">1-(MAX(M511-1900, 0)/750)</f>
        <v>0.854666666666667</v>
      </c>
      <c r="BH511" s="1" t="n">
        <f aca="false">((MAX($P511,1)*MIN($AL511/300,1)))*IF(J511="Wagon",50,10)</f>
        <v>10</v>
      </c>
      <c r="BI511" s="1" t="n">
        <f aca="false">VLOOKUP($K511,Constants!$I:$K, 2, FALSE())</f>
        <v>1</v>
      </c>
      <c r="BJ511" s="1" t="n">
        <f aca="false">VLOOKUP($K511,Constants!$I:$K, 3, FALSE())*IF(AND(J511="multiple_unit",AE511&lt;110),0.75,1)</f>
        <v>0.45</v>
      </c>
      <c r="BK511" s="1" t="n">
        <f aca="false">INT(POWER(((Constants!$G$2+$BD511+$BE511+$BF511+$BH511)*$BG511)*$BJ511, 1.05))+$BC511</f>
        <v>13</v>
      </c>
      <c r="BL511" s="1" t="n">
        <f aca="false">INT(POWER((((Constants!$G$1+$BD511+$BE511+$BF511+$BH511)*($BG511))*$BI511),IF($J511="wagon",1,1.2)))+$BB511</f>
        <v>35</v>
      </c>
      <c r="BM511" s="17" t="n">
        <f aca="false">BK511*IF($J511="wagon",62.5,781.25)</f>
        <v>812.5</v>
      </c>
      <c r="BN511" s="17" t="n">
        <f aca="false">BL511*IF($J511="wagon",2.73,81.25)</f>
        <v>95.55</v>
      </c>
      <c r="BU511" s="1" t="str">
        <f aca="false">IF(J511="locomotive","B","")</f>
        <v/>
      </c>
      <c r="BV511" s="1" t="str">
        <f aca="false">IF(OR($J511="locomotive",$J511="wagon"),"B","")</f>
        <v>B</v>
      </c>
      <c r="BY511" s="1" t="n">
        <v>1</v>
      </c>
      <c r="BZ511" s="1" t="n">
        <v>185</v>
      </c>
      <c r="CB511" s="1" t="s">
        <v>1890</v>
      </c>
      <c r="CC511" s="1" t="s">
        <v>1891</v>
      </c>
      <c r="CD511" s="1" t="str">
        <f aca="false">VLOOKUP(M511,Eras!$A$2:$C$10, 2, TRUE())</f>
        <v>mod</v>
      </c>
      <c r="CE511" s="1" t="s">
        <v>1892</v>
      </c>
      <c r="CF511" s="1" t="str">
        <f aca="false">CONCATENATE(CD511,"_",CE511)</f>
        <v>mod_Flat Wagon</v>
      </c>
      <c r="CG511" s="1" t="str">
        <f aca="false">_xlfn.CONCAT(K511, "_",L511)</f>
        <v>wagon_RAIL</v>
      </c>
      <c r="CH511" s="7" t="str">
        <f aca="false">_xlfn.CONCAT("{BLACK}Length: {GOLD}", TEXT(ROUNDUP(IF(AS511&lt;&gt;"",SUM(VALUE(_xlfn.TEXTSPLIT(AS511, ","))), SUM(VALUE(_xlfn.TEXTSPLIT(AP511, ",")))*IF(P511, P511, 1))/16, 1), "#,##0.0"), " tiles{}")</f>
        <v>{BLACK}Length: {GOLD}0.8 tiles{}</v>
      </c>
      <c r="CI511" s="1" t="str">
        <f aca="false">IF(0, VLOOKUP($CG511, Constants!$M:$N, 2, FALSE()),"")</f>
        <v/>
      </c>
      <c r="CJ511" s="1" t="str">
        <f aca="false">IF(P511&gt;1,_xlfn.CONCAT("{BLACK}Cars: {GOLD}", P511),"")</f>
        <v/>
      </c>
      <c r="CK511" s="1" t="s">
        <v>1917</v>
      </c>
      <c r="CL511" s="1" t="str">
        <f aca="false">IF($BX511="concept_trains","{GREEN}Concept Vehicle",IF($BX511="!param_no_gameplay_units","{GREEN}Included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{GOLD}0.8 tiles{}{SILVER}Despite the age of the "Salmon" bolster wagons, in 2009 they were refurbished with new end plates to make loading track panels simpler.</v>
      </c>
    </row>
    <row r="512" customFormat="false" ht="14.25" hidden="false" customHeight="false" outlineLevel="0" collapsed="false">
      <c r="A512" s="1" t="s">
        <v>1918</v>
      </c>
      <c r="B512" s="15" t="s">
        <v>1919</v>
      </c>
      <c r="C512" s="1" t="n">
        <v>71</v>
      </c>
      <c r="E512" s="1" t="n">
        <v>1524</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241</v>
      </c>
      <c r="J512" s="1" t="s">
        <v>1580</v>
      </c>
      <c r="K512" s="1" t="s">
        <v>1580</v>
      </c>
      <c r="L512" s="1" t="s">
        <v>192</v>
      </c>
      <c r="M512" s="1" t="n">
        <v>2020</v>
      </c>
      <c r="Z512" s="1" t="n">
        <v>15</v>
      </c>
      <c r="AB512" s="1" t="n">
        <v>4</v>
      </c>
      <c r="AD512" s="4" t="str">
        <f aca="false">IF(AND(Z512&gt;0,AC512&gt;0),(AC512/((Z512+AA512)*10)),"")</f>
        <v/>
      </c>
      <c r="AE512" s="1" t="n">
        <v>85</v>
      </c>
      <c r="AF512" s="1" t="n">
        <f aca="false">ROUND(AE512*1.6, 0)</f>
        <v>136</v>
      </c>
      <c r="AH512" s="1" t="n">
        <v>15.8</v>
      </c>
      <c r="AI512" s="1" t="n">
        <v>19.8</v>
      </c>
      <c r="AL512" s="5" t="n">
        <v>60</v>
      </c>
      <c r="AM512" s="1" t="str">
        <f aca="false">CONCATENATE(VLOOKUP(AN512, 'Voxel Sizes'!$A$2:$B$18,2,FALSE()),"x",INT(AJ512*15), "x", INT(AK512*15))</f>
        <v>198x0x0</v>
      </c>
      <c r="AN512" s="1" t="n">
        <f aca="false">ROUND(15*((AI512*10)/256),0)</f>
        <v>12</v>
      </c>
      <c r="AP512" s="1" t="str">
        <f aca="false">CONCATENATE(VLOOKUP(AN512,Constants!$A$2:$C$16,IF(AO512&lt;&gt;"", 3, 2), FALSE()),IF(AO512&lt;&gt;"",CONCATENATE(",",VLOOKUP(AO512,$B:$AP,41,FALSE())),""))</f>
        <v>4,4,4</v>
      </c>
      <c r="AZ512" s="1" t="n">
        <v>30</v>
      </c>
      <c r="BA512" s="16" t="str">
        <f aca="false">IF(O512&lt;&gt;"",MAX(16,(O512-M512)+8),"")</f>
        <v/>
      </c>
      <c r="BB512" s="1" t="n">
        <v>-2</v>
      </c>
      <c r="BC512" s="1" t="n">
        <v>2</v>
      </c>
      <c r="BD512" s="1" t="n">
        <f aca="false">MIN(AE512/150, 1)*30</f>
        <v>17</v>
      </c>
      <c r="BE512" s="1" t="n">
        <f aca="false">MIN(Q512/4000, 1)*20</f>
        <v>0</v>
      </c>
      <c r="BF512" s="1" t="n">
        <f aca="false">MIN(AC512/400,1)*20</f>
        <v>0</v>
      </c>
      <c r="BG512" s="4" t="n">
        <f aca="false">1-(MAX(M512-1900, 0)/750)</f>
        <v>0.84</v>
      </c>
      <c r="BH512" s="1" t="n">
        <f aca="false">((MAX($P512,1)*MIN($AL512/300,1)))*IF(J512="Wagon",50,10)</f>
        <v>10</v>
      </c>
      <c r="BI512" s="1" t="n">
        <f aca="false">VLOOKUP($K512,Constants!$I:$K, 2, FALSE())</f>
        <v>1</v>
      </c>
      <c r="BJ512" s="1" t="n">
        <f aca="false">VLOOKUP($K512,Constants!$I:$K, 3, FALSE())*IF(AND(J512="multiple_unit",AE512&lt;110),0.75,1)</f>
        <v>0.45</v>
      </c>
      <c r="BK512" s="1" t="n">
        <f aca="false">INT(POWER(((Constants!$G$2+$BD512+$BE512+$BF512+$BH512)*$BG512)*$BJ512, 1.05))+$BC512</f>
        <v>15</v>
      </c>
      <c r="BL512" s="1" t="n">
        <f aca="false">INT(POWER((((Constants!$G$1+$BD512+$BE512+$BF512+$BH512)*($BG512))*$BI512),IF($J512="wagon",1,1.2)))+$BB512</f>
        <v>33</v>
      </c>
      <c r="BM512" s="17" t="n">
        <f aca="false">BK512*IF($J512="wagon",62.5,781.25)</f>
        <v>937.5</v>
      </c>
      <c r="BN512" s="17" t="n">
        <f aca="false">BL512*IF($J512="wagon",2.73,81.25)</f>
        <v>90.09</v>
      </c>
      <c r="BU512" s="1" t="str">
        <f aca="false">IF(J512="locomotive","B","")</f>
        <v/>
      </c>
      <c r="BV512" s="1" t="str">
        <f aca="false">IF(OR($J512="locomotive",$J512="wagon"),"B","")</f>
        <v>B</v>
      </c>
      <c r="BY512" s="1" t="n">
        <v>1</v>
      </c>
      <c r="BZ512" s="1" t="n">
        <v>185</v>
      </c>
      <c r="CB512" s="1" t="s">
        <v>1890</v>
      </c>
      <c r="CC512" s="1" t="s">
        <v>1891</v>
      </c>
      <c r="CD512" s="1" t="str">
        <f aca="false">VLOOKUP(M512,Eras!$A$2:$C$10, 2, TRUE())</f>
        <v>mod</v>
      </c>
      <c r="CE512" s="1" t="s">
        <v>1892</v>
      </c>
      <c r="CF512" s="1" t="str">
        <f aca="false">CONCATENATE(CD512,"_",CE512)</f>
        <v>mod_Flat Wagon</v>
      </c>
      <c r="CG512" s="1" t="str">
        <f aca="false">_xlfn.CONCAT(K512, "_",L512)</f>
        <v>wagon_RAIL</v>
      </c>
      <c r="CH512" s="7" t="str">
        <f aca="false">_xlfn.CONCAT("{BLACK}Length: {GOLD}", TEXT(ROUNDUP(IF(AS512&lt;&gt;"",SUM(VALUE(_xlfn.TEXTSPLIT(AS512, ","))), SUM(VALUE(_xlfn.TEXTSPLIT(AP512, ",")))*IF(P512, P512, 1))/16, 1), "#,##0.0"), " tiles{}")</f>
        <v>{BLACK}Length: {GOLD}0.8 tiles{}</v>
      </c>
      <c r="CI512" s="1" t="str">
        <f aca="false">IF(0, VLOOKUP($CG512, Constants!$M:$N, 2, FALSE()),"")</f>
        <v/>
      </c>
      <c r="CJ512" s="1" t="str">
        <f aca="false">IF(P512&gt;1,_xlfn.CONCAT("{BLACK}Cars: {GOLD}", P512),"")</f>
        <v/>
      </c>
      <c r="CK512" s="1" t="s">
        <v>1920</v>
      </c>
      <c r="CL512" s="1" t="str">
        <f aca="false">IF($BX512="concept_trains","{GREEN}Concept Vehicle",IF($BX512="!param_no_gameplay_units","{GREEN}Included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{GOLD}0.8 tiles{}{SILVER}The FEA-W is a modular wagon built by Wascosa, based on a strong metal spine which can be topped by a variety of modules for different purposes.</v>
      </c>
    </row>
    <row r="513" customFormat="false" ht="14.25" hidden="false" customHeight="false" outlineLevel="0" collapsed="false">
      <c r="A513" s="1" t="s">
        <v>1921</v>
      </c>
      <c r="B513" s="15" t="s">
        <v>1922</v>
      </c>
      <c r="C513" s="1" t="n">
        <v>72</v>
      </c>
      <c r="E513" s="1" t="n">
        <v>1525</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241</v>
      </c>
      <c r="J513" s="1" t="s">
        <v>1580</v>
      </c>
      <c r="K513" s="1" t="s">
        <v>1580</v>
      </c>
      <c r="L513" s="1" t="s">
        <v>192</v>
      </c>
      <c r="M513" s="1" t="n">
        <v>1972</v>
      </c>
      <c r="Z513" s="1" t="n">
        <v>17</v>
      </c>
      <c r="AB513" s="1" t="n">
        <v>5</v>
      </c>
      <c r="AD513" s="4" t="str">
        <f aca="false">IF(AND(Z513&gt;0,AC513&gt;0),(AC513/((Z513+AA513)*10)),"")</f>
        <v/>
      </c>
      <c r="AE513" s="1" t="n">
        <v>70</v>
      </c>
      <c r="AF513" s="1" t="n">
        <f aca="false">ROUND(AE513*1.6, 0)</f>
        <v>112</v>
      </c>
      <c r="AH513" s="1" t="n">
        <v>13.3</v>
      </c>
      <c r="AI513" s="1" t="n">
        <v>13.3</v>
      </c>
      <c r="AL513" s="5" t="n">
        <v>42</v>
      </c>
      <c r="AM513" s="1" t="str">
        <f aca="false">CONCATENATE(VLOOKUP(AN513, 'Voxel Sizes'!$A$2:$B$18,2,FALSE()),"x",INT(AJ513*15), "x", INT(AK513*15))</f>
        <v>136x0x0</v>
      </c>
      <c r="AN513" s="1" t="n">
        <f aca="false">ROUND(15*((AI513*10)/256),0)</f>
        <v>8</v>
      </c>
      <c r="AP513" s="1" t="str">
        <f aca="false">CONCATENATE(VLOOKUP(AN513,Constants!$A$2:$C$16,IF(AO513&lt;&gt;"", 3, 2), FALSE()),IF(AO513&lt;&gt;"",CONCATENATE(",",VLOOKUP(AO513,$B:$AP,41,FALSE())),""))</f>
        <v>2,4,2</v>
      </c>
      <c r="AZ513" s="1" t="n">
        <v>30</v>
      </c>
      <c r="BA513" s="16" t="str">
        <f aca="false">IF(O513&lt;&gt;"",MAX(16,(O513-M513)+8),"")</f>
        <v/>
      </c>
      <c r="BD513" s="1" t="n">
        <f aca="false">MIN(AE513/150, 1)*30</f>
        <v>14</v>
      </c>
      <c r="BE513" s="1" t="n">
        <f aca="false">MIN(Q513/4000, 1)*20</f>
        <v>0</v>
      </c>
      <c r="BF513" s="1" t="n">
        <f aca="false">MIN(AC513/400,1)*20</f>
        <v>0</v>
      </c>
      <c r="BG513" s="4" t="n">
        <f aca="false">1-(MAX(M513-1900, 0)/750)</f>
        <v>0.904</v>
      </c>
      <c r="BH513" s="1" t="n">
        <f aca="false">((MAX($P513,1)*MIN($AL513/300,1)))*IF(J513="Wagon",50,10)</f>
        <v>7</v>
      </c>
      <c r="BI513" s="1" t="n">
        <f aca="false">VLOOKUP($K513,Constants!$I:$K, 2, FALSE())</f>
        <v>1</v>
      </c>
      <c r="BJ513" s="1" t="n">
        <f aca="false">VLOOKUP($K513,Constants!$I:$K, 3, FALSE())*IF(AND(J513="multiple_unit",AE513&lt;110),0.75,1)</f>
        <v>0.45</v>
      </c>
      <c r="BK513" s="1" t="n">
        <f aca="false">INT(POWER(((Constants!$G$2+$BD513+$BE513+$BF513+$BH513)*$BG513)*$BJ513, 1.05))+$BC513</f>
        <v>11</v>
      </c>
      <c r="BL513" s="1" t="n">
        <f aca="false">INT(POWER((((Constants!$G$1+$BD513+$BE513+$BF513+$BH513)*($BG513))*$BI513),IF($J513="wagon",1,1.2)))+$BB513</f>
        <v>32</v>
      </c>
      <c r="BM513" s="17" t="n">
        <f aca="false">BK513*IF($J513="wagon",62.5,781.25)</f>
        <v>687.5</v>
      </c>
      <c r="BN513" s="17" t="n">
        <f aca="false">BL513*IF($J513="wagon",2.73,81.25)</f>
        <v>87.36</v>
      </c>
      <c r="BU513" s="1" t="str">
        <f aca="false">IF(J513="locomotive","B","")</f>
        <v/>
      </c>
      <c r="BV513" s="1" t="str">
        <f aca="false">IF(OR($J513="locomotive",$J513="wagon"),"B","")</f>
        <v>B</v>
      </c>
      <c r="BY513" s="1" t="n">
        <v>1</v>
      </c>
      <c r="BZ513" s="1" t="n">
        <v>185</v>
      </c>
      <c r="CB513" s="1" t="s">
        <v>1923</v>
      </c>
      <c r="CC513" s="1" t="s">
        <v>1924</v>
      </c>
      <c r="CD513" s="1" t="str">
        <f aca="false">VLOOKUP(M513,Eras!$A$2:$C$10, 2, TRUE())</f>
        <v>lbr</v>
      </c>
      <c r="CE513" s="1" t="s">
        <v>1892</v>
      </c>
      <c r="CF513" s="1" t="str">
        <f aca="false">CONCATENATE(CD513,"_",CE513)</f>
        <v>lbr_Flat Wagon</v>
      </c>
      <c r="CG513" s="1" t="str">
        <f aca="false">_xlfn.CONCAT(K513, "_",L513)</f>
        <v>wagon_RAIL</v>
      </c>
      <c r="CH513" s="7" t="str">
        <f aca="false">_xlfn.CONCAT("{BLACK}Length: {GOLD}", TEXT(ROUNDUP(IF(AS513&lt;&gt;"",SUM(VALUE(_xlfn.TEXTSPLIT(AS513, ","))), SUM(VALUE(_xlfn.TEXTSPLIT(AP513, ",")))*IF(P513, P513, 1))/16, 1), "#,##0.0"), " tiles{}")</f>
        <v>{BLACK}Length: {GOLD}0.5 tiles{}</v>
      </c>
      <c r="CI513" s="1" t="str">
        <f aca="false">IF(0, VLOOKUP($CG513, Constants!$M:$N, 2, FALSE()),"")</f>
        <v/>
      </c>
      <c r="CJ513" s="1" t="str">
        <f aca="false">IF(P513&gt;1,_xlfn.CONCAT("{BLACK}Cars: {GOLD}", P513),"")</f>
        <v/>
      </c>
      <c r="CK513" s="1" t="s">
        <v>1925</v>
      </c>
      <c r="CL513" s="1" t="str">
        <f aca="false">IF($BX513="concept_trains","{GREEN}Concept Vehicle",IF($BX513="!param_no_gameplay_units","{GREEN}Included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{GOLD}0.5 tiles{}{SILVER}BAA wagons could initially carry steel in a large variety of forms, although many were later modified to be dedicated coil carriers.</v>
      </c>
    </row>
    <row r="514" s="26" customFormat="true" ht="14.25" hidden="false" customHeight="false" outlineLevel="0" collapsed="false">
      <c r="A514" s="26" t="s">
        <v>1926</v>
      </c>
      <c r="B514" s="27" t="s">
        <v>1927</v>
      </c>
      <c r="C514" s="1" t="n">
        <v>3113</v>
      </c>
      <c r="E514" s="1" t="n">
        <v>1526</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26" t="s">
        <v>241</v>
      </c>
      <c r="J514" s="26" t="s">
        <v>1580</v>
      </c>
      <c r="K514" s="26" t="s">
        <v>1580</v>
      </c>
      <c r="L514" s="26" t="s">
        <v>192</v>
      </c>
      <c r="M514" s="26" t="n">
        <v>1977</v>
      </c>
      <c r="R514" s="2"/>
      <c r="S514" s="3"/>
      <c r="T514" s="3"/>
      <c r="U514" s="3"/>
      <c r="V514" s="3"/>
      <c r="W514" s="3"/>
      <c r="X514" s="3"/>
      <c r="Y514" s="3"/>
      <c r="Z514" s="26" t="n">
        <v>25</v>
      </c>
      <c r="AA514" s="2"/>
      <c r="AB514" s="26" t="n">
        <v>4</v>
      </c>
      <c r="AD514" s="4" t="str">
        <f aca="false">IF(AND(Z514&gt;0,AC514&gt;0),(AC514/((Z514+AA514)*10)),"")</f>
        <v/>
      </c>
      <c r="AE514" s="26" t="n">
        <v>60</v>
      </c>
      <c r="AF514" s="26" t="n">
        <f aca="false">ROUND(AE514*1.6, 0)</f>
        <v>96</v>
      </c>
      <c r="AH514" s="26" t="n">
        <v>21.7</v>
      </c>
      <c r="AI514" s="26" t="n">
        <v>21.7</v>
      </c>
      <c r="AK514" s="26" t="n">
        <v>3.8</v>
      </c>
      <c r="AL514" s="5" t="n">
        <v>65</v>
      </c>
      <c r="AM514" s="1" t="str">
        <f aca="false">CONCATENATE(VLOOKUP(AN514, 'Voxel Sizes'!$A$2:$B$18,2,FALSE()),"x",INT(AJ514*15), "x", INT(AK514*15))</f>
        <v>214x0x57</v>
      </c>
      <c r="AN514" s="26" t="n">
        <f aca="false">ROUND(15*((AI514*10)/256),0)</f>
        <v>13</v>
      </c>
      <c r="AP514" s="1" t="str">
        <f aca="false">CONCATENATE(VLOOKUP(AN514,Constants!$A$2:$C$16,IF(AO514&lt;&gt;"", 3, 2), FALSE()),IF(AO514&lt;&gt;"",CONCATENATE(",",VLOOKUP(AO514,$B:$AP,41,FALSE())),""))</f>
        <v>4,5,4</v>
      </c>
      <c r="AR514" s="6"/>
      <c r="AS514" s="6"/>
      <c r="AY514" s="1"/>
      <c r="AZ514" s="26" t="n">
        <v>30</v>
      </c>
      <c r="BA514" s="16" t="str">
        <f aca="false">IF(O514&lt;&gt;"",MAX(16,(O514-M514)+8),"")</f>
        <v/>
      </c>
      <c r="BD514" s="26" t="n">
        <f aca="false">MIN(AE514/150, 1)*30</f>
        <v>12</v>
      </c>
      <c r="BE514" s="26" t="n">
        <f aca="false">MIN(Q514/4000, 1)*20</f>
        <v>0</v>
      </c>
      <c r="BF514" s="26" t="n">
        <f aca="false">MIN(AC514/400,1)*20</f>
        <v>0</v>
      </c>
      <c r="BG514" s="4" t="n">
        <f aca="false">1-(MAX(M514-1900, 0)/750)</f>
        <v>0.897333333333333</v>
      </c>
      <c r="BH514" s="26" t="n">
        <f aca="false">((MAX($P514,1)*MIN($AL514/300,1)))*IF(J514="Wagon",50,10)</f>
        <v>10.8333333333333</v>
      </c>
      <c r="BI514" s="1" t="n">
        <f aca="false">VLOOKUP($K514,Constants!$I:$K, 2, FALSE())</f>
        <v>1</v>
      </c>
      <c r="BJ514" s="1" t="n">
        <f aca="false">VLOOKUP($K514,Constants!$I:$K, 3, FALSE())*IF(AND(J514="multiple_unit",AE514&lt;110),0.75,1)</f>
        <v>0.45</v>
      </c>
      <c r="BK514" s="1" t="n">
        <f aca="false">INT(POWER(((Constants!$G$2+$BD514+$BE514+$BF514+$BH514)*$BG514)*$BJ514, 1.05))+$BC514</f>
        <v>12</v>
      </c>
      <c r="BL514" s="1" t="n">
        <f aca="false">INT(POWER((((Constants!$G$1+$BD514+$BE514+$BF514+$BH514)*($BG514))*$BI514),IF($J514="wagon",1,1.2)))+$BB514</f>
        <v>33</v>
      </c>
      <c r="BM514" s="17" t="n">
        <f aca="false">BK514*IF($J514="wagon",62.5,781.25)</f>
        <v>750</v>
      </c>
      <c r="BN514" s="17" t="n">
        <f aca="false">BL514*IF($J514="wagon",2.73,81.25)</f>
        <v>90.09</v>
      </c>
      <c r="BU514" s="1" t="str">
        <f aca="false">IF(J514="locomotive","B","")</f>
        <v/>
      </c>
      <c r="BV514" s="1" t="str">
        <f aca="false">IF(OR($J514="locomotive",$J514="wagon"),"B","")</f>
        <v>B</v>
      </c>
      <c r="BY514" s="26" t="n">
        <v>1</v>
      </c>
      <c r="BZ514" s="26" t="n">
        <v>185</v>
      </c>
      <c r="CB514" s="26" t="s">
        <v>1890</v>
      </c>
      <c r="CC514" s="26" t="s">
        <v>1891</v>
      </c>
      <c r="CD514" s="1" t="str">
        <f aca="false">VLOOKUP(M514,Eras!$A$2:$C$10, 2, TRUE())</f>
        <v>lbr</v>
      </c>
      <c r="CE514" s="26" t="s">
        <v>1892</v>
      </c>
      <c r="CF514" s="26" t="str">
        <f aca="false">CONCATENATE(CD514,"_",CE514)</f>
        <v>lbr_Flat Wagon</v>
      </c>
      <c r="CG514" s="26" t="str">
        <f aca="false">_xlfn.CONCAT(K514, "_",L514)</f>
        <v>wagon_RAIL</v>
      </c>
      <c r="CH514" s="7" t="str">
        <f aca="false">_xlfn.CONCAT("{BLACK}Length: {GOLD}", TEXT(ROUNDUP(IF(AS514&lt;&gt;"",SUM(VALUE(_xlfn.TEXTSPLIT(AS514, ","))), SUM(VALUE(_xlfn.TEXTSPLIT(AP514, ",")))*IF(P514, P514, 1))/16, 1), "#,##0.0"), " tiles{}")</f>
        <v>{BLACK}Length: {GOLD}0.9 tiles{}</v>
      </c>
      <c r="CI514" s="1" t="str">
        <f aca="false">IF(0, VLOOKUP($CG514, Constants!$M:$N, 2, FALSE()),"")</f>
        <v/>
      </c>
      <c r="CJ514" s="1" t="str">
        <f aca="false">IF(P514&gt;1,_xlfn.CONCAT("{BLACK}Cars: {GOLD}", P514),"")</f>
        <v/>
      </c>
      <c r="CK514" s="26" t="s">
        <v>1928</v>
      </c>
      <c r="CL514" s="1" t="str">
        <f aca="false">IF($BX514="concept_trains","{GREEN}Concept Vehicle",IF($BX514="!param_no_gameplay_units","{GREEN}Included for gameplay purposes",""))</f>
        <v/>
      </c>
      <c r="CM514" s="26" t="str">
        <f aca="false">IF(CC514="buffet","{YELLOW}25% long distance bonus for consist{}",IF(CD514="BRAKE","{YELLOW}Speed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{GOLD}0.9 tiles{}{SILVER}The basic chassis of the Cargowaggon van adapted naturally to a sturdy, high-capacity flat wagon, used for steel, wood and other cargo, then later adapted for departmental work carrying welded rail and as match wagons.</v>
      </c>
      <c r="XFD514" s="1"/>
    </row>
    <row r="515" customFormat="false" ht="14.25" hidden="false" customHeight="false" outlineLevel="0" collapsed="false">
      <c r="A515" s="1" t="s">
        <v>1929</v>
      </c>
      <c r="B515" s="15" t="s">
        <v>1930</v>
      </c>
      <c r="C515" s="1" t="n">
        <v>73</v>
      </c>
      <c r="E515" s="1" t="n">
        <v>1527</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241</v>
      </c>
      <c r="J515" s="1" t="s">
        <v>1580</v>
      </c>
      <c r="K515" s="1" t="s">
        <v>1580</v>
      </c>
      <c r="L515" s="1" t="s">
        <v>192</v>
      </c>
      <c r="M515" s="1" t="n">
        <v>1998</v>
      </c>
      <c r="Z515" s="1" t="n">
        <v>24</v>
      </c>
      <c r="AB515" s="1" t="n">
        <v>8</v>
      </c>
      <c r="AD515" s="4" t="str">
        <f aca="false">IF(AND(Z515&gt;0,AC515&gt;0),(AC515/((Z515+AA515)*10)),"")</f>
        <v/>
      </c>
      <c r="AE515" s="1" t="n">
        <v>85</v>
      </c>
      <c r="AF515" s="1" t="n">
        <f aca="false">ROUND(AE515*1.6, 0)</f>
        <v>136</v>
      </c>
      <c r="AH515" s="1" t="n">
        <v>18.6</v>
      </c>
      <c r="AI515" s="1" t="n">
        <v>18.6</v>
      </c>
      <c r="AL515" s="5" t="n">
        <v>78</v>
      </c>
      <c r="AM515" s="1" t="str">
        <f aca="false">CONCATENATE(VLOOKUP(AN515, 'Voxel Sizes'!$A$2:$B$18,2,FALSE()),"x",INT(AJ515*15), "x", INT(AK515*15))</f>
        <v>186x0x0</v>
      </c>
      <c r="AN515" s="1" t="n">
        <f aca="false">ROUND(15*((AI515*10)/256),0)</f>
        <v>11</v>
      </c>
      <c r="AP515" s="1" t="str">
        <f aca="false">CONCATENATE(VLOOKUP(AN515,Constants!$A$2:$C$16,IF(AO515&lt;&gt;"", 3, 2), FALSE()),IF(AO515&lt;&gt;"",CONCATENATE(",",VLOOKUP(AO515,$B:$AP,41,FALSE())),""))</f>
        <v>4,3,4</v>
      </c>
      <c r="AZ515" s="1" t="n">
        <v>30</v>
      </c>
      <c r="BA515" s="16" t="str">
        <f aca="false">IF(O515&lt;&gt;"",MAX(16,(O515-M515)+8),"")</f>
        <v/>
      </c>
      <c r="BD515" s="1" t="n">
        <f aca="false">MIN(AE515/150, 1)*30</f>
        <v>17</v>
      </c>
      <c r="BE515" s="1" t="n">
        <f aca="false">MIN(Q515/4000, 1)*20</f>
        <v>0</v>
      </c>
      <c r="BF515" s="1" t="n">
        <f aca="false">MIN(AC515/400,1)*20</f>
        <v>0</v>
      </c>
      <c r="BG515" s="4" t="n">
        <f aca="false">1-(MAX(M515-1900, 0)/750)</f>
        <v>0.869333333333333</v>
      </c>
      <c r="BH515" s="1" t="n">
        <f aca="false">((MAX($P515,1)*MIN($AL515/300,1)))*IF(J515="Wagon",50,10)</f>
        <v>13</v>
      </c>
      <c r="BI515" s="1" t="n">
        <f aca="false">VLOOKUP($K515,Constants!$I:$K, 2, FALSE())</f>
        <v>1</v>
      </c>
      <c r="BJ515" s="1" t="n">
        <f aca="false">VLOOKUP($K515,Constants!$I:$K, 3, FALSE())*IF(AND(J515="multiple_unit",AE515&lt;110),0.75,1)</f>
        <v>0.45</v>
      </c>
      <c r="BK515" s="1" t="n">
        <f aca="false">INT(POWER(((Constants!$G$2+$BD515+$BE515+$BF515+$BH515)*$BG515)*$BJ515, 1.05))+$BC515</f>
        <v>15</v>
      </c>
      <c r="BL515" s="1" t="n">
        <f aca="false">INT(POWER((((Constants!$G$1+$BD515+$BE515+$BF515+$BH515)*($BG515))*$BI515),IF($J515="wagon",1,1.2)))+$BB515</f>
        <v>39</v>
      </c>
      <c r="BM515" s="17" t="n">
        <f aca="false">BK515*IF($J515="wagon",62.5,781.25)</f>
        <v>937.5</v>
      </c>
      <c r="BN515" s="17" t="n">
        <f aca="false">BL515*IF($J515="wagon",2.73,81.25)</f>
        <v>106.47</v>
      </c>
      <c r="BU515" s="1" t="str">
        <f aca="false">IF(J515="locomotive","B","")</f>
        <v/>
      </c>
      <c r="BV515" s="1" t="str">
        <f aca="false">IF(OR($J515="locomotive",$J515="wagon"),"B","")</f>
        <v>B</v>
      </c>
      <c r="BY515" s="1" t="n">
        <v>1</v>
      </c>
      <c r="BZ515" s="1" t="n">
        <v>185</v>
      </c>
      <c r="CB515" s="1" t="s">
        <v>1931</v>
      </c>
      <c r="CC515" s="1" t="s">
        <v>1924</v>
      </c>
      <c r="CD515" s="1" t="str">
        <f aca="false">VLOOKUP(M515,Eras!$A$2:$C$10, 2, TRUE())</f>
        <v>prv</v>
      </c>
      <c r="CE515" s="1" t="s">
        <v>1892</v>
      </c>
      <c r="CF515" s="1" t="str">
        <f aca="false">CONCATENATE(CD515,"_",CE515)</f>
        <v>prv_Flat Wagon</v>
      </c>
      <c r="CG515" s="1" t="str">
        <f aca="false">_xlfn.CONCAT(K515, "_",L515)</f>
        <v>wagon_RAIL</v>
      </c>
      <c r="CH515" s="7" t="str">
        <f aca="false">_xlfn.CONCAT("{BLACK}Length: {GOLD}", TEXT(ROUNDUP(IF(AS515&lt;&gt;"",SUM(VALUE(_xlfn.TEXTSPLIT(AS515, ","))), SUM(VALUE(_xlfn.TEXTSPLIT(AP515, ",")))*IF(P515, P515, 1))/16, 1), "#,##0.0"), " tiles{}")</f>
        <v>{BLACK}Length: {GOLD}0.7 tiles{}</v>
      </c>
      <c r="CI515" s="1" t="str">
        <f aca="false">IF(0, VLOOKUP($CG515, Constants!$M:$N, 2, FALSE()),"")</f>
        <v/>
      </c>
      <c r="CJ515" s="1" t="str">
        <f aca="false">IF(P515&gt;1,_xlfn.CONCAT("{BLACK}Cars: {GOLD}", P515),"")</f>
        <v/>
      </c>
      <c r="CK515" s="1" t="s">
        <v>1932</v>
      </c>
      <c r="CL515" s="1" t="str">
        <f aca="false">IF($BX515="concept_trains","{GREEN}Concept Vehicle",IF($BX515="!param_no_gameplay_units","{GREEN}Included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{GOLD}0.7 tiles{}{SILVER}The BYA/BRA covered steel carriers gained their name from the corrugated sliding cover and its curved cross section.</v>
      </c>
      <c r="CO515" s="1" t="n">
        <v>1</v>
      </c>
    </row>
    <row r="516" customFormat="false" ht="14.25" hidden="false" customHeight="false" outlineLevel="0" collapsed="false">
      <c r="A516" s="1" t="s">
        <v>1933</v>
      </c>
      <c r="B516" s="15" t="s">
        <v>1934</v>
      </c>
      <c r="C516" s="1" t="n">
        <v>74</v>
      </c>
      <c r="E516" s="1" t="n">
        <v>1528</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241</v>
      </c>
      <c r="J516" s="1" t="s">
        <v>1580</v>
      </c>
      <c r="K516" s="1" t="s">
        <v>1580</v>
      </c>
      <c r="L516" s="1" t="s">
        <v>192</v>
      </c>
      <c r="M516" s="1" t="n">
        <v>1860</v>
      </c>
      <c r="O516" s="1" t="n">
        <v>1922</v>
      </c>
      <c r="Z516" s="1" t="n">
        <v>5</v>
      </c>
      <c r="AB516" s="1" t="n">
        <v>2</v>
      </c>
      <c r="AD516" s="4" t="str">
        <f aca="false">IF(AND(Z516&gt;0,AC516&gt;0),(AC516/((Z516+AA516)*10)),"")</f>
        <v/>
      </c>
      <c r="AE516" s="1" t="n">
        <v>35</v>
      </c>
      <c r="AF516" s="1" t="n">
        <f aca="false">ROUND(AE516*1.6, 0)</f>
        <v>56</v>
      </c>
      <c r="AH516" s="1" t="n">
        <v>4.9</v>
      </c>
      <c r="AI516" s="1" t="n">
        <v>6</v>
      </c>
      <c r="AL516" s="5" t="n">
        <v>15</v>
      </c>
      <c r="AM516" s="1" t="str">
        <f aca="false">CONCATENATE(VLOOKUP(AN516, 'Voxel Sizes'!$A$2:$B$18,2,FALSE()),"x",INT(AJ516*15), "x", INT(AK516*15))</f>
        <v>60x0x0</v>
      </c>
      <c r="AN516" s="1" t="n">
        <f aca="false">ROUND(15*((AI516*10)/256),0)</f>
        <v>4</v>
      </c>
      <c r="AP516" s="1" t="str">
        <f aca="false">CONCATENATE(VLOOKUP(AN516,Constants!$A$2:$C$16,IF(AO516&lt;&gt;"", 3, 2), FALSE()),IF(AO516&lt;&gt;"",CONCATENATE(",",VLOOKUP(AO516,$B:$AP,41,FALSE())),""))</f>
        <v>1,2,1</v>
      </c>
      <c r="AZ516" s="1" t="n">
        <v>30</v>
      </c>
      <c r="BA516" s="16" t="n">
        <f aca="false">IF(O516&lt;&gt;"",MAX(16,(O516-M516)+8),"")</f>
        <v>70</v>
      </c>
      <c r="BD516" s="1" t="n">
        <f aca="false">MIN(AE516/150, 1)*30</f>
        <v>7</v>
      </c>
      <c r="BE516" s="1" t="n">
        <f aca="false">MIN(Q516/4000, 1)*20</f>
        <v>0</v>
      </c>
      <c r="BF516" s="1" t="n">
        <f aca="false">MIN(AC516/400,1)*20</f>
        <v>0</v>
      </c>
      <c r="BG516" s="4" t="n">
        <f aca="false">1-(MAX(M516-1900, 0)/750)</f>
        <v>1</v>
      </c>
      <c r="BH516" s="1" t="n">
        <f aca="false">((MAX($P516,1)*MIN($AL516/300,1)))*IF(J516="Wagon",50,10)</f>
        <v>2.5</v>
      </c>
      <c r="BI516" s="1" t="n">
        <f aca="false">VLOOKUP($K516,Constants!$I:$K, 2, FALSE())</f>
        <v>1</v>
      </c>
      <c r="BJ516" s="1" t="n">
        <f aca="false">VLOOKUP($K516,Constants!$I:$K, 3, FALSE())*IF(AND(J516="multiple_unit",AE516&lt;110),0.75,1)</f>
        <v>0.45</v>
      </c>
      <c r="BK516" s="1" t="n">
        <f aca="false">INT(POWER(((Constants!$G$2+$BD516+$BE516+$BF516+$BH516)*$BG516)*$BJ516, 1.05))+$BC516</f>
        <v>7</v>
      </c>
      <c r="BL516" s="1" t="n">
        <f aca="false">INT(POWER((((Constants!$G$1+$BD516+$BE516+$BF516+$BH516)*($BG516))*$BI516),IF($J516="wagon",1,1.2)))+$BB516</f>
        <v>24</v>
      </c>
      <c r="BM516" s="17" t="n">
        <f aca="false">BK516*IF($J516="wagon",62.5,781.25)</f>
        <v>437.5</v>
      </c>
      <c r="BN516" s="17" t="n">
        <f aca="false">BL516*IF($J516="wagon",2.73,81.25)</f>
        <v>65.52</v>
      </c>
      <c r="BU516" s="1" t="str">
        <f aca="false">IF(J516="locomotive","B","")</f>
        <v/>
      </c>
      <c r="BV516" s="1" t="str">
        <f aca="false">IF(OR($J516="locomotive",$J516="wagon"),"B","")</f>
        <v>B</v>
      </c>
      <c r="BY516" s="1" t="n">
        <v>1</v>
      </c>
      <c r="BZ516" s="1" t="n">
        <v>185</v>
      </c>
      <c r="CB516" s="1" t="s">
        <v>1935</v>
      </c>
      <c r="CC516" s="1" t="s">
        <v>1936</v>
      </c>
      <c r="CD516" s="1" t="str">
        <f aca="false">VLOOKUP(M516,Eras!$A$2:$C$10, 2, TRUE())</f>
        <v>vct</v>
      </c>
      <c r="CE516" s="1" t="s">
        <v>1935</v>
      </c>
      <c r="CF516" s="1" t="str">
        <f aca="false">CONCATENATE(CD516,"_",CE516)</f>
        <v>vct_Tanker</v>
      </c>
      <c r="CG516" s="1" t="str">
        <f aca="false">_xlfn.CONCAT(K516, "_",L516)</f>
        <v>wagon_RAIL</v>
      </c>
      <c r="CH516" s="7" t="str">
        <f aca="false">_xlfn.CONCAT("{BLACK}Length: {GOLD}", TEXT(ROUNDUP(IF(AS516&lt;&gt;"",SUM(VALUE(_xlfn.TEXTSPLIT(AS516, ","))), SUM(VALUE(_xlfn.TEXTSPLIT(AP516, ",")))*IF(P516, P516, 1))/16, 1), "#,##0.0"), " tiles{}")</f>
        <v>{BLACK}Length: {GOLD}0.3 tiles{}</v>
      </c>
      <c r="CI516" s="1" t="str">
        <f aca="false">IF(0, VLOOKUP($CG516, Constants!$M:$N, 2, FALSE()),"")</f>
        <v/>
      </c>
      <c r="CJ516" s="1" t="str">
        <f aca="false">IF(P516&gt;1,_xlfn.CONCAT("{BLACK}Cars: {GOLD}", P516),"")</f>
        <v/>
      </c>
      <c r="CK516" s="1" t="s">
        <v>1937</v>
      </c>
      <c r="CL516" s="1" t="str">
        <f aca="false">IF($BX516="concept_trains","{GREEN}Concept Vehicle",IF($BX516="!param_no_gameplay_units","{GREEN}Included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{GOLD}0.3 tiles{}{SILVER}Early four wheel tank wagons are limited to low speeds by their construction and primitive suspension.</v>
      </c>
    </row>
    <row r="517" customFormat="false" ht="14.25" hidden="false" customHeight="false" outlineLevel="0" collapsed="false">
      <c r="A517" s="1" t="s">
        <v>1938</v>
      </c>
      <c r="B517" s="15" t="s">
        <v>1939</v>
      </c>
      <c r="C517" s="1" t="n">
        <v>75</v>
      </c>
      <c r="E517" s="1" t="n">
        <v>1529</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241</v>
      </c>
      <c r="J517" s="1" t="s">
        <v>1580</v>
      </c>
      <c r="K517" s="1" t="s">
        <v>1580</v>
      </c>
      <c r="L517" s="1" t="s">
        <v>192</v>
      </c>
      <c r="M517" s="1" t="n">
        <v>1901</v>
      </c>
      <c r="O517" s="1" t="n">
        <v>1939</v>
      </c>
      <c r="Z517" s="1" t="n">
        <v>10</v>
      </c>
      <c r="AB517" s="1" t="n">
        <v>3</v>
      </c>
      <c r="AD517" s="4" t="str">
        <f aca="false">IF(AND(Z517&gt;0,AC517&gt;0),(AC517/((Z517+AA517)*10)),"")</f>
        <v/>
      </c>
      <c r="AE517" s="1" t="n">
        <v>45</v>
      </c>
      <c r="AF517" s="1" t="n">
        <f aca="false">ROUND(AE517*1.6, 0)</f>
        <v>72</v>
      </c>
      <c r="AH517" s="1" t="n">
        <v>8</v>
      </c>
      <c r="AI517" s="1" t="n">
        <v>8</v>
      </c>
      <c r="AL517" s="5" t="n">
        <v>21</v>
      </c>
      <c r="AM517" s="1" t="str">
        <f aca="false">CONCATENATE(VLOOKUP(AN517, 'Voxel Sizes'!$A$2:$B$18,2,FALSE()),"x",INT(AJ517*15), "x", INT(AK517*15))</f>
        <v>82x0x0</v>
      </c>
      <c r="AN517" s="1" t="n">
        <f aca="false">ROUND(15*((AI517*10)/256),0)</f>
        <v>5</v>
      </c>
      <c r="AP517" s="1" t="str">
        <f aca="false">CONCATENATE(VLOOKUP(AN517,Constants!$A$2:$C$16,IF(AO517&lt;&gt;"", 3, 2), FALSE()),IF(AO517&lt;&gt;"",CONCATENATE(",",VLOOKUP(AO517,$B:$AP,41,FALSE())),""))</f>
        <v>2,1,2</v>
      </c>
      <c r="AZ517" s="1" t="n">
        <v>30</v>
      </c>
      <c r="BA517" s="16" t="n">
        <f aca="false">IF(O517&lt;&gt;"",MAX(16,(O517-M517)+8),"")</f>
        <v>46</v>
      </c>
      <c r="BD517" s="1" t="n">
        <f aca="false">MIN(AE517/150, 1)*30</f>
        <v>9</v>
      </c>
      <c r="BE517" s="1" t="n">
        <f aca="false">MIN(Q517/4000, 1)*20</f>
        <v>0</v>
      </c>
      <c r="BF517" s="1" t="n">
        <f aca="false">MIN(AC517/400,1)*20</f>
        <v>0</v>
      </c>
      <c r="BG517" s="4" t="n">
        <f aca="false">1-(MAX(M517-1900, 0)/750)</f>
        <v>0.998666666666667</v>
      </c>
      <c r="BH517" s="1" t="n">
        <f aca="false">((MAX($P517,1)*MIN($AL517/300,1)))*IF(J517="Wagon",50,10)</f>
        <v>3.5</v>
      </c>
      <c r="BI517" s="1" t="n">
        <f aca="false">VLOOKUP($K517,Constants!$I:$K, 2, FALSE())</f>
        <v>1</v>
      </c>
      <c r="BJ517" s="1" t="n">
        <f aca="false">VLOOKUP($K517,Constants!$I:$K, 3, FALSE())*IF(AND(J517="multiple_unit",AE517&lt;110),0.75,1)</f>
        <v>0.45</v>
      </c>
      <c r="BK517" s="1" t="n">
        <f aca="false">INT(POWER(((Constants!$G$2+$BD517+$BE517+$BF517+$BH517)*$BG517)*$BJ517, 1.05))+$BC517</f>
        <v>8</v>
      </c>
      <c r="BL517" s="1" t="n">
        <f aca="false">INT(POWER((((Constants!$G$1+$BD517+$BE517+$BF517+$BH517)*($BG517))*$BI517),IF($J517="wagon",1,1.2)))+$BB517</f>
        <v>27</v>
      </c>
      <c r="BM517" s="17" t="n">
        <f aca="false">BK517*IF($J517="wagon",62.5,781.25)</f>
        <v>500</v>
      </c>
      <c r="BN517" s="17" t="n">
        <f aca="false">BL517*IF($J517="wagon",2.73,81.25)</f>
        <v>73.71</v>
      </c>
      <c r="BU517" s="1" t="str">
        <f aca="false">IF(J517="locomotive","B","")</f>
        <v/>
      </c>
      <c r="BV517" s="1" t="str">
        <f aca="false">IF(OR($J517="locomotive",$J517="wagon"),"B","")</f>
        <v>B</v>
      </c>
      <c r="BY517" s="1" t="n">
        <v>1</v>
      </c>
      <c r="BZ517" s="1" t="n">
        <v>185</v>
      </c>
      <c r="CB517" s="1" t="s">
        <v>1935</v>
      </c>
      <c r="CC517" s="1" t="s">
        <v>1936</v>
      </c>
      <c r="CD517" s="1" t="str">
        <f aca="false">VLOOKUP(M517,Eras!$A$2:$C$10, 2, TRUE())</f>
        <v>edw</v>
      </c>
      <c r="CE517" s="1" t="s">
        <v>1935</v>
      </c>
      <c r="CF517" s="1" t="str">
        <f aca="false">CONCATENATE(CD517,"_",CE517)</f>
        <v>edw_Tanker</v>
      </c>
      <c r="CG517" s="1" t="str">
        <f aca="false">_xlfn.CONCAT(K517, "_",L517)</f>
        <v>wagon_RAIL</v>
      </c>
      <c r="CH517" s="7" t="str">
        <f aca="false">_xlfn.CONCAT("{BLACK}Length: {GOLD}", TEXT(ROUNDUP(IF(AS517&lt;&gt;"",SUM(VALUE(_xlfn.TEXTSPLIT(AS517, ","))), SUM(VALUE(_xlfn.TEXTSPLIT(AP517, ",")))*IF(P517, P517, 1))/16, 1), "#,##0.0"), " tiles{}")</f>
        <v>{BLACK}Length: {GOLD}0.4 tiles{}</v>
      </c>
      <c r="CI517" s="1" t="str">
        <f aca="false">IF(0, VLOOKUP($CG517, Constants!$M:$N, 2, FALSE()),"")</f>
        <v/>
      </c>
      <c r="CJ517" s="1" t="str">
        <f aca="false">IF(P517&gt;1,_xlfn.CONCAT("{BLACK}Cars: {GOLD}", P517),"")</f>
        <v/>
      </c>
      <c r="CK517" s="1" t="s">
        <v>1940</v>
      </c>
      <c r="CL517" s="1" t="str">
        <f aca="false">IF($BX517="concept_trains","{GREEN}Concept Vehicle",IF($BX517="!param_no_gameplay_units","{GREEN}Included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{GOLD}0.4 tiles{}{SILVER}The GWR's cylindrical tank wagons were built by the Locomotive department, as the iron cylinders used similar techniques to steam engines.</v>
      </c>
    </row>
    <row r="518" customFormat="false" ht="14.25" hidden="false" customHeight="false" outlineLevel="0" collapsed="false">
      <c r="A518" s="1" t="s">
        <v>1941</v>
      </c>
      <c r="B518" s="15" t="s">
        <v>1942</v>
      </c>
      <c r="C518" s="1" t="n">
        <v>76</v>
      </c>
      <c r="E518" s="1" t="n">
        <v>1530</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241</v>
      </c>
      <c r="J518" s="1" t="s">
        <v>1580</v>
      </c>
      <c r="K518" s="1" t="s">
        <v>1580</v>
      </c>
      <c r="L518" s="1" t="s">
        <v>192</v>
      </c>
      <c r="M518" s="1" t="n">
        <v>1928</v>
      </c>
      <c r="O518" s="1" t="n">
        <v>1975</v>
      </c>
      <c r="Z518" s="1" t="n">
        <v>11</v>
      </c>
      <c r="AB518" s="1" t="n">
        <v>3</v>
      </c>
      <c r="AE518" s="1" t="n">
        <v>50</v>
      </c>
      <c r="AF518" s="1" t="n">
        <f aca="false">ROUND(AE518*1.6, 0)</f>
        <v>80</v>
      </c>
      <c r="AH518" s="1" t="n">
        <v>8</v>
      </c>
      <c r="AI518" s="1" t="n">
        <v>8</v>
      </c>
      <c r="AL518" s="5" t="n">
        <v>27</v>
      </c>
      <c r="AM518" s="1" t="str">
        <f aca="false">CONCATENATE(VLOOKUP(AN518, 'Voxel Sizes'!$A$2:$B$18,2,FALSE()),"x",INT(AJ518*15), "x", INT(AK518*15))</f>
        <v>82x0x0</v>
      </c>
      <c r="AN518" s="1" t="n">
        <f aca="false">ROUND(15*((AI518*10)/256),0)</f>
        <v>5</v>
      </c>
      <c r="AP518" s="1" t="str">
        <f aca="false">CONCATENATE(VLOOKUP(AN518,Constants!$A$2:$C$16,IF(AO518&lt;&gt;"", 3, 2), FALSE()),IF(AO518&lt;&gt;"",CONCATENATE(",",VLOOKUP(AO518,$B:$AP,41,FALSE())),""))</f>
        <v>2,1,2</v>
      </c>
      <c r="AZ518" s="1" t="n">
        <v>30</v>
      </c>
      <c r="BA518" s="16" t="n">
        <f aca="false">IF(O518&lt;&gt;"",MAX(16,(O518-M518)+8),"")</f>
        <v>55</v>
      </c>
      <c r="BD518" s="1" t="n">
        <f aca="false">MIN(AE518/150, 1)*30</f>
        <v>10</v>
      </c>
      <c r="BE518" s="1" t="n">
        <f aca="false">MIN(Q518/4000, 1)*20</f>
        <v>0</v>
      </c>
      <c r="BF518" s="1" t="n">
        <f aca="false">MIN(AC518/400,1)*20</f>
        <v>0</v>
      </c>
      <c r="BG518" s="4" t="n">
        <f aca="false">1-(MAX(M518-1900, 0)/750)</f>
        <v>0.962666666666667</v>
      </c>
      <c r="BH518" s="1" t="n">
        <f aca="false">((MAX($P518,1)*MIN($AL518/300,1)))*IF(J518="Wagon",50,10)</f>
        <v>4.5</v>
      </c>
      <c r="BI518" s="1" t="n">
        <f aca="false">VLOOKUP($K518,Constants!$I:$K, 2, FALSE())</f>
        <v>1</v>
      </c>
      <c r="BJ518" s="1" t="n">
        <f aca="false">VLOOKUP($K518,Constants!$I:$K, 3, FALSE())*IF(AND(J518="multiple_unit",AE518&lt;110),0.75,1)</f>
        <v>0.45</v>
      </c>
      <c r="BK518" s="1" t="n">
        <f aca="false">INT(POWER(((Constants!$G$2+$BD518+$BE518+$BF518+$BH518)*$BG518)*$BJ518, 1.05))+$BC518</f>
        <v>9</v>
      </c>
      <c r="BL518" s="1" t="n">
        <f aca="false">INT(POWER((((Constants!$G$1+$BD518+$BE518+$BF518+$BH518)*($BG518))*$BI518),IF($J518="wagon",1,1.2)))+$BB518</f>
        <v>28</v>
      </c>
      <c r="BM518" s="17" t="n">
        <f aca="false">BK518*IF($J518="wagon",62.5,781.25)</f>
        <v>562.5</v>
      </c>
      <c r="BN518" s="17" t="n">
        <f aca="false">BL518*IF($J518="wagon",2.73,81.25)</f>
        <v>76.44</v>
      </c>
      <c r="BU518" s="1" t="str">
        <f aca="false">IF(J518="locomotive","B","")</f>
        <v/>
      </c>
      <c r="BV518" s="1" t="str">
        <f aca="false">IF(OR($J518="locomotive",$J518="wagon"),"B","")</f>
        <v>B</v>
      </c>
      <c r="BY518" s="1" t="n">
        <v>1</v>
      </c>
      <c r="BZ518" s="1" t="n">
        <v>185</v>
      </c>
      <c r="CB518" s="1" t="s">
        <v>1935</v>
      </c>
      <c r="CC518" s="1" t="s">
        <v>1936</v>
      </c>
      <c r="CD518" s="1" t="str">
        <f aca="false">VLOOKUP(M518,Eras!$A$2:$C$10, 2, TRUE())</f>
        <v>big4</v>
      </c>
      <c r="CE518" s="1" t="s">
        <v>1935</v>
      </c>
      <c r="CF518" s="1" t="str">
        <f aca="false">CONCATENATE(CD518,"_",CE518)</f>
        <v>big4_Tanker</v>
      </c>
      <c r="CG518" s="1" t="str">
        <f aca="false">_xlfn.CONCAT(K518, "_",L518)</f>
        <v>wagon_RAIL</v>
      </c>
      <c r="CH518" s="7" t="str">
        <f aca="false">_xlfn.CONCAT("{BLACK}Length: {GOLD}", TEXT(ROUNDUP(IF(AS518&lt;&gt;"",SUM(VALUE(_xlfn.TEXTSPLIT(AS518, ","))), SUM(VALUE(_xlfn.TEXTSPLIT(AP518, ",")))*IF(P518, P518, 1))/16, 1), "#,##0.0"), " tiles{}")</f>
        <v>{BLACK}Length: {GOLD}0.4 tiles{}</v>
      </c>
      <c r="CI518" s="1" t="str">
        <f aca="false">IF(0, VLOOKUP($CG518, Constants!$M:$N, 2, FALSE()),"")</f>
        <v/>
      </c>
      <c r="CJ518" s="1" t="str">
        <f aca="false">IF(P518&gt;1,_xlfn.CONCAT("{BLACK}Cars: {GOLD}", P518),"")</f>
        <v/>
      </c>
      <c r="CK518" s="1" t="s">
        <v>1943</v>
      </c>
      <c r="CL518" s="1" t="str">
        <f aca="false">IF($BX518="concept_trains","{GREEN}Concept Vehicle",IF($BX518="!param_no_gameplay_units","{GREEN}Included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{GOLD}0.4 tiles{}{SILVER}Six wheeled tank wagons formed the core of the GWR (and later BR) "milk trains", long freight consists transporting milk from farms to cities.</v>
      </c>
      <c r="CO518" s="1" t="n">
        <v>1</v>
      </c>
    </row>
    <row r="519" customFormat="false" ht="14.25" hidden="false" customHeight="false" outlineLevel="0" collapsed="false">
      <c r="A519" s="1" t="s">
        <v>1944</v>
      </c>
      <c r="B519" s="15" t="s">
        <v>1945</v>
      </c>
      <c r="C519" s="1" t="n">
        <v>77</v>
      </c>
      <c r="E519" s="1" t="n">
        <v>1531</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241</v>
      </c>
      <c r="J519" s="1" t="s">
        <v>1580</v>
      </c>
      <c r="K519" s="1" t="s">
        <v>1580</v>
      </c>
      <c r="L519" s="1" t="s">
        <v>192</v>
      </c>
      <c r="M519" s="1" t="n">
        <v>1966</v>
      </c>
      <c r="Z519" s="1" t="n">
        <v>12</v>
      </c>
      <c r="AB519" s="1" t="n">
        <v>4</v>
      </c>
      <c r="AD519" s="4" t="str">
        <f aca="false">IF(AND(Z519&gt;0,AC519&gt;0),(AC519/((Z519+AA519)*10)),"")</f>
        <v/>
      </c>
      <c r="AE519" s="1" t="n">
        <v>65</v>
      </c>
      <c r="AF519" s="1" t="n">
        <f aca="false">ROUND(AE519*1.6, 0)</f>
        <v>104</v>
      </c>
      <c r="AH519" s="1" t="n">
        <v>9.8</v>
      </c>
      <c r="AI519" s="1" t="n">
        <v>9.8</v>
      </c>
      <c r="AL519" s="5" t="n">
        <v>33</v>
      </c>
      <c r="AM519" s="1" t="str">
        <f aca="false">CONCATENATE(VLOOKUP(AN519, 'Voxel Sizes'!$A$2:$B$18,2,FALSE()),"x",INT(AJ519*15), "x", INT(AK519*15))</f>
        <v>102x0x0</v>
      </c>
      <c r="AN519" s="1" t="n">
        <f aca="false">ROUND(15*((AI519*10)/256),0)</f>
        <v>6</v>
      </c>
      <c r="AP519" s="1" t="str">
        <f aca="false">CONCATENATE(VLOOKUP(AN519,Constants!$A$2:$C$16,IF(AO519&lt;&gt;"", 3, 2), FALSE()),IF(AO519&lt;&gt;"",CONCATENATE(",",VLOOKUP(AO519,$B:$AP,41,FALSE())),""))</f>
        <v>2,2,2</v>
      </c>
      <c r="AZ519" s="1" t="n">
        <v>30</v>
      </c>
      <c r="BA519" s="16" t="str">
        <f aca="false">IF(O519&lt;&gt;"",MAX(16,(O519-M519)+8),"")</f>
        <v/>
      </c>
      <c r="BD519" s="1" t="n">
        <f aca="false">MIN(AE519/150, 1)*30</f>
        <v>13</v>
      </c>
      <c r="BE519" s="1" t="n">
        <f aca="false">MIN(Q519/4000, 1)*20</f>
        <v>0</v>
      </c>
      <c r="BF519" s="1" t="n">
        <f aca="false">MIN(AC519/400,1)*20</f>
        <v>0</v>
      </c>
      <c r="BG519" s="4" t="n">
        <f aca="false">1-(MAX(M519-1900, 0)/750)</f>
        <v>0.912</v>
      </c>
      <c r="BH519" s="1" t="n">
        <f aca="false">((MAX($P519,1)*MIN($AL519/300,1)))*IF(J519="Wagon",50,10)</f>
        <v>5.5</v>
      </c>
      <c r="BI519" s="1" t="n">
        <f aca="false">VLOOKUP($K519,Constants!$I:$K, 2, FALSE())</f>
        <v>1</v>
      </c>
      <c r="BJ519" s="1" t="n">
        <f aca="false">VLOOKUP($K519,Constants!$I:$K, 3, FALSE())*IF(AND(J519="multiple_unit",AE519&lt;110),0.75,1)</f>
        <v>0.45</v>
      </c>
      <c r="BK519" s="1" t="n">
        <f aca="false">INT(POWER(((Constants!$G$2+$BD519+$BE519+$BF519+$BH519)*$BG519)*$BJ519, 1.05))+$BC519</f>
        <v>10</v>
      </c>
      <c r="BL519" s="1" t="n">
        <f aca="false">INT(POWER((((Constants!$G$1+$BD519+$BE519+$BF519+$BH519)*($BG519))*$BI519),IF($J519="wagon",1,1.2)))+$BB519</f>
        <v>30</v>
      </c>
      <c r="BM519" s="17" t="n">
        <f aca="false">BK519*IF($J519="wagon",62.5,781.25)</f>
        <v>625</v>
      </c>
      <c r="BN519" s="17" t="n">
        <f aca="false">BL519*IF($J519="wagon",2.73,81.25)</f>
        <v>81.9</v>
      </c>
      <c r="BU519" s="1" t="str">
        <f aca="false">IF(J519="locomotive","B","")</f>
        <v/>
      </c>
      <c r="BV519" s="1" t="str">
        <f aca="false">IF(OR($J519="locomotive",$J519="wagon"),"B","")</f>
        <v>B</v>
      </c>
      <c r="BY519" s="1" t="n">
        <v>1</v>
      </c>
      <c r="BZ519" s="1" t="n">
        <v>185</v>
      </c>
      <c r="CB519" s="1" t="s">
        <v>1935</v>
      </c>
      <c r="CC519" s="1" t="s">
        <v>1936</v>
      </c>
      <c r="CD519" s="1" t="str">
        <f aca="false">VLOOKUP(M519,Eras!$A$2:$C$10, 2, TRUE())</f>
        <v>dsl</v>
      </c>
      <c r="CE519" s="1" t="s">
        <v>1935</v>
      </c>
      <c r="CF519" s="1" t="str">
        <f aca="false">CONCATENATE(CD519,"_",CE519)</f>
        <v>dsl_Tanker</v>
      </c>
      <c r="CG519" s="1" t="str">
        <f aca="false">_xlfn.CONCAT(K519, "_",L519)</f>
        <v>wagon_RAIL</v>
      </c>
      <c r="CH519" s="7" t="str">
        <f aca="false">_xlfn.CONCAT("{BLACK}Length: {GOLD}", TEXT(ROUNDUP(IF(AS519&lt;&gt;"",SUM(VALUE(_xlfn.TEXTSPLIT(AS519, ","))), SUM(VALUE(_xlfn.TEXTSPLIT(AP519, ",")))*IF(P519, P519, 1))/16, 1), "#,##0.0"), " tiles{}")</f>
        <v>{BLACK}Length: {GOLD}0.4 tiles{}</v>
      </c>
      <c r="CI519" s="1" t="str">
        <f aca="false">IF(0, VLOOKUP($CG519, Constants!$M:$N, 2, FALSE()),"")</f>
        <v/>
      </c>
      <c r="CJ519" s="1" t="str">
        <f aca="false">IF(P519&gt;1,_xlfn.CONCAT("{BLACK}Cars: {GOLD}", P519),"")</f>
        <v/>
      </c>
      <c r="CK519" s="1" t="s">
        <v>1946</v>
      </c>
      <c r="CL519" s="1" t="str">
        <f aca="false">IF($BX519="concept_trains","{GREEN}Concept Vehicle",IF($BX519="!param_no_gameplay_units","{GREEN}Included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{GOLD}0.4 tiles{}{SILVER}TTA tankers were constructed on "monobloc" principles and featured automatic braking.</v>
      </c>
      <c r="CO519" s="1" t="n">
        <v>1</v>
      </c>
    </row>
    <row r="520" customFormat="false" ht="14.25" hidden="false" customHeight="false" outlineLevel="0" collapsed="false">
      <c r="A520" s="1" t="s">
        <v>1947</v>
      </c>
      <c r="B520" s="15" t="s">
        <v>1948</v>
      </c>
      <c r="C520" s="1" t="n">
        <v>78</v>
      </c>
      <c r="E520" s="1" t="n">
        <v>1532</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1" t="s">
        <v>241</v>
      </c>
      <c r="J520" s="1" t="s">
        <v>1580</v>
      </c>
      <c r="K520" s="1" t="s">
        <v>1580</v>
      </c>
      <c r="L520" s="1" t="s">
        <v>192</v>
      </c>
      <c r="M520" s="1" t="n">
        <v>1970</v>
      </c>
      <c r="Z520" s="1" t="n">
        <v>24</v>
      </c>
      <c r="AB520" s="1" t="n">
        <v>5</v>
      </c>
      <c r="AD520" s="4" t="str">
        <f aca="false">IF(AND(Z520&gt;0,AC520&gt;0),(AC520/((Z520+AA520)*10)),"")</f>
        <v/>
      </c>
      <c r="AE520" s="1" t="n">
        <v>70</v>
      </c>
      <c r="AF520" s="1" t="n">
        <f aca="false">ROUND(AE520*1.6, 0)</f>
        <v>112</v>
      </c>
      <c r="AH520" s="1" t="n">
        <v>17.7</v>
      </c>
      <c r="AI520" s="1" t="n">
        <v>17.7</v>
      </c>
      <c r="AL520" s="5" t="n">
        <v>78</v>
      </c>
      <c r="AM520" s="1" t="str">
        <f aca="false">CONCATENATE(VLOOKUP(AN520, 'Voxel Sizes'!$A$2:$B$18,2,FALSE()),"x",INT(AJ520*15), "x", INT(AK520*15))</f>
        <v>164x0x0</v>
      </c>
      <c r="AN520" s="1" t="n">
        <f aca="false">ROUND(15*((AI520*10)/256),0)</f>
        <v>10</v>
      </c>
      <c r="AP520" s="1" t="str">
        <f aca="false">CONCATENATE(VLOOKUP(AN520,Constants!$A$2:$C$16,IF(AO520&lt;&gt;"", 3, 2), FALSE()),IF(AO520&lt;&gt;"",CONCATENATE(",",VLOOKUP(AO520,$B:$AP,41,FALSE())),""))</f>
        <v>4,2,4</v>
      </c>
      <c r="AZ520" s="1" t="n">
        <v>30</v>
      </c>
      <c r="BA520" s="16" t="str">
        <f aca="false">IF(O520&lt;&gt;"",MAX(16,(O520-M520)+8),"")</f>
        <v/>
      </c>
      <c r="BD520" s="1" t="n">
        <f aca="false">MIN(AE520/150, 1)*30</f>
        <v>14</v>
      </c>
      <c r="BE520" s="1" t="n">
        <f aca="false">MIN(Q520/4000, 1)*20</f>
        <v>0</v>
      </c>
      <c r="BF520" s="1" t="n">
        <f aca="false">MIN(AC520/400,1)*20</f>
        <v>0</v>
      </c>
      <c r="BG520" s="4" t="n">
        <f aca="false">1-(MAX(M520-1900, 0)/750)</f>
        <v>0.906666666666667</v>
      </c>
      <c r="BH520" s="1" t="n">
        <f aca="false">((MAX($P520,1)*MIN($AL520/300,1)))*IF(J520="Wagon",50,10)</f>
        <v>13</v>
      </c>
      <c r="BI520" s="1" t="n">
        <f aca="false">VLOOKUP($K520,Constants!$I:$K, 2, FALSE())</f>
        <v>1</v>
      </c>
      <c r="BJ520" s="1" t="n">
        <f aca="false">VLOOKUP($K520,Constants!$I:$K, 3, FALSE())*IF(AND(J520="multiple_unit",AE520&lt;110),0.75,1)</f>
        <v>0.45</v>
      </c>
      <c r="BK520" s="1" t="n">
        <f aca="false">INT(POWER(((Constants!$G$2+$BD520+$BE520+$BF520+$BH520)*$BG520)*$BJ520, 1.05))+$BC520</f>
        <v>14</v>
      </c>
      <c r="BL520" s="1" t="n">
        <f aca="false">INT(POWER((((Constants!$G$1+$BD520+$BE520+$BF520+$BH520)*($BG520))*$BI520),IF($J520="wagon",1,1.2)))+$BB520</f>
        <v>38</v>
      </c>
      <c r="BM520" s="17" t="n">
        <f aca="false">BK520*IF($J520="wagon",62.5,781.25)</f>
        <v>875</v>
      </c>
      <c r="BN520" s="17" t="n">
        <f aca="false">BL520*IF($J520="wagon",2.73,81.25)</f>
        <v>103.74</v>
      </c>
      <c r="BU520" s="1" t="str">
        <f aca="false">IF(J520="locomotive","B","")</f>
        <v/>
      </c>
      <c r="BV520" s="1" t="str">
        <f aca="false">IF(OR($J520="locomotive",$J520="wagon"),"B","")</f>
        <v>B</v>
      </c>
      <c r="BY520" s="1" t="n">
        <v>1</v>
      </c>
      <c r="BZ520" s="1" t="n">
        <v>185</v>
      </c>
      <c r="CB520" s="1" t="s">
        <v>1935</v>
      </c>
      <c r="CC520" s="1" t="s">
        <v>1936</v>
      </c>
      <c r="CD520" s="1" t="str">
        <f aca="false">VLOOKUP(M520,Eras!$A$2:$C$10, 2, TRUE())</f>
        <v>lbr</v>
      </c>
      <c r="CE520" s="1" t="s">
        <v>1935</v>
      </c>
      <c r="CF520" s="1" t="str">
        <f aca="false">CONCATENATE(CD520,"_",CE520)</f>
        <v>lbr_Tanker</v>
      </c>
      <c r="CG520" s="1" t="str">
        <f aca="false">_xlfn.CONCAT(K520, "_",L520)</f>
        <v>wagon_RAIL</v>
      </c>
      <c r="CH520" s="7" t="str">
        <f aca="false">_xlfn.CONCAT("{BLACK}Length: {GOLD}", TEXT(ROUNDUP(IF(AS520&lt;&gt;"",SUM(VALUE(_xlfn.TEXTSPLIT(AS520, ","))), SUM(VALUE(_xlfn.TEXTSPLIT(AP520, ",")))*IF(P520, P520, 1))/16, 1), "#,##0.0"), " tiles{}")</f>
        <v>{BLACK}Length: {GOLD}0.7 tiles{}</v>
      </c>
      <c r="CI520" s="1" t="str">
        <f aca="false">IF(0, VLOOKUP($CG520, Constants!$M:$N, 2, FALSE()),"")</f>
        <v/>
      </c>
      <c r="CJ520" s="1" t="str">
        <f aca="false">IF(P520&gt;1,_xlfn.CONCAT("{BLACK}Cars: {GOLD}", P520),"")</f>
        <v/>
      </c>
      <c r="CK520" s="1" t="s">
        <v>1949</v>
      </c>
      <c r="CL520" s="1" t="str">
        <f aca="false">IF($BX520="concept_trains","{GREEN}Concept Vehicle",IF($BX520="!param_no_gameplay_units","{GREEN}Included for gameplay purposes",""))</f>
        <v/>
      </c>
      <c r="CM520" s="1" t="str">
        <f aca="false">IF(CA520="buffet","{YELLOW}25% long distance bonus for consist{}",IF(CC520="BRAKE","{YELLOW}Speed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{GOLD}0.7 tiles{}{SILVER}Large bogie tankers allowed for carrying heavy loads of liquids at high speeds. The long frames allow tanks to take up more space without fouling axles.</v>
      </c>
      <c r="CO520" s="1" t="n">
        <v>1</v>
      </c>
    </row>
    <row r="521" s="26" customFormat="true" ht="14.25" hidden="false" customHeight="false" outlineLevel="0" collapsed="false">
      <c r="A521" s="26" t="s">
        <v>1950</v>
      </c>
      <c r="B521" s="27" t="s">
        <v>1951</v>
      </c>
      <c r="C521" s="1" t="n">
        <v>3104</v>
      </c>
      <c r="E521" s="1" t="n">
        <v>1533</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26" t="s">
        <v>241</v>
      </c>
      <c r="J521" s="26" t="s">
        <v>1580</v>
      </c>
      <c r="K521" s="26" t="s">
        <v>1580</v>
      </c>
      <c r="L521" s="26" t="s">
        <v>192</v>
      </c>
      <c r="M521" s="26" t="n">
        <v>1936</v>
      </c>
      <c r="N521" s="26" t="n">
        <v>1962</v>
      </c>
      <c r="O521" s="26" t="n">
        <v>1966</v>
      </c>
      <c r="R521" s="2"/>
      <c r="S521" s="3"/>
      <c r="T521" s="3"/>
      <c r="U521" s="3"/>
      <c r="V521" s="3"/>
      <c r="W521" s="3"/>
      <c r="X521" s="3"/>
      <c r="Y521" s="3"/>
      <c r="Z521" s="26" t="n">
        <v>10.1</v>
      </c>
      <c r="AA521" s="2"/>
      <c r="AB521" s="26" t="n">
        <v>4</v>
      </c>
      <c r="AD521" s="4" t="str">
        <f aca="false">IF(AND(Z521&gt;0,AC521&gt;0),(AC521/((Z521+AA521)*10)),"")</f>
        <v/>
      </c>
      <c r="AE521" s="26" t="n">
        <v>45</v>
      </c>
      <c r="AF521" s="26" t="n">
        <f aca="false">ROUND(AE521*1.6, 0)</f>
        <v>72</v>
      </c>
      <c r="AH521" s="26" t="n">
        <v>9</v>
      </c>
      <c r="AI521" s="26" t="n">
        <v>9</v>
      </c>
      <c r="AJ521" s="26" t="n">
        <v>2.5</v>
      </c>
      <c r="AK521" s="26" t="n">
        <v>3.35</v>
      </c>
      <c r="AL521" s="5" t="n">
        <v>20</v>
      </c>
      <c r="AM521" s="1" t="str">
        <f aca="false">CONCATENATE(VLOOKUP(AN521, 'Voxel Sizes'!$A$2:$B$18,2,FALSE()),"x",INT(AJ521*15), "x", INT(AK521*15))</f>
        <v>82x37x50</v>
      </c>
      <c r="AN521" s="26" t="n">
        <f aca="false">ROUND(15*((AI521*10)/256),0)</f>
        <v>5</v>
      </c>
      <c r="AP521" s="1" t="str">
        <f aca="false">CONCATENATE(VLOOKUP(AN521,Constants!$A$2:$C$16,IF(AO521&lt;&gt;"", 3, 2), FALSE()),IF(AO521&lt;&gt;"",CONCATENATE(",",VLOOKUP(AO521,$B:$AP,41,FALSE())),""))</f>
        <v>2,1,2</v>
      </c>
      <c r="AR521" s="6"/>
      <c r="AS521" s="6"/>
      <c r="AZ521" s="26" t="n">
        <v>30</v>
      </c>
      <c r="BA521" s="16" t="n">
        <f aca="false">IF(O521&lt;&gt;"",MAX(16,(O521-M521)+8),"")</f>
        <v>38</v>
      </c>
      <c r="BB521" s="26" t="n">
        <v>5</v>
      </c>
      <c r="BD521" s="26" t="n">
        <f aca="false">MIN(AE521/150, 1)*30</f>
        <v>9</v>
      </c>
      <c r="BE521" s="26" t="n">
        <f aca="false">MIN(Q521/4000, 1)*20</f>
        <v>0</v>
      </c>
      <c r="BF521" s="26" t="n">
        <f aca="false">MIN(AC521/400,1)*20</f>
        <v>0</v>
      </c>
      <c r="BG521" s="4" t="n">
        <f aca="false">1-(MAX(M521-1900, 0)/750)</f>
        <v>0.952</v>
      </c>
      <c r="BH521" s="26" t="n">
        <f aca="false">((MAX($P521,1)*MIN($AL521/300,1)))*IF(J521="Wagon",50,10)</f>
        <v>3.33333333333333</v>
      </c>
      <c r="BI521" s="1" t="n">
        <f aca="false">VLOOKUP($K521,Constants!$I:$K, 2, FALSE())</f>
        <v>1</v>
      </c>
      <c r="BJ521" s="1" t="n">
        <f aca="false">VLOOKUP($K521,Constants!$I:$K, 3, FALSE())*IF(AND(J521="multiple_unit",AE521&lt;110),0.75,1)</f>
        <v>0.45</v>
      </c>
      <c r="BK521" s="1" t="n">
        <f aca="false">INT(POWER(((Constants!$G$2+$BD521+$BE521+$BF521+$BH521)*$BG521)*$BJ521, 1.05))+$BC521</f>
        <v>8</v>
      </c>
      <c r="BL521" s="1" t="n">
        <f aca="false">INT(POWER((((Constants!$G$1+$BD521+$BE521+$BF521+$BH521)*($BG521))*$BI521),IF($J521="wagon",1,1.2)))+$BB521</f>
        <v>31</v>
      </c>
      <c r="BM521" s="17" t="n">
        <f aca="false">BK521*IF($J521="wagon",62.5,781.25)</f>
        <v>500</v>
      </c>
      <c r="BN521" s="17" t="n">
        <f aca="false">BL521*IF($J521="wagon",2.73,81.25)</f>
        <v>84.63</v>
      </c>
      <c r="BU521" s="1" t="str">
        <f aca="false">IF(J521="locomotive","B","")</f>
        <v/>
      </c>
      <c r="BV521" s="1" t="str">
        <f aca="false">IF(OR($J521="locomotive",$J521="wagon"),"B","")</f>
        <v>B</v>
      </c>
      <c r="BY521" s="26" t="n">
        <v>1</v>
      </c>
      <c r="BZ521" s="26" t="n">
        <v>185</v>
      </c>
      <c r="CB521" s="26" t="s">
        <v>1952</v>
      </c>
      <c r="CC521" s="26" t="s">
        <v>1953</v>
      </c>
      <c r="CD521" s="1" t="str">
        <f aca="false">VLOOKUP(M521,Eras!$A$2:$C$10, 2, TRUE())</f>
        <v>big4</v>
      </c>
      <c r="CE521" s="26" t="s">
        <v>1935</v>
      </c>
      <c r="CF521" s="26" t="str">
        <f aca="false">CONCATENATE(CD521,"_",CE521)</f>
        <v>big4_Tanker</v>
      </c>
      <c r="CG521" s="26" t="str">
        <f aca="false">_xlfn.CONCAT(K521, "_",L521)</f>
        <v>wagon_RAIL</v>
      </c>
      <c r="CH521" s="7" t="str">
        <f aca="false">_xlfn.CONCAT("{BLACK}Length: {GOLD}", TEXT(ROUNDUP(IF(AS521&lt;&gt;"",SUM(VALUE(_xlfn.TEXTSPLIT(AS521, ","))), SUM(VALUE(_xlfn.TEXTSPLIT(AP521, ",")))*IF(P521, P521, 1))/16, 1), "#,##0.0"), " tiles{}")</f>
        <v>{BLACK}Length: {GOLD}0.4 tiles{}</v>
      </c>
      <c r="CI521" s="1" t="str">
        <f aca="false">IF(0, VLOOKUP($CG521, Constants!$M:$N, 2, FALSE()),"")</f>
        <v/>
      </c>
      <c r="CJ521" s="1" t="str">
        <f aca="false">IF(P521&gt;1,_xlfn.CONCAT("{BLACK}Cars: {GOLD}", P521),"")</f>
        <v/>
      </c>
      <c r="CK521" s="26" t="s">
        <v>1954</v>
      </c>
      <c r="CL521" s="1" t="str">
        <f aca="false">IF($BX521="concept_trains","{GREEN}Concept Vehicle",IF($BX521="!param_no_gameplay_units","{GREEN}Included for gameplay purposes",""))</f>
        <v/>
      </c>
      <c r="CM521" s="26" t="str">
        <f aca="false">IF(CA521="buffet","{YELLOW}25% long distance bonus for consist{}",IF(CD521="BRAKE","{YELLOW}Speed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{GOLD}0.4 tiles{}{SILVER}The LMS Grain Hooper was later standardised into the BR COVGRAIN standard design. Long-distance bulk grain service in covered hoppers was a significant efficiency gain over shipping bagged grain by the vanload.</v>
      </c>
      <c r="XFD521" s="1"/>
    </row>
    <row r="522" s="26" customFormat="true" ht="14.25" hidden="false" customHeight="false" outlineLevel="0" collapsed="false">
      <c r="A522" s="26" t="s">
        <v>1955</v>
      </c>
      <c r="B522" s="27" t="s">
        <v>1956</v>
      </c>
      <c r="C522" s="1" t="n">
        <v>3107</v>
      </c>
      <c r="E522" s="1" t="n">
        <v>1534</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26" t="s">
        <v>241</v>
      </c>
      <c r="J522" s="26" t="s">
        <v>1580</v>
      </c>
      <c r="K522" s="26" t="s">
        <v>1580</v>
      </c>
      <c r="L522" s="26" t="s">
        <v>192</v>
      </c>
      <c r="M522" s="26" t="n">
        <v>1955</v>
      </c>
      <c r="N522" s="26" t="n">
        <v>1974</v>
      </c>
      <c r="O522" s="26" t="n">
        <v>1982</v>
      </c>
      <c r="R522" s="2"/>
      <c r="S522" s="3"/>
      <c r="T522" s="3"/>
      <c r="U522" s="3"/>
      <c r="V522" s="3"/>
      <c r="W522" s="3"/>
      <c r="X522" s="3"/>
      <c r="Y522" s="3"/>
      <c r="Z522" s="26" t="n">
        <v>9.7</v>
      </c>
      <c r="AA522" s="2"/>
      <c r="AB522" s="26" t="n">
        <v>4</v>
      </c>
      <c r="AD522" s="4" t="str">
        <f aca="false">IF(AND(Z522&gt;0,AC522&gt;0),(AC522/((Z522+AA522)*10)),"")</f>
        <v/>
      </c>
      <c r="AE522" s="26" t="n">
        <v>60</v>
      </c>
      <c r="AF522" s="26" t="n">
        <f aca="false">ROUND(AE522*1.6, 0)</f>
        <v>96</v>
      </c>
      <c r="AH522" s="26" t="n">
        <v>7.6</v>
      </c>
      <c r="AI522" s="26" t="n">
        <v>8</v>
      </c>
      <c r="AJ522" s="26" t="n">
        <v>2.5</v>
      </c>
      <c r="AK522" s="26" t="n">
        <v>3.35</v>
      </c>
      <c r="AL522" s="5" t="n">
        <v>22</v>
      </c>
      <c r="AM522" s="1" t="str">
        <f aca="false">CONCATENATE(VLOOKUP(AN522, 'Voxel Sizes'!$A$2:$B$18,2,FALSE()),"x",INT(AJ522*15), "x", INT(AK522*15))</f>
        <v>82x37x50</v>
      </c>
      <c r="AN522" s="26" t="n">
        <f aca="false">ROUND(15*((AI522*10)/256),0)</f>
        <v>5</v>
      </c>
      <c r="AP522" s="1" t="str">
        <f aca="false">CONCATENATE(VLOOKUP(AN522,Constants!$A$2:$C$16,IF(AO522&lt;&gt;"", 3, 2), FALSE()),IF(AO522&lt;&gt;"",CONCATENATE(",",VLOOKUP(AO522,$B:$AP,41,FALSE())),""))</f>
        <v>2,1,2</v>
      </c>
      <c r="AR522" s="6"/>
      <c r="AS522" s="6"/>
      <c r="AZ522" s="26" t="n">
        <v>30</v>
      </c>
      <c r="BA522" s="16" t="n">
        <f aca="false">IF(O522&lt;&gt;"",MAX(16,(O522-M522)+8),"")</f>
        <v>35</v>
      </c>
      <c r="BB522" s="26" t="n">
        <v>5</v>
      </c>
      <c r="BD522" s="26" t="n">
        <f aca="false">MIN(AE522/150, 1)*30</f>
        <v>12</v>
      </c>
      <c r="BE522" s="26" t="n">
        <f aca="false">MIN(Q522/4000, 1)*20</f>
        <v>0</v>
      </c>
      <c r="BF522" s="26" t="n">
        <f aca="false">MIN(AC522/400,1)*20</f>
        <v>0</v>
      </c>
      <c r="BG522" s="4" t="n">
        <f aca="false">1-(MAX(M522-1900, 0)/750)</f>
        <v>0.926666666666667</v>
      </c>
      <c r="BH522" s="26" t="n">
        <f aca="false">((MAX($P522,1)*MIN($AL522/300,1)))*IF(J522="Wagon",50,10)</f>
        <v>3.66666666666667</v>
      </c>
      <c r="BI522" s="1" t="n">
        <f aca="false">VLOOKUP($K522,Constants!$I:$K, 2, FALSE())</f>
        <v>1</v>
      </c>
      <c r="BJ522" s="1" t="n">
        <f aca="false">VLOOKUP($K522,Constants!$I:$K, 3, FALSE())*IF(AND(J522="multiple_unit",AE522&lt;110),0.75,1)</f>
        <v>0.45</v>
      </c>
      <c r="BK522" s="1" t="n">
        <f aca="false">INT(POWER(((Constants!$G$2+$BD522+$BE522+$BF522+$BH522)*$BG522)*$BJ522, 1.05))+$BC522</f>
        <v>9</v>
      </c>
      <c r="BL522" s="1" t="n">
        <f aca="false">INT(POWER((((Constants!$G$1+$BD522+$BE522+$BF522+$BH522)*($BG522))*$BI522),IF($J522="wagon",1,1.2)))+$BB522</f>
        <v>33</v>
      </c>
      <c r="BM522" s="17" t="n">
        <f aca="false">BK522*IF($J522="wagon",62.5,781.25)</f>
        <v>562.5</v>
      </c>
      <c r="BN522" s="17" t="n">
        <f aca="false">BL522*IF($J522="wagon",2.73,81.25)</f>
        <v>90.09</v>
      </c>
      <c r="BU522" s="1" t="str">
        <f aca="false">IF(J522="locomotive","B","")</f>
        <v/>
      </c>
      <c r="BV522" s="1" t="str">
        <f aca="false">IF(OR($J522="locomotive",$J522="wagon"),"B","")</f>
        <v>B</v>
      </c>
      <c r="BY522" s="26" t="n">
        <v>1</v>
      </c>
      <c r="BZ522" s="26" t="n">
        <v>185</v>
      </c>
      <c r="CB522" s="26" t="s">
        <v>1952</v>
      </c>
      <c r="CC522" s="26" t="s">
        <v>1953</v>
      </c>
      <c r="CD522" s="1" t="str">
        <f aca="false">VLOOKUP(M522,Eras!$A$2:$C$10, 2, TRUE())</f>
        <v>dsl</v>
      </c>
      <c r="CE522" s="26" t="s">
        <v>1935</v>
      </c>
      <c r="CF522" s="26" t="str">
        <f aca="false">CONCATENATE(CD522,"_",CE522)</f>
        <v>dsl_Tanker</v>
      </c>
      <c r="CG522" s="26" t="str">
        <f aca="false">_xlfn.CONCAT(K522, "_",L522)</f>
        <v>wagon_RAIL</v>
      </c>
      <c r="CH522" s="7" t="str">
        <f aca="false">_xlfn.CONCAT("{BLACK}Length: {GOLD}", TEXT(ROUNDUP(IF(AS522&lt;&gt;"",SUM(VALUE(_xlfn.TEXTSPLIT(AS522, ","))), SUM(VALUE(_xlfn.TEXTSPLIT(AP522, ",")))*IF(P522, P522, 1))/16, 1), "#,##0.0"), " tiles{}")</f>
        <v>{BLACK}Length: {GOLD}0.4 tiles{}</v>
      </c>
      <c r="CI522" s="1" t="str">
        <f aca="false">IF(0, VLOOKUP($CG522, Constants!$M:$N, 2, FALSE()),"")</f>
        <v/>
      </c>
      <c r="CJ522" s="1" t="str">
        <f aca="false">IF(P522&gt;1,_xlfn.CONCAT("{BLACK}Cars: {GOLD}", P522),"")</f>
        <v/>
      </c>
      <c r="CK522" s="26" t="s">
        <v>1957</v>
      </c>
      <c r="CL522" s="1" t="str">
        <f aca="false">IF($BX522="concept_trains","{GREEN}Concept Vehicle",IF($BX522="!param_no_gameplay_units","{GREEN}Included for gameplay purposes",""))</f>
        <v/>
      </c>
      <c r="CM522" s="26" t="str">
        <f aca="false">IF(CA522="buffet","{YELLOW}25% long distance bonus for consist{}",IF(CD522="BRAKE","{YELLOW}Speed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{GOLD}0.4 tiles{}{SILVER}This is a representative BR GRAINFIT wagon, a vacuum-braked bulk hopper derived from the 1930s LMS design.</v>
      </c>
      <c r="XFD522" s="1"/>
    </row>
    <row r="523" s="26" customFormat="true" ht="14.25" hidden="false" customHeight="false" outlineLevel="0" collapsed="false">
      <c r="A523" s="26" t="s">
        <v>1958</v>
      </c>
      <c r="B523" s="27" t="s">
        <v>1959</v>
      </c>
      <c r="C523" s="1" t="n">
        <v>3108</v>
      </c>
      <c r="E523" s="1" t="n">
        <v>1535</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26" t="s">
        <v>241</v>
      </c>
      <c r="J523" s="26" t="s">
        <v>1580</v>
      </c>
      <c r="K523" s="26" t="s">
        <v>1580</v>
      </c>
      <c r="L523" s="26" t="s">
        <v>192</v>
      </c>
      <c r="M523" s="26" t="n">
        <v>1966</v>
      </c>
      <c r="N523" s="26" t="n">
        <v>1996</v>
      </c>
      <c r="O523" s="26" t="n">
        <v>2002</v>
      </c>
      <c r="R523" s="2"/>
      <c r="S523" s="3"/>
      <c r="T523" s="3"/>
      <c r="U523" s="3"/>
      <c r="V523" s="3"/>
      <c r="W523" s="3"/>
      <c r="X523" s="3"/>
      <c r="Y523" s="3"/>
      <c r="Z523" s="26" t="n">
        <v>12.9</v>
      </c>
      <c r="AA523" s="2"/>
      <c r="AB523" s="26" t="n">
        <v>5</v>
      </c>
      <c r="AD523" s="4" t="str">
        <f aca="false">IF(AND(Z523&gt;0,AC523&gt;0),(AC523/((Z523+AA523)*10)),"")</f>
        <v/>
      </c>
      <c r="AE523" s="26" t="n">
        <v>60</v>
      </c>
      <c r="AF523" s="26" t="n">
        <f aca="false">ROUND(AE523*1.6, 0)</f>
        <v>96</v>
      </c>
      <c r="AH523" s="26" t="n">
        <v>8.8</v>
      </c>
      <c r="AI523" s="26" t="n">
        <v>10</v>
      </c>
      <c r="AJ523" s="26" t="n">
        <v>2.7</v>
      </c>
      <c r="AK523" s="26" t="n">
        <v>3.8</v>
      </c>
      <c r="AL523" s="5" t="n">
        <v>36</v>
      </c>
      <c r="AM523" s="1" t="str">
        <f aca="false">CONCATENATE(VLOOKUP(AN523, 'Voxel Sizes'!$A$2:$B$18,2,FALSE()),"x",INT(AJ523*15), "x", INT(AK523*15))</f>
        <v>102x40x57</v>
      </c>
      <c r="AN523" s="26" t="n">
        <f aca="false">ROUND(15*((AI523*10)/256),0)</f>
        <v>6</v>
      </c>
      <c r="AP523" s="1" t="str">
        <f aca="false">CONCATENATE(VLOOKUP(AN523,Constants!$A$2:$C$16,IF(AO523&lt;&gt;"", 3, 2), FALSE()),IF(AO523&lt;&gt;"",CONCATENATE(",",VLOOKUP(AO523,$B:$AP,41,FALSE())),""))</f>
        <v>2,2,2</v>
      </c>
      <c r="AR523" s="6"/>
      <c r="AS523" s="6"/>
      <c r="AZ523" s="26" t="n">
        <v>30</v>
      </c>
      <c r="BA523" s="16" t="n">
        <f aca="false">IF(O523&lt;&gt;"",MAX(16,(O523-M523)+8),"")</f>
        <v>44</v>
      </c>
      <c r="BD523" s="26" t="n">
        <f aca="false">MIN(AE523/150, 1)*30</f>
        <v>12</v>
      </c>
      <c r="BE523" s="26" t="n">
        <f aca="false">MIN(Q523/4000, 1)*20</f>
        <v>0</v>
      </c>
      <c r="BF523" s="26" t="n">
        <f aca="false">MIN(AC523/400,1)*20</f>
        <v>0</v>
      </c>
      <c r="BG523" s="4" t="n">
        <f aca="false">1-(MAX(M523-1900, 0)/750)</f>
        <v>0.912</v>
      </c>
      <c r="BH523" s="26" t="n">
        <f aca="false">((MAX($P523,1)*MIN($AL523/300,1)))*IF(J523="Wagon",50,10)</f>
        <v>6</v>
      </c>
      <c r="BI523" s="1" t="n">
        <f aca="false">VLOOKUP($K523,Constants!$I:$K, 2, FALSE())</f>
        <v>1</v>
      </c>
      <c r="BJ523" s="1" t="n">
        <f aca="false">VLOOKUP($K523,Constants!$I:$K, 3, FALSE())*IF(AND(J523="multiple_unit",AE523&lt;110),0.75,1)</f>
        <v>0.45</v>
      </c>
      <c r="BK523" s="1" t="n">
        <f aca="false">INT(POWER(((Constants!$G$2+$BD523+$BE523+$BF523+$BH523)*$BG523)*$BJ523, 1.05))+$BC523</f>
        <v>10</v>
      </c>
      <c r="BL523" s="1" t="n">
        <f aca="false">INT(POWER((((Constants!$G$1+$BD523+$BE523+$BF523+$BH523)*($BG523))*$BI523),IF($J523="wagon",1,1.2)))+$BB523</f>
        <v>30</v>
      </c>
      <c r="BM523" s="17" t="n">
        <f aca="false">BK523*IF($J523="wagon",62.5,781.25)</f>
        <v>625</v>
      </c>
      <c r="BN523" s="17" t="n">
        <f aca="false">BL523*IF($J523="wagon",2.73,81.25)</f>
        <v>81.9</v>
      </c>
      <c r="BU523" s="1" t="str">
        <f aca="false">IF(J523="locomotive","B","")</f>
        <v/>
      </c>
      <c r="BV523" s="1" t="str">
        <f aca="false">IF(OR($J523="locomotive",$J523="wagon"),"B","")</f>
        <v>B</v>
      </c>
      <c r="BY523" s="26" t="n">
        <v>1</v>
      </c>
      <c r="BZ523" s="26" t="n">
        <v>185</v>
      </c>
      <c r="CB523" s="26" t="s">
        <v>1952</v>
      </c>
      <c r="CC523" s="26" t="s">
        <v>1953</v>
      </c>
      <c r="CD523" s="1" t="str">
        <f aca="false">VLOOKUP(M523,Eras!$A$2:$C$10, 2, TRUE())</f>
        <v>dsl</v>
      </c>
      <c r="CE523" s="26" t="s">
        <v>1935</v>
      </c>
      <c r="CF523" s="26" t="str">
        <f aca="false">CONCATENATE(CD523,"_",CE523)</f>
        <v>dsl_Tanker</v>
      </c>
      <c r="CG523" s="26" t="str">
        <f aca="false">_xlfn.CONCAT(K523, "_",L523)</f>
        <v>wagon_RAIL</v>
      </c>
      <c r="CH523" s="7" t="str">
        <f aca="false">_xlfn.CONCAT("{BLACK}Length: {GOLD}", TEXT(ROUNDUP(IF(AS523&lt;&gt;"",SUM(VALUE(_xlfn.TEXTSPLIT(AS523, ","))), SUM(VALUE(_xlfn.TEXTSPLIT(AP523, ",")))*IF(P523, P523, 1))/16, 1), "#,##0.0"), " tiles{}")</f>
        <v>{BLACK}Length: {GOLD}0.4 tiles{}</v>
      </c>
      <c r="CI523" s="1" t="str">
        <f aca="false">IF(0, VLOOKUP($CG523, Constants!$M:$N, 2, FALSE()),"")</f>
        <v/>
      </c>
      <c r="CJ523" s="1" t="str">
        <f aca="false">IF(P523&gt;1,_xlfn.CONCAT("{BLACK}Cars: {GOLD}", P523),"")</f>
        <v/>
      </c>
      <c r="CK523" s="26" t="s">
        <v>1960</v>
      </c>
      <c r="CL523" s="1" t="str">
        <f aca="false">IF($BX523="concept_trains","{GREEN}Concept Vehicle",IF($BX523="!param_no_gameplay_units","{GREEN}Included for gameplay purposes",""))</f>
        <v/>
      </c>
      <c r="CM523" s="26" t="str">
        <f aca="false">IF(CA523="buffet","{YELLOW}25% long distance bonus for consist{}",IF(CD523="BRAKE","{YELLOW}Speed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{GOLD}0.4 tiles{}{SILVER}The BR ‘Whiskey Covhops’ were a common sight on long-distance freight trains from southern England, headed for the distilleries of Scotland.</v>
      </c>
      <c r="XFD523" s="1"/>
    </row>
    <row r="524" s="26" customFormat="true" ht="14.25" hidden="false" customHeight="false" outlineLevel="0" collapsed="false">
      <c r="A524" s="26" t="s">
        <v>1961</v>
      </c>
      <c r="B524" s="27" t="s">
        <v>1962</v>
      </c>
      <c r="C524" s="1" t="n">
        <v>3109</v>
      </c>
      <c r="E524" s="1" t="n">
        <v>1536</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26" t="s">
        <v>241</v>
      </c>
      <c r="J524" s="26" t="s">
        <v>1580</v>
      </c>
      <c r="K524" s="26" t="s">
        <v>1580</v>
      </c>
      <c r="L524" s="26" t="s">
        <v>192</v>
      </c>
      <c r="M524" s="26" t="n">
        <v>1973</v>
      </c>
      <c r="R524" s="2"/>
      <c r="S524" s="3"/>
      <c r="T524" s="3"/>
      <c r="U524" s="3"/>
      <c r="V524" s="3"/>
      <c r="W524" s="3"/>
      <c r="X524" s="3"/>
      <c r="Y524" s="3"/>
      <c r="Z524" s="26" t="n">
        <v>22.7</v>
      </c>
      <c r="AA524" s="2"/>
      <c r="AB524" s="26" t="n">
        <v>5</v>
      </c>
      <c r="AD524" s="4" t="str">
        <f aca="false">IF(AND(Z524&gt;0,AC524&gt;0),(AC524/((Z524+AA524)*10)),"")</f>
        <v/>
      </c>
      <c r="AE524" s="26" t="n">
        <v>75</v>
      </c>
      <c r="AF524" s="26" t="n">
        <f aca="false">ROUND(AE524*1.6, 0)</f>
        <v>120</v>
      </c>
      <c r="AH524" s="26" t="n">
        <v>18.3</v>
      </c>
      <c r="AI524" s="26" t="n">
        <v>18.3</v>
      </c>
      <c r="AJ524" s="26" t="n">
        <v>2.7</v>
      </c>
      <c r="AK524" s="26" t="n">
        <v>3.8</v>
      </c>
      <c r="AL524" s="5" t="n">
        <v>56</v>
      </c>
      <c r="AM524" s="1" t="str">
        <f aca="false">CONCATENATE(VLOOKUP(AN524, 'Voxel Sizes'!$A$2:$B$18,2,FALSE()),"x",INT(AJ524*15), "x", INT(AK524*15))</f>
        <v>186x40x57</v>
      </c>
      <c r="AN524" s="26" t="n">
        <f aca="false">ROUND(15*((AI524*10)/256),0)</f>
        <v>11</v>
      </c>
      <c r="AP524" s="1" t="str">
        <f aca="false">CONCATENATE(VLOOKUP(AN524,Constants!$A$2:$C$16,IF(AO524&lt;&gt;"", 3, 2), FALSE()),IF(AO524&lt;&gt;"",CONCATENATE(",",VLOOKUP(AO524,$B:$AP,41,FALSE())),""))</f>
        <v>4,3,4</v>
      </c>
      <c r="AR524" s="6"/>
      <c r="AS524" s="6"/>
      <c r="AZ524" s="26" t="n">
        <v>30</v>
      </c>
      <c r="BA524" s="16" t="str">
        <f aca="false">IF(O524&lt;&gt;"",MAX(16,(O524-M524)+8),"")</f>
        <v/>
      </c>
      <c r="BD524" s="26" t="n">
        <f aca="false">MIN(AE524/150, 1)*30</f>
        <v>15</v>
      </c>
      <c r="BE524" s="26" t="n">
        <f aca="false">MIN(Q524/4000, 1)*20</f>
        <v>0</v>
      </c>
      <c r="BF524" s="26" t="n">
        <f aca="false">MIN(AC524/400,1)*20</f>
        <v>0</v>
      </c>
      <c r="BG524" s="4" t="n">
        <f aca="false">1-(MAX(M524-1900, 0)/750)</f>
        <v>0.902666666666667</v>
      </c>
      <c r="BH524" s="26" t="n">
        <f aca="false">((MAX($P524,1)*MIN($AL524/300,1)))*IF(J524="Wagon",50,10)</f>
        <v>9.33333333333333</v>
      </c>
      <c r="BI524" s="1" t="n">
        <f aca="false">VLOOKUP($K524,Constants!$I:$K, 2, FALSE())</f>
        <v>1</v>
      </c>
      <c r="BJ524" s="1" t="n">
        <f aca="false">VLOOKUP($K524,Constants!$I:$K, 3, FALSE())*IF(AND(J524="multiple_unit",AE524&lt;110),0.75,1)</f>
        <v>0.45</v>
      </c>
      <c r="BK524" s="1" t="n">
        <f aca="false">INT(POWER(((Constants!$G$2+$BD524+$BE524+$BF524+$BH524)*$BG524)*$BJ524, 1.05))+$BC524</f>
        <v>13</v>
      </c>
      <c r="BL524" s="1" t="n">
        <f aca="false">INT(POWER((((Constants!$G$1+$BD524+$BE524+$BF524+$BH524)*($BG524))*$BI524),IF($J524="wagon",1,1.2)))+$BB524</f>
        <v>35</v>
      </c>
      <c r="BM524" s="17" t="n">
        <f aca="false">BK524*IF($J524="wagon",62.5,781.25)</f>
        <v>812.5</v>
      </c>
      <c r="BN524" s="17" t="n">
        <f aca="false">BL524*IF($J524="wagon",2.73,81.25)</f>
        <v>95.55</v>
      </c>
      <c r="BU524" s="1" t="str">
        <f aca="false">IF(J524="locomotive","B","")</f>
        <v/>
      </c>
      <c r="BV524" s="1" t="str">
        <f aca="false">IF(OR($J524="locomotive",$J524="wagon"),"B","")</f>
        <v>B</v>
      </c>
      <c r="BY524" s="26" t="n">
        <v>1</v>
      </c>
      <c r="BZ524" s="26" t="n">
        <v>185</v>
      </c>
      <c r="CB524" s="26" t="s">
        <v>1952</v>
      </c>
      <c r="CC524" s="26" t="s">
        <v>1953</v>
      </c>
      <c r="CD524" s="1" t="str">
        <f aca="false">VLOOKUP(M524,Eras!$A$2:$C$10, 2, TRUE())</f>
        <v>lbr</v>
      </c>
      <c r="CE524" s="26" t="s">
        <v>1935</v>
      </c>
      <c r="CF524" s="26" t="str">
        <f aca="false">CONCATENATE(CD524,"_",CE524)</f>
        <v>lbr_Tanker</v>
      </c>
      <c r="CG524" s="26" t="str">
        <f aca="false">_xlfn.CONCAT(K524, "_",L524)</f>
        <v>wagon_RAIL</v>
      </c>
      <c r="CH524" s="7" t="str">
        <f aca="false">_xlfn.CONCAT("{BLACK}Length: {GOLD}", TEXT(ROUNDUP(IF(AS524&lt;&gt;"",SUM(VALUE(_xlfn.TEXTSPLIT(AS524, ","))), SUM(VALUE(_xlfn.TEXTSPLIT(AP524, ",")))*IF(P524, P524, 1))/16, 1), "#,##0.0"), " tiles{}")</f>
        <v>{BLACK}Length: {GOLD}0.7 tiles{}</v>
      </c>
      <c r="CI524" s="1" t="str">
        <f aca="false">IF(0, VLOOKUP($CG524, Constants!$M:$N, 2, FALSE()),"")</f>
        <v/>
      </c>
      <c r="CJ524" s="1" t="str">
        <f aca="false">IF(P524&gt;1,_xlfn.CONCAT("{BLACK}Cars: {GOLD}", P524),"")</f>
        <v/>
      </c>
      <c r="CK524" s="26" t="s">
        <v>1963</v>
      </c>
      <c r="CL524" s="1" t="str">
        <f aca="false">IF($BX524="concept_trains","{GREEN}Concept Vehicle",IF($BX524="!param_no_gameplay_units","{GREEN}Included for gameplay purposes",""))</f>
        <v/>
      </c>
      <c r="CM524" s="26" t="str">
        <f aca="false">IF(CA524="buffet","{YELLOW}25% long distance bonus for consist{}",IF(CD524="BRAKE","{YELLOW}Speed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{GOLD}0.7 tiles{}{SILVER}Large bogie covered hoppers first appeared in Britain in the mid 1970s. These were frequently privately owned and registered as international vehicles. This slab-sided ‘Polybulk’ example was built in France.</v>
      </c>
      <c r="CO524" s="26" t="n">
        <v>1</v>
      </c>
      <c r="XFD524" s="1"/>
    </row>
    <row r="525" customFormat="false" ht="14.25" hidden="false" customHeight="false" outlineLevel="0" collapsed="false">
      <c r="A525" s="1" t="s">
        <v>1964</v>
      </c>
      <c r="B525" s="15" t="s">
        <v>1965</v>
      </c>
      <c r="C525" s="1" t="n">
        <v>79</v>
      </c>
      <c r="E525" s="1" t="n">
        <v>1537</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1" t="s">
        <v>241</v>
      </c>
      <c r="J525" s="1" t="s">
        <v>1580</v>
      </c>
      <c r="K525" s="1" t="s">
        <v>1580</v>
      </c>
      <c r="L525" s="1" t="s">
        <v>192</v>
      </c>
      <c r="M525" s="1" t="n">
        <v>1850</v>
      </c>
      <c r="O525" s="1" t="n">
        <v>1925</v>
      </c>
      <c r="Z525" s="1" t="n">
        <v>8</v>
      </c>
      <c r="AB525" s="1" t="n">
        <v>3</v>
      </c>
      <c r="AD525" s="4" t="str">
        <f aca="false">IF(AND(Z525&gt;0,AC525&gt;0),(AC525/((Z525+AA525)*10)),"")</f>
        <v/>
      </c>
      <c r="AE525" s="1" t="n">
        <v>40</v>
      </c>
      <c r="AF525" s="1" t="n">
        <f aca="false">ROUND(AE525*1.6, 0)</f>
        <v>64</v>
      </c>
      <c r="AH525" s="1" t="n">
        <v>6</v>
      </c>
      <c r="AI525" s="1" t="n">
        <v>6</v>
      </c>
      <c r="AL525" s="5" t="n">
        <v>18</v>
      </c>
      <c r="AM525" s="1" t="str">
        <f aca="false">CONCATENATE(VLOOKUP(AN525, 'Voxel Sizes'!$A$2:$B$18,2,FALSE()),"x",INT(AJ525*15), "x", INT(AK525*15))</f>
        <v>60x0x0</v>
      </c>
      <c r="AN525" s="1" t="n">
        <f aca="false">ROUND(15*((AI525*10)/256),0)</f>
        <v>4</v>
      </c>
      <c r="AP525" s="1" t="str">
        <f aca="false">CONCATENATE(VLOOKUP(AN525,Constants!$A$2:$C$16,IF(AO525&lt;&gt;"", 3, 2), FALSE()),IF(AO525&lt;&gt;"",CONCATENATE(",",VLOOKUP(AO525,$B:$AP,41,FALSE())),""))</f>
        <v>1,2,1</v>
      </c>
      <c r="AZ525" s="1" t="n">
        <v>30</v>
      </c>
      <c r="BA525" s="16" t="n">
        <f aca="false">IF(O525&lt;&gt;"",MAX(16,(O525-M525)+8),"")</f>
        <v>83</v>
      </c>
      <c r="BD525" s="1" t="n">
        <f aca="false">MIN(AE525/150, 1)*30</f>
        <v>8</v>
      </c>
      <c r="BE525" s="1" t="n">
        <f aca="false">MIN(Q525/4000, 1)*20</f>
        <v>0</v>
      </c>
      <c r="BF525" s="1" t="n">
        <f aca="false">MIN(AC525/400,1)*20</f>
        <v>0</v>
      </c>
      <c r="BG525" s="4" t="n">
        <f aca="false">1-(MAX(M525-1900, 0)/750)</f>
        <v>1</v>
      </c>
      <c r="BH525" s="1" t="n">
        <f aca="false">((MAX($P525,1)*MIN($AL525/300,1)))*IF(J525="Wagon",50,10)</f>
        <v>3</v>
      </c>
      <c r="BI525" s="1" t="n">
        <f aca="false">VLOOKUP($K525,Constants!$I:$K, 2, FALSE())</f>
        <v>1</v>
      </c>
      <c r="BJ525" s="1" t="n">
        <f aca="false">VLOOKUP($K525,Constants!$I:$K, 3, FALSE())*IF(AND(J525="multiple_unit",AE525&lt;110),0.75,1)</f>
        <v>0.45</v>
      </c>
      <c r="BK525" s="1" t="n">
        <f aca="false">INT(POWER(((Constants!$G$2+$BD525+$BE525+$BF525+$BH525)*$BG525)*$BJ525, 1.05))+$BC525</f>
        <v>7</v>
      </c>
      <c r="BL525" s="1" t="n">
        <f aca="false">INT(POWER((((Constants!$G$1+$BD525+$BE525+$BF525+$BH525)*($BG525))*$BI525),IF($J525="wagon",1,1.2)))+$BB525</f>
        <v>26</v>
      </c>
      <c r="BM525" s="17" t="n">
        <f aca="false">BK525*IF($J525="wagon",62.5,781.25)</f>
        <v>437.5</v>
      </c>
      <c r="BN525" s="17" t="n">
        <f aca="false">BL525*IF($J525="wagon",2.73,81.25)</f>
        <v>70.98</v>
      </c>
      <c r="BU525" s="1" t="str">
        <f aca="false">IF(J525="locomotive","B","")</f>
        <v/>
      </c>
      <c r="BV525" s="1" t="str">
        <f aca="false">IF(OR($J525="locomotive",$J525="wagon"),"B","")</f>
        <v>B</v>
      </c>
      <c r="BY525" s="1" t="n">
        <v>1</v>
      </c>
      <c r="BZ525" s="1" t="n">
        <v>185</v>
      </c>
      <c r="CB525" s="1" t="s">
        <v>1966</v>
      </c>
      <c r="CC525" s="1" t="s">
        <v>1967</v>
      </c>
      <c r="CD525" s="1" t="str">
        <f aca="false">VLOOKUP(M525,Eras!$A$2:$C$10, 2, TRUE())</f>
        <v>vct</v>
      </c>
      <c r="CE525" s="1" t="s">
        <v>1968</v>
      </c>
      <c r="CF525" s="1" t="str">
        <f aca="false">CONCATENATE(CD525,"_",CE525)</f>
        <v>vct_Van</v>
      </c>
      <c r="CG525" s="1" t="str">
        <f aca="false">_xlfn.CONCAT(K525, "_",L525)</f>
        <v>wagon_RAIL</v>
      </c>
      <c r="CH525" s="7" t="str">
        <f aca="false">_xlfn.CONCAT("{BLACK}Length: {GOLD}", TEXT(ROUNDUP(IF(AS525&lt;&gt;"",SUM(VALUE(_xlfn.TEXTSPLIT(AS525, ","))), SUM(VALUE(_xlfn.TEXTSPLIT(AP525, ",")))*IF(P525, P525, 1))/16, 1), "#,##0.0"), " tiles{}")</f>
        <v>{BLACK}Length: {GOLD}0.3 tiles{}</v>
      </c>
      <c r="CI525" s="1" t="str">
        <f aca="false">IF(0, VLOOKUP($CG525, Constants!$M:$N, 2, FALSE()),"")</f>
        <v/>
      </c>
      <c r="CJ525" s="1" t="str">
        <f aca="false">IF(P525&gt;1,_xlfn.CONCAT("{BLACK}Cars: {GOLD}", P525),"")</f>
        <v/>
      </c>
      <c r="CK525" s="1" t="s">
        <v>1969</v>
      </c>
      <c r="CL525" s="1" t="str">
        <f aca="false">IF($BX525="concept_trains","{GREEN}Concept Vehicle",IF($BX525="!param_no_gameplay_units","{GREEN}Included for gameplay purposes",""))</f>
        <v/>
      </c>
      <c r="CM525" s="1" t="str">
        <f aca="false">IF(CA525="buffet","{YELLOW}25% long distance bonus for consist{}",IF(CC525="BRAKE","{YELLOW}Speed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tiles{}{SILVER}Livestock traffic was common early on in railway history, with specialised cattle wagons and stations equipped to handle loading and unloading.</v>
      </c>
    </row>
    <row r="526" customFormat="false" ht="14.25" hidden="false" customHeight="false" outlineLevel="0" collapsed="false">
      <c r="A526" s="1" t="s">
        <v>1970</v>
      </c>
      <c r="B526" s="15" t="s">
        <v>1971</v>
      </c>
      <c r="C526" s="1" t="n">
        <v>80</v>
      </c>
      <c r="E526" s="1" t="n">
        <v>1538</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1" t="s">
        <v>241</v>
      </c>
      <c r="J526" s="1" t="s">
        <v>1580</v>
      </c>
      <c r="K526" s="1" t="s">
        <v>1580</v>
      </c>
      <c r="L526" s="1" t="s">
        <v>192</v>
      </c>
      <c r="M526" s="1" t="n">
        <v>1905</v>
      </c>
      <c r="O526" s="1" t="n">
        <v>1955</v>
      </c>
      <c r="Z526" s="1" t="n">
        <v>10</v>
      </c>
      <c r="AB526" s="1" t="n">
        <v>3</v>
      </c>
      <c r="AD526" s="4" t="str">
        <f aca="false">IF(AND(Z526&gt;0,AC526&gt;0),(AC526/((Z526+AA526)*10)),"")</f>
        <v/>
      </c>
      <c r="AE526" s="1" t="n">
        <v>45</v>
      </c>
      <c r="AF526" s="1" t="n">
        <f aca="false">ROUND(AE526*1.6, 0)</f>
        <v>72</v>
      </c>
      <c r="AH526" s="1" t="n">
        <v>8.9</v>
      </c>
      <c r="AI526" s="1" t="n">
        <v>8.9</v>
      </c>
      <c r="AL526" s="5" t="n">
        <v>24</v>
      </c>
      <c r="AM526" s="1" t="str">
        <f aca="false">CONCATENATE(VLOOKUP(AN526, 'Voxel Sizes'!$A$2:$B$18,2,FALSE()),"x",INT(AJ526*15), "x", INT(AK526*15))</f>
        <v>82x0x0</v>
      </c>
      <c r="AN526" s="1" t="n">
        <f aca="false">ROUND(15*((AI526*10)/256),0)</f>
        <v>5</v>
      </c>
      <c r="AP526" s="1" t="str">
        <f aca="false">CONCATENATE(VLOOKUP(AN526,Constants!$A$2:$C$16,IF(AO526&lt;&gt;"", 3, 2), FALSE()),IF(AO526&lt;&gt;"",CONCATENATE(",",VLOOKUP(AO526,$B:$AP,41,FALSE())),""))</f>
        <v>2,1,2</v>
      </c>
      <c r="AZ526" s="1" t="n">
        <v>30</v>
      </c>
      <c r="BA526" s="16" t="n">
        <f aca="false">IF(O526&lt;&gt;"",MAX(16,(O526-M526)+8),"")</f>
        <v>58</v>
      </c>
      <c r="BD526" s="1" t="n">
        <f aca="false">MIN(AE526/150, 1)*30</f>
        <v>9</v>
      </c>
      <c r="BE526" s="1" t="n">
        <f aca="false">MIN(Q526/4000, 1)*20</f>
        <v>0</v>
      </c>
      <c r="BF526" s="1" t="n">
        <f aca="false">MIN(AC526/400,1)*20</f>
        <v>0</v>
      </c>
      <c r="BG526" s="4" t="n">
        <f aca="false">1-(MAX(M526-1900, 0)/750)</f>
        <v>0.993333333333333</v>
      </c>
      <c r="BH526" s="1" t="n">
        <f aca="false">((MAX($P526,1)*MIN($AL526/300,1)))*IF(J526="Wagon",50,10)</f>
        <v>4</v>
      </c>
      <c r="BI526" s="1" t="n">
        <f aca="false">VLOOKUP($K526,Constants!$I:$K, 2, FALSE())</f>
        <v>1</v>
      </c>
      <c r="BJ526" s="1" t="n">
        <f aca="false">VLOOKUP($K526,Constants!$I:$K, 3, FALSE())*IF(AND(J526="multiple_unit",AE526&lt;110),0.75,1)</f>
        <v>0.45</v>
      </c>
      <c r="BK526" s="1" t="n">
        <f aca="false">INT(POWER(((Constants!$G$2+$BD526+$BE526+$BF526+$BH526)*$BG526)*$BJ526, 1.05))+$BC526</f>
        <v>8</v>
      </c>
      <c r="BL526" s="1" t="n">
        <f aca="false">INT(POWER((((Constants!$G$1+$BD526+$BE526+$BF526+$BH526)*($BG526))*$BI526),IF($J526="wagon",1,1.2)))+$BB526</f>
        <v>27</v>
      </c>
      <c r="BM526" s="17" t="n">
        <f aca="false">BK526*IF($J526="wagon",62.5,781.25)</f>
        <v>500</v>
      </c>
      <c r="BN526" s="17" t="n">
        <f aca="false">BL526*IF($J526="wagon",2.73,81.25)</f>
        <v>73.71</v>
      </c>
      <c r="BU526" s="1" t="str">
        <f aca="false">IF(J526="locomotive","B","")</f>
        <v/>
      </c>
      <c r="BV526" s="1" t="str">
        <f aca="false">IF(OR($J526="locomotive",$J526="wagon"),"B","")</f>
        <v>B</v>
      </c>
      <c r="BY526" s="1" t="n">
        <v>1</v>
      </c>
      <c r="BZ526" s="1" t="n">
        <v>185</v>
      </c>
      <c r="CB526" s="1" t="s">
        <v>1966</v>
      </c>
      <c r="CC526" s="1" t="s">
        <v>1967</v>
      </c>
      <c r="CD526" s="1" t="str">
        <f aca="false">VLOOKUP(M526,Eras!$A$2:$C$10, 2, TRUE())</f>
        <v>edw</v>
      </c>
      <c r="CE526" s="1" t="s">
        <v>1968</v>
      </c>
      <c r="CF526" s="1" t="str">
        <f aca="false">CONCATENATE(CD526,"_",CE526)</f>
        <v>edw_Van</v>
      </c>
      <c r="CG526" s="1" t="str">
        <f aca="false">_xlfn.CONCAT(K526, "_",L526)</f>
        <v>wagon_RAIL</v>
      </c>
      <c r="CH526" s="7" t="str">
        <f aca="false">_xlfn.CONCAT("{BLACK}Length: {GOLD}", TEXT(ROUNDUP(IF(AS526&lt;&gt;"",SUM(VALUE(_xlfn.TEXTSPLIT(AS526, ","))), SUM(VALUE(_xlfn.TEXTSPLIT(AP526, ",")))*IF(P526, P526, 1))/16, 1), "#,##0.0"), " tiles{}")</f>
        <v>{BLACK}Length: {GOLD}0.4 tiles{}</v>
      </c>
      <c r="CI526" s="1" t="str">
        <f aca="false">IF(0, VLOOKUP($CG526, Constants!$M:$N, 2, FALSE()),"")</f>
        <v/>
      </c>
      <c r="CJ526" s="1" t="str">
        <f aca="false">IF(P526&gt;1,_xlfn.CONCAT("{BLACK}Cars: {GOLD}", P526),"")</f>
        <v/>
      </c>
      <c r="CK526" s="1" t="s">
        <v>1972</v>
      </c>
      <c r="CL526" s="1" t="str">
        <f aca="false">IF($BX526="concept_trains","{GREEN}Concept Vehicle",IF($BX526="!param_no_gameplay_units","{GREEN}Included for gameplay purposes",""))</f>
        <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{GOLD}0.4 tiles{}{SILVER}Livestock vans evolved along with improvements in covered van design.</v>
      </c>
    </row>
    <row r="527" customFormat="false" ht="14.25" hidden="false" customHeight="false" outlineLevel="0" collapsed="false">
      <c r="A527" s="1" t="s">
        <v>1973</v>
      </c>
      <c r="B527" s="15" t="s">
        <v>1974</v>
      </c>
      <c r="C527" s="1" t="n">
        <v>81</v>
      </c>
      <c r="E527" s="1" t="n">
        <v>1539</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241</v>
      </c>
      <c r="J527" s="1" t="s">
        <v>1580</v>
      </c>
      <c r="K527" s="1" t="s">
        <v>1580</v>
      </c>
      <c r="L527" s="1" t="s">
        <v>192</v>
      </c>
      <c r="M527" s="1" t="n">
        <v>1930</v>
      </c>
      <c r="O527" s="1" t="n">
        <v>1975</v>
      </c>
      <c r="Z527" s="1" t="n">
        <v>10</v>
      </c>
      <c r="AB527" s="1" t="n">
        <v>3</v>
      </c>
      <c r="AD527" s="4" t="str">
        <f aca="false">IF(AND(Z527&gt;0,AC527&gt;0),(AC527/((Z527+AA527)*10)),"")</f>
        <v/>
      </c>
      <c r="AE527" s="1" t="n">
        <v>50</v>
      </c>
      <c r="AF527" s="1" t="n">
        <f aca="false">ROUND(AE527*1.6, 0)</f>
        <v>80</v>
      </c>
      <c r="AH527" s="1" t="n">
        <v>8.9</v>
      </c>
      <c r="AI527" s="1" t="n">
        <v>8.9</v>
      </c>
      <c r="AL527" s="5" t="n">
        <v>24</v>
      </c>
      <c r="AM527" s="1" t="str">
        <f aca="false">CONCATENATE(VLOOKUP(AN527, 'Voxel Sizes'!$A$2:$B$18,2,FALSE()),"x",INT(AJ527*15), "x", INT(AK527*15))</f>
        <v>82x0x0</v>
      </c>
      <c r="AN527" s="1" t="n">
        <f aca="false">ROUND(15*((AI527*10)/256),0)</f>
        <v>5</v>
      </c>
      <c r="AP527" s="1" t="str">
        <f aca="false">CONCATENATE(VLOOKUP(AN527,Constants!$A$2:$C$16,IF(AO527&lt;&gt;"", 3, 2), FALSE()),IF(AO527&lt;&gt;"",CONCATENATE(",",VLOOKUP(AO527,$B:$AP,41,FALSE())),""))</f>
        <v>2,1,2</v>
      </c>
      <c r="AZ527" s="1" t="n">
        <v>30</v>
      </c>
      <c r="BA527" s="16" t="n">
        <f aca="false">IF(O527&lt;&gt;"",MAX(16,(O527-M527)+8),"")</f>
        <v>53</v>
      </c>
      <c r="BD527" s="1" t="n">
        <f aca="false">MIN(AE527/150, 1)*30</f>
        <v>10</v>
      </c>
      <c r="BE527" s="1" t="n">
        <f aca="false">MIN(Q527/4000, 1)*20</f>
        <v>0</v>
      </c>
      <c r="BF527" s="1" t="n">
        <f aca="false">MIN(AC527/400,1)*20</f>
        <v>0</v>
      </c>
      <c r="BG527" s="4" t="n">
        <f aca="false">1-(MAX(M527-1900, 0)/750)</f>
        <v>0.96</v>
      </c>
      <c r="BH527" s="1" t="n">
        <f aca="false">((MAX($P527,1)*MIN($AL527/300,1)))*IF(J527="Wagon",50,10)</f>
        <v>4</v>
      </c>
      <c r="BI527" s="1" t="n">
        <f aca="false">VLOOKUP($K527,Constants!$I:$K, 2, FALSE())</f>
        <v>1</v>
      </c>
      <c r="BJ527" s="1" t="n">
        <f aca="false">VLOOKUP($K527,Constants!$I:$K, 3, FALSE())*IF(AND(J527="multiple_unit",AE527&lt;110),0.75,1)</f>
        <v>0.45</v>
      </c>
      <c r="BK527" s="1" t="n">
        <f aca="false">INT(POWER(((Constants!$G$2+$BD527+$BE527+$BF527+$BH527)*$BG527)*$BJ527, 1.05))+$BC527</f>
        <v>9</v>
      </c>
      <c r="BL527" s="1" t="n">
        <f aca="false">INT(POWER((((Constants!$G$1+$BD527+$BE527+$BF527+$BH527)*($BG527))*$BI527),IF($J527="wagon",1,1.2)))+$BB527</f>
        <v>27</v>
      </c>
      <c r="BM527" s="17" t="n">
        <f aca="false">BK527*IF($J527="wagon",62.5,781.25)</f>
        <v>562.5</v>
      </c>
      <c r="BN527" s="17" t="n">
        <f aca="false">BL527*IF($J527="wagon",2.73,81.25)</f>
        <v>73.71</v>
      </c>
      <c r="BU527" s="1" t="str">
        <f aca="false">IF(J527="locomotive","B","")</f>
        <v/>
      </c>
      <c r="BV527" s="1" t="str">
        <f aca="false">IF(OR($J527="locomotive",$J527="wagon"),"B","")</f>
        <v>B</v>
      </c>
      <c r="BY527" s="1" t="n">
        <v>1</v>
      </c>
      <c r="BZ527" s="1" t="n">
        <v>185</v>
      </c>
      <c r="CB527" s="1" t="s">
        <v>1966</v>
      </c>
      <c r="CC527" s="1" t="s">
        <v>1967</v>
      </c>
      <c r="CD527" s="1" t="str">
        <f aca="false">VLOOKUP(M527,Eras!$A$2:$C$10, 2, TRUE())</f>
        <v>big4</v>
      </c>
      <c r="CE527" s="1" t="s">
        <v>1968</v>
      </c>
      <c r="CF527" s="1" t="str">
        <f aca="false">CONCATENATE(CD527,"_",CE527)</f>
        <v>big4_Van</v>
      </c>
      <c r="CG527" s="1" t="str">
        <f aca="false">_xlfn.CONCAT(K527, "_",L527)</f>
        <v>wagon_RAIL</v>
      </c>
      <c r="CH527" s="7" t="str">
        <f aca="false">_xlfn.CONCAT("{BLACK}Length: {GOLD}", TEXT(ROUNDUP(IF(AS527&lt;&gt;"",SUM(VALUE(_xlfn.TEXTSPLIT(AS527, ","))), SUM(VALUE(_xlfn.TEXTSPLIT(AP527, ",")))*IF(P527, P527, 1))/16, 1), "#,##0.0"), " tiles{}")</f>
        <v>{BLACK}Length: {GOLD}0.4 tiles{}</v>
      </c>
      <c r="CI527" s="1" t="str">
        <f aca="false">IF(0, VLOOKUP($CG527, Constants!$M:$N, 2, FALSE()),"")</f>
        <v/>
      </c>
      <c r="CJ527" s="1" t="str">
        <f aca="false">IF(P527&gt;1,_xlfn.CONCAT("{BLACK}Cars: {GOLD}", P527),"")</f>
        <v/>
      </c>
      <c r="CK527" s="1" t="s">
        <v>1975</v>
      </c>
      <c r="CL527" s="1" t="str">
        <f aca="false">IF($BX527="concept_trains","{GREEN}Concept Vehicle",IF($BX527="!param_no_gameplay_units","{GREEN}Included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{GOLD}0.4 tiles{}{SILVER}Specialised cattle vans such as this Southern Railway example were built from the 1930s to the 1950s, although livestock traffic reduced in the latter part of this period.</v>
      </c>
    </row>
    <row r="528" customFormat="false" ht="14.25" hidden="false" customHeight="false" outlineLevel="0" collapsed="false">
      <c r="A528" s="1" t="s">
        <v>1976</v>
      </c>
      <c r="B528" s="15" t="s">
        <v>1977</v>
      </c>
      <c r="C528" s="1" t="n">
        <v>82</v>
      </c>
      <c r="E528" s="1" t="n">
        <v>1540</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1" t="s">
        <v>241</v>
      </c>
      <c r="J528" s="1" t="s">
        <v>1580</v>
      </c>
      <c r="K528" s="1" t="s">
        <v>1580</v>
      </c>
      <c r="L528" s="1" t="s">
        <v>192</v>
      </c>
      <c r="M528" s="1" t="n">
        <v>1960</v>
      </c>
      <c r="O528" s="1" t="n">
        <v>2000</v>
      </c>
      <c r="Z528" s="1" t="n">
        <v>14</v>
      </c>
      <c r="AB528" s="1" t="n">
        <v>4</v>
      </c>
      <c r="AD528" s="4" t="str">
        <f aca="false">IF(AND(Z528&gt;0,AC528&gt;0),(AC528/((Z528+AA528)*10)),"")</f>
        <v/>
      </c>
      <c r="AE528" s="1" t="n">
        <v>65</v>
      </c>
      <c r="AF528" s="1" t="n">
        <f aca="false">ROUND(AE528*1.6, 0)</f>
        <v>104</v>
      </c>
      <c r="AH528" s="1" t="n">
        <v>10.6</v>
      </c>
      <c r="AI528" s="1" t="n">
        <v>10.6</v>
      </c>
      <c r="AL528" s="5" t="n">
        <v>39</v>
      </c>
      <c r="AM528" s="1" t="str">
        <f aca="false">CONCATENATE(VLOOKUP(AN528, 'Voxel Sizes'!$A$2:$B$18,2,FALSE()),"x",INT(AJ528*15), "x", INT(AK528*15))</f>
        <v>102x0x0</v>
      </c>
      <c r="AN528" s="1" t="n">
        <f aca="false">ROUND(15*((AI528*10)/256),0)</f>
        <v>6</v>
      </c>
      <c r="AP528" s="1" t="str">
        <f aca="false">CONCATENATE(VLOOKUP(AN528,Constants!$A$2:$C$16,IF(AO528&lt;&gt;"", 3, 2), FALSE()),IF(AO528&lt;&gt;"",CONCATENATE(",",VLOOKUP(AO528,$B:$AP,41,FALSE())),""))</f>
        <v>2,2,2</v>
      </c>
      <c r="AZ528" s="1" t="n">
        <v>30</v>
      </c>
      <c r="BA528" s="16" t="n">
        <f aca="false">IF(O528&lt;&gt;"",MAX(16,(O528-M528)+8),"")</f>
        <v>48</v>
      </c>
      <c r="BD528" s="1" t="n">
        <f aca="false">MIN(AE528/150, 1)*30</f>
        <v>13</v>
      </c>
      <c r="BE528" s="1" t="n">
        <f aca="false">MIN(Q528/4000, 1)*20</f>
        <v>0</v>
      </c>
      <c r="BF528" s="1" t="n">
        <f aca="false">MIN(AC528/400,1)*20</f>
        <v>0</v>
      </c>
      <c r="BG528" s="4" t="n">
        <f aca="false">1-(MAX(M528-1900, 0)/750)</f>
        <v>0.92</v>
      </c>
      <c r="BH528" s="1" t="n">
        <f aca="false">((MAX($P528,1)*MIN($AL528/300,1)))*IF(J528="Wagon",50,10)</f>
        <v>6.5</v>
      </c>
      <c r="BI528" s="1" t="n">
        <f aca="false">VLOOKUP($K528,Constants!$I:$K, 2, FALSE())</f>
        <v>1</v>
      </c>
      <c r="BJ528" s="1" t="n">
        <f aca="false">VLOOKUP($K528,Constants!$I:$K, 3, FALSE())*IF(AND(J528="multiple_unit",AE528&lt;110),0.75,1)</f>
        <v>0.45</v>
      </c>
      <c r="BK528" s="1" t="n">
        <f aca="false">INT(POWER(((Constants!$G$2+$BD528+$BE528+$BF528+$BH528)*$BG528)*$BJ528, 1.05))+$BC528</f>
        <v>11</v>
      </c>
      <c r="BL528" s="1" t="n">
        <f aca="false">INT(POWER((((Constants!$G$1+$BD528+$BE528+$BF528+$BH528)*($BG528))*$BI528),IF($J528="wagon",1,1.2)))+$BB528</f>
        <v>31</v>
      </c>
      <c r="BM528" s="17" t="n">
        <f aca="false">BK528*IF($J528="wagon",62.5,781.25)</f>
        <v>687.5</v>
      </c>
      <c r="BN528" s="17" t="n">
        <f aca="false">BL528*IF($J528="wagon",2.73,81.25)</f>
        <v>84.63</v>
      </c>
      <c r="BU528" s="1" t="str">
        <f aca="false">IF(J528="locomotive","B","")</f>
        <v/>
      </c>
      <c r="BV528" s="1" t="str">
        <f aca="false">IF(OR($J528="locomotive",$J528="wagon"),"B","")</f>
        <v>B</v>
      </c>
      <c r="BX528" s="1" t="s">
        <v>1681</v>
      </c>
      <c r="BY528" s="1" t="n">
        <v>1</v>
      </c>
      <c r="BZ528" s="1" t="n">
        <v>185</v>
      </c>
      <c r="CB528" s="1" t="s">
        <v>1966</v>
      </c>
      <c r="CC528" s="1" t="s">
        <v>1967</v>
      </c>
      <c r="CD528" s="1" t="str">
        <f aca="false">VLOOKUP(M528,Eras!$A$2:$C$10, 2, TRUE())</f>
        <v>dsl</v>
      </c>
      <c r="CE528" s="1" t="s">
        <v>1968</v>
      </c>
      <c r="CF528" s="1" t="str">
        <f aca="false">CONCATENATE(CD528,"_",CE528)</f>
        <v>dsl_Van</v>
      </c>
      <c r="CG528" s="1" t="str">
        <f aca="false">_xlfn.CONCAT(K528, "_",L528)</f>
        <v>wagon_RAIL</v>
      </c>
      <c r="CH528" s="7" t="str">
        <f aca="false">_xlfn.CONCAT("{BLACK}Length: {GOLD}", TEXT(ROUNDUP(IF(AS528&lt;&gt;"",SUM(VALUE(_xlfn.TEXTSPLIT(AS528, ","))), SUM(VALUE(_xlfn.TEXTSPLIT(AP528, ",")))*IF(P528, P528, 1))/16, 1), "#,##0.0"), " tiles{}")</f>
        <v>{BLACK}Length: {GOLD}0.4 tiles{}</v>
      </c>
      <c r="CI528" s="1" t="str">
        <f aca="false">IF(0, VLOOKUP($CG528, Constants!$M:$N, 2, FALSE()),"")</f>
        <v/>
      </c>
      <c r="CJ528" s="1" t="str">
        <f aca="false">IF(P528&gt;1,_xlfn.CONCAT("{BLACK}Cars: {GOLD}", P528),"")</f>
        <v/>
      </c>
      <c r="CK528" s="1" t="s">
        <v>1978</v>
      </c>
      <c r="CL528" s="1" t="str">
        <f aca="false">IF($BX528="concept_trains","{GREEN}Concept Vehicle",IF($BX528="!param_no_gameplay_units","{GREEN}Included for gameplay purposes",""))</f>
        <v>{GREEN}Included for gameplay purposes</v>
      </c>
      <c r="CM528" s="1" t="str">
        <f aca="false">IF(CA528="buffet","{YELLOW}25% long distance bonus for consist{}",IF(CC528="BRAKE","{YELLOW}Speed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28" s="1" t="n">
        <v>1</v>
      </c>
    </row>
    <row r="529" customFormat="false" ht="14.25" hidden="false" customHeight="false" outlineLevel="0" collapsed="false">
      <c r="A529" s="1" t="s">
        <v>1979</v>
      </c>
      <c r="B529" s="15" t="s">
        <v>1980</v>
      </c>
      <c r="C529" s="1" t="n">
        <v>83</v>
      </c>
      <c r="E529" s="1" t="n">
        <v>1541</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241</v>
      </c>
      <c r="J529" s="1" t="s">
        <v>1580</v>
      </c>
      <c r="K529" s="1" t="s">
        <v>1580</v>
      </c>
      <c r="L529" s="1" t="s">
        <v>192</v>
      </c>
      <c r="M529" s="1" t="n">
        <v>1990</v>
      </c>
      <c r="Z529" s="1" t="n">
        <v>16</v>
      </c>
      <c r="AB529" s="1" t="n">
        <v>4</v>
      </c>
      <c r="AD529" s="4" t="str">
        <f aca="false">IF(AND(Z529&gt;0,AC529&gt;0),(AC529/((Z529+AA529)*10)),"")</f>
        <v/>
      </c>
      <c r="AE529" s="1" t="n">
        <v>75</v>
      </c>
      <c r="AF529" s="1" t="n">
        <f aca="false">ROUND(AE529*1.6, 0)</f>
        <v>120</v>
      </c>
      <c r="AH529" s="1" t="n">
        <v>12.2</v>
      </c>
      <c r="AI529" s="1" t="n">
        <v>12.2</v>
      </c>
      <c r="AL529" s="5" t="n">
        <v>39</v>
      </c>
      <c r="AM529" s="1" t="str">
        <f aca="false">CONCATENATE(VLOOKUP(AN529, 'Voxel Sizes'!$A$2:$B$18,2,FALSE()),"x",INT(AJ529*15), "x", INT(AK529*15))</f>
        <v>120x0x0</v>
      </c>
      <c r="AN529" s="1" t="n">
        <f aca="false">ROUND(15*((AI529*10)/256),0)</f>
        <v>7</v>
      </c>
      <c r="AP529" s="1" t="str">
        <f aca="false">CONCATENATE(VLOOKUP(AN529,Constants!$A$2:$C$16,IF(AO529&lt;&gt;"", 3, 2), FALSE()),IF(AO529&lt;&gt;"",CONCATENATE(",",VLOOKUP(AO529,$B:$AP,41,FALSE())),""))</f>
        <v>2,3,2</v>
      </c>
      <c r="AZ529" s="1" t="n">
        <v>30</v>
      </c>
      <c r="BA529" s="16" t="str">
        <f aca="false">IF(O529&lt;&gt;"",MAX(16,(O529-M529)+8),"")</f>
        <v/>
      </c>
      <c r="BD529" s="1" t="n">
        <f aca="false">MIN(AE529/150, 1)*30</f>
        <v>15</v>
      </c>
      <c r="BE529" s="1" t="n">
        <f aca="false">MIN(Q529/4000, 1)*20</f>
        <v>0</v>
      </c>
      <c r="BF529" s="1" t="n">
        <f aca="false">MIN(AC529/400,1)*20</f>
        <v>0</v>
      </c>
      <c r="BG529" s="4" t="n">
        <f aca="false">1-(MAX(M529-1900, 0)/750)</f>
        <v>0.88</v>
      </c>
      <c r="BH529" s="1" t="n">
        <f aca="false">((MAX($P529,1)*MIN($AL529/300,1)))*IF(J529="Wagon",50,10)</f>
        <v>6.5</v>
      </c>
      <c r="BI529" s="1" t="n">
        <f aca="false">VLOOKUP($K529,Constants!$I:$K, 2, FALSE())</f>
        <v>1</v>
      </c>
      <c r="BJ529" s="1" t="n">
        <f aca="false">VLOOKUP($K529,Constants!$I:$K, 3, FALSE())*IF(AND(J529="multiple_unit",AE529&lt;110),0.75,1)</f>
        <v>0.45</v>
      </c>
      <c r="BK529" s="1" t="n">
        <f aca="false">INT(POWER(((Constants!$G$2+$BD529+$BE529+$BF529+$BH529)*$BG529)*$BJ529, 1.05))+$BC529</f>
        <v>11</v>
      </c>
      <c r="BL529" s="1" t="n">
        <f aca="false">INT(POWER((((Constants!$G$1+$BD529+$BE529+$BF529+$BH529)*($BG529))*$BI529),IF($J529="wagon",1,1.2)))+$BB529</f>
        <v>32</v>
      </c>
      <c r="BM529" s="17" t="n">
        <f aca="false">BK529*IF($J529="wagon",62.5,781.25)</f>
        <v>687.5</v>
      </c>
      <c r="BN529" s="17" t="n">
        <f aca="false">BL529*IF($J529="wagon",2.73,81.25)</f>
        <v>87.36</v>
      </c>
      <c r="BU529" s="1" t="str">
        <f aca="false">IF(J529="locomotive","B","")</f>
        <v/>
      </c>
      <c r="BV529" s="1" t="str">
        <f aca="false">IF(OR($J529="locomotive",$J529="wagon"),"B","")</f>
        <v>B</v>
      </c>
      <c r="BX529" s="1" t="s">
        <v>1681</v>
      </c>
      <c r="BY529" s="1" t="n">
        <v>1</v>
      </c>
      <c r="BZ529" s="1" t="n">
        <v>185</v>
      </c>
      <c r="CB529" s="1" t="s">
        <v>1966</v>
      </c>
      <c r="CC529" s="1" t="s">
        <v>1967</v>
      </c>
      <c r="CD529" s="1" t="str">
        <f aca="false">VLOOKUP(M529,Eras!$A$2:$C$10, 2, TRUE())</f>
        <v>lbr</v>
      </c>
      <c r="CE529" s="1" t="s">
        <v>1968</v>
      </c>
      <c r="CF529" s="1" t="str">
        <f aca="false">CONCATENATE(CD529,"_",CE529)</f>
        <v>lbr_Van</v>
      </c>
      <c r="CG529" s="1" t="str">
        <f aca="false">_xlfn.CONCAT(K529, "_",L529)</f>
        <v>wagon_RAIL</v>
      </c>
      <c r="CH529" s="7" t="str">
        <f aca="false">_xlfn.CONCAT("{BLACK}Length: {GOLD}", TEXT(ROUNDUP(IF(AS529&lt;&gt;"",SUM(VALUE(_xlfn.TEXTSPLIT(AS529, ","))), SUM(VALUE(_xlfn.TEXTSPLIT(AP529, ",")))*IF(P529, P529, 1))/16, 1), "#,##0.0"), " tiles{}")</f>
        <v>{BLACK}Length: {GOLD}0.5 tiles{}</v>
      </c>
      <c r="CI529" s="1" t="str">
        <f aca="false">IF(0, VLOOKUP($CG529, Constants!$M:$N, 2, FALSE()),"")</f>
        <v/>
      </c>
      <c r="CJ529" s="1" t="str">
        <f aca="false">IF(P529&gt;1,_xlfn.CONCAT("{BLACK}Cars: {GOLD}", P529),"")</f>
        <v/>
      </c>
      <c r="CK529" s="1" t="s">
        <v>1981</v>
      </c>
      <c r="CL529" s="1" t="str">
        <f aca="false">IF($BX529="concept_trains","{GREEN}Concept Vehicle",IF($BX529="!param_no_gameplay_units","{GREEN}Included for gameplay purposes",""))</f>
        <v>{GREEN}Included for gameplay purposes</v>
      </c>
      <c r="CM529" s="1" t="str">
        <f aca="false">IF(CA529="buffet","{YELLOW}25% long distance bonus for consist{}",IF(CC529="BRAKE","{YELLOW}Speed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29" s="1" t="n">
        <v>1</v>
      </c>
    </row>
    <row r="530" s="26" customFormat="true" ht="14.25" hidden="false" customHeight="false" outlineLevel="0" collapsed="false">
      <c r="A530" s="26" t="s">
        <v>1982</v>
      </c>
      <c r="B530" s="27" t="s">
        <v>1983</v>
      </c>
      <c r="C530" s="1" t="n">
        <v>3098</v>
      </c>
      <c r="E530" s="1" t="n">
        <v>1542</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26" t="s">
        <v>241</v>
      </c>
      <c r="J530" s="26" t="s">
        <v>1580</v>
      </c>
      <c r="K530" s="26" t="s">
        <v>1580</v>
      </c>
      <c r="L530" s="26" t="s">
        <v>192</v>
      </c>
      <c r="M530" s="26" t="n">
        <v>1907</v>
      </c>
      <c r="N530" s="26" t="n">
        <v>1950</v>
      </c>
      <c r="O530" s="26" t="n">
        <v>1961</v>
      </c>
      <c r="R530" s="2"/>
      <c r="S530" s="3"/>
      <c r="T530" s="3"/>
      <c r="U530" s="3"/>
      <c r="V530" s="3"/>
      <c r="W530" s="3"/>
      <c r="X530" s="3"/>
      <c r="Y530" s="3"/>
      <c r="Z530" s="26" t="n">
        <v>6.4</v>
      </c>
      <c r="AA530" s="2"/>
      <c r="AB530" s="26" t="n">
        <v>3</v>
      </c>
      <c r="AD530" s="4" t="str">
        <f aca="false">IF(AND(Z530&gt;0,AC530&gt;0),(AC530/((Z530+AA530)*10)),"")</f>
        <v/>
      </c>
      <c r="AE530" s="26" t="n">
        <v>50</v>
      </c>
      <c r="AF530" s="26" t="n">
        <f aca="false">ROUND(AE530*1.6, 0)</f>
        <v>80</v>
      </c>
      <c r="AH530" s="26" t="n">
        <v>6</v>
      </c>
      <c r="AI530" s="26" t="n">
        <v>8</v>
      </c>
      <c r="AJ530" s="26" t="n">
        <v>2.5</v>
      </c>
      <c r="AK530" s="26" t="n">
        <v>3.35</v>
      </c>
      <c r="AL530" s="5" t="n">
        <v>13</v>
      </c>
      <c r="AM530" s="1" t="str">
        <f aca="false">CONCATENATE(VLOOKUP(AN530, 'Voxel Sizes'!$A$2:$B$18,2,FALSE()),"x",INT(AJ530*15), "x", INT(AK530*15))</f>
        <v>82x37x50</v>
      </c>
      <c r="AN530" s="26" t="n">
        <f aca="false">ROUND(15*((AI530*10)/256),0)</f>
        <v>5</v>
      </c>
      <c r="AP530" s="1" t="str">
        <f aca="false">CONCATENATE(VLOOKUP(AN530,Constants!$A$2:$C$16,IF(AO530&lt;&gt;"", 3, 2), FALSE()),IF(AO530&lt;&gt;"",CONCATENATE(",",VLOOKUP(AO530,$B:$AP,41,FALSE())),""))</f>
        <v>2,1,2</v>
      </c>
      <c r="AR530" s="6"/>
      <c r="AS530" s="6"/>
      <c r="AZ530" s="26" t="n">
        <v>30</v>
      </c>
      <c r="BA530" s="16" t="n">
        <f aca="false">IF(O530&lt;&gt;"",MAX(16,(O530-M530)+8),"")</f>
        <v>62</v>
      </c>
      <c r="BB530" s="26" t="n">
        <v>5</v>
      </c>
      <c r="BC530" s="26" t="n">
        <v>0</v>
      </c>
      <c r="BD530" s="26" t="n">
        <f aca="false">MIN(AE530/150, 1)*30</f>
        <v>10</v>
      </c>
      <c r="BE530" s="26" t="n">
        <f aca="false">MIN(Q530/4000, 1)*20</f>
        <v>0</v>
      </c>
      <c r="BF530" s="26" t="n">
        <f aca="false">MIN(AC530/400,1)*20</f>
        <v>0</v>
      </c>
      <c r="BG530" s="4" t="n">
        <f aca="false">1-(MAX(M530-1900, 0)/750)</f>
        <v>0.990666666666667</v>
      </c>
      <c r="BH530" s="26" t="n">
        <f aca="false">((MAX($P530,1)*MIN($AL530/300,1)))*IF(J530="Wagon",50,10)</f>
        <v>2.16666666666667</v>
      </c>
      <c r="BI530" s="1" t="n">
        <f aca="false">VLOOKUP($K530,Constants!$I:$K, 2, FALSE())</f>
        <v>1</v>
      </c>
      <c r="BJ530" s="1" t="n">
        <f aca="false">VLOOKUP($K530,Constants!$I:$K, 3, FALSE())*IF(AND(J530="multiple_unit",AE530&lt;110),0.75,1)</f>
        <v>0.45</v>
      </c>
      <c r="BK530" s="1" t="n">
        <f aca="false">INT(POWER(((Constants!$G$2+$BD530+$BE530+$BF530+$BH530)*$BG530)*$BJ530, 1.05))+$BC530</f>
        <v>8</v>
      </c>
      <c r="BL530" s="1" t="n">
        <f aca="false">INT(POWER((((Constants!$G$1+$BD530+$BE530+$BF530+$BH530)*($BG530))*$BI530),IF($J530="wagon",1,1.2)))+$BB530</f>
        <v>31</v>
      </c>
      <c r="BM530" s="17" t="n">
        <f aca="false">BK530*IF($J530="wagon",62.5,781.25)</f>
        <v>500</v>
      </c>
      <c r="BN530" s="17" t="n">
        <f aca="false">BL530*IF($J530="wagon",2.73,81.25)</f>
        <v>84.63</v>
      </c>
      <c r="BU530" s="1" t="str">
        <f aca="false">IF(J530="locomotive","B","")</f>
        <v/>
      </c>
      <c r="BV530" s="1" t="str">
        <f aca="false">IF(OR($J530="locomotive",$J530="wagon"),"B","")</f>
        <v>B</v>
      </c>
      <c r="BY530" s="26" t="n">
        <v>1</v>
      </c>
      <c r="BZ530" s="26" t="n">
        <v>185</v>
      </c>
      <c r="CB530" s="26" t="s">
        <v>1984</v>
      </c>
      <c r="CC530" s="26" t="s">
        <v>1985</v>
      </c>
      <c r="CD530" s="1" t="str">
        <f aca="false">VLOOKUP(M530,Eras!$A$2:$C$10, 2, TRUE())</f>
        <v>edw</v>
      </c>
      <c r="CE530" s="26" t="s">
        <v>1935</v>
      </c>
      <c r="CF530" s="26" t="str">
        <f aca="false">CONCATENATE(CD530,"_",CE530)</f>
        <v>edw_Tanker</v>
      </c>
      <c r="CG530" s="26" t="str">
        <f aca="false">_xlfn.CONCAT(K530, "_",L530)</f>
        <v>wagon_RAIL</v>
      </c>
      <c r="CH530" s="7" t="str">
        <f aca="false">_xlfn.CONCAT("{BLACK}Length: {GOLD}", TEXT(ROUNDUP(IF(AS530&lt;&gt;"",SUM(VALUE(_xlfn.TEXTSPLIT(AS530, ","))), SUM(VALUE(_xlfn.TEXTSPLIT(AP530, ",")))*IF(P530, P530, 1))/16, 1), "#,##0.0"), " tiles{}")</f>
        <v>{BLACK}Length: {GOLD}0.4 tiles{}</v>
      </c>
      <c r="CI530" s="1" t="str">
        <f aca="false">IF(0, VLOOKUP($CG530, Constants!$M:$N, 2, FALSE()),"")</f>
        <v/>
      </c>
      <c r="CJ530" s="1" t="str">
        <f aca="false">IF(P530&gt;1,_xlfn.CONCAT("{BLACK}Cars: {GOLD}", P530),"")</f>
        <v/>
      </c>
      <c r="CK530" s="26" t="s">
        <v>1986</v>
      </c>
      <c r="CL530" s="1" t="str">
        <f aca="false">IF($BX530="concept_trains","{GREEN}Concept Vehicle",IF($BX530="!param_no_gameplay_units","{GREEN}Included for gameplay purposes",""))</f>
        <v/>
      </c>
      <c r="CM530" s="26" t="str">
        <f aca="false">IF(CA530="buffet","{YELLOW}25% long distance bonus for consist{}",IF(CD530="BRAKE","{YELLOW}Speed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{GOLD}0.4 tiles{}{SILVER}The standard RCH Salt Wagon design of 1907 was long-lived in private ownership and saw some use beyond sodium chloride, which was largely used as part of the chemical industry.</v>
      </c>
      <c r="XFD530" s="1"/>
    </row>
    <row r="531" s="26" customFormat="true" ht="14.25" hidden="false" customHeight="false" outlineLevel="0" collapsed="false">
      <c r="A531" s="26" t="s">
        <v>1987</v>
      </c>
      <c r="B531" s="27" t="s">
        <v>1988</v>
      </c>
      <c r="C531" s="1" t="n">
        <v>3099</v>
      </c>
      <c r="E531" s="1" t="n">
        <v>1543</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26" t="s">
        <v>241</v>
      </c>
      <c r="J531" s="26" t="s">
        <v>1580</v>
      </c>
      <c r="K531" s="26" t="s">
        <v>1580</v>
      </c>
      <c r="L531" s="26" t="s">
        <v>192</v>
      </c>
      <c r="M531" s="26" t="n">
        <v>1955</v>
      </c>
      <c r="N531" s="26" t="n">
        <v>1980</v>
      </c>
      <c r="O531" s="26" t="n">
        <v>1987</v>
      </c>
      <c r="R531" s="2"/>
      <c r="S531" s="3"/>
      <c r="T531" s="3"/>
      <c r="U531" s="3"/>
      <c r="V531" s="3"/>
      <c r="W531" s="3"/>
      <c r="X531" s="3"/>
      <c r="Y531" s="3"/>
      <c r="Z531" s="26" t="n">
        <v>13.4</v>
      </c>
      <c r="AA531" s="2"/>
      <c r="AB531" s="26" t="n">
        <v>5</v>
      </c>
      <c r="AD531" s="4" t="str">
        <f aca="false">IF(AND(Z531&gt;0,AC531&gt;0),(AC531/((Z531+AA531)*10)),"")</f>
        <v/>
      </c>
      <c r="AE531" s="26" t="n">
        <v>50</v>
      </c>
      <c r="AF531" s="26" t="n">
        <f aca="false">ROUND(AE531*1.6, 0)</f>
        <v>80</v>
      </c>
      <c r="AH531" s="26" t="n">
        <v>6</v>
      </c>
      <c r="AI531" s="26" t="n">
        <v>8</v>
      </c>
      <c r="AJ531" s="26" t="n">
        <v>2.5</v>
      </c>
      <c r="AK531" s="26" t="n">
        <v>3.35</v>
      </c>
      <c r="AL531" s="5" t="n">
        <v>20</v>
      </c>
      <c r="AM531" s="1" t="str">
        <f aca="false">CONCATENATE(VLOOKUP(AN531, 'Voxel Sizes'!$A$2:$B$18,2,FALSE()),"x",INT(AJ531*15), "x", INT(AK531*15))</f>
        <v>82x37x50</v>
      </c>
      <c r="AN531" s="26" t="n">
        <f aca="false">ROUND(15*((AI531*10)/256),0)</f>
        <v>5</v>
      </c>
      <c r="AP531" s="1" t="str">
        <f aca="false">CONCATENATE(VLOOKUP(AN531,Constants!$A$2:$C$16,IF(AO531&lt;&gt;"", 3, 2), FALSE()),IF(AO531&lt;&gt;"",CONCATENATE(",",VLOOKUP(AO531,$B:$AP,41,FALSE())),""))</f>
        <v>2,1,2</v>
      </c>
      <c r="AR531" s="6"/>
      <c r="AS531" s="6"/>
      <c r="AZ531" s="26" t="n">
        <v>30</v>
      </c>
      <c r="BA531" s="16" t="n">
        <f aca="false">IF(O531&lt;&gt;"",MAX(16,(O531-M531)+8),"")</f>
        <v>40</v>
      </c>
      <c r="BB531" s="26" t="n">
        <v>5</v>
      </c>
      <c r="BD531" s="26" t="n">
        <f aca="false">MIN(AE531/150, 1)*30</f>
        <v>10</v>
      </c>
      <c r="BE531" s="26" t="n">
        <f aca="false">MIN(Q531/4000, 1)*20</f>
        <v>0</v>
      </c>
      <c r="BF531" s="26" t="n">
        <f aca="false">MIN(AC531/400,1)*20</f>
        <v>0</v>
      </c>
      <c r="BG531" s="4" t="n">
        <f aca="false">1-(MAX(M531-1900, 0)/750)</f>
        <v>0.926666666666667</v>
      </c>
      <c r="BH531" s="26" t="n">
        <f aca="false">((MAX($P531,1)*MIN($AL531/300,1)))*IF(J531="Wagon",50,10)</f>
        <v>3.33333333333333</v>
      </c>
      <c r="BI531" s="1" t="n">
        <f aca="false">VLOOKUP($K531,Constants!$I:$K, 2, FALSE())</f>
        <v>1</v>
      </c>
      <c r="BJ531" s="1" t="n">
        <f aca="false">VLOOKUP($K531,Constants!$I:$K, 3, FALSE())*IF(AND(J531="multiple_unit",AE531&lt;110),0.75,1)</f>
        <v>0.45</v>
      </c>
      <c r="BK531" s="1" t="n">
        <f aca="false">INT(POWER(((Constants!$G$2+$BD531+$BE531+$BF531+$BH531)*$BG531)*$BJ531, 1.05))+$BC531</f>
        <v>8</v>
      </c>
      <c r="BL531" s="1" t="n">
        <f aca="false">INT(POWER((((Constants!$G$1+$BD531+$BE531+$BF531+$BH531)*($BG531))*$BI531),IF($J531="wagon",1,1.2)))+$BB531</f>
        <v>31</v>
      </c>
      <c r="BM531" s="17" t="n">
        <f aca="false">BK531*IF($J531="wagon",62.5,781.25)</f>
        <v>500</v>
      </c>
      <c r="BN531" s="17" t="n">
        <f aca="false">BL531*IF($J531="wagon",2.73,81.25)</f>
        <v>84.63</v>
      </c>
      <c r="BU531" s="1" t="str">
        <f aca="false">IF(J531="locomotive","B","")</f>
        <v/>
      </c>
      <c r="BV531" s="1" t="str">
        <f aca="false">IF(OR($J531="locomotive",$J531="wagon"),"B","")</f>
        <v>B</v>
      </c>
      <c r="BY531" s="26" t="n">
        <v>1</v>
      </c>
      <c r="BZ531" s="26" t="n">
        <v>185</v>
      </c>
      <c r="CB531" s="26" t="s">
        <v>1984</v>
      </c>
      <c r="CC531" s="26" t="s">
        <v>1989</v>
      </c>
      <c r="CD531" s="1" t="str">
        <f aca="false">VLOOKUP(M531,Eras!$A$2:$C$10, 2, TRUE())</f>
        <v>dsl</v>
      </c>
      <c r="CE531" s="26" t="s">
        <v>1935</v>
      </c>
      <c r="CF531" s="26" t="str">
        <f aca="false">CONCATENATE(CD531,"_",CE531)</f>
        <v>dsl_Tanker</v>
      </c>
      <c r="CG531" s="26" t="str">
        <f aca="false">_xlfn.CONCAT(K531, "_",L531)</f>
        <v>wagon_RAIL</v>
      </c>
      <c r="CH531" s="7" t="str">
        <f aca="false">_xlfn.CONCAT("{BLACK}Length: {GOLD}", TEXT(ROUNDUP(IF(AS531&lt;&gt;"",SUM(VALUE(_xlfn.TEXTSPLIT(AS531, ","))), SUM(VALUE(_xlfn.TEXTSPLIT(AP531, ",")))*IF(P531, P531, 1))/16, 1), "#,##0.0"), " tiles{}")</f>
        <v>{BLACK}Length: {GOLD}0.4 tiles{}</v>
      </c>
      <c r="CI531" s="1" t="str">
        <f aca="false">IF(0, VLOOKUP($CG531, Constants!$M:$N, 2, FALSE()),"")</f>
        <v/>
      </c>
      <c r="CJ531" s="1" t="str">
        <f aca="false">IF(P531&gt;1,_xlfn.CONCAT("{BLACK}Cars: {GOLD}", P531),"")</f>
        <v/>
      </c>
      <c r="CK531" s="26" t="s">
        <v>1990</v>
      </c>
      <c r="CL531" s="1" t="str">
        <f aca="false">IF($BX531="concept_trains","{GREEN}Concept Vehicle",IF($BX531="!param_no_gameplay_units","{GREEN}Included for gameplay purposes",""))</f>
        <v/>
      </c>
      <c r="CM531" s="26" t="str">
        <f aca="false">IF(CA531="buffet","{YELLOW}25% long distance bonus for consist{}",IF(CD531="BRAKE","{YELLOW}Speed bonus for slow wagons{}",IF(BZ531&gt;190,CONCATENATE("{YELLOW}",INT((BZ531-185)/1.85),"%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{GOLD}0.4 tiles{}{SILVER}The Presflo covered hopper was designed specifically to carry cement powder, being unloaded via a pressurized air connection and liquefaction of the cargo.</v>
      </c>
      <c r="CO531" s="26" t="n">
        <v>1</v>
      </c>
      <c r="XFD531" s="1"/>
    </row>
    <row r="532" s="26" customFormat="true" ht="14.25" hidden="false" customHeight="false" outlineLevel="0" collapsed="false">
      <c r="A532" s="26" t="s">
        <v>1991</v>
      </c>
      <c r="B532" s="27" t="s">
        <v>1992</v>
      </c>
      <c r="C532" s="1" t="n">
        <v>3100</v>
      </c>
      <c r="E532" s="1" t="n">
        <v>1544</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26" t="s">
        <v>241</v>
      </c>
      <c r="J532" s="26" t="s">
        <v>1580</v>
      </c>
      <c r="K532" s="26" t="s">
        <v>1580</v>
      </c>
      <c r="L532" s="26" t="s">
        <v>192</v>
      </c>
      <c r="M532" s="26" t="n">
        <v>1968</v>
      </c>
      <c r="N532" s="26" t="n">
        <v>2012</v>
      </c>
      <c r="O532" s="26" t="n">
        <v>2022</v>
      </c>
      <c r="R532" s="2"/>
      <c r="S532" s="3"/>
      <c r="T532" s="3"/>
      <c r="U532" s="3"/>
      <c r="V532" s="3"/>
      <c r="W532" s="3"/>
      <c r="X532" s="3"/>
      <c r="Y532" s="3"/>
      <c r="Z532" s="26" t="n">
        <v>12.4</v>
      </c>
      <c r="AA532" s="2"/>
      <c r="AB532" s="26" t="n">
        <v>4</v>
      </c>
      <c r="AD532" s="4" t="str">
        <f aca="false">IF(AND(Z532&gt;0,AC532&gt;0),(AC532/((Z532+AA532)*10)),"")</f>
        <v/>
      </c>
      <c r="AE532" s="26" t="n">
        <v>50</v>
      </c>
      <c r="AF532" s="26" t="n">
        <f aca="false">ROUND(AE532*1.6, 0)</f>
        <v>80</v>
      </c>
      <c r="AH532" s="26" t="n">
        <v>8</v>
      </c>
      <c r="AI532" s="26" t="n">
        <v>8</v>
      </c>
      <c r="AJ532" s="26" t="n">
        <v>2.6</v>
      </c>
      <c r="AK532" s="26" t="n">
        <v>3.9</v>
      </c>
      <c r="AL532" s="5" t="n">
        <v>33</v>
      </c>
      <c r="AM532" s="1" t="str">
        <f aca="false">CONCATENATE(VLOOKUP(AN532, 'Voxel Sizes'!$A$2:$B$18,2,FALSE()),"x",INT(AJ532*15), "x", INT(AK532*15))</f>
        <v>82x39x58</v>
      </c>
      <c r="AN532" s="26" t="n">
        <f aca="false">ROUND(15*((AI532*10)/256),0)</f>
        <v>5</v>
      </c>
      <c r="AP532" s="1" t="str">
        <f aca="false">CONCATENATE(VLOOKUP(AN532,Constants!$A$2:$C$16,IF(AO532&lt;&gt;"", 3, 2), FALSE()),IF(AO532&lt;&gt;"",CONCATENATE(",",VLOOKUP(AO532,$B:$AP,41,FALSE())),""))</f>
        <v>2,1,2</v>
      </c>
      <c r="AR532" s="6"/>
      <c r="AS532" s="6"/>
      <c r="AZ532" s="26" t="n">
        <v>30</v>
      </c>
      <c r="BA532" s="16" t="n">
        <f aca="false">IF(O532&lt;&gt;"",MAX(16,(O532-M532)+8),"")</f>
        <v>62</v>
      </c>
      <c r="BB532" s="26" t="n">
        <v>5</v>
      </c>
      <c r="BD532" s="26" t="n">
        <f aca="false">MIN(AE532/150, 1)*30</f>
        <v>10</v>
      </c>
      <c r="BE532" s="26" t="n">
        <f aca="false">MIN(Q532/4000, 1)*20</f>
        <v>0</v>
      </c>
      <c r="BF532" s="26" t="n">
        <f aca="false">MIN(AC532/400,1)*20</f>
        <v>0</v>
      </c>
      <c r="BG532" s="4" t="n">
        <f aca="false">1-(MAX(M532-1900, 0)/750)</f>
        <v>0.909333333333333</v>
      </c>
      <c r="BH532" s="26" t="n">
        <f aca="false">((MAX($P532,1)*MIN($AL532/300,1)))*IF(J532="Wagon",50,10)</f>
        <v>5.5</v>
      </c>
      <c r="BI532" s="1" t="n">
        <f aca="false">VLOOKUP($K532,Constants!$I:$K, 2, FALSE())</f>
        <v>1</v>
      </c>
      <c r="BJ532" s="1" t="n">
        <f aca="false">VLOOKUP($K532,Constants!$I:$K, 3, FALSE())*IF(AND(J532="multiple_unit",AE532&lt;110),0.75,1)</f>
        <v>0.45</v>
      </c>
      <c r="BK532" s="1" t="n">
        <f aca="false">INT(POWER(((Constants!$G$2+$BD532+$BE532+$BF532+$BH532)*$BG532)*$BJ532, 1.05))+$BC532</f>
        <v>9</v>
      </c>
      <c r="BL532" s="1" t="n">
        <f aca="false">INT(POWER((((Constants!$G$1+$BD532+$BE532+$BF532+$BH532)*($BG532))*$BI532),IF($J532="wagon",1,1.2)))+$BB532</f>
        <v>32</v>
      </c>
      <c r="BM532" s="17" t="n">
        <f aca="false">BK532*IF($J532="wagon",62.5,781.25)</f>
        <v>562.5</v>
      </c>
      <c r="BN532" s="17" t="n">
        <f aca="false">BL532*IF($J532="wagon",2.73,81.25)</f>
        <v>87.36</v>
      </c>
      <c r="BU532" s="1" t="str">
        <f aca="false">IF(J532="locomotive","B","")</f>
        <v/>
      </c>
      <c r="BV532" s="1" t="str">
        <f aca="false">IF(OR($J532="locomotive",$J532="wagon"),"B","")</f>
        <v>B</v>
      </c>
      <c r="BY532" s="26" t="n">
        <v>1</v>
      </c>
      <c r="BZ532" s="26" t="n">
        <v>185</v>
      </c>
      <c r="CB532" s="26" t="s">
        <v>1984</v>
      </c>
      <c r="CC532" s="26" t="s">
        <v>1989</v>
      </c>
      <c r="CD532" s="1" t="str">
        <f aca="false">VLOOKUP(M532,Eras!$A$2:$C$10, 2, TRUE())</f>
        <v>dsl</v>
      </c>
      <c r="CE532" s="26" t="s">
        <v>1935</v>
      </c>
      <c r="CF532" s="26" t="str">
        <f aca="false">CONCATENATE(CD532,"_",CE532)</f>
        <v>dsl_Tanker</v>
      </c>
      <c r="CG532" s="26" t="str">
        <f aca="false">_xlfn.CONCAT(K532, "_",L532)</f>
        <v>wagon_RAIL</v>
      </c>
      <c r="CH532" s="7" t="str">
        <f aca="false">_xlfn.CONCAT("{BLACK}Length: {GOLD}", TEXT(ROUNDUP(IF(AS532&lt;&gt;"",SUM(VALUE(_xlfn.TEXTSPLIT(AS532, ","))), SUM(VALUE(_xlfn.TEXTSPLIT(AP532, ",")))*IF(P532, P532, 1))/16, 1), "#,##0.0"), " tiles{}")</f>
        <v>{BLACK}Length: {GOLD}0.4 tiles{}</v>
      </c>
      <c r="CI532" s="1" t="str">
        <f aca="false">IF(0, VLOOKUP($CG532, Constants!$M:$N, 2, FALSE()),"")</f>
        <v/>
      </c>
      <c r="CJ532" s="1" t="str">
        <f aca="false">IF(P532&gt;1,_xlfn.CONCAT("{BLACK}Cars: {GOLD}", P532),"")</f>
        <v/>
      </c>
      <c r="CK532" s="26" t="s">
        <v>1993</v>
      </c>
      <c r="CL532" s="1" t="str">
        <f aca="false">IF($BX532="concept_trains","{GREEN}Concept Vehicle",IF($BX532="!param_no_gameplay_units","{GREEN}Included for gameplay purposes",""))</f>
        <v/>
      </c>
      <c r="CM532" s="26" t="str">
        <f aca="false">IF(CA532="buffet","{YELLOW}25% long distance bonus for consist{}",IF(CD532="BRAKE","{YELLOW}Speed bonus for slow wagons{}",IF(BZ532&gt;190,CONCATENATE("{YELLOW}",INT((BZ532-185)/1.85),"%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{GOLD}0.4 tiles{}{SILVER}The PCA tanker, with it’s notable depressed-center ‘vee’ appearance, could carry large amounts of cement and was a common sight in mixed freight trains.</v>
      </c>
      <c r="CO532" s="26" t="n">
        <v>1</v>
      </c>
      <c r="XFD532" s="1"/>
    </row>
    <row r="533" s="26" customFormat="true" ht="14.25" hidden="false" customHeight="false" outlineLevel="0" collapsed="false">
      <c r="A533" s="26" t="s">
        <v>1994</v>
      </c>
      <c r="B533" s="27" t="s">
        <v>1995</v>
      </c>
      <c r="C533" s="1" t="n">
        <v>3101</v>
      </c>
      <c r="E533" s="1" t="n">
        <v>1545</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26" t="s">
        <v>241</v>
      </c>
      <c r="J533" s="26" t="s">
        <v>1580</v>
      </c>
      <c r="K533" s="26" t="s">
        <v>1580</v>
      </c>
      <c r="L533" s="26" t="s">
        <v>192</v>
      </c>
      <c r="M533" s="26" t="n">
        <v>2007</v>
      </c>
      <c r="R533" s="2"/>
      <c r="S533" s="3"/>
      <c r="T533" s="3"/>
      <c r="U533" s="3"/>
      <c r="V533" s="3"/>
      <c r="W533" s="3"/>
      <c r="X533" s="3"/>
      <c r="Y533" s="3"/>
      <c r="Z533" s="26" t="n">
        <v>19.9</v>
      </c>
      <c r="AA533" s="2"/>
      <c r="AB533" s="26" t="n">
        <v>5</v>
      </c>
      <c r="AD533" s="4" t="str">
        <f aca="false">IF(AND(Z533&gt;0,AC533&gt;0),(AC533/((Z533+AA533)*10)),"")</f>
        <v/>
      </c>
      <c r="AE533" s="26" t="n">
        <v>75</v>
      </c>
      <c r="AF533" s="26" t="n">
        <f aca="false">ROUND(AE533*1.6, 0)</f>
        <v>120</v>
      </c>
      <c r="AH533" s="26" t="n">
        <v>16.2</v>
      </c>
      <c r="AI533" s="26" t="n">
        <v>17</v>
      </c>
      <c r="AJ533" s="26" t="n">
        <v>2.7</v>
      </c>
      <c r="AK533" s="26" t="n">
        <v>3.8</v>
      </c>
      <c r="AL533" s="5" t="n">
        <v>80</v>
      </c>
      <c r="AM533" s="1" t="str">
        <f aca="false">CONCATENATE(VLOOKUP(AN533, 'Voxel Sizes'!$A$2:$B$18,2,FALSE()),"x",INT(AJ533*15), "x", INT(AK533*15))</f>
        <v>164x40x57</v>
      </c>
      <c r="AN533" s="26" t="n">
        <f aca="false">ROUND(15*((AI533*10)/256),0)</f>
        <v>10</v>
      </c>
      <c r="AP533" s="1" t="str">
        <f aca="false">CONCATENATE(VLOOKUP(AN533,Constants!$A$2:$C$16,IF(AO533&lt;&gt;"", 3, 2), FALSE()),IF(AO533&lt;&gt;"",CONCATENATE(",",VLOOKUP(AO533,$B:$AP,41,FALSE())),""))</f>
        <v>4,2,4</v>
      </c>
      <c r="AR533" s="6"/>
      <c r="AS533" s="6"/>
      <c r="AZ533" s="26" t="n">
        <v>30</v>
      </c>
      <c r="BA533" s="16" t="str">
        <f aca="false">IF(O533&lt;&gt;"",MAX(16,(O533-M533)+8),"")</f>
        <v/>
      </c>
      <c r="BD533" s="26" t="n">
        <f aca="false">MIN(AE533/150, 1)*30</f>
        <v>15</v>
      </c>
      <c r="BE533" s="26" t="n">
        <f aca="false">MIN(Q533/4000, 1)*20</f>
        <v>0</v>
      </c>
      <c r="BF533" s="26" t="n">
        <f aca="false">MIN(AC533/400,1)*20</f>
        <v>0</v>
      </c>
      <c r="BG533" s="4" t="n">
        <f aca="false">1-(MAX(M533-1900, 0)/750)</f>
        <v>0.857333333333333</v>
      </c>
      <c r="BH533" s="26" t="n">
        <f aca="false">((MAX($P533,1)*MIN($AL533/300,1)))*IF(J533="Wagon",50,10)</f>
        <v>13.3333333333333</v>
      </c>
      <c r="BI533" s="1" t="n">
        <f aca="false">VLOOKUP($K533,Constants!$I:$K, 2, FALSE())</f>
        <v>1</v>
      </c>
      <c r="BJ533" s="1" t="n">
        <f aca="false">VLOOKUP($K533,Constants!$I:$K, 3, FALSE())*IF(AND(J533="multiple_unit",AE533&lt;110),0.75,1)</f>
        <v>0.45</v>
      </c>
      <c r="BK533" s="1" t="n">
        <f aca="false">INT(POWER(((Constants!$G$2+$BD533+$BE533+$BF533+$BH533)*$BG533)*$BJ533, 1.05))+$BC533</f>
        <v>14</v>
      </c>
      <c r="BL533" s="1" t="n">
        <f aca="false">INT(POWER((((Constants!$G$1+$BD533+$BE533+$BF533+$BH533)*($BG533))*$BI533),IF($J533="wagon",1,1.2)))+$BB533</f>
        <v>37</v>
      </c>
      <c r="BM533" s="17" t="n">
        <f aca="false">BK533*IF($J533="wagon",62.5,781.25)</f>
        <v>875</v>
      </c>
      <c r="BN533" s="17" t="n">
        <f aca="false">BL533*IF($J533="wagon",2.73,81.25)</f>
        <v>101.01</v>
      </c>
      <c r="BU533" s="1" t="str">
        <f aca="false">IF(J533="locomotive","B","")</f>
        <v/>
      </c>
      <c r="BV533" s="1" t="str">
        <f aca="false">IF(OR($J533="locomotive",$J533="wagon"),"B","")</f>
        <v>B</v>
      </c>
      <c r="BY533" s="26" t="n">
        <v>1</v>
      </c>
      <c r="BZ533" s="26" t="n">
        <v>185</v>
      </c>
      <c r="CB533" s="26" t="s">
        <v>1952</v>
      </c>
      <c r="CC533" s="26" t="s">
        <v>1989</v>
      </c>
      <c r="CD533" s="1" t="str">
        <f aca="false">VLOOKUP(M533,Eras!$A$2:$C$10, 2, TRUE())</f>
        <v>mod</v>
      </c>
      <c r="CE533" s="26" t="s">
        <v>1935</v>
      </c>
      <c r="CF533" s="26" t="str">
        <f aca="false">CONCATENATE(CD533,"_",CE533)</f>
        <v>mod_Tanker</v>
      </c>
      <c r="CG533" s="26" t="str">
        <f aca="false">_xlfn.CONCAT(K533, "_",L533)</f>
        <v>wagon_RAIL</v>
      </c>
      <c r="CH533" s="7" t="str">
        <f aca="false">_xlfn.CONCAT("{BLACK}Length: {GOLD}", TEXT(ROUNDUP(IF(AS533&lt;&gt;"",SUM(VALUE(_xlfn.TEXTSPLIT(AS533, ","))), SUM(VALUE(_xlfn.TEXTSPLIT(AP533, ",")))*IF(P533, P533, 1))/16, 1), "#,##0.0"), " tiles{}")</f>
        <v>{BLACK}Length: {GOLD}0.7 tiles{}</v>
      </c>
      <c r="CI533" s="1" t="str">
        <f aca="false">IF(0, VLOOKUP($CG533, Constants!$M:$N, 2, FALSE()),"")</f>
        <v/>
      </c>
      <c r="CJ533" s="1" t="str">
        <f aca="false">IF(P533&gt;1,_xlfn.CONCAT("{BLACK}Cars: {GOLD}", P533),"")</f>
        <v/>
      </c>
      <c r="CK533" s="26" t="s">
        <v>1996</v>
      </c>
      <c r="CL533" s="1" t="str">
        <f aca="false">IF($BX533="concept_trains","{GREEN}Concept Vehicle",IF($BX533="!param_no_gameplay_units","{GREEN}Included for gameplay purposes",""))</f>
        <v/>
      </c>
      <c r="CM533" s="26" t="str">
        <f aca="false">IF(CA533="buffet","{YELLOW}25% long distance bonus for consist{}",IF(CD533="BRAKE","{YELLOW}Speed bonus for slow wagons{}",IF(BZ533&gt;190,CONCATENATE("{YELLOW}",INT((BZ533-185)/1.85),"%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{GOLD}0.7 tiles{}{SILVER}By the 2000s the BR-era 2-axle cement tankers then in use were beginning to show their age. They were replaced by these large bogie tank wagons built in Germany, with a distinctive fish-belly shape.</v>
      </c>
      <c r="XFD533" s="1"/>
    </row>
    <row r="534" customFormat="false" ht="14.25" hidden="false" customHeight="false" outlineLevel="0" collapsed="false">
      <c r="A534" s="1" t="s">
        <v>1997</v>
      </c>
      <c r="B534" s="15" t="s">
        <v>1998</v>
      </c>
      <c r="C534" s="1" t="n">
        <v>84</v>
      </c>
      <c r="E534" s="1" t="n">
        <v>1546</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241</v>
      </c>
      <c r="J534" s="1" t="s">
        <v>1580</v>
      </c>
      <c r="K534" s="1" t="s">
        <v>1580</v>
      </c>
      <c r="L534" s="1" t="s">
        <v>243</v>
      </c>
      <c r="M534" s="1" t="n">
        <v>1700</v>
      </c>
      <c r="O534" s="1" t="n">
        <v>1875</v>
      </c>
      <c r="Z534" s="1" t="n">
        <v>3</v>
      </c>
      <c r="AB534" s="1" t="n">
        <v>2</v>
      </c>
      <c r="AD534" s="4" t="str">
        <f aca="false">IF(AND(Z534&gt;0,AC534&gt;0),(AC534/((Z534+AA534)*10)),"")</f>
        <v/>
      </c>
      <c r="AE534" s="1" t="n">
        <v>35</v>
      </c>
      <c r="AF534" s="1" t="n">
        <f aca="false">ROUND(AE534*1.6, 0)</f>
        <v>56</v>
      </c>
      <c r="AH534" s="1" t="n">
        <v>6</v>
      </c>
      <c r="AI534" s="1" t="n">
        <v>6</v>
      </c>
      <c r="AL534" s="5" t="n">
        <v>15</v>
      </c>
      <c r="AM534" s="1" t="str">
        <f aca="false">CONCATENATE(VLOOKUP(AN534, 'Voxel Sizes'!$A$2:$B$18,2,FALSE()),"x",INT(AJ534*15), "x", INT(AK534*15))</f>
        <v>60x0x0</v>
      </c>
      <c r="AN534" s="1" t="n">
        <f aca="false">ROUND(15*((AI534*10)/256),0)</f>
        <v>4</v>
      </c>
      <c r="AP534" s="1" t="str">
        <f aca="false">CONCATENATE(VLOOKUP(AN534,Constants!$A$2:$C$16,IF(AO534&lt;&gt;"", 3, 2), FALSE()),IF(AO534&lt;&gt;"",CONCATENATE(",",VLOOKUP(AO534,$B:$AP,41,FALSE())),""))</f>
        <v>1,2,1</v>
      </c>
      <c r="AZ534" s="1" t="n">
        <v>30</v>
      </c>
      <c r="BA534" s="16" t="n">
        <f aca="false">IF(O534&lt;&gt;"",MAX(16,(O534-M534)+8),"")</f>
        <v>183</v>
      </c>
      <c r="BB534" s="1" t="n">
        <v>-15</v>
      </c>
      <c r="BC534" s="1" t="n">
        <v>-2</v>
      </c>
      <c r="BD534" s="1" t="n">
        <f aca="false">MIN(AE534/150, 1)*30</f>
        <v>7</v>
      </c>
      <c r="BE534" s="1" t="n">
        <f aca="false">MIN(Q534/4000, 1)*20</f>
        <v>0</v>
      </c>
      <c r="BF534" s="1" t="n">
        <f aca="false">MIN(AC534/400,1)*20</f>
        <v>0</v>
      </c>
      <c r="BG534" s="4" t="n">
        <f aca="false">1-(MAX(M534-1900, 0)/750)</f>
        <v>1</v>
      </c>
      <c r="BH534" s="1" t="n">
        <f aca="false">((MAX($P534,1)*MIN($AL534/300,1)))*IF(J534="Wagon",50,10)</f>
        <v>2.5</v>
      </c>
      <c r="BI534" s="1" t="n">
        <f aca="false">VLOOKUP($K534,Constants!$I:$K, 2, FALSE())</f>
        <v>1</v>
      </c>
      <c r="BJ534" s="1" t="n">
        <f aca="false">VLOOKUP($K534,Constants!$I:$K, 3, FALSE())*IF(AND(J534="multiple_unit",AE534&lt;110),0.75,1)</f>
        <v>0.45</v>
      </c>
      <c r="BK534" s="1" t="n">
        <f aca="false">INT(POWER(((Constants!$G$2+$BD534+$BE534+$BF534+$BH534)*$BG534)*$BJ534, 1.05))+$BC534</f>
        <v>5</v>
      </c>
      <c r="BL534" s="1" t="n">
        <f aca="false">INT(POWER((((Constants!$G$1+$BD534+$BE534+$BF534+$BH534)*($BG534))*$BI534),IF($J534="wagon",1,1.2)))+$BB534</f>
        <v>9</v>
      </c>
      <c r="BM534" s="17" t="n">
        <f aca="false">BK534*IF($J534="wagon",62.5,781.25)</f>
        <v>312.5</v>
      </c>
      <c r="BN534" s="17" t="n">
        <f aca="false">BL534*IF($J534="wagon",2.73,81.25)</f>
        <v>24.57</v>
      </c>
      <c r="BU534" s="1" t="str">
        <f aca="false">IF(J534="locomotive","B","")</f>
        <v/>
      </c>
      <c r="BV534" s="1" t="str">
        <f aca="false">IF(OR($J534="locomotive",$J534="wagon"),"B","")</f>
        <v>B</v>
      </c>
      <c r="BY534" s="1" t="n">
        <v>1</v>
      </c>
      <c r="BZ534" s="1" t="n">
        <v>185</v>
      </c>
      <c r="CB534" s="1" t="s">
        <v>1968</v>
      </c>
      <c r="CC534" s="1" t="s">
        <v>1464</v>
      </c>
      <c r="CD534" s="1" t="str">
        <f aca="false">VLOOKUP(M534,Eras!$A$2:$C$10, 2, TRUE())</f>
        <v>early</v>
      </c>
      <c r="CE534" s="1" t="s">
        <v>1968</v>
      </c>
      <c r="CF534" s="1" t="str">
        <f aca="false">CONCATENATE(CD534,"_",CE534)</f>
        <v>early_Van</v>
      </c>
      <c r="CG534" s="1" t="str">
        <f aca="false">_xlfn.CONCAT(K534, "_",L534)</f>
        <v>wagon_PLATEWAY</v>
      </c>
      <c r="CH534" s="7" t="str">
        <f aca="false">_xlfn.CONCAT("{BLACK}Length: {GOLD}", TEXT(ROUNDUP(IF(AS534&lt;&gt;"",SUM(VALUE(_xlfn.TEXTSPLIT(AS534, ","))), SUM(VALUE(_xlfn.TEXTSPLIT(AP534, ",")))*IF(P534, P534, 1))/16, 1), "#,##0.0"), " tiles{}")</f>
        <v>{BLACK}Length: {GOLD}0.3 tiles{}</v>
      </c>
      <c r="CI534" s="1" t="str">
        <f aca="false">IF(0, VLOOKUP($CG534, Constants!$M:$N, 2, FALSE()),"")</f>
        <v/>
      </c>
      <c r="CJ534" s="1" t="str">
        <f aca="false">IF(P534&gt;1,_xlfn.CONCAT("{BLACK}Cars: {GOLD}", P534),"")</f>
        <v/>
      </c>
      <c r="CK534" s="1" t="s">
        <v>1999</v>
      </c>
      <c r="CL534" s="1" t="str">
        <f aca="false">IF($BX534="concept_trains","{GREEN}Concept Vehicle",IF($BX534="!param_no_gameplay_units","{GREEN}Included for gameplay purposes",""))</f>
        <v/>
      </c>
      <c r="CM534" s="1" t="str">
        <f aca="false">IF(CA534="buffet","{YELLOW}25% long distance bonus for consist{}",IF(CC534="BRAKE","{YELLOW}Speed bonus for slow wagons{}",IF(BZ534&gt;190,CONCATENATE("{YELLOW}",INT((BZ534-185)/1.85),"%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tiles{}{SILVER}Simple canvas-covered wagons were some of the earliest vehicles for moving piece goods which needed to be sheltered from the elements.</v>
      </c>
    </row>
    <row r="535" customFormat="false" ht="14.25" hidden="false" customHeight="false" outlineLevel="0" collapsed="false">
      <c r="A535" s="1" t="s">
        <v>2000</v>
      </c>
      <c r="B535" s="15" t="s">
        <v>2001</v>
      </c>
      <c r="C535" s="1" t="n">
        <v>85</v>
      </c>
      <c r="E535" s="1" t="n">
        <v>1547</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241</v>
      </c>
      <c r="J535" s="1" t="s">
        <v>1580</v>
      </c>
      <c r="K535" s="1" t="s">
        <v>1580</v>
      </c>
      <c r="L535" s="1" t="s">
        <v>192</v>
      </c>
      <c r="M535" s="1" t="n">
        <v>1850</v>
      </c>
      <c r="O535" s="1" t="n">
        <v>1930</v>
      </c>
      <c r="Z535" s="1" t="n">
        <v>6</v>
      </c>
      <c r="AB535" s="1" t="n">
        <v>3</v>
      </c>
      <c r="AD535" s="4" t="str">
        <f aca="false">IF(AND(Z535&gt;0,AC535&gt;0),(AC535/((Z535+AA535)*10)),"")</f>
        <v/>
      </c>
      <c r="AE535" s="1" t="n">
        <v>45</v>
      </c>
      <c r="AF535" s="1" t="n">
        <f aca="false">ROUND(AE535*1.6, 0)</f>
        <v>72</v>
      </c>
      <c r="AH535" s="1" t="n">
        <v>6</v>
      </c>
      <c r="AI535" s="1" t="n">
        <v>6</v>
      </c>
      <c r="AL535" s="5" t="n">
        <v>18</v>
      </c>
      <c r="AM535" s="1" t="str">
        <f aca="false">CONCATENATE(VLOOKUP(AN535, 'Voxel Sizes'!$A$2:$B$18,2,FALSE()),"x",INT(AJ535*15), "x", INT(AK535*15))</f>
        <v>60x0x0</v>
      </c>
      <c r="AN535" s="1" t="n">
        <f aca="false">ROUND(15*((AI535*10)/256),0)</f>
        <v>4</v>
      </c>
      <c r="AP535" s="1" t="str">
        <f aca="false">CONCATENATE(VLOOKUP(AN535,Constants!$A$2:$C$16,IF(AO535&lt;&gt;"", 3, 2), FALSE()),IF(AO535&lt;&gt;"",CONCATENATE(",",VLOOKUP(AO535,$B:$AP,41,FALSE())),""))</f>
        <v>1,2,1</v>
      </c>
      <c r="AZ535" s="1" t="n">
        <v>30</v>
      </c>
      <c r="BA535" s="16" t="n">
        <f aca="false">IF(O535&lt;&gt;"",MAX(16,(O535-M535)+8),"")</f>
        <v>88</v>
      </c>
      <c r="BD535" s="1" t="n">
        <f aca="false">MIN(AE535/150, 1)*30</f>
        <v>9</v>
      </c>
      <c r="BE535" s="1" t="n">
        <f aca="false">MIN(Q535/4000, 1)*20</f>
        <v>0</v>
      </c>
      <c r="BF535" s="1" t="n">
        <f aca="false">MIN(AC535/400,1)*20</f>
        <v>0</v>
      </c>
      <c r="BG535" s="4" t="n">
        <f aca="false">1-(MAX(M535-1900, 0)/750)</f>
        <v>1</v>
      </c>
      <c r="BH535" s="1" t="n">
        <f aca="false">((MAX($P535,1)*MIN($AL535/300,1)))*IF(J535="Wagon",50,10)</f>
        <v>3</v>
      </c>
      <c r="BI535" s="1" t="n">
        <f aca="false">VLOOKUP($K535,Constants!$I:$K, 2, FALSE())</f>
        <v>1</v>
      </c>
      <c r="BJ535" s="1" t="n">
        <f aca="false">VLOOKUP($K535,Constants!$I:$K, 3, FALSE())*IF(AND(J535="multiple_unit",AE535&lt;110),0.75,1)</f>
        <v>0.45</v>
      </c>
      <c r="BK535" s="1" t="n">
        <f aca="false">INT(POWER(((Constants!$G$2+$BD535+$BE535+$BF535+$BH535)*$BG535)*$BJ535, 1.05))+$BC535</f>
        <v>8</v>
      </c>
      <c r="BL535" s="1" t="n">
        <f aca="false">INT(POWER((((Constants!$G$1+$BD535+$BE535+$BF535+$BH535)*($BG535))*$BI535),IF($J535="wagon",1,1.2)))+$BB535</f>
        <v>27</v>
      </c>
      <c r="BM535" s="17" t="n">
        <f aca="false">BK535*IF($J535="wagon",62.5,781.25)</f>
        <v>500</v>
      </c>
      <c r="BN535" s="17" t="n">
        <f aca="false">BL535*IF($J535="wagon",2.73,81.25)</f>
        <v>73.71</v>
      </c>
      <c r="BU535" s="1" t="str">
        <f aca="false">IF(J535="locomotive","B","")</f>
        <v/>
      </c>
      <c r="BV535" s="1" t="str">
        <f aca="false">IF(OR($J535="locomotive",$J535="wagon"),"B","")</f>
        <v>B</v>
      </c>
      <c r="BY535" s="1" t="n">
        <v>1</v>
      </c>
      <c r="BZ535" s="1" t="n">
        <v>185</v>
      </c>
      <c r="CB535" s="1" t="s">
        <v>1968</v>
      </c>
      <c r="CC535" s="1" t="s">
        <v>1464</v>
      </c>
      <c r="CD535" s="1" t="str">
        <f aca="false">VLOOKUP(M535,Eras!$A$2:$C$10, 2, TRUE())</f>
        <v>vct</v>
      </c>
      <c r="CE535" s="1" t="s">
        <v>1968</v>
      </c>
      <c r="CF535" s="1" t="str">
        <f aca="false">CONCATENATE(CD535,"_",CE535)</f>
        <v>vct_Van</v>
      </c>
      <c r="CG535" s="1" t="str">
        <f aca="false">_xlfn.CONCAT(K535, "_",L535)</f>
        <v>wagon_RAIL</v>
      </c>
      <c r="CH535" s="7" t="str">
        <f aca="false">_xlfn.CONCAT("{BLACK}Length: {GOLD}", TEXT(ROUNDUP(IF(AS535&lt;&gt;"",SUM(VALUE(_xlfn.TEXTSPLIT(AS535, ","))), SUM(VALUE(_xlfn.TEXTSPLIT(AP535, ",")))*IF(P535, P535, 1))/16, 1), "#,##0.0"), " tiles{}")</f>
        <v>{BLACK}Length: {GOLD}0.3 tiles{}</v>
      </c>
      <c r="CI535" s="1" t="str">
        <f aca="false">IF(0, VLOOKUP($CG535, Constants!$M:$N, 2, FALSE()),"")</f>
        <v/>
      </c>
      <c r="CJ535" s="1" t="str">
        <f aca="false">IF(P535&gt;1,_xlfn.CONCAT("{BLACK}Cars: {GOLD}", P535),"")</f>
        <v/>
      </c>
      <c r="CK535" s="1" t="s">
        <v>2002</v>
      </c>
      <c r="CL535" s="1" t="str">
        <f aca="false">IF($BX535="concept_trains","{GREEN}Concept Vehicle",IF($BX535="!param_no_gameplay_units","{GREEN}Included for gameplay purposes",""))</f>
        <v/>
      </c>
      <c r="CM535" s="1" t="str">
        <f aca="false">IF(CA535="buffet","{YELLOW}25% long distance bonus for consist{}",IF(CC535="BRAKE","{YELLOW}Speed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tiles{}{SILVER}Piece goods were an important source of revenue for early railways, with most building large quantities of covered vans.</v>
      </c>
    </row>
    <row r="536" customFormat="false" ht="14.25" hidden="false" customHeight="false" outlineLevel="0" collapsed="false">
      <c r="A536" s="1" t="s">
        <v>2003</v>
      </c>
      <c r="B536" s="15" t="s">
        <v>2004</v>
      </c>
      <c r="C536" s="1" t="n">
        <v>86</v>
      </c>
      <c r="E536" s="1" t="n">
        <v>1548</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241</v>
      </c>
      <c r="J536" s="1" t="s">
        <v>1580</v>
      </c>
      <c r="K536" s="1" t="s">
        <v>1580</v>
      </c>
      <c r="L536" s="1" t="s">
        <v>192</v>
      </c>
      <c r="M536" s="1" t="n">
        <v>1902</v>
      </c>
      <c r="O536" s="1" t="n">
        <v>1960</v>
      </c>
      <c r="Z536" s="1" t="n">
        <v>7</v>
      </c>
      <c r="AB536" s="1" t="n">
        <v>3</v>
      </c>
      <c r="AD536" s="4" t="str">
        <f aca="false">IF(AND(Z536&gt;0,AC536&gt;0),(AC536/((Z536+AA536)*10)),"")</f>
        <v/>
      </c>
      <c r="AE536" s="1" t="n">
        <v>50</v>
      </c>
      <c r="AF536" s="1" t="n">
        <f aca="false">ROUND(AE536*1.6, 0)</f>
        <v>80</v>
      </c>
      <c r="AH536" s="1" t="n">
        <v>8</v>
      </c>
      <c r="AI536" s="1" t="n">
        <v>8</v>
      </c>
      <c r="AL536" s="5" t="n">
        <v>24</v>
      </c>
      <c r="AM536" s="1" t="str">
        <f aca="false">CONCATENATE(VLOOKUP(AN536, 'Voxel Sizes'!$A$2:$B$18,2,FALSE()),"x",INT(AJ536*15), "x", INT(AK536*15))</f>
        <v>82x0x0</v>
      </c>
      <c r="AN536" s="1" t="n">
        <f aca="false">ROUND(15*((AI536*10)/256),0)</f>
        <v>5</v>
      </c>
      <c r="AP536" s="1" t="str">
        <f aca="false">CONCATENATE(VLOOKUP(AN536,Constants!$A$2:$C$16,IF(AO536&lt;&gt;"", 3, 2), FALSE()),IF(AO536&lt;&gt;"",CONCATENATE(",",VLOOKUP(AO536,$B:$AP,41,FALSE())),""))</f>
        <v>2,1,2</v>
      </c>
      <c r="AZ536" s="1" t="n">
        <v>30</v>
      </c>
      <c r="BA536" s="16" t="n">
        <f aca="false">IF(O536&lt;&gt;"",MAX(16,(O536-M536)+8),"")</f>
        <v>66</v>
      </c>
      <c r="BD536" s="1" t="n">
        <f aca="false">MIN(AE536/150, 1)*30</f>
        <v>10</v>
      </c>
      <c r="BE536" s="1" t="n">
        <f aca="false">MIN(Q536/4000, 1)*20</f>
        <v>0</v>
      </c>
      <c r="BF536" s="1" t="n">
        <f aca="false">MIN(AC536/400,1)*20</f>
        <v>0</v>
      </c>
      <c r="BG536" s="4" t="n">
        <f aca="false">1-(MAX(M536-1900, 0)/750)</f>
        <v>0.997333333333333</v>
      </c>
      <c r="BH536" s="1" t="n">
        <f aca="false">((MAX($P536,1)*MIN($AL536/300,1)))*IF(J536="Wagon",50,10)</f>
        <v>4</v>
      </c>
      <c r="BI536" s="1" t="n">
        <f aca="false">VLOOKUP($K536,Constants!$I:$K, 2, FALSE())</f>
        <v>1</v>
      </c>
      <c r="BJ536" s="1" t="n">
        <f aca="false">VLOOKUP($K536,Constants!$I:$K, 3, FALSE())*IF(AND(J536="multiple_unit",AE536&lt;110),0.75,1)</f>
        <v>0.45</v>
      </c>
      <c r="BK536" s="1" t="n">
        <f aca="false">INT(POWER(((Constants!$G$2+$BD536+$BE536+$BF536+$BH536)*$BG536)*$BJ536, 1.05))+$BC536</f>
        <v>9</v>
      </c>
      <c r="BL536" s="1" t="n">
        <f aca="false">INT(POWER((((Constants!$G$1+$BD536+$BE536+$BF536+$BH536)*($BG536))*$BI536),IF($J536="wagon",1,1.2)))+$BB536</f>
        <v>28</v>
      </c>
      <c r="BM536" s="17" t="n">
        <f aca="false">BK536*IF($J536="wagon",62.5,781.25)</f>
        <v>562.5</v>
      </c>
      <c r="BN536" s="17" t="n">
        <f aca="false">BL536*IF($J536="wagon",2.73,81.25)</f>
        <v>76.44</v>
      </c>
      <c r="BU536" s="1" t="str">
        <f aca="false">IF(J536="locomotive","B","")</f>
        <v/>
      </c>
      <c r="BV536" s="1" t="str">
        <f aca="false">IF(OR($J536="locomotive",$J536="wagon"),"B","")</f>
        <v>B</v>
      </c>
      <c r="BY536" s="1" t="n">
        <v>1</v>
      </c>
      <c r="BZ536" s="1" t="n">
        <v>185</v>
      </c>
      <c r="CB536" s="1" t="s">
        <v>1968</v>
      </c>
      <c r="CC536" s="1" t="s">
        <v>1464</v>
      </c>
      <c r="CD536" s="1" t="str">
        <f aca="false">VLOOKUP(M536,Eras!$A$2:$C$10, 2, TRUE())</f>
        <v>edw</v>
      </c>
      <c r="CE536" s="1" t="s">
        <v>1968</v>
      </c>
      <c r="CF536" s="1" t="str">
        <f aca="false">CONCATENATE(CD536,"_",CE536)</f>
        <v>edw_Van</v>
      </c>
      <c r="CG536" s="1" t="str">
        <f aca="false">_xlfn.CONCAT(K536, "_",L536)</f>
        <v>wagon_RAIL</v>
      </c>
      <c r="CH536" s="7" t="str">
        <f aca="false">_xlfn.CONCAT("{BLACK}Length: {GOLD}", TEXT(ROUNDUP(IF(AS536&lt;&gt;"",SUM(VALUE(_xlfn.TEXTSPLIT(AS536, ","))), SUM(VALUE(_xlfn.TEXTSPLIT(AP536, ",")))*IF(P536, P536, 1))/16, 1), "#,##0.0"), " tiles{}")</f>
        <v>{BLACK}Length: {GOLD}0.4 tiles{}</v>
      </c>
      <c r="CI536" s="1" t="str">
        <f aca="false">IF(0, VLOOKUP($CG536, Constants!$M:$N, 2, FALSE()),"")</f>
        <v/>
      </c>
      <c r="CJ536" s="1" t="str">
        <f aca="false">IF(P536&gt;1,_xlfn.CONCAT("{BLACK}Cars: {GOLD}", P536),"")</f>
        <v/>
      </c>
      <c r="CK536" s="1" t="s">
        <v>2005</v>
      </c>
      <c r="CL536" s="1" t="str">
        <f aca="false">IF($BX536="concept_trains","{GREEN}Concept Vehicle",IF($BX536="!param_no_gameplay_units","{GREEN}Included for gameplay purposes",""))</f>
        <v/>
      </c>
      <c r="CM536" s="1" t="str">
        <f aca="false">IF(CA536="buffet","{YELLOW}25% long distance bonus for consist{}",IF(CC536="BRAKE","{YELLOW}Speed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{GOLD}0.4 tiles{}{SILVER}This goods van uses an iron frame with a wooden body, making it stronger than earlier wooden-framed vans.</v>
      </c>
    </row>
    <row r="537" customFormat="false" ht="14.25" hidden="false" customHeight="false" outlineLevel="0" collapsed="false">
      <c r="A537" s="1" t="s">
        <v>2006</v>
      </c>
      <c r="B537" s="15" t="s">
        <v>2007</v>
      </c>
      <c r="C537" s="1" t="n">
        <v>87</v>
      </c>
      <c r="E537" s="1" t="n">
        <v>1549</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241</v>
      </c>
      <c r="J537" s="1" t="s">
        <v>1580</v>
      </c>
      <c r="K537" s="1" t="s">
        <v>1580</v>
      </c>
      <c r="L537" s="1" t="s">
        <v>192</v>
      </c>
      <c r="M537" s="1" t="n">
        <v>1932</v>
      </c>
      <c r="O537" s="1" t="n">
        <v>1970</v>
      </c>
      <c r="Z537" s="1" t="n">
        <v>8</v>
      </c>
      <c r="AB537" s="1" t="n">
        <v>3</v>
      </c>
      <c r="AD537" s="4" t="str">
        <f aca="false">IF(AND(Z537&gt;0,AC537&gt;0),(AC537/((Z537+AA537)*10)),"")</f>
        <v/>
      </c>
      <c r="AE537" s="1" t="n">
        <v>60</v>
      </c>
      <c r="AF537" s="1" t="n">
        <f aca="false">ROUND(AE537*1.6, 0)</f>
        <v>96</v>
      </c>
      <c r="AH537" s="1" t="n">
        <v>8</v>
      </c>
      <c r="AI537" s="1" t="n">
        <v>8</v>
      </c>
      <c r="AL537" s="5" t="n">
        <v>27</v>
      </c>
      <c r="AM537" s="1" t="str">
        <f aca="false">CONCATENATE(VLOOKUP(AN537, 'Voxel Sizes'!$A$2:$B$18,2,FALSE()),"x",INT(AJ537*15), "x", INT(AK537*15))</f>
        <v>82x0x0</v>
      </c>
      <c r="AN537" s="1" t="n">
        <f aca="false">ROUND(15*((AI537*10)/256),0)</f>
        <v>5</v>
      </c>
      <c r="AP537" s="1" t="str">
        <f aca="false">CONCATENATE(VLOOKUP(AN537,Constants!$A$2:$C$16,IF(AO537&lt;&gt;"", 3, 2), FALSE()),IF(AO537&lt;&gt;"",CONCATENATE(",",VLOOKUP(AO537,$B:$AP,41,FALSE())),""))</f>
        <v>2,1,2</v>
      </c>
      <c r="AZ537" s="1" t="n">
        <v>30</v>
      </c>
      <c r="BA537" s="16" t="n">
        <f aca="false">IF(O537&lt;&gt;"",MAX(16,(O537-M537)+8),"")</f>
        <v>46</v>
      </c>
      <c r="BD537" s="1" t="n">
        <f aca="false">MIN(AE537/150, 1)*30</f>
        <v>12</v>
      </c>
      <c r="BE537" s="1" t="n">
        <f aca="false">MIN(Q537/4000, 1)*20</f>
        <v>0</v>
      </c>
      <c r="BF537" s="1" t="n">
        <f aca="false">MIN(AC537/400,1)*20</f>
        <v>0</v>
      </c>
      <c r="BG537" s="4" t="n">
        <f aca="false">1-(MAX(M537-1900, 0)/750)</f>
        <v>0.957333333333333</v>
      </c>
      <c r="BH537" s="1" t="n">
        <f aca="false">((MAX($P537,1)*MIN($AL537/300,1)))*IF(J537="Wagon",50,10)</f>
        <v>4.5</v>
      </c>
      <c r="BI537" s="1" t="n">
        <f aca="false">VLOOKUP($K537,Constants!$I:$K, 2, FALSE())</f>
        <v>1</v>
      </c>
      <c r="BJ537" s="1" t="n">
        <f aca="false">VLOOKUP($K537,Constants!$I:$K, 3, FALSE())*IF(AND(J537="multiple_unit",AE537&lt;110),0.75,1)</f>
        <v>0.45</v>
      </c>
      <c r="BK537" s="1" t="n">
        <f aca="false">INT(POWER(((Constants!$G$2+$BD537+$BE537+$BF537+$BH537)*$BG537)*$BJ537, 1.05))+$BC537</f>
        <v>10</v>
      </c>
      <c r="BL537" s="1" t="n">
        <f aca="false">INT(POWER((((Constants!$G$1+$BD537+$BE537+$BF537+$BH537)*($BG537))*$BI537),IF($J537="wagon",1,1.2)))+$BB537</f>
        <v>30</v>
      </c>
      <c r="BM537" s="17" t="n">
        <f aca="false">BK537*IF($J537="wagon",62.5,781.25)</f>
        <v>625</v>
      </c>
      <c r="BN537" s="17" t="n">
        <f aca="false">BL537*IF($J537="wagon",2.73,81.25)</f>
        <v>81.9</v>
      </c>
      <c r="BU537" s="1" t="str">
        <f aca="false">IF(J537="locomotive","B","")</f>
        <v/>
      </c>
      <c r="BV537" s="1" t="str">
        <f aca="false">IF(OR($J537="locomotive",$J537="wagon"),"B","")</f>
        <v>B</v>
      </c>
      <c r="BY537" s="1" t="n">
        <v>1</v>
      </c>
      <c r="BZ537" s="1" t="n">
        <v>185</v>
      </c>
      <c r="CB537" s="1" t="s">
        <v>1968</v>
      </c>
      <c r="CC537" s="1" t="s">
        <v>1464</v>
      </c>
      <c r="CD537" s="1" t="str">
        <f aca="false">VLOOKUP(M537,Eras!$A$2:$C$10, 2, TRUE())</f>
        <v>big4</v>
      </c>
      <c r="CE537" s="1" t="s">
        <v>1968</v>
      </c>
      <c r="CF537" s="1" t="str">
        <f aca="false">CONCATENATE(CD537,"_",CE537)</f>
        <v>big4_Van</v>
      </c>
      <c r="CG537" s="1" t="str">
        <f aca="false">_xlfn.CONCAT(K537, "_",L537)</f>
        <v>wagon_RAIL</v>
      </c>
      <c r="CH537" s="7" t="str">
        <f aca="false">_xlfn.CONCAT("{BLACK}Length: {GOLD}", TEXT(ROUNDUP(IF(AS537&lt;&gt;"",SUM(VALUE(_xlfn.TEXTSPLIT(AS537, ","))), SUM(VALUE(_xlfn.TEXTSPLIT(AP537, ",")))*IF(P537, P537, 1))/16, 1), "#,##0.0"), " tiles{}")</f>
        <v>{BLACK}Length: {GOLD}0.4 tiles{}</v>
      </c>
      <c r="CI537" s="1" t="str">
        <f aca="false">IF(0, VLOOKUP($CG537, Constants!$M:$N, 2, FALSE()),"")</f>
        <v/>
      </c>
      <c r="CJ537" s="1" t="str">
        <f aca="false">IF(P537&gt;1,_xlfn.CONCAT("{BLACK}Cars: {GOLD}", P537),"")</f>
        <v/>
      </c>
      <c r="CK537" s="1" t="s">
        <v>2008</v>
      </c>
      <c r="CL537" s="1" t="str">
        <f aca="false">IF($BX537="concept_trains","{GREEN}Concept Vehicle",IF($BX537="!param_no_gameplay_units","{GREEN}Included for gameplay purposes",""))</f>
        <v/>
      </c>
      <c r="CM537" s="1" t="str">
        <f aca="false">IF(CA537="buffet","{YELLOW}25% long distance bonus for consist{}",IF(CC537="BRAKE","{YELLOW}Speed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tiles{}{SILVER}Fitted vans had brakes which could be controlled from the locomotive or a brake van, allowing higher braking force and thus speed. This example is typical of a Southern Railways vacuum-braked model.</v>
      </c>
    </row>
    <row r="538" customFormat="false" ht="14.25" hidden="false" customHeight="false" outlineLevel="0" collapsed="false">
      <c r="A538" s="1" t="s">
        <v>2009</v>
      </c>
      <c r="B538" s="15" t="s">
        <v>2010</v>
      </c>
      <c r="C538" s="1" t="n">
        <v>88</v>
      </c>
      <c r="E538" s="1" t="n">
        <v>1550</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241</v>
      </c>
      <c r="J538" s="1" t="s">
        <v>1580</v>
      </c>
      <c r="K538" s="1" t="s">
        <v>1580</v>
      </c>
      <c r="L538" s="1" t="s">
        <v>192</v>
      </c>
      <c r="M538" s="1" t="n">
        <v>1962</v>
      </c>
      <c r="O538" s="1" t="n">
        <v>1985</v>
      </c>
      <c r="Z538" s="1" t="n">
        <v>8</v>
      </c>
      <c r="AB538" s="1" t="n">
        <v>4</v>
      </c>
      <c r="AD538" s="4" t="str">
        <f aca="false">IF(AND(Z538&gt;0,AC538&gt;0),(AC538/((Z538+AA538)*10)),"")</f>
        <v/>
      </c>
      <c r="AE538" s="1" t="n">
        <v>65</v>
      </c>
      <c r="AF538" s="1" t="n">
        <f aca="false">ROUND(AE538*1.6, 0)</f>
        <v>104</v>
      </c>
      <c r="AH538" s="1" t="n">
        <v>8</v>
      </c>
      <c r="AI538" s="1" t="n">
        <v>8</v>
      </c>
      <c r="AL538" s="5" t="n">
        <v>27</v>
      </c>
      <c r="AM538" s="1" t="str">
        <f aca="false">CONCATENATE(VLOOKUP(AN538, 'Voxel Sizes'!$A$2:$B$18,2,FALSE()),"x",INT(AJ538*15), "x", INT(AK538*15))</f>
        <v>82x0x0</v>
      </c>
      <c r="AN538" s="1" t="n">
        <f aca="false">ROUND(15*((AI538*10)/256),0)</f>
        <v>5</v>
      </c>
      <c r="AP538" s="1" t="str">
        <f aca="false">CONCATENATE(VLOOKUP(AN538,Constants!$A$2:$C$16,IF(AO538&lt;&gt;"", 3, 2), FALSE()),IF(AO538&lt;&gt;"",CONCATENATE(",",VLOOKUP(AO538,$B:$AP,41,FALSE())),""))</f>
        <v>2,1,2</v>
      </c>
      <c r="AZ538" s="1" t="n">
        <v>30</v>
      </c>
      <c r="BA538" s="16" t="n">
        <f aca="false">IF(O538&lt;&gt;"",MAX(16,(O538-M538)+8),"")</f>
        <v>31</v>
      </c>
      <c r="BD538" s="1" t="n">
        <f aca="false">MIN(AE538/150, 1)*30</f>
        <v>13</v>
      </c>
      <c r="BE538" s="1" t="n">
        <f aca="false">MIN(Q538/4000, 1)*20</f>
        <v>0</v>
      </c>
      <c r="BF538" s="1" t="n">
        <f aca="false">MIN(AC538/400,1)*20</f>
        <v>0</v>
      </c>
      <c r="BG538" s="4" t="n">
        <f aca="false">1-(MAX(M538-1900, 0)/750)</f>
        <v>0.917333333333333</v>
      </c>
      <c r="BH538" s="1" t="n">
        <f aca="false">((MAX($P538,1)*MIN($AL538/300,1)))*IF(J538="Wagon",50,10)</f>
        <v>4.5</v>
      </c>
      <c r="BI538" s="1" t="n">
        <f aca="false">VLOOKUP($K538,Constants!$I:$K, 2, FALSE())</f>
        <v>1</v>
      </c>
      <c r="BJ538" s="1" t="n">
        <f aca="false">VLOOKUP($K538,Constants!$I:$K, 3, FALSE())*IF(AND(J538="multiple_unit",AE538&lt;110),0.75,1)</f>
        <v>0.45</v>
      </c>
      <c r="BK538" s="1" t="n">
        <f aca="false">INT(POWER(((Constants!$G$2+$BD538+$BE538+$BF538+$BH538)*$BG538)*$BJ538, 1.05))+$BC538</f>
        <v>10</v>
      </c>
      <c r="BL538" s="1" t="n">
        <f aca="false">INT(POWER((((Constants!$G$1+$BD538+$BE538+$BF538+$BH538)*($BG538))*$BI538),IF($J538="wagon",1,1.2)))+$BB538</f>
        <v>29</v>
      </c>
      <c r="BM538" s="17" t="n">
        <f aca="false">BK538*IF($J538="wagon",62.5,781.25)</f>
        <v>625</v>
      </c>
      <c r="BN538" s="17" t="n">
        <f aca="false">BL538*IF($J538="wagon",2.73,81.25)</f>
        <v>79.17</v>
      </c>
      <c r="BU538" s="1" t="str">
        <f aca="false">IF(J538="locomotive","B","")</f>
        <v/>
      </c>
      <c r="BV538" s="1" t="str">
        <f aca="false">IF(OR($J538="locomotive",$J538="wagon"),"B","")</f>
        <v>B</v>
      </c>
      <c r="BY538" s="1" t="n">
        <v>1</v>
      </c>
      <c r="BZ538" s="1" t="n">
        <v>185</v>
      </c>
      <c r="CB538" s="1" t="s">
        <v>1968</v>
      </c>
      <c r="CC538" s="1" t="s">
        <v>1464</v>
      </c>
      <c r="CD538" s="1" t="str">
        <f aca="false">VLOOKUP(M538,Eras!$A$2:$C$10, 2, TRUE())</f>
        <v>dsl</v>
      </c>
      <c r="CE538" s="1" t="s">
        <v>1968</v>
      </c>
      <c r="CF538" s="1" t="str">
        <f aca="false">CONCATENATE(CD538,"_",CE538)</f>
        <v>dsl_Van</v>
      </c>
      <c r="CG538" s="1" t="str">
        <f aca="false">_xlfn.CONCAT(K538, "_",L538)</f>
        <v>wagon_RAIL</v>
      </c>
      <c r="CH538" s="7" t="str">
        <f aca="false">_xlfn.CONCAT("{BLACK}Length: {GOLD}", TEXT(ROUNDUP(IF(AS538&lt;&gt;"",SUM(VALUE(_xlfn.TEXTSPLIT(AS538, ","))), SUM(VALUE(_xlfn.TEXTSPLIT(AP538, ",")))*IF(P538, P538, 1))/16, 1), "#,##0.0"), " tiles{}")</f>
        <v>{BLACK}Length: {GOLD}0.4 tiles{}</v>
      </c>
      <c r="CI538" s="1" t="str">
        <f aca="false">IF(0, VLOOKUP($CG538, Constants!$M:$N, 2, FALSE()),"")</f>
        <v/>
      </c>
      <c r="CJ538" s="1" t="str">
        <f aca="false">IF(P538&gt;1,_xlfn.CONCAT("{BLACK}Cars: {GOLD}", P538),"")</f>
        <v/>
      </c>
      <c r="CK538" s="1" t="s">
        <v>2011</v>
      </c>
      <c r="CL538" s="1" t="str">
        <f aca="false">IF($BX538="concept_trains","{GREEN}Concept Vehicle",IF($BX538="!param_no_gameplay_units","{GREEN}Included for gameplay purposes",""))</f>
        <v/>
      </c>
      <c r="CM538" s="1" t="str">
        <f aca="false">IF(CA538="buffet","{YELLOW}25% long distance bonus for consist{}",IF(CC538="BRAKE","{YELLOW}Speed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{GOLD}0.4 tiles{}{SILVER}The Vanwide was BR's final development of the traditional van design, featuring wider doors for increased loading speed.</v>
      </c>
      <c r="CO538" s="1" t="n">
        <v>1</v>
      </c>
    </row>
    <row r="539" s="26" customFormat="true" ht="14.25" hidden="false" customHeight="false" outlineLevel="0" collapsed="false">
      <c r="A539" s="26" t="s">
        <v>2012</v>
      </c>
      <c r="B539" s="27" t="s">
        <v>2013</v>
      </c>
      <c r="C539" s="1" t="n">
        <v>3110</v>
      </c>
      <c r="E539" s="1" t="n">
        <v>1551</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26" t="s">
        <v>241</v>
      </c>
      <c r="J539" s="26" t="s">
        <v>1580</v>
      </c>
      <c r="K539" s="26" t="s">
        <v>1580</v>
      </c>
      <c r="L539" s="26" t="s">
        <v>192</v>
      </c>
      <c r="M539" s="26" t="n">
        <v>1962</v>
      </c>
      <c r="N539" s="26" t="n">
        <v>1994</v>
      </c>
      <c r="O539" s="26" t="n">
        <v>2000</v>
      </c>
      <c r="R539" s="2"/>
      <c r="S539" s="3"/>
      <c r="T539" s="3"/>
      <c r="U539" s="3"/>
      <c r="V539" s="3"/>
      <c r="W539" s="3"/>
      <c r="X539" s="3"/>
      <c r="Y539" s="3"/>
      <c r="Z539" s="26" t="n">
        <v>14.8</v>
      </c>
      <c r="AA539" s="2"/>
      <c r="AB539" s="26" t="n">
        <v>4</v>
      </c>
      <c r="AD539" s="4" t="str">
        <f aca="false">IF(AND(Z539&gt;0,AC539&gt;0),(AC539/((Z539+AA539)*10)),"")</f>
        <v/>
      </c>
      <c r="AE539" s="26" t="n">
        <v>60</v>
      </c>
      <c r="AF539" s="26" t="n">
        <f aca="false">ROUND(AE539*1.6, 0)</f>
        <v>96</v>
      </c>
      <c r="AH539" s="26" t="n">
        <v>14</v>
      </c>
      <c r="AI539" s="26" t="n">
        <v>14</v>
      </c>
      <c r="AJ539" s="26" t="n">
        <v>2.7</v>
      </c>
      <c r="AK539" s="26" t="n">
        <v>3.8</v>
      </c>
      <c r="AL539" s="5" t="n">
        <v>34</v>
      </c>
      <c r="AM539" s="1" t="str">
        <f aca="false">CONCATENATE(VLOOKUP(AN539, 'Voxel Sizes'!$A$2:$B$18,2,FALSE()),"x",INT(AJ539*15), "x", INT(AK539*15))</f>
        <v>136x40x57</v>
      </c>
      <c r="AN539" s="26" t="n">
        <f aca="false">ROUND(15*((AI539*10)/256),0)</f>
        <v>8</v>
      </c>
      <c r="AP539" s="1" t="str">
        <f aca="false">CONCATENATE(VLOOKUP(AN539,Constants!$A$2:$C$16,IF(AO539&lt;&gt;"", 3, 2), FALSE()),IF(AO539&lt;&gt;"",CONCATENATE(",",VLOOKUP(AO539,$B:$AP,41,FALSE())),""))</f>
        <v>2,4,2</v>
      </c>
      <c r="AR539" s="6"/>
      <c r="AS539" s="6"/>
      <c r="AY539" s="1" t="s">
        <v>2014</v>
      </c>
      <c r="AZ539" s="26" t="n">
        <v>30</v>
      </c>
      <c r="BA539" s="16" t="n">
        <f aca="false">IF(O539&lt;&gt;"",MAX(16,(O539-M539)+8),"")</f>
        <v>46</v>
      </c>
      <c r="BD539" s="26" t="n">
        <f aca="false">MIN(AE539/150, 1)*30</f>
        <v>12</v>
      </c>
      <c r="BE539" s="26" t="n">
        <f aca="false">MIN(Q539/4000, 1)*20</f>
        <v>0</v>
      </c>
      <c r="BF539" s="26" t="n">
        <f aca="false">MIN(AC539/400,1)*20</f>
        <v>0</v>
      </c>
      <c r="BG539" s="4" t="n">
        <f aca="false">1-(MAX(M539-1900, 0)/750)</f>
        <v>0.917333333333333</v>
      </c>
      <c r="BH539" s="26" t="n">
        <f aca="false">((MAX($P539,1)*MIN($AL539/300,1)))*IF(J539="Wagon",50,10)</f>
        <v>5.66666666666667</v>
      </c>
      <c r="BI539" s="1" t="n">
        <f aca="false">VLOOKUP($K539,Constants!$I:$K, 2, FALSE())</f>
        <v>1</v>
      </c>
      <c r="BJ539" s="1" t="n">
        <f aca="false">VLOOKUP($K539,Constants!$I:$K, 3, FALSE())*IF(AND(J539="multiple_unit",AE539&lt;110),0.75,1)</f>
        <v>0.45</v>
      </c>
      <c r="BK539" s="1" t="n">
        <f aca="false">INT(POWER(((Constants!$G$2+$BD539+$BE539+$BF539+$BH539)*$BG539)*$BJ539, 1.05))+$BC539</f>
        <v>10</v>
      </c>
      <c r="BL539" s="1" t="n">
        <f aca="false">INT(POWER((((Constants!$G$1+$BD539+$BE539+$BF539+$BH539)*($BG539))*$BI539),IF($J539="wagon",1,1.2)))+$BB539</f>
        <v>29</v>
      </c>
      <c r="BM539" s="17" t="n">
        <f aca="false">BK539*IF($J539="wagon",62.5,781.25)</f>
        <v>625</v>
      </c>
      <c r="BN539" s="17" t="n">
        <f aca="false">BL539*IF($J539="wagon",2.73,81.25)</f>
        <v>79.17</v>
      </c>
      <c r="BU539" s="1" t="str">
        <f aca="false">IF(J539="locomotive","B","")</f>
        <v/>
      </c>
      <c r="BV539" s="1" t="str">
        <f aca="false">IF(OR($J539="locomotive",$J539="wagon"),"B","")</f>
        <v>B</v>
      </c>
      <c r="BY539" s="26" t="n">
        <v>1</v>
      </c>
      <c r="BZ539" s="26" t="n">
        <v>185</v>
      </c>
      <c r="CB539" s="26" t="s">
        <v>1968</v>
      </c>
      <c r="CC539" s="26" t="s">
        <v>1464</v>
      </c>
      <c r="CD539" s="1" t="str">
        <f aca="false">VLOOKUP(M539,Eras!$A$2:$C$10, 2, TRUE())</f>
        <v>dsl</v>
      </c>
      <c r="CE539" s="26" t="s">
        <v>1968</v>
      </c>
      <c r="CF539" s="26" t="str">
        <f aca="false">CONCATENATE(CD539,"_",CE539)</f>
        <v>dsl_Van</v>
      </c>
      <c r="CG539" s="26" t="str">
        <f aca="false">_xlfn.CONCAT(K539, "_",L539)</f>
        <v>wagon_RAIL</v>
      </c>
      <c r="CH539" s="7" t="str">
        <f aca="false">_xlfn.CONCAT("{BLACK}Length: {GOLD}", TEXT(ROUNDUP(IF(AS539&lt;&gt;"",SUM(VALUE(_xlfn.TEXTSPLIT(AS539, ","))), SUM(VALUE(_xlfn.TEXTSPLIT(AP539, ",")))*IF(P539, P539, 1))/16, 1), "#,##0.0"), " tiles{}")</f>
        <v>{BLACK}Length: {GOLD}0.5 tiles{}</v>
      </c>
      <c r="CI539" s="1" t="str">
        <f aca="false">IF(0, VLOOKUP($CG539, Constants!$M:$N, 2, FALSE()),"")</f>
        <v/>
      </c>
      <c r="CJ539" s="1" t="str">
        <f aca="false">IF(P539&gt;1,_xlfn.CONCAT("{BLACK}Cars: {GOLD}", P539),"")</f>
        <v/>
      </c>
      <c r="CK539" s="26" t="s">
        <v>2015</v>
      </c>
      <c r="CL539" s="1" t="str">
        <f aca="false">IF($BX539="concept_trains","{GREEN}Concept Vehicle",IF($BX539="!param_no_gameplay_units","{GREEN}Included for gameplay purposes",""))</f>
        <v/>
      </c>
      <c r="CM539" s="26" t="str">
        <f aca="false">IF(CA539="buffet","{YELLOW}25% long distance bonus for consist{}",IF(CD539="BRAKE","{YELLOW}Speed bonus for slow wagons{}",IF(BZ539&gt;190,CONCATENATE("{YELLOW}",INT((BZ539-185)/1.85),"%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{GOLD}0.5 tiles{}{SILVER}BR’s two-axle Ferry Vans were built for interoperation with european service via cross-channel ferry services, allowing British companies to send goods directly to continental customers.</v>
      </c>
      <c r="XFD539" s="1"/>
    </row>
    <row r="540" customFormat="false" ht="14.25" hidden="false" customHeight="false" outlineLevel="0" collapsed="false">
      <c r="A540" s="1" t="s">
        <v>2016</v>
      </c>
      <c r="B540" s="15" t="s">
        <v>2017</v>
      </c>
      <c r="C540" s="1" t="n">
        <v>89</v>
      </c>
      <c r="E540" s="1" t="n">
        <v>1552</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241</v>
      </c>
      <c r="J540" s="1" t="s">
        <v>1580</v>
      </c>
      <c r="K540" s="1" t="s">
        <v>1580</v>
      </c>
      <c r="L540" s="1" t="s">
        <v>192</v>
      </c>
      <c r="M540" s="1" t="n">
        <v>1969</v>
      </c>
      <c r="O540" s="1" t="n">
        <v>2010</v>
      </c>
      <c r="Z540" s="1" t="n">
        <v>16</v>
      </c>
      <c r="AB540" s="1" t="n">
        <v>4</v>
      </c>
      <c r="AD540" s="4" t="str">
        <f aca="false">IF(AND(Z540&gt;0,AC540&gt;0),(AC540/((Z540+AA540)*10)),"")</f>
        <v/>
      </c>
      <c r="AE540" s="1" t="n">
        <v>75</v>
      </c>
      <c r="AF540" s="1" t="n">
        <f aca="false">ROUND(AE540*1.6, 0)</f>
        <v>120</v>
      </c>
      <c r="AH540" s="1" t="n">
        <v>11.2</v>
      </c>
      <c r="AI540" s="1" t="n">
        <v>11.2</v>
      </c>
      <c r="AL540" s="5" t="n">
        <v>39</v>
      </c>
      <c r="AM540" s="1" t="str">
        <f aca="false">CONCATENATE(VLOOKUP(AN540, 'Voxel Sizes'!$A$2:$B$18,2,FALSE()),"x",INT(AJ540*15), "x", INT(AK540*15))</f>
        <v>120x0x0</v>
      </c>
      <c r="AN540" s="1" t="n">
        <f aca="false">ROUND(15*((AI540*10)/256),0)</f>
        <v>7</v>
      </c>
      <c r="AP540" s="1" t="str">
        <f aca="false">CONCATENATE(VLOOKUP(AN540,Constants!$A$2:$C$16,IF(AO540&lt;&gt;"", 3, 2), FALSE()),IF(AO540&lt;&gt;"",CONCATENATE(",",VLOOKUP(AO540,$B:$AP,41,FALSE())),""))</f>
        <v>2,3,2</v>
      </c>
      <c r="AZ540" s="1" t="n">
        <v>30</v>
      </c>
      <c r="BA540" s="16" t="n">
        <f aca="false">IF(O540&lt;&gt;"",MAX(16,(O540-M540)+8),"")</f>
        <v>49</v>
      </c>
      <c r="BD540" s="1" t="n">
        <f aca="false">MIN(AE540/150, 1)*30</f>
        <v>15</v>
      </c>
      <c r="BE540" s="1" t="n">
        <f aca="false">MIN(Q540/4000, 1)*20</f>
        <v>0</v>
      </c>
      <c r="BF540" s="1" t="n">
        <f aca="false">MIN(AC540/400,1)*20</f>
        <v>0</v>
      </c>
      <c r="BG540" s="4" t="n">
        <f aca="false">1-(MAX(M540-1900, 0)/750)</f>
        <v>0.908</v>
      </c>
      <c r="BH540" s="1" t="n">
        <f aca="false">((MAX($P540,1)*MIN($AL540/300,1)))*IF(J540="Wagon",50,10)</f>
        <v>6.5</v>
      </c>
      <c r="BI540" s="1" t="n">
        <f aca="false">VLOOKUP($K540,Constants!$I:$K, 2, FALSE())</f>
        <v>1</v>
      </c>
      <c r="BJ540" s="1" t="n">
        <f aca="false">VLOOKUP($K540,Constants!$I:$K, 3, FALSE())*IF(AND(J540="multiple_unit",AE540&lt;110),0.75,1)</f>
        <v>0.45</v>
      </c>
      <c r="BK540" s="1" t="n">
        <f aca="false">INT(POWER(((Constants!$G$2+$BD540+$BE540+$BF540+$BH540)*$BG540)*$BJ540, 1.05))+$BC540</f>
        <v>12</v>
      </c>
      <c r="BL540" s="1" t="n">
        <f aca="false">INT(POWER((((Constants!$G$1+$BD540+$BE540+$BF540+$BH540)*($BG540))*$BI540),IF($J540="wagon",1,1.2)))+$BB540</f>
        <v>33</v>
      </c>
      <c r="BM540" s="17" t="n">
        <f aca="false">BK540*IF($J540="wagon",62.5,781.25)</f>
        <v>750</v>
      </c>
      <c r="BN540" s="17" t="n">
        <f aca="false">BL540*IF($J540="wagon",2.73,81.25)</f>
        <v>90.09</v>
      </c>
      <c r="BU540" s="1" t="str">
        <f aca="false">IF(J540="locomotive","B","")</f>
        <v/>
      </c>
      <c r="BV540" s="1" t="str">
        <f aca="false">IF(OR($J540="locomotive",$J540="wagon"),"B","")</f>
        <v>B</v>
      </c>
      <c r="BY540" s="1" t="n">
        <v>1</v>
      </c>
      <c r="BZ540" s="1" t="n">
        <v>185</v>
      </c>
      <c r="CB540" s="1" t="s">
        <v>1968</v>
      </c>
      <c r="CC540" s="1" t="s">
        <v>1464</v>
      </c>
      <c r="CD540" s="1" t="str">
        <f aca="false">VLOOKUP(M540,Eras!$A$2:$C$10, 2, TRUE())</f>
        <v>dsl</v>
      </c>
      <c r="CE540" s="1" t="s">
        <v>1968</v>
      </c>
      <c r="CF540" s="1" t="str">
        <f aca="false">CONCATENATE(CD540,"_",CE540)</f>
        <v>dsl_Van</v>
      </c>
      <c r="CG540" s="1" t="str">
        <f aca="false">_xlfn.CONCAT(K540, "_",L540)</f>
        <v>wagon_RAIL</v>
      </c>
      <c r="CH540" s="7" t="str">
        <f aca="false">_xlfn.CONCAT("{BLACK}Length: {GOLD}", TEXT(ROUNDUP(IF(AS540&lt;&gt;"",SUM(VALUE(_xlfn.TEXTSPLIT(AS540, ","))), SUM(VALUE(_xlfn.TEXTSPLIT(AP540, ",")))*IF(P540, P540, 1))/16, 1), "#,##0.0"), " tiles{}")</f>
        <v>{BLACK}Length: {GOLD}0.5 tiles{}</v>
      </c>
      <c r="CI540" s="1" t="str">
        <f aca="false">IF(0, VLOOKUP($CG540, Constants!$M:$N, 2, FALSE()),"")</f>
        <v/>
      </c>
      <c r="CJ540" s="1" t="str">
        <f aca="false">IF(P540&gt;1,_xlfn.CONCAT("{BLACK}Cars: {GOLD}", P540),"")</f>
        <v/>
      </c>
      <c r="CK540" s="1" t="s">
        <v>2018</v>
      </c>
      <c r="CL540" s="1" t="str">
        <f aca="false">IF($BX540="concept_trains","{GREEN}Concept Vehicle",IF($BX540="!param_no_gameplay_units","{GREEN}Included for gameplay purposes",""))</f>
        <v/>
      </c>
      <c r="CM540" s="1" t="str">
        <f aca="false">IF(CA540="buffet","{YELLOW}25% long distance bonus for consist{}",IF(CC540="BRAKE","{YELLOW}Speed bonus for slow wagons{}",IF(BZ540&gt;190,CONCATENATE("{YELLOW}",INT((BZ540-185)/1.85),"%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{GOLD}0.5 tiles{}{SILVER}The VDA was BR's first air braked general purpose van, later used for the Speedlink freight network.</v>
      </c>
      <c r="CO540" s="1" t="n">
        <v>1</v>
      </c>
    </row>
    <row r="541" s="26" customFormat="true" ht="14.25" hidden="false" customHeight="false" outlineLevel="0" collapsed="false">
      <c r="A541" s="26" t="s">
        <v>2019</v>
      </c>
      <c r="B541" s="27" t="s">
        <v>2020</v>
      </c>
      <c r="C541" s="1" t="n">
        <v>3111</v>
      </c>
      <c r="E541" s="1" t="n">
        <v>1553</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26" t="s">
        <v>241</v>
      </c>
      <c r="J541" s="26" t="s">
        <v>1580</v>
      </c>
      <c r="K541" s="26" t="s">
        <v>1580</v>
      </c>
      <c r="L541" s="26" t="s">
        <v>192</v>
      </c>
      <c r="M541" s="26" t="n">
        <v>1977</v>
      </c>
      <c r="R541" s="2"/>
      <c r="S541" s="3"/>
      <c r="T541" s="3"/>
      <c r="U541" s="3"/>
      <c r="V541" s="3"/>
      <c r="W541" s="3"/>
      <c r="X541" s="3"/>
      <c r="Y541" s="3"/>
      <c r="Z541" s="26" t="n">
        <v>26</v>
      </c>
      <c r="AA541" s="2"/>
      <c r="AB541" s="26" t="n">
        <v>4</v>
      </c>
      <c r="AD541" s="4" t="str">
        <f aca="false">IF(AND(Z541&gt;0,AC541&gt;0),(AC541/((Z541+AA541)*10)),"")</f>
        <v/>
      </c>
      <c r="AE541" s="26" t="n">
        <v>60</v>
      </c>
      <c r="AF541" s="26" t="n">
        <f aca="false">ROUND(AE541*1.6, 0)</f>
        <v>96</v>
      </c>
      <c r="AH541" s="26" t="n">
        <v>21.7</v>
      </c>
      <c r="AI541" s="26" t="n">
        <v>21.7</v>
      </c>
      <c r="AK541" s="26" t="n">
        <v>3.8</v>
      </c>
      <c r="AL541" s="5" t="n">
        <v>58</v>
      </c>
      <c r="AM541" s="1" t="str">
        <f aca="false">CONCATENATE(VLOOKUP(AN541, 'Voxel Sizes'!$A$2:$B$18,2,FALSE()),"x",INT(AJ541*15), "x", INT(AK541*15))</f>
        <v>214x0x57</v>
      </c>
      <c r="AN541" s="26" t="n">
        <f aca="false">ROUND(15*((AI541*10)/256),0)</f>
        <v>13</v>
      </c>
      <c r="AP541" s="1" t="str">
        <f aca="false">CONCATENATE(VLOOKUP(AN541,Constants!$A$2:$C$16,IF(AO541&lt;&gt;"", 3, 2), FALSE()),IF(AO541&lt;&gt;"",CONCATENATE(",",VLOOKUP(AO541,$B:$AP,41,FALSE())),""))</f>
        <v>4,5,4</v>
      </c>
      <c r="AR541" s="6"/>
      <c r="AS541" s="6"/>
      <c r="AY541" s="1"/>
      <c r="AZ541" s="26" t="n">
        <v>30</v>
      </c>
      <c r="BA541" s="16" t="str">
        <f aca="false">IF(O541&lt;&gt;"",MAX(16,(O541-M541)+8),"")</f>
        <v/>
      </c>
      <c r="BD541" s="26" t="n">
        <f aca="false">MIN(AE541/150, 1)*30</f>
        <v>12</v>
      </c>
      <c r="BE541" s="26" t="n">
        <f aca="false">MIN(Q541/4000, 1)*20</f>
        <v>0</v>
      </c>
      <c r="BF541" s="26" t="n">
        <f aca="false">MIN(AC541/400,1)*20</f>
        <v>0</v>
      </c>
      <c r="BG541" s="4" t="n">
        <f aca="false">1-(MAX(M541-1900, 0)/750)</f>
        <v>0.897333333333333</v>
      </c>
      <c r="BH541" s="26" t="n">
        <f aca="false">((MAX($P541,1)*MIN($AL541/300,1)))*IF(J541="Wagon",50,10)</f>
        <v>9.66666666666667</v>
      </c>
      <c r="BI541" s="1" t="n">
        <f aca="false">VLOOKUP($K541,Constants!$I:$K, 2, FALSE())</f>
        <v>1</v>
      </c>
      <c r="BJ541" s="1" t="n">
        <f aca="false">VLOOKUP($K541,Constants!$I:$K, 3, FALSE())*IF(AND(J541="multiple_unit",AE541&lt;110),0.75,1)</f>
        <v>0.45</v>
      </c>
      <c r="BK541" s="1" t="n">
        <f aca="false">INT(POWER(((Constants!$G$2+$BD541+$BE541+$BF541+$BH541)*$BG541)*$BJ541, 1.05))+$BC541</f>
        <v>12</v>
      </c>
      <c r="BL541" s="1" t="n">
        <f aca="false">INT(POWER((((Constants!$G$1+$BD541+$BE541+$BF541+$BH541)*($BG541))*$BI541),IF($J541="wagon",1,1.2)))+$BB541</f>
        <v>32</v>
      </c>
      <c r="BM541" s="17" t="n">
        <f aca="false">BK541*IF($J541="wagon",62.5,781.25)</f>
        <v>750</v>
      </c>
      <c r="BN541" s="17" t="n">
        <f aca="false">BL541*IF($J541="wagon",2.73,81.25)</f>
        <v>87.36</v>
      </c>
      <c r="BU541" s="1" t="str">
        <f aca="false">IF(J541="locomotive","B","")</f>
        <v/>
      </c>
      <c r="BV541" s="1" t="str">
        <f aca="false">IF(OR($J541="locomotive",$J541="wagon"),"B","")</f>
        <v>B</v>
      </c>
      <c r="BY541" s="26" t="n">
        <v>1</v>
      </c>
      <c r="BZ541" s="26" t="n">
        <v>185</v>
      </c>
      <c r="CB541" s="26" t="s">
        <v>1968</v>
      </c>
      <c r="CC541" s="26" t="s">
        <v>1464</v>
      </c>
      <c r="CD541" s="1" t="str">
        <f aca="false">VLOOKUP(M541,Eras!$A$2:$C$10, 2, TRUE())</f>
        <v>lbr</v>
      </c>
      <c r="CE541" s="26" t="s">
        <v>1968</v>
      </c>
      <c r="CF541" s="26" t="str">
        <f aca="false">CONCATENATE(CD541,"_",CE541)</f>
        <v>lbr_Van</v>
      </c>
      <c r="CG541" s="26" t="str">
        <f aca="false">_xlfn.CONCAT(K541, "_",L541)</f>
        <v>wagon_RAIL</v>
      </c>
      <c r="CH541" s="7" t="str">
        <f aca="false">_xlfn.CONCAT("{BLACK}Length: {GOLD}", TEXT(ROUNDUP(IF(AS541&lt;&gt;"",SUM(VALUE(_xlfn.TEXTSPLIT(AS541, ","))), SUM(VALUE(_xlfn.TEXTSPLIT(AP541, ",")))*IF(P541, P541, 1))/16, 1), "#,##0.0"), " tiles{}")</f>
        <v>{BLACK}Length: {GOLD}0.9 tiles{}</v>
      </c>
      <c r="CI541" s="1" t="str">
        <f aca="false">IF(0, VLOOKUP($CG541, Constants!$M:$N, 2, FALSE()),"")</f>
        <v/>
      </c>
      <c r="CJ541" s="1" t="str">
        <f aca="false">IF(P541&gt;1,_xlfn.CONCAT("{BLACK}Cars: {GOLD}", P541),"")</f>
        <v/>
      </c>
      <c r="CK541" s="26" t="s">
        <v>2021</v>
      </c>
      <c r="CL541" s="1" t="str">
        <f aca="false">IF($BX541="concept_trains","{GREEN}Concept Vehicle",IF($BX541="!param_no_gameplay_units","{GREEN}Included for gameplay purposes",""))</f>
        <v/>
      </c>
      <c r="CM541" s="26" t="str">
        <f aca="false">IF(CA541="buffet","{YELLOW}25% long distance bonus for consist{}",IF(CD541="BRAKE","{YELLOW}Speed bonus for slow wagons{}",IF(BZ541&gt;190,CONCATENATE("{YELLOW}",INT((BZ541-185)/1.85),"%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{GOLD}0.9 tiles{}{SILVER}The prominent CARGOWAGGON-lettered vans began arriving in international traffic during the late 1970s and 1980s. These large goods wagons were reliable and high-capacity. The whole hood lifts and slides to permit forklift access to the wagon.</v>
      </c>
      <c r="XFD541" s="1"/>
    </row>
    <row r="542" customFormat="false" ht="14.25" hidden="false" customHeight="false" outlineLevel="0" collapsed="false">
      <c r="A542" s="1" t="s">
        <v>2022</v>
      </c>
      <c r="B542" s="15" t="s">
        <v>2023</v>
      </c>
      <c r="C542" s="1" t="n">
        <v>90</v>
      </c>
      <c r="E542" s="1" t="n">
        <v>1554</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241</v>
      </c>
      <c r="J542" s="1" t="s">
        <v>1580</v>
      </c>
      <c r="K542" s="1" t="s">
        <v>1580</v>
      </c>
      <c r="L542" s="1" t="s">
        <v>192</v>
      </c>
      <c r="M542" s="1" t="n">
        <v>1978</v>
      </c>
      <c r="Z542" s="1" t="n">
        <v>8</v>
      </c>
      <c r="AB542" s="1" t="n">
        <v>4</v>
      </c>
      <c r="AD542" s="4" t="str">
        <f aca="false">IF(AND(Z542&gt;0,AC542&gt;0),(AC542/((Z542+AA542)*10)),"")</f>
        <v/>
      </c>
      <c r="AE542" s="1" t="n">
        <v>75</v>
      </c>
      <c r="AF542" s="1" t="n">
        <f aca="false">ROUND(AE542*1.6, 0)</f>
        <v>120</v>
      </c>
      <c r="AH542" s="1" t="n">
        <v>8</v>
      </c>
      <c r="AI542" s="1" t="n">
        <v>8</v>
      </c>
      <c r="AL542" s="5" t="n">
        <v>27</v>
      </c>
      <c r="AM542" s="1" t="str">
        <f aca="false">CONCATENATE(VLOOKUP(AN542, 'Voxel Sizes'!$A$2:$B$18,2,FALSE()),"x",INT(AJ542*15), "x", INT(AK542*15))</f>
        <v>82x0x0</v>
      </c>
      <c r="AN542" s="1" t="n">
        <f aca="false">ROUND(15*((AI542*10)/256),0)</f>
        <v>5</v>
      </c>
      <c r="AP542" s="1" t="str">
        <f aca="false">CONCATENATE(VLOOKUP(AN542,Constants!$A$2:$C$16,IF(AO542&lt;&gt;"", 3, 2), FALSE()),IF(AO542&lt;&gt;"",CONCATENATE(",",VLOOKUP(AO542,$B:$AP,41,FALSE())),""))</f>
        <v>2,1,2</v>
      </c>
      <c r="AZ542" s="1" t="n">
        <v>30</v>
      </c>
      <c r="BA542" s="16" t="str">
        <f aca="false">IF(O542&lt;&gt;"",MAX(16,(O542-M542)+8),"")</f>
        <v/>
      </c>
      <c r="BD542" s="1" t="n">
        <f aca="false">MIN(AE542/150, 1)*30</f>
        <v>15</v>
      </c>
      <c r="BE542" s="1" t="n">
        <f aca="false">MIN(Q542/4000, 1)*20</f>
        <v>0</v>
      </c>
      <c r="BF542" s="1" t="n">
        <f aca="false">MIN(AC542/400,1)*20</f>
        <v>0</v>
      </c>
      <c r="BG542" s="4" t="n">
        <f aca="false">1-(MAX(M542-1900, 0)/750)</f>
        <v>0.896</v>
      </c>
      <c r="BH542" s="1" t="n">
        <f aca="false">((MAX($P542,1)*MIN($AL542/300,1)))*IF(J542="Wagon",50,10)</f>
        <v>4.5</v>
      </c>
      <c r="BI542" s="1" t="n">
        <f aca="false">VLOOKUP($K542,Constants!$I:$K, 2, FALSE())</f>
        <v>1</v>
      </c>
      <c r="BJ542" s="1" t="n">
        <f aca="false">VLOOKUP($K542,Constants!$I:$K, 3, FALSE())*IF(AND(J542="multiple_unit",AE542&lt;110),0.75,1)</f>
        <v>0.45</v>
      </c>
      <c r="BK542" s="1" t="n">
        <f aca="false">INT(POWER(((Constants!$G$2+$BD542+$BE542+$BF542+$BH542)*$BG542)*$BJ542, 1.05))+$BC542</f>
        <v>11</v>
      </c>
      <c r="BL542" s="1" t="n">
        <f aca="false">INT(POWER((((Constants!$G$1+$BD542+$BE542+$BF542+$BH542)*($BG542))*$BI542),IF($J542="wagon",1,1.2)))+$BB542</f>
        <v>30</v>
      </c>
      <c r="BM542" s="17" t="n">
        <f aca="false">BK542*IF($J542="wagon",62.5,781.25)</f>
        <v>687.5</v>
      </c>
      <c r="BN542" s="17" t="n">
        <f aca="false">BL542*IF($J542="wagon",2.73,81.25)</f>
        <v>81.9</v>
      </c>
      <c r="BU542" s="1" t="str">
        <f aca="false">IF(J542="locomotive","B","")</f>
        <v/>
      </c>
      <c r="BV542" s="1" t="str">
        <f aca="false">IF(OR($J542="locomotive",$J542="wagon"),"B","")</f>
        <v>B</v>
      </c>
      <c r="BY542" s="1" t="n">
        <v>1</v>
      </c>
      <c r="BZ542" s="1" t="n">
        <v>185</v>
      </c>
      <c r="CB542" s="1" t="s">
        <v>1968</v>
      </c>
      <c r="CC542" s="1" t="s">
        <v>1464</v>
      </c>
      <c r="CD542" s="1" t="str">
        <f aca="false">VLOOKUP(M542,Eras!$A$2:$C$10, 2, TRUE())</f>
        <v>lbr</v>
      </c>
      <c r="CE542" s="1" t="s">
        <v>1968</v>
      </c>
      <c r="CF542" s="1" t="str">
        <f aca="false">CONCATENATE(CD542,"_",CE542)</f>
        <v>lbr_Van</v>
      </c>
      <c r="CG542" s="1" t="str">
        <f aca="false">_xlfn.CONCAT(K542, "_",L542)</f>
        <v>wagon_RAIL</v>
      </c>
      <c r="CH542" s="7" t="str">
        <f aca="false">_xlfn.CONCAT("{BLACK}Length: {GOLD}", TEXT(ROUNDUP(IF(AS542&lt;&gt;"",SUM(VALUE(_xlfn.TEXTSPLIT(AS542, ","))), SUM(VALUE(_xlfn.TEXTSPLIT(AP542, ",")))*IF(P542, P542, 1))/16, 1), "#,##0.0"), " tiles{}")</f>
        <v>{BLACK}Length: {GOLD}0.4 tiles{}</v>
      </c>
      <c r="CI542" s="1" t="str">
        <f aca="false">IF(0, VLOOKUP($CG542, Constants!$M:$N, 2, FALSE()),"")</f>
        <v/>
      </c>
      <c r="CJ542" s="1" t="str">
        <f aca="false">IF(P542&gt;1,_xlfn.CONCAT("{BLACK}Cars: {GOLD}", P542),"")</f>
        <v/>
      </c>
      <c r="CK542" s="1" t="s">
        <v>2024</v>
      </c>
      <c r="CL542" s="1" t="str">
        <f aca="false">IF($BX542="concept_trains","{GREEN}Concept Vehicle",IF($BX542="!param_no_gameplay_units","{GREEN}Included for gameplay purposes",""))</f>
        <v/>
      </c>
      <c r="CM542" s="1" t="str">
        <f aca="false">IF(CA542="buffet","{YELLOW}25% long distance bonus for consist{}",IF(CC542="BRAKE","{YELLOW}Speed bonus for slow wagons{}",IF(BZ542&gt;190,CONCATENATE("{YELLOW}",INT((BZ542-185)/1.85),"%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{GOLD}0.4 tiles{}{SILVER}VEA vans were refurbished vans fitted with improved suspension and air brakes, allowing higher speed operation while still being suitable for narrow radius curves in small yards.</v>
      </c>
      <c r="CO542" s="1" t="n">
        <v>1</v>
      </c>
    </row>
    <row r="543" customFormat="false" ht="14.25" hidden="false" customHeight="false" outlineLevel="0" collapsed="false">
      <c r="A543" s="1" t="s">
        <v>2025</v>
      </c>
      <c r="B543" s="15" t="s">
        <v>2026</v>
      </c>
      <c r="C543" s="1" t="n">
        <v>91</v>
      </c>
      <c r="E543" s="1" t="n">
        <v>1555</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241</v>
      </c>
      <c r="J543" s="1" t="s">
        <v>1580</v>
      </c>
      <c r="K543" s="1" t="s">
        <v>1580</v>
      </c>
      <c r="L543" s="1" t="s">
        <v>192</v>
      </c>
      <c r="M543" s="1" t="n">
        <v>1982</v>
      </c>
      <c r="Z543" s="1" t="n">
        <v>21</v>
      </c>
      <c r="AB543" s="1" t="n">
        <v>6</v>
      </c>
      <c r="AD543" s="4" t="str">
        <f aca="false">IF(AND(Z543&gt;0,AC543&gt;0),(AC543/((Z543+AA543)*10)),"")</f>
        <v/>
      </c>
      <c r="AE543" s="1" t="n">
        <v>85</v>
      </c>
      <c r="AF543" s="1" t="n">
        <f aca="false">ROUND(AE543*1.6, 0)</f>
        <v>136</v>
      </c>
      <c r="AH543" s="1" t="n">
        <v>12.8</v>
      </c>
      <c r="AI543" s="1" t="n">
        <v>12.8</v>
      </c>
      <c r="AL543" s="5" t="n">
        <v>45</v>
      </c>
      <c r="AM543" s="1" t="str">
        <f aca="false">CONCATENATE(VLOOKUP(AN543, 'Voxel Sizes'!$A$2:$B$18,2,FALSE()),"x",INT(AJ543*15), "x", INT(AK543*15))</f>
        <v>136x0x0</v>
      </c>
      <c r="AN543" s="1" t="n">
        <f aca="false">ROUND(15*((AI543*10)/256),0)</f>
        <v>8</v>
      </c>
      <c r="AP543" s="1" t="str">
        <f aca="false">CONCATENATE(VLOOKUP(AN543,Constants!$A$2:$C$16,IF(AO543&lt;&gt;"", 3, 2), FALSE()),IF(AO543&lt;&gt;"",CONCATENATE(",",VLOOKUP(AO543,$B:$AP,41,FALSE())),""))</f>
        <v>2,4,2</v>
      </c>
      <c r="AZ543" s="1" t="n">
        <v>30</v>
      </c>
      <c r="BA543" s="16" t="str">
        <f aca="false">IF(O543&lt;&gt;"",MAX(16,(O543-M543)+8),"")</f>
        <v/>
      </c>
      <c r="BD543" s="1" t="n">
        <f aca="false">MIN(AE543/150, 1)*30</f>
        <v>17</v>
      </c>
      <c r="BE543" s="1" t="n">
        <f aca="false">MIN(Q543/4000, 1)*20</f>
        <v>0</v>
      </c>
      <c r="BF543" s="1" t="n">
        <f aca="false">MIN(AC543/400,1)*20</f>
        <v>0</v>
      </c>
      <c r="BG543" s="4" t="n">
        <f aca="false">1-(MAX(M543-1900, 0)/750)</f>
        <v>0.890666666666667</v>
      </c>
      <c r="BH543" s="1" t="n">
        <f aca="false">((MAX($P543,1)*MIN($AL543/300,1)))*IF(J543="Wagon",50,10)</f>
        <v>7.5</v>
      </c>
      <c r="BI543" s="1" t="n">
        <f aca="false">VLOOKUP($K543,Constants!$I:$K, 2, FALSE())</f>
        <v>1</v>
      </c>
      <c r="BJ543" s="1" t="n">
        <f aca="false">VLOOKUP($K543,Constants!$I:$K, 3, FALSE())*IF(AND(J543="multiple_unit",AE543&lt;110),0.75,1)</f>
        <v>0.45</v>
      </c>
      <c r="BK543" s="1" t="n">
        <f aca="false">INT(POWER(((Constants!$G$2+$BD543+$BE543+$BF543+$BH543)*$BG543)*$BJ543, 1.05))+$BC543</f>
        <v>13</v>
      </c>
      <c r="BL543" s="1" t="n">
        <f aca="false">INT(POWER((((Constants!$G$1+$BD543+$BE543+$BF543+$BH543)*($BG543))*$BI543),IF($J543="wagon",1,1.2)))+$BB543</f>
        <v>35</v>
      </c>
      <c r="BM543" s="17" t="n">
        <f aca="false">BK543*IF($J543="wagon",62.5,781.25)</f>
        <v>812.5</v>
      </c>
      <c r="BN543" s="17" t="n">
        <f aca="false">BL543*IF($J543="wagon",2.73,81.25)</f>
        <v>95.55</v>
      </c>
      <c r="BU543" s="1" t="str">
        <f aca="false">IF(J543="locomotive","B","")</f>
        <v/>
      </c>
      <c r="BV543" s="1" t="str">
        <f aca="false">IF(OR($J543="locomotive",$J543="wagon"),"B","")</f>
        <v>B</v>
      </c>
      <c r="BY543" s="1" t="n">
        <v>1</v>
      </c>
      <c r="BZ543" s="1" t="n">
        <v>185</v>
      </c>
      <c r="CB543" s="1" t="s">
        <v>1968</v>
      </c>
      <c r="CC543" s="1" t="s">
        <v>1464</v>
      </c>
      <c r="CD543" s="1" t="str">
        <f aca="false">VLOOKUP(M543,Eras!$A$2:$C$10, 2, TRUE())</f>
        <v>lbr</v>
      </c>
      <c r="CE543" s="1" t="s">
        <v>1968</v>
      </c>
      <c r="CF543" s="1" t="str">
        <f aca="false">CONCATENATE(CD543,"_",CE543)</f>
        <v>lbr_Van</v>
      </c>
      <c r="CG543" s="1" t="str">
        <f aca="false">_xlfn.CONCAT(K543, "_",L543)</f>
        <v>wagon_RAIL</v>
      </c>
      <c r="CH543" s="7" t="str">
        <f aca="false">_xlfn.CONCAT("{BLACK}Length: {GOLD}", TEXT(ROUNDUP(IF(AS543&lt;&gt;"",SUM(VALUE(_xlfn.TEXTSPLIT(AS543, ","))), SUM(VALUE(_xlfn.TEXTSPLIT(AP543, ",")))*IF(P543, P543, 1))/16, 1), "#,##0.0"), " tiles{}")</f>
        <v>{BLACK}Length: {GOLD}0.5 tiles{}</v>
      </c>
      <c r="CI543" s="1" t="str">
        <f aca="false">IF(0, VLOOKUP($CG543, Constants!$M:$N, 2, FALSE()),"")</f>
        <v/>
      </c>
      <c r="CJ543" s="1" t="str">
        <f aca="false">IF(P543&gt;1,_xlfn.CONCAT("{BLACK}Cars: {GOLD}", P543),"")</f>
        <v/>
      </c>
      <c r="CK543" s="1" t="s">
        <v>2027</v>
      </c>
      <c r="CL543" s="1" t="str">
        <f aca="false">IF($BX543="concept_trains","{GREEN}Concept Vehicle",IF($BX543="!param_no_gameplay_units","{GREEN}Included for gameplay purposes",""))</f>
        <v/>
      </c>
      <c r="CM543" s="1" t="str">
        <f aca="false">IF(CA543="buffet","{YELLOW}25% long distance bonus for consist{}",IF(CC543="BRAKE","{YELLOW}Speed bonus for slow wagons{}",IF(BZ543&gt;190,CONCATENATE("{YELLOW}",INT((BZ543-185)/1.85),"%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{GOLD}0.5 tiles{}{SILVER}VGA vans followed continental practice with doors extending into the roof panel, providing a larger vertical opening.</v>
      </c>
      <c r="CO543" s="1" t="n">
        <v>1</v>
      </c>
    </row>
    <row r="544" s="26" customFormat="true" ht="14.25" hidden="false" customHeight="false" outlineLevel="0" collapsed="false">
      <c r="A544" s="26" t="s">
        <v>2028</v>
      </c>
      <c r="B544" s="27" t="s">
        <v>2029</v>
      </c>
      <c r="C544" s="1" t="n">
        <v>3112</v>
      </c>
      <c r="E544" s="1" t="n">
        <v>1556</v>
      </c>
      <c r="F544" s="1"/>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26" t="s">
        <v>241</v>
      </c>
      <c r="J544" s="26" t="s">
        <v>1075</v>
      </c>
      <c r="K544" s="26" t="s">
        <v>1580</v>
      </c>
      <c r="L544" s="26" t="s">
        <v>192</v>
      </c>
      <c r="M544" s="26" t="n">
        <v>1987</v>
      </c>
      <c r="P544" s="26" t="n">
        <v>2</v>
      </c>
      <c r="R544" s="2"/>
      <c r="S544" s="3"/>
      <c r="T544" s="3"/>
      <c r="U544" s="3"/>
      <c r="V544" s="3"/>
      <c r="W544" s="3"/>
      <c r="X544" s="3"/>
      <c r="Y544" s="3"/>
      <c r="Z544" s="26" t="n">
        <v>27.3</v>
      </c>
      <c r="AA544" s="2"/>
      <c r="AB544" s="26" t="n">
        <v>4</v>
      </c>
      <c r="AD544" s="4" t="str">
        <f aca="false">IF(AND(Z544&gt;0,AC544&gt;0),(AC544/((Z544+AA544)*10)),"")</f>
        <v/>
      </c>
      <c r="AE544" s="26" t="n">
        <v>60</v>
      </c>
      <c r="AF544" s="26" t="n">
        <f aca="false">ROUND(AE544*1.6, 0)</f>
        <v>96</v>
      </c>
      <c r="AH544" s="26" t="n">
        <v>13.5</v>
      </c>
      <c r="AI544" s="26" t="n">
        <v>13.5</v>
      </c>
      <c r="AK544" s="26" t="n">
        <v>3.8</v>
      </c>
      <c r="AL544" s="5" t="n">
        <v>34</v>
      </c>
      <c r="AM544" s="1" t="str">
        <f aca="false">CONCATENATE(VLOOKUP(AN544, 'Voxel Sizes'!$A$2:$B$18,2,FALSE()),"x",INT(AJ544*15), "x", INT(AK544*15))</f>
        <v>136x0x57</v>
      </c>
      <c r="AN544" s="26" t="n">
        <f aca="false">ROUND(15*((AI544*10)/256),0)</f>
        <v>8</v>
      </c>
      <c r="AP544" s="1" t="str">
        <f aca="false">CONCATENATE(VLOOKUP(AN544,Constants!$A$2:$C$16,IF(AO544&lt;&gt;"", 3, 2), FALSE()),IF(AO544&lt;&gt;"",CONCATENATE(",",VLOOKUP(AO544,$B:$AP,41,FALSE())),""))</f>
        <v>2,4,2</v>
      </c>
      <c r="AR544" s="6"/>
      <c r="AS544" s="6"/>
      <c r="AT544" s="26" t="s">
        <v>2030</v>
      </c>
      <c r="AV544" s="26" t="s">
        <v>815</v>
      </c>
      <c r="AW544" s="26" t="s">
        <v>2031</v>
      </c>
      <c r="AY544" s="1"/>
      <c r="AZ544" s="26" t="n">
        <v>30</v>
      </c>
      <c r="BA544" s="16" t="str">
        <f aca="false">IF(O544&lt;&gt;"",MAX(16,(O544-M544)+8),"")</f>
        <v/>
      </c>
      <c r="BD544" s="26" t="n">
        <f aca="false">MIN(AE544/150, 1)*30</f>
        <v>12</v>
      </c>
      <c r="BE544" s="26" t="n">
        <f aca="false">MIN(Q544/4000, 1)*20</f>
        <v>0</v>
      </c>
      <c r="BF544" s="26" t="n">
        <f aca="false">MIN(AC544/400,1)*20</f>
        <v>0</v>
      </c>
      <c r="BG544" s="4" t="n">
        <f aca="false">1-(MAX(M544-1900, 0)/750)</f>
        <v>0.884</v>
      </c>
      <c r="BH544" s="26" t="n">
        <f aca="false">((MAX($P544,1)*MIN($AL544/300,1)))*IF(J544="Wagon",50,10)</f>
        <v>2.26666666666667</v>
      </c>
      <c r="BI544" s="1" t="n">
        <f aca="false">VLOOKUP($K544,Constants!$I:$K, 2, FALSE())</f>
        <v>1</v>
      </c>
      <c r="BJ544" s="1" t="n">
        <f aca="false">VLOOKUP($K544,Constants!$I:$K, 3, FALSE())*IF(AND(J544="multiple_unit",AE544&lt;110),0.75,1)</f>
        <v>0.45</v>
      </c>
      <c r="BK544" s="1" t="n">
        <f aca="false">INT(POWER(((Constants!$G$2+$BD544+$BE544+$BF544+$BH544)*$BG544)*$BJ544, 1.05))+$BC544</f>
        <v>8</v>
      </c>
      <c r="BL544" s="1" t="n">
        <f aca="false">INT(POWER((((Constants!$G$1+$BD544+$BE544+$BF544+$BH544)*($BG544))*$BI544),IF($J544="wagon",1,1.2)))+$BB544</f>
        <v>49</v>
      </c>
      <c r="BM544" s="17" t="n">
        <f aca="false">BK544*IF($J544="wagon",62.5,781.25)</f>
        <v>6250</v>
      </c>
      <c r="BN544" s="17" t="n">
        <f aca="false">BL544*IF($J544="wagon",2.73,81.25)</f>
        <v>3981.25</v>
      </c>
      <c r="BU544" s="1" t="str">
        <f aca="false">IF(J544="locomotive","B","")</f>
        <v/>
      </c>
      <c r="BV544" s="1" t="str">
        <f aca="false">IF(OR($J544="locomotive",$J544="wagon"),"B","")</f>
        <v/>
      </c>
      <c r="BY544" s="26" t="n">
        <v>1</v>
      </c>
      <c r="BZ544" s="26" t="n">
        <v>185</v>
      </c>
      <c r="CB544" s="26" t="s">
        <v>1968</v>
      </c>
      <c r="CC544" s="26" t="s">
        <v>1464</v>
      </c>
      <c r="CD544" s="1" t="str">
        <f aca="false">VLOOKUP(M544,Eras!$A$2:$C$10, 2, TRUE())</f>
        <v>lbr</v>
      </c>
      <c r="CE544" s="26" t="s">
        <v>1968</v>
      </c>
      <c r="CF544" s="26" t="str">
        <f aca="false">CONCATENATE(CD544,"_",CE544)</f>
        <v>lbr_Van</v>
      </c>
      <c r="CG544" s="26" t="str">
        <f aca="false">_xlfn.CONCAT(K544, "_",L544)</f>
        <v>wagon_RAIL</v>
      </c>
      <c r="CH544" s="7" t="str">
        <f aca="false">_xlfn.CONCAT("{BLACK}Length: {GOLD}", TEXT(ROUNDUP(IF(AS544&lt;&gt;"",SUM(VALUE(_xlfn.TEXTSPLIT(AS544, ","))), SUM(VALUE(_xlfn.TEXTSPLIT(AP544, ",")))*IF(P544, P544, 1))/16, 1), "#,##0.0"), " tiles{}")</f>
        <v>{BLACK}Length: {GOLD}1.0 tiles{}</v>
      </c>
      <c r="CI544" s="1" t="str">
        <f aca="false">IF(0, VLOOKUP($CG544, Constants!$M:$N, 2, FALSE()),"")</f>
        <v/>
      </c>
      <c r="CJ544" s="1" t="str">
        <f aca="false">IF(P544&gt;1,_xlfn.CONCAT("{BLACK}Cars: {GOLD}", P544),"")</f>
        <v>{BLACK}Cars: {GOLD}2</v>
      </c>
      <c r="CK544" s="26" t="s">
        <v>2032</v>
      </c>
      <c r="CL544" s="1" t="str">
        <f aca="false">IF($BX544="concept_trains","{GREEN}Concept Vehicle",IF($BX544="!param_no_gameplay_units","{GREEN}Included for gameplay purposes",""))</f>
        <v/>
      </c>
      <c r="CM544" s="26" t="str">
        <f aca="false">IF(CA544="buffet","{YELLOW}25% long distance bonus for consist{}",IF(CD544="BRAKE","{YELLOW}Speed bonus for slow wagons{}",IF(BZ544&gt;190,CONCATENATE("{YELLOW}",INT((BZ544-185)/1.85),"%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{BLACK}Cars: {GOLD}2{}{BLACK}Length: {GOLD}1.0 tiles{}{SILVER}Built as permanently-coupled pairs of two-axle wagons, supposedly to capture an EU subsidy, these smaller cargowaggon sets continue to see service within the UK.</v>
      </c>
      <c r="XFD544" s="1"/>
    </row>
    <row r="545" customFormat="false" ht="14.25" hidden="false" customHeight="false" outlineLevel="0" collapsed="false">
      <c r="A545" s="1" t="s">
        <v>2033</v>
      </c>
      <c r="B545" s="15" t="s">
        <v>2034</v>
      </c>
      <c r="C545" s="1" t="n">
        <v>92</v>
      </c>
      <c r="E545" s="1" t="n">
        <v>1557</v>
      </c>
      <c r="G545" s="1" t="str">
        <f aca="false">IF($F545&lt;&gt;"",_xlfn.CONCAT(VLOOKUP($CE545, Constants!$T:$U, 2, FALSE()),",",$F545),VLOOKUP($CE545, Constants!$T:$U, 2, FALSE()))</f>
        <v>role/mail</v>
      </c>
      <c r="H545" s="1" t="str">
        <f aca="false">IF($G545&lt;&gt;"",_xlfn.CONCAT(VLOOKUP($CG545, Constants!$M:$P, 4, FALSE()),",",$G545),VLOOKUP($CG545, Constants!$M:$P, 4, FALSE()))</f>
        <v>flag/GB,role/mail</v>
      </c>
      <c r="I545" s="1" t="s">
        <v>241</v>
      </c>
      <c r="J545" s="1" t="s">
        <v>1580</v>
      </c>
      <c r="K545" s="1" t="s">
        <v>1580</v>
      </c>
      <c r="L545" s="1" t="s">
        <v>192</v>
      </c>
      <c r="M545" s="1" t="n">
        <v>1913</v>
      </c>
      <c r="N545" s="1" t="n">
        <v>1955</v>
      </c>
      <c r="O545" s="1" t="n">
        <v>1965</v>
      </c>
      <c r="Z545" s="1" t="n">
        <v>20</v>
      </c>
      <c r="AB545" s="1" t="n">
        <v>4</v>
      </c>
      <c r="AD545" s="4" t="str">
        <f aca="false">IF(AND(Z545&gt;0,AC545&gt;0),(AC545/((Z545+AA545)*10)),"")</f>
        <v/>
      </c>
      <c r="AE545" s="1" t="n">
        <v>70</v>
      </c>
      <c r="AF545" s="1" t="n">
        <f aca="false">ROUND(AE545*1.6, 0)</f>
        <v>112</v>
      </c>
      <c r="AH545" s="1" t="n">
        <v>15</v>
      </c>
      <c r="AI545" s="1" t="n">
        <v>15</v>
      </c>
      <c r="AL545" s="5" t="n">
        <v>60</v>
      </c>
      <c r="AM545" s="1" t="str">
        <f aca="false">CONCATENATE(VLOOKUP(AN545, 'Voxel Sizes'!$A$2:$B$18,2,FALSE()),"x",INT(AJ545*15), "x", INT(AK545*15))</f>
        <v>152x0x0</v>
      </c>
      <c r="AN545" s="1" t="n">
        <f aca="false">ROUND(15*((AI545*10)/256),0)</f>
        <v>9</v>
      </c>
      <c r="AP545" s="1" t="str">
        <f aca="false">CONCATENATE(VLOOKUP(AN545,Constants!$A$2:$C$16,IF(AO545&lt;&gt;"", 3, 2), FALSE()),IF(AO545&lt;&gt;"",CONCATENATE(",",VLOOKUP(AO545,$B:$AP,41,FALSE())),""))</f>
        <v>2,5,2</v>
      </c>
      <c r="AZ545" s="1" t="n">
        <v>30</v>
      </c>
      <c r="BA545" s="16" t="n">
        <f aca="false">IF(O545&lt;&gt;"",MAX(16,(O545-M545)+8),"")</f>
        <v>60</v>
      </c>
      <c r="BB545" s="1" t="n">
        <v>25</v>
      </c>
      <c r="BC545" s="1" t="n">
        <v>8</v>
      </c>
      <c r="BD545" s="1" t="n">
        <f aca="false">MIN(AE545/150, 1)*30</f>
        <v>14</v>
      </c>
      <c r="BE545" s="1" t="n">
        <f aca="false">MIN(Q545/4000, 1)*20</f>
        <v>0</v>
      </c>
      <c r="BF545" s="1" t="n">
        <f aca="false">MIN(AC545/400,1)*20</f>
        <v>0</v>
      </c>
      <c r="BG545" s="4" t="n">
        <f aca="false">1-(MAX(M545-1900, 0)/750)</f>
        <v>0.982666666666667</v>
      </c>
      <c r="BH545" s="1" t="n">
        <f aca="false">((MAX($P545,1)*MIN($AL545/300,1)))*IF(J545="Wagon",50,10)</f>
        <v>10</v>
      </c>
      <c r="BI545" s="1" t="n">
        <f aca="false">VLOOKUP($K545,Constants!$I:$K, 2, FALSE())</f>
        <v>1</v>
      </c>
      <c r="BJ545" s="1" t="n">
        <f aca="false">VLOOKUP($K545,Constants!$I:$K, 3, FALSE())*IF(AND(J545="multiple_unit",AE545&lt;110),0.75,1)</f>
        <v>0.45</v>
      </c>
      <c r="BK545" s="1" t="n">
        <f aca="false">INT(POWER(((Constants!$G$2+$BD545+$BE545+$BF545+$BH545)*$BG545)*$BJ545, 1.05))+$BC545</f>
        <v>22</v>
      </c>
      <c r="BL545" s="1" t="n">
        <f aca="false">INT(POWER((((Constants!$G$1+$BD545+$BE545+$BF545+$BH545)*($BG545))*$BI545),IF($J545="wagon",1,1.2)))+$BB545</f>
        <v>63</v>
      </c>
      <c r="BM545" s="17" t="n">
        <f aca="false">BK545*IF($J545="wagon",62.5,781.25)</f>
        <v>1375</v>
      </c>
      <c r="BN545" s="17" t="n">
        <f aca="false">BL545*IF($J545="wagon",2.73,81.25)</f>
        <v>171.99</v>
      </c>
      <c r="BU545" s="1" t="str">
        <f aca="false">IF(J545="locomotive","B","")</f>
        <v/>
      </c>
      <c r="BV545" s="1" t="str">
        <f aca="false">IF(OR($J545="locomotive",$J545="wagon"),"B","")</f>
        <v>B</v>
      </c>
      <c r="BY545" s="1" t="n">
        <v>1</v>
      </c>
      <c r="BZ545" s="1" t="n">
        <v>185</v>
      </c>
      <c r="CB545" s="1" t="s">
        <v>2035</v>
      </c>
      <c r="CC545" s="1" t="s">
        <v>706</v>
      </c>
      <c r="CD545" s="1" t="str">
        <f aca="false">VLOOKUP(M545,Eras!$A$2:$C$10, 2, TRUE())</f>
        <v>edw</v>
      </c>
      <c r="CE545" s="1" t="s">
        <v>1709</v>
      </c>
      <c r="CF545" s="1" t="str">
        <f aca="false">CONCATENATE(CD545,"_",CE545)</f>
        <v>edw_Mail Carriage</v>
      </c>
      <c r="CG545" s="1" t="str">
        <f aca="false">_xlfn.CONCAT(K545, "_",L545)</f>
        <v>wagon_RAIL</v>
      </c>
      <c r="CH545" s="7" t="str">
        <f aca="false">_xlfn.CONCAT("{BLACK}Length: {GOLD}", TEXT(ROUNDUP(IF(AS545&lt;&gt;"",SUM(VALUE(_xlfn.TEXTSPLIT(AS545, ","))), SUM(VALUE(_xlfn.TEXTSPLIT(AP545, ",")))*IF(P545, P545, 1))/16, 1), "#,##0.0"), " tiles{}")</f>
        <v>{BLACK}Length: {GOLD}0.6 tiles{}</v>
      </c>
      <c r="CI545" s="1" t="str">
        <f aca="false">IF(0, VLOOKUP($CG545, Constants!$M:$N, 2, FALSE()),"")</f>
        <v/>
      </c>
      <c r="CJ545" s="1" t="str">
        <f aca="false">IF(P545&gt;1,_xlfn.CONCAT("{BLACK}Cars: {GOLD}", P545),"")</f>
        <v/>
      </c>
      <c r="CK545" s="1" t="s">
        <v>2036</v>
      </c>
      <c r="CL545" s="1" t="str">
        <f aca="false">IF($BX545="concept_trains","{GREEN}Concept Vehicle",IF($BX545="!param_no_gameplay_units","{GREEN}Included for gameplay purposes",""))</f>
        <v/>
      </c>
      <c r="CM545" s="1" t="str">
        <f aca="false">IF(CA545="buffet","{YELLOW}25% long distance bonus for consist{}",IF(CC545="BRAKE","{YELLOW}Speed bonus for slow wagons{}",IF(BZ545&gt;190,CONCATENATE("{YELLOW}",INT((BZ545-185)/1.85),"%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{GOLD}0.6 tiles{}{SILVER}GWR's "Siphon" vans were built to carry loads of milk churns at passenger train speeds. They were also used for parcel and newspaper traffic, the basic design being built well into the BR era.</v>
      </c>
    </row>
    <row r="546" customFormat="false" ht="14.25" hidden="false" customHeight="false" outlineLevel="0" collapsed="false">
      <c r="A546" s="1" t="s">
        <v>2037</v>
      </c>
      <c r="B546" s="15" t="s">
        <v>2038</v>
      </c>
      <c r="C546" s="1" t="n">
        <v>93</v>
      </c>
      <c r="E546" s="1" t="n">
        <v>1558</v>
      </c>
      <c r="G546" s="1" t="str">
        <f aca="false">IF($F546&lt;&gt;"",_xlfn.CONCAT(VLOOKUP($CE546, Constants!$T:$U, 2, FALSE()),",",$F546),VLOOKUP($CE546, Constants!$T:$U, 2, FALSE()))</f>
        <v>role/mail</v>
      </c>
      <c r="H546" s="1" t="str">
        <f aca="false">IF($G546&lt;&gt;"",_xlfn.CONCAT(VLOOKUP($CG546, Constants!$M:$P, 4, FALSE()),",",$G546),VLOOKUP($CG546, Constants!$M:$P, 4, FALSE()))</f>
        <v>flag/GB,role/mail</v>
      </c>
      <c r="I546" s="1" t="s">
        <v>241</v>
      </c>
      <c r="J546" s="1" t="s">
        <v>1580</v>
      </c>
      <c r="K546" s="1" t="s">
        <v>1580</v>
      </c>
      <c r="L546" s="1" t="s">
        <v>192</v>
      </c>
      <c r="M546" s="1" t="n">
        <v>1950</v>
      </c>
      <c r="O546" s="1" t="n">
        <v>1975</v>
      </c>
      <c r="Z546" s="1" t="n">
        <v>18</v>
      </c>
      <c r="AB546" s="1" t="n">
        <v>4</v>
      </c>
      <c r="AD546" s="4" t="str">
        <f aca="false">IF(AND(Z546&gt;0,AC546&gt;0),(AC546/((Z546+AA546)*10)),"")</f>
        <v/>
      </c>
      <c r="AE546" s="1" t="n">
        <v>80</v>
      </c>
      <c r="AF546" s="1" t="n">
        <f aca="false">ROUND(AE546*1.6, 0)</f>
        <v>128</v>
      </c>
      <c r="AH546" s="1" t="n">
        <v>11.2</v>
      </c>
      <c r="AI546" s="1" t="n">
        <v>11.2</v>
      </c>
      <c r="AL546" s="5" t="n">
        <v>45</v>
      </c>
      <c r="AM546" s="1" t="str">
        <f aca="false">CONCATENATE(VLOOKUP(AN546, 'Voxel Sizes'!$A$2:$B$18,2,FALSE()),"x",INT(AJ546*15), "x", INT(AK546*15))</f>
        <v>120x0x0</v>
      </c>
      <c r="AN546" s="1" t="n">
        <f aca="false">ROUND(15*((AI546*10)/256),0)</f>
        <v>7</v>
      </c>
      <c r="AP546" s="1" t="str">
        <f aca="false">CONCATENATE(VLOOKUP(AN546,Constants!$A$2:$C$16,IF(AO546&lt;&gt;"", 3, 2), FALSE()),IF(AO546&lt;&gt;"",CONCATENATE(",",VLOOKUP(AO546,$B:$AP,41,FALSE())),""))</f>
        <v>2,3,2</v>
      </c>
      <c r="AZ546" s="1" t="n">
        <v>30</v>
      </c>
      <c r="BA546" s="16" t="n">
        <f aca="false">IF(O546&lt;&gt;"",MAX(16,(O546-M546)+8),"")</f>
        <v>33</v>
      </c>
      <c r="BB546" s="1" t="n">
        <v>25</v>
      </c>
      <c r="BC546" s="1" t="n">
        <v>9</v>
      </c>
      <c r="BD546" s="1" t="n">
        <f aca="false">MIN(AE546/150, 1)*30</f>
        <v>16</v>
      </c>
      <c r="BE546" s="1" t="n">
        <f aca="false">MIN(Q546/4000, 1)*20</f>
        <v>0</v>
      </c>
      <c r="BF546" s="1" t="n">
        <f aca="false">MIN(AC546/400,1)*20</f>
        <v>0</v>
      </c>
      <c r="BG546" s="4" t="n">
        <f aca="false">1-(MAX(M546-1900, 0)/750)</f>
        <v>0.933333333333333</v>
      </c>
      <c r="BH546" s="1" t="n">
        <f aca="false">((MAX($P546,1)*MIN($AL546/300,1)))*IF(J546="Wagon",50,10)</f>
        <v>7.5</v>
      </c>
      <c r="BI546" s="1" t="n">
        <f aca="false">VLOOKUP($K546,Constants!$I:$K, 2, FALSE())</f>
        <v>1</v>
      </c>
      <c r="BJ546" s="1" t="n">
        <f aca="false">VLOOKUP($K546,Constants!$I:$K, 3, FALSE())*IF(AND(J546="multiple_unit",AE546&lt;110),0.75,1)</f>
        <v>0.45</v>
      </c>
      <c r="BK546" s="1" t="n">
        <f aca="false">INT(POWER(((Constants!$G$2+$BD546+$BE546+$BF546+$BH546)*$BG546)*$BJ546, 1.05))+$BC546</f>
        <v>22</v>
      </c>
      <c r="BL546" s="1" t="n">
        <f aca="false">INT(POWER((((Constants!$G$1+$BD546+$BE546+$BF546+$BH546)*($BG546))*$BI546),IF($J546="wagon",1,1.2)))+$BB546</f>
        <v>60</v>
      </c>
      <c r="BM546" s="17" t="n">
        <f aca="false">BK546*IF($J546="wagon",62.5,781.25)</f>
        <v>1375</v>
      </c>
      <c r="BN546" s="17" t="n">
        <f aca="false">BL546*IF($J546="wagon",2.73,81.25)</f>
        <v>163.8</v>
      </c>
      <c r="BU546" s="1" t="str">
        <f aca="false">IF(J546="locomotive","B","")</f>
        <v/>
      </c>
      <c r="BV546" s="1" t="str">
        <f aca="false">IF(OR($J546="locomotive",$J546="wagon"),"B","")</f>
        <v>B</v>
      </c>
      <c r="BY546" s="1" t="n">
        <v>1</v>
      </c>
      <c r="BZ546" s="1" t="n">
        <v>185</v>
      </c>
      <c r="CB546" s="1" t="s">
        <v>705</v>
      </c>
      <c r="CC546" s="1" t="s">
        <v>706</v>
      </c>
      <c r="CD546" s="1" t="str">
        <f aca="false">VLOOKUP(M546,Eras!$A$2:$C$10, 2, TRUE())</f>
        <v>ebr</v>
      </c>
      <c r="CE546" s="1" t="s">
        <v>1709</v>
      </c>
      <c r="CF546" s="1" t="str">
        <f aca="false">CONCATENATE(CD546,"_",CE546)</f>
        <v>ebr_Mail Carriage</v>
      </c>
      <c r="CG546" s="1" t="str">
        <f aca="false">_xlfn.CONCAT(K546, "_",L546)</f>
        <v>wagon_RAIL</v>
      </c>
      <c r="CH546" s="7" t="str">
        <f aca="false">_xlfn.CONCAT("{BLACK}Length: {GOLD}", TEXT(ROUNDUP(IF(AS546&lt;&gt;"",SUM(VALUE(_xlfn.TEXTSPLIT(AS546, ","))), SUM(VALUE(_xlfn.TEXTSPLIT(AP546, ",")))*IF(P546, P546, 1))/16, 1), "#,##0.0"), " tiles{}")</f>
        <v>{BLACK}Length: {GOLD}0.5 tiles{}</v>
      </c>
      <c r="CI546" s="1" t="str">
        <f aca="false">IF(0, VLOOKUP($CG546, Constants!$M:$N, 2, FALSE()),"")</f>
        <v/>
      </c>
      <c r="CJ546" s="1" t="str">
        <f aca="false">IF(P546&gt;1,_xlfn.CONCAT("{BLACK}Cars: {GOLD}", P546),"")</f>
        <v/>
      </c>
      <c r="CK546" s="1" t="s">
        <v>2039</v>
      </c>
      <c r="CL546" s="1" t="str">
        <f aca="false">IF($BX546="concept_trains","{GREEN}Concept Vehicle",IF($BX546="!param_no_gameplay_units","{GREEN}Included for gameplay purposes",""))</f>
        <v/>
      </c>
      <c r="CM546" s="1" t="str">
        <f aca="false">IF(CA546="buffet","{YELLOW}25% long distance bonus for consist{}",IF(CC546="BRAKE","{YELLOW}Speed bonus for slow wagons{}",IF(BZ546&gt;190,CONCATENATE("{YELLOW}",INT((BZ546-185)/1.85),"%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{GOLD}0.5 tiles{}{SILVER}BR built several of these six-wheeled parcels vans in the early 1950s.</v>
      </c>
    </row>
    <row r="547" customFormat="false" ht="14.25" hidden="false" customHeight="false" outlineLevel="0" collapsed="false">
      <c r="A547" s="1" t="s">
        <v>2040</v>
      </c>
      <c r="B547" s="19" t="s">
        <v>2041</v>
      </c>
      <c r="C547" s="1" t="n">
        <v>1020</v>
      </c>
      <c r="E547" s="1" t="n">
        <v>1559</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241</v>
      </c>
      <c r="J547" s="1" t="s">
        <v>1580</v>
      </c>
      <c r="K547" s="1" t="s">
        <v>1580</v>
      </c>
      <c r="L547" s="1" t="s">
        <v>192</v>
      </c>
      <c r="M547" s="1" t="n">
        <v>1969</v>
      </c>
      <c r="Z547" s="1" t="n">
        <v>160</v>
      </c>
      <c r="AB547" s="1" t="n">
        <v>5</v>
      </c>
      <c r="AD547" s="4" t="str">
        <f aca="false">IF(AND(Z547&gt;0,AC547&gt;0),(AC547/((Z547+AA547)*10)),"")</f>
        <v/>
      </c>
      <c r="AE547" s="1" t="n">
        <v>65</v>
      </c>
      <c r="AF547" s="1" t="n">
        <f aca="false">ROUND(AE547*1.6, 0)</f>
        <v>104</v>
      </c>
      <c r="AH547" s="1" t="n">
        <v>25</v>
      </c>
      <c r="AI547" s="1" t="n">
        <v>22</v>
      </c>
      <c r="AL547" s="5" t="n">
        <v>81</v>
      </c>
      <c r="AM547" s="1" t="str">
        <f aca="false">CONCATENATE(VLOOKUP(AN547, 'Voxel Sizes'!$A$2:$B$18,2,FALSE()),"x",INT(AJ547*15), "x", INT(AK547*15))</f>
        <v>214x0x0</v>
      </c>
      <c r="AN547" s="16" t="n">
        <f aca="false">ROUND(15*((AI547*10)/256),0)</f>
        <v>13</v>
      </c>
      <c r="AP547" s="1" t="str">
        <f aca="false">CONCATENATE(VLOOKUP(AN547,Constants!$A$2:$C$16,IF(AO547&lt;&gt;"", 3, 2), FALSE()),IF(AO547&lt;&gt;"",CONCATENATE(",",VLOOKUP(AO547,$B:$AP,41,FALSE())),""))</f>
        <v>4,5,4</v>
      </c>
      <c r="AZ547" s="1" t="n">
        <v>30</v>
      </c>
      <c r="BA547" s="16" t="str">
        <f aca="false">IF(O547&lt;&gt;"",MAX(16,(O547-M547)+8),"")</f>
        <v/>
      </c>
      <c r="BD547" s="20" t="n">
        <f aca="false">MIN(AE547/150, 1)*30</f>
        <v>13</v>
      </c>
      <c r="BE547" s="20" t="n">
        <f aca="false">MIN(Q547/4000, 1)*20</f>
        <v>0</v>
      </c>
      <c r="BF547" s="20" t="n">
        <f aca="false">MIN(AC547/400,1)*20</f>
        <v>0</v>
      </c>
      <c r="BG547" s="21" t="n">
        <f aca="false">1-(MAX(M547-1900, 0)/750)</f>
        <v>0.908</v>
      </c>
      <c r="BH547" s="20" t="n">
        <f aca="false">((MAX($P547,1)*MIN($AL547/300,1)))*IF(J547="Wagon",50,10)</f>
        <v>13.5</v>
      </c>
      <c r="BI547" s="1" t="n">
        <f aca="false">VLOOKUP($K547,Constants!$I:$K, 2, FALSE())</f>
        <v>1</v>
      </c>
      <c r="BJ547" s="1" t="n">
        <f aca="false">VLOOKUP($K547,Constants!$I:$K, 3, FALSE())*IF(AND(J547="multiple_unit",AE547&lt;110),0.75,1)</f>
        <v>0.45</v>
      </c>
      <c r="BK547" s="1" t="n">
        <f aca="false">INT(POWER(((Constants!$G$2+$BD547+$BE547+$BF547+$BH547)*$BG547)*$BJ547, 1.05))+$BC547</f>
        <v>14</v>
      </c>
      <c r="BL547" s="1" t="n">
        <f aca="false">INT(POWER((((Constants!$G$1+$BD547+$BE547+$BF547+$BH547)*($BG547))*$BI547),IF($J547="wagon",1,1.2)))+$BB547</f>
        <v>37</v>
      </c>
      <c r="BM547" s="22" t="n">
        <f aca="false">BK547*IF($J547="wagon",62.5,781.25)</f>
        <v>875</v>
      </c>
      <c r="BN547" s="22" t="n">
        <f aca="false">BL547*IF($J547="wagon",2.73,81.25)</f>
        <v>101.01</v>
      </c>
      <c r="BU547" s="1" t="str">
        <f aca="false">IF(J547="locomotive","B","")</f>
        <v/>
      </c>
      <c r="BV547" s="1" t="str">
        <f aca="false">IF(OR($J547="locomotive",$J547="wagon"),"B","")</f>
        <v>B</v>
      </c>
      <c r="BY547" s="1" t="n">
        <v>1</v>
      </c>
      <c r="BZ547" s="1" t="n">
        <v>205</v>
      </c>
      <c r="CB547" s="1" t="s">
        <v>2042</v>
      </c>
      <c r="CC547" s="1" t="s">
        <v>367</v>
      </c>
      <c r="CD547" s="1" t="str">
        <f aca="false">VLOOKUP(M547,Eras!$A$2:$C$10, 2, TRUE())</f>
        <v>dsl</v>
      </c>
      <c r="CE547" s="26" t="s">
        <v>1877</v>
      </c>
      <c r="CF547" s="23" t="str">
        <f aca="false">CONCATENATE(CD547,"_",CE547)</f>
        <v>dsl_Extra</v>
      </c>
      <c r="CG547" s="23" t="str">
        <f aca="false">_xlfn.CONCAT(K547, "_",L547)</f>
        <v>wagon_RAIL</v>
      </c>
      <c r="CH547" s="7" t="str">
        <f aca="false">_xlfn.CONCAT("{BLACK}Length: {GOLD}", TEXT(ROUNDUP(IF(AS547&lt;&gt;"",SUM(VALUE(_xlfn.TEXTSPLIT(AS547, ","))), SUM(VALUE(_xlfn.TEXTSPLIT(AP547, ",")))*IF(P547, P547, 1))/16, 1), "#,##0.0"), " tiles{}")</f>
        <v>{BLACK}Length: {GOLD}0.9 tiles{}</v>
      </c>
      <c r="CI547" s="1" t="str">
        <f aca="false">IF(0, VLOOKUP($CG547, Constants!$M:$N, 2, FALSE()),"")</f>
        <v/>
      </c>
      <c r="CJ547" s="1" t="str">
        <f aca="false">IF(P547&gt;1,_xlfn.CONCAT("{BLACK}Cars: {GOLD}", P547),"")</f>
        <v/>
      </c>
      <c r="CK547" s="1" t="s">
        <v>2043</v>
      </c>
      <c r="CL547" s="1" t="str">
        <f aca="false">IF($BX547="concept_trains","{GREEN}Concept Vehicle",IF($BX547="!param_no_gameplay_units","{GREEN}Included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{YELLOW}10% bonus for long distance travel{}</v>
      </c>
      <c r="CN547" s="1" t="str">
        <f aca="false">_xlfn.CONCAT(CI547,IF(CI547&lt;&gt;""," ",""),CJ547,IF(OR(CJ547&lt;&gt;"",CI547&lt;&gt;""),"{}",""),CH547,CM547,"{SILVER}",CK547,IF(CL547&lt;&gt;"","{}{}",""),CL547)</f>
        <v>{BLACK}Length: {GOLD}0.9 tiles{}{YELLOW}10% bonus for long distance travel{}{SILVER}Torpedo cars haul molten metal directly from furnaces, meaning it does not have to be processed to an intermediate form and melted again.</v>
      </c>
    </row>
    <row r="548" customFormat="false" ht="14.25" hidden="false" customHeight="false" outlineLevel="0" collapsed="false">
      <c r="A548" s="1" t="s">
        <v>2044</v>
      </c>
      <c r="B548" s="15" t="s">
        <v>2045</v>
      </c>
      <c r="C548" s="1" t="n">
        <v>94</v>
      </c>
      <c r="E548" s="1" t="n">
        <v>1800</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241</v>
      </c>
      <c r="J548" s="1" t="s">
        <v>1580</v>
      </c>
      <c r="K548" s="1" t="s">
        <v>2046</v>
      </c>
      <c r="L548" s="1" t="s">
        <v>243</v>
      </c>
      <c r="M548" s="1" t="n">
        <v>1700</v>
      </c>
      <c r="O548" s="1" t="n">
        <v>1860</v>
      </c>
      <c r="Z548" s="1" t="n">
        <v>5</v>
      </c>
      <c r="AD548" s="4" t="str">
        <f aca="false">IF(AND(Z548&gt;0,AC548&gt;0),(AC548/((Z548+AA548)*10)),"")</f>
        <v/>
      </c>
      <c r="AE548" s="1" t="n">
        <v>39</v>
      </c>
      <c r="AF548" s="1" t="n">
        <f aca="false">ROUND(AE548*1.6, 0)</f>
        <v>62</v>
      </c>
      <c r="AH548" s="1" t="n">
        <v>6</v>
      </c>
      <c r="AI548" s="1" t="n">
        <v>6</v>
      </c>
      <c r="AL548" s="5" t="n">
        <v>0</v>
      </c>
      <c r="AM548" s="1" t="str">
        <f aca="false">CONCATENATE(VLOOKUP(AN548, 'Voxel Sizes'!$A$2:$B$18,2,FALSE()),"x",INT(AJ548*15), "x", INT(AK548*15))</f>
        <v>60x0x0</v>
      </c>
      <c r="AN548" s="1" t="n">
        <f aca="false">ROUND(15*((AI548*10)/256),0)</f>
        <v>4</v>
      </c>
      <c r="AP548" s="1" t="str">
        <f aca="false">CONCATENATE(VLOOKUP(AN548,Constants!$A$2:$C$16,IF(AO548&lt;&gt;"", 3, 2), FALSE()),IF(AO548&lt;&gt;"",CONCATENATE(",",VLOOKUP(AO548,$B:$AP,41,FALSE())),""))</f>
        <v>1,2,1</v>
      </c>
      <c r="AZ548" s="1" t="n">
        <v>30</v>
      </c>
      <c r="BA548" s="16" t="n">
        <f aca="false">IF(O548&lt;&gt;"",MAX(16,(O548-M548)+8),"")</f>
        <v>168</v>
      </c>
      <c r="BD548" s="1" t="n">
        <f aca="false">MIN(AE548/150, 1)*30</f>
        <v>7.8</v>
      </c>
      <c r="BE548" s="1" t="n">
        <f aca="false">MIN(Q548/4000, 1)*20</f>
        <v>0</v>
      </c>
      <c r="BF548" s="1" t="n">
        <f aca="false">MIN(AC548/400,1)*20</f>
        <v>0</v>
      </c>
      <c r="BG548" s="4" t="n">
        <f aca="false">1-(MAX(M548-1900, 0)/750)</f>
        <v>1</v>
      </c>
      <c r="BH548" s="1" t="n">
        <f aca="false">((MAX($P548,1)*MIN($AL548/300,1)))*IF(J548="Wagon",50,10)</f>
        <v>0</v>
      </c>
      <c r="BI548" s="1" t="n">
        <f aca="false">VLOOKUP($K548,Constants!$I:$K, 2, FALSE())</f>
        <v>1</v>
      </c>
      <c r="BJ548" s="1" t="n">
        <f aca="false">VLOOKUP($K548,Constants!$I:$K, 3, FALSE())*IF(AND(J548="multiple_unit",AE548&lt;110),0.75,1)</f>
        <v>0.4</v>
      </c>
      <c r="BK548" s="1" t="n">
        <f aca="false">INT(POWER(((Constants!$G$2+$BD548+$BE548+$BF548+$BH548)*$BG548)*$BJ548, 1.05))+$BC548</f>
        <v>5</v>
      </c>
      <c r="BL548" s="1" t="n">
        <f aca="false">INT(POWER((((Constants!$G$1+$BD548+$BE548+$BF548+$BH548)*($BG548))*$BI548),IF($J548="wagon",1,1.2)))+$BB548</f>
        <v>22</v>
      </c>
      <c r="BM548" s="17" t="n">
        <f aca="false">BK548*IF($J548="wagon",62.5,781.25)</f>
        <v>312.5</v>
      </c>
      <c r="BN548" s="17" t="n">
        <f aca="false">BL548*IF($J548="wagon",2.73,81.25)</f>
        <v>60.06</v>
      </c>
      <c r="BU548" s="1" t="str">
        <f aca="false">IF(J548="locomotive","B","")</f>
        <v/>
      </c>
      <c r="BV548" s="1" t="str">
        <f aca="false">IF(OR($J548="locomotive",$J548="wagon"),"B","")</f>
        <v>B</v>
      </c>
      <c r="BY548" s="1" t="n">
        <v>7</v>
      </c>
      <c r="CB548" s="1" t="s">
        <v>2047</v>
      </c>
      <c r="CC548" s="1" t="s">
        <v>2048</v>
      </c>
      <c r="CD548" s="1" t="str">
        <f aca="false">VLOOKUP(M548,Eras!$A$2:$C$10, 2, TRUE())</f>
        <v>early</v>
      </c>
      <c r="CE548" s="1" t="s">
        <v>1877</v>
      </c>
      <c r="CF548" s="1" t="str">
        <f aca="false">CONCATENATE(CD548,"_",CE548)</f>
        <v>early_Extra</v>
      </c>
      <c r="CG548" s="1" t="str">
        <f aca="false">_xlfn.CONCAT(K548, "_",L548)</f>
        <v>brake_PLATEWAY</v>
      </c>
      <c r="CH548" s="7" t="str">
        <f aca="false">_xlfn.CONCAT("{BLACK}Length: {GOLD}", TEXT(ROUNDUP(IF(AS548&lt;&gt;"",SUM(VALUE(_xlfn.TEXTSPLIT(AS548, ","))), SUM(VALUE(_xlfn.TEXTSPLIT(AP548, ",")))*IF(P548, P548, 1))/16, 1), "#,##0.0"), " tiles{}")</f>
        <v>{BLACK}Length: {GOLD}0.3 tiles{}</v>
      </c>
      <c r="CI548" s="1" t="str">
        <f aca="false">IF(0, VLOOKUP($CG548, Constants!$M:$N, 2, FALSE()),"")</f>
        <v/>
      </c>
      <c r="CJ548" s="1" t="str">
        <f aca="false">IF(P548&gt;1,_xlfn.CONCAT("{BLACK}Cars: {GOLD}", P548),"")</f>
        <v/>
      </c>
      <c r="CK548" s="1" t="s">
        <v>2049</v>
      </c>
      <c r="CL548" s="1" t="str">
        <f aca="false">IF($BX548="concept_trains","{GREEN}Concept Vehicle",IF($BX548="!param_no_gameplay_units","{GREEN}Included for gameplay purposes",""))</f>
        <v/>
      </c>
      <c r="CM548" s="1" t="str">
        <f aca="false">IF(CA548="buffet","{YELLOW}25% long distance bonus for consist{}",IF(CC548="BRAKE","{YELLOW}Speed bonus for slow wagons{}",IF(BZ548&gt;190,CONCATENATE("{YELLOW}",INT((BZ548-185)/1.85),"% bonus for long distance travel{}"),IF(AND(BZ548&lt;180,BZ548&lt;&gt;0),CONCATENATE("{YELLOW}",INT((185-BZ548)/1.85),"% penalty for long distance travel{}"),""))))</f>
        <v>{YELLOW}Speed bonus for slow wagons{}</v>
      </c>
      <c r="CN548" s="1" t="str">
        <f aca="false">_xlfn.CONCAT(CI548,IF(CI548&lt;&gt;""," ",""),CJ548,IF(OR(CJ548&lt;&gt;"",CI548&lt;&gt;""),"{}",""),CH548,CM548,"{SILVER}",CK548,IF(CL548&lt;&gt;"","{}{}",""),CL548)</f>
        <v>{BLACK}Length: {GOLD}0.3 tiles{}{YELLOW}Speed bonus for slow wagons{}{SILVER}Early brake wagons were little more than open wagons with basic friction brakes added.</v>
      </c>
    </row>
    <row r="549" customFormat="false" ht="14.25" hidden="false" customHeight="false" outlineLevel="0" collapsed="false">
      <c r="A549" s="1" t="s">
        <v>2050</v>
      </c>
      <c r="B549" s="15" t="s">
        <v>2051</v>
      </c>
      <c r="C549" s="1" t="n">
        <v>95</v>
      </c>
      <c r="E549" s="1" t="n">
        <v>1801</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241</v>
      </c>
      <c r="J549" s="1" t="s">
        <v>1580</v>
      </c>
      <c r="K549" s="1" t="s">
        <v>2046</v>
      </c>
      <c r="L549" s="1" t="s">
        <v>192</v>
      </c>
      <c r="M549" s="1" t="n">
        <v>1850</v>
      </c>
      <c r="O549" s="1" t="n">
        <v>1910</v>
      </c>
      <c r="Z549" s="1" t="n">
        <v>10</v>
      </c>
      <c r="AD549" s="4" t="str">
        <f aca="false">IF(AND(Z549&gt;0,AC549&gt;0),(AC549/((Z549+AA549)*10)),"")</f>
        <v/>
      </c>
      <c r="AE549" s="1" t="n">
        <v>50</v>
      </c>
      <c r="AF549" s="1" t="n">
        <f aca="false">ROUND(AE549*1.6, 0)</f>
        <v>80</v>
      </c>
      <c r="AH549" s="1" t="n">
        <v>6</v>
      </c>
      <c r="AI549" s="1" t="n">
        <v>6</v>
      </c>
      <c r="AL549" s="5" t="n">
        <v>0</v>
      </c>
      <c r="AM549" s="1" t="str">
        <f aca="false">CONCATENATE(VLOOKUP(AN549, 'Voxel Sizes'!$A$2:$B$18,2,FALSE()),"x",INT(AJ549*15), "x", INT(AK549*15))</f>
        <v>60x0x0</v>
      </c>
      <c r="AN549" s="1" t="n">
        <f aca="false">ROUND(15*((AI549*10)/256),0)</f>
        <v>4</v>
      </c>
      <c r="AP549" s="1" t="str">
        <f aca="false">CONCATENATE(VLOOKUP(AN549,Constants!$A$2:$C$16,IF(AO549&lt;&gt;"", 3, 2), FALSE()),IF(AO549&lt;&gt;"",CONCATENATE(",",VLOOKUP(AO549,$B:$AP,41,FALSE())),""))</f>
        <v>1,2,1</v>
      </c>
      <c r="AZ549" s="1" t="n">
        <v>30</v>
      </c>
      <c r="BA549" s="16" t="n">
        <f aca="false">IF(O549&lt;&gt;"",MAX(16,(O549-M549)+8),"")</f>
        <v>68</v>
      </c>
      <c r="BD549" s="1" t="n">
        <f aca="false">MIN(AE549/150, 1)*30</f>
        <v>10</v>
      </c>
      <c r="BE549" s="1" t="n">
        <f aca="false">MIN(Q549/4000, 1)*20</f>
        <v>0</v>
      </c>
      <c r="BF549" s="1" t="n">
        <f aca="false">MIN(AC549/400,1)*20</f>
        <v>0</v>
      </c>
      <c r="BG549" s="4" t="n">
        <f aca="false">1-(MAX(M549-1900, 0)/750)</f>
        <v>1</v>
      </c>
      <c r="BH549" s="1" t="n">
        <f aca="false">((MAX($P549,1)*MIN($AL549/300,1)))*IF(J549="Wagon",50,10)</f>
        <v>0</v>
      </c>
      <c r="BI549" s="1" t="n">
        <f aca="false">VLOOKUP($K549,Constants!$I:$K, 2, FALSE())</f>
        <v>1</v>
      </c>
      <c r="BJ549" s="1" t="n">
        <f aca="false">VLOOKUP($K549,Constants!$I:$K, 3, FALSE())*IF(AND(J549="multiple_unit",AE549&lt;110),0.75,1)</f>
        <v>0.4</v>
      </c>
      <c r="BK549" s="1" t="n">
        <f aca="false">INT(POWER(((Constants!$G$2+$BD549+$BE549+$BF549+$BH549)*$BG549)*$BJ549, 1.05))+$BC549</f>
        <v>6</v>
      </c>
      <c r="BL549" s="1" t="n">
        <f aca="false">INT(POWER((((Constants!$G$1+$BD549+$BE549+$BF549+$BH549)*($BG549))*$BI549),IF($J549="wagon",1,1.2)))+$BB549</f>
        <v>25</v>
      </c>
      <c r="BM549" s="17" t="n">
        <f aca="false">BK549*IF($J549="wagon",62.5,781.25)</f>
        <v>375</v>
      </c>
      <c r="BN549" s="17" t="n">
        <f aca="false">BL549*IF($J549="wagon",2.73,81.25)</f>
        <v>68.25</v>
      </c>
      <c r="BU549" s="1" t="str">
        <f aca="false">IF(J549="locomotive","B","")</f>
        <v/>
      </c>
      <c r="BV549" s="1" t="str">
        <f aca="false">IF(OR($J549="locomotive",$J549="wagon"),"B","")</f>
        <v>B</v>
      </c>
      <c r="BY549" s="1" t="n">
        <v>7</v>
      </c>
      <c r="CB549" s="1" t="s">
        <v>2047</v>
      </c>
      <c r="CC549" s="1" t="s">
        <v>2048</v>
      </c>
      <c r="CD549" s="1" t="str">
        <f aca="false">VLOOKUP(M549,Eras!$A$2:$C$10, 2, TRUE())</f>
        <v>vct</v>
      </c>
      <c r="CE549" s="1" t="s">
        <v>1877</v>
      </c>
      <c r="CF549" s="1" t="str">
        <f aca="false">CONCATENATE(CD549,"_",CE549)</f>
        <v>vct_Extra</v>
      </c>
      <c r="CG549" s="1" t="str">
        <f aca="false">_xlfn.CONCAT(K549, "_",L549)</f>
        <v>brake_RAIL</v>
      </c>
      <c r="CH549" s="7" t="str">
        <f aca="false">_xlfn.CONCAT("{BLACK}Length: {GOLD}", TEXT(ROUNDUP(IF(AS549&lt;&gt;"",SUM(VALUE(_xlfn.TEXTSPLIT(AS549, ","))), SUM(VALUE(_xlfn.TEXTSPLIT(AP549, ",")))*IF(P549, P549, 1))/16, 1), "#,##0.0"), " tiles{}")</f>
        <v>{BLACK}Length: {GOLD}0.3 tiles{}</v>
      </c>
      <c r="CI549" s="1" t="str">
        <f aca="false">IF(0, VLOOKUP($CG549, Constants!$M:$N, 2, FALSE()),"")</f>
        <v/>
      </c>
      <c r="CJ549" s="1" t="str">
        <f aca="false">IF(P549&gt;1,_xlfn.CONCAT("{BLACK}Cars: {GOLD}", P549),"")</f>
        <v/>
      </c>
      <c r="CK549" s="1" t="s">
        <v>2052</v>
      </c>
      <c r="CL549" s="1" t="str">
        <f aca="false">IF($BX549="concept_trains","{GREEN}Concept Vehicle",IF($BX549="!param_no_gameplay_units","{GREEN}Included for gameplay purposes",""))</f>
        <v/>
      </c>
      <c r="CM549" s="1" t="str">
        <f aca="false">IF(CA549="buffet","{YELLOW}25% long distance bonus for consist{}",IF(CC549="BRAKE","{YELLOW}Speed bonus for slow wagons{}",IF(BZ549&gt;190,CONCATENATE("{YELLOW}",INT((BZ549-185)/1.85),"% bonus for long distance travel{}"),IF(AND(BZ549&lt;180,BZ549&lt;&gt;0),CONCATENATE("{YELLOW}",INT((185-BZ549)/1.85),"% penalty for long distance travel{}"),""))))</f>
        <v>{YELLOW}Speed bonus for slow wagons{}</v>
      </c>
      <c r="CN549" s="1" t="str">
        <f aca="false">_xlfn.CONCAT(CI549,IF(CI549&lt;&gt;""," ",""),CJ549,IF(OR(CJ549&lt;&gt;"",CI549&lt;&gt;""),"{}",""),CH549,CM549,"{SILVER}",CK549,IF(CL549&lt;&gt;"","{}{}",""),CL549)</f>
        <v>{BLACK}Length: {GOLD}0.3 tiles{}{YELLOW}Speed bonus for slow wagons{}{SILVER}Brake vans gave extra braking power to allow trains to run at higher speed, and also gave a place for a guard to look after the train from the rear.</v>
      </c>
    </row>
    <row r="550" customFormat="false" ht="14.25" hidden="false" customHeight="false" outlineLevel="0" collapsed="false">
      <c r="A550" s="1" t="s">
        <v>2053</v>
      </c>
      <c r="B550" s="15" t="s">
        <v>2054</v>
      </c>
      <c r="C550" s="1" t="n">
        <v>96</v>
      </c>
      <c r="E550" s="1" t="n">
        <v>1802</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241</v>
      </c>
      <c r="J550" s="1" t="s">
        <v>1580</v>
      </c>
      <c r="K550" s="1" t="s">
        <v>2046</v>
      </c>
      <c r="L550" s="1" t="s">
        <v>192</v>
      </c>
      <c r="M550" s="1" t="n">
        <v>1894</v>
      </c>
      <c r="O550" s="1" t="n">
        <v>1970</v>
      </c>
      <c r="Z550" s="1" t="n">
        <v>20</v>
      </c>
      <c r="AD550" s="4" t="str">
        <f aca="false">IF(AND(Z550&gt;0,AC550&gt;0),(AC550/((Z550+AA550)*10)),"")</f>
        <v/>
      </c>
      <c r="AE550" s="1" t="n">
        <v>70</v>
      </c>
      <c r="AF550" s="1" t="n">
        <f aca="false">ROUND(AE550*1.6, 0)</f>
        <v>112</v>
      </c>
      <c r="AH550" s="1" t="n">
        <v>7.3</v>
      </c>
      <c r="AI550" s="1" t="n">
        <v>11</v>
      </c>
      <c r="AL550" s="5" t="n">
        <v>0</v>
      </c>
      <c r="AM550" s="1" t="str">
        <f aca="false">CONCATENATE(VLOOKUP(AN550, 'Voxel Sizes'!$A$2:$B$18,2,FALSE()),"x",INT(AJ550*15), "x", INT(AK550*15))</f>
        <v>102x0x0</v>
      </c>
      <c r="AN550" s="1" t="n">
        <f aca="false">ROUND(15*((AI550*10)/256),0)</f>
        <v>6</v>
      </c>
      <c r="AP550" s="1" t="str">
        <f aca="false">CONCATENATE(VLOOKUP(AN550,Constants!$A$2:$C$16,IF(AO550&lt;&gt;"", 3, 2), FALSE()),IF(AO550&lt;&gt;"",CONCATENATE(",",VLOOKUP(AO550,$B:$AP,41,FALSE())),""))</f>
        <v>2,2,2</v>
      </c>
      <c r="AZ550" s="1" t="n">
        <v>30</v>
      </c>
      <c r="BA550" s="16" t="n">
        <f aca="false">IF(O550&lt;&gt;"",MAX(16,(O550-M550)+8),"")</f>
        <v>84</v>
      </c>
      <c r="BD550" s="1" t="n">
        <f aca="false">MIN(AE550/150, 1)*30</f>
        <v>14</v>
      </c>
      <c r="BE550" s="1" t="n">
        <f aca="false">MIN(Q550/4000, 1)*20</f>
        <v>0</v>
      </c>
      <c r="BF550" s="1" t="n">
        <f aca="false">MIN(AC550/400,1)*20</f>
        <v>0</v>
      </c>
      <c r="BG550" s="4" t="n">
        <f aca="false">1-(MAX(M550-1900, 0)/750)</f>
        <v>1</v>
      </c>
      <c r="BH550" s="1" t="n">
        <f aca="false">((MAX($P550,1)*MIN($AL550/300,1)))*IF(J550="Wagon",50,10)</f>
        <v>0</v>
      </c>
      <c r="BI550" s="1" t="n">
        <f aca="false">VLOOKUP($K550,Constants!$I:$K, 2, FALSE())</f>
        <v>1</v>
      </c>
      <c r="BJ550" s="1" t="n">
        <f aca="false">VLOOKUP($K550,Constants!$I:$K, 3, FALSE())*IF(AND(J550="multiple_unit",AE550&lt;110),0.75,1)</f>
        <v>0.4</v>
      </c>
      <c r="BK550" s="1" t="n">
        <f aca="false">INT(POWER(((Constants!$G$2+$BD550+$BE550+$BF550+$BH550)*$BG550)*$BJ550, 1.05))+$BC550</f>
        <v>8</v>
      </c>
      <c r="BL550" s="1" t="n">
        <f aca="false">INT(POWER((((Constants!$G$1+$BD550+$BE550+$BF550+$BH550)*($BG550))*$BI550),IF($J550="wagon",1,1.2)))+$BB550</f>
        <v>29</v>
      </c>
      <c r="BM550" s="17" t="n">
        <f aca="false">BK550*IF($J550="wagon",62.5,781.25)</f>
        <v>500</v>
      </c>
      <c r="BN550" s="17" t="n">
        <f aca="false">BL550*IF($J550="wagon",2.73,81.25)</f>
        <v>79.17</v>
      </c>
      <c r="BU550" s="1" t="str">
        <f aca="false">IF(J550="locomotive","B","")</f>
        <v/>
      </c>
      <c r="BV550" s="1" t="str">
        <f aca="false">IF(OR($J550="locomotive",$J550="wagon"),"B","")</f>
        <v>B</v>
      </c>
      <c r="BY550" s="1" t="n">
        <v>7</v>
      </c>
      <c r="CB550" s="1" t="s">
        <v>2047</v>
      </c>
      <c r="CC550" s="1" t="s">
        <v>2048</v>
      </c>
      <c r="CD550" s="1" t="str">
        <f aca="false">VLOOKUP(M550,Eras!$A$2:$C$10, 2, TRUE())</f>
        <v>vct</v>
      </c>
      <c r="CE550" s="1" t="s">
        <v>1877</v>
      </c>
      <c r="CF550" s="1" t="str">
        <f aca="false">CONCATENATE(CD550,"_",CE550)</f>
        <v>vct_Extra</v>
      </c>
      <c r="CG550" s="1" t="str">
        <f aca="false">_xlfn.CONCAT(K550, "_",L550)</f>
        <v>brake_RAIL</v>
      </c>
      <c r="CH550" s="7" t="str">
        <f aca="false">_xlfn.CONCAT("{BLACK}Length: {GOLD}", TEXT(ROUNDUP(IF(AS550&lt;&gt;"",SUM(VALUE(_xlfn.TEXTSPLIT(AS550, ","))), SUM(VALUE(_xlfn.TEXTSPLIT(AP550, ",")))*IF(P550, P550, 1))/16, 1), "#,##0.0"), " tiles{}")</f>
        <v>{BLACK}Length: {GOLD}0.4 tiles{}</v>
      </c>
      <c r="CI550" s="1" t="str">
        <f aca="false">IF(0, VLOOKUP($CG550, Constants!$M:$N, 2, FALSE()),"")</f>
        <v/>
      </c>
      <c r="CJ550" s="1" t="str">
        <f aca="false">IF(P550&gt;1,_xlfn.CONCAT("{BLACK}Cars: {GOLD}", P550),"")</f>
        <v/>
      </c>
      <c r="CK550" s="1" t="s">
        <v>2055</v>
      </c>
      <c r="CL550" s="1" t="str">
        <f aca="false">IF($BX550="concept_trains","{GREEN}Concept Vehicle",IF($BX550="!param_no_gameplay_units","{GREEN}Included for gameplay purposes",""))</f>
        <v/>
      </c>
      <c r="CM550" s="1" t="str">
        <f aca="false">IF(CA550="buffet","{YELLOW}25% long distance bonus for consist{}",IF(CC550="BRAKE","{YELLOW}Speed bonus for slow wagons{}",IF(BZ550&gt;190,CONCATENATE("{YELLOW}",INT((BZ550-185)/1.85),"% bonus for long distance travel{}"),IF(AND(BZ550&lt;180,BZ550&lt;&gt;0),CONCATENATE("{YELLOW}",INT((185-BZ550)/1.85),"% penalty for long distance travel{}"),""))))</f>
        <v>{YELLOW}Speed bonus for slow wagons{}</v>
      </c>
      <c r="CN550" s="1" t="str">
        <f aca="false">_xlfn.CONCAT(CI550,IF(CI550&lt;&gt;""," ",""),CJ550,IF(OR(CJ550&lt;&gt;"",CI550&lt;&gt;""),"{}",""),CH550,CM550,"{SILVER}",CK550,IF(CL550&lt;&gt;"","{}{}",""),CL550)</f>
        <v>{BLACK}Length: {GOLD}0.4 tiles{}{YELLOW}Speed bonus for slow wagons{}{SILVER}The Great Western Railway standardised brake van designs from 1894. The distinctive design includes an open "veranda" at the back of the vehicle.</v>
      </c>
    </row>
    <row r="551" s="26" customFormat="true" ht="14.25" hidden="false" customHeight="false" outlineLevel="0" collapsed="false">
      <c r="A551" s="26" t="s">
        <v>2056</v>
      </c>
      <c r="B551" s="27" t="s">
        <v>2057</v>
      </c>
      <c r="C551" s="1" t="n">
        <v>3102</v>
      </c>
      <c r="E551" s="1" t="n">
        <v>1803</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26" t="s">
        <v>241</v>
      </c>
      <c r="J551" s="26" t="s">
        <v>1580</v>
      </c>
      <c r="K551" s="26" t="s">
        <v>2046</v>
      </c>
      <c r="L551" s="26" t="s">
        <v>192</v>
      </c>
      <c r="M551" s="26" t="n">
        <v>1924</v>
      </c>
      <c r="N551" s="26" t="n">
        <v>1955</v>
      </c>
      <c r="O551" s="26" t="n">
        <v>1961</v>
      </c>
      <c r="R551" s="2"/>
      <c r="S551" s="3"/>
      <c r="T551" s="3"/>
      <c r="U551" s="3"/>
      <c r="V551" s="3"/>
      <c r="W551" s="3"/>
      <c r="X551" s="3"/>
      <c r="Y551" s="3"/>
      <c r="Z551" s="26" t="n">
        <v>20</v>
      </c>
      <c r="AA551" s="2"/>
      <c r="AB551" s="26" t="n">
        <v>4</v>
      </c>
      <c r="AD551" s="4" t="str">
        <f aca="false">IF(AND(Z551&gt;0,AC551&gt;0),(AC551/((Z551+AA551)*10)),"")</f>
        <v/>
      </c>
      <c r="AE551" s="26" t="n">
        <v>60</v>
      </c>
      <c r="AF551" s="26" t="n">
        <f aca="false">ROUND(AE551*1.6, 0)</f>
        <v>96</v>
      </c>
      <c r="AH551" s="26" t="n">
        <v>6.1</v>
      </c>
      <c r="AI551" s="26" t="n">
        <v>8</v>
      </c>
      <c r="AJ551" s="26" t="n">
        <v>2.5</v>
      </c>
      <c r="AK551" s="26" t="n">
        <v>3.35</v>
      </c>
      <c r="AL551" s="5" t="n">
        <v>0</v>
      </c>
      <c r="AM551" s="1" t="str">
        <f aca="false">CONCATENATE(VLOOKUP(AN551, 'Voxel Sizes'!$A$2:$B$18,2,FALSE()),"x",INT(AJ551*15), "x", INT(AK551*15))</f>
        <v>82x37x50</v>
      </c>
      <c r="AN551" s="26" t="n">
        <f aca="false">ROUND(15*((AI551*10)/256),0)</f>
        <v>5</v>
      </c>
      <c r="AP551" s="1" t="str">
        <f aca="false">CONCATENATE(VLOOKUP(AN551,Constants!$A$2:$C$16,IF(AO551&lt;&gt;"", 3, 2), FALSE()),IF(AO551&lt;&gt;"",CONCATENATE(",",VLOOKUP(AO551,$B:$AP,41,FALSE())),""))</f>
        <v>2,1,2</v>
      </c>
      <c r="AR551" s="6"/>
      <c r="AS551" s="6"/>
      <c r="AZ551" s="26" t="n">
        <v>50</v>
      </c>
      <c r="BA551" s="16" t="n">
        <f aca="false">IF(O551&lt;&gt;"",MAX(16,(O551-M551)+8),"")</f>
        <v>45</v>
      </c>
      <c r="BB551" s="26" t="n">
        <v>12</v>
      </c>
      <c r="BC551" s="26" t="n">
        <v>6</v>
      </c>
      <c r="BD551" s="26" t="n">
        <f aca="false">MIN(AE551/150, 1)*30</f>
        <v>12</v>
      </c>
      <c r="BE551" s="26" t="n">
        <f aca="false">MIN(Q551/4000, 1)*20</f>
        <v>0</v>
      </c>
      <c r="BF551" s="26" t="n">
        <f aca="false">MIN(AC551/400,1)*20</f>
        <v>0</v>
      </c>
      <c r="BG551" s="4" t="n">
        <f aca="false">1-(MAX(M551-1900, 0)/750)</f>
        <v>0.968</v>
      </c>
      <c r="BH551" s="26" t="n">
        <f aca="false">((MAX($P551,1)*MIN($AL551/300,1)))*IF(J551="Wagon",50,10)</f>
        <v>0</v>
      </c>
      <c r="BI551" s="1" t="n">
        <f aca="false">VLOOKUP($K551,Constants!$I:$K, 2, FALSE())</f>
        <v>1</v>
      </c>
      <c r="BJ551" s="1" t="n">
        <f aca="false">VLOOKUP($K551,Constants!$I:$K, 3, FALSE())*IF(AND(J551="multiple_unit",AE551&lt;110),0.75,1)</f>
        <v>0.4</v>
      </c>
      <c r="BK551" s="1" t="n">
        <f aca="false">INT(POWER(((Constants!$G$2+$BD551+$BE551+$BF551+$BH551)*$BG551)*$BJ551, 1.05))+$BC551</f>
        <v>13</v>
      </c>
      <c r="BL551" s="1" t="n">
        <f aca="false">INT(POWER((((Constants!$G$1+$BD551+$BE551+$BF551+$BH551)*($BG551))*$BI551),IF($J551="wagon",1,1.2)))+$BB551</f>
        <v>38</v>
      </c>
      <c r="BM551" s="17" t="n">
        <f aca="false">BK551*IF($J551="wagon",62.5,781.25)</f>
        <v>812.5</v>
      </c>
      <c r="BN551" s="17" t="n">
        <f aca="false">BL551*IF($J551="wagon",2.73,81.25)</f>
        <v>103.74</v>
      </c>
      <c r="BU551" s="1" t="str">
        <f aca="false">IF(J551="locomotive","B","")</f>
        <v/>
      </c>
      <c r="BV551" s="1" t="str">
        <f aca="false">IF(OR($J551="locomotive",$J551="wagon"),"B","")</f>
        <v>B</v>
      </c>
      <c r="BY551" s="26" t="n">
        <v>1</v>
      </c>
      <c r="CB551" s="26" t="s">
        <v>2047</v>
      </c>
      <c r="CC551" s="26" t="s">
        <v>2048</v>
      </c>
      <c r="CD551" s="1" t="str">
        <f aca="false">VLOOKUP(M551,Eras!$A$2:$C$10, 2, TRUE())</f>
        <v>big4</v>
      </c>
      <c r="CE551" s="26" t="s">
        <v>1877</v>
      </c>
      <c r="CF551" s="26" t="str">
        <f aca="false">CONCATENATE(CD551,"_",CE551)</f>
        <v>big4_Extra</v>
      </c>
      <c r="CG551" s="26" t="str">
        <f aca="false">_xlfn.CONCAT(K551, "_",L551)</f>
        <v>brake_RAIL</v>
      </c>
      <c r="CH551" s="7" t="str">
        <f aca="false">_xlfn.CONCAT("{BLACK}Length: {GOLD}", TEXT(ROUNDUP(IF(AS551&lt;&gt;"",SUM(VALUE(_xlfn.TEXTSPLIT(AS551, ","))), SUM(VALUE(_xlfn.TEXTSPLIT(AP551, ",")))*IF(P551, P551, 1))/16, 1), "#,##0.0"), " tiles{}")</f>
        <v>{BLACK}Length: {GOLD}0.4 tiles{}</v>
      </c>
      <c r="CI551" s="1" t="str">
        <f aca="false">IF(0, VLOOKUP($CG551, Constants!$M:$N, 2, FALSE()),"")</f>
        <v/>
      </c>
      <c r="CJ551" s="1" t="str">
        <f aca="false">IF(P551&gt;1,_xlfn.CONCAT("{BLACK}Cars: {GOLD}", P551),"")</f>
        <v/>
      </c>
      <c r="CK551" s="26" t="s">
        <v>2058</v>
      </c>
      <c r="CL551" s="1" t="str">
        <f aca="false">IF($BX551="concept_trains","{GREEN}Concept Vehicle",IF($BX551="!param_no_gameplay_units","{GREEN}Included for gameplay purposes",""))</f>
        <v/>
      </c>
      <c r="CM551" s="26" t="str">
        <f aca="false">IF(CC551="buffet","{YELLOW}25% long distance bonus for consist{}",IF(CD551="BRAKE","{YELLOW}Speed bonus for slow wagons{}",IF(BZ551&gt;190,CONCATENATE("{YELLOW}",INT((BZ551-185)/1.85),"%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{GOLD}0.4 tiles{}{SILVER}This Midland Railway design of Brake Van was also built by the LMS - over 800 were constructed and they were still extant into the early 1960s.</v>
      </c>
      <c r="XFD551" s="1"/>
    </row>
    <row r="552" s="26" customFormat="true" ht="14.25" hidden="false" customHeight="false" outlineLevel="0" collapsed="false">
      <c r="A552" s="26" t="s">
        <v>2059</v>
      </c>
      <c r="B552" s="27" t="s">
        <v>2060</v>
      </c>
      <c r="C552" s="1" t="n">
        <v>3105</v>
      </c>
      <c r="E552" s="1" t="n">
        <v>1804</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26" t="s">
        <v>241</v>
      </c>
      <c r="J552" s="26" t="s">
        <v>1580</v>
      </c>
      <c r="K552" s="26" t="s">
        <v>2046</v>
      </c>
      <c r="L552" s="26" t="s">
        <v>192</v>
      </c>
      <c r="M552" s="26" t="n">
        <v>1936</v>
      </c>
      <c r="N552" s="26" t="n">
        <v>1990</v>
      </c>
      <c r="O552" s="26" t="n">
        <v>1998</v>
      </c>
      <c r="R552" s="2"/>
      <c r="S552" s="3"/>
      <c r="T552" s="3"/>
      <c r="U552" s="3"/>
      <c r="V552" s="3"/>
      <c r="W552" s="3"/>
      <c r="X552" s="3"/>
      <c r="Y552" s="3"/>
      <c r="Z552" s="26" t="n">
        <v>26</v>
      </c>
      <c r="AA552" s="2"/>
      <c r="AB552" s="26" t="n">
        <v>4</v>
      </c>
      <c r="AD552" s="4" t="str">
        <f aca="false">IF(AND(Z552&gt;0,AC552&gt;0),(AC552/((Z552+AA552)*10)),"")</f>
        <v/>
      </c>
      <c r="AE552" s="26" t="n">
        <v>75</v>
      </c>
      <c r="AF552" s="26" t="n">
        <f aca="false">ROUND(AE552*1.6, 0)</f>
        <v>120</v>
      </c>
      <c r="AH552" s="26" t="n">
        <v>12.8</v>
      </c>
      <c r="AI552" s="26" t="n">
        <v>12.8</v>
      </c>
      <c r="AJ552" s="26" t="n">
        <v>2.5</v>
      </c>
      <c r="AK552" s="26" t="n">
        <v>3.35</v>
      </c>
      <c r="AL552" s="5" t="n">
        <v>0</v>
      </c>
      <c r="AM552" s="1" t="str">
        <f aca="false">CONCATENATE(VLOOKUP(AN552, 'Voxel Sizes'!$A$2:$B$18,2,FALSE()),"x",INT(AJ552*15), "x", INT(AK552*15))</f>
        <v>136x37x50</v>
      </c>
      <c r="AN552" s="26" t="n">
        <f aca="false">ROUND(15*((AI552*10)/256),0)</f>
        <v>8</v>
      </c>
      <c r="AP552" s="1" t="str">
        <f aca="false">CONCATENATE(VLOOKUP(AN552,Constants!$A$2:$C$16,IF(AO552&lt;&gt;"", 3, 2), FALSE()),IF(AO552&lt;&gt;"",CONCATENATE(",",VLOOKUP(AO552,$B:$AP,41,FALSE())),""))</f>
        <v>2,4,2</v>
      </c>
      <c r="AR552" s="6"/>
      <c r="AS552" s="6"/>
      <c r="AZ552" s="26" t="n">
        <v>50</v>
      </c>
      <c r="BA552" s="16" t="n">
        <f aca="false">IF(O552&lt;&gt;"",MAX(16,(O552-M552)+8),"")</f>
        <v>70</v>
      </c>
      <c r="BD552" s="26" t="n">
        <f aca="false">MIN(AE552/150, 1)*30</f>
        <v>15</v>
      </c>
      <c r="BE552" s="26" t="n">
        <f aca="false">MIN(Q552/4000, 1)*20</f>
        <v>0</v>
      </c>
      <c r="BF552" s="26" t="n">
        <f aca="false">MIN(AC552/400,1)*20</f>
        <v>0</v>
      </c>
      <c r="BG552" s="4" t="n">
        <f aca="false">1-(MAX(M552-1900, 0)/750)</f>
        <v>0.952</v>
      </c>
      <c r="BH552" s="26" t="n">
        <f aca="false">((MAX($P552,1)*MIN($AL552/300,1)))*IF(J552="Wagon",50,10)</f>
        <v>0</v>
      </c>
      <c r="BI552" s="1" t="n">
        <f aca="false">VLOOKUP($K552,Constants!$I:$K, 2, FALSE())</f>
        <v>1</v>
      </c>
      <c r="BJ552" s="1" t="n">
        <f aca="false">VLOOKUP($K552,Constants!$I:$K, 3, FALSE())*IF(AND(J552="multiple_unit",AE552&lt;110),0.75,1)</f>
        <v>0.4</v>
      </c>
      <c r="BK552" s="1" t="n">
        <f aca="false">INT(POWER(((Constants!$G$2+$BD552+$BE552+$BF552+$BH552)*$BG552)*$BJ552, 1.05))+$BC552</f>
        <v>8</v>
      </c>
      <c r="BL552" s="1" t="n">
        <f aca="false">INT(POWER((((Constants!$G$1+$BD552+$BE552+$BF552+$BH552)*($BG552))*$BI552),IF($J552="wagon",1,1.2)))+$BB552</f>
        <v>28</v>
      </c>
      <c r="BM552" s="17" t="n">
        <f aca="false">BK552*IF($J552="wagon",62.5,781.25)</f>
        <v>500</v>
      </c>
      <c r="BN552" s="17" t="n">
        <f aca="false">BL552*IF($J552="wagon",2.73,81.25)</f>
        <v>76.44</v>
      </c>
      <c r="BU552" s="1" t="str">
        <f aca="false">IF(J552="locomotive","B","")</f>
        <v/>
      </c>
      <c r="BV552" s="1" t="str">
        <f aca="false">IF(OR($J552="locomotive",$J552="wagon"),"B","")</f>
        <v>B</v>
      </c>
      <c r="BY552" s="26" t="n">
        <v>1</v>
      </c>
      <c r="CB552" s="26" t="s">
        <v>2047</v>
      </c>
      <c r="CC552" s="26" t="s">
        <v>2048</v>
      </c>
      <c r="CD552" s="1" t="str">
        <f aca="false">VLOOKUP(M552,Eras!$A$2:$C$10, 2, TRUE())</f>
        <v>big4</v>
      </c>
      <c r="CE552" s="26" t="s">
        <v>1877</v>
      </c>
      <c r="CF552" s="26" t="str">
        <f aca="false">CONCATENATE(CD552,"_",CE552)</f>
        <v>big4_Extra</v>
      </c>
      <c r="CG552" s="26" t="str">
        <f aca="false">_xlfn.CONCAT(K552, "_",L552)</f>
        <v>brake_RAIL</v>
      </c>
      <c r="CH552" s="7" t="str">
        <f aca="false">_xlfn.CONCAT("{BLACK}Length: {GOLD}", TEXT(ROUNDUP(IF(AS552&lt;&gt;"",SUM(VALUE(_xlfn.TEXTSPLIT(AS552, ","))), SUM(VALUE(_xlfn.TEXTSPLIT(AP552, ",")))*IF(P552, P552, 1))/16, 1), "#,##0.0"), " tiles{}")</f>
        <v>{BLACK}Length: {GOLD}0.5 tiles{}</v>
      </c>
      <c r="CI552" s="1" t="str">
        <f aca="false">IF(0, VLOOKUP($CG552, Constants!$M:$N, 2, FALSE()),"")</f>
        <v/>
      </c>
      <c r="CJ552" s="1" t="str">
        <f aca="false">IF(P552&gt;1,_xlfn.CONCAT("{BLACK}Cars: {GOLD}", P552),"")</f>
        <v/>
      </c>
      <c r="CK552" s="26" t="s">
        <v>2061</v>
      </c>
      <c r="CL552" s="1" t="str">
        <f aca="false">IF($BX552="concept_trains","{GREEN}Concept Vehicle",IF($BX552="!param_no_gameplay_units","{GREEN}Included for gameplay purposes",""))</f>
        <v/>
      </c>
      <c r="CM552" s="26" t="str">
        <f aca="false">IF(CC552="buffet","{YELLOW}25% long distance bonus for consist{}",IF(CD552="BRAKE","{YELLOW}Speed bonus for slow wagons{}",IF(BZ552&gt;190,CONCATENATE("{YELLOW}",INT((BZ552-185)/1.85),"%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{GOLD}0.5 tiles{}{SILVER}The first SR ‘Queen Mary’ Brake vans converted from LBSCR ‘Milk Van’ MLVs, and lasted in departmental and limited freight service into the 2000s! A shed on rails with a stove and a desk has 1000 uses.</v>
      </c>
      <c r="XFD552" s="1"/>
    </row>
    <row r="553" s="26" customFormat="true" ht="14.25" hidden="false" customHeight="false" outlineLevel="0" collapsed="false">
      <c r="A553" s="26" t="s">
        <v>2062</v>
      </c>
      <c r="B553" s="27" t="s">
        <v>2063</v>
      </c>
      <c r="C553" s="1" t="n">
        <v>3106</v>
      </c>
      <c r="D553" s="26" t="n">
        <v>3105</v>
      </c>
      <c r="E553" s="1" t="n">
        <v>1805</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26" t="s">
        <v>241</v>
      </c>
      <c r="J553" s="26" t="s">
        <v>1580</v>
      </c>
      <c r="K553" s="26" t="s">
        <v>2046</v>
      </c>
      <c r="L553" s="26" t="s">
        <v>192</v>
      </c>
      <c r="M553" s="26" t="n">
        <v>1936</v>
      </c>
      <c r="N553" s="26" t="n">
        <v>1990</v>
      </c>
      <c r="O553" s="26" t="n">
        <v>1998</v>
      </c>
      <c r="R553" s="2"/>
      <c r="S553" s="3"/>
      <c r="T553" s="3"/>
      <c r="U553" s="3"/>
      <c r="V553" s="3"/>
      <c r="W553" s="3"/>
      <c r="X553" s="3"/>
      <c r="Y553" s="3"/>
      <c r="Z553" s="26" t="n">
        <v>26</v>
      </c>
      <c r="AA553" s="2"/>
      <c r="AB553" s="26" t="n">
        <v>4</v>
      </c>
      <c r="AD553" s="4" t="str">
        <f aca="false">IF(AND(Z553&gt;0,AC553&gt;0),(AC553/((Z553+AA553)*10)),"")</f>
        <v/>
      </c>
      <c r="AE553" s="26" t="n">
        <v>75</v>
      </c>
      <c r="AF553" s="26" t="n">
        <f aca="false">ROUND(AE553*1.6, 0)</f>
        <v>120</v>
      </c>
      <c r="AH553" s="26" t="n">
        <v>12.8</v>
      </c>
      <c r="AI553" s="26" t="n">
        <v>12.8</v>
      </c>
      <c r="AJ553" s="26" t="n">
        <v>2.5</v>
      </c>
      <c r="AK553" s="26" t="n">
        <v>3.35</v>
      </c>
      <c r="AL553" s="5" t="n">
        <v>0</v>
      </c>
      <c r="AM553" s="1" t="str">
        <f aca="false">CONCATENATE(VLOOKUP(AN553, 'Voxel Sizes'!$A$2:$B$18,2,FALSE()),"x",INT(AJ553*15), "x", INT(AK553*15))</f>
        <v>136x37x50</v>
      </c>
      <c r="AN553" s="26" t="n">
        <f aca="false">ROUND(15*((AI553*10)/256),0)</f>
        <v>8</v>
      </c>
      <c r="AP553" s="1" t="str">
        <f aca="false">CONCATENATE(VLOOKUP(AN553,Constants!$A$2:$C$16,IF(AO553&lt;&gt;"", 3, 2), FALSE()),IF(AO553&lt;&gt;"",CONCATENATE(",",VLOOKUP(AO553,$B:$AP,41,FALSE())),""))</f>
        <v>2,4,2</v>
      </c>
      <c r="AR553" s="6"/>
      <c r="AS553" s="6"/>
      <c r="AZ553" s="26" t="n">
        <v>50</v>
      </c>
      <c r="BA553" s="16" t="n">
        <f aca="false">IF(O553&lt;&gt;"",MAX(16,(O553-M553)+8),"")</f>
        <v>70</v>
      </c>
      <c r="BD553" s="26" t="n">
        <f aca="false">MIN(AE553/150, 1)*30</f>
        <v>15</v>
      </c>
      <c r="BE553" s="26" t="n">
        <f aca="false">MIN(Q553/4000, 1)*20</f>
        <v>0</v>
      </c>
      <c r="BF553" s="26" t="n">
        <f aca="false">MIN(AC553/400,1)*20</f>
        <v>0</v>
      </c>
      <c r="BG553" s="4" t="n">
        <f aca="false">1-(MAX(M553-1900, 0)/750)</f>
        <v>0.952</v>
      </c>
      <c r="BH553" s="26" t="n">
        <f aca="false">((MAX($P553,1)*MIN($AL553/300,1)))*IF(J553="Wagon",50,10)</f>
        <v>0</v>
      </c>
      <c r="BI553" s="1" t="n">
        <f aca="false">VLOOKUP($K553,Constants!$I:$K, 2, FALSE())</f>
        <v>1</v>
      </c>
      <c r="BJ553" s="1" t="n">
        <f aca="false">VLOOKUP($K553,Constants!$I:$K, 3, FALSE())*IF(AND(J553="multiple_unit",AE553&lt;110),0.75,1)</f>
        <v>0.4</v>
      </c>
      <c r="BK553" s="1" t="n">
        <f aca="false">INT(POWER(((Constants!$G$2+$BD553+$BE553+$BF553+$BH553)*$BG553)*$BJ553, 1.05))+$BC553</f>
        <v>8</v>
      </c>
      <c r="BL553" s="1" t="n">
        <f aca="false">INT(POWER((((Constants!$G$1+$BD553+$BE553+$BF553+$BH553)*($BG553))*$BI553),IF($J553="wagon",1,1.2)))+$BB553</f>
        <v>28</v>
      </c>
      <c r="BM553" s="17" t="n">
        <f aca="false">BK553*IF($J553="wagon",62.5,781.25)</f>
        <v>500</v>
      </c>
      <c r="BN553" s="17" t="n">
        <f aca="false">BL553*IF($J553="wagon",2.73,81.25)</f>
        <v>76.44</v>
      </c>
      <c r="BU553" s="1" t="str">
        <f aca="false">IF(J553="locomotive","B","")</f>
        <v/>
      </c>
      <c r="BV553" s="1" t="str">
        <f aca="false">IF(OR($J553="locomotive",$J553="wagon"),"B","")</f>
        <v>B</v>
      </c>
      <c r="BY553" s="26" t="n">
        <v>1</v>
      </c>
      <c r="CC553" s="26" t="s">
        <v>2048</v>
      </c>
      <c r="CD553" s="1" t="str">
        <f aca="false">VLOOKUP(M553,Eras!$A$2:$C$10, 2, TRUE())</f>
        <v>big4</v>
      </c>
      <c r="CE553" s="26" t="s">
        <v>1877</v>
      </c>
      <c r="CF553" s="26" t="str">
        <f aca="false">CONCATENATE(CD553,"_",CE553)</f>
        <v>big4_Extra</v>
      </c>
      <c r="CG553" s="26" t="str">
        <f aca="false">_xlfn.CONCAT(K553, "_",L553)</f>
        <v>brake_RAIL</v>
      </c>
      <c r="CH553" s="7" t="str">
        <f aca="false">_xlfn.CONCAT("{BLACK}Length: {GOLD}", TEXT(ROUNDUP(IF(AS553&lt;&gt;"",SUM(VALUE(_xlfn.TEXTSPLIT(AS553, ","))), SUM(VALUE(_xlfn.TEXTSPLIT(AP553, ",")))*IF(P553, P553, 1))/16, 1), "#,##0.0"), " tiles{}")</f>
        <v>{BLACK}Length: {GOLD}0.5 tiles{}</v>
      </c>
      <c r="CI553" s="1" t="str">
        <f aca="false">IF(0, VLOOKUP($CG553, Constants!$M:$N, 2, FALSE()),"")</f>
        <v/>
      </c>
      <c r="CJ553" s="1" t="str">
        <f aca="false">IF(P553&gt;1,_xlfn.CONCAT("{BLACK}Cars: {GOLD}", P553),"")</f>
        <v/>
      </c>
      <c r="CK553" s="26" t="s">
        <v>2064</v>
      </c>
      <c r="CL553" s="1" t="str">
        <f aca="false">IF($BX553="concept_trains","{GREEN}Concept Vehicle",IF($BX553="!param_no_gameplay_units","{GREEN}Included for gameplay purposes",""))</f>
        <v/>
      </c>
      <c r="CM553" s="26" t="str">
        <f aca="false">IF(CC553="buffet","{YELLOW}25% long distance bonus for consist{}",IF(CD553="BRAKE","{YELLOW}Speed bonus for slow wagons{}",IF(BZ553&gt;190,CONCATENATE("{YELLOW}",INT((BZ553-185)/1.85),"%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53" s="1"/>
    </row>
    <row r="554" s="26" customFormat="true" ht="14.25" hidden="false" customHeight="false" outlineLevel="0" collapsed="false">
      <c r="A554" s="26" t="s">
        <v>2065</v>
      </c>
      <c r="B554" s="27" t="s">
        <v>2066</v>
      </c>
      <c r="C554" s="1" t="n">
        <v>3103</v>
      </c>
      <c r="E554" s="1" t="n">
        <v>1806</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26" t="s">
        <v>241</v>
      </c>
      <c r="J554" s="26" t="s">
        <v>1580</v>
      </c>
      <c r="K554" s="26" t="s">
        <v>2046</v>
      </c>
      <c r="L554" s="26" t="s">
        <v>192</v>
      </c>
      <c r="M554" s="26" t="n">
        <v>1938</v>
      </c>
      <c r="N554" s="26" t="n">
        <v>1969</v>
      </c>
      <c r="O554" s="26" t="n">
        <v>1988</v>
      </c>
      <c r="R554" s="2"/>
      <c r="S554" s="3"/>
      <c r="T554" s="3"/>
      <c r="U554" s="3"/>
      <c r="V554" s="3"/>
      <c r="W554" s="3"/>
      <c r="X554" s="3"/>
      <c r="Y554" s="3"/>
      <c r="Z554" s="26" t="n">
        <v>20</v>
      </c>
      <c r="AA554" s="2"/>
      <c r="AB554" s="26" t="n">
        <v>4</v>
      </c>
      <c r="AD554" s="4" t="str">
        <f aca="false">IF(AND(Z554&gt;0,AC554&gt;0),(AC554/((Z554+AA554)*10)),"")</f>
        <v/>
      </c>
      <c r="AE554" s="26" t="n">
        <v>60</v>
      </c>
      <c r="AF554" s="26" t="n">
        <f aca="false">ROUND(AE554*1.6, 0)</f>
        <v>96</v>
      </c>
      <c r="AH554" s="26" t="n">
        <v>10</v>
      </c>
      <c r="AI554" s="26" t="n">
        <v>10</v>
      </c>
      <c r="AJ554" s="26" t="n">
        <v>2.5</v>
      </c>
      <c r="AK554" s="26" t="n">
        <v>3.35</v>
      </c>
      <c r="AL554" s="5" t="n">
        <v>0</v>
      </c>
      <c r="AM554" s="1" t="str">
        <f aca="false">CONCATENATE(VLOOKUP(AN554, 'Voxel Sizes'!$A$2:$B$18,2,FALSE()),"x",INT(AJ554*15), "x", INT(AK554*15))</f>
        <v>102x37x50</v>
      </c>
      <c r="AN554" s="26" t="n">
        <f aca="false">ROUND(15*((AI554*10)/256),0)</f>
        <v>6</v>
      </c>
      <c r="AP554" s="1" t="str">
        <f aca="false">CONCATENATE(VLOOKUP(AN554,Constants!$A$2:$C$16,IF(AO554&lt;&gt;"", 3, 2), FALSE()),IF(AO554&lt;&gt;"",CONCATENATE(",",VLOOKUP(AO554,$B:$AP,41,FALSE())),""))</f>
        <v>2,2,2</v>
      </c>
      <c r="AR554" s="6"/>
      <c r="AS554" s="6"/>
      <c r="AZ554" s="26" t="n">
        <v>50</v>
      </c>
      <c r="BA554" s="16" t="n">
        <f aca="false">IF(O554&lt;&gt;"",MAX(16,(O554-M554)+8),"")</f>
        <v>58</v>
      </c>
      <c r="BB554" s="26" t="n">
        <v>12</v>
      </c>
      <c r="BC554" s="26" t="n">
        <v>6</v>
      </c>
      <c r="BD554" s="26" t="n">
        <f aca="false">MIN(AE554/150, 1)*30</f>
        <v>12</v>
      </c>
      <c r="BE554" s="26" t="n">
        <f aca="false">MIN(Q554/4000, 1)*20</f>
        <v>0</v>
      </c>
      <c r="BF554" s="26" t="n">
        <f aca="false">MIN(AC554/400,1)*20</f>
        <v>0</v>
      </c>
      <c r="BG554" s="4" t="n">
        <f aca="false">1-(MAX(M554-1900, 0)/750)</f>
        <v>0.949333333333333</v>
      </c>
      <c r="BH554" s="26" t="n">
        <f aca="false">((MAX($P554,1)*MIN($AL554/300,1)))*IF(J554="Wagon",50,10)</f>
        <v>0</v>
      </c>
      <c r="BI554" s="1" t="n">
        <f aca="false">VLOOKUP($K554,Constants!$I:$K, 2, FALSE())</f>
        <v>1</v>
      </c>
      <c r="BJ554" s="1" t="n">
        <f aca="false">VLOOKUP($K554,Constants!$I:$K, 3, FALSE())*IF(AND(J554="multiple_unit",AE554&lt;110),0.75,1)</f>
        <v>0.4</v>
      </c>
      <c r="BK554" s="1" t="n">
        <f aca="false">INT(POWER(((Constants!$G$2+$BD554+$BE554+$BF554+$BH554)*$BG554)*$BJ554, 1.05))+$BC554</f>
        <v>13</v>
      </c>
      <c r="BL554" s="1" t="n">
        <f aca="false">INT(POWER((((Constants!$G$1+$BD554+$BE554+$BF554+$BH554)*($BG554))*$BI554),IF($J554="wagon",1,1.2)))+$BB554</f>
        <v>37</v>
      </c>
      <c r="BM554" s="17" t="n">
        <f aca="false">BK554*IF($J554="wagon",62.5,781.25)</f>
        <v>812.5</v>
      </c>
      <c r="BN554" s="17" t="n">
        <f aca="false">BL554*IF($J554="wagon",2.73,81.25)</f>
        <v>101.01</v>
      </c>
      <c r="BU554" s="1" t="str">
        <f aca="false">IF(J554="locomotive","B","")</f>
        <v/>
      </c>
      <c r="BV554" s="1" t="str">
        <f aca="false">IF(OR($J554="locomotive",$J554="wagon"),"B","")</f>
        <v>B</v>
      </c>
      <c r="BY554" s="26" t="n">
        <v>1</v>
      </c>
      <c r="CB554" s="26" t="s">
        <v>2047</v>
      </c>
      <c r="CC554" s="26" t="s">
        <v>2048</v>
      </c>
      <c r="CD554" s="1" t="str">
        <f aca="false">VLOOKUP(M554,Eras!$A$2:$C$10, 2, TRUE())</f>
        <v>big4</v>
      </c>
      <c r="CE554" s="26" t="s">
        <v>1877</v>
      </c>
      <c r="CF554" s="26" t="str">
        <f aca="false">CONCATENATE(CD554,"_",CE554)</f>
        <v>big4_Extra</v>
      </c>
      <c r="CG554" s="26" t="str">
        <f aca="false">_xlfn.CONCAT(K554, "_",L554)</f>
        <v>brake_RAIL</v>
      </c>
      <c r="CH554" s="7" t="str">
        <f aca="false">_xlfn.CONCAT("{BLACK}Length: {GOLD}", TEXT(ROUNDUP(IF(AS554&lt;&gt;"",SUM(VALUE(_xlfn.TEXTSPLIT(AS554, ","))), SUM(VALUE(_xlfn.TEXTSPLIT(AP554, ",")))*IF(P554, P554, 1))/16, 1), "#,##0.0"), " tiles{}")</f>
        <v>{BLACK}Length: {GOLD}0.4 tiles{}</v>
      </c>
      <c r="CI554" s="1" t="str">
        <f aca="false">IF(0, VLOOKUP($CG554, Constants!$M:$N, 2, FALSE()),"")</f>
        <v/>
      </c>
      <c r="CJ554" s="1" t="str">
        <f aca="false">IF(P554&gt;1,_xlfn.CONCAT("{BLACK}Cars: {GOLD}", P554),"")</f>
        <v/>
      </c>
      <c r="CK554" s="26" t="s">
        <v>2067</v>
      </c>
      <c r="CL554" s="1" t="str">
        <f aca="false">IF($BX554="concept_trains","{GREEN}Concept Vehicle",IF($BX554="!param_no_gameplay_units","{GREEN}Included for gameplay purposes",""))</f>
        <v/>
      </c>
      <c r="CM554" s="26" t="str">
        <f aca="false">IF(CC554="buffet","{YELLOW}25% long distance bonus for consist{}",IF(CD554="BRAKE","{YELLOW}Speed bonus for slow wagons{}",IF(BZ554&gt;190,CONCATENATE("{YELLOW}",INT((BZ554-185)/1.85),"%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{GOLD}0.4 tiles{}{SILVER}The native design of LMS Brake Van had a sizable veranda at both ends. Once again, they lasted well into BR ownership as part of Engineers’ trains.</v>
      </c>
      <c r="XFD554" s="1"/>
    </row>
    <row r="555" customFormat="false" ht="14.25" hidden="false" customHeight="false" outlineLevel="0" collapsed="false">
      <c r="A555" s="1" t="s">
        <v>2068</v>
      </c>
      <c r="B555" s="15" t="s">
        <v>2069</v>
      </c>
      <c r="C555" s="1" t="n">
        <v>97</v>
      </c>
      <c r="E555" s="1" t="n">
        <v>1807</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241</v>
      </c>
      <c r="J555" s="1" t="s">
        <v>1580</v>
      </c>
      <c r="K555" s="1" t="s">
        <v>2046</v>
      </c>
      <c r="L555" s="1" t="s">
        <v>192</v>
      </c>
      <c r="M555" s="1" t="n">
        <v>1941</v>
      </c>
      <c r="O555" s="1" t="n">
        <v>1970</v>
      </c>
      <c r="Z555" s="1" t="n">
        <v>20</v>
      </c>
      <c r="AD555" s="4" t="str">
        <f aca="false">IF(AND(Z555&gt;0,AC555&gt;0),(AC555/((Z555+AA555)*10)),"")</f>
        <v/>
      </c>
      <c r="AE555" s="1" t="n">
        <v>70</v>
      </c>
      <c r="AF555" s="1" t="n">
        <f aca="false">ROUND(AE555*1.6, 0)</f>
        <v>112</v>
      </c>
      <c r="AH555" s="1" t="n">
        <v>7.3</v>
      </c>
      <c r="AI555" s="1" t="n">
        <v>11</v>
      </c>
      <c r="AL555" s="5" t="n">
        <v>0</v>
      </c>
      <c r="AM555" s="1" t="str">
        <f aca="false">CONCATENATE(VLOOKUP(AN555, 'Voxel Sizes'!$A$2:$B$18,2,FALSE()),"x",INT(AJ555*15), "x", INT(AK555*15))</f>
        <v>102x0x0</v>
      </c>
      <c r="AN555" s="1" t="n">
        <f aca="false">ROUND(15*((AI555*10)/256),0)</f>
        <v>6</v>
      </c>
      <c r="AP555" s="1" t="str">
        <f aca="false">CONCATENATE(VLOOKUP(AN555,Constants!$A$2:$C$16,IF(AO555&lt;&gt;"", 3, 2), FALSE()),IF(AO555&lt;&gt;"",CONCATENATE(",",VLOOKUP(AO555,$B:$AP,41,FALSE())),""))</f>
        <v>2,2,2</v>
      </c>
      <c r="AZ555" s="1" t="n">
        <v>30</v>
      </c>
      <c r="BA555" s="16" t="n">
        <f aca="false">IF(O555&lt;&gt;"",MAX(16,(O555-M555)+8),"")</f>
        <v>37</v>
      </c>
      <c r="BD555" s="1" t="n">
        <f aca="false">MIN(AE555/150, 1)*30</f>
        <v>14</v>
      </c>
      <c r="BE555" s="1" t="n">
        <f aca="false">MIN(Q555/4000, 1)*20</f>
        <v>0</v>
      </c>
      <c r="BF555" s="1" t="n">
        <f aca="false">MIN(AC555/400,1)*20</f>
        <v>0</v>
      </c>
      <c r="BG555" s="4" t="n">
        <f aca="false">1-(MAX(M555-1900, 0)/750)</f>
        <v>0.945333333333333</v>
      </c>
      <c r="BH555" s="1" t="n">
        <f aca="false">((MAX($P555,1)*MIN($AL555/300,1)))*IF(J555="Wagon",50,10)</f>
        <v>0</v>
      </c>
      <c r="BI555" s="1" t="n">
        <f aca="false">VLOOKUP($K555,Constants!$I:$K, 2, FALSE())</f>
        <v>1</v>
      </c>
      <c r="BJ555" s="1" t="n">
        <f aca="false">VLOOKUP($K555,Constants!$I:$K, 3, FALSE())*IF(AND(J555="multiple_unit",AE555&lt;110),0.75,1)</f>
        <v>0.4</v>
      </c>
      <c r="BK555" s="1" t="n">
        <f aca="false">INT(POWER(((Constants!$G$2+$BD555+$BE555+$BF555+$BH555)*$BG555)*$BJ555, 1.05))+$BC555</f>
        <v>7</v>
      </c>
      <c r="BL555" s="1" t="n">
        <f aca="false">INT(POWER((((Constants!$G$1+$BD555+$BE555+$BF555+$BH555)*($BG555))*$BI555),IF($J555="wagon",1,1.2)))+$BB555</f>
        <v>27</v>
      </c>
      <c r="BM555" s="17" t="n">
        <f aca="false">BK555*IF($J555="wagon",62.5,781.25)</f>
        <v>437.5</v>
      </c>
      <c r="BN555" s="17" t="n">
        <f aca="false">BL555*IF($J555="wagon",2.73,81.25)</f>
        <v>73.71</v>
      </c>
      <c r="BU555" s="1" t="str">
        <f aca="false">IF(J555="locomotive","B","")</f>
        <v/>
      </c>
      <c r="BV555" s="1" t="str">
        <f aca="false">IF(OR($J555="locomotive",$J555="wagon"),"B","")</f>
        <v>B</v>
      </c>
      <c r="BY555" s="1" t="n">
        <v>8</v>
      </c>
      <c r="CB555" s="1" t="s">
        <v>2047</v>
      </c>
      <c r="CC555" s="1" t="s">
        <v>2048</v>
      </c>
      <c r="CD555" s="1" t="str">
        <f aca="false">VLOOKUP(M555,Eras!$A$2:$C$10, 2, TRUE())</f>
        <v>big4</v>
      </c>
      <c r="CE555" s="1" t="s">
        <v>1877</v>
      </c>
      <c r="CF555" s="1" t="str">
        <f aca="false">CONCATENATE(CD555,"_",CE555)</f>
        <v>big4_Extra</v>
      </c>
      <c r="CG555" s="1" t="str">
        <f aca="false">_xlfn.CONCAT(K555, "_",L555)</f>
        <v>brake_RAIL</v>
      </c>
      <c r="CH555" s="7" t="str">
        <f aca="false">_xlfn.CONCAT("{BLACK}Length: {GOLD}", TEXT(ROUNDUP(IF(AS555&lt;&gt;"",SUM(VALUE(_xlfn.TEXTSPLIT(AS555, ","))), SUM(VALUE(_xlfn.TEXTSPLIT(AP555, ",")))*IF(P555, P555, 1))/16, 1), "#,##0.0"), " tiles{}")</f>
        <v>{BLACK}Length: {GOLD}0.4 tiles{}</v>
      </c>
      <c r="CI555" s="1" t="str">
        <f aca="false">IF(0, VLOOKUP($CG555, Constants!$M:$N, 2, FALSE()),"")</f>
        <v/>
      </c>
      <c r="CJ555" s="1" t="str">
        <f aca="false">IF(P555&gt;1,_xlfn.CONCAT("{BLACK}Cars: {GOLD}", P555),"")</f>
        <v/>
      </c>
      <c r="CK555" s="1" t="s">
        <v>2070</v>
      </c>
      <c r="CL555" s="1" t="str">
        <f aca="false">IF($BX555="concept_trains","{GREEN}Concept Vehicle",IF($BX555="!param_no_gameplay_units","{GREEN}Included for gameplay purposes",""))</f>
        <v/>
      </c>
      <c r="CM555" s="1" t="str">
        <f aca="false">IF(CA555="buffet","{YELLOW}25% long distance bonus for consist{}",IF(CC555="BRAKE","{YELLOW}Speed bonus for slow wagons{}",IF(BZ555&gt;190,CONCATENATE("{YELLOW}",INT((BZ555-185)/1.85),"% bonus for long distance travel{}"),IF(AND(BZ555&lt;180,BZ555&lt;&gt;0),CONCATENATE("{YELLOW}",INT((185-BZ555)/1.85),"% penalty for long distance travel{}"),""))))</f>
        <v>{YELLOW}Speed bonus for slow wagons{}</v>
      </c>
      <c r="CN555" s="1" t="str">
        <f aca="false">_xlfn.CONCAT(CI555,IF(CI555&lt;&gt;""," ",""),CJ555,IF(OR(CJ555&lt;&gt;"",CI555&lt;&gt;""),"{}",""),CH555,CM555,"{SILVER}",CK555,IF(CL555&lt;&gt;"","{}{}",""),CL555)</f>
        <v>{BLACK}Length: {GOLD}0.4 tiles{}{YELLOW}Speed bonus for slow wagons{}{SILVER}BR inherited a large number of brake vans from the Big Four, but quickly set about introducing their own standard model based on 1940s LNER practice.</v>
      </c>
    </row>
    <row r="556" customFormat="false" ht="14.25" hidden="false" customHeight="false" outlineLevel="0" collapsed="false">
      <c r="A556" s="1" t="s">
        <v>2071</v>
      </c>
      <c r="B556" s="19" t="s">
        <v>2072</v>
      </c>
      <c r="C556" s="1" t="n">
        <v>1018</v>
      </c>
      <c r="E556" s="1" t="n">
        <v>1900</v>
      </c>
      <c r="G556" s="1" t="str">
        <f aca="false">IF($F556&lt;&gt;"",_xlfn.CONCAT(VLOOKUP($CE556, Constants!$T:$U, 2, FALSE()),",",$F556),VLOOKUP($CE556, Constants!$T:$U, 2, FALSE()))</f>
        <v>role/passenger</v>
      </c>
      <c r="H556" s="1" t="str">
        <f aca="false">IF($G556&lt;&gt;"",_xlfn.CONCAT(VLOOKUP($CG556, Constants!$M:$P, 4, FALSE()),",",$G556),VLOOKUP($CG556, Constants!$M:$P, 4, FALSE()))</f>
        <v>flag/GB,role/passenger</v>
      </c>
      <c r="I556" s="1" t="s">
        <v>241</v>
      </c>
      <c r="J556" s="1" t="s">
        <v>1580</v>
      </c>
      <c r="K556" s="1" t="s">
        <v>1581</v>
      </c>
      <c r="L556" s="1" t="s">
        <v>192</v>
      </c>
      <c r="M556" s="1" t="n">
        <v>1960</v>
      </c>
      <c r="Z556" s="1" t="n">
        <v>28</v>
      </c>
      <c r="AB556" s="1" t="n">
        <v>4</v>
      </c>
      <c r="AD556" s="4" t="str">
        <f aca="false">IF(AND(Z556&gt;0,AC556&gt;0),(AC556/((Z556+AA556)*10)),"")</f>
        <v/>
      </c>
      <c r="AE556" s="1" t="n">
        <v>25</v>
      </c>
      <c r="AF556" s="1" t="n">
        <f aca="false">ROUND(AE556*1.6, 0)</f>
        <v>40</v>
      </c>
      <c r="AH556" s="1" t="n">
        <v>16.2</v>
      </c>
      <c r="AI556" s="1" t="n">
        <v>16.2</v>
      </c>
      <c r="AJ556" s="1" t="n">
        <v>2.8</v>
      </c>
      <c r="AL556" s="5" t="n">
        <v>42</v>
      </c>
      <c r="AM556" s="1" t="str">
        <f aca="false">CONCATENATE(VLOOKUP(AN556, 'Voxel Sizes'!$A$2:$B$18,2,FALSE()),"x",INT(AJ556*15), "x", INT(AK556*15))</f>
        <v>152x42x0</v>
      </c>
      <c r="AN556" s="16" t="n">
        <f aca="false">ROUND(15*((AI556*10)/256),0)</f>
        <v>9</v>
      </c>
      <c r="AP556" s="1" t="str">
        <f aca="false">CONCATENATE(VLOOKUP(AN556,Constants!$A$2:$C$16,IF(AO556&lt;&gt;"", 3, 2), FALSE()),IF(AO556&lt;&gt;"",CONCATENATE(",",VLOOKUP(AO556,$B:$AP,41,FALSE())),""))</f>
        <v>2,5,2</v>
      </c>
      <c r="AZ556" s="1" t="n">
        <v>30</v>
      </c>
      <c r="BA556" s="16" t="str">
        <f aca="false">IF(O556&lt;&gt;"",MAX(16,(O556-M556)+8),"")</f>
        <v/>
      </c>
      <c r="BB556" s="1" t="n">
        <v>69</v>
      </c>
      <c r="BC556" s="1" t="n">
        <v>57</v>
      </c>
      <c r="BD556" s="20" t="n">
        <f aca="false">MIN(AE556/150, 1)*30</f>
        <v>5</v>
      </c>
      <c r="BE556" s="20" t="n">
        <f aca="false">MIN(Q556/4000, 1)*20</f>
        <v>0</v>
      </c>
      <c r="BF556" s="20" t="n">
        <f aca="false">MIN(AC556/400,1)*20</f>
        <v>0</v>
      </c>
      <c r="BG556" s="21" t="n">
        <f aca="false">1-(MAX(M556-1900, 0)/750)</f>
        <v>0.92</v>
      </c>
      <c r="BH556" s="20" t="n">
        <f aca="false">((MAX($P556,1)*MIN($AL556/300,1)))*IF(J556="Wagon",50,10)</f>
        <v>7</v>
      </c>
      <c r="BI556" s="1" t="n">
        <f aca="false">VLOOKUP($K556,Constants!$I:$K, 2, FALSE())</f>
        <v>1.2</v>
      </c>
      <c r="BJ556" s="1" t="n">
        <f aca="false">VLOOKUP($K556,Constants!$I:$K, 3, FALSE())*IF(AND(J556="multiple_unit",AE556&lt;110),0.75,1)</f>
        <v>0.6</v>
      </c>
      <c r="BK556" s="1" t="n">
        <f aca="false">INT(POWER(((Constants!$G$2+$BD556+$BE556+$BF556+$BH556)*$BG556)*$BJ556, 1.05))+$BC556</f>
        <v>67</v>
      </c>
      <c r="BL556" s="1" t="n">
        <f aca="false">INT(POWER((((Constants!$G$1+$BD556+$BE556+$BF556+$BH556)*($BG556))*$BI556),IF($J556="wagon",1,1.2)))+$BB556</f>
        <v>98</v>
      </c>
      <c r="BM556" s="22" t="n">
        <f aca="false">BK556*IF($J556="wagon",62.5,781.25)</f>
        <v>4187.5</v>
      </c>
      <c r="BN556" s="22" t="n">
        <f aca="false">BL556*IF($J556="wagon",2.73,81.25)</f>
        <v>267.54</v>
      </c>
      <c r="BU556" s="1" t="str">
        <f aca="false">IF(J556="locomotive","B","")</f>
        <v/>
      </c>
      <c r="BV556" s="1" t="str">
        <f aca="false">IF(OR($J556="locomotive",$J556="wagon"),"B","")</f>
        <v>B</v>
      </c>
      <c r="BY556" s="1" t="n">
        <v>1</v>
      </c>
      <c r="BZ556" s="1" t="n">
        <v>74</v>
      </c>
      <c r="CB556" s="1" t="s">
        <v>2073</v>
      </c>
      <c r="CC556" s="1" t="s">
        <v>367</v>
      </c>
      <c r="CD556" s="23" t="s">
        <v>611</v>
      </c>
      <c r="CE556" s="26" t="s">
        <v>1582</v>
      </c>
      <c r="CF556" s="23" t="str">
        <f aca="false">CONCATENATE(CD556,"_",CE556)</f>
        <v>dsl_Carriage</v>
      </c>
      <c r="CG556" s="23" t="str">
        <f aca="false">_xlfn.CONCAT(K556, "_",L556)</f>
        <v>carriage_RAIL</v>
      </c>
      <c r="CH556" s="7" t="str">
        <f aca="false">_xlfn.CONCAT("{BLACK}Length: {GOLD}", TEXT(ROUNDUP(IF(AS556&lt;&gt;"",SUM(VALUE(_xlfn.TEXTSPLIT(AS556, ","))), SUM(VALUE(_xlfn.TEXTSPLIT(AP556, ",")))*IF(P556, P556, 1))/16, 1), "#,##0.0"), " tiles{}")</f>
        <v>{BLACK}Length: {GOLD}0.6 tiles{}</v>
      </c>
      <c r="CI556" s="1" t="str">
        <f aca="false">IF(0, VLOOKUP($CG556, Constants!$M:$N, 2, FALSE()),"")</f>
        <v/>
      </c>
      <c r="CJ556" s="1" t="str">
        <f aca="false">IF(P556&gt;1,_xlfn.CONCAT("{BLACK}Cars: {GOLD}", P556),"")</f>
        <v/>
      </c>
      <c r="CK556" s="1" t="s">
        <v>2074</v>
      </c>
      <c r="CL556" s="1" t="str">
        <f aca="false">IF($BX556="concept_trains","{GREEN}Concept Vehicle",IF($BX556="!param_no_gameplay_units","{GREEN}Included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{YELLOW}Preserved railway bonus: passengers pay more when hauled by old locomotives{}</v>
      </c>
      <c r="CN556" s="1" t="str">
        <f aca="false">_xlfn.CONCAT(CI556,IF(CI556&lt;&gt;""," ",""),CJ556,IF(OR(CJ556&lt;&gt;"",CI556&lt;&gt;""),"{}",""),CH556,CM556,"{SILVER}",CK556,IF(CL556&lt;&gt;"","{}{}",""),CL556)</f>
        <v>{BLACK}Length: {GOLD}0.6 tiles{}{YELLOW}Preserved railway bonus: passengers pay more when hauled by old locomotives{}{SILVER}The first standard gauge preservation railway in the UK was the Bluebell Railway, opened in 1960. Preservation lines are limited to 25mph.</v>
      </c>
    </row>
    <row r="557" customFormat="false" ht="14.25" hidden="false" customHeight="false" outlineLevel="0" collapsed="false">
      <c r="A557" s="1" t="s">
        <v>2075</v>
      </c>
      <c r="B557" s="19" t="s">
        <v>2076</v>
      </c>
      <c r="C557" s="1" t="n">
        <v>1019</v>
      </c>
      <c r="E557" s="1" t="n">
        <v>1901</v>
      </c>
      <c r="G557" s="1" t="str">
        <f aca="false">IF($F557&lt;&gt;"",_xlfn.CONCAT(VLOOKUP($CE557, Constants!$T:$U, 2, FALSE()),",",$F557),VLOOKUP($CE557, Constants!$T:$U, 2, FALSE()))</f>
        <v>role/passenger</v>
      </c>
      <c r="H557" s="1" t="str">
        <f aca="false">IF($G557&lt;&gt;"",_xlfn.CONCAT(VLOOKUP($CG557, Constants!$M:$P, 4, FALSE()),",",$G557),VLOOKUP($CG557, Constants!$M:$P, 4, FALSE()))</f>
        <v>flag/GB,role/passenger</v>
      </c>
      <c r="I557" s="1" t="s">
        <v>241</v>
      </c>
      <c r="J557" s="1" t="s">
        <v>1580</v>
      </c>
      <c r="K557" s="1" t="s">
        <v>1581</v>
      </c>
      <c r="L557" s="1" t="s">
        <v>192</v>
      </c>
      <c r="M557" s="1" t="n">
        <v>1979</v>
      </c>
      <c r="Z557" s="1" t="n">
        <v>32.5</v>
      </c>
      <c r="AB557" s="1" t="n">
        <v>5</v>
      </c>
      <c r="AD557" s="4" t="str">
        <f aca="false">IF(AND(Z557&gt;0,AC557&gt;0),(AC557/((Z557+AA557)*10)),"")</f>
        <v/>
      </c>
      <c r="AE557" s="1" t="n">
        <v>25</v>
      </c>
      <c r="AF557" s="1" t="n">
        <f aca="false">ROUND(AE557*1.6, 0)</f>
        <v>40</v>
      </c>
      <c r="AH557" s="1" t="n">
        <v>19.3</v>
      </c>
      <c r="AI557" s="1" t="n">
        <v>20</v>
      </c>
      <c r="AL557" s="5" t="n">
        <v>54</v>
      </c>
      <c r="AM557" s="1" t="str">
        <f aca="false">CONCATENATE(VLOOKUP(AN557, 'Voxel Sizes'!$A$2:$B$18,2,FALSE()),"x",INT(AJ557*15), "x", INT(AK557*15))</f>
        <v>198x0x0</v>
      </c>
      <c r="AN557" s="16" t="n">
        <f aca="false">ROUND(15*((AI557*10)/256),0)</f>
        <v>12</v>
      </c>
      <c r="AP557" s="1" t="str">
        <f aca="false">CONCATENATE(VLOOKUP(AN557,Constants!$A$2:$C$16,IF(AO557&lt;&gt;"", 3, 2), FALSE()),IF(AO557&lt;&gt;"",CONCATENATE(",",VLOOKUP(AO557,$B:$AP,41,FALSE())),""))</f>
        <v>4,4,4</v>
      </c>
      <c r="AZ557" s="1" t="n">
        <v>30</v>
      </c>
      <c r="BA557" s="16" t="str">
        <f aca="false">IF(O557&lt;&gt;"",MAX(16,(O557-M557)+8),"")</f>
        <v/>
      </c>
      <c r="BB557" s="1" t="n">
        <v>76</v>
      </c>
      <c r="BC557" s="1" t="n">
        <f aca="false">23*3</f>
        <v>69</v>
      </c>
      <c r="BD557" s="20" t="n">
        <f aca="false">MIN(AE557/150, 1)*30</f>
        <v>5</v>
      </c>
      <c r="BE557" s="20" t="n">
        <f aca="false">MIN(Q557/4000, 1)*20</f>
        <v>0</v>
      </c>
      <c r="BF557" s="20" t="n">
        <f aca="false">MIN(AC557/400,1)*20</f>
        <v>0</v>
      </c>
      <c r="BG557" s="21" t="n">
        <f aca="false">1-(MAX(M557-1900, 0)/750)</f>
        <v>0.894666666666667</v>
      </c>
      <c r="BH557" s="20" t="n">
        <f aca="false">((MAX($P557,1)*MIN($AL557/300,1)))*IF(J557="Wagon",50,10)</f>
        <v>9</v>
      </c>
      <c r="BI557" s="1" t="n">
        <f aca="false">VLOOKUP($K557,Constants!$I:$K, 2, FALSE())</f>
        <v>1.2</v>
      </c>
      <c r="BJ557" s="1" t="n">
        <f aca="false">VLOOKUP($K557,Constants!$I:$K, 3, FALSE())*IF(AND(J557="multiple_unit",AE557&lt;110),0.75,1)</f>
        <v>0.6</v>
      </c>
      <c r="BK557" s="1" t="n">
        <f aca="false">INT(POWER(((Constants!$G$2+$BD557+$BE557+$BF557+$BH557)*$BG557)*$BJ557, 1.05))+$BC557</f>
        <v>80</v>
      </c>
      <c r="BL557" s="1" t="n">
        <f aca="false">INT(POWER((((Constants!$G$1+$BD557+$BE557+$BF557+$BH557)*($BG557))*$BI557),IF($J557="wagon",1,1.2)))+$BB557</f>
        <v>107</v>
      </c>
      <c r="BM557" s="22" t="n">
        <f aca="false">BK557*IF($J557="wagon",62.5,781.25)</f>
        <v>5000</v>
      </c>
      <c r="BN557" s="22" t="n">
        <f aca="false">BL557*IF($J557="wagon",2.73,81.25)</f>
        <v>292.11</v>
      </c>
      <c r="BU557" s="1" t="str">
        <f aca="false">IF(J557="locomotive","B","")</f>
        <v/>
      </c>
      <c r="BV557" s="1" t="str">
        <f aca="false">IF(OR($J557="locomotive",$J557="wagon"),"B","")</f>
        <v>B</v>
      </c>
      <c r="BY557" s="1" t="n">
        <v>1</v>
      </c>
      <c r="BZ557" s="1" t="n">
        <v>74</v>
      </c>
      <c r="CB557" s="1" t="s">
        <v>2073</v>
      </c>
      <c r="CC557" s="1" t="s">
        <v>367</v>
      </c>
      <c r="CD557" s="23" t="s">
        <v>647</v>
      </c>
      <c r="CE557" s="26" t="s">
        <v>1582</v>
      </c>
      <c r="CF557" s="23" t="str">
        <f aca="false">CONCATENATE(CD557,"_",CE557)</f>
        <v>lbr_Carriage</v>
      </c>
      <c r="CG557" s="23" t="str">
        <f aca="false">_xlfn.CONCAT(K557, "_",L557)</f>
        <v>carriage_RAIL</v>
      </c>
      <c r="CH557" s="7" t="str">
        <f aca="false">_xlfn.CONCAT("{BLACK}Length: {GOLD}", TEXT(ROUNDUP(IF(AS557&lt;&gt;"",SUM(VALUE(_xlfn.TEXTSPLIT(AS557, ","))), SUM(VALUE(_xlfn.TEXTSPLIT(AP557, ",")))*IF(P557, P557, 1))/16, 1), "#,##0.0"), " tiles{}")</f>
        <v>{BLACK}Length: {GOLD}0.8 tiles{}</v>
      </c>
      <c r="CI557" s="1" t="str">
        <f aca="false">IF(0, VLOOKUP($CG557, Constants!$M:$N, 2, FALSE()),"")</f>
        <v/>
      </c>
      <c r="CJ557" s="1" t="str">
        <f aca="false">IF(P557&gt;1,_xlfn.CONCAT("{BLACK}Cars: {GOLD}", P557),"")</f>
        <v/>
      </c>
      <c r="CK557" s="1" t="s">
        <v>2077</v>
      </c>
      <c r="CL557" s="1" t="str">
        <f aca="false">IF($BX557="concept_trains","{GREEN}Concept Vehicle",IF($BX557="!param_no_gameplay_units","{GREEN}Included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{YELLOW}Preserved railway bonus: passengers pay more when hauled by old locomotives{}</v>
      </c>
      <c r="CN557" s="1" t="str">
        <f aca="false">_xlfn.CONCAT(CI557,IF(CI557&lt;&gt;""," ",""),CJ557,IF(OR(CJ557&lt;&gt;"",CI557&lt;&gt;""),"{}",""),CH557,CM557,"{SILVER}",CK557,IF(CL557&lt;&gt;"","{}{}",""),CL557)</f>
        <v>{BLACK}Length: {GOLD}0.8 tiles{}{YELLOW}Preserved railway bonus: passengers pay more when hauled by old locomotives{}{SILVER}The ubiquity of the BR Mk1 carriage has made it a mainstay of preserved railways across the UK.</v>
      </c>
    </row>
    <row r="558" customFormat="false" ht="14.25" hidden="false" customHeight="false" outlineLevel="0" collapsed="false">
      <c r="A558" s="24" t="s">
        <v>2078</v>
      </c>
      <c r="B558" s="19" t="s">
        <v>2079</v>
      </c>
      <c r="C558" s="1" t="n">
        <v>1055</v>
      </c>
      <c r="E558" s="1" t="n">
        <v>-1</v>
      </c>
      <c r="G558" s="1" t="str">
        <f aca="false">IF($F558&lt;&gt;"",_xlfn.CONCAT(VLOOKUP($CE558, Constants!$T:$U, 2, FALSE()),",",$F558),VLOOKUP($CE558, Constants!$T:$U, 2, FALSE()))</f>
        <v>role/passenger</v>
      </c>
      <c r="H558" s="1" t="str">
        <f aca="false">IF($G558&lt;&gt;"",_xlfn.CONCAT(VLOOKUP($CG558, Constants!$M:$P, 4, FALSE()),",",$G558),VLOOKUP($CG558, Constants!$M:$P, 4, FALSE()))</f>
        <v>flag/GB,role/passenger</v>
      </c>
      <c r="J558" s="1" t="s">
        <v>349</v>
      </c>
      <c r="K558" s="1" t="s">
        <v>1481</v>
      </c>
      <c r="L558" s="1" t="s">
        <v>192</v>
      </c>
      <c r="AD558" s="4" t="str">
        <f aca="false">IF(AND(Z558&gt;0,AC558&gt;0),(AC558/((Z558+AA558)*10)),"")</f>
        <v/>
      </c>
      <c r="AF558" s="1" t="n">
        <f aca="false">ROUND(AE558*1.6, 0)</f>
        <v>0</v>
      </c>
      <c r="AM558" s="1" t="str">
        <f aca="false">CONCATENATE(VLOOKUP(AN558, 'Voxel Sizes'!$A$2:$B$18,2,FALSE()),"x",INT(AJ558*15), "x", INT(AK558*15))</f>
        <v>0x0x0</v>
      </c>
      <c r="AN558" s="16" t="n">
        <f aca="false">ROUND(15*((AI558*10)/256),0)</f>
        <v>0</v>
      </c>
      <c r="AP558" s="1" t="str">
        <f aca="false">CONCATENATE(VLOOKUP(AN558,Constants!$A$2:$C$16,IF(AO558&lt;&gt;"", 3, 2), FALSE()),IF(AO558&lt;&gt;"",CONCATENATE(",",VLOOKUP(AO558,$B:$AP,41,FALSE())),""))</f>
        <v>na</v>
      </c>
      <c r="AZ558" s="1" t="n">
        <v>30</v>
      </c>
      <c r="BA558" s="16" t="str">
        <f aca="false">IF(O558&lt;&gt;"",MAX(16,(O558-M558)+8),"")</f>
        <v/>
      </c>
      <c r="BD558" s="20" t="n">
        <f aca="false">MIN(AE558/150, 1)*30</f>
        <v>0</v>
      </c>
      <c r="BE558" s="20" t="n">
        <f aca="false">MIN(Q558/4000, 1)*20</f>
        <v>0</v>
      </c>
      <c r="BF558" s="20" t="n">
        <f aca="false">MIN(AC558/400,1)*20</f>
        <v>0</v>
      </c>
      <c r="BG558" s="4" t="n">
        <f aca="false">1-(MAX(M558-1900, 0)/750)</f>
        <v>1</v>
      </c>
      <c r="BH558" s="20" t="n">
        <f aca="false">((MAX($P558,1)*MIN($AL558/300,1)))*IF(J558="Wagon",50,10)</f>
        <v>0</v>
      </c>
      <c r="BI558" s="1" t="n">
        <f aca="false">VLOOKUP($K558,Constants!$I:$K, 2, FALSE())</f>
        <v>0.9</v>
      </c>
      <c r="BJ558" s="1" t="n">
        <f aca="false">VLOOKUP($K558,Constants!$I:$K, 3, FALSE())*IF(AND(J558="multiple_unit",AE558&lt;110),0.75,1)</f>
        <v>1.6</v>
      </c>
      <c r="BK558" s="1" t="n">
        <f aca="false">INT(POWER(((Constants!$G$2+$BD558+$BE558+$BF558+$BH558)*$BG558)*$BJ558, 1.05))+$BC558</f>
        <v>8</v>
      </c>
      <c r="BL558" s="1" t="n">
        <f aca="false">INT(POWER((((Constants!$G$1+$BD558+$BE558+$BF558+$BH558)*($BG558))*$BI558),IF($J558="wagon",1,1.2)))+$BB558</f>
        <v>22</v>
      </c>
      <c r="BM558" s="17" t="n">
        <f aca="false">BK558*IF($J558="wagon",62.5,781.25)</f>
        <v>6250</v>
      </c>
      <c r="BN558" s="17" t="n">
        <f aca="false">BL558*IF($J558="wagon",2.73,81.25)</f>
        <v>1787.5</v>
      </c>
      <c r="BU558" s="1" t="str">
        <f aca="false">IF(J558="locomotive","B","")</f>
        <v/>
      </c>
      <c r="BV558" s="1" t="str">
        <f aca="false">IF(OR($J558="locomotive",$J558="wagon"),"B","")</f>
        <v/>
      </c>
      <c r="BY558" s="1" t="n">
        <v>4</v>
      </c>
      <c r="CD558" s="23" t="s">
        <v>611</v>
      </c>
      <c r="CE558" s="1" t="s">
        <v>123</v>
      </c>
      <c r="CF558" s="23" t="str">
        <f aca="false">CONCATENATE(CD558,"_",CE558)</f>
        <v>dsl_Passenger</v>
      </c>
      <c r="CG558" s="23" t="str">
        <f aca="false">_xlfn.CONCAT(K558, "_",L558)</f>
        <v>tube_RAIL</v>
      </c>
      <c r="CH558" s="7" t="e">
        <f aca="false">_xlfn.CONCAT("{BLACK}Length: {GOLD}", TEXT(ROUNDUP(IF(AS558&lt;&gt;"",SUM(VALUE(_xlfn.TEXTSPLIT(AS558, ","))), SUM(VALUE(_xlfn.TEXTSPLIT(AP558, ",")))*IF(P558, P558, 1))/16, 1), "#,##0.0"), " tiles{}")</f>
        <v>#VALUE!</v>
      </c>
      <c r="CI558" s="1" t="str">
        <f aca="false">IF(0, VLOOKUP($CG558, Constants!$M:$N, 2, FALSE()),"")</f>
        <v/>
      </c>
      <c r="CJ558" s="1" t="str">
        <f aca="false">IF(P558&gt;1,_xlfn.CONCAT("{BLACK}Cars: {GOLD}", P558),"")</f>
        <v/>
      </c>
      <c r="CL558" s="1" t="str">
        <f aca="false">IF($BX558="concept_trains","{GREEN}Concept Vehicle",IF($BX558="!param_no_gameplay_units","{GREEN}Included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
      </c>
      <c r="CN558" s="1" t="e">
        <f aca="false">_xlfn.CONCAT(CI558,IF(CI558&lt;&gt;""," ",""),CJ558,IF(OR(CJ558&lt;&gt;"",CI558&lt;&gt;""),"{}",""),CH558,CM558,"{SILVER}",CK558,IF(CL558&lt;&gt;"","{}{}",""),CL558)</f>
        <v>#VALUE!</v>
      </c>
    </row>
    <row r="559" customFormat="false" ht="14.25" hidden="false" customHeight="false" outlineLevel="0" collapsed="false">
      <c r="A559" s="24" t="s">
        <v>2080</v>
      </c>
      <c r="B559" s="19" t="s">
        <v>2081</v>
      </c>
      <c r="C559" s="1" t="n">
        <v>1056</v>
      </c>
      <c r="E559" s="1" t="n">
        <v>-1</v>
      </c>
      <c r="G559" s="1" t="str">
        <f aca="false">IF($F559&lt;&gt;"",_xlfn.CONCAT(VLOOKUP($CE559, Constants!$T:$U, 2, FALSE()),",",$F559),VLOOKUP($CE559, Constants!$T:$U, 2, FALSE()))</f>
        <v>role/passenger</v>
      </c>
      <c r="H559" s="1" t="str">
        <f aca="false">IF($G559&lt;&gt;"",_xlfn.CONCAT(VLOOKUP($CG559, Constants!$M:$P, 4, FALSE()),",",$G559),VLOOKUP($CG559, Constants!$M:$P, 4, FALSE()))</f>
        <v>flag/GB,role/passenger</v>
      </c>
      <c r="J559" s="1" t="s">
        <v>349</v>
      </c>
      <c r="K559" s="1" t="s">
        <v>1481</v>
      </c>
      <c r="L559" s="1" t="s">
        <v>192</v>
      </c>
      <c r="AD559" s="4" t="str">
        <f aca="false">IF(AND(Z559&gt;0,AC559&gt;0),(AC559/((Z559+AA559)*10)),"")</f>
        <v/>
      </c>
      <c r="AF559" s="1" t="n">
        <f aca="false">ROUND(AE559*1.6, 0)</f>
        <v>0</v>
      </c>
      <c r="AM559" s="1" t="str">
        <f aca="false">CONCATENATE(VLOOKUP(AN559, 'Voxel Sizes'!$A$2:$B$18,2,FALSE()),"x",INT(AJ559*15), "x", INT(AK559*15))</f>
        <v>0x0x0</v>
      </c>
      <c r="AN559" s="16" t="n">
        <f aca="false">ROUND(15*((AI559*10)/256),0)</f>
        <v>0</v>
      </c>
      <c r="AP559" s="1" t="str">
        <f aca="false">CONCATENATE(VLOOKUP(AN559,Constants!$A$2:$C$16,IF(AO559&lt;&gt;"", 3, 2), FALSE()),IF(AO559&lt;&gt;"",CONCATENATE(",",VLOOKUP(AO559,$B:$AP,41,FALSE())),""))</f>
        <v>na</v>
      </c>
      <c r="AZ559" s="1" t="n">
        <v>30</v>
      </c>
      <c r="BA559" s="16" t="str">
        <f aca="false">IF(O559&lt;&gt;"",MAX(16,(O559-M559)+8),"")</f>
        <v/>
      </c>
      <c r="BD559" s="20" t="n">
        <f aca="false">MIN(AE559/150, 1)*30</f>
        <v>0</v>
      </c>
      <c r="BE559" s="20" t="n">
        <f aca="false">MIN(Q559/4000, 1)*20</f>
        <v>0</v>
      </c>
      <c r="BF559" s="20" t="n">
        <f aca="false">MIN(AC559/400,1)*20</f>
        <v>0</v>
      </c>
      <c r="BG559" s="4" t="n">
        <f aca="false">1-(MAX(M559-1900, 0)/750)</f>
        <v>1</v>
      </c>
      <c r="BH559" s="20" t="n">
        <f aca="false">((MAX($P559,1)*MIN($AL559/300,1)))*IF(J559="Wagon",50,10)</f>
        <v>0</v>
      </c>
      <c r="BI559" s="1" t="n">
        <f aca="false">VLOOKUP($K559,Constants!$I:$K, 2, FALSE())</f>
        <v>0.9</v>
      </c>
      <c r="BJ559" s="1" t="n">
        <f aca="false">VLOOKUP($K559,Constants!$I:$K, 3, FALSE())*IF(AND(J559="multiple_unit",AE559&lt;110),0.75,1)</f>
        <v>1.6</v>
      </c>
      <c r="BK559" s="1" t="n">
        <f aca="false">INT(POWER(((Constants!$G$2+$BD559+$BE559+$BF559+$BH559)*$BG559)*$BJ559, 1.05))+$BC559</f>
        <v>8</v>
      </c>
      <c r="BL559" s="1" t="n">
        <f aca="false">INT(POWER((((Constants!$G$1+$BD559+$BE559+$BF559+$BH559)*($BG559))*$BI559),IF($J559="wagon",1,1.2)))+$BB559</f>
        <v>22</v>
      </c>
      <c r="BM559" s="17" t="n">
        <f aca="false">BK559*IF($J559="wagon",62.5,781.25)</f>
        <v>6250</v>
      </c>
      <c r="BN559" s="17" t="n">
        <f aca="false">BL559*IF($J559="wagon",2.73,81.25)</f>
        <v>1787.5</v>
      </c>
      <c r="BU559" s="1" t="str">
        <f aca="false">IF(J559="locomotive","B","")</f>
        <v/>
      </c>
      <c r="BV559" s="1" t="str">
        <f aca="false">IF(OR($J559="locomotive",$J559="wagon"),"B","")</f>
        <v/>
      </c>
      <c r="BY559" s="1" t="n">
        <v>6</v>
      </c>
      <c r="BZ559" s="1" t="n">
        <v>120</v>
      </c>
      <c r="CD559" s="23" t="s">
        <v>306</v>
      </c>
      <c r="CE559" s="1" t="s">
        <v>1483</v>
      </c>
      <c r="CF559" s="23" t="str">
        <f aca="false">CONCATENATE(CD559,"_",CE559)</f>
        <v>vct_LU</v>
      </c>
      <c r="CG559" s="23" t="str">
        <f aca="false">_xlfn.CONCAT(K559, "_",L559)</f>
        <v>tube_RAIL</v>
      </c>
      <c r="CH559" s="7" t="e">
        <f aca="false">_xlfn.CONCAT("{BLACK}Length: {GOLD}", TEXT(ROUNDUP(IF(AS559&lt;&gt;"",SUM(VALUE(_xlfn.TEXTSPLIT(AS559, ","))), SUM(VALUE(_xlfn.TEXTSPLIT(AP559, ",")))*IF(P559, P559, 1))/16, 1), "#,##0.0"), " tiles{}")</f>
        <v>#VALUE!</v>
      </c>
      <c r="CI559" s="1" t="str">
        <f aca="false">IF(0, VLOOKUP($CG559, Constants!$M:$N, 2, FALSE()),"")</f>
        <v/>
      </c>
      <c r="CJ559" s="1" t="str">
        <f aca="false">IF(P559&gt;1,_xlfn.CONCAT("{BLACK}Cars: {GOLD}", P559),"")</f>
        <v/>
      </c>
      <c r="CL559" s="1" t="str">
        <f aca="false">IF($BX559="concept_trains","{GREEN}Concept Vehicle",IF($BX559="!param_no_gameplay_units","{GREEN}Included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{YELLOW}35% penalty for long distance travel{}</v>
      </c>
      <c r="CN559" s="1" t="e">
        <f aca="false">_xlfn.CONCAT(CI559,IF(CI559&lt;&gt;""," ",""),CJ559,IF(OR(CJ559&lt;&gt;"",CI559&lt;&gt;""),"{}",""),CH559,CM559,"{SILVER}",CK559,IF(CL559&lt;&gt;"","{}{}",""),CL559)</f>
        <v>#VALUE!</v>
      </c>
    </row>
    <row r="560" customFormat="false" ht="14.25" hidden="false" customHeight="false" outlineLevel="0" collapsed="false">
      <c r="A560" s="24" t="s">
        <v>2082</v>
      </c>
      <c r="B560" s="19" t="s">
        <v>2083</v>
      </c>
      <c r="C560" s="1" t="n">
        <v>1057</v>
      </c>
      <c r="E560" s="1" t="n">
        <v>-1</v>
      </c>
      <c r="G560" s="1" t="str">
        <f aca="false">IF($F560&lt;&gt;"",_xlfn.CONCAT(VLOOKUP($CE560, Constants!$T:$U, 2, FALSE()),",",$F560),VLOOKUP($CE560, Constants!$T:$U, 2, FALSE()))</f>
        <v>role/passenger</v>
      </c>
      <c r="H560" s="1" t="e">
        <f aca="false">IF($G560&lt;&gt;"",_xlfn.CONCAT(VLOOKUP($CG560, Constants!$M:$P, 4, FALSE()),",",$G560),VLOOKUP($CG560, Constants!$M:$P, 4, FALSE()))</f>
        <v>#N/A</v>
      </c>
      <c r="J560" s="1" t="s">
        <v>349</v>
      </c>
      <c r="K560" s="1" t="s">
        <v>349</v>
      </c>
      <c r="L560" s="1" t="s">
        <v>541</v>
      </c>
      <c r="M560" s="1" t="n">
        <v>1893</v>
      </c>
      <c r="N560" s="1" t="n">
        <v>1896</v>
      </c>
      <c r="O560" s="1" t="n">
        <v>1956</v>
      </c>
      <c r="P560" s="1" t="n">
        <v>2</v>
      </c>
      <c r="Q560" s="1" t="n">
        <v>120</v>
      </c>
      <c r="Z560" s="1" t="n">
        <v>10</v>
      </c>
      <c r="AB560" s="1" t="n">
        <v>7</v>
      </c>
      <c r="AC560" s="1" t="n">
        <v>30</v>
      </c>
      <c r="AD560" s="4" t="n">
        <f aca="false">IF(AND(Z560&gt;0,AC560&gt;0),(AC560/((Z560+AA560)*10)),"")</f>
        <v>0.3</v>
      </c>
      <c r="AE560" s="1" t="n">
        <v>35</v>
      </c>
      <c r="AF560" s="1" t="n">
        <f aca="false">ROUND(AE560*1.6, 0)</f>
        <v>56</v>
      </c>
      <c r="AH560" s="1" t="n">
        <v>14</v>
      </c>
      <c r="AI560" s="1" t="n">
        <v>14</v>
      </c>
      <c r="AJ560" s="1" t="n">
        <v>2.59</v>
      </c>
      <c r="AL560" s="5" t="n">
        <f aca="false">41+16</f>
        <v>57</v>
      </c>
      <c r="AM560" s="1" t="str">
        <f aca="false">CONCATENATE(VLOOKUP(AN560, 'Voxel Sizes'!$A$2:$B$18,2,FALSE()),"x",INT(AJ560*15), "x", INT(AK560*15))</f>
        <v>136x38x0</v>
      </c>
      <c r="AN560" s="16" t="n">
        <f aca="false">ROUND(15*((AI560*10)/256),0)</f>
        <v>8</v>
      </c>
      <c r="AP560" s="1" t="str">
        <f aca="false">CONCATENATE(VLOOKUP(AN560,Constants!$A$2:$C$16,IF(AO560&lt;&gt;"", 3, 2), FALSE()),IF(AO560&lt;&gt;"",CONCATENATE(",",VLOOKUP(AO560,$B:$AP,41,FALSE())),""))</f>
        <v>2,4,2</v>
      </c>
      <c r="AT560" s="1" t="s">
        <v>2084</v>
      </c>
      <c r="AV560" s="1" t="s">
        <v>815</v>
      </c>
      <c r="AZ560" s="1" t="n">
        <v>25</v>
      </c>
      <c r="BA560" s="16" t="n">
        <f aca="false">IF(O560&lt;&gt;"",MAX(16,(O560-M560)+8),"")</f>
        <v>71</v>
      </c>
      <c r="BD560" s="20" t="n">
        <f aca="false">MIN(AE560/150, 1)*30</f>
        <v>7</v>
      </c>
      <c r="BE560" s="20" t="n">
        <f aca="false">MIN(Q560/4000, 1)*20</f>
        <v>0.6</v>
      </c>
      <c r="BF560" s="20" t="n">
        <f aca="false">MIN(AC560/400,1)*20</f>
        <v>1.5</v>
      </c>
      <c r="BG560" s="4" t="n">
        <f aca="false">1-(MAX(M560-1900, 0)/750)</f>
        <v>1</v>
      </c>
      <c r="BH560" s="20" t="n">
        <f aca="false">((MAX($P560,1)*MIN($AL560/300,1)))*IF(J560="Wagon",50,10)</f>
        <v>3.8</v>
      </c>
      <c r="BI560" s="1" t="e">
        <f aca="false">VLOOKUP($K560,Constants!$I:$K, 2, FALSE())</f>
        <v>#N/A</v>
      </c>
      <c r="BJ560" s="1" t="e">
        <f aca="false">VLOOKUP($K560,Constants!$I:$K, 3, FALSE())*IF(AND(J560="multiple_unit",AE560&lt;110),0.75,1)</f>
        <v>#N/A</v>
      </c>
      <c r="BK560" s="1" t="e">
        <f aca="false">INT(POWER(((Constants!$G$2+$BD560+$BE560+$BF560+$BH560)*$BG560)*$BJ560, 1.05))+$BC560</f>
        <v>#N/A</v>
      </c>
      <c r="BL560" s="1" t="e">
        <f aca="false">INT(POWER((((Constants!$G$1+$BD560+$BE560+$BF560+$BH560)*($BG560))*$BI560),IF($J560="wagon",1,1.2)))+$BB560</f>
        <v>#N/A</v>
      </c>
      <c r="BM560" s="17" t="e">
        <f aca="false">BK560*IF($J560="wagon",62.5,781.25)</f>
        <v>#N/A</v>
      </c>
      <c r="BN560" s="17" t="e">
        <f aca="false">BL560*IF($J560="wagon",2.73,81.25)</f>
        <v>#N/A</v>
      </c>
      <c r="BU560" s="1" t="str">
        <f aca="false">IF(J560="locomotive","B","")</f>
        <v/>
      </c>
      <c r="BV560" s="1" t="str">
        <f aca="false">IF(OR($J560="locomotive",$J560="wagon"),"B","")</f>
        <v/>
      </c>
      <c r="BY560" s="1" t="n">
        <v>2</v>
      </c>
      <c r="CC560" s="1" t="s">
        <v>367</v>
      </c>
      <c r="CD560" s="23" t="s">
        <v>306</v>
      </c>
      <c r="CE560" s="1" t="s">
        <v>858</v>
      </c>
      <c r="CF560" s="23" t="str">
        <f aca="false">CONCATENATE(CD560,"_",CE560)</f>
        <v>vct_EMU</v>
      </c>
      <c r="CG560" s="23" t="str">
        <f aca="false">_xlfn.CONCAT(K560, "_",L560)</f>
        <v>na_THIRD_RAIL</v>
      </c>
      <c r="CH560" s="7" t="str">
        <f aca="false">_xlfn.CONCAT("{BLACK}Length: {GOLD}", TEXT(ROUNDUP(IF(AS560&lt;&gt;"",SUM(VALUE(_xlfn.TEXTSPLIT(AS560, ","))), SUM(VALUE(_xlfn.TEXTSPLIT(AP560, ",")))*IF(P560, P560, 1))/16, 1), "#,##0.0"), " tiles{}")</f>
        <v>{BLACK}Length: {GOLD}1.0 tiles{}</v>
      </c>
      <c r="CI560" s="1" t="str">
        <f aca="false">IF(0, VLOOKUP($CG560, Constants!$M:$N, 2, FALSE()),"")</f>
        <v/>
      </c>
      <c r="CJ560" s="1" t="str">
        <f aca="false">IF(P560&gt;1,_xlfn.CONCAT("{BLACK}Cars: {GOLD}", P560),"")</f>
        <v>{BLACK}Cars: {GOLD}2</v>
      </c>
      <c r="CK560" s="1" t="s">
        <v>2085</v>
      </c>
      <c r="CL560" s="1" t="str">
        <f aca="false">IF($BX560="concept_trains","{GREEN}Concept Vehicle",IF($BX560="!param_no_gameplay_units","{GREEN}Included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{BLACK}Cars: {GOLD}2{}{BLACK}Length: {GOLD}1.0 tiles{}{SILVER}These lightweight multiple units were built for the Liverpool Overhead Railway, a since closed elevated railway operating around the Liverpool docks.</v>
      </c>
    </row>
    <row r="561" customFormat="false" ht="14.25" hidden="false" customHeight="false" outlineLevel="0" collapsed="false">
      <c r="A561" s="24" t="s">
        <v>2086</v>
      </c>
      <c r="B561" s="19" t="s">
        <v>2087</v>
      </c>
      <c r="C561" s="1" t="n">
        <v>1058</v>
      </c>
      <c r="E561" s="1" t="n">
        <v>-1</v>
      </c>
      <c r="G561" s="1" t="str">
        <f aca="false">IF($F561&lt;&gt;"",_xlfn.CONCAT(VLOOKUP($CE561, Constants!$T:$U, 2, FALSE()),",",$F561),VLOOKUP($CE561, Constants!$T:$U, 2, FALSE()))</f>
        <v>role/passenger</v>
      </c>
      <c r="H561" s="1" t="str">
        <f aca="false">IF($G561&lt;&gt;"",_xlfn.CONCAT(VLOOKUP($CG561, Constants!$M:$P, 4, FALSE()),",",$G561),VLOOKUP($CG561, Constants!$M:$P, 4, FALSE()))</f>
        <v>flag/GB,role/passenger</v>
      </c>
      <c r="J561" s="1" t="s">
        <v>349</v>
      </c>
      <c r="K561" s="1" t="s">
        <v>1481</v>
      </c>
      <c r="L561" s="1" t="s">
        <v>192</v>
      </c>
      <c r="M561" s="1" t="n">
        <v>1983</v>
      </c>
      <c r="AD561" s="4" t="str">
        <f aca="false">IF(AND(Z561&gt;0,AC561&gt;0),(AC561/((Z561+AA561)*10)),"")</f>
        <v/>
      </c>
      <c r="AF561" s="1" t="n">
        <f aca="false">ROUND(AE561*1.6, 0)</f>
        <v>0</v>
      </c>
      <c r="AM561" s="1" t="str">
        <f aca="false">CONCATENATE(VLOOKUP(AN561, 'Voxel Sizes'!$A$2:$B$18,2,FALSE()),"x",INT(AJ561*15), "x", INT(AK561*15))</f>
        <v>0x0x0</v>
      </c>
      <c r="AN561" s="16" t="n">
        <f aca="false">ROUND(15*((AI561*10)/256),0)</f>
        <v>0</v>
      </c>
      <c r="AP561" s="1" t="str">
        <f aca="false">CONCATENATE(VLOOKUP(AN561,Constants!$A$2:$C$16,IF(AO561&lt;&gt;"", 3, 2), FALSE()),IF(AO561&lt;&gt;"",CONCATENATE(",",VLOOKUP(AO561,$B:$AP,41,FALSE())),""))</f>
        <v>na</v>
      </c>
      <c r="AZ561" s="1" t="n">
        <v>30</v>
      </c>
      <c r="BA561" s="16" t="str">
        <f aca="false">IF(O561&lt;&gt;"",MAX(16,(O561-M561)+8),"")</f>
        <v/>
      </c>
      <c r="BD561" s="20" t="n">
        <f aca="false">MIN(AE561/150, 1)*30</f>
        <v>0</v>
      </c>
      <c r="BE561" s="20" t="n">
        <f aca="false">MIN(Q561/4000, 1)*20</f>
        <v>0</v>
      </c>
      <c r="BF561" s="20" t="n">
        <f aca="false">MIN(AC561/400,1)*20</f>
        <v>0</v>
      </c>
      <c r="BG561" s="4" t="n">
        <f aca="false">1-(MAX(M561-1900, 0)/750)</f>
        <v>0.889333333333333</v>
      </c>
      <c r="BH561" s="20" t="n">
        <f aca="false">((MAX($P561,1)*MIN($AL561/300,1)))*IF(J561="Wagon",50,10)</f>
        <v>0</v>
      </c>
      <c r="BI561" s="1" t="n">
        <f aca="false">VLOOKUP($K561,Constants!$I:$K, 2, FALSE())</f>
        <v>0.9</v>
      </c>
      <c r="BJ561" s="1" t="n">
        <f aca="false">VLOOKUP($K561,Constants!$I:$K, 3, FALSE())*IF(AND(J561="multiple_unit",AE561&lt;110),0.75,1)</f>
        <v>1.6</v>
      </c>
      <c r="BK561" s="1" t="n">
        <f aca="false">INT(POWER(((Constants!$G$2+$BD561+$BE561+$BF561+$BH561)*$BG561)*$BJ561, 1.05))+$BC561</f>
        <v>7</v>
      </c>
      <c r="BL561" s="1" t="n">
        <f aca="false">INT(POWER((((Constants!$G$1+$BD561+$BE561+$BF561+$BH561)*($BG561))*$BI561),IF($J561="wagon",1,1.2)))+$BB561</f>
        <v>19</v>
      </c>
      <c r="BM561" s="17" t="n">
        <f aca="false">BK561*IF($J561="wagon",62.5,781.25)</f>
        <v>5468.75</v>
      </c>
      <c r="BN561" s="17" t="n">
        <f aca="false">BL561*IF($J561="wagon",2.73,81.25)</f>
        <v>1543.75</v>
      </c>
      <c r="BU561" s="1" t="str">
        <f aca="false">IF(J561="locomotive","B","")</f>
        <v/>
      </c>
      <c r="BV561" s="1" t="str">
        <f aca="false">IF(OR($J561="locomotive",$J561="wagon"),"B","")</f>
        <v/>
      </c>
      <c r="BY561" s="1" t="n">
        <v>10</v>
      </c>
      <c r="BZ561" s="1" t="n">
        <v>120</v>
      </c>
      <c r="CC561" s="1" t="s">
        <v>367</v>
      </c>
      <c r="CD561" s="23" t="s">
        <v>647</v>
      </c>
      <c r="CE561" s="1" t="s">
        <v>1483</v>
      </c>
      <c r="CF561" s="23" t="str">
        <f aca="false">CONCATENATE(CD561,"_",CE561)</f>
        <v>lbr_LU</v>
      </c>
      <c r="CG561" s="23" t="str">
        <f aca="false">_xlfn.CONCAT(K561, "_",L561)</f>
        <v>tube_RAIL</v>
      </c>
      <c r="CH561" s="7" t="e">
        <f aca="false">_xlfn.CONCAT("{BLACK}Length: {GOLD}", TEXT(ROUNDUP(IF(AS561&lt;&gt;"",SUM(VALUE(_xlfn.TEXTSPLIT(AS561, ","))), SUM(VALUE(_xlfn.TEXTSPLIT(AP561, ",")))*IF(P561, P561, 1))/16, 1), "#,##0.0"), " tiles{}")</f>
        <v>#VALUE!</v>
      </c>
      <c r="CI561" s="1" t="str">
        <f aca="false">IF(0, VLOOKUP($CG561, Constants!$M:$N, 2, FALSE()),"")</f>
        <v/>
      </c>
      <c r="CJ561" s="1" t="str">
        <f aca="false">IF(P561&gt;1,_xlfn.CONCAT("{BLACK}Cars: {GOLD}", P561),"")</f>
        <v/>
      </c>
      <c r="CL561" s="1" t="str">
        <f aca="false">IF($BX561="concept_trains","{GREEN}Concept Vehicle",IF($BX561="!param_no_gameplay_units","{GREEN}Included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{YELLOW}35% penalty for long distance travel{}</v>
      </c>
      <c r="CN561" s="1" t="e">
        <f aca="false">_xlfn.CONCAT(CI561,IF(CI561&lt;&gt;""," ",""),CJ561,IF(OR(CJ561&lt;&gt;"",CI561&lt;&gt;""),"{}",""),CH561,CM561,"{SILVER}",CK561,IF(CL561&lt;&gt;"","{}{}",""),CL561)</f>
        <v>#VALUE!</v>
      </c>
    </row>
    <row r="562" customFormat="false" ht="14.25" hidden="false" customHeight="false" outlineLevel="0" collapsed="false">
      <c r="A562" s="1" t="s">
        <v>2088</v>
      </c>
      <c r="B562" s="19" t="s">
        <v>2089</v>
      </c>
      <c r="C562" s="1" t="n">
        <v>2010</v>
      </c>
      <c r="E562" s="1" t="n">
        <v>2000</v>
      </c>
      <c r="G562" s="1" t="str">
        <f aca="false">IF($F562&lt;&gt;"",_xlfn.CONCAT(VLOOKUP($CE562, Constants!$T:$U, 2, FALSE()),",",$F562),VLOOKUP($CE562, Constants!$T:$U, 2, FALSE()))</f>
        <v>role/mixed</v>
      </c>
      <c r="H562" s="1" t="str">
        <f aca="false">IF($G562&lt;&gt;"",_xlfn.CONCAT(VLOOKUP($CG562, Constants!$M:$P, 4, FALSE()),",",$G562),VLOOKUP($CG562, Constants!$M:$P, 4, FALSE()))</f>
        <v>flag/GB,power/animal,role/mixed</v>
      </c>
      <c r="I562" s="1" t="s">
        <v>241</v>
      </c>
      <c r="J562" s="1" t="s">
        <v>242</v>
      </c>
      <c r="K562" s="1" t="s">
        <v>242</v>
      </c>
      <c r="L562" s="1" t="s">
        <v>2090</v>
      </c>
      <c r="M562" s="1" t="n">
        <v>1800</v>
      </c>
      <c r="O562" s="1" t="n">
        <v>1880</v>
      </c>
      <c r="Q562" s="1" t="n">
        <v>5</v>
      </c>
      <c r="W562" s="18"/>
      <c r="Z562" s="1" t="n">
        <v>1</v>
      </c>
      <c r="AC562" s="1" t="n">
        <v>4</v>
      </c>
      <c r="AD562" s="4" t="n">
        <f aca="false">IF(AND(Z562&gt;0,AC562&gt;0),(AC562/((Z562+AA562)*10)),"")</f>
        <v>0.4</v>
      </c>
      <c r="AE562" s="1" t="n">
        <v>15</v>
      </c>
      <c r="AF562" s="1" t="n">
        <f aca="false">ROUND(AE562*1.6, 0)</f>
        <v>24</v>
      </c>
      <c r="AI562" s="1" t="n">
        <v>6</v>
      </c>
      <c r="AL562" s="5" t="n">
        <v>0</v>
      </c>
      <c r="AM562" s="1" t="str">
        <f aca="false">CONCATENATE(VLOOKUP(AN562, 'Voxel Sizes'!$A$2:$B$18,2,FALSE()),"x",INT(AJ562*15), "x", INT(AK562*15))</f>
        <v>60x0x0</v>
      </c>
      <c r="AN562" s="16" t="n">
        <f aca="false">ROUND(15*((AI562*10)/256),0)</f>
        <v>4</v>
      </c>
      <c r="AP562" s="1" t="str">
        <f aca="false">CONCATENATE(VLOOKUP(AN562,Constants!$A$2:$C$16,IF(AO562&lt;&gt;"", 3, 2), FALSE()),IF(AO562&lt;&gt;"",CONCATENATE(",",VLOOKUP(AO562,$B:$AP,41,FALSE())),""))</f>
        <v>1,2,1</v>
      </c>
      <c r="AX562" s="1" t="n">
        <v>1</v>
      </c>
      <c r="AZ562" s="1" t="n">
        <v>14</v>
      </c>
      <c r="BA562" s="16" t="n">
        <f aca="false">IF(O562&lt;&gt;"",MAX(16,(O562-M562)+8),"")</f>
        <v>88</v>
      </c>
      <c r="BB562" s="1" t="n">
        <v>-13</v>
      </c>
      <c r="BC562" s="1" t="n">
        <v>-3</v>
      </c>
      <c r="BD562" s="20" t="n">
        <f aca="false">MIN(AE562/150, 1)*30</f>
        <v>3</v>
      </c>
      <c r="BE562" s="20" t="n">
        <f aca="false">MIN(Q562/4000, 1)*20</f>
        <v>0.025</v>
      </c>
      <c r="BF562" s="20" t="n">
        <f aca="false">MIN(AC562/400,1)*20</f>
        <v>0.2</v>
      </c>
      <c r="BG562" s="21" t="n">
        <f aca="false">1-(MAX(M562-1900, 0)/750)</f>
        <v>1</v>
      </c>
      <c r="BH562" s="20" t="n">
        <f aca="false">((MAX($P562,1)*MIN($AL562/300,1)))*IF(J562="Wagon",50,10)</f>
        <v>0</v>
      </c>
      <c r="BI562" s="1" t="n">
        <f aca="false">VLOOKUP($K562,Constants!$I:$K, 2, FALSE())</f>
        <v>0.5</v>
      </c>
      <c r="BJ562" s="1" t="n">
        <f aca="false">VLOOKUP($K562,Constants!$I:$K, 3, FALSE())*IF(AND(J562="multiple_unit",AE562&lt;110),0.75,1)</f>
        <v>0.5</v>
      </c>
      <c r="BK562" s="1" t="n">
        <f aca="false">INT(POWER(((Constants!$G$2+$BD562+$BE562+$BF562+$BH562)*$BG562)*$BJ562, 1.05))+$BC562</f>
        <v>1</v>
      </c>
      <c r="BL562" s="1" t="n">
        <f aca="false">INT(POWER((((Constants!$G$1+$BD562+$BE562+$BF562+$BH562)*($BG562))*$BI562),IF($J562="wagon",1,1.2)))+$BB562</f>
        <v>1</v>
      </c>
      <c r="BM562" s="22" t="n">
        <f aca="false">BK562*IF($J562="wagon",62.5,781.25)</f>
        <v>781.25</v>
      </c>
      <c r="BN562" s="22" t="n">
        <f aca="false">BL562*IF($J562="wagon",2.73,81.25)</f>
        <v>81.25</v>
      </c>
      <c r="BU562" s="1" t="str">
        <f aca="false">IF(J562="locomotive","B","")</f>
        <v/>
      </c>
      <c r="BV562" s="1" t="str">
        <f aca="false">IF(OR($J562="locomotive",$J562="wagon"),"B","")</f>
        <v/>
      </c>
      <c r="BY562" s="1" t="n">
        <v>1</v>
      </c>
      <c r="CD562" s="23" t="s">
        <v>272</v>
      </c>
      <c r="CE562" s="1" t="s">
        <v>129</v>
      </c>
      <c r="CF562" s="23" t="str">
        <f aca="false">CONCATENATE(CD562,"_",CE562)</f>
        <v>early_Mixed Traffic</v>
      </c>
      <c r="CG562" s="23" t="str">
        <f aca="false">_xlfn.CONCAT(K562, "_",L562)</f>
        <v>horses_NARROW_GAUGE</v>
      </c>
      <c r="CH562" s="7" t="str">
        <f aca="false">_xlfn.CONCAT("{BLACK}Length: {GOLD}", TEXT(ROUNDUP(IF(AS562&lt;&gt;"",SUM(VALUE(_xlfn.TEXTSPLIT(AS562, ","))), SUM(VALUE(_xlfn.TEXTSPLIT(AP562, ",")))*IF(P562, P562, 1))/16, 1), "#,##0.0"), " tiles{}")</f>
        <v>{BLACK}Length: {GOLD}0.3 tiles{}</v>
      </c>
      <c r="CI562" s="1" t="str">
        <f aca="false">IF(0, VLOOKUP($CG562, Constants!$M:$N, 2, FALSE()),"")</f>
        <v/>
      </c>
      <c r="CJ562" s="1" t="str">
        <f aca="false">IF(P562&gt;1,_xlfn.CONCAT("{BLACK}Cars: {GOLD}", P562),"")</f>
        <v/>
      </c>
      <c r="CK562" s="1" t="s">
        <v>2091</v>
      </c>
      <c r="CL562" s="1" t="str">
        <f aca="false">IF($BX562="concept_trains","{GREEN}Concept Vehicle",IF($BX562="!param_no_gameplay_units","{GREEN}Included for gameplay purposes",""))</f>
        <v/>
      </c>
      <c r="CM562" s="1" t="str">
        <f aca="false">IF(CA562="buffet","{YELLOW}25% long distance bonus for consist{}",IF(CB562="DANDY","{YELLOW}Faster downhill speeds for horse-drawn trains (1 required per 2 horses){}",IF(CB562="BRAKE","{YELLOW}Speed bonus for slow wagons{}",IF(CB562="NGPassengers","{YELLOW}Preserved railway bonus: passengers pay more when hauled by old locomotives{}",IF(AND(BZ562&gt;190,NOT(AND(L562="NARROW_GAUGE",CB562&lt;&gt;"PASS"))),CONCATENATE("{YELLOW}",INT((BZ562-185)/1.85),"% bonus for long distance travel{}"),IF(AND(BZ562&lt;180,BZ562&lt;&gt;0),CONCATENATE("{YELLOW}",INT((185-BZ562)/1.85),"% penalty for long distance travel{}"),""))))))</f>
        <v/>
      </c>
      <c r="CN562" s="1" t="str">
        <f aca="false">_xlfn.CONCAT(CI562,IF(CI562&lt;&gt;""," ",""),CJ562,IF(OR(CJ562&lt;&gt;"",CI562&lt;&gt;""),"{}",""),CH562,CM562,"{SILVER}",CK562,IF(CL562&lt;&gt;"","{}{}",""),CL562)</f>
        <v>{BLACK}Length: {GOLD}0.3 tiles{}{SILVER}A smaller horse for a smaller railway.</v>
      </c>
    </row>
    <row r="563" customFormat="false" ht="14.25" hidden="false" customHeight="false" outlineLevel="0" collapsed="false">
      <c r="A563" s="1" t="s">
        <v>2092</v>
      </c>
      <c r="B563" s="19" t="s">
        <v>2093</v>
      </c>
      <c r="C563" s="1" t="n">
        <v>-1</v>
      </c>
      <c r="E563" s="1" t="n">
        <v>-1</v>
      </c>
      <c r="G563" s="1" t="str">
        <f aca="false">IF($F563&lt;&gt;"",_xlfn.CONCAT(VLOOKUP($CE563, Constants!$T:$U, 2, FALSE()),",",$F563),VLOOKUP($CE563, Constants!$T:$U, 2, FALSE()))</f>
        <v>role/mixed</v>
      </c>
      <c r="H563" s="1" t="str">
        <f aca="false">IF($G563&lt;&gt;"",_xlfn.CONCAT(VLOOKUP($CG563, Constants!$M:$P, 4, FALSE()),",",$G563),VLOOKUP($CG563, Constants!$M:$P, 4, FALSE()))</f>
        <v>flag/GB,role/mixed</v>
      </c>
      <c r="J563" s="1" t="s">
        <v>40</v>
      </c>
      <c r="K563" s="1" t="s">
        <v>40</v>
      </c>
      <c r="L563" s="1" t="s">
        <v>192</v>
      </c>
      <c r="M563" s="1" t="n">
        <v>1804</v>
      </c>
      <c r="Z563" s="1" t="n">
        <v>2</v>
      </c>
      <c r="AD563" s="4" t="str">
        <f aca="false">IF(AND(Z563&gt;0,AC563&gt;0),(AC563/((Z563+AA563)*10)),"")</f>
        <v/>
      </c>
      <c r="AH563" s="1" t="n">
        <v>7.5</v>
      </c>
      <c r="AI563" s="1" t="n">
        <v>5</v>
      </c>
      <c r="AL563" s="5" t="n">
        <v>0</v>
      </c>
      <c r="AM563" s="1" t="str">
        <f aca="false">CONCATENATE(VLOOKUP(AN563, 'Voxel Sizes'!$A$2:$B$18,2,FALSE()),"x",INT(AJ563*15), "x", INT(AK563*15))</f>
        <v>51x0x0</v>
      </c>
      <c r="AN563" s="16" t="n">
        <f aca="false">ROUND(15*((AI563*10)/256),0)</f>
        <v>3</v>
      </c>
      <c r="AP563" s="1" t="str">
        <f aca="false">CONCATENATE(VLOOKUP(AN563,Constants!$A$2:$C$16,IF(AO563&lt;&gt;"", 3, 2), FALSE()),IF(AO563&lt;&gt;"",CONCATENATE(",",VLOOKUP(AO563,$B:$AP,41,FALSE())),""))</f>
        <v>1,1,1</v>
      </c>
      <c r="AZ563" s="1" t="n">
        <v>30</v>
      </c>
      <c r="BA563" s="16" t="str">
        <f aca="false">IF(O563&lt;&gt;"",MAX(16,(O563-M563)+8),"")</f>
        <v/>
      </c>
      <c r="BD563" s="20" t="n">
        <f aca="false">MIN(AE563/150, 1)*30</f>
        <v>0</v>
      </c>
      <c r="BE563" s="20" t="n">
        <f aca="false">MIN(Q563/4000, 1)*20</f>
        <v>0</v>
      </c>
      <c r="BF563" s="20" t="n">
        <f aca="false">MIN(AC563/400,1)*20</f>
        <v>0</v>
      </c>
      <c r="BG563" s="21" t="n">
        <f aca="false">1-(MAX(M563-1900, 0)/750)</f>
        <v>1</v>
      </c>
      <c r="BH563" s="20" t="n">
        <f aca="false">((MAX($P563,1)*MIN($AL563/300,1)))*IF(J563="Wagon",50,10)</f>
        <v>0</v>
      </c>
      <c r="BI563" s="1" t="n">
        <f aca="false">VLOOKUP($K563,Constants!$I:$K, 2, FALSE())</f>
        <v>0</v>
      </c>
      <c r="BJ563" s="1" t="n">
        <f aca="false">VLOOKUP($K563,Constants!$I:$K, 3, FALSE())*IF(AND(J563="multiple_unit",AE563&lt;110),0.75,1)</f>
        <v>0</v>
      </c>
      <c r="BK563" s="1" t="n">
        <f aca="false">INT(POWER(((Constants!$G$2+$BD563+$BE563+$BF563+$BH563)*$BG563)*$BJ563, 1.05))+$BC563</f>
        <v>0</v>
      </c>
      <c r="BL563" s="1" t="n">
        <f aca="false">INT(POWER((((Constants!$G$1+$BD563+$BE563+$BF563+$BH563)*($BG563))*$BI563),IF($J563="wagon",1,1.2)))+$BB563</f>
        <v>0</v>
      </c>
      <c r="BM563" s="22" t="n">
        <f aca="false">BK563*IF($J563="wagon",62.5,781.25)</f>
        <v>0</v>
      </c>
      <c r="BN563" s="22" t="n">
        <f aca="false">BL563*IF($J563="wagon",2.73,81.25)</f>
        <v>0</v>
      </c>
      <c r="BU563" s="1" t="str">
        <f aca="false">IF(J563="locomotive","B","")</f>
        <v/>
      </c>
      <c r="BV563" s="1" t="str">
        <f aca="false">IF(OR($J563="locomotive",$J563="wagon"),"B","")</f>
        <v/>
      </c>
      <c r="CD563" s="23" t="s">
        <v>272</v>
      </c>
      <c r="CE563" s="1" t="s">
        <v>129</v>
      </c>
      <c r="CF563" s="23" t="str">
        <f aca="false">CONCATENATE(CD563,"_",CE563)</f>
        <v>early_Mixed Traffic</v>
      </c>
      <c r="CG563" s="23" t="str">
        <f aca="false">_xlfn.CONCAT(K563, "_",L563)</f>
        <v>tender_RAIL</v>
      </c>
      <c r="CH563" s="7" t="str">
        <f aca="false">_xlfn.CONCAT("{BLACK}Length: {GOLD}", TEXT(ROUNDUP(IF(AS563&lt;&gt;"",SUM(VALUE(_xlfn.TEXTSPLIT(AS563, ","))), SUM(VALUE(_xlfn.TEXTSPLIT(AP563, ",")))*IF(P563, P563, 1))/16, 1), "#,##0.0"), " tiles{}")</f>
        <v>{BLACK}Length: {GOLD}0.2 tiles{}</v>
      </c>
      <c r="CI563" s="1" t="str">
        <f aca="false">IF(0, VLOOKUP($CG563, Constants!$M:$N, 2, FALSE()),"")</f>
        <v/>
      </c>
      <c r="CJ563" s="1" t="str">
        <f aca="false">IF(P563&gt;1,_xlfn.CONCAT("{BLACK}Cars: {GOLD}", P563),"")</f>
        <v/>
      </c>
      <c r="CL563" s="1" t="str">
        <f aca="false">IF($BX563="concept_trains","{GREEN}Concept Vehicle",IF($BX563="!param_no_gameplay_units","{GREEN}Included for gameplay purposes",""))</f>
        <v/>
      </c>
      <c r="CM563" s="1" t="str">
        <f aca="false">IF(CA563="buffet","{YELLOW}25% long distance bonus for consist{}",IF(CB563="DANDY","{YELLOW}Faster downhill speeds for horse-drawn trains (1 required per 2 horses){}",IF(CB563="BRAKE","{YELLOW}Speed bonus for slow wagons{}",IF(CB563="NGPassengers","{YELLOW}Preserved railway bonus: passengers pay more when hauled by old locomotives{}",IF(AND(BZ563&gt;190,NOT(AND(L563="NARROW_GAUGE",CB563&lt;&gt;"PASS"))),CONCATENATE("{YELLOW}",INT((BZ563-185)/1.85),"% bonus for long distance travel{}"),IF(AND(BZ563&lt;180,BZ563&lt;&gt;0),CONCATENATE("{YELLOW}",INT((185-BZ563)/1.85),"% penalty for long distance travel{}"),""))))))</f>
        <v/>
      </c>
      <c r="CN563" s="1" t="str">
        <f aca="false">_xlfn.CONCAT(CI563,IF(CI563&lt;&gt;""," ",""),CJ563,IF(OR(CJ563&lt;&gt;"",CI563&lt;&gt;""),"{}",""),CH563,CM563,"{SILVER}",CK563,IF(CL563&lt;&gt;"","{}{}",""),CL563)</f>
        <v>{BLACK}Length: {GOLD}0.2 tiles{}{SILVER}</v>
      </c>
    </row>
    <row r="564" customFormat="false" ht="14.25" hidden="false" customHeight="false" outlineLevel="0" collapsed="false">
      <c r="A564" s="1" t="s">
        <v>2094</v>
      </c>
      <c r="B564" s="19" t="s">
        <v>2095</v>
      </c>
      <c r="C564" s="1" t="n">
        <v>2011</v>
      </c>
      <c r="E564" s="1" t="n">
        <v>2001</v>
      </c>
      <c r="G564" s="1" t="str">
        <f aca="false">IF($F564&lt;&gt;"",_xlfn.CONCAT(VLOOKUP($CE564, Constants!$T:$U, 2, FALSE()),",",$F564),VLOOKUP($CE564, Constants!$T:$U, 2, FALSE()))</f>
        <v>role/mixed</v>
      </c>
      <c r="H564" s="1" t="str">
        <f aca="false">IF($G564&lt;&gt;"",_xlfn.CONCAT(VLOOKUP($CG564, Constants!$M:$P, 4, FALSE()),",",$G564),VLOOKUP($CG564, Constants!$M:$P, 4, FALSE()))</f>
        <v>flag/GB,power/steam,role/mixed</v>
      </c>
      <c r="I564" s="1" t="s">
        <v>241</v>
      </c>
      <c r="J564" s="1" t="s">
        <v>249</v>
      </c>
      <c r="K564" s="1" t="s">
        <v>250</v>
      </c>
      <c r="L564" s="1" t="s">
        <v>2090</v>
      </c>
      <c r="M564" s="1" t="n">
        <v>1804</v>
      </c>
      <c r="O564" s="1" t="n">
        <v>1840</v>
      </c>
      <c r="Q564" s="1" t="n">
        <v>10</v>
      </c>
      <c r="S564" s="3" t="n">
        <v>8.6</v>
      </c>
      <c r="T564" s="3" t="n">
        <v>16</v>
      </c>
      <c r="U564" s="3" t="n">
        <v>1</v>
      </c>
      <c r="V564" s="3" t="n">
        <v>160</v>
      </c>
      <c r="W564" s="18" t="n">
        <f aca="false">((($AE564/2)/60)*5280)/($X564*3.2*PI())</f>
        <v>87.5352187005424</v>
      </c>
      <c r="X564" s="3" t="n">
        <v>0.7</v>
      </c>
      <c r="Y564" s="3" t="n">
        <f aca="false">((($S564*$S564/4)*PI())*($T564/12)*$U564*$V564*$W564)/(33000*1.1)</f>
        <v>29.8828282828283</v>
      </c>
      <c r="Z564" s="1" t="n">
        <v>5</v>
      </c>
      <c r="AB564" s="1" t="n">
        <v>5</v>
      </c>
      <c r="AC564" s="1" t="n">
        <v>12</v>
      </c>
      <c r="AD564" s="4" t="n">
        <f aca="false">IF(AND(Z564&gt;0,AC564&gt;0),(AC564/((Z564+AA564)*10)),"")</f>
        <v>0.24</v>
      </c>
      <c r="AE564" s="1" t="n">
        <v>14</v>
      </c>
      <c r="AF564" s="1" t="n">
        <f aca="false">ROUND(AE564*1.6, 0)</f>
        <v>22</v>
      </c>
      <c r="AH564" s="1" t="n">
        <v>5.5</v>
      </c>
      <c r="AI564" s="1" t="n">
        <v>8</v>
      </c>
      <c r="AL564" s="5" t="n">
        <v>0</v>
      </c>
      <c r="AM564" s="1" t="str">
        <f aca="false">CONCATENATE(VLOOKUP(AN564, 'Voxel Sizes'!$A$2:$B$18,2,FALSE()),"x",INT(AJ564*15), "x", INT(AK564*15))</f>
        <v>82x0x0</v>
      </c>
      <c r="AN564" s="16" t="n">
        <f aca="false">ROUND(15*((AI564*10)/256),0)</f>
        <v>5</v>
      </c>
      <c r="AO564" s="1" t="s">
        <v>2093</v>
      </c>
      <c r="AP564" s="1" t="str">
        <f aca="false">CONCATENATE(VLOOKUP(AN564,Constants!$A$2:$C$16,IF(AO564&lt;&gt;"", 3, 2), FALSE()),IF(AO564&lt;&gt;"",CONCATENATE(",",VLOOKUP(AO564,$B:$AP,41,FALSE())),""))</f>
        <v>2,1,2,1,1,1</v>
      </c>
      <c r="AX564" s="1" t="n">
        <v>1</v>
      </c>
      <c r="AZ564" s="1" t="n">
        <v>28</v>
      </c>
      <c r="BA564" s="16" t="n">
        <f aca="false">IF(O564&lt;&gt;"",MAX(16,(O564-M564)+8),"")</f>
        <v>44</v>
      </c>
      <c r="BB564" s="1" t="n">
        <v>-34</v>
      </c>
      <c r="BC564" s="1" t="n">
        <v>-13</v>
      </c>
      <c r="BD564" s="20" t="n">
        <f aca="false">MIN(AE564/150, 1)*30</f>
        <v>2.8</v>
      </c>
      <c r="BE564" s="20" t="n">
        <f aca="false">MIN(Q564/4000, 1)*20</f>
        <v>0.05</v>
      </c>
      <c r="BF564" s="20" t="n">
        <f aca="false">MIN(AC564/400,1)*20</f>
        <v>0.6</v>
      </c>
      <c r="BG564" s="21" t="n">
        <f aca="false">1-(MAX(M564-1900, 0)/750)</f>
        <v>1</v>
      </c>
      <c r="BH564" s="20" t="n">
        <f aca="false">((MAX($P564,1)*MIN($AL564/300,1)))*IF(J564="Wagon",50,10)</f>
        <v>0</v>
      </c>
      <c r="BI564" s="1" t="n">
        <f aca="false">VLOOKUP($K564,Constants!$I:$K, 2, FALSE())</f>
        <v>1.15</v>
      </c>
      <c r="BJ564" s="1" t="n">
        <f aca="false">VLOOKUP($K564,Constants!$I:$K, 3, FALSE())*IF(AND(J564="multiple_unit",AE564&lt;110),0.75,1)</f>
        <v>1.7</v>
      </c>
      <c r="BK564" s="1" t="n">
        <f aca="false">INT(POWER(((Constants!$G$2+$BD564+$BE564+$BF564+$BH564)*$BG564)*$BJ564, 1.05))+$BC564</f>
        <v>3</v>
      </c>
      <c r="BL564" s="1" t="n">
        <f aca="false">INT(POWER((((Constants!$G$1+$BD564+$BE564+$BF564+$BH564)*($BG564))*$BI564),IF($J564="wagon",1,1.2)))+$BB564</f>
        <v>5</v>
      </c>
      <c r="BM564" s="22" t="n">
        <f aca="false">BK564*IF($J564="wagon",62.5,781.25)</f>
        <v>2343.75</v>
      </c>
      <c r="BN564" s="22" t="n">
        <f aca="false">BL564*IF($J564="wagon",2.73,81.25)</f>
        <v>406.25</v>
      </c>
      <c r="BV564" s="1" t="str">
        <f aca="false">IF(OR($J564="locomotive",$J564="wagon"),"B","")</f>
        <v>B</v>
      </c>
      <c r="BY564" s="1" t="n">
        <v>2</v>
      </c>
      <c r="CD564" s="23" t="s">
        <v>272</v>
      </c>
      <c r="CE564" s="1" t="s">
        <v>356</v>
      </c>
      <c r="CF564" s="23" t="str">
        <f aca="false">CONCATENATE(CD564,"_",CE564)</f>
        <v>early_Cheap</v>
      </c>
      <c r="CG564" s="23" t="str">
        <f aca="false">_xlfn.CONCAT(K564, "_",L564)</f>
        <v>steam_NARROW_GAUGE</v>
      </c>
      <c r="CH564" s="7" t="str">
        <f aca="false">_xlfn.CONCAT("{BLACK}Length: {GOLD}", TEXT(ROUNDUP(IF(AS564&lt;&gt;"",SUM(VALUE(_xlfn.TEXTSPLIT(AS564, ","))), SUM(VALUE(_xlfn.TEXTSPLIT(AP564, ",")))*IF(P564, P564, 1))/16, 1), "#,##0.0"), " tiles{}")</f>
        <v>{BLACK}Length: {GOLD}0.5 tiles{}</v>
      </c>
      <c r="CI564" s="1" t="str">
        <f aca="false">IF(0, VLOOKUP($CG564, Constants!$M:$N, 2, FALSE()),"")</f>
        <v/>
      </c>
      <c r="CJ564" s="1" t="str">
        <f aca="false">IF(P564&gt;1,_xlfn.CONCAT("{BLACK}Cars: {GOLD}", P564),"")</f>
        <v/>
      </c>
      <c r="CK564" s="1" t="s">
        <v>2096</v>
      </c>
      <c r="CL564" s="1" t="str">
        <f aca="false">IF($BX564="concept_trains","{GREEN}Concept Vehicle",IF($BX564="!param_no_gameplay_units","{GREEN}Included for gameplay purposes",""))</f>
        <v/>
      </c>
      <c r="CM564" s="1" t="str">
        <f aca="false">IF(CA564="buffet","{YELLOW}25% long distance bonus for consist{}",IF(CB564="DANDY","{YELLOW}Faster downhill speeds for horse-drawn trains (1 required per 2 horses){}",IF(CB564="BRAKE","{YELLOW}Speed bonus for slow wagons{}",IF(CB564="NGPassengers","{YELLOW}Preserved railway bonus: passengers pay more when hauled by old locomotives{}",IF(AND(BZ564&gt;190,NOT(AND(L564="NARROW_GAUGE",CB564&lt;&gt;"PASS"))),CONCATENATE("{YELLOW}",INT((BZ564-185)/1.85),"% bonus for long distance travel{}"),IF(AND(BZ564&lt;180,BZ564&lt;&gt;0),CONCATENATE("{YELLOW}",INT((185-BZ564)/1.85),"% penalty for long distance travel{}"),""))))))</f>
        <v/>
      </c>
      <c r="CN564" s="1" t="str">
        <f aca="false">_xlfn.CONCAT(CI564,IF(CI564&lt;&gt;""," ",""),CJ564,IF(OR(CJ564&lt;&gt;"",CI564&lt;&gt;""),"{}",""),CH564,CM564,"{SILVER}",CK564,IF(CL564&lt;&gt;"","{}{}",""),CL564)</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65" customFormat="false" ht="14.25" hidden="false" customHeight="false" outlineLevel="0" collapsed="false">
      <c r="A565" s="1" t="s">
        <v>2097</v>
      </c>
      <c r="B565" s="19" t="s">
        <v>2098</v>
      </c>
      <c r="C565" s="1" t="n">
        <v>-1</v>
      </c>
      <c r="E565" s="1" t="n">
        <v>-1</v>
      </c>
      <c r="G565" s="1" t="str">
        <f aca="false">IF($F565&lt;&gt;"",_xlfn.CONCAT(VLOOKUP($CE565, Constants!$T:$U, 2, FALSE()),",",$F565),VLOOKUP($CE565, Constants!$T:$U, 2, FALSE()))</f>
        <v>role/mixed</v>
      </c>
      <c r="H565" s="1" t="str">
        <f aca="false">IF($G565&lt;&gt;"",_xlfn.CONCAT(VLOOKUP($CG565, Constants!$M:$P, 4, FALSE()),",",$G565),VLOOKUP($CG565, Constants!$M:$P, 4, FALSE()))</f>
        <v>flag/GB,role/mixed</v>
      </c>
      <c r="J565" s="1" t="s">
        <v>40</v>
      </c>
      <c r="K565" s="1" t="s">
        <v>40</v>
      </c>
      <c r="L565" s="1" t="s">
        <v>192</v>
      </c>
      <c r="M565" s="1" t="n">
        <v>1863</v>
      </c>
      <c r="Z565" s="1" t="n">
        <v>4</v>
      </c>
      <c r="AD565" s="4" t="str">
        <f aca="false">IF(AND(Z565&gt;0,AC565&gt;0),(AC565/((Z565+AA565)*10)),"")</f>
        <v/>
      </c>
      <c r="AH565" s="1" t="n">
        <v>7.5</v>
      </c>
      <c r="AI565" s="1" t="n">
        <v>5</v>
      </c>
      <c r="AL565" s="5" t="n">
        <v>0</v>
      </c>
      <c r="AM565" s="1" t="str">
        <f aca="false">CONCATENATE(VLOOKUP(AN565, 'Voxel Sizes'!$A$2:$B$18,2,FALSE()),"x",INT(AJ565*15), "x", INT(AK565*15))</f>
        <v>51x0x0</v>
      </c>
      <c r="AN565" s="16" t="n">
        <f aca="false">ROUND(15*((AI565*10)/256),0)</f>
        <v>3</v>
      </c>
      <c r="AP565" s="1" t="str">
        <f aca="false">CONCATENATE(VLOOKUP(AN565,Constants!$A$2:$C$16,IF(AO565&lt;&gt;"", 3, 2), FALSE()),IF(AO565&lt;&gt;"",CONCATENATE(",",VLOOKUP(AO565,$B:$AP,41,FALSE())),""))</f>
        <v>1,1,1</v>
      </c>
      <c r="AZ565" s="1" t="n">
        <v>30</v>
      </c>
      <c r="BA565" s="16" t="str">
        <f aca="false">IF(O565&lt;&gt;"",MAX(16,(O565-M565)+8),"")</f>
        <v/>
      </c>
      <c r="BD565" s="20" t="n">
        <f aca="false">MIN(AE565/150, 1)*30</f>
        <v>0</v>
      </c>
      <c r="BE565" s="20" t="n">
        <f aca="false">MIN(Q565/4000, 1)*20</f>
        <v>0</v>
      </c>
      <c r="BF565" s="20" t="n">
        <f aca="false">MIN(AC565/400,1)*20</f>
        <v>0</v>
      </c>
      <c r="BG565" s="21" t="n">
        <f aca="false">1-(MAX(M565-1900, 0)/750)</f>
        <v>1</v>
      </c>
      <c r="BH565" s="20" t="n">
        <f aca="false">((MAX($P565,1)*MIN($AL565/300,1)))*IF(J565="Wagon",50,10)</f>
        <v>0</v>
      </c>
      <c r="BI565" s="1" t="n">
        <f aca="false">VLOOKUP($K565,Constants!$I:$K, 2, FALSE())</f>
        <v>0</v>
      </c>
      <c r="BJ565" s="1" t="n">
        <f aca="false">VLOOKUP($K565,Constants!$I:$K, 3, FALSE())*IF(AND(J565="multiple_unit",AE565&lt;110),0.75,1)</f>
        <v>0</v>
      </c>
      <c r="BK565" s="1" t="n">
        <f aca="false">INT(POWER(((Constants!$G$2+$BD565+$BE565+$BF565+$BH565)*$BG565)*$BJ565, 1.05))+$BC565</f>
        <v>0</v>
      </c>
      <c r="BL565" s="1" t="n">
        <f aca="false">INT(POWER((((Constants!$G$1+$BD565+$BE565+$BF565+$BH565)*($BG565))*$BI565),IF($J565="wagon",1,1.2)))+$BB565</f>
        <v>0</v>
      </c>
      <c r="BM565" s="22" t="n">
        <f aca="false">BK565*IF($J565="wagon",62.5,781.25)</f>
        <v>0</v>
      </c>
      <c r="BN565" s="22" t="n">
        <f aca="false">BL565*IF($J565="wagon",2.73,81.25)</f>
        <v>0</v>
      </c>
      <c r="BV565" s="1" t="str">
        <f aca="false">IF(OR($J565="locomotive",$J565="wagon"),"B","")</f>
        <v/>
      </c>
      <c r="CD565" s="23" t="s">
        <v>306</v>
      </c>
      <c r="CE565" s="1" t="s">
        <v>129</v>
      </c>
      <c r="CF565" s="23" t="str">
        <f aca="false">CONCATENATE(CD565,"_",CE565)</f>
        <v>vct_Mixed Traffic</v>
      </c>
      <c r="CG565" s="23" t="str">
        <f aca="false">_xlfn.CONCAT(K565, "_",L565)</f>
        <v>tender_RAIL</v>
      </c>
      <c r="CH565" s="7" t="str">
        <f aca="false">_xlfn.CONCAT("{BLACK}Length: {GOLD}", TEXT(ROUNDUP(IF(AS565&lt;&gt;"",SUM(VALUE(_xlfn.TEXTSPLIT(AS565, ","))), SUM(VALUE(_xlfn.TEXTSPLIT(AP565, ",")))*IF(P565, P565, 1))/16, 1), "#,##0.0"), " tiles{}")</f>
        <v>{BLACK}Length: {GOLD}0.2 tiles{}</v>
      </c>
      <c r="CI565" s="1" t="str">
        <f aca="false">IF(0, VLOOKUP($CG565, Constants!$M:$N, 2, FALSE()),"")</f>
        <v/>
      </c>
      <c r="CJ565" s="1" t="str">
        <f aca="false">IF(P565&gt;1,_xlfn.CONCAT("{BLACK}Cars: {GOLD}", P565),"")</f>
        <v/>
      </c>
      <c r="CL565" s="1" t="str">
        <f aca="false">IF($BX565="concept_trains","{GREEN}Concept Vehicle",IF($BX565="!param_no_gameplay_units","{GREEN}Included for gameplay purposes",""))</f>
        <v/>
      </c>
      <c r="CM565" s="1" t="str">
        <f aca="false">IF(CA565="buffet","{YELLOW}25% long distance bonus for consist{}",IF(CB565="DANDY","{YELLOW}Faster downhill speeds for horse-drawn trains (1 required per 2 horses){}",IF(CB565="BRAKE","{YELLOW}Speed bonus for slow wagons{}",IF(CB565="NGPassengers","{YELLOW}Preserved railway bonus: passengers pay more when hauled by old locomotives{}",IF(AND(BZ565&gt;190,NOT(AND(L565="NARROW_GAUGE",CB565&lt;&gt;"PASS"))),CONCATENATE("{YELLOW}",INT((BZ565-185)/1.85),"% bonus for long distance travel{}"),IF(AND(BZ565&lt;180,BZ565&lt;&gt;0),CONCATENATE("{YELLOW}",INT((185-BZ565)/1.85),"% penalty for long distance travel{}"),""))))))</f>
        <v/>
      </c>
      <c r="CN565" s="1" t="str">
        <f aca="false">_xlfn.CONCAT(CI565,IF(CI565&lt;&gt;""," ",""),CJ565,IF(OR(CJ565&lt;&gt;"",CI565&lt;&gt;""),"{}",""),CH565,CM565,"{SILVER}",CK565,IF(CL565&lt;&gt;"","{}{}",""),CL565)</f>
        <v>{BLACK}Length: {GOLD}0.2 tiles{}{SILVER}</v>
      </c>
    </row>
    <row r="566" customFormat="false" ht="14.25" hidden="false" customHeight="false" outlineLevel="0" collapsed="false">
      <c r="A566" s="1" t="s">
        <v>2099</v>
      </c>
      <c r="B566" s="19" t="s">
        <v>2100</v>
      </c>
      <c r="C566" s="1" t="n">
        <v>2012</v>
      </c>
      <c r="E566" s="1" t="n">
        <v>2002</v>
      </c>
      <c r="G566" s="1" t="str">
        <f aca="false">IF($F566&lt;&gt;"",_xlfn.CONCAT(VLOOKUP($CE566, Constants!$T:$U, 2, FALSE()),",",$F566),VLOOKUP($CE566, Constants!$T:$U, 2, FALSE()))</f>
        <v>role/mixed</v>
      </c>
      <c r="H566" s="1" t="str">
        <f aca="false">IF($G566&lt;&gt;"",_xlfn.CONCAT(VLOOKUP($CG566, Constants!$M:$P, 4, FALSE()),",",$G566),VLOOKUP($CG566, Constants!$M:$P, 4, FALSE()))</f>
        <v>flag/GB,power/steam,role/mixed</v>
      </c>
      <c r="I566" s="1" t="s">
        <v>241</v>
      </c>
      <c r="J566" s="1" t="s">
        <v>249</v>
      </c>
      <c r="K566" s="1" t="s">
        <v>250</v>
      </c>
      <c r="L566" s="1" t="s">
        <v>2090</v>
      </c>
      <c r="M566" s="1" t="n">
        <v>1863</v>
      </c>
      <c r="O566" s="1" t="n">
        <v>1946</v>
      </c>
      <c r="Q566" s="1" t="n">
        <v>90</v>
      </c>
      <c r="S566" s="3" t="n">
        <v>8.25</v>
      </c>
      <c r="T566" s="3" t="n">
        <v>12</v>
      </c>
      <c r="U566" s="3" t="n">
        <v>2</v>
      </c>
      <c r="V566" s="3" t="n">
        <v>160</v>
      </c>
      <c r="W566" s="18" t="n">
        <f aca="false">((($AE566/2)/60)*5280)/($X566*3.2*PI())</f>
        <v>165.025412304301</v>
      </c>
      <c r="X566" s="3" t="n">
        <v>0.61</v>
      </c>
      <c r="Y566" s="3" t="n">
        <f aca="false">((($S566*$S566/4)*PI())*($T566/12)*$U566*$V566*$W566)/(33000*1.1)</f>
        <v>77.766393442623</v>
      </c>
      <c r="Z566" s="1" t="n">
        <v>15</v>
      </c>
      <c r="AB566" s="1" t="n">
        <v>5</v>
      </c>
      <c r="AC566" s="1" t="n">
        <v>29</v>
      </c>
      <c r="AD566" s="4" t="n">
        <f aca="false">IF(AND(Z566&gt;0,AC566&gt;0),(AC566/((Z566+AA566)*10)),"")</f>
        <v>0.193333333333333</v>
      </c>
      <c r="AE566" s="1" t="n">
        <v>23</v>
      </c>
      <c r="AF566" s="1" t="n">
        <f aca="false">ROUND(AE566*1.6, 0)</f>
        <v>37</v>
      </c>
      <c r="AH566" s="1" t="n">
        <v>5.5</v>
      </c>
      <c r="AI566" s="1" t="n">
        <v>6</v>
      </c>
      <c r="AL566" s="5" t="n">
        <v>0</v>
      </c>
      <c r="AM566" s="1" t="str">
        <f aca="false">CONCATENATE(VLOOKUP(AN566, 'Voxel Sizes'!$A$2:$B$18,2,FALSE()),"x",INT(AJ566*15), "x", INT(AK566*15))</f>
        <v>60x0x0</v>
      </c>
      <c r="AN566" s="16" t="n">
        <f aca="false">ROUND(15*((AI566*10)/256),0)</f>
        <v>4</v>
      </c>
      <c r="AO566" s="1" t="s">
        <v>2098</v>
      </c>
      <c r="AP566" s="1" t="str">
        <f aca="false">CONCATENATE(VLOOKUP(AN566,Constants!$A$2:$C$16,IF(AO566&lt;&gt;"", 3, 2), FALSE()),IF(AO566&lt;&gt;"",CONCATENATE(",",VLOOKUP(AO566,$B:$AP,41,FALSE())),""))</f>
        <v>1,2,1,1,1,1</v>
      </c>
      <c r="AX566" s="1" t="n">
        <v>1</v>
      </c>
      <c r="AZ566" s="1" t="n">
        <v>250</v>
      </c>
      <c r="BA566" s="16" t="n">
        <f aca="false">IF(O566&lt;&gt;"",MAX(16,(O566-M566)+8),"")</f>
        <v>91</v>
      </c>
      <c r="BB566" s="1" t="n">
        <v>-5</v>
      </c>
      <c r="BC566" s="1" t="n">
        <v>-3</v>
      </c>
      <c r="BD566" s="20" t="n">
        <f aca="false">MIN(AE566/150, 1)*30</f>
        <v>4.6</v>
      </c>
      <c r="BE566" s="20" t="n">
        <f aca="false">MIN(Q566/4000, 1)*20</f>
        <v>0.45</v>
      </c>
      <c r="BF566" s="20" t="n">
        <f aca="false">MIN(AC566/400,1)*20</f>
        <v>1.45</v>
      </c>
      <c r="BG566" s="21" t="n">
        <f aca="false">1-(MAX(M566-1900, 0)/750)</f>
        <v>1</v>
      </c>
      <c r="BH566" s="20" t="n">
        <f aca="false">((MAX($P566,1)*MIN($AL566/300,1)))*IF(J566="Wagon",50,10)</f>
        <v>0</v>
      </c>
      <c r="BI566" s="1" t="n">
        <f aca="false">VLOOKUP($K566,Constants!$I:$K, 2, FALSE())</f>
        <v>1.15</v>
      </c>
      <c r="BJ566" s="1" t="n">
        <f aca="false">VLOOKUP($K566,Constants!$I:$K, 3, FALSE())*IF(AND(J566="multiple_unit",AE566&lt;110),0.75,1)</f>
        <v>1.7</v>
      </c>
      <c r="BK566" s="1" t="n">
        <f aca="false">INT(POWER(((Constants!$G$2+$BD566+$BE566+$BF566+$BH566)*$BG566)*$BJ566, 1.05))+$BC566</f>
        <v>19</v>
      </c>
      <c r="BL566" s="1" t="n">
        <f aca="false">INT(POWER((((Constants!$G$1+$BD566+$BE566+$BF566+$BH566)*($BG566))*$BI566),IF($J566="wagon",1,1.2)))+$BB566</f>
        <v>41</v>
      </c>
      <c r="BM566" s="22" t="n">
        <f aca="false">BK566*IF($J566="wagon",62.5,781.25)</f>
        <v>14843.75</v>
      </c>
      <c r="BN566" s="22" t="n">
        <f aca="false">BL566*IF($J566="wagon",2.73,81.25)</f>
        <v>3331.25</v>
      </c>
      <c r="BV566" s="1" t="str">
        <f aca="false">IF(OR($J566="locomotive",$J566="wagon"),"B","")</f>
        <v>B</v>
      </c>
      <c r="BY566" s="1" t="n">
        <v>9</v>
      </c>
      <c r="CD566" s="23" t="s">
        <v>306</v>
      </c>
      <c r="CE566" s="1" t="s">
        <v>356</v>
      </c>
      <c r="CF566" s="23" t="str">
        <f aca="false">CONCATENATE(CD566,"_",CE566)</f>
        <v>vct_Cheap</v>
      </c>
      <c r="CG566" s="23" t="str">
        <f aca="false">_xlfn.CONCAT(K566, "_",L566)</f>
        <v>steam_NARROW_GAUGE</v>
      </c>
      <c r="CH566" s="7" t="str">
        <f aca="false">_xlfn.CONCAT("{BLACK}Length: {GOLD}", TEXT(ROUNDUP(IF(AS566&lt;&gt;"",SUM(VALUE(_xlfn.TEXTSPLIT(AS566, ","))), SUM(VALUE(_xlfn.TEXTSPLIT(AP566, ",")))*IF(P566, P566, 1))/16, 1), "#,##0.0"), " tiles{}")</f>
        <v>{BLACK}Length: {GOLD}0.5 tiles{}</v>
      </c>
      <c r="CI566" s="1" t="str">
        <f aca="false">IF(0, VLOOKUP($CG566, Constants!$M:$N, 2, FALSE()),"")</f>
        <v/>
      </c>
      <c r="CJ566" s="1" t="str">
        <f aca="false">IF(P566&gt;1,_xlfn.CONCAT("{BLACK}Cars: {GOLD}", P566),"")</f>
        <v/>
      </c>
      <c r="CK566" s="1" t="s">
        <v>2101</v>
      </c>
      <c r="CL566" s="1" t="str">
        <f aca="false">IF($BX566="concept_trains","{GREEN}Concept Vehicle",IF($BX566="!param_no_gameplay_units","{GREEN}Included for gameplay purposes",""))</f>
        <v/>
      </c>
      <c r="CM566" s="1" t="str">
        <f aca="false">IF(CA566="buffet","{YELLOW}25% long distance bonus for consist{}",IF(CB566="DANDY","{YELLOW}Faster downhill speeds for horse-drawn trains (1 required per 2 horses){}",IF(CB566="BRAKE","{YELLOW}Speed bonus for slow wagons{}",IF(CB566="NGPassengers","{YELLOW}Preserved railway bonus: passengers pay more when hauled by old locomotives{}",IF(AND(BZ566&gt;190,NOT(AND(L566="NARROW_GAUGE",CB566&lt;&gt;"PASS"))),CONCATENATE("{YELLOW}",INT((BZ566-185)/1.85),"% bonus for long distance travel{}"),IF(AND(BZ566&lt;180,BZ566&lt;&gt;0),CONCATENATE("{YELLOW}",INT((185-BZ566)/1.85),"% penalty for long distance travel{}"),""))))))</f>
        <v/>
      </c>
      <c r="CN566" s="1" t="str">
        <f aca="false">_xlfn.CONCAT(CI566,IF(CI566&lt;&gt;""," ",""),CJ566,IF(OR(CJ566&lt;&gt;"",CI566&lt;&gt;""),"{}",""),CH566,CM566,"{SILVER}",CK566,IF(CL566&lt;&gt;"","{}{}",""),CL566)</f>
        <v>{BLACK}Length: {GOLD}0.5 tiles{}{SILVER}"Princess" was the first locomotive on the Ffestiniog Railway, going through multiple rebuilds and serving on the railway until its eventual closure in 1946.</v>
      </c>
    </row>
    <row r="567" customFormat="false" ht="14.25" hidden="false" customHeight="false" outlineLevel="0" collapsed="false">
      <c r="A567" s="1" t="s">
        <v>2102</v>
      </c>
      <c r="B567" s="19" t="s">
        <v>2103</v>
      </c>
      <c r="C567" s="1" t="n">
        <v>2013</v>
      </c>
      <c r="E567" s="1" t="n">
        <v>2003</v>
      </c>
      <c r="G567" s="1" t="str">
        <f aca="false">IF($F567&lt;&gt;"",_xlfn.CONCAT(VLOOKUP($CE567, Constants!$T:$U, 2, FALSE()),",",$F567),VLOOKUP($CE567, Constants!$T:$U, 2, FALSE()))</f>
        <v>role/mixed</v>
      </c>
      <c r="H567" s="1" t="str">
        <f aca="false">IF($G567&lt;&gt;"",_xlfn.CONCAT(VLOOKUP($CG567, Constants!$M:$P, 4, FALSE()),",",$G567),VLOOKUP($CG567, Constants!$M:$P, 4, FALSE()))</f>
        <v>flag/GB,power/steam,role/mixed</v>
      </c>
      <c r="I567" s="1" t="s">
        <v>241</v>
      </c>
      <c r="J567" s="1" t="s">
        <v>249</v>
      </c>
      <c r="K567" s="1" t="s">
        <v>250</v>
      </c>
      <c r="L567" s="1" t="s">
        <v>2090</v>
      </c>
      <c r="M567" s="1" t="n">
        <v>1864</v>
      </c>
      <c r="O567" s="1" t="n">
        <v>1945</v>
      </c>
      <c r="Q567" s="1" t="n">
        <v>110</v>
      </c>
      <c r="S567" s="3" t="n">
        <v>8.6</v>
      </c>
      <c r="T567" s="3" t="n">
        <v>16</v>
      </c>
      <c r="U567" s="3" t="n">
        <v>2</v>
      </c>
      <c r="V567" s="3" t="n">
        <v>160</v>
      </c>
      <c r="W567" s="18" t="n">
        <f aca="false">((($AE567/2)/60)*5280)/($X567*3.2*PI())</f>
        <v>156.312890536683</v>
      </c>
      <c r="X567" s="3" t="n">
        <v>0.7</v>
      </c>
      <c r="Y567" s="3" t="n">
        <f aca="false">((($S567*$S567/4)*PI())*($T567/12)*$U567*$V567*$W567)/(33000*1.1)</f>
        <v>106.724386724387</v>
      </c>
      <c r="Z567" s="1" t="n">
        <v>13</v>
      </c>
      <c r="AB567" s="1" t="n">
        <v>5</v>
      </c>
      <c r="AC567" s="1" t="n">
        <v>26</v>
      </c>
      <c r="AD567" s="4" t="n">
        <f aca="false">IF(AND(Z567&gt;0,AC567&gt;0),(AC567/((Z567+AA567)*10)),"")</f>
        <v>0.2</v>
      </c>
      <c r="AE567" s="1" t="n">
        <v>25</v>
      </c>
      <c r="AF567" s="1" t="n">
        <f aca="false">ROUND(AE567*1.6, 0)</f>
        <v>40</v>
      </c>
      <c r="AH567" s="1" t="n">
        <v>5.5</v>
      </c>
      <c r="AI567" s="1" t="n">
        <v>6</v>
      </c>
      <c r="AL567" s="5" t="n">
        <v>0</v>
      </c>
      <c r="AM567" s="1" t="str">
        <f aca="false">CONCATENATE(VLOOKUP(AN567, 'Voxel Sizes'!$A$2:$B$18,2,FALSE()),"x",INT(AJ567*15), "x", INT(AK567*15))</f>
        <v>60x0x0</v>
      </c>
      <c r="AN567" s="16" t="n">
        <f aca="false">ROUND(15*((AI567*10)/256),0)</f>
        <v>4</v>
      </c>
      <c r="AP567" s="1" t="str">
        <f aca="false">CONCATENATE(VLOOKUP(AN567,Constants!$A$2:$C$16,IF(AO567&lt;&gt;"", 3, 2), FALSE()),IF(AO567&lt;&gt;"",CONCATENATE(",",VLOOKUP(AO567,$B:$AP,41,FALSE())),""))</f>
        <v>1,2,1</v>
      </c>
      <c r="AX567" s="1" t="n">
        <v>1</v>
      </c>
      <c r="AZ567" s="1" t="n">
        <v>250</v>
      </c>
      <c r="BA567" s="16" t="n">
        <f aca="false">IF(O567&lt;&gt;"",MAX(16,(O567-M567)+8),"")</f>
        <v>89</v>
      </c>
      <c r="BB567" s="1" t="n">
        <v>-5</v>
      </c>
      <c r="BC567" s="1" t="n">
        <v>-3</v>
      </c>
      <c r="BD567" s="20" t="n">
        <f aca="false">MIN(AE567/150, 1)*30</f>
        <v>5</v>
      </c>
      <c r="BE567" s="20" t="n">
        <f aca="false">MIN(Q567/4000, 1)*20</f>
        <v>0.55</v>
      </c>
      <c r="BF567" s="20" t="n">
        <f aca="false">MIN(AC567/400,1)*20</f>
        <v>1.3</v>
      </c>
      <c r="BG567" s="21" t="n">
        <f aca="false">1-(MAX(M567-1900, 0)/750)</f>
        <v>1</v>
      </c>
      <c r="BH567" s="20" t="n">
        <f aca="false">((MAX($P567,1)*MIN($AL567/300,1)))*IF(J567="Wagon",50,10)</f>
        <v>0</v>
      </c>
      <c r="BI567" s="1" t="n">
        <f aca="false">VLOOKUP($K567,Constants!$I:$K, 2, FALSE())</f>
        <v>1.15</v>
      </c>
      <c r="BJ567" s="1" t="n">
        <f aca="false">VLOOKUP($K567,Constants!$I:$K, 3, FALSE())*IF(AND(J567="multiple_unit",AE567&lt;110),0.75,1)</f>
        <v>1.7</v>
      </c>
      <c r="BK567" s="1" t="n">
        <f aca="false">INT(POWER(((Constants!$G$2+$BD567+$BE567+$BF567+$BH567)*$BG567)*$BJ567, 1.05))+$BC567</f>
        <v>20</v>
      </c>
      <c r="BL567" s="1" t="n">
        <f aca="false">INT(POWER((((Constants!$G$1+$BD567+$BE567+$BF567+$BH567)*($BG567))*$BI567),IF($J567="wagon",1,1.2)))+$BB567</f>
        <v>42</v>
      </c>
      <c r="BM567" s="22" t="n">
        <f aca="false">BK567*IF($J567="wagon",62.5,781.25)</f>
        <v>15625</v>
      </c>
      <c r="BN567" s="22" t="n">
        <f aca="false">BL567*IF($J567="wagon",2.73,81.25)</f>
        <v>3412.5</v>
      </c>
      <c r="BV567" s="1" t="str">
        <f aca="false">IF(OR($J567="locomotive",$J567="wagon"),"B","")</f>
        <v>B</v>
      </c>
      <c r="BY567" s="1" t="n">
        <v>12</v>
      </c>
      <c r="CD567" s="23" t="s">
        <v>306</v>
      </c>
      <c r="CE567" s="1" t="s">
        <v>356</v>
      </c>
      <c r="CF567" s="23" t="str">
        <f aca="false">CONCATENATE(CD567,"_",CE567)</f>
        <v>vct_Cheap</v>
      </c>
      <c r="CG567" s="23" t="str">
        <f aca="false">_xlfn.CONCAT(K567, "_",L567)</f>
        <v>steam_NARROW_GAUGE</v>
      </c>
      <c r="CH567" s="7" t="str">
        <f aca="false">_xlfn.CONCAT("{BLACK}Length: {GOLD}", TEXT(ROUNDUP(IF(AS567&lt;&gt;"",SUM(VALUE(_xlfn.TEXTSPLIT(AS567, ","))), SUM(VALUE(_xlfn.TEXTSPLIT(AP567, ",")))*IF(P567, P567, 1))/16, 1), "#,##0.0"), " tiles{}")</f>
        <v>{BLACK}Length: {GOLD}0.3 tiles{}</v>
      </c>
      <c r="CI567" s="1" t="str">
        <f aca="false">IF(0, VLOOKUP($CG567, Constants!$M:$N, 2, FALSE()),"")</f>
        <v/>
      </c>
      <c r="CJ567" s="1" t="str">
        <f aca="false">IF(P567&gt;1,_xlfn.CONCAT("{BLACK}Cars: {GOLD}", P567),"")</f>
        <v/>
      </c>
      <c r="CK567" s="1" t="s">
        <v>2104</v>
      </c>
      <c r="CL567" s="1" t="str">
        <f aca="false">IF($BX567="concept_trains","{GREEN}Concept Vehicle",IF($BX567="!param_no_gameplay_units","{GREEN}Included for gameplay purposes",""))</f>
        <v/>
      </c>
      <c r="CM567" s="1" t="str">
        <f aca="false">IF(CA567="buffet","{YELLOW}25% long distance bonus for consist{}",IF(CB567="DANDY","{YELLOW}Faster downhill speeds for horse-drawn trains (1 required per 2 horses){}",IF(CB567="BRAKE","{YELLOW}Speed bonus for slow wagons{}",IF(CB567="NGPassengers","{YELLOW}Preserved railway bonus: passengers pay more when hauled by old locomotives{}",IF(AND(BZ567&gt;190,NOT(AND(L567="NARROW_GAUGE",CB567&lt;&gt;"PASS"))),CONCATENATE("{YELLOW}",INT((BZ567-185)/1.85),"% bonus for long distance travel{}"),IF(AND(BZ567&lt;180,BZ567&lt;&gt;0),CONCATENATE("{YELLOW}",INT((185-BZ567)/1.85),"% penalty for long distance travel{}"),""))))))</f>
        <v/>
      </c>
      <c r="CN567" s="1" t="str">
        <f aca="false">_xlfn.CONCAT(CI567,IF(CI567&lt;&gt;""," ",""),CJ567,IF(OR(CJ567&lt;&gt;"",CI567&lt;&gt;""),"{}",""),CH567,CM567,"{SILVER}",CK567,IF(CL567&lt;&gt;"","{}{}",""),CL567)</f>
        <v>{BLACK}Length: {GOLD}0.3 tiles{}{SILVER}"Talyllyn" was delivered to the Talyllyn railway as an 0-4-0, but converted to 0-4-2 after a few years to improve riding quality. It was retired in 1945, but refurbished in the late 1950s and returned to preservation service.</v>
      </c>
    </row>
    <row r="568" customFormat="false" ht="14.25" hidden="false" customHeight="false" outlineLevel="0" collapsed="false">
      <c r="A568" s="1" t="s">
        <v>2105</v>
      </c>
      <c r="B568" s="19" t="s">
        <v>2106</v>
      </c>
      <c r="C568" s="1" t="n">
        <v>2014</v>
      </c>
      <c r="E568" s="1" t="n">
        <v>2004</v>
      </c>
      <c r="G568" s="1" t="str">
        <f aca="false">IF($F568&lt;&gt;"",_xlfn.CONCAT(VLOOKUP($CE568, Constants!$T:$U, 2, FALSE()),",",$F568),VLOOKUP($CE568, Constants!$T:$U, 2, FALSE()))</f>
        <v>role/mixed</v>
      </c>
      <c r="H568" s="1" t="str">
        <f aca="false">IF($G568&lt;&gt;"",_xlfn.CONCAT(VLOOKUP($CG568, Constants!$M:$P, 4, FALSE()),",",$G568),VLOOKUP($CG568, Constants!$M:$P, 4, FALSE()))</f>
        <v>flag/GB,power/steam,role/mixed</v>
      </c>
      <c r="I568" s="1" t="s">
        <v>241</v>
      </c>
      <c r="J568" s="1" t="s">
        <v>249</v>
      </c>
      <c r="K568" s="1" t="s">
        <v>250</v>
      </c>
      <c r="L568" s="1" t="s">
        <v>2090</v>
      </c>
      <c r="M568" s="1" t="n">
        <v>1866</v>
      </c>
      <c r="O568" s="1" t="n">
        <v>1945</v>
      </c>
      <c r="Q568" s="1" t="n">
        <v>85</v>
      </c>
      <c r="S568" s="3" t="n">
        <v>7.6</v>
      </c>
      <c r="T568" s="3" t="n">
        <v>16</v>
      </c>
      <c r="U568" s="3" t="n">
        <v>2</v>
      </c>
      <c r="V568" s="3" t="n">
        <v>150</v>
      </c>
      <c r="W568" s="18" t="n">
        <f aca="false">((($AE568/2)/60)*5280)/($X568*3.2*PI())</f>
        <v>156.312890536683</v>
      </c>
      <c r="X568" s="3" t="n">
        <v>0.7</v>
      </c>
      <c r="Y568" s="3" t="n">
        <f aca="false">((($S568*$S568/4)*PI())*($T568/12)*$U568*$V568*$W568)/(33000*1.1)</f>
        <v>78.1385281385281</v>
      </c>
      <c r="Z568" s="1" t="n">
        <v>10</v>
      </c>
      <c r="AB568" s="1" t="n">
        <v>5</v>
      </c>
      <c r="AC568" s="1" t="n">
        <v>18</v>
      </c>
      <c r="AD568" s="4" t="n">
        <f aca="false">IF(AND(Z568&gt;0,AC568&gt;0),(AC568/((Z568+AA568)*10)),"")</f>
        <v>0.18</v>
      </c>
      <c r="AE568" s="1" t="n">
        <v>25</v>
      </c>
      <c r="AF568" s="1" t="n">
        <f aca="false">ROUND(AE568*1.6, 0)</f>
        <v>40</v>
      </c>
      <c r="AH568" s="1" t="n">
        <v>5.5</v>
      </c>
      <c r="AI568" s="1" t="n">
        <v>6</v>
      </c>
      <c r="AL568" s="5" t="n">
        <v>0</v>
      </c>
      <c r="AM568" s="1" t="str">
        <f aca="false">CONCATENATE(VLOOKUP(AN568, 'Voxel Sizes'!$A$2:$B$18,2,FALSE()),"x",INT(AJ568*15), "x", INT(AK568*15))</f>
        <v>60x0x0</v>
      </c>
      <c r="AN568" s="16" t="n">
        <f aca="false">ROUND(15*((AI568*10)/256),0)</f>
        <v>4</v>
      </c>
      <c r="AP568" s="1" t="str">
        <f aca="false">CONCATENATE(VLOOKUP(AN568,Constants!$A$2:$C$16,IF(AO568&lt;&gt;"", 3, 2), FALSE()),IF(AO568&lt;&gt;"",CONCATENATE(",",VLOOKUP(AO568,$B:$AP,41,FALSE())),""))</f>
        <v>1,2,1</v>
      </c>
      <c r="AX568" s="1" t="n">
        <v>1</v>
      </c>
      <c r="AZ568" s="1" t="n">
        <v>250</v>
      </c>
      <c r="BA568" s="16" t="n">
        <f aca="false">IF(O568&lt;&gt;"",MAX(16,(O568-M568)+8),"")</f>
        <v>87</v>
      </c>
      <c r="BB568" s="1" t="n">
        <v>-5</v>
      </c>
      <c r="BC568" s="1" t="n">
        <v>-6</v>
      </c>
      <c r="BD568" s="20" t="n">
        <f aca="false">MIN(AE568/150, 1)*30</f>
        <v>5</v>
      </c>
      <c r="BE568" s="20" t="n">
        <f aca="false">MIN(Q568/4000, 1)*20</f>
        <v>0.425</v>
      </c>
      <c r="BF568" s="20" t="n">
        <f aca="false">MIN(AC568/400,1)*20</f>
        <v>0.9</v>
      </c>
      <c r="BG568" s="21" t="n">
        <f aca="false">1-(MAX(M568-1900, 0)/750)</f>
        <v>1</v>
      </c>
      <c r="BH568" s="20" t="n">
        <f aca="false">((MAX($P568,1)*MIN($AL568/300,1)))*IF(J568="Wagon",50,10)</f>
        <v>0</v>
      </c>
      <c r="BI568" s="1" t="n">
        <f aca="false">VLOOKUP($K568,Constants!$I:$K, 2, FALSE())</f>
        <v>1.15</v>
      </c>
      <c r="BJ568" s="1" t="n">
        <f aca="false">VLOOKUP($K568,Constants!$I:$K, 3, FALSE())*IF(AND(J568="multiple_unit",AE568&lt;110),0.75,1)</f>
        <v>1.7</v>
      </c>
      <c r="BK568" s="1" t="n">
        <f aca="false">INT(POWER(((Constants!$G$2+$BD568+$BE568+$BF568+$BH568)*$BG568)*$BJ568, 1.05))+$BC568</f>
        <v>16</v>
      </c>
      <c r="BL568" s="1" t="n">
        <f aca="false">INT(POWER((((Constants!$G$1+$BD568+$BE568+$BF568+$BH568)*($BG568))*$BI568),IF($J568="wagon",1,1.2)))+$BB568</f>
        <v>41</v>
      </c>
      <c r="BM568" s="22" t="n">
        <f aca="false">BK568*IF($J568="wagon",62.5,781.25)</f>
        <v>12500</v>
      </c>
      <c r="BN568" s="22" t="n">
        <f aca="false">BL568*IF($J568="wagon",2.73,81.25)</f>
        <v>3331.25</v>
      </c>
      <c r="BV568" s="1" t="str">
        <f aca="false">IF(OR($J568="locomotive",$J568="wagon"),"B","")</f>
        <v>B</v>
      </c>
      <c r="BY568" s="1" t="n">
        <v>11</v>
      </c>
      <c r="CD568" s="23" t="s">
        <v>306</v>
      </c>
      <c r="CE568" s="1" t="s">
        <v>356</v>
      </c>
      <c r="CF568" s="23" t="str">
        <f aca="false">CONCATENATE(CD568,"_",CE568)</f>
        <v>vct_Cheap</v>
      </c>
      <c r="CG568" s="23" t="str">
        <f aca="false">_xlfn.CONCAT(K568, "_",L568)</f>
        <v>steam_NARROW_GAUGE</v>
      </c>
      <c r="CH568" s="7" t="str">
        <f aca="false">_xlfn.CONCAT("{BLACK}Length: {GOLD}", TEXT(ROUNDUP(IF(AS568&lt;&gt;"",SUM(VALUE(_xlfn.TEXTSPLIT(AS568, ","))), SUM(VALUE(_xlfn.TEXTSPLIT(AP568, ",")))*IF(P568, P568, 1))/16, 1), "#,##0.0"), " tiles{}")</f>
        <v>{BLACK}Length: {GOLD}0.3 tiles{}</v>
      </c>
      <c r="CI568" s="1" t="str">
        <f aca="false">IF(0, VLOOKUP($CG568, Constants!$M:$N, 2, FALSE()),"")</f>
        <v/>
      </c>
      <c r="CJ568" s="1" t="str">
        <f aca="false">IF(P568&gt;1,_xlfn.CONCAT("{BLACK}Cars: {GOLD}", P568),"")</f>
        <v/>
      </c>
      <c r="CK568" s="1" t="s">
        <v>2107</v>
      </c>
      <c r="CL568" s="1" t="str">
        <f aca="false">IF($BX568="concept_trains","{GREEN}Concept Vehicle",IF($BX568="!param_no_gameplay_units","{GREEN}Included for gameplay purposes",""))</f>
        <v/>
      </c>
      <c r="CM568" s="1" t="str">
        <f aca="false">IF(CA568="buffet","{YELLOW}25% long distance bonus for consist{}",IF(CB568="DANDY","{YELLOW}Faster downhill speeds for horse-drawn trains (1 required per 2 horses){}",IF(CB568="BRAKE","{YELLOW}Speed bonus for slow wagons{}",IF(CB568="NGPassengers","{YELLOW}Preserved railway bonus: passengers pay more when hauled by old locomotives{}",IF(AND(BZ568&gt;190,NOT(AND(L568="NARROW_GAUGE",CB568&lt;&gt;"PASS"))),CONCATENATE("{YELLOW}",INT((BZ568-185)/1.85),"% bonus for long distance travel{}"),IF(AND(BZ568&lt;180,BZ568&lt;&gt;0),CONCATENATE("{YELLOW}",INT((185-BZ568)/1.85),"% penalty for long distance travel{}"),""))))))</f>
        <v/>
      </c>
      <c r="CN568" s="1" t="str">
        <f aca="false">_xlfn.CONCAT(CI568,IF(CI568&lt;&gt;""," ",""),CJ568,IF(OR(CJ568&lt;&gt;"",CI568&lt;&gt;""),"{}",""),CH568,CM568,"{SILVER}",CK568,IF(CL568&lt;&gt;"","{}{}",""),CL568)</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69" customFormat="false" ht="14.25" hidden="false" customHeight="false" outlineLevel="0" collapsed="false">
      <c r="A569" s="1" t="s">
        <v>2108</v>
      </c>
      <c r="B569" s="19" t="s">
        <v>2109</v>
      </c>
      <c r="C569" s="1" t="n">
        <v>2015</v>
      </c>
      <c r="E569" s="1" t="n">
        <v>2005</v>
      </c>
      <c r="G569" s="1" t="str">
        <f aca="false">IF($F569&lt;&gt;"",_xlfn.CONCAT(VLOOKUP($CE569, Constants!$T:$U, 2, FALSE()),",",$F569),VLOOKUP($CE569, Constants!$T:$U, 2, FALSE()))</f>
        <v>role/mixed</v>
      </c>
      <c r="H569" s="1" t="str">
        <f aca="false">IF($G569&lt;&gt;"",_xlfn.CONCAT(VLOOKUP($CG569, Constants!$M:$P, 4, FALSE()),",",$G569),VLOOKUP($CG569, Constants!$M:$P, 4, FALSE()))</f>
        <v>flag/GB,power/steam,role/mixed</v>
      </c>
      <c r="I569" s="1" t="s">
        <v>241</v>
      </c>
      <c r="J569" s="1" t="s">
        <v>249</v>
      </c>
      <c r="K569" s="1" t="s">
        <v>250</v>
      </c>
      <c r="L569" s="1" t="s">
        <v>2090</v>
      </c>
      <c r="M569" s="1" t="n">
        <v>1869</v>
      </c>
      <c r="Q569" s="1" t="n">
        <v>275</v>
      </c>
      <c r="S569" s="3" t="n">
        <v>8.25</v>
      </c>
      <c r="T569" s="3" t="n">
        <v>13</v>
      </c>
      <c r="U569" s="3" t="n">
        <v>4</v>
      </c>
      <c r="V569" s="3" t="n">
        <v>160</v>
      </c>
      <c r="W569" s="18" t="n">
        <f aca="false">((($AE569/2)/60)*5280)/($X569*3.2*PI())</f>
        <v>218.838046751356</v>
      </c>
      <c r="X569" s="3" t="n">
        <v>0.7</v>
      </c>
      <c r="Y569" s="3" t="n">
        <f aca="false">((($S569*$S569/4)*PI())*($T569/12)*$U569*$V569*$W569)/(33000*1.1)</f>
        <v>223.4375</v>
      </c>
      <c r="Z569" s="1" t="n">
        <v>10</v>
      </c>
      <c r="AB569" s="1" t="n">
        <v>5</v>
      </c>
      <c r="AC569" s="1" t="n">
        <v>38</v>
      </c>
      <c r="AD569" s="4" t="n">
        <f aca="false">IF(AND(Z569&gt;0,AC569&gt;0),(AC569/((Z569+AA569)*10)),"")</f>
        <v>0.38</v>
      </c>
      <c r="AE569" s="1" t="n">
        <v>35</v>
      </c>
      <c r="AF569" s="1" t="n">
        <f aca="false">ROUND(AE569*1.6, 0)</f>
        <v>56</v>
      </c>
      <c r="AI569" s="1" t="n">
        <v>12</v>
      </c>
      <c r="AL569" s="5" t="n">
        <v>0</v>
      </c>
      <c r="AM569" s="1" t="str">
        <f aca="false">CONCATENATE(VLOOKUP(AN569, 'Voxel Sizes'!$A$2:$B$18,2,FALSE()),"x",INT(AJ569*15), "x", INT(AK569*15))</f>
        <v>120x0x0</v>
      </c>
      <c r="AN569" s="16" t="n">
        <f aca="false">ROUND(15*((AI569*10)/256),0)</f>
        <v>7</v>
      </c>
      <c r="AP569" s="1" t="str">
        <f aca="false">CONCATENATE(VLOOKUP(AN569,Constants!$A$2:$C$16,IF(AO569&lt;&gt;"", 3, 2), FALSE()),IF(AO569&lt;&gt;"",CONCATENATE(",",VLOOKUP(AO569,$B:$AP,41,FALSE())),""))</f>
        <v>2,3,2</v>
      </c>
      <c r="AX569" s="1" t="n">
        <v>1</v>
      </c>
      <c r="AZ569" s="1" t="n">
        <v>250</v>
      </c>
      <c r="BA569" s="16" t="str">
        <f aca="false">IF(O569&lt;&gt;"",MAX(16,(O569-M569)+8),"")</f>
        <v/>
      </c>
      <c r="BB569" s="1" t="n">
        <v>-5</v>
      </c>
      <c r="BC569" s="1" t="n">
        <v>-6</v>
      </c>
      <c r="BD569" s="20" t="n">
        <f aca="false">MIN(AE569/150, 1)*30</f>
        <v>7</v>
      </c>
      <c r="BE569" s="20" t="n">
        <f aca="false">MIN(Q569/4000, 1)*20</f>
        <v>1.375</v>
      </c>
      <c r="BF569" s="20" t="n">
        <f aca="false">MIN(AC569/400,1)*20</f>
        <v>1.9</v>
      </c>
      <c r="BG569" s="21" t="n">
        <f aca="false">1-(MAX(M569-1900, 0)/750)</f>
        <v>1</v>
      </c>
      <c r="BH569" s="20" t="n">
        <f aca="false">((MAX($P569,1)*MIN($AL569/300,1)))*IF(J569="Wagon",50,10)</f>
        <v>0</v>
      </c>
      <c r="BI569" s="1" t="n">
        <f aca="false">VLOOKUP($K569,Constants!$I:$K, 2, FALSE())</f>
        <v>1.15</v>
      </c>
      <c r="BJ569" s="1" t="n">
        <f aca="false">VLOOKUP($K569,Constants!$I:$K, 3, FALSE())*IF(AND(J569="multiple_unit",AE569&lt;110),0.75,1)</f>
        <v>1.7</v>
      </c>
      <c r="BK569" s="1" t="n">
        <f aca="false">INT(POWER(((Constants!$G$2+$BD569+$BE569+$BF569+$BH569)*$BG569)*$BJ569, 1.05))+$BC569</f>
        <v>24</v>
      </c>
      <c r="BL569" s="1" t="n">
        <f aca="false">INT(POWER((((Constants!$G$1+$BD569+$BE569+$BF569+$BH569)*($BG569))*$BI569),IF($J569="wagon",1,1.2)))+$BB569</f>
        <v>52</v>
      </c>
      <c r="BM569" s="22" t="n">
        <f aca="false">BK569*IF($J569="wagon",62.5,781.25)</f>
        <v>18750</v>
      </c>
      <c r="BN569" s="22" t="n">
        <f aca="false">BL569*IF($J569="wagon",2.73,81.25)</f>
        <v>4225</v>
      </c>
      <c r="BV569" s="1" t="str">
        <f aca="false">IF(OR($J569="locomotive",$J569="wagon"),"B","")</f>
        <v>B</v>
      </c>
      <c r="BY569" s="1" t="n">
        <v>11</v>
      </c>
      <c r="CD569" s="23" t="s">
        <v>306</v>
      </c>
      <c r="CE569" s="1" t="s">
        <v>356</v>
      </c>
      <c r="CF569" s="23" t="str">
        <f aca="false">CONCATENATE(CD569,"_",CE569)</f>
        <v>vct_Cheap</v>
      </c>
      <c r="CG569" s="23" t="str">
        <f aca="false">_xlfn.CONCAT(K569, "_",L569)</f>
        <v>steam_NARROW_GAUGE</v>
      </c>
      <c r="CH569" s="7" t="str">
        <f aca="false">_xlfn.CONCAT("{BLACK}Length: {GOLD}", TEXT(ROUNDUP(IF(AS569&lt;&gt;"",SUM(VALUE(_xlfn.TEXTSPLIT(AS569, ","))), SUM(VALUE(_xlfn.TEXTSPLIT(AP569, ",")))*IF(P569, P569, 1))/16, 1), "#,##0.0"), " tiles{}")</f>
        <v>{BLACK}Length: {GOLD}0.5 tiles{}</v>
      </c>
      <c r="CI569" s="1" t="str">
        <f aca="false">IF(0, VLOOKUP($CG569, Constants!$M:$N, 2, FALSE()),"")</f>
        <v/>
      </c>
      <c r="CJ569" s="1" t="str">
        <f aca="false">IF(P569&gt;1,_xlfn.CONCAT("{BLACK}Cars: {GOLD}", P569),"")</f>
        <v/>
      </c>
      <c r="CK569" s="1" t="s">
        <v>2110</v>
      </c>
      <c r="CL569" s="1" t="str">
        <f aca="false">IF($BX569="concept_trains","{GREEN}Concept Vehicle",IF($BX569="!param_no_gameplay_units","{GREEN}Included for gameplay purposes",""))</f>
        <v/>
      </c>
      <c r="CM569" s="1" t="str">
        <f aca="false">IF(CA569="buffet","{YELLOW}25% long distance bonus for consist{}",IF(CB569="DANDY","{YELLOW}Faster downhill speeds for horse-drawn trains (1 required per 2 horses){}",IF(CB569="BRAKE","{YELLOW}Speed bonus for slow wagons{}",IF(CB569="NGPassengers","{YELLOW}Preserved railway bonus: passengers pay more when hauled by old locomotives{}",IF(AND(BZ569&gt;190,NOT(AND(L569="NARROW_GAUGE",CB569&lt;&gt;"PASS"))),CONCATENATE("{YELLOW}",INT((BZ569-185)/1.85),"%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70" customFormat="false" ht="14.25" hidden="false" customHeight="false" outlineLevel="0" collapsed="false">
      <c r="A570" s="1" t="s">
        <v>2111</v>
      </c>
      <c r="B570" s="19" t="s">
        <v>2112</v>
      </c>
      <c r="C570" s="1" t="n">
        <v>2016</v>
      </c>
      <c r="E570" s="1" t="n">
        <v>2006</v>
      </c>
      <c r="G570" s="1" t="str">
        <f aca="false">IF($F570&lt;&gt;"",_xlfn.CONCAT(VLOOKUP($CE570, Constants!$T:$U, 2, FALSE()),",",$F570),VLOOKUP($CE570, Constants!$T:$U, 2, FALSE()))</f>
        <v>role/mixed</v>
      </c>
      <c r="H570" s="1" t="str">
        <f aca="false">IF($G570&lt;&gt;"",_xlfn.CONCAT(VLOOKUP($CG570, Constants!$M:$P, 4, FALSE()),",",$G570),VLOOKUP($CG570, Constants!$M:$P, 4, FALSE()))</f>
        <v>flag/GB,power/steam,role/mixed</v>
      </c>
      <c r="I570" s="1" t="s">
        <v>241</v>
      </c>
      <c r="J570" s="1" t="s">
        <v>249</v>
      </c>
      <c r="K570" s="1" t="s">
        <v>250</v>
      </c>
      <c r="L570" s="1" t="s">
        <v>2090</v>
      </c>
      <c r="M570" s="1" t="n">
        <v>1903</v>
      </c>
      <c r="O570" s="1" t="n">
        <v>1960</v>
      </c>
      <c r="Q570" s="1" t="n">
        <v>55</v>
      </c>
      <c r="S570" s="3" t="n">
        <v>7</v>
      </c>
      <c r="T570" s="3" t="n">
        <v>10</v>
      </c>
      <c r="U570" s="3" t="n">
        <v>2</v>
      </c>
      <c r="V570" s="3" t="n">
        <v>160</v>
      </c>
      <c r="W570" s="18" t="n">
        <f aca="false">((($AE570/2)/60)*5280)/($X570*3.2*PI())</f>
        <v>187.57546864402</v>
      </c>
      <c r="X570" s="3" t="n">
        <v>0.7</v>
      </c>
      <c r="Y570" s="3" t="n">
        <f aca="false">((($S570*$S570/4)*PI())*($T570/12)*$U570*$V570*$W570)/(33000*1.1)</f>
        <v>53.030303030303</v>
      </c>
      <c r="Z570" s="1" t="n">
        <v>7</v>
      </c>
      <c r="AB570" s="1" t="n">
        <v>5</v>
      </c>
      <c r="AC570" s="1" t="n">
        <v>12</v>
      </c>
      <c r="AD570" s="4" t="n">
        <f aca="false">IF(AND(Z570&gt;0,AC570&gt;0),(AC570/((Z570+AA570)*10)),"")</f>
        <v>0.171428571428571</v>
      </c>
      <c r="AE570" s="1" t="n">
        <v>30</v>
      </c>
      <c r="AF570" s="1" t="n">
        <f aca="false">ROUND(AE570*1.6, 0)</f>
        <v>48</v>
      </c>
      <c r="AH570" s="1" t="n">
        <v>4</v>
      </c>
      <c r="AI570" s="1" t="n">
        <v>6</v>
      </c>
      <c r="AL570" s="5" t="n">
        <v>0</v>
      </c>
      <c r="AM570" s="1" t="str">
        <f aca="false">CONCATENATE(VLOOKUP(AN570, 'Voxel Sizes'!$A$2:$B$18,2,FALSE()),"x",INT(AJ570*15), "x", INT(AK570*15))</f>
        <v>60x0x0</v>
      </c>
      <c r="AN570" s="16" t="n">
        <f aca="false">ROUND(15*((AI570*10)/256),0)</f>
        <v>4</v>
      </c>
      <c r="AP570" s="1" t="str">
        <f aca="false">CONCATENATE(VLOOKUP(AN570,Constants!$A$2:$C$16,IF(AO570&lt;&gt;"", 3, 2), FALSE()),IF(AO570&lt;&gt;"",CONCATENATE(",",VLOOKUP(AO570,$B:$AP,41,FALSE())),""))</f>
        <v>1,2,1</v>
      </c>
      <c r="AX570" s="1" t="n">
        <v>1</v>
      </c>
      <c r="AZ570" s="1" t="n">
        <v>250</v>
      </c>
      <c r="BA570" s="16" t="n">
        <f aca="false">IF(O570&lt;&gt;"",MAX(16,(O570-M570)+8),"")</f>
        <v>65</v>
      </c>
      <c r="BB570" s="1" t="n">
        <v>-5</v>
      </c>
      <c r="BC570" s="1" t="n">
        <v>-5</v>
      </c>
      <c r="BD570" s="20" t="n">
        <f aca="false">MIN(AE570/150, 1)*30</f>
        <v>6</v>
      </c>
      <c r="BE570" s="20" t="n">
        <f aca="false">MIN(Q570/4000, 1)*20</f>
        <v>0.275</v>
      </c>
      <c r="BF570" s="20" t="n">
        <f aca="false">MIN(AC570/400,1)*20</f>
        <v>0.6</v>
      </c>
      <c r="BG570" s="21" t="n">
        <f aca="false">1-(MAX(M570-1900, 0)/750)</f>
        <v>0.996</v>
      </c>
      <c r="BH570" s="20" t="n">
        <f aca="false">((MAX($P570,1)*MIN($AL570/300,1)))*IF(J570="Wagon",50,10)</f>
        <v>0</v>
      </c>
      <c r="BI570" s="1" t="n">
        <f aca="false">VLOOKUP($K570,Constants!$I:$K, 2, FALSE())</f>
        <v>1.15</v>
      </c>
      <c r="BJ570" s="1" t="n">
        <f aca="false">VLOOKUP($K570,Constants!$I:$K, 3, FALSE())*IF(AND(J570="multiple_unit",AE570&lt;110),0.75,1)</f>
        <v>1.7</v>
      </c>
      <c r="BK570" s="1" t="n">
        <f aca="false">INT(POWER(((Constants!$G$2+$BD570+$BE570+$BF570+$BH570)*$BG570)*$BJ570, 1.05))+$BC570</f>
        <v>18</v>
      </c>
      <c r="BL570" s="1" t="n">
        <f aca="false">INT(POWER((((Constants!$G$1+$BD570+$BE570+$BF570+$BH570)*($BG570))*$BI570),IF($J570="wagon",1,1.2)))+$BB570</f>
        <v>42</v>
      </c>
      <c r="BM570" s="22" t="n">
        <f aca="false">BK570*IF($J570="wagon",62.5,781.25)</f>
        <v>14062.5</v>
      </c>
      <c r="BN570" s="22" t="n">
        <f aca="false">BL570*IF($J570="wagon",2.73,81.25)</f>
        <v>3412.5</v>
      </c>
      <c r="BV570" s="1" t="str">
        <f aca="false">IF(OR($J570="locomotive",$J570="wagon"),"B","")</f>
        <v>B</v>
      </c>
      <c r="BY570" s="1" t="n">
        <v>10</v>
      </c>
      <c r="CD570" s="23" t="s">
        <v>382</v>
      </c>
      <c r="CE570" s="1" t="s">
        <v>356</v>
      </c>
      <c r="CF570" s="23" t="str">
        <f aca="false">CONCATENATE(CD570,"_",CE570)</f>
        <v>edw_Cheap</v>
      </c>
      <c r="CG570" s="23" t="str">
        <f aca="false">_xlfn.CONCAT(K570, "_",L570)</f>
        <v>steam_NARROW_GAUGE</v>
      </c>
      <c r="CH570" s="7" t="str">
        <f aca="false">_xlfn.CONCAT("{BLACK}Length: {GOLD}", TEXT(ROUNDUP(IF(AS570&lt;&gt;"",SUM(VALUE(_xlfn.TEXTSPLIT(AS570, ","))), SUM(VALUE(_xlfn.TEXTSPLIT(AP570, ",")))*IF(P570, P570, 1))/16, 1), "#,##0.0"), " tiles{}")</f>
        <v>{BLACK}Length: {GOLD}0.3 tiles{}</v>
      </c>
      <c r="CI570" s="1" t="str">
        <f aca="false">IF(0, VLOOKUP($CG570, Constants!$M:$N, 2, FALSE()),"")</f>
        <v/>
      </c>
      <c r="CJ570" s="1" t="str">
        <f aca="false">IF(P570&gt;1,_xlfn.CONCAT("{BLACK}Cars: {GOLD}", P570),"")</f>
        <v/>
      </c>
      <c r="CK570" s="1" t="s">
        <v>2113</v>
      </c>
      <c r="CL570" s="1" t="str">
        <f aca="false">IF($BX570="concept_trains","{GREEN}Concept Vehicle",IF($BX570="!param_no_gameplay_units","{GREEN}Included for gameplay purposes",""))</f>
        <v/>
      </c>
      <c r="CM570" s="1" t="str">
        <f aca="false">IF(CA570="buffet","{YELLOW}25% long distance bonus for consist{}",IF(CB570="DANDY","{YELLOW}Faster downhill speeds for horse-drawn trains (1 required per 2 horses){}",IF(CB570="BRAKE","{YELLOW}Speed bonus for slow wagons{}",IF(CB570="NGPassengers","{YELLOW}Preserved railway bonus: passengers pay more when hauled by old locomotives{}",IF(AND(BZ570&gt;190,NOT(AND(L570="NARROW_GAUGE",CB570&lt;&gt;"PASS"))),CONCATENATE("{YELLOW}",INT((BZ570-185)/1.85),"%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{BLACK}Length: {GOLD}0.3 tiles{}{SILVER}These small Hunslet tank engines were used as quarry locomotives. "Alice" worked at Dinorwic, being used as a source of spare parts afterward, before being restored in the late '80s and early '90s and now running on the Bala Lake Railway.</v>
      </c>
    </row>
    <row r="571" customFormat="false" ht="14.25" hidden="false" customHeight="false" outlineLevel="0" collapsed="false">
      <c r="A571" s="24" t="s">
        <v>2114</v>
      </c>
      <c r="B571" s="19" t="s">
        <v>2115</v>
      </c>
      <c r="C571" s="1" t="n">
        <v>2017</v>
      </c>
      <c r="E571" s="1" t="n">
        <v>-1</v>
      </c>
      <c r="G571" s="1" t="str">
        <f aca="false">IF($F571&lt;&gt;"",_xlfn.CONCAT(VLOOKUP($CE571, Constants!$T:$U, 2, FALSE()),",",$F571),VLOOKUP($CE571, Constants!$T:$U, 2, FALSE()))</f>
        <v>role/mixed</v>
      </c>
      <c r="H571" s="1" t="str">
        <f aca="false">IF($G571&lt;&gt;"",_xlfn.CONCAT(VLOOKUP($CG571, Constants!$M:$P, 4, FALSE()),",",$G571),VLOOKUP($CG571, Constants!$M:$P, 4, FALSE()))</f>
        <v>flag/GB,power/steam,role/mixed</v>
      </c>
      <c r="J571" s="1" t="s">
        <v>349</v>
      </c>
      <c r="K571" s="1" t="s">
        <v>250</v>
      </c>
      <c r="L571" s="1" t="s">
        <v>2090</v>
      </c>
      <c r="M571" s="1" t="n">
        <v>1903</v>
      </c>
      <c r="O571" s="1" t="n">
        <v>1951</v>
      </c>
      <c r="W571" s="18" t="n">
        <f aca="false">((($AE571/2)/60)*5280)/($X571*3.2*PI())</f>
        <v>0</v>
      </c>
      <c r="X571" s="3" t="n">
        <v>0.7</v>
      </c>
      <c r="Y571" s="3" t="n">
        <f aca="false">((($S571*$S571/4)*PI())*($T571/12)*$U571*$V571*$W571)/(33000*1.1)</f>
        <v>0</v>
      </c>
      <c r="AB571" s="1" t="n">
        <v>5</v>
      </c>
      <c r="AD571" s="4" t="str">
        <f aca="false">IF(AND(Z571&gt;0,AC571&gt;0),(AC571/((Z571+AA571)*10)),"")</f>
        <v/>
      </c>
      <c r="AF571" s="1" t="n">
        <f aca="false">ROUND(AE571*1.6, 0)</f>
        <v>0</v>
      </c>
      <c r="AL571" s="5" t="n">
        <v>0</v>
      </c>
      <c r="AM571" s="1" t="str">
        <f aca="false">CONCATENATE(VLOOKUP(AN571, 'Voxel Sizes'!$A$2:$B$18,2,FALSE()),"x",INT(AJ571*15), "x", INT(AK571*15))</f>
        <v>0x0x0</v>
      </c>
      <c r="AN571" s="16" t="n">
        <f aca="false">ROUND(15*((AI571*10)/256),0)</f>
        <v>0</v>
      </c>
      <c r="AP571" s="1" t="str">
        <f aca="false">CONCATENATE(VLOOKUP(AN571,Constants!$A$2:$C$16,IF(AO571&lt;&gt;"", 3, 2), FALSE()),IF(AO571&lt;&gt;"",CONCATENATE(",",VLOOKUP(AO571,$B:$AP,41,FALSE())),""))</f>
        <v>na</v>
      </c>
      <c r="AX571" s="1" t="n">
        <v>1</v>
      </c>
      <c r="AZ571" s="1" t="n">
        <v>250</v>
      </c>
      <c r="BA571" s="16" t="n">
        <f aca="false">IF(O571&lt;&gt;"",MAX(16,(O571-M571)+8),"")</f>
        <v>56</v>
      </c>
      <c r="BB571" s="1" t="n">
        <v>-5</v>
      </c>
      <c r="BC571" s="1" t="n">
        <v>-5</v>
      </c>
      <c r="BD571" s="20" t="n">
        <f aca="false">MIN(AE571/150, 1)*30</f>
        <v>0</v>
      </c>
      <c r="BE571" s="20" t="n">
        <f aca="false">MIN(Q571/4000, 1)*20</f>
        <v>0</v>
      </c>
      <c r="BF571" s="20" t="n">
        <f aca="false">MIN(AC571/400,1)*20</f>
        <v>0</v>
      </c>
      <c r="BG571" s="21" t="n">
        <f aca="false">1-(MAX(M571-1900, 0)/750)</f>
        <v>0.996</v>
      </c>
      <c r="BH571" s="20" t="n">
        <f aca="false">((MAX($P571,1)*MIN($AL571/300,1)))*IF(J571="Wagon",50,10)</f>
        <v>0</v>
      </c>
      <c r="BI571" s="1" t="n">
        <f aca="false">VLOOKUP($K571,Constants!$I:$K, 2, FALSE())</f>
        <v>1.15</v>
      </c>
      <c r="BJ571" s="1" t="n">
        <f aca="false">VLOOKUP($K571,Constants!$I:$K, 3, FALSE())*IF(AND(J571="multiple_unit",AE571&lt;110),0.75,1)</f>
        <v>1.7</v>
      </c>
      <c r="BK571" s="1" t="n">
        <f aca="false">INT(POWER(((Constants!$G$2+$BD571+$BE571+$BF571+$BH571)*$BG571)*$BJ571, 1.05))+$BC571</f>
        <v>4</v>
      </c>
      <c r="BL571" s="1" t="n">
        <f aca="false">INT(POWER((((Constants!$G$1+$BD571+$BE571+$BF571+$BH571)*($BG571))*$BI571),IF($J571="wagon",1,1.2)))+$BB571</f>
        <v>25</v>
      </c>
      <c r="BM571" s="22" t="n">
        <f aca="false">BK571*IF($J571="wagon",62.5,781.25)</f>
        <v>3125</v>
      </c>
      <c r="BN571" s="22" t="n">
        <f aca="false">BL571*IF($J571="wagon",2.73,81.25)</f>
        <v>2031.25</v>
      </c>
      <c r="BV571" s="1" t="str">
        <f aca="false">IF(OR($J571="locomotive",$J571="wagon"),"B","")</f>
        <v/>
      </c>
      <c r="BY571" s="1" t="n">
        <v>9</v>
      </c>
      <c r="CD571" s="23" t="s">
        <v>382</v>
      </c>
      <c r="CE571" s="1" t="s">
        <v>356</v>
      </c>
      <c r="CF571" s="23" t="str">
        <f aca="false">CONCATENATE(CD571,"_",CE571)</f>
        <v>edw_Cheap</v>
      </c>
      <c r="CG571" s="23" t="str">
        <f aca="false">_xlfn.CONCAT(K571, "_",L571)</f>
        <v>steam_NARROW_GAUGE</v>
      </c>
      <c r="CH571" s="7" t="e">
        <f aca="false">_xlfn.CONCAT("{BLACK}Length: {GOLD}", TEXT(ROUNDUP(IF(AS571&lt;&gt;"",SUM(VALUE(_xlfn.TEXTSPLIT(AS571, ","))), SUM(VALUE(_xlfn.TEXTSPLIT(AP571, ",")))*IF(P571, P571, 1))/16, 1), "#,##0.0"), " tiles{}")</f>
        <v>#VALUE!</v>
      </c>
      <c r="CI571" s="1" t="str">
        <f aca="false">IF(0, VLOOKUP($CG571, Constants!$M:$N, 2, FALSE()),"")</f>
        <v/>
      </c>
      <c r="CJ571" s="1" t="str">
        <f aca="false">IF(P571&gt;1,_xlfn.CONCAT("{BLACK}Cars: {GOLD}", P571),"")</f>
        <v/>
      </c>
      <c r="CL571" s="1" t="str">
        <f aca="false">IF($BX571="concept_trains","{GREEN}Concept Vehicle",IF($BX571="!param_no_gameplay_units","{GREEN}Included for gameplay purposes",""))</f>
        <v/>
      </c>
      <c r="CM571" s="1" t="str">
        <f aca="false">IF(CA571="buffet","{YELLOW}25% long distance bonus for consist{}",IF(CB571="DANDY","{YELLOW}Faster downhill speeds for horse-drawn trains (1 required per 2 horses){}",IF(CB571="BRAKE","{YELLOW}Speed bonus for slow wagons{}",IF(CB571="NGPassengers","{YELLOW}Preserved railway bonus: passengers pay more when hauled by old locomotives{}",IF(AND(BZ571&gt;190,NOT(AND(L571="NARROW_GAUGE",CB571&lt;&gt;"PASS"))),CONCATENATE("{YELLOW}",INT((BZ571-185)/1.85),"% bonus for long distance travel{}"),IF(AND(BZ571&lt;180,BZ571&lt;&gt;0),CONCATENATE("{YELLOW}",INT((185-BZ571)/1.85),"% penalty for long distance travel{}"),""))))))</f>
        <v/>
      </c>
      <c r="CN571" s="1" t="e">
        <f aca="false">_xlfn.CONCAT(CI571,IF(CI571&lt;&gt;""," ",""),CJ571,IF(OR(CJ571&lt;&gt;"",CI571&lt;&gt;""),"{}",""),CH571,CM571,"{SILVER}",CK571,IF(CL571&lt;&gt;"","{}{}",""),CL571)</f>
        <v>#VALUE!</v>
      </c>
    </row>
    <row r="572" customFormat="false" ht="14.25" hidden="false" customHeight="false" outlineLevel="0" collapsed="false">
      <c r="A572" s="1" t="s">
        <v>2116</v>
      </c>
      <c r="B572" s="19" t="s">
        <v>2117</v>
      </c>
      <c r="C572" s="1" t="n">
        <v>2018</v>
      </c>
      <c r="E572" s="1" t="n">
        <v>2007</v>
      </c>
      <c r="G572" s="1" t="str">
        <f aca="false">IF($F572&lt;&gt;"",_xlfn.CONCAT(VLOOKUP($CE572, Constants!$T:$U, 2, FALSE()),",",$F572),VLOOKUP($CE572, Constants!$T:$U, 2, FALSE()))</f>
        <v>role/mixed</v>
      </c>
      <c r="H572" s="1" t="str">
        <f aca="false">IF($G572&lt;&gt;"",_xlfn.CONCAT(VLOOKUP($CG572, Constants!$M:$P, 4, FALSE()),",",$G572),VLOOKUP($CG572, Constants!$M:$P, 4, FALSE()))</f>
        <v>flag/GB,power/steam,role/mixed</v>
      </c>
      <c r="I572" s="1" t="s">
        <v>241</v>
      </c>
      <c r="J572" s="1" t="s">
        <v>249</v>
      </c>
      <c r="K572" s="1" t="s">
        <v>250</v>
      </c>
      <c r="L572" s="1" t="s">
        <v>2090</v>
      </c>
      <c r="M572" s="1" t="n">
        <v>1918</v>
      </c>
      <c r="O572" s="1" t="n">
        <v>1955</v>
      </c>
      <c r="Q572" s="1" t="n">
        <v>65</v>
      </c>
      <c r="S572" s="3" t="n">
        <v>6.8</v>
      </c>
      <c r="T572" s="3" t="n">
        <v>10.75</v>
      </c>
      <c r="U572" s="3" t="n">
        <v>2</v>
      </c>
      <c r="V572" s="3" t="n">
        <v>160</v>
      </c>
      <c r="W572" s="18" t="n">
        <f aca="false">((($AE572/2)/60)*5280)/($X572*3.2*PI())</f>
        <v>218.838046751356</v>
      </c>
      <c r="X572" s="3" t="n">
        <v>0.6</v>
      </c>
      <c r="Y572" s="3" t="n">
        <f aca="false">((($S572*$S572/4)*PI())*($T572/12)*$U572*$V572*$W572)/(33000*1.1)</f>
        <v>62.7626262626263</v>
      </c>
      <c r="Z572" s="1" t="n">
        <v>8</v>
      </c>
      <c r="AB572" s="1" t="n">
        <v>5</v>
      </c>
      <c r="AC572" s="1" t="n">
        <v>15</v>
      </c>
      <c r="AD572" s="4" t="n">
        <f aca="false">IF(AND(Z572&gt;0,AC572&gt;0),(AC572/((Z572+AA572)*10)),"")</f>
        <v>0.1875</v>
      </c>
      <c r="AE572" s="1" t="n">
        <v>30</v>
      </c>
      <c r="AF572" s="1" t="n">
        <f aca="false">ROUND(AE572*1.6, 0)</f>
        <v>48</v>
      </c>
      <c r="AH572" s="1" t="n">
        <v>4.7</v>
      </c>
      <c r="AI572" s="1" t="n">
        <v>6</v>
      </c>
      <c r="AL572" s="5" t="n">
        <v>0</v>
      </c>
      <c r="AM572" s="1" t="str">
        <f aca="false">CONCATENATE(VLOOKUP(AN572, 'Voxel Sizes'!$A$2:$B$18,2,FALSE()),"x",INT(AJ572*15), "x", INT(AK572*15))</f>
        <v>60x0x0</v>
      </c>
      <c r="AN572" s="16" t="n">
        <f aca="false">ROUND(15*((AI572*10)/256),0)</f>
        <v>4</v>
      </c>
      <c r="AP572" s="1" t="str">
        <f aca="false">CONCATENATE(VLOOKUP(AN572,Constants!$A$2:$C$16,IF(AO572&lt;&gt;"", 3, 2), FALSE()),IF(AO572&lt;&gt;"",CONCATENATE(",",VLOOKUP(AO572,$B:$AP,41,FALSE())),""))</f>
        <v>1,2,1</v>
      </c>
      <c r="AX572" s="1" t="n">
        <v>1</v>
      </c>
      <c r="AZ572" s="1" t="n">
        <v>250</v>
      </c>
      <c r="BA572" s="16" t="n">
        <f aca="false">IF(O572&lt;&gt;"",MAX(16,(O572-M572)+8),"")</f>
        <v>45</v>
      </c>
      <c r="BB572" s="1" t="n">
        <v>-5</v>
      </c>
      <c r="BC572" s="1" t="n">
        <v>-7</v>
      </c>
      <c r="BD572" s="20" t="n">
        <f aca="false">MIN(AE572/150, 1)*30</f>
        <v>6</v>
      </c>
      <c r="BE572" s="20" t="n">
        <f aca="false">MIN(Q572/4000, 1)*20</f>
        <v>0.325</v>
      </c>
      <c r="BF572" s="20" t="n">
        <f aca="false">MIN(AC572/400,1)*20</f>
        <v>0.75</v>
      </c>
      <c r="BG572" s="21" t="n">
        <f aca="false">1-(MAX(M572-1900, 0)/750)</f>
        <v>0.976</v>
      </c>
      <c r="BH572" s="20" t="n">
        <f aca="false">((MAX($P572,1)*MIN($AL572/300,1)))*IF(J572="Wagon",50,10)</f>
        <v>0</v>
      </c>
      <c r="BI572" s="1" t="n">
        <f aca="false">VLOOKUP($K572,Constants!$I:$K, 2, FALSE())</f>
        <v>1.15</v>
      </c>
      <c r="BJ572" s="1" t="n">
        <f aca="false">VLOOKUP($K572,Constants!$I:$K, 3, FALSE())*IF(AND(J572="multiple_unit",AE572&lt;110),0.75,1)</f>
        <v>1.7</v>
      </c>
      <c r="BK572" s="1" t="n">
        <f aca="false">INT(POWER(((Constants!$G$2+$BD572+$BE572+$BF572+$BH572)*$BG572)*$BJ572, 1.05))+$BC572</f>
        <v>16</v>
      </c>
      <c r="BL572" s="1" t="n">
        <f aca="false">INT(POWER((((Constants!$G$1+$BD572+$BE572+$BF572+$BH572)*($BG572))*$BI572),IF($J572="wagon",1,1.2)))+$BB572</f>
        <v>42</v>
      </c>
      <c r="BM572" s="22" t="n">
        <f aca="false">BK572*IF($J572="wagon",62.5,781.25)</f>
        <v>12500</v>
      </c>
      <c r="BN572" s="22" t="n">
        <f aca="false">BL572*IF($J572="wagon",2.73,81.25)</f>
        <v>3412.5</v>
      </c>
      <c r="BV572" s="1" t="str">
        <f aca="false">IF(OR($J572="locomotive",$J572="wagon"),"B","")</f>
        <v>B</v>
      </c>
      <c r="BY572" s="1" t="n">
        <v>8</v>
      </c>
      <c r="CD572" s="23" t="s">
        <v>382</v>
      </c>
      <c r="CE572" s="1" t="s">
        <v>356</v>
      </c>
      <c r="CF572" s="23" t="str">
        <f aca="false">CONCATENATE(CD572,"_",CE572)</f>
        <v>edw_Cheap</v>
      </c>
      <c r="CG572" s="23" t="str">
        <f aca="false">_xlfn.CONCAT(K572, "_",L572)</f>
        <v>steam_NARROW_GAUGE</v>
      </c>
      <c r="CH572" s="7" t="str">
        <f aca="false">_xlfn.CONCAT("{BLACK}Length: {GOLD}", TEXT(ROUNDUP(IF(AS572&lt;&gt;"",SUM(VALUE(_xlfn.TEXTSPLIT(AS572, ","))), SUM(VALUE(_xlfn.TEXTSPLIT(AP572, ",")))*IF(P572, P572, 1))/16, 1), "#,##0.0"), " tiles{}")</f>
        <v>{BLACK}Length: {GOLD}0.3 tiles{}</v>
      </c>
      <c r="CI572" s="1" t="str">
        <f aca="false">IF(0, VLOOKUP($CG572, Constants!$M:$N, 2, FALSE()),"")</f>
        <v/>
      </c>
      <c r="CJ572" s="1" t="str">
        <f aca="false">IF(P572&gt;1,_xlfn.CONCAT("{BLACK}Cars: {GOLD}", P572),"")</f>
        <v/>
      </c>
      <c r="CK572" s="1" t="s">
        <v>2118</v>
      </c>
      <c r="CL572" s="1" t="str">
        <f aca="false">IF($BX572="concept_trains","{GREEN}Concept Vehicle",IF($BX572="!param_no_gameplay_units","{GREEN}Included for gameplay purposes",""))</f>
        <v/>
      </c>
      <c r="CM572" s="1" t="str">
        <f aca="false">IF(CA572="buffet","{YELLOW}25% long distance bonus for consist{}",IF(CB572="DANDY","{YELLOW}Faster downhill speeds for horse-drawn trains (1 required per 2 horses){}",IF(CB572="BRAKE","{YELLOW}Speed bonus for slow wagons{}",IF(CB572="NGPassengers","{YELLOW}Preserved railway bonus: passengers pay more when hauled by old locomotives{}",IF(AND(BZ572&gt;190,NOT(AND(L572="NARROW_GAUGE",CB572&lt;&gt;"PASS"))),CONCATENATE("{YELLOW}",INT((BZ572-185)/1.85),"%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{BLACK}Length: {GOLD}0.3 tiles{}{SILVER}The E Class is a small 0-4-0 well tank. One used by the RAF is preserved on the Talyllyn railway as "Douglas", named after second owner Douglas Abelson who donated it from his engineering firm.</v>
      </c>
    </row>
    <row r="573" customFormat="false" ht="14.25" hidden="false" customHeight="false" outlineLevel="0" collapsed="false">
      <c r="A573" s="1" t="s">
        <v>2119</v>
      </c>
      <c r="B573" s="19" t="s">
        <v>2120</v>
      </c>
      <c r="C573" s="1" t="n">
        <v>2019</v>
      </c>
      <c r="E573" s="1" t="n">
        <v>2008</v>
      </c>
      <c r="G573" s="1" t="str">
        <f aca="false">IF($F573&lt;&gt;"",_xlfn.CONCAT(VLOOKUP($CE573, Constants!$T:$U, 2, FALSE()),",",$F573),VLOOKUP($CE573, Constants!$T:$U, 2, FALSE()))</f>
        <v>role/mixed</v>
      </c>
      <c r="H573" s="1" t="str">
        <f aca="false">IF($G573&lt;&gt;"",_xlfn.CONCAT(VLOOKUP($CG573, Constants!$M:$P, 4, FALSE()),",",$G573),VLOOKUP($CG573, Constants!$M:$P, 4, FALSE()))</f>
        <v>flag/GB,power/steam,role/mixed</v>
      </c>
      <c r="I573" s="1" t="s">
        <v>241</v>
      </c>
      <c r="J573" s="1" t="s">
        <v>249</v>
      </c>
      <c r="K573" s="1" t="s">
        <v>250</v>
      </c>
      <c r="L573" s="1" t="s">
        <v>2090</v>
      </c>
      <c r="M573" s="1" t="n">
        <v>1923</v>
      </c>
      <c r="O573" s="1" t="n">
        <v>1968</v>
      </c>
      <c r="Q573" s="1" t="n">
        <v>250</v>
      </c>
      <c r="S573" s="3" t="n">
        <v>11.5</v>
      </c>
      <c r="T573" s="3" t="n">
        <v>17</v>
      </c>
      <c r="U573" s="3" t="n">
        <v>2</v>
      </c>
      <c r="V573" s="3" t="n">
        <v>165</v>
      </c>
      <c r="W573" s="18" t="n">
        <f aca="false">((($AE573/2)/60)*5280)/($X573*3.2*PI())</f>
        <v>153.186632725949</v>
      </c>
      <c r="X573" s="3" t="n">
        <v>1</v>
      </c>
      <c r="Y573" s="3" t="n">
        <f aca="false">((($S573*$S573/4)*PI())*($T573/12)*$U573*$V573*$W573)/(33000*1.1)</f>
        <v>204.918619791667</v>
      </c>
      <c r="Z573" s="1" t="n">
        <v>25</v>
      </c>
      <c r="AB573" s="1" t="n">
        <v>5</v>
      </c>
      <c r="AC573" s="1" t="n">
        <v>44</v>
      </c>
      <c r="AD573" s="4" t="n">
        <f aca="false">IF(AND(Z573&gt;0,AC573&gt;0),(AC573/((Z573+AA573)*10)),"")</f>
        <v>0.176</v>
      </c>
      <c r="AE573" s="1" t="n">
        <v>35</v>
      </c>
      <c r="AF573" s="1" t="n">
        <f aca="false">ROUND(AE573*1.6, 0)</f>
        <v>56</v>
      </c>
      <c r="AI573" s="1" t="n">
        <v>8</v>
      </c>
      <c r="AL573" s="5" t="n">
        <v>0</v>
      </c>
      <c r="AM573" s="1" t="str">
        <f aca="false">CONCATENATE(VLOOKUP(AN573, 'Voxel Sizes'!$A$2:$B$18,2,FALSE()),"x",INT(AJ573*15), "x", INT(AK573*15))</f>
        <v>82x0x0</v>
      </c>
      <c r="AN573" s="16" t="n">
        <f aca="false">ROUND(15*((AI573*10)/256),0)</f>
        <v>5</v>
      </c>
      <c r="AP573" s="1" t="str">
        <f aca="false">CONCATENATE(VLOOKUP(AN573,Constants!$A$2:$C$16,IF(AO573&lt;&gt;"", 3, 2), FALSE()),IF(AO573&lt;&gt;"",CONCATENATE(",",VLOOKUP(AO573,$B:$AP,41,FALSE())),""))</f>
        <v>2,1,2</v>
      </c>
      <c r="AX573" s="1" t="n">
        <v>1</v>
      </c>
      <c r="AZ573" s="1" t="n">
        <v>250</v>
      </c>
      <c r="BA573" s="16" t="n">
        <f aca="false">IF(O573&lt;&gt;"",MAX(16,(O573-M573)+8),"")</f>
        <v>53</v>
      </c>
      <c r="BB573" s="1" t="n">
        <v>-10</v>
      </c>
      <c r="BC573" s="1" t="n">
        <v>-5</v>
      </c>
      <c r="BD573" s="20" t="n">
        <f aca="false">MIN(AE573/150, 1)*30</f>
        <v>7</v>
      </c>
      <c r="BE573" s="20" t="n">
        <f aca="false">MIN(Q573/4000, 1)*20</f>
        <v>1.25</v>
      </c>
      <c r="BF573" s="20" t="n">
        <f aca="false">MIN(AC573/400,1)*20</f>
        <v>2.2</v>
      </c>
      <c r="BG573" s="21" t="n">
        <f aca="false">1-(MAX(M573-1900, 0)/750)</f>
        <v>0.969333333333333</v>
      </c>
      <c r="BH573" s="20" t="n">
        <f aca="false">((MAX($P573,1)*MIN($AL573/300,1)))*IF(J573="Wagon",50,10)</f>
        <v>0</v>
      </c>
      <c r="BI573" s="1" t="n">
        <f aca="false">VLOOKUP($K573,Constants!$I:$K, 2, FALSE())</f>
        <v>1.15</v>
      </c>
      <c r="BJ573" s="1" t="n">
        <f aca="false">VLOOKUP($K573,Constants!$I:$K, 3, FALSE())*IF(AND(J573="multiple_unit",AE573&lt;110),0.75,1)</f>
        <v>1.7</v>
      </c>
      <c r="BK573" s="1" t="n">
        <f aca="false">INT(POWER(((Constants!$G$2+$BD573+$BE573+$BF573+$BH573)*$BG573)*$BJ573, 1.05))+$BC573</f>
        <v>24</v>
      </c>
      <c r="BL573" s="1" t="n">
        <f aca="false">INT(POWER((((Constants!$G$1+$BD573+$BE573+$BF573+$BH573)*($BG573))*$BI573),IF($J573="wagon",1,1.2)))+$BB573</f>
        <v>45</v>
      </c>
      <c r="BM573" s="22" t="n">
        <f aca="false">BK573*IF($J573="wagon",62.5,781.25)</f>
        <v>18750</v>
      </c>
      <c r="BN573" s="22" t="n">
        <f aca="false">BL573*IF($J573="wagon",2.73,81.25)</f>
        <v>3656.25</v>
      </c>
      <c r="BV573" s="1" t="str">
        <f aca="false">IF(OR($J573="locomotive",$J573="wagon"),"B","")</f>
        <v>B</v>
      </c>
      <c r="BY573" s="1" t="n">
        <v>7</v>
      </c>
      <c r="CD573" s="23" t="s">
        <v>471</v>
      </c>
      <c r="CE573" s="1" t="s">
        <v>356</v>
      </c>
      <c r="CF573" s="23" t="str">
        <f aca="false">CONCATENATE(CD573,"_",CE573)</f>
        <v>big4_Cheap</v>
      </c>
      <c r="CG573" s="23" t="str">
        <f aca="false">_xlfn.CONCAT(K573, "_",L573)</f>
        <v>steam_NARROW_GAUGE</v>
      </c>
      <c r="CH573" s="7" t="str">
        <f aca="false">_xlfn.CONCAT("{BLACK}Length: {GOLD}", TEXT(ROUNDUP(IF(AS573&lt;&gt;"",SUM(VALUE(_xlfn.TEXTSPLIT(AS573, ","))), SUM(VALUE(_xlfn.TEXTSPLIT(AP573, ",")))*IF(P573, P573, 1))/16, 1), "#,##0.0"), " tiles{}")</f>
        <v>{BLACK}Length: {GOLD}0.4 tiles{}</v>
      </c>
      <c r="CI573" s="1" t="str">
        <f aca="false">IF(0, VLOOKUP($CG573, Constants!$M:$N, 2, FALSE()),"")</f>
        <v/>
      </c>
      <c r="CJ573" s="1" t="str">
        <f aca="false">IF(P573&gt;1,_xlfn.CONCAT("{BLACK}Cars: {GOLD}", P573),"")</f>
        <v/>
      </c>
      <c r="CK573" s="1" t="s">
        <v>2121</v>
      </c>
      <c r="CL573" s="1" t="str">
        <f aca="false">IF($BX573="concept_trains","{GREEN}Concept Vehicle",IF($BX573="!param_no_gameplay_units","{GREEN}Included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
      </c>
      <c r="CN573" s="1" t="str">
        <f aca="false">_xlfn.CONCAT(CI573,IF(CI573&lt;&gt;""," ",""),CJ573,IF(OR(CJ573&lt;&gt;"",CI573&lt;&gt;""),"{}",""),CH573,CM573,"{SILVER}",CK573,IF(CL573&lt;&gt;"","{}{}",""),CL573)</f>
        <v>{BLACK}Length: {GOLD}0.4 tiles{}{SILVER}Charles Collett designed these tank locomotives to replace worn-out engines on the Vale of Rheidol line. They became the last steam locomotives running on British Railways, up until the line became a heritage railway in 1989.</v>
      </c>
    </row>
    <row r="574" customFormat="false" ht="14.25" hidden="false" customHeight="false" outlineLevel="0" collapsed="false">
      <c r="A574" s="24" t="s">
        <v>2122</v>
      </c>
      <c r="B574" s="19" t="s">
        <v>2123</v>
      </c>
      <c r="C574" s="1" t="n">
        <v>2020</v>
      </c>
      <c r="E574" s="1" t="n">
        <v>-1</v>
      </c>
      <c r="G574" s="1" t="str">
        <f aca="false">IF($F574&lt;&gt;"",_xlfn.CONCAT(VLOOKUP($CE574, Constants!$T:$U, 2, FALSE()),",",$F574),VLOOKUP($CE574, Constants!$T:$U, 2, FALSE()))</f>
        <v>role/mixed</v>
      </c>
      <c r="H574" s="1" t="str">
        <f aca="false">IF($G574&lt;&gt;"",_xlfn.CONCAT(VLOOKUP($CG574, Constants!$M:$P, 4, FALSE()),",",$G574),VLOOKUP($CG574, Constants!$M:$P, 4, FALSE()))</f>
        <v>flag/GB,power/diesel,role/mixed</v>
      </c>
      <c r="J574" s="1" t="s">
        <v>349</v>
      </c>
      <c r="K574" s="1" t="s">
        <v>525</v>
      </c>
      <c r="L574" s="1" t="s">
        <v>2090</v>
      </c>
      <c r="M574" s="1" t="n">
        <v>1940</v>
      </c>
      <c r="O574" s="1" t="n">
        <v>1980</v>
      </c>
      <c r="Q574" s="1" t="n">
        <v>40</v>
      </c>
      <c r="W574" s="18" t="n">
        <f aca="false">((($AE574/2)/60)*5280)/($X574*3.2*PI())</f>
        <v>0</v>
      </c>
      <c r="X574" s="3" t="n">
        <v>0.7</v>
      </c>
      <c r="Y574" s="3" t="n">
        <f aca="false">((($S574*$S574/4)*PI())*($T574/12)*$U574*$V574*$W574)/(33000*1.1)</f>
        <v>0</v>
      </c>
      <c r="AB574" s="1" t="n">
        <v>5</v>
      </c>
      <c r="AD574" s="4" t="str">
        <f aca="false">IF(AND(Z574&gt;0,AC574&gt;0),(AC574/((Z574+AA574)*10)),"")</f>
        <v/>
      </c>
      <c r="AF574" s="1" t="n">
        <f aca="false">ROUND(AE574*1.6, 0)</f>
        <v>0</v>
      </c>
      <c r="AL574" s="5" t="n">
        <v>0</v>
      </c>
      <c r="AM574" s="1" t="str">
        <f aca="false">CONCATENATE(VLOOKUP(AN574, 'Voxel Sizes'!$A$2:$B$18,2,FALSE()),"x",INT(AJ574*15), "x", INT(AK574*15))</f>
        <v>0x0x0</v>
      </c>
      <c r="AN574" s="16" t="n">
        <f aca="false">ROUND(15*((AI574*10)/256),0)</f>
        <v>0</v>
      </c>
      <c r="AP574" s="1" t="str">
        <f aca="false">CONCATENATE(VLOOKUP(AN574,Constants!$A$2:$C$16,IF(AO574&lt;&gt;"", 3, 2), FALSE()),IF(AO574&lt;&gt;"",CONCATENATE(",",VLOOKUP(AO574,$B:$AP,41,FALSE())),""))</f>
        <v>na</v>
      </c>
      <c r="AX574" s="1" t="n">
        <v>1</v>
      </c>
      <c r="AZ574" s="1" t="n">
        <v>250</v>
      </c>
      <c r="BA574" s="16" t="n">
        <f aca="false">IF(O574&lt;&gt;"",MAX(16,(O574-M574)+8),"")</f>
        <v>48</v>
      </c>
      <c r="BB574" s="1" t="n">
        <v>-5</v>
      </c>
      <c r="BC574" s="1" t="n">
        <v>-2</v>
      </c>
      <c r="BD574" s="20" t="n">
        <f aca="false">MIN(AE574/150, 1)*30</f>
        <v>0</v>
      </c>
      <c r="BE574" s="20" t="n">
        <f aca="false">MIN(Q574/4000, 1)*20</f>
        <v>0.2</v>
      </c>
      <c r="BF574" s="20" t="n">
        <f aca="false">MIN(AC574/400,1)*20</f>
        <v>0</v>
      </c>
      <c r="BG574" s="21" t="n">
        <f aca="false">1-(MAX(M574-1900, 0)/750)</f>
        <v>0.946666666666667</v>
      </c>
      <c r="BH574" s="20" t="n">
        <f aca="false">((MAX($P574,1)*MIN($AL574/300,1)))*IF(J574="Wagon",50,10)</f>
        <v>0</v>
      </c>
      <c r="BI574" s="1" t="n">
        <f aca="false">VLOOKUP($K574,Constants!$I:$K, 2, FALSE())</f>
        <v>1</v>
      </c>
      <c r="BJ574" s="1" t="n">
        <f aca="false">VLOOKUP($K574,Constants!$I:$K, 3, FALSE())*IF(AND(J574="multiple_unit",AE574&lt;110),0.75,1)</f>
        <v>2</v>
      </c>
      <c r="BK574" s="1" t="n">
        <f aca="false">INT(POWER(((Constants!$G$2+$BD574+$BE574+$BF574+$BH574)*$BG574)*$BJ574, 1.05))+$BC574</f>
        <v>9</v>
      </c>
      <c r="BL574" s="1" t="n">
        <f aca="false">INT(POWER((((Constants!$G$1+$BD574+$BE574+$BF574+$BH574)*($BG574))*$BI574),IF($J574="wagon",1,1.2)))+$BB574</f>
        <v>19</v>
      </c>
      <c r="BM574" s="22" t="n">
        <f aca="false">BK574*IF($J574="wagon",62.5,781.25)</f>
        <v>7031.25</v>
      </c>
      <c r="BN574" s="22" t="n">
        <f aca="false">BL574*IF($J574="wagon",2.73,81.25)</f>
        <v>1543.75</v>
      </c>
      <c r="BV574" s="1" t="str">
        <f aca="false">IF(OR($J574="locomotive",$J574="wagon"),"B","")</f>
        <v/>
      </c>
      <c r="BY574" s="1" t="n">
        <v>6</v>
      </c>
      <c r="CD574" s="23" t="s">
        <v>471</v>
      </c>
      <c r="CE574" s="1" t="s">
        <v>356</v>
      </c>
      <c r="CF574" s="23" t="str">
        <f aca="false">CONCATENATE(CD574,"_",CE574)</f>
        <v>big4_Cheap</v>
      </c>
      <c r="CG574" s="23" t="str">
        <f aca="false">_xlfn.CONCAT(K574, "_",L574)</f>
        <v>diesel_NARROW_GAUGE</v>
      </c>
      <c r="CH574" s="7" t="e">
        <f aca="false">_xlfn.CONCAT("{BLACK}Length: {GOLD}", TEXT(ROUNDUP(IF(AS574&lt;&gt;"",SUM(VALUE(_xlfn.TEXTSPLIT(AS574, ","))), SUM(VALUE(_xlfn.TEXTSPLIT(AP574, ",")))*IF(P574, P574, 1))/16, 1), "#,##0.0"), " tiles{}")</f>
        <v>#VALUE!</v>
      </c>
      <c r="CI574" s="1" t="str">
        <f aca="false">IF(0, VLOOKUP($CG574, Constants!$M:$N, 2, FALSE()),"")</f>
        <v/>
      </c>
      <c r="CJ574" s="1" t="str">
        <f aca="false">IF(P574&gt;1,_xlfn.CONCAT("{BLACK}Cars: {GOLD}", P574),"")</f>
        <v/>
      </c>
      <c r="CL574" s="1" t="str">
        <f aca="false">IF($BX574="concept_trains","{GREEN}Concept Vehicle",IF($BX574="!param_no_gameplay_units","{GREEN}Included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
      </c>
      <c r="CN574" s="1" t="e">
        <f aca="false">_xlfn.CONCAT(CI574,IF(CI574&lt;&gt;""," ",""),CJ574,IF(OR(CJ574&lt;&gt;"",CI574&lt;&gt;""),"{}",""),CH574,CM574,"{SILVER}",CK574,IF(CL574&lt;&gt;"","{}{}",""),CL574)</f>
        <v>#VALUE!</v>
      </c>
    </row>
    <row r="575" customFormat="false" ht="14.25" hidden="false" customHeight="false" outlineLevel="0" collapsed="false">
      <c r="A575" s="1" t="s">
        <v>2124</v>
      </c>
      <c r="B575" s="19" t="s">
        <v>2125</v>
      </c>
      <c r="C575" s="1" t="n">
        <v>2021</v>
      </c>
      <c r="E575" s="1" t="n">
        <v>2009</v>
      </c>
      <c r="G575" s="1" t="str">
        <f aca="false">IF($F575&lt;&gt;"",_xlfn.CONCAT(VLOOKUP($CE575, Constants!$T:$U, 2, FALSE()),",",$F575),VLOOKUP($CE575, Constants!$T:$U, 2, FALSE()))</f>
        <v>role/mixed</v>
      </c>
      <c r="H575" s="1" t="str">
        <f aca="false">IF($G575&lt;&gt;"",_xlfn.CONCAT(VLOOKUP($CG575, Constants!$M:$P, 4, FALSE()),",",$G575),VLOOKUP($CG575, Constants!$M:$P, 4, FALSE()))</f>
        <v>flag/GB,power/diesel,role/mixed</v>
      </c>
      <c r="I575" s="1" t="s">
        <v>241</v>
      </c>
      <c r="J575" s="1" t="s">
        <v>249</v>
      </c>
      <c r="K575" s="1" t="s">
        <v>525</v>
      </c>
      <c r="L575" s="1" t="s">
        <v>2090</v>
      </c>
      <c r="M575" s="1" t="n">
        <v>1941</v>
      </c>
      <c r="O575" s="1" t="n">
        <v>1985</v>
      </c>
      <c r="Q575" s="1" t="n">
        <v>50</v>
      </c>
      <c r="W575" s="18" t="n">
        <f aca="false">((($AE575/2)/60)*5280)/($X575*3.2*PI())</f>
        <v>187.57546864402</v>
      </c>
      <c r="X575" s="3" t="n">
        <v>0.7</v>
      </c>
      <c r="Y575" s="3" t="n">
        <f aca="false">((($S575*$S575/4)*PI())*($T575/12)*$U575*$V575*$W575)/(33000*1.1)</f>
        <v>0</v>
      </c>
      <c r="Z575" s="1" t="n">
        <v>7</v>
      </c>
      <c r="AB575" s="1" t="n">
        <v>5</v>
      </c>
      <c r="AC575" s="1" t="n">
        <v>22</v>
      </c>
      <c r="AD575" s="4" t="n">
        <f aca="false">IF(AND(Z575&gt;0,AC575&gt;0),(AC575/((Z575+AA575)*10)),"")</f>
        <v>0.314285714285714</v>
      </c>
      <c r="AE575" s="1" t="n">
        <v>30</v>
      </c>
      <c r="AF575" s="1" t="n">
        <f aca="false">ROUND(AE575*1.6, 0)</f>
        <v>48</v>
      </c>
      <c r="AI575" s="1" t="n">
        <v>6</v>
      </c>
      <c r="AL575" s="5" t="n">
        <v>0</v>
      </c>
      <c r="AM575" s="1" t="str">
        <f aca="false">CONCATENATE(VLOOKUP(AN575, 'Voxel Sizes'!$A$2:$B$18,2,FALSE()),"x",INT(AJ575*15), "x", INT(AK575*15))</f>
        <v>60x0x0</v>
      </c>
      <c r="AN575" s="16" t="n">
        <f aca="false">ROUND(15*((AI575*10)/256),0)</f>
        <v>4</v>
      </c>
      <c r="AP575" s="1" t="str">
        <f aca="false">CONCATENATE(VLOOKUP(AN575,Constants!$A$2:$C$16,IF(AO575&lt;&gt;"", 3, 2), FALSE()),IF(AO575&lt;&gt;"",CONCATENATE(",",VLOOKUP(AO575,$B:$AP,41,FALSE())),""))</f>
        <v>1,2,1</v>
      </c>
      <c r="AZ575" s="1" t="n">
        <v>125</v>
      </c>
      <c r="BA575" s="16" t="n">
        <f aca="false">IF(O575&lt;&gt;"",MAX(16,(O575-M575)+8),"")</f>
        <v>52</v>
      </c>
      <c r="BB575" s="1" t="n">
        <v>-9</v>
      </c>
      <c r="BC575" s="1" t="n">
        <v>-12</v>
      </c>
      <c r="BD575" s="20" t="n">
        <f aca="false">MIN(AE575/150, 1)*30</f>
        <v>6</v>
      </c>
      <c r="BE575" s="20" t="n">
        <f aca="false">MIN(Q575/4000, 1)*20</f>
        <v>0.25</v>
      </c>
      <c r="BF575" s="20" t="n">
        <f aca="false">MIN(AC575/400,1)*20</f>
        <v>1.1</v>
      </c>
      <c r="BG575" s="21" t="n">
        <f aca="false">1-(MAX(M575-1900, 0)/750)</f>
        <v>0.945333333333333</v>
      </c>
      <c r="BH575" s="20" t="n">
        <f aca="false">((MAX($P575,1)*MIN($AL575/300,1)))*IF(J575="Wagon",50,10)</f>
        <v>0</v>
      </c>
      <c r="BI575" s="1" t="n">
        <f aca="false">VLOOKUP($K575,Constants!$I:$K, 2, FALSE())</f>
        <v>1</v>
      </c>
      <c r="BJ575" s="1" t="n">
        <f aca="false">VLOOKUP($K575,Constants!$I:$K, 3, FALSE())*IF(AND(J575="multiple_unit",AE575&lt;110),0.75,1)</f>
        <v>2</v>
      </c>
      <c r="BK575" s="1" t="n">
        <f aca="false">INT(POWER(((Constants!$G$2+$BD575+$BE575+$BF575+$BH575)*$BG575)*$BJ575, 1.05))+$BC575</f>
        <v>15</v>
      </c>
      <c r="BL575" s="1" t="n">
        <f aca="false">INT(POWER((((Constants!$G$1+$BD575+$BE575+$BF575+$BH575)*($BG575))*$BI575),IF($J575="wagon",1,1.2)))+$BB575</f>
        <v>29</v>
      </c>
      <c r="BM575" s="22" t="n">
        <f aca="false">BK575*IF($J575="wagon",62.5,781.25)</f>
        <v>11718.75</v>
      </c>
      <c r="BN575" s="22" t="n">
        <f aca="false">BL575*IF($J575="wagon",2.73,81.25)</f>
        <v>2356.25</v>
      </c>
      <c r="BV575" s="1" t="str">
        <f aca="false">IF(OR($J575="locomotive",$J575="wagon"),"B","")</f>
        <v>B</v>
      </c>
      <c r="BY575" s="1" t="n">
        <v>5</v>
      </c>
      <c r="CD575" s="23" t="s">
        <v>471</v>
      </c>
      <c r="CE575" s="1" t="s">
        <v>356</v>
      </c>
      <c r="CF575" s="23" t="str">
        <f aca="false">CONCATENATE(CD575,"_",CE575)</f>
        <v>big4_Cheap</v>
      </c>
      <c r="CG575" s="23" t="str">
        <f aca="false">_xlfn.CONCAT(K575, "_",L575)</f>
        <v>diesel_NARROW_GAUGE</v>
      </c>
      <c r="CH575" s="7" t="str">
        <f aca="false">_xlfn.CONCAT("{BLACK}Length: {GOLD}", TEXT(ROUNDUP(IF(AS575&lt;&gt;"",SUM(VALUE(_xlfn.TEXTSPLIT(AS575, ","))), SUM(VALUE(_xlfn.TEXTSPLIT(AP575, ",")))*IF(P575, P575, 1))/16, 1), "#,##0.0"), " tiles{}")</f>
        <v>{BLACK}Length: {GOLD}0.3 tiles{}</v>
      </c>
      <c r="CI575" s="1" t="str">
        <f aca="false">IF(0, VLOOKUP($CG575, Constants!$M:$N, 2, FALSE()),"")</f>
        <v/>
      </c>
      <c r="CJ575" s="1" t="str">
        <f aca="false">IF(P575&gt;1,_xlfn.CONCAT("{BLACK}Cars: {GOLD}", P575),"")</f>
        <v/>
      </c>
      <c r="CK575" s="1" t="s">
        <v>2126</v>
      </c>
      <c r="CL575" s="1" t="str">
        <f aca="false">IF($BX575="concept_trains","{GREEN}Concept Vehicle",IF($BX575="!param_no_gameplay_units","{GREEN}Included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str">
        <f aca="false">_xlfn.CONCAT(CI575,IF(CI575&lt;&gt;""," ",""),CJ575,IF(OR(CJ575&lt;&gt;"",CI575&lt;&gt;""),"{}",""),CH575,CM575,"{SILVER}",CK575,IF(CL575&lt;&gt;"","{}{}",""),CL575)</f>
        <v>{BLACK}Length: {GOLD}0.3 tiles{}{SILVER}Ruston and Hornsby built diesel locomotives for small industrial lines, which would often only need a small locomotive for hauling goods short distances.</v>
      </c>
    </row>
    <row r="576" customFormat="false" ht="14.25" hidden="false" customHeight="false" outlineLevel="0" collapsed="false">
      <c r="A576" s="1" t="s">
        <v>2127</v>
      </c>
      <c r="B576" s="19" t="s">
        <v>2128</v>
      </c>
      <c r="C576" s="1" t="n">
        <v>2022</v>
      </c>
      <c r="E576" s="1" t="n">
        <v>2010</v>
      </c>
      <c r="G576" s="1" t="str">
        <f aca="false">IF($F576&lt;&gt;"",_xlfn.CONCAT(VLOOKUP($CE576, Constants!$T:$U, 2, FALSE()),",",$F576),VLOOKUP($CE576, Constants!$T:$U, 2, FALSE()))</f>
        <v>role/mixed</v>
      </c>
      <c r="H576" s="1" t="str">
        <f aca="false">IF($G576&lt;&gt;"",_xlfn.CONCAT(VLOOKUP($CG576, Constants!$M:$P, 4, FALSE()),",",$G576),VLOOKUP($CG576, Constants!$M:$P, 4, FALSE()))</f>
        <v>flag/GB,power/diesel,role/mixed</v>
      </c>
      <c r="I576" s="1" t="s">
        <v>241</v>
      </c>
      <c r="J576" s="1" t="s">
        <v>249</v>
      </c>
      <c r="K576" s="1" t="s">
        <v>525</v>
      </c>
      <c r="L576" s="1" t="s">
        <v>2090</v>
      </c>
      <c r="M576" s="1" t="n">
        <v>1950</v>
      </c>
      <c r="Q576" s="1" t="n">
        <v>75</v>
      </c>
      <c r="W576" s="18" t="n">
        <f aca="false">((($AE576/2)/60)*5280)/($X576*3.2*PI())</f>
        <v>200.080499886954</v>
      </c>
      <c r="X576" s="3" t="n">
        <v>0.7</v>
      </c>
      <c r="Y576" s="3" t="n">
        <f aca="false">((($S576*$S576/4)*PI())*($T576/12)*$U576*$V576*$W576)/(33000*1.1)</f>
        <v>0</v>
      </c>
      <c r="Z576" s="1" t="n">
        <v>10</v>
      </c>
      <c r="AB576" s="1" t="n">
        <v>5</v>
      </c>
      <c r="AC576" s="1" t="n">
        <v>28</v>
      </c>
      <c r="AD576" s="4" t="n">
        <f aca="false">IF(AND(Z576&gt;0,AC576&gt;0),(AC576/((Z576+AA576)*10)),"")</f>
        <v>0.28</v>
      </c>
      <c r="AE576" s="1" t="n">
        <v>32</v>
      </c>
      <c r="AF576" s="1" t="n">
        <f aca="false">ROUND(AE576*1.6, 0)</f>
        <v>51</v>
      </c>
      <c r="AI576" s="1" t="n">
        <v>6</v>
      </c>
      <c r="AL576" s="5" t="n">
        <v>0</v>
      </c>
      <c r="AM576" s="1" t="str">
        <f aca="false">CONCATENATE(VLOOKUP(AN576, 'Voxel Sizes'!$A$2:$B$18,2,FALSE()),"x",INT(AJ576*15), "x", INT(AK576*15))</f>
        <v>60x0x0</v>
      </c>
      <c r="AN576" s="16" t="n">
        <f aca="false">ROUND(15*((AI576*10)/256),0)</f>
        <v>4</v>
      </c>
      <c r="AP576" s="1" t="str">
        <f aca="false">CONCATENATE(VLOOKUP(AN576,Constants!$A$2:$C$16,IF(AO576&lt;&gt;"", 3, 2), FALSE()),IF(AO576&lt;&gt;"",CONCATENATE(",",VLOOKUP(AO576,$B:$AP,41,FALSE())),""))</f>
        <v>1,2,1</v>
      </c>
      <c r="AX576" s="1" t="n">
        <v>1</v>
      </c>
      <c r="AZ576" s="1" t="n">
        <v>125</v>
      </c>
      <c r="BA576" s="16" t="str">
        <f aca="false">IF(O576&lt;&gt;"",MAX(16,(O576-M576)+8),"")</f>
        <v/>
      </c>
      <c r="BB576" s="1" t="n">
        <v>-9</v>
      </c>
      <c r="BC576" s="1" t="n">
        <v>-12</v>
      </c>
      <c r="BD576" s="20" t="n">
        <f aca="false">MIN(AE576/150, 1)*30</f>
        <v>6.4</v>
      </c>
      <c r="BE576" s="20" t="n">
        <f aca="false">MIN(Q576/4000, 1)*20</f>
        <v>0.375</v>
      </c>
      <c r="BF576" s="20" t="n">
        <f aca="false">MIN(AC576/400,1)*20</f>
        <v>1.4</v>
      </c>
      <c r="BG576" s="21" t="n">
        <f aca="false">1-(MAX(M576-1900, 0)/750)</f>
        <v>0.933333333333333</v>
      </c>
      <c r="BH576" s="20" t="n">
        <f aca="false">((MAX($P576,1)*MIN($AL576/300,1)))*IF(J576="Wagon",50,10)</f>
        <v>0</v>
      </c>
      <c r="BI576" s="1" t="n">
        <f aca="false">VLOOKUP($K576,Constants!$I:$K, 2, FALSE())</f>
        <v>1</v>
      </c>
      <c r="BJ576" s="1" t="n">
        <f aca="false">VLOOKUP($K576,Constants!$I:$K, 3, FALSE())*IF(AND(J576="multiple_unit",AE576&lt;110),0.75,1)</f>
        <v>2</v>
      </c>
      <c r="BK576" s="1" t="n">
        <f aca="false">INT(POWER(((Constants!$G$2+$BD576+$BE576+$BF576+$BH576)*$BG576)*$BJ576, 1.05))+$BC576</f>
        <v>16</v>
      </c>
      <c r="BL576" s="1" t="n">
        <f aca="false">INT(POWER((((Constants!$G$1+$BD576+$BE576+$BF576+$BH576)*($BG576))*$BI576),IF($J576="wagon",1,1.2)))+$BB576</f>
        <v>31</v>
      </c>
      <c r="BM576" s="22" t="n">
        <f aca="false">BK576*IF($J576="wagon",62.5,781.25)</f>
        <v>12500</v>
      </c>
      <c r="BN576" s="22" t="n">
        <f aca="false">BL576*IF($J576="wagon",2.73,81.25)</f>
        <v>2518.75</v>
      </c>
      <c r="BV576" s="1" t="str">
        <f aca="false">IF(OR($J576="locomotive",$J576="wagon"),"B","")</f>
        <v>B</v>
      </c>
      <c r="BY576" s="1" t="n">
        <v>3</v>
      </c>
      <c r="CD576" s="23" t="s">
        <v>580</v>
      </c>
      <c r="CE576" s="1" t="s">
        <v>356</v>
      </c>
      <c r="CF576" s="23" t="str">
        <f aca="false">CONCATENATE(CD576,"_",CE576)</f>
        <v>ebr_Cheap</v>
      </c>
      <c r="CG576" s="23" t="str">
        <f aca="false">_xlfn.CONCAT(K576, "_",L576)</f>
        <v>diesel_NARROW_GAUGE</v>
      </c>
      <c r="CH576" s="7" t="str">
        <f aca="false">_xlfn.CONCAT("{BLACK}Length: {GOLD}", TEXT(ROUNDUP(IF(AS576&lt;&gt;"",SUM(VALUE(_xlfn.TEXTSPLIT(AS576, ","))), SUM(VALUE(_xlfn.TEXTSPLIT(AP576, ",")))*IF(P576, P576, 1))/16, 1), "#,##0.0"), " tiles{}")</f>
        <v>{BLACK}Length: {GOLD}0.3 tiles{}</v>
      </c>
      <c r="CI576" s="1" t="str">
        <f aca="false">IF(0, VLOOKUP($CG576, Constants!$M:$N, 2, FALSE()),"")</f>
        <v/>
      </c>
      <c r="CJ576" s="1" t="str">
        <f aca="false">IF(P576&gt;1,_xlfn.CONCAT("{BLACK}Cars: {GOLD}", P576),"")</f>
        <v/>
      </c>
      <c r="CK576" s="1" t="s">
        <v>2129</v>
      </c>
      <c r="CL576" s="1" t="str">
        <f aca="false">IF($BX576="concept_trains","{GREEN}Concept Vehicle",IF($BX576="!param_no_gameplay_units","{GREEN}Included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
      </c>
      <c r="CN576" s="1" t="str">
        <f aca="false">_xlfn.CONCAT(CI576,IF(CI576&lt;&gt;""," ",""),CJ576,IF(OR(CJ576&lt;&gt;"",CI576&lt;&gt;""),"{}",""),CH576,CM576,"{SILVER}",CK576,IF(CL576&lt;&gt;"","{}{}",""),CL576)</f>
        <v>{BLACK}Length: {GOLD}0.3 tiles{}{SILVER}The Hunslet 0-4-0DM is powered by a Gardner 4LW engine and is typical of a narrow gauge locomotive used for engineering duties.</v>
      </c>
    </row>
    <row r="577" customFormat="false" ht="14.25" hidden="false" customHeight="false" outlineLevel="0" collapsed="false">
      <c r="A577" s="1" t="s">
        <v>2130</v>
      </c>
      <c r="B577" s="19" t="s">
        <v>2131</v>
      </c>
      <c r="C577" s="1" t="n">
        <v>2023</v>
      </c>
      <c r="E577" s="1" t="n">
        <v>2011</v>
      </c>
      <c r="G577" s="1" t="str">
        <f aca="false">IF($F577&lt;&gt;"",_xlfn.CONCAT(VLOOKUP($CE577, Constants!$T:$U, 2, FALSE()),",",$F577),VLOOKUP($CE577, Constants!$T:$U, 2, FALSE()))</f>
        <v>role/mixed</v>
      </c>
      <c r="H577" s="1" t="str">
        <f aca="false">IF($G577&lt;&gt;"",_xlfn.CONCAT(VLOOKUP($CG577, Constants!$M:$P, 4, FALSE()),",",$G577),VLOOKUP($CG577, Constants!$M:$P, 4, FALSE()))</f>
        <v>flag/GB,power/diesel,role/mixed</v>
      </c>
      <c r="I577" s="1" t="s">
        <v>241</v>
      </c>
      <c r="J577" s="1" t="s">
        <v>249</v>
      </c>
      <c r="K577" s="1" t="s">
        <v>803</v>
      </c>
      <c r="L577" s="1" t="s">
        <v>2090</v>
      </c>
      <c r="M577" s="1" t="n">
        <v>1954</v>
      </c>
      <c r="Q577" s="1" t="n">
        <v>30</v>
      </c>
      <c r="W577" s="18" t="n">
        <f aca="false">((($AE577/2)/60)*5280)/($X577*3.2*PI())</f>
        <v>150.060374915216</v>
      </c>
      <c r="X577" s="3" t="n">
        <v>0.7</v>
      </c>
      <c r="Y577" s="3" t="n">
        <f aca="false">((($S577*$S577/4)*PI())*($T577/12)*$U577*$V577*$W577)/(33000*1.1)</f>
        <v>0</v>
      </c>
      <c r="Z577" s="1" t="n">
        <v>5</v>
      </c>
      <c r="AB577" s="1" t="n">
        <v>5</v>
      </c>
      <c r="AC577" s="1" t="n">
        <v>16</v>
      </c>
      <c r="AD577" s="4" t="n">
        <f aca="false">IF(AND(Z577&gt;0,AC577&gt;0),(AC577/((Z577+AA577)*10)),"")</f>
        <v>0.32</v>
      </c>
      <c r="AE577" s="1" t="n">
        <v>24</v>
      </c>
      <c r="AF577" s="1" t="n">
        <f aca="false">ROUND(AE577*1.6, 0)</f>
        <v>38</v>
      </c>
      <c r="AI577" s="1" t="n">
        <v>6</v>
      </c>
      <c r="AL577" s="5" t="n">
        <v>0</v>
      </c>
      <c r="AM577" s="1" t="str">
        <f aca="false">CONCATENATE(VLOOKUP(AN577, 'Voxel Sizes'!$A$2:$B$18,2,FALSE()),"x",INT(AJ577*15), "x", INT(AK577*15))</f>
        <v>60x0x0</v>
      </c>
      <c r="AN577" s="16" t="n">
        <f aca="false">ROUND(15*((AI577*10)/256),0)</f>
        <v>4</v>
      </c>
      <c r="AP577" s="1" t="str">
        <f aca="false">CONCATENATE(VLOOKUP(AN577,Constants!$A$2:$C$16,IF(AO577&lt;&gt;"", 3, 2), FALSE()),IF(AO577&lt;&gt;"",CONCATENATE(",",VLOOKUP(AO577,$B:$AP,41,FALSE())),""))</f>
        <v>1,2,1</v>
      </c>
      <c r="AZ577" s="1" t="n">
        <v>125</v>
      </c>
      <c r="BA577" s="16" t="str">
        <f aca="false">IF(O577&lt;&gt;"",MAX(16,(O577-M577)+8),"")</f>
        <v/>
      </c>
      <c r="BB577" s="1" t="n">
        <v>-9</v>
      </c>
      <c r="BC577" s="1" t="n">
        <v>-12</v>
      </c>
      <c r="BD577" s="20" t="n">
        <f aca="false">MIN(AE577/150, 1)*30</f>
        <v>4.8</v>
      </c>
      <c r="BE577" s="20" t="n">
        <f aca="false">MIN(Q577/4000, 1)*20</f>
        <v>0.15</v>
      </c>
      <c r="BF577" s="20" t="n">
        <f aca="false">MIN(AC577/400,1)*20</f>
        <v>0.8</v>
      </c>
      <c r="BG577" s="21" t="n">
        <f aca="false">1-(MAX(M577-1900, 0)/750)</f>
        <v>0.928</v>
      </c>
      <c r="BH577" s="20" t="n">
        <f aca="false">((MAX($P577,1)*MIN($AL577/300,1)))*IF(J577="Wagon",50,10)</f>
        <v>0</v>
      </c>
      <c r="BI577" s="1" t="n">
        <f aca="false">VLOOKUP($K577,Constants!$I:$K, 2, FALSE())</f>
        <v>1.05</v>
      </c>
      <c r="BJ577" s="1" t="n">
        <f aca="false">VLOOKUP($K577,Constants!$I:$K, 3, FALSE())*IF(AND(J577="multiple_unit",AE577&lt;110),0.75,1)</f>
        <v>1.9</v>
      </c>
      <c r="BK577" s="1" t="n">
        <f aca="false">INT(POWER(((Constants!$G$2+$BD577+$BE577+$BF577+$BH577)*$BG577)*$BJ577, 1.05))+$BC577</f>
        <v>9</v>
      </c>
      <c r="BL577" s="1" t="n">
        <f aca="false">INT(POWER((((Constants!$G$1+$BD577+$BE577+$BF577+$BH577)*($BG577))*$BI577),IF($J577="wagon",1,1.2)))+$BB577</f>
        <v>27</v>
      </c>
      <c r="BM577" s="22" t="n">
        <f aca="false">BK577*IF($J577="wagon",62.5,781.25)</f>
        <v>7031.25</v>
      </c>
      <c r="BN577" s="22" t="n">
        <f aca="false">BL577*IF($J577="wagon",2.73,81.25)</f>
        <v>2193.75</v>
      </c>
      <c r="BV577" s="1" t="str">
        <f aca="false">IF(OR($J577="locomotive",$J577="wagon"),"B","")</f>
        <v>B</v>
      </c>
      <c r="BY577" s="1" t="n">
        <v>7</v>
      </c>
      <c r="CD577" s="23" t="s">
        <v>580</v>
      </c>
      <c r="CE577" s="1" t="s">
        <v>356</v>
      </c>
      <c r="CF577" s="23" t="str">
        <f aca="false">CONCATENATE(CD577,"_",CE577)</f>
        <v>ebr_Cheap</v>
      </c>
      <c r="CG577" s="23" t="str">
        <f aca="false">_xlfn.CONCAT(K577, "_",L577)</f>
        <v>petrol_NARROW_GAUGE</v>
      </c>
      <c r="CH577" s="7" t="str">
        <f aca="false">_xlfn.CONCAT("{BLACK}Length: {GOLD}", TEXT(ROUNDUP(IF(AS577&lt;&gt;"",SUM(VALUE(_xlfn.TEXTSPLIT(AS577, ","))), SUM(VALUE(_xlfn.TEXTSPLIT(AP577, ",")))*IF(P577, P577, 1))/16, 1), "#,##0.0"), " tiles{}")</f>
        <v>{BLACK}Length: {GOLD}0.3 tiles{}</v>
      </c>
      <c r="CI577" s="1" t="str">
        <f aca="false">IF(0, VLOOKUP($CG577, Constants!$M:$N, 2, FALSE()),"")</f>
        <v/>
      </c>
      <c r="CJ577" s="1" t="str">
        <f aca="false">IF(P577&gt;1,_xlfn.CONCAT("{BLACK}Cars: {GOLD}", P577),"")</f>
        <v/>
      </c>
      <c r="CK577" s="1" t="s">
        <v>2132</v>
      </c>
      <c r="CL577" s="1" t="str">
        <f aca="false">IF($BX577="concept_trains","{GREEN}Concept Vehicle",IF($BX577="!param_no_gameplay_units","{GREEN}Included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
      </c>
      <c r="CN577" s="1" t="str">
        <f aca="false">_xlfn.CONCAT(CI577,IF(CI577&lt;&gt;""," ",""),CJ577,IF(OR(CJ577&lt;&gt;"",CI577&lt;&gt;""),"{}",""),CH577,CM577,"{SILVER}",CK577,IF(CL577&lt;&gt;"","{}{}",""),CL577)</f>
        <v>{BLACK}Length: {GOLD}0.3 tiles{}{SILVER}Talyllyn Railway volunteer John Bate built this small locomotive using the engine from a Austin Seven. The canopy was added later.</v>
      </c>
    </row>
    <row r="578" customFormat="false" ht="14.25" hidden="false" customHeight="false" outlineLevel="0" collapsed="false">
      <c r="A578" s="1" t="s">
        <v>2133</v>
      </c>
      <c r="B578" s="19" t="s">
        <v>2134</v>
      </c>
      <c r="C578" s="1" t="n">
        <v>2024</v>
      </c>
      <c r="E578" s="1" t="n">
        <v>2012</v>
      </c>
      <c r="G578" s="1" t="str">
        <f aca="false">IF($F578&lt;&gt;"",_xlfn.CONCAT(VLOOKUP($CE578, Constants!$T:$U, 2, FALSE()),",",$F578),VLOOKUP($CE578, Constants!$T:$U, 2, FALSE()))</f>
        <v>role/mixed</v>
      </c>
      <c r="H578" s="1" t="str">
        <f aca="false">IF($G578&lt;&gt;"",_xlfn.CONCAT(VLOOKUP($CG578, Constants!$M:$P, 4, FALSE()),",",$G578),VLOOKUP($CG578, Constants!$M:$P, 4, FALSE()))</f>
        <v>flag/GB,power/diesel,role/mixed</v>
      </c>
      <c r="I578" s="1" t="s">
        <v>241</v>
      </c>
      <c r="J578" s="1" t="s">
        <v>249</v>
      </c>
      <c r="K578" s="1" t="s">
        <v>525</v>
      </c>
      <c r="L578" s="1" t="s">
        <v>2090</v>
      </c>
      <c r="M578" s="1" t="n">
        <v>1982</v>
      </c>
      <c r="Q578" s="1" t="n">
        <v>100</v>
      </c>
      <c r="W578" s="18" t="n">
        <f aca="false">((($AE578/2)/60)*5280)/($X578*3.2*PI())</f>
        <v>218.838046751356</v>
      </c>
      <c r="X578" s="3" t="n">
        <v>0.7</v>
      </c>
      <c r="Y578" s="3" t="n">
        <f aca="false">((($S578*$S578/4)*PI())*($T578/12)*$U578*$V578*$W578)/(33000*1.1)</f>
        <v>0</v>
      </c>
      <c r="Z578" s="1" t="n">
        <v>10</v>
      </c>
      <c r="AB578" s="1" t="n">
        <v>5</v>
      </c>
      <c r="AC578" s="1" t="n">
        <v>36</v>
      </c>
      <c r="AD578" s="4" t="n">
        <f aca="false">IF(AND(Z578&gt;0,AC578&gt;0),(AC578/((Z578+AA578)*10)),"")</f>
        <v>0.36</v>
      </c>
      <c r="AE578" s="1" t="n">
        <v>35</v>
      </c>
      <c r="AF578" s="1" t="n">
        <f aca="false">ROUND(AE578*1.6, 0)</f>
        <v>56</v>
      </c>
      <c r="AI578" s="1" t="n">
        <v>7</v>
      </c>
      <c r="AL578" s="5" t="n">
        <v>0</v>
      </c>
      <c r="AM578" s="1" t="str">
        <f aca="false">CONCATENATE(VLOOKUP(AN578, 'Voxel Sizes'!$A$2:$B$18,2,FALSE()),"x",INT(AJ578*15), "x", INT(AK578*15))</f>
        <v>60x0x0</v>
      </c>
      <c r="AN578" s="16" t="n">
        <f aca="false">ROUND(15*((AI578*10)/256),0)</f>
        <v>4</v>
      </c>
      <c r="AP578" s="1" t="str">
        <f aca="false">CONCATENATE(VLOOKUP(AN578,Constants!$A$2:$C$16,IF(AO578&lt;&gt;"", 3, 2), FALSE()),IF(AO578&lt;&gt;"",CONCATENATE(",",VLOOKUP(AO578,$B:$AP,41,FALSE())),""))</f>
        <v>1,2,1</v>
      </c>
      <c r="AZ578" s="1" t="n">
        <v>125</v>
      </c>
      <c r="BA578" s="16" t="str">
        <f aca="false">IF(O578&lt;&gt;"",MAX(16,(O578-M578)+8),"")</f>
        <v/>
      </c>
      <c r="BB578" s="1" t="n">
        <v>-7</v>
      </c>
      <c r="BC578" s="1" t="n">
        <v>-6</v>
      </c>
      <c r="BD578" s="20" t="n">
        <f aca="false">MIN(AE578/150, 1)*30</f>
        <v>7</v>
      </c>
      <c r="BE578" s="20" t="n">
        <f aca="false">MIN(Q578/4000, 1)*20</f>
        <v>0.5</v>
      </c>
      <c r="BF578" s="20" t="n">
        <f aca="false">MIN(AC578/400,1)*20</f>
        <v>1.8</v>
      </c>
      <c r="BG578" s="21" t="n">
        <f aca="false">1-(MAX(M578-1900, 0)/750)</f>
        <v>0.890666666666667</v>
      </c>
      <c r="BH578" s="20" t="n">
        <f aca="false">((MAX($P578,1)*MIN($AL578/300,1)))*IF(J578="Wagon",50,10)</f>
        <v>0</v>
      </c>
      <c r="BI578" s="1" t="n">
        <f aca="false">VLOOKUP($K578,Constants!$I:$K, 2, FALSE())</f>
        <v>1</v>
      </c>
      <c r="BJ578" s="1" t="n">
        <f aca="false">VLOOKUP($K578,Constants!$I:$K, 3, FALSE())*IF(AND(J578="multiple_unit",AE578&lt;110),0.75,1)</f>
        <v>2</v>
      </c>
      <c r="BK578" s="1" t="n">
        <f aca="false">INT(POWER(((Constants!$G$2+$BD578+$BE578+$BF578+$BH578)*$BG578)*$BJ578, 1.05))+$BC578</f>
        <v>23</v>
      </c>
      <c r="BL578" s="1" t="n">
        <f aca="false">INT(POWER((((Constants!$G$1+$BD578+$BE578+$BF578+$BH578)*($BG578))*$BI578),IF($J578="wagon",1,1.2)))+$BB578</f>
        <v>33</v>
      </c>
      <c r="BM578" s="22" t="n">
        <f aca="false">BK578*IF($J578="wagon",62.5,781.25)</f>
        <v>17968.75</v>
      </c>
      <c r="BN578" s="22" t="n">
        <f aca="false">BL578*IF($J578="wagon",2.73,81.25)</f>
        <v>2681.25</v>
      </c>
      <c r="BV578" s="1" t="str">
        <f aca="false">IF(OR($J578="locomotive",$J578="wagon"),"B","")</f>
        <v>B</v>
      </c>
      <c r="BY578" s="1" t="n">
        <v>4</v>
      </c>
      <c r="CD578" s="23" t="s">
        <v>647</v>
      </c>
      <c r="CE578" s="1" t="s">
        <v>356</v>
      </c>
      <c r="CF578" s="23" t="str">
        <f aca="false">CONCATENATE(CD578,"_",CE578)</f>
        <v>lbr_Cheap</v>
      </c>
      <c r="CG578" s="23" t="str">
        <f aca="false">_xlfn.CONCAT(K578, "_",L578)</f>
        <v>diesel_NARROW_GAUGE</v>
      </c>
      <c r="CH578" s="7" t="str">
        <f aca="false">_xlfn.CONCAT("{BLACK}Length: {GOLD}", TEXT(ROUNDUP(IF(AS578&lt;&gt;"",SUM(VALUE(_xlfn.TEXTSPLIT(AS578, ","))), SUM(VALUE(_xlfn.TEXTSPLIT(AP578, ",")))*IF(P578, P578, 1))/16, 1), "#,##0.0"), " tiles{}")</f>
        <v>{BLACK}Length: {GOLD}0.3 tiles{}</v>
      </c>
      <c r="CI578" s="1" t="str">
        <f aca="false">IF(0, VLOOKUP($CG578, Constants!$M:$N, 2, FALSE()),"")</f>
        <v/>
      </c>
      <c r="CJ578" s="1" t="str">
        <f aca="false">IF(P578&gt;1,_xlfn.CONCAT("{BLACK}Cars: {GOLD}", P578),"")</f>
        <v/>
      </c>
      <c r="CK578" s="1" t="s">
        <v>2135</v>
      </c>
      <c r="CL578" s="1" t="str">
        <f aca="false">IF($BX578="concept_trains","{GREEN}Concept Vehicle",IF($BX578="!param_no_gameplay_units","{GREEN}Included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
      </c>
      <c r="CN578" s="1" t="str">
        <f aca="false">_xlfn.CONCAT(CI578,IF(CI578&lt;&gt;""," ",""),CJ578,IF(OR(CJ578&lt;&gt;"",CI578&lt;&gt;""),"{}",""),CH578,CM578,"{SILVER}",CK578,IF(CL578&lt;&gt;"","{}{}",""),CL578)</f>
        <v>{BLACK}Length: {GOLD}0.3 tiles{}{SILVER}Larger and more powerful diesel shunters displaced steam from industrial lines as they were more economical to run. Even preservation railways keep some around for utility duties.</v>
      </c>
    </row>
    <row r="579" customFormat="false" ht="14.25" hidden="false" customHeight="false" outlineLevel="0" collapsed="false">
      <c r="A579" s="24" t="s">
        <v>2136</v>
      </c>
      <c r="B579" s="19" t="s">
        <v>2137</v>
      </c>
      <c r="C579" s="1" t="n">
        <v>2025</v>
      </c>
      <c r="E579" s="1" t="n">
        <v>-1</v>
      </c>
      <c r="G579" s="1" t="str">
        <f aca="false">IF($F579&lt;&gt;"",_xlfn.CONCAT(VLOOKUP($CE579, Constants!$T:$U, 2, FALSE()),",",$F579),VLOOKUP($CE579, Constants!$T:$U, 2, FALSE()))</f>
        <v>role/freight</v>
      </c>
      <c r="H579" s="1" t="str">
        <f aca="false">IF($G579&lt;&gt;"",_xlfn.CONCAT(VLOOKUP($CG579, Constants!$M:$P, 4, FALSE()),",",$G579),VLOOKUP($CG579, Constants!$M:$P, 4, FALSE()))</f>
        <v>flag/GB,role/freight</v>
      </c>
      <c r="J579" s="1" t="s">
        <v>349</v>
      </c>
      <c r="K579" s="1" t="s">
        <v>1580</v>
      </c>
      <c r="L579" s="1" t="s">
        <v>2090</v>
      </c>
      <c r="M579" s="1" t="n">
        <v>1800</v>
      </c>
      <c r="O579" s="1" t="n">
        <v>1880</v>
      </c>
      <c r="Z579" s="1" t="n">
        <v>3</v>
      </c>
      <c r="AB579" s="1" t="n">
        <v>3</v>
      </c>
      <c r="AD579" s="4" t="str">
        <f aca="false">IF(AND(Z579&gt;0,AC579&gt;0),(AC579/((Z579+AA579)*10)),"")</f>
        <v/>
      </c>
      <c r="AE579" s="1" t="n">
        <v>25</v>
      </c>
      <c r="AF579" s="1" t="n">
        <f aca="false">ROUND(AE579*1.6, 0)</f>
        <v>40</v>
      </c>
      <c r="AH579" s="1" t="n">
        <v>6</v>
      </c>
      <c r="AI579" s="1" t="n">
        <v>6</v>
      </c>
      <c r="AL579" s="5" t="n">
        <v>12</v>
      </c>
      <c r="AM579" s="1" t="str">
        <f aca="false">CONCATENATE(VLOOKUP(AN579, 'Voxel Sizes'!$A$2:$B$18,2,FALSE()),"x",INT(AJ579*15), "x", INT(AK579*15))</f>
        <v>60x0x0</v>
      </c>
      <c r="AN579" s="16" t="n">
        <f aca="false">ROUND(15*((AI579*10)/256),0)</f>
        <v>4</v>
      </c>
      <c r="AP579" s="1" t="str">
        <f aca="false">CONCATENATE(VLOOKUP(AN579,Constants!$A$2:$C$16,IF(AO579&lt;&gt;"", 3, 2), FALSE()),IF(AO579&lt;&gt;"",CONCATENATE(",",VLOOKUP(AO579,$B:$AP,41,FALSE())),""))</f>
        <v>1,2,1</v>
      </c>
      <c r="AZ579" s="1" t="n">
        <v>80</v>
      </c>
      <c r="BA579" s="16" t="n">
        <f aca="false">IF(O579&lt;&gt;"",MAX(16,(O579-M579)+8),"")</f>
        <v>88</v>
      </c>
      <c r="BD579" s="20" t="n">
        <f aca="false">MIN(AE579/150, 1)*30</f>
        <v>5</v>
      </c>
      <c r="BE579" s="20" t="n">
        <f aca="false">MIN(Q579/4000, 1)*20</f>
        <v>0</v>
      </c>
      <c r="BF579" s="20" t="n">
        <f aca="false">MIN(AC579/400,1)*20</f>
        <v>0</v>
      </c>
      <c r="BG579" s="21" t="n">
        <f aca="false">1-(MAX(M579-1900, 0)/750)</f>
        <v>1</v>
      </c>
      <c r="BH579" s="20" t="n">
        <f aca="false">((MAX($P579,1)*MIN($AL579/300,1)))*IF(J579="Wagon",50,10)</f>
        <v>0.4</v>
      </c>
      <c r="BI579" s="1" t="n">
        <f aca="false">VLOOKUP($K579,Constants!$I:$K, 2, FALSE())</f>
        <v>1</v>
      </c>
      <c r="BJ579" s="1" t="n">
        <f aca="false">VLOOKUP($K579,Constants!$I:$K, 3, FALSE())*IF(AND(J579="multiple_unit",AE579&lt;110),0.75,1)</f>
        <v>0.45</v>
      </c>
      <c r="BK579" s="1" t="n">
        <f aca="false">INT(POWER(((Constants!$G$2+$BD579+$BE579+$BF579+$BH579)*$BG579)*$BJ579, 1.05))+$BC579</f>
        <v>5</v>
      </c>
      <c r="BL579" s="1" t="n">
        <f aca="false">INT(POWER((((Constants!$G$1+$BD579+$BE579+$BF579+$BH579)*($BG579))*$BI579),IF($J579="wagon",1,1.2)))+$BB579</f>
        <v>37</v>
      </c>
      <c r="BM579" s="22" t="n">
        <f aca="false">BK579*IF($J579="wagon",62.5,781.25)</f>
        <v>3906.25</v>
      </c>
      <c r="BN579" s="22" t="n">
        <f aca="false">BL579*IF($J579="wagon",2.73,81.25)</f>
        <v>3006.25</v>
      </c>
      <c r="BV579" s="1" t="str">
        <f aca="false">IF(OR($J579="locomotive",$J579="wagon"),"B","")</f>
        <v/>
      </c>
      <c r="BY579" s="1" t="n">
        <v>1</v>
      </c>
      <c r="BZ579" s="1" t="n">
        <v>74</v>
      </c>
      <c r="CB579" s="1" t="s">
        <v>2073</v>
      </c>
      <c r="CC579" s="1" t="s">
        <v>367</v>
      </c>
      <c r="CD579" s="23" t="s">
        <v>272</v>
      </c>
      <c r="CE579" s="1" t="s">
        <v>1835</v>
      </c>
      <c r="CF579" s="23" t="str">
        <f aca="false">CONCATENATE(CD579,"_",CE579)</f>
        <v>early_Open Wagon</v>
      </c>
      <c r="CG579" s="23" t="str">
        <f aca="false">_xlfn.CONCAT(K579, "_",L579)</f>
        <v>wagon_NARROW_GAUGE</v>
      </c>
      <c r="CH579" s="7" t="str">
        <f aca="false">_xlfn.CONCAT("{BLACK}Length: {GOLD}", TEXT(ROUNDUP(IF(AS579&lt;&gt;"",SUM(VALUE(_xlfn.TEXTSPLIT(AS579, ","))), SUM(VALUE(_xlfn.TEXTSPLIT(AP579, ",")))*IF(P579, P579, 1))/16, 1), "#,##0.0"), " tiles{}")</f>
        <v>{BLACK}Length: {GOLD}0.3 tiles{}</v>
      </c>
      <c r="CI579" s="1" t="str">
        <f aca="false">IF(0, VLOOKUP($CG579, Constants!$M:$N, 2, FALSE()),"")</f>
        <v/>
      </c>
      <c r="CJ579" s="1" t="str">
        <f aca="false">IF(P579&gt;1,_xlfn.CONCAT("{BLACK}Cars: {GOLD}", P579),"")</f>
        <v/>
      </c>
      <c r="CK579" s="1" t="s">
        <v>2138</v>
      </c>
      <c r="CL579" s="1" t="str">
        <f aca="false">IF($BX579="concept_trains","{GREEN}Concept Vehicle",IF($BX579="!param_no_gameplay_units","{GREEN}Included for gameplay purposes",""))</f>
        <v/>
      </c>
      <c r="CM579" s="1" t="str">
        <f aca="false">IF(CA579="buffet","{YELLOW}25% long distance bonus for consist{}",IF(CB579="DANDY","{YELLOW}Faster downhill speeds for horse-drawn trains (1 required per 2 horses){}",IF(CB579="BRAKE","{YELLOW}Speed bonus for slow wagons{}",IF(CB579="NGPassengers","{YELLOW}Preserved railway bonus: passengers pay more when hauled by old locomotives{}",IF(AND(BZ579&gt;190,NOT(AND(L579="NARROW_GAUGE",CB579&lt;&gt;"PASS"))),CONCATENATE("{YELLOW}",INT((BZ579-185)/1.85),"% bonus for long distance travel{}"),IF(AND(BZ579&lt;180,BZ579&lt;&gt;0),CONCATENATE("{YELLOW}",INT((185-BZ579)/1.85),"% penalty for long distance travel{}"),""))))))</f>
        <v>{YELLOW}Preserved railway bonus: passengers pay more when hauled by old locomotives{}</v>
      </c>
      <c r="CN579" s="1" t="str">
        <f aca="false">_xlfn.CONCAT(CI579,IF(CI579&lt;&gt;""," ",""),CJ579,IF(OR(CJ579&lt;&gt;"",CI579&lt;&gt;""),"{}",""),CH579,CM579,"{SILVER}",CK579,IF(CL579&lt;&gt;"","{}{}",""),CL579)</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80" customFormat="false" ht="14.25" hidden="false" customHeight="false" outlineLevel="0" collapsed="false">
      <c r="A580" s="1" t="s">
        <v>1584</v>
      </c>
      <c r="B580" s="19" t="s">
        <v>2139</v>
      </c>
      <c r="C580" s="1" t="n">
        <v>2026</v>
      </c>
      <c r="E580" s="1" t="n">
        <v>3001</v>
      </c>
      <c r="G580" s="1" t="str">
        <f aca="false">IF($F580&lt;&gt;"",_xlfn.CONCAT(VLOOKUP($CE580, Constants!$T:$U, 2, FALSE()),",",$F580),VLOOKUP($CE580, Constants!$T:$U, 2, FALSE()))</f>
        <v>role/freight</v>
      </c>
      <c r="H580" s="1" t="str">
        <f aca="false">IF($G580&lt;&gt;"",_xlfn.CONCAT(VLOOKUP($CG580, Constants!$M:$P, 4, FALSE()),",",$G580),VLOOKUP($CG580, Constants!$M:$P, 4, FALSE()))</f>
        <v>flag/GB,role/freight</v>
      </c>
      <c r="I580" s="1" t="s">
        <v>241</v>
      </c>
      <c r="J580" s="1" t="s">
        <v>1580</v>
      </c>
      <c r="K580" s="1" t="s">
        <v>1580</v>
      </c>
      <c r="L580" s="1" t="s">
        <v>2090</v>
      </c>
      <c r="M580" s="1" t="n">
        <v>1863</v>
      </c>
      <c r="Z580" s="1" t="n">
        <v>5</v>
      </c>
      <c r="AB580" s="1" t="n">
        <v>4</v>
      </c>
      <c r="AD580" s="4" t="str">
        <f aca="false">IF(AND(Z580&gt;0,AC580&gt;0),(AC580/((Z580+AA580)*10)),"")</f>
        <v/>
      </c>
      <c r="AE580" s="1" t="n">
        <v>35</v>
      </c>
      <c r="AF580" s="1" t="n">
        <f aca="false">ROUND(AE580*1.6, 0)</f>
        <v>56</v>
      </c>
      <c r="AH580" s="1" t="n">
        <v>8</v>
      </c>
      <c r="AI580" s="1" t="n">
        <v>8</v>
      </c>
      <c r="AL580" s="5" t="n">
        <v>18</v>
      </c>
      <c r="AM580" s="1" t="str">
        <f aca="false">CONCATENATE(VLOOKUP(AN580, 'Voxel Sizes'!$A$2:$B$18,2,FALSE()),"x",INT(AJ580*15), "x", INT(AK580*15))</f>
        <v>82x0x0</v>
      </c>
      <c r="AN580" s="16" t="n">
        <f aca="false">ROUND(15*((AI580*10)/256),0)</f>
        <v>5</v>
      </c>
      <c r="AP580" s="1" t="str">
        <f aca="false">CONCATENATE(VLOOKUP(AN580,Constants!$A$2:$C$16,IF(AO580&lt;&gt;"", 3, 2), FALSE()),IF(AO580&lt;&gt;"",CONCATENATE(",",VLOOKUP(AO580,$B:$AP,41,FALSE())),""))</f>
        <v>2,1,2</v>
      </c>
      <c r="AZ580" s="1" t="n">
        <v>80</v>
      </c>
      <c r="BA580" s="16" t="str">
        <f aca="false">IF(O580&lt;&gt;"",MAX(16,(O580-M580)+8),"")</f>
        <v/>
      </c>
      <c r="BB580" s="1" t="n">
        <v>5</v>
      </c>
      <c r="BC580" s="1" t="n">
        <v>10</v>
      </c>
      <c r="BD580" s="20" t="n">
        <f aca="false">MIN(AE580/150, 1)*30</f>
        <v>7</v>
      </c>
      <c r="BE580" s="20" t="n">
        <f aca="false">MIN(Q580/4000, 1)*20</f>
        <v>0</v>
      </c>
      <c r="BF580" s="20" t="n">
        <f aca="false">MIN(AC580/400,1)*20</f>
        <v>0</v>
      </c>
      <c r="BG580" s="21" t="n">
        <f aca="false">1-(MAX(M580-1900, 0)/750)</f>
        <v>1</v>
      </c>
      <c r="BH580" s="20" t="n">
        <f aca="false">((MAX($P580,1)*MIN($AL580/300,1)))*IF(J580="Wagon",50,10)</f>
        <v>3</v>
      </c>
      <c r="BI580" s="1" t="n">
        <f aca="false">VLOOKUP($K580,Constants!$I:$K, 2, FALSE())</f>
        <v>1</v>
      </c>
      <c r="BJ580" s="1" t="n">
        <f aca="false">VLOOKUP($K580,Constants!$I:$K, 3, FALSE())*IF(AND(J580="multiple_unit",AE580&lt;110),0.75,1)</f>
        <v>0.45</v>
      </c>
      <c r="BK580" s="1" t="n">
        <f aca="false">INT(POWER(((Constants!$G$2+$BD580+$BE580+$BF580+$BH580)*$BG580)*$BJ580, 1.05))+$BC580</f>
        <v>17</v>
      </c>
      <c r="BL580" s="1" t="n">
        <f aca="false">INT(POWER((((Constants!$G$1+$BD580+$BE580+$BF580+$BH580)*($BG580))*$BI580),IF($J580="wagon",1,1.2)))+$BB580</f>
        <v>30</v>
      </c>
      <c r="BM580" s="22" t="n">
        <f aca="false">BK580*IF($J580="wagon",62.5,781.25)</f>
        <v>1062.5</v>
      </c>
      <c r="BN580" s="22" t="n">
        <f aca="false">BL580*IF($J580="wagon",2.73,81.25)</f>
        <v>81.9</v>
      </c>
      <c r="BU580" s="1" t="str">
        <f aca="false">IF(J580="locomotive","B","")</f>
        <v/>
      </c>
      <c r="BV580" s="1" t="str">
        <f aca="false">IF(OR($J580="locomotive",$J580="wagon"),"B","")</f>
        <v>B</v>
      </c>
      <c r="BY580" s="1" t="n">
        <v>1</v>
      </c>
      <c r="BZ580" s="1" t="n">
        <v>74</v>
      </c>
      <c r="CB580" s="1" t="s">
        <v>2073</v>
      </c>
      <c r="CC580" s="1" t="s">
        <v>367</v>
      </c>
      <c r="CD580" s="23" t="s">
        <v>306</v>
      </c>
      <c r="CE580" s="1" t="s">
        <v>1835</v>
      </c>
      <c r="CF580" s="23" t="str">
        <f aca="false">CONCATENATE(CD580,"_",CE580)</f>
        <v>vct_Open Wagon</v>
      </c>
      <c r="CG580" s="23" t="str">
        <f aca="false">_xlfn.CONCAT(K580, "_",L580)</f>
        <v>wagon_NARROW_GAUGE</v>
      </c>
      <c r="CH580" s="7" t="str">
        <f aca="false">_xlfn.CONCAT("{BLACK}Length: {GOLD}", TEXT(ROUNDUP(IF(AS580&lt;&gt;"",SUM(VALUE(_xlfn.TEXTSPLIT(AS580, ","))), SUM(VALUE(_xlfn.TEXTSPLIT(AP580, ",")))*IF(P580, P580, 1))/16, 1), "#,##0.0"), " tiles{}")</f>
        <v>{BLACK}Length: {GOLD}0.4 tiles{}</v>
      </c>
      <c r="CI580" s="1" t="str">
        <f aca="false">IF(0, VLOOKUP($CG580, Constants!$M:$N, 2, FALSE()),"")</f>
        <v/>
      </c>
      <c r="CJ580" s="1" t="str">
        <f aca="false">IF(P580&gt;1,_xlfn.CONCAT("{BLACK}Cars: {GOLD}", P580),"")</f>
        <v/>
      </c>
      <c r="CK580" s="1" t="s">
        <v>2140</v>
      </c>
      <c r="CL580" s="1" t="str">
        <f aca="false">IF($BX580="concept_trains","{GREEN}Concept Vehicle",IF($BX580="!param_no_gameplay_units","{GREEN}Included for gameplay purposes",""))</f>
        <v/>
      </c>
      <c r="CM580" s="1" t="str">
        <f aca="false">IF(CA580="buffet","{YELLOW}25% long distance bonus for consist{}",IF(CB580="DANDY","{YELLOW}Faster downhill speeds for horse-drawn trains (1 required per 2 horses){}",IF(CB580="BRAKE","{YELLOW}Speed bonus for slow wagons{}",IF(CB580="NGPassengers","{YELLOW}Preserved railway bonus: passengers pay more when hauled by old locomotives{}",IF(AND(BZ580&gt;190,NOT(AND(L580="NARROW_GAUGE",CB580&lt;&gt;"PASS"))),CONCATENATE("{YELLOW}",INT((BZ580-185)/1.85),"% bonus for long distance travel{}"),IF(AND(BZ580&lt;180,BZ580&lt;&gt;0),CONCATENATE("{YELLOW}",INT((185-BZ580)/1.85),"% penalty for long distance travel{}"),""))))))</f>
        <v>{YELLOW}Preserved railway bonus: passengers pay more when hauled by old locomotives{}</v>
      </c>
      <c r="CN580" s="1" t="str">
        <f aca="false">_xlfn.CONCAT(CI580,IF(CI580&lt;&gt;""," ",""),CJ580,IF(OR(CJ580&lt;&gt;"",CI580&lt;&gt;""),"{}",""),CH580,CM580,"{SILVER}",CK580,IF(CL580&lt;&gt;"","{}{}",""),CL580)</f>
        <v>{BLACK}Length: {GOLD}0.4 tiles{}{YELLOW}Preserved railway bonus: passengers pay more when hauled by old locomotives{}{SILVER}When narrow gauge began operating passenger services, carriages were simple, flat-sided vehicles build around wooden frames on a four-wheel chassis.</v>
      </c>
    </row>
    <row r="581" customFormat="false" ht="14.25" hidden="false" customHeight="false" outlineLevel="0" collapsed="false">
      <c r="A581" s="1" t="s">
        <v>2141</v>
      </c>
      <c r="B581" s="19" t="s">
        <v>2142</v>
      </c>
      <c r="C581" s="1" t="n">
        <v>2027</v>
      </c>
      <c r="E581" s="1" t="n">
        <v>3002</v>
      </c>
      <c r="G581" s="1" t="str">
        <f aca="false">IF($F581&lt;&gt;"",_xlfn.CONCAT(VLOOKUP($CE581, Constants!$T:$U, 2, FALSE()),",",$F581),VLOOKUP($CE581, Constants!$T:$U, 2, FALSE()))</f>
        <v>role/freight</v>
      </c>
      <c r="H581" s="1" t="str">
        <f aca="false">IF($G581&lt;&gt;"",_xlfn.CONCAT(VLOOKUP($CG581, Constants!$M:$P, 4, FALSE()),",",$G581),VLOOKUP($CG581, Constants!$M:$P, 4, FALSE()))</f>
        <v>flag/GB,role/freight</v>
      </c>
      <c r="I581" s="1" t="s">
        <v>241</v>
      </c>
      <c r="J581" s="1" t="s">
        <v>1580</v>
      </c>
      <c r="K581" s="1" t="s">
        <v>1580</v>
      </c>
      <c r="L581" s="1" t="s">
        <v>2090</v>
      </c>
      <c r="M581" s="1" t="n">
        <v>1900</v>
      </c>
      <c r="Z581" s="1" t="n">
        <v>7</v>
      </c>
      <c r="AB581" s="1" t="n">
        <v>4</v>
      </c>
      <c r="AD581" s="4" t="str">
        <f aca="false">IF(AND(Z581&gt;0,AC581&gt;0),(AC581/((Z581+AA581)*10)),"")</f>
        <v/>
      </c>
      <c r="AE581" s="1" t="n">
        <v>45</v>
      </c>
      <c r="AF581" s="1" t="n">
        <f aca="false">ROUND(AE581*1.6, 0)</f>
        <v>72</v>
      </c>
      <c r="AH581" s="1" t="n">
        <v>12</v>
      </c>
      <c r="AI581" s="1" t="n">
        <v>12</v>
      </c>
      <c r="AL581" s="5" t="n">
        <v>36</v>
      </c>
      <c r="AM581" s="1" t="str">
        <f aca="false">CONCATENATE(VLOOKUP(AN581, 'Voxel Sizes'!$A$2:$B$18,2,FALSE()),"x",INT(AJ581*15), "x", INT(AK581*15))</f>
        <v>120x0x0</v>
      </c>
      <c r="AN581" s="16" t="n">
        <f aca="false">ROUND(15*((AI581*10)/256),0)</f>
        <v>7</v>
      </c>
      <c r="AP581" s="1" t="str">
        <f aca="false">CONCATENATE(VLOOKUP(AN581,Constants!$A$2:$C$16,IF(AO581&lt;&gt;"", 3, 2), FALSE()),IF(AO581&lt;&gt;"",CONCATENATE(",",VLOOKUP(AO581,$B:$AP,41,FALSE())),""))</f>
        <v>2,3,2</v>
      </c>
      <c r="AZ581" s="1" t="n">
        <v>80</v>
      </c>
      <c r="BA581" s="16" t="str">
        <f aca="false">IF(O581&lt;&gt;"",MAX(16,(O581-M581)+8),"")</f>
        <v/>
      </c>
      <c r="BB581" s="1" t="n">
        <v>10</v>
      </c>
      <c r="BC581" s="1" t="n">
        <v>20</v>
      </c>
      <c r="BD581" s="20" t="n">
        <f aca="false">MIN(AE581/150, 1)*30</f>
        <v>9</v>
      </c>
      <c r="BE581" s="20" t="n">
        <f aca="false">MIN(Q581/4000, 1)*20</f>
        <v>0</v>
      </c>
      <c r="BF581" s="20" t="n">
        <f aca="false">MIN(AC581/400,1)*20</f>
        <v>0</v>
      </c>
      <c r="BG581" s="21" t="n">
        <f aca="false">1-(MAX(M581-1900, 0)/750)</f>
        <v>1</v>
      </c>
      <c r="BH581" s="20" t="n">
        <f aca="false">((MAX($P581,1)*MIN($AL581/300,1)))*IF(J581="Wagon",50,10)</f>
        <v>6</v>
      </c>
      <c r="BI581" s="1" t="n">
        <f aca="false">VLOOKUP($K581,Constants!$I:$K, 2, FALSE())</f>
        <v>1</v>
      </c>
      <c r="BJ581" s="1" t="n">
        <f aca="false">VLOOKUP($K581,Constants!$I:$K, 3, FALSE())*IF(AND(J581="multiple_unit",AE581&lt;110),0.75,1)</f>
        <v>0.45</v>
      </c>
      <c r="BK581" s="1" t="n">
        <f aca="false">INT(POWER(((Constants!$G$2+$BD581+$BE581+$BF581+$BH581)*$BG581)*$BJ581, 1.05))+$BC581</f>
        <v>30</v>
      </c>
      <c r="BL581" s="1" t="n">
        <f aca="false">INT(POWER((((Constants!$G$1+$BD581+$BE581+$BF581+$BH581)*($BG581))*$BI581),IF($J581="wagon",1,1.2)))+$BB581</f>
        <v>40</v>
      </c>
      <c r="BM581" s="22" t="n">
        <f aca="false">BK581*IF($J581="wagon",62.5,781.25)</f>
        <v>1875</v>
      </c>
      <c r="BN581" s="22" t="n">
        <f aca="false">BL581*IF($J581="wagon",2.73,81.25)</f>
        <v>109.2</v>
      </c>
      <c r="BU581" s="1" t="str">
        <f aca="false">IF(J581="locomotive","B","")</f>
        <v/>
      </c>
      <c r="BV581" s="1" t="str">
        <f aca="false">IF(OR($J581="locomotive",$J581="wagon"),"B","")</f>
        <v>B</v>
      </c>
      <c r="BY581" s="1" t="n">
        <v>1</v>
      </c>
      <c r="BZ581" s="1" t="n">
        <v>74</v>
      </c>
      <c r="CB581" s="1" t="s">
        <v>2073</v>
      </c>
      <c r="CC581" s="1" t="s">
        <v>367</v>
      </c>
      <c r="CD581" s="23" t="s">
        <v>382</v>
      </c>
      <c r="CE581" s="1" t="s">
        <v>1835</v>
      </c>
      <c r="CF581" s="23" t="str">
        <f aca="false">CONCATENATE(CD581,"_",CE581)</f>
        <v>edw_Open Wagon</v>
      </c>
      <c r="CG581" s="23" t="str">
        <f aca="false">_xlfn.CONCAT(K581, "_",L581)</f>
        <v>wagon_NARROW_GAUGE</v>
      </c>
      <c r="CH581" s="7" t="str">
        <f aca="false">_xlfn.CONCAT("{BLACK}Length: {GOLD}", TEXT(ROUNDUP(IF(AS581&lt;&gt;"",SUM(VALUE(_xlfn.TEXTSPLIT(AS581, ","))), SUM(VALUE(_xlfn.TEXTSPLIT(AP581, ",")))*IF(P581, P581, 1))/16, 1), "#,##0.0"), " tiles{}")</f>
        <v>{BLACK}Length: {GOLD}0.5 tiles{}</v>
      </c>
      <c r="CI581" s="1" t="str">
        <f aca="false">IF(0, VLOOKUP($CG581, Constants!$M:$N, 2, FALSE()),"")</f>
        <v/>
      </c>
      <c r="CJ581" s="1" t="str">
        <f aca="false">IF(P581&gt;1,_xlfn.CONCAT("{BLACK}Cars: {GOLD}", P581),"")</f>
        <v/>
      </c>
      <c r="CK581" s="1" t="s">
        <v>2143</v>
      </c>
      <c r="CL581" s="1" t="str">
        <f aca="false">IF($BX581="concept_trains","{GREEN}Concept Vehicle",IF($BX581="!param_no_gameplay_units","{GREEN}Included for gameplay purposes",""))</f>
        <v/>
      </c>
      <c r="CM581" s="1" t="str">
        <f aca="false">IF(CA581="buffet","{YELLOW}25% long distance bonus for consist{}",IF(CB581="DANDY","{YELLOW}Faster downhill speeds for horse-drawn trains (1 required per 2 horses){}",IF(CB581="BRAKE","{YELLOW}Speed bonus for slow wagons{}",IF(CB581="NGPassengers","{YELLOW}Preserved railway bonus: passengers pay more when hauled by old locomotives{}",IF(AND(BZ581&gt;190,NOT(AND(L581="NARROW_GAUGE",CB581&lt;&gt;"PASS"))),CONCATENATE("{YELLOW}",INT((BZ581-185)/1.85),"% bonus for long distance travel{}"),IF(AND(BZ581&lt;180,BZ581&lt;&gt;0),CONCATENATE("{YELLOW}",INT((185-BZ581)/1.85),"% penalty for long distance travel{}"),""))))))</f>
        <v>{YELLOW}Preserved railway bonus: passengers pay more when hauled by old locomotives{}</v>
      </c>
      <c r="CN581" s="1" t="str">
        <f aca="false">_xlfn.CONCAT(CI581,IF(CI581&lt;&gt;""," ",""),CJ581,IF(OR(CJ581&lt;&gt;"",CI581&lt;&gt;""),"{}",""),CH581,CM581,"{SILVER}",CK581,IF(CL581&lt;&gt;"","{}{}",""),CL581)</f>
        <v>{BLACK}Length: {GOLD}0.5 tiles{}{YELLOW}Preserved railway bonus: passengers pay more when hauled by old locomotives{}{SILVER}Later narrow gauge carriages increased in length where loading gauges allowed, using bogies to help negotiate tight curves.</v>
      </c>
    </row>
    <row r="582" customFormat="false" ht="14.25" hidden="false" customHeight="false" outlineLevel="0" collapsed="false">
      <c r="A582" s="1" t="s">
        <v>1807</v>
      </c>
      <c r="B582" s="19" t="s">
        <v>2144</v>
      </c>
      <c r="C582" s="1" t="n">
        <v>2028</v>
      </c>
      <c r="E582" s="1" t="n">
        <v>3003</v>
      </c>
      <c r="G582" s="1" t="str">
        <f aca="false">IF($F582&lt;&gt;"",_xlfn.CONCAT(VLOOKUP($CE582, Constants!$T:$U, 2, FALSE()),",",$F582),VLOOKUP($CE582, Constants!$T:$U, 2, FALSE()))</f>
        <v>role/freight</v>
      </c>
      <c r="H582" s="1" t="str">
        <f aca="false">IF($G582&lt;&gt;"",_xlfn.CONCAT(VLOOKUP($CG582, Constants!$M:$P, 4, FALSE()),",",$G582),VLOOKUP($CG582, Constants!$M:$P, 4, FALSE()))</f>
        <v>flag/GB,role/freight</v>
      </c>
      <c r="I582" s="1" t="s">
        <v>241</v>
      </c>
      <c r="J582" s="1" t="s">
        <v>1580</v>
      </c>
      <c r="K582" s="1" t="s">
        <v>1580</v>
      </c>
      <c r="L582" s="1" t="s">
        <v>2090</v>
      </c>
      <c r="M582" s="1" t="n">
        <v>1863</v>
      </c>
      <c r="Z582" s="1" t="n">
        <v>4</v>
      </c>
      <c r="AB582" s="1" t="n">
        <v>4</v>
      </c>
      <c r="AD582" s="4" t="str">
        <f aca="false">IF(AND(Z582&gt;0,AC582&gt;0),(AC582/((Z582+AA582)*10)),"")</f>
        <v/>
      </c>
      <c r="AE582" s="1" t="n">
        <v>35</v>
      </c>
      <c r="AF582" s="1" t="n">
        <f aca="false">ROUND(AE582*1.6, 0)</f>
        <v>56</v>
      </c>
      <c r="AH582" s="1" t="n">
        <v>8</v>
      </c>
      <c r="AI582" s="1" t="n">
        <v>8</v>
      </c>
      <c r="AL582" s="5" t="n">
        <v>24</v>
      </c>
      <c r="AM582" s="1" t="str">
        <f aca="false">CONCATENATE(VLOOKUP(AN582, 'Voxel Sizes'!$A$2:$B$18,2,FALSE()),"x",INT(AJ582*15), "x", INT(AK582*15))</f>
        <v>82x0x0</v>
      </c>
      <c r="AN582" s="16" t="n">
        <f aca="false">ROUND(15*((AI582*10)/256),0)</f>
        <v>5</v>
      </c>
      <c r="AP582" s="1" t="str">
        <f aca="false">CONCATENATE(VLOOKUP(AN582,Constants!$A$2:$C$16,IF(AO582&lt;&gt;"", 3, 2), FALSE()),IF(AO582&lt;&gt;"",CONCATENATE(",",VLOOKUP(AO582,$B:$AP,41,FALSE())),""))</f>
        <v>2,1,2</v>
      </c>
      <c r="AZ582" s="1" t="n">
        <v>80</v>
      </c>
      <c r="BA582" s="16" t="str">
        <f aca="false">IF(O582&lt;&gt;"",MAX(16,(O582-M582)+8),"")</f>
        <v/>
      </c>
      <c r="BB582" s="1" t="n">
        <v>5</v>
      </c>
      <c r="BC582" s="1" t="n">
        <v>10</v>
      </c>
      <c r="BD582" s="20" t="n">
        <f aca="false">MIN(AE582/150, 1)*30</f>
        <v>7</v>
      </c>
      <c r="BE582" s="20" t="n">
        <f aca="false">MIN(Q582/4000, 1)*20</f>
        <v>0</v>
      </c>
      <c r="BF582" s="20" t="n">
        <f aca="false">MIN(AC582/400,1)*20</f>
        <v>0</v>
      </c>
      <c r="BG582" s="21" t="n">
        <f aca="false">1-(MAX(M582-1900, 0)/750)</f>
        <v>1</v>
      </c>
      <c r="BH582" s="20" t="n">
        <f aca="false">((MAX($P582,1)*MIN($AL582/300,1)))*IF(J582="Wagon",50,10)</f>
        <v>4</v>
      </c>
      <c r="BI582" s="1" t="n">
        <f aca="false">VLOOKUP($K582,Constants!$I:$K, 2, FALSE())</f>
        <v>1</v>
      </c>
      <c r="BJ582" s="1" t="n">
        <f aca="false">VLOOKUP($K582,Constants!$I:$K, 3, FALSE())*IF(AND(J582="multiple_unit",AE582&lt;110),0.75,1)</f>
        <v>0.45</v>
      </c>
      <c r="BK582" s="1" t="n">
        <f aca="false">INT(POWER(((Constants!$G$2+$BD582+$BE582+$BF582+$BH582)*$BG582)*$BJ582, 1.05))+$BC582</f>
        <v>17</v>
      </c>
      <c r="BL582" s="1" t="n">
        <f aca="false">INT(POWER((((Constants!$G$1+$BD582+$BE582+$BF582+$BH582)*($BG582))*$BI582),IF($J582="wagon",1,1.2)))+$BB582</f>
        <v>31</v>
      </c>
      <c r="BM582" s="22" t="n">
        <f aca="false">BK582*IF($J582="wagon",62.5,781.25)</f>
        <v>1062.5</v>
      </c>
      <c r="BN582" s="22" t="n">
        <f aca="false">BL582*IF($J582="wagon",2.73,81.25)</f>
        <v>84.63</v>
      </c>
      <c r="BU582" s="1" t="str">
        <f aca="false">IF(J582="locomotive","B","")</f>
        <v/>
      </c>
      <c r="BV582" s="1" t="str">
        <f aca="false">IF(OR($J582="locomotive",$J582="wagon"),"B","")</f>
        <v>B</v>
      </c>
      <c r="BY582" s="1" t="n">
        <v>1</v>
      </c>
      <c r="BZ582" s="1" t="n">
        <v>225</v>
      </c>
      <c r="CB582" s="1" t="s">
        <v>705</v>
      </c>
      <c r="CC582" s="1" t="s">
        <v>706</v>
      </c>
      <c r="CD582" s="23" t="s">
        <v>306</v>
      </c>
      <c r="CE582" s="1" t="s">
        <v>1835</v>
      </c>
      <c r="CF582" s="23" t="str">
        <f aca="false">CONCATENATE(CD582,"_",CE582)</f>
        <v>vct_Open Wagon</v>
      </c>
      <c r="CG582" s="23" t="str">
        <f aca="false">_xlfn.CONCAT(K582, "_",L582)</f>
        <v>wagon_NARROW_GAUGE</v>
      </c>
      <c r="CH582" s="7" t="str">
        <f aca="false">_xlfn.CONCAT("{BLACK}Length: {GOLD}", TEXT(ROUNDUP(IF(AS582&lt;&gt;"",SUM(VALUE(_xlfn.TEXTSPLIT(AS582, ","))), SUM(VALUE(_xlfn.TEXTSPLIT(AP582, ",")))*IF(P582, P582, 1))/16, 1), "#,##0.0"), " tiles{}")</f>
        <v>{BLACK}Length: {GOLD}0.4 tiles{}</v>
      </c>
      <c r="CI582" s="1" t="str">
        <f aca="false">IF(0, VLOOKUP($CG582, Constants!$M:$N, 2, FALSE()),"")</f>
        <v/>
      </c>
      <c r="CJ582" s="1" t="str">
        <f aca="false">IF(P582&gt;1,_xlfn.CONCAT("{BLACK}Cars: {GOLD}", P582),"")</f>
        <v/>
      </c>
      <c r="CK582" s="1" t="s">
        <v>2145</v>
      </c>
      <c r="CL582" s="1" t="str">
        <f aca="false">IF($BX582="concept_trains","{GREEN}Concept Vehicle",IF($BX582="!param_no_gameplay_units","{GREEN}Included for gameplay purposes",""))</f>
        <v/>
      </c>
      <c r="CM582" s="1" t="str">
        <f aca="false">IF(CA582="buffet","{YELLOW}25% long distance bonus for consist{}",IF(CB582="DANDY","{YELLOW}Faster downhill speeds for horse-drawn trains (1 required per 2 horses){}",IF(CB582="BRAKE","{YELLOW}Speed bonus for slow wagons{}",IF(CB582="NGPassengers","{YELLOW}Preserved railway bonus: passengers pay more when hauled by old locomotives{}",IF(AND(BZ582&gt;190,NOT(AND(L582="NARROW_GAUGE",CB582&lt;&gt;"PASS"))),CONCATENATE("{YELLOW}",INT((BZ582-185)/1.85),"% bonus for long distance travel{}"),IF(AND(BZ582&lt;180,BZ582&lt;&gt;0),CONCATENATE("{YELLOW}",INT((185-BZ582)/1.85),"% penalty for long distance travel{}"),""))))))</f>
        <v/>
      </c>
      <c r="CN582" s="1" t="str">
        <f aca="false">_xlfn.CONCAT(CI582,IF(CI582&lt;&gt;""," ",""),CJ582,IF(OR(CJ582&lt;&gt;"",CI582&lt;&gt;""),"{}",""),CH582,CM582,"{SILVER}",CK582,IF(CL582&lt;&gt;"","{}{}",""),CL582)</f>
        <v>{BLACK}Length: {GOLD}0.4 tiles{}{SILVER}Brake vans were rarer on narrow gauge railways, but passenger services would typically have a guard's wagon which could also carry parcels.</v>
      </c>
    </row>
    <row r="583" customFormat="false" ht="14.25" hidden="false" customHeight="false" outlineLevel="0" collapsed="false">
      <c r="A583" s="1" t="s">
        <v>2146</v>
      </c>
      <c r="B583" s="19" t="s">
        <v>2147</v>
      </c>
      <c r="C583" s="1" t="n">
        <v>2029</v>
      </c>
      <c r="E583" s="1" t="n">
        <v>3004</v>
      </c>
      <c r="G583" s="1" t="str">
        <f aca="false">IF($F583&lt;&gt;"",_xlfn.CONCAT(VLOOKUP($CE583, Constants!$T:$U, 2, FALSE()),",",$F583),VLOOKUP($CE583, Constants!$T:$U, 2, FALSE()))</f>
        <v>role/freight</v>
      </c>
      <c r="H583" s="1" t="str">
        <f aca="false">IF($G583&lt;&gt;"",_xlfn.CONCAT(VLOOKUP($CG583, Constants!$M:$P, 4, FALSE()),",",$G583),VLOOKUP($CG583, Constants!$M:$P, 4, FALSE()))</f>
        <v>flag/GB,role/freight</v>
      </c>
      <c r="I583" s="1" t="s">
        <v>241</v>
      </c>
      <c r="J583" s="1" t="s">
        <v>1580</v>
      </c>
      <c r="K583" s="1" t="s">
        <v>1580</v>
      </c>
      <c r="L583" s="1" t="s">
        <v>2090</v>
      </c>
      <c r="M583" s="1" t="n">
        <v>1900</v>
      </c>
      <c r="Z583" s="1" t="n">
        <v>6</v>
      </c>
      <c r="AB583" s="1" t="n">
        <v>4</v>
      </c>
      <c r="AD583" s="4" t="str">
        <f aca="false">IF(AND(Z583&gt;0,AC583&gt;0),(AC583/((Z583+AA583)*10)),"")</f>
        <v/>
      </c>
      <c r="AE583" s="1" t="n">
        <v>45</v>
      </c>
      <c r="AF583" s="1" t="n">
        <f aca="false">ROUND(AE583*1.6, 0)</f>
        <v>72</v>
      </c>
      <c r="AH583" s="1" t="n">
        <v>12</v>
      </c>
      <c r="AI583" s="1" t="n">
        <v>12</v>
      </c>
      <c r="AL583" s="5" t="n">
        <v>42</v>
      </c>
      <c r="AM583" s="1" t="str">
        <f aca="false">CONCATENATE(VLOOKUP(AN583, 'Voxel Sizes'!$A$2:$B$18,2,FALSE()),"x",INT(AJ583*15), "x", INT(AK583*15))</f>
        <v>120x0x0</v>
      </c>
      <c r="AN583" s="16" t="n">
        <f aca="false">ROUND(15*((AI583*10)/256),0)</f>
        <v>7</v>
      </c>
      <c r="AP583" s="1" t="str">
        <f aca="false">CONCATENATE(VLOOKUP(AN583,Constants!$A$2:$C$16,IF(AO583&lt;&gt;"", 3, 2), FALSE()),IF(AO583&lt;&gt;"",CONCATENATE(",",VLOOKUP(AO583,$B:$AP,41,FALSE())),""))</f>
        <v>2,3,2</v>
      </c>
      <c r="AZ583" s="1" t="n">
        <v>80</v>
      </c>
      <c r="BA583" s="16" t="str">
        <f aca="false">IF(O583&lt;&gt;"",MAX(16,(O583-M583)+8),"")</f>
        <v/>
      </c>
      <c r="BB583" s="1" t="n">
        <v>10</v>
      </c>
      <c r="BC583" s="1" t="n">
        <v>20</v>
      </c>
      <c r="BD583" s="20" t="n">
        <f aca="false">MIN(AE583/150, 1)*30</f>
        <v>9</v>
      </c>
      <c r="BE583" s="20" t="n">
        <f aca="false">MIN(Q583/4000, 1)*20</f>
        <v>0</v>
      </c>
      <c r="BF583" s="20" t="n">
        <f aca="false">MIN(AC583/400,1)*20</f>
        <v>0</v>
      </c>
      <c r="BG583" s="21" t="n">
        <f aca="false">1-(MAX(M583-1900, 0)/750)</f>
        <v>1</v>
      </c>
      <c r="BH583" s="20" t="n">
        <f aca="false">((MAX($P583,1)*MIN($AL583/300,1)))*IF(J583="Wagon",50,10)</f>
        <v>7</v>
      </c>
      <c r="BI583" s="1" t="n">
        <f aca="false">VLOOKUP($K583,Constants!$I:$K, 2, FALSE())</f>
        <v>1</v>
      </c>
      <c r="BJ583" s="1" t="n">
        <f aca="false">VLOOKUP($K583,Constants!$I:$K, 3, FALSE())*IF(AND(J583="multiple_unit",AE583&lt;110),0.75,1)</f>
        <v>0.45</v>
      </c>
      <c r="BK583" s="1" t="n">
        <f aca="false">INT(POWER(((Constants!$G$2+$BD583+$BE583+$BF583+$BH583)*$BG583)*$BJ583, 1.05))+$BC583</f>
        <v>30</v>
      </c>
      <c r="BL583" s="1" t="n">
        <f aca="false">INT(POWER((((Constants!$G$1+$BD583+$BE583+$BF583+$BH583)*($BG583))*$BI583),IF($J583="wagon",1,1.2)))+$BB583</f>
        <v>41</v>
      </c>
      <c r="BM583" s="22" t="n">
        <f aca="false">BK583*IF($J583="wagon",62.5,781.25)</f>
        <v>1875</v>
      </c>
      <c r="BN583" s="22" t="n">
        <f aca="false">BL583*IF($J583="wagon",2.73,81.25)</f>
        <v>111.93</v>
      </c>
      <c r="BU583" s="1" t="str">
        <f aca="false">IF(J583="locomotive","B","")</f>
        <v/>
      </c>
      <c r="BV583" s="1" t="str">
        <f aca="false">IF(OR($J583="locomotive",$J583="wagon"),"B","")</f>
        <v>B</v>
      </c>
      <c r="BY583" s="1" t="n">
        <v>1</v>
      </c>
      <c r="BZ583" s="1" t="n">
        <v>225</v>
      </c>
      <c r="CB583" s="1" t="s">
        <v>705</v>
      </c>
      <c r="CC583" s="1" t="s">
        <v>706</v>
      </c>
      <c r="CD583" s="23" t="s">
        <v>382</v>
      </c>
      <c r="CE583" s="1" t="s">
        <v>1835</v>
      </c>
      <c r="CF583" s="23" t="str">
        <f aca="false">CONCATENATE(CD583,"_",CE583)</f>
        <v>edw_Open Wagon</v>
      </c>
      <c r="CG583" s="23" t="str">
        <f aca="false">_xlfn.CONCAT(K583, "_",L583)</f>
        <v>wagon_NARROW_GAUGE</v>
      </c>
      <c r="CH583" s="7" t="str">
        <f aca="false">_xlfn.CONCAT("{BLACK}Length: {GOLD}", TEXT(ROUNDUP(IF(AS583&lt;&gt;"",SUM(VALUE(_xlfn.TEXTSPLIT(AS583, ","))), SUM(VALUE(_xlfn.TEXTSPLIT(AP583, ",")))*IF(P583, P583, 1))/16, 1), "#,##0.0"), " tiles{}")</f>
        <v>{BLACK}Length: {GOLD}0.5 tiles{}</v>
      </c>
      <c r="CI583" s="1" t="str">
        <f aca="false">IF(0, VLOOKUP($CG583, Constants!$M:$N, 2, FALSE()),"")</f>
        <v/>
      </c>
      <c r="CJ583" s="1" t="str">
        <f aca="false">IF(P583&gt;1,_xlfn.CONCAT("{BLACK}Cars: {GOLD}", P583),"")</f>
        <v/>
      </c>
      <c r="CK583" s="1" t="s">
        <v>2148</v>
      </c>
      <c r="CL583" s="1" t="str">
        <f aca="false">IF($BX583="concept_trains","{GREEN}Concept Vehicle",IF($BX583="!param_no_gameplay_units","{GREEN}Included for gameplay purposes",""))</f>
        <v/>
      </c>
      <c r="CM583" s="1" t="str">
        <f aca="false">IF(CA583="buffet","{YELLOW}25% long distance bonus for consist{}",IF(CB583="DANDY","{YELLOW}Faster downhill speeds for horse-drawn trains (1 required per 2 horses){}",IF(CB583="BRAKE","{YELLOW}Speed bonus for slow wagons{}",IF(CB583="NGPassengers","{YELLOW}Preserved railway bonus: passengers pay more when hauled by old locomotives{}",IF(AND(BZ583&gt;190,NOT(AND(L583="NARROW_GAUGE",CB583&lt;&gt;"PASS"))),CONCATENATE("{YELLOW}",INT((BZ583-185)/1.85),"% bonus for long distance travel{}"),IF(AND(BZ583&lt;180,BZ583&lt;&gt;0),CONCATENATE("{YELLOW}",INT((185-BZ583)/1.85),"% penalty for long distance travel{}"),""))))))</f>
        <v/>
      </c>
      <c r="CN583" s="1" t="str">
        <f aca="false">_xlfn.CONCAT(CI583,IF(CI583&lt;&gt;""," ",""),CJ583,IF(OR(CJ583&lt;&gt;"",CI583&lt;&gt;""),"{}",""),CH583,CM583,"{SILVER}",CK583,IF(CL583&lt;&gt;"","{}{}",""),CL583)</f>
        <v>{BLACK}Length: {GOLD}0.5 tiles{}{SILVER}Larger and heavier carriages also meant larger and heavier guard's vans.</v>
      </c>
    </row>
    <row r="584" customFormat="false" ht="14.25" hidden="false" customHeight="false" outlineLevel="0" collapsed="false">
      <c r="A584" s="1" t="s">
        <v>1831</v>
      </c>
      <c r="B584" s="19" t="s">
        <v>2149</v>
      </c>
      <c r="C584" s="1" t="n">
        <v>2030</v>
      </c>
      <c r="E584" s="1" t="n">
        <v>3005</v>
      </c>
      <c r="G584" s="1" t="str">
        <f aca="false">IF($F584&lt;&gt;"",_xlfn.CONCAT(VLOOKUP($CE584, Constants!$T:$U, 2, FALSE()),",",$F584),VLOOKUP($CE584, Constants!$T:$U, 2, FALSE()))</f>
        <v>role/freight</v>
      </c>
      <c r="H584" s="1" t="str">
        <f aca="false">IF($G584&lt;&gt;"",_xlfn.CONCAT(VLOOKUP($CG584, Constants!$M:$P, 4, FALSE()),",",$G584),VLOOKUP($CG584, Constants!$M:$P, 4, FALSE()))</f>
        <v>flag/GB,role/freight</v>
      </c>
      <c r="I584" s="1" t="s">
        <v>241</v>
      </c>
      <c r="J584" s="1" t="s">
        <v>1580</v>
      </c>
      <c r="K584" s="1" t="s">
        <v>1580</v>
      </c>
      <c r="L584" s="1" t="s">
        <v>2090</v>
      </c>
      <c r="M584" s="1" t="n">
        <v>1800</v>
      </c>
      <c r="O584" s="1" t="n">
        <v>1900</v>
      </c>
      <c r="Z584" s="1" t="n">
        <v>1</v>
      </c>
      <c r="AB584" s="1" t="n">
        <v>3</v>
      </c>
      <c r="AD584" s="4" t="str">
        <f aca="false">IF(AND(Z584&gt;0,AC584&gt;0),(AC584/((Z584+AA584)*10)),"")</f>
        <v/>
      </c>
      <c r="AE584" s="1" t="n">
        <v>25</v>
      </c>
      <c r="AF584" s="1" t="n">
        <f aca="false">ROUND(AE584*1.6, 0)</f>
        <v>40</v>
      </c>
      <c r="AH584" s="1" t="n">
        <v>4.9</v>
      </c>
      <c r="AI584" s="1" t="n">
        <v>6</v>
      </c>
      <c r="AL584" s="5" t="n">
        <v>9</v>
      </c>
      <c r="AM584" s="1" t="str">
        <f aca="false">CONCATENATE(VLOOKUP(AN584, 'Voxel Sizes'!$A$2:$B$18,2,FALSE()),"x",INT(AJ584*15), "x", INT(AK584*15))</f>
        <v>60x0x0</v>
      </c>
      <c r="AN584" s="16" t="n">
        <f aca="false">ROUND(15*((AI584*10)/256),0)</f>
        <v>4</v>
      </c>
      <c r="AP584" s="1" t="str">
        <f aca="false">CONCATENATE(VLOOKUP(AN584,Constants!$A$2:$C$16,IF(AO584&lt;&gt;"", 3, 2), FALSE()),IF(AO584&lt;&gt;"",CONCATENATE(",",VLOOKUP(AO584,$B:$AP,41,FALSE())),""))</f>
        <v>1,2,1</v>
      </c>
      <c r="AZ584" s="1" t="n">
        <v>80</v>
      </c>
      <c r="BA584" s="16" t="n">
        <f aca="false">IF(O584&lt;&gt;"",MAX(16,(O584-M584)+8),"")</f>
        <v>108</v>
      </c>
      <c r="BB584" s="1" t="n">
        <v>-15</v>
      </c>
      <c r="BC584" s="1" t="n">
        <v>-3</v>
      </c>
      <c r="BD584" s="20" t="n">
        <f aca="false">MIN(AE584/150, 1)*30</f>
        <v>5</v>
      </c>
      <c r="BE584" s="20" t="n">
        <f aca="false">MIN(Q584/4000, 1)*20</f>
        <v>0</v>
      </c>
      <c r="BF584" s="20" t="n">
        <f aca="false">MIN(AC584/400,1)*20</f>
        <v>0</v>
      </c>
      <c r="BG584" s="21" t="n">
        <f aca="false">1-(MAX(M584-1900, 0)/750)</f>
        <v>1</v>
      </c>
      <c r="BH584" s="20" t="n">
        <f aca="false">((MAX($P584,1)*MIN($AL584/300,1)))*IF(J584="Wagon",50,10)</f>
        <v>1.5</v>
      </c>
      <c r="BI584" s="1" t="n">
        <f aca="false">VLOOKUP($K584,Constants!$I:$K, 2, FALSE())</f>
        <v>1</v>
      </c>
      <c r="BJ584" s="1" t="n">
        <f aca="false">VLOOKUP($K584,Constants!$I:$K, 3, FALSE())*IF(AND(J584="multiple_unit",AE584&lt;110),0.75,1)</f>
        <v>0.45</v>
      </c>
      <c r="BK584" s="1" t="n">
        <f aca="false">INT(POWER(((Constants!$G$2+$BD584+$BE584+$BF584+$BH584)*$BG584)*$BJ584, 1.05))+$BC584</f>
        <v>2</v>
      </c>
      <c r="BL584" s="1" t="n">
        <f aca="false">INT(POWER((((Constants!$G$1+$BD584+$BE584+$BF584+$BH584)*($BG584))*$BI584),IF($J584="wagon",1,1.2)))+$BB584</f>
        <v>6</v>
      </c>
      <c r="BM584" s="22" t="n">
        <f aca="false">BK584*IF($J584="wagon",62.5,781.25)</f>
        <v>125</v>
      </c>
      <c r="BN584" s="22" t="n">
        <f aca="false">BL584*IF($J584="wagon",2.73,81.25)</f>
        <v>16.38</v>
      </c>
      <c r="BU584" s="1" t="str">
        <f aca="false">IF(J584="locomotive","B","")</f>
        <v/>
      </c>
      <c r="BV584" s="1" t="str">
        <f aca="false">IF(OR($J584="locomotive",$J584="wagon"),"B","")</f>
        <v>B</v>
      </c>
      <c r="BY584" s="1" t="n">
        <v>1</v>
      </c>
      <c r="BZ584" s="1" t="n">
        <v>225</v>
      </c>
      <c r="CB584" s="1" t="s">
        <v>1833</v>
      </c>
      <c r="CC584" s="1" t="s">
        <v>1834</v>
      </c>
      <c r="CD584" s="23" t="s">
        <v>272</v>
      </c>
      <c r="CE584" s="1" t="s">
        <v>1835</v>
      </c>
      <c r="CF584" s="23" t="str">
        <f aca="false">CONCATENATE(CD584,"_",CE584)</f>
        <v>early_Open Wagon</v>
      </c>
      <c r="CG584" s="23" t="str">
        <f aca="false">_xlfn.CONCAT(K584, "_",L584)</f>
        <v>wagon_NARROW_GAUGE</v>
      </c>
      <c r="CH584" s="7" t="str">
        <f aca="false">_xlfn.CONCAT("{BLACK}Length: {GOLD}", TEXT(ROUNDUP(IF(AS584&lt;&gt;"",SUM(VALUE(_xlfn.TEXTSPLIT(AS584, ","))), SUM(VALUE(_xlfn.TEXTSPLIT(AP584, ",")))*IF(P584, P584, 1))/16, 1), "#,##0.0"), " tiles{}")</f>
        <v>{BLACK}Length: {GOLD}0.3 tiles{}</v>
      </c>
      <c r="CI584" s="1" t="str">
        <f aca="false">IF(0, VLOOKUP($CG584, Constants!$M:$N, 2, FALSE()),"")</f>
        <v/>
      </c>
      <c r="CJ584" s="1" t="str">
        <f aca="false">IF(P584&gt;1,_xlfn.CONCAT("{BLACK}Cars: {GOLD}", P584),"")</f>
        <v/>
      </c>
      <c r="CK584" s="1" t="s">
        <v>2150</v>
      </c>
      <c r="CL584" s="1" t="str">
        <f aca="false">IF($BX584="concept_trains","{GREEN}Concept Vehicle",IF($BX584="!param_no_gameplay_units","{GREEN}Included for gameplay purposes",""))</f>
        <v/>
      </c>
      <c r="CM584" s="1" t="str">
        <f aca="false">IF(CA584="buffet","{YELLOW}25% long distance bonus for consist{}",IF(CB584="DANDY","{YELLOW}Faster downhill speeds for horse-drawn trains (1 required per 2 horses){}",IF(CB584="BRAKE","{YELLOW}Speed bonus for slow wagons{}",IF(CB584="NGPassengers","{YELLOW}Preserved railway bonus: passengers pay more when hauled by old locomotives{}",IF(AND(BZ584&gt;190,NOT(AND(L584="NARROW_GAUGE",CB584&lt;&gt;"PASS"))),CONCATENATE("{YELLOW}",INT((BZ584-185)/1.85),"% bonus for long distance travel{}"),IF(AND(BZ584&lt;180,BZ584&lt;&gt;0),CONCATENATE("{YELLOW}",INT((185-BZ584)/1.85),"% penalty for long distance travel{}"),""))))))</f>
        <v/>
      </c>
      <c r="CN584" s="1" t="str">
        <f aca="false">_xlfn.CONCAT(CI584,IF(CI584&lt;&gt;""," ",""),CJ584,IF(OR(CJ584&lt;&gt;"",CI584&lt;&gt;""),"{}",""),CH584,CM584,"{SILVER}",CK584,IF(CL584&lt;&gt;"","{}{}",""),CL584)</f>
        <v>{BLACK}Length: {GOLD}0.3 tiles{}{SILVER}An open wagon for carrying bulk cargo on narrow gauge railways.</v>
      </c>
    </row>
    <row r="585" customFormat="false" ht="14.25" hidden="false" customHeight="false" outlineLevel="0" collapsed="false">
      <c r="A585" s="1" t="s">
        <v>2151</v>
      </c>
      <c r="B585" s="19" t="s">
        <v>2152</v>
      </c>
      <c r="C585" s="1" t="n">
        <v>2031</v>
      </c>
      <c r="E585" s="1" t="n">
        <v>3006</v>
      </c>
      <c r="G585" s="1" t="str">
        <f aca="false">IF($F585&lt;&gt;"",_xlfn.CONCAT(VLOOKUP($CE585, Constants!$T:$U, 2, FALSE()),",",$F585),VLOOKUP($CE585, Constants!$T:$U, 2, FALSE()))</f>
        <v>role/freight</v>
      </c>
      <c r="H585" s="1" t="str">
        <f aca="false">IF($G585&lt;&gt;"",_xlfn.CONCAT(VLOOKUP($CG585, Constants!$M:$P, 4, FALSE()),",",$G585),VLOOKUP($CG585, Constants!$M:$P, 4, FALSE()))</f>
        <v>flag/GB,role/freight</v>
      </c>
      <c r="I585" s="1" t="s">
        <v>241</v>
      </c>
      <c r="J585" s="1" t="s">
        <v>1580</v>
      </c>
      <c r="K585" s="1" t="s">
        <v>1580</v>
      </c>
      <c r="L585" s="1" t="s">
        <v>2090</v>
      </c>
      <c r="M585" s="1" t="n">
        <v>1870</v>
      </c>
      <c r="Z585" s="1" t="n">
        <v>1</v>
      </c>
      <c r="AB585" s="1" t="n">
        <v>4</v>
      </c>
      <c r="AD585" s="4" t="str">
        <f aca="false">IF(AND(Z585&gt;0,AC585&gt;0),(AC585/((Z585+AA585)*10)),"")</f>
        <v/>
      </c>
      <c r="AE585" s="1" t="n">
        <v>30</v>
      </c>
      <c r="AF585" s="1" t="n">
        <f aca="false">ROUND(AE585*1.6, 0)</f>
        <v>48</v>
      </c>
      <c r="AH585" s="1" t="n">
        <v>8</v>
      </c>
      <c r="AI585" s="1" t="n">
        <v>8</v>
      </c>
      <c r="AL585" s="5" t="n">
        <v>12</v>
      </c>
      <c r="AM585" s="1" t="str">
        <f aca="false">CONCATENATE(VLOOKUP(AN585, 'Voxel Sizes'!$A$2:$B$18,2,FALSE()),"x",INT(AJ585*15), "x", INT(AK585*15))</f>
        <v>82x0x0</v>
      </c>
      <c r="AN585" s="16" t="n">
        <f aca="false">ROUND(15*((AI585*10)/256),0)</f>
        <v>5</v>
      </c>
      <c r="AP585" s="1" t="str">
        <f aca="false">CONCATENATE(VLOOKUP(AN585,Constants!$A$2:$C$16,IF(AO585&lt;&gt;"", 3, 2), FALSE()),IF(AO585&lt;&gt;"",CONCATENATE(",",VLOOKUP(AO585,$B:$AP,41,FALSE())),""))</f>
        <v>2,1,2</v>
      </c>
      <c r="AZ585" s="1" t="n">
        <v>80</v>
      </c>
      <c r="BA585" s="16" t="str">
        <f aca="false">IF(O585&lt;&gt;"",MAX(16,(O585-M585)+8),"")</f>
        <v/>
      </c>
      <c r="BB585" s="1" t="n">
        <v>-15</v>
      </c>
      <c r="BC585" s="1" t="n">
        <v>-3</v>
      </c>
      <c r="BD585" s="20" t="n">
        <f aca="false">MIN(AE585/150, 1)*30</f>
        <v>6</v>
      </c>
      <c r="BE585" s="20" t="n">
        <f aca="false">MIN(Q585/4000, 1)*20</f>
        <v>0</v>
      </c>
      <c r="BF585" s="20" t="n">
        <f aca="false">MIN(AC585/400,1)*20</f>
        <v>0</v>
      </c>
      <c r="BG585" s="21" t="n">
        <f aca="false">1-(MAX(M585-1900, 0)/750)</f>
        <v>1</v>
      </c>
      <c r="BH585" s="20" t="n">
        <f aca="false">((MAX($P585,1)*MIN($AL585/300,1)))*IF(J585="Wagon",50,10)</f>
        <v>2</v>
      </c>
      <c r="BI585" s="1" t="n">
        <f aca="false">VLOOKUP($K585,Constants!$I:$K, 2, FALSE())</f>
        <v>1</v>
      </c>
      <c r="BJ585" s="1" t="n">
        <f aca="false">VLOOKUP($K585,Constants!$I:$K, 3, FALSE())*IF(AND(J585="multiple_unit",AE585&lt;110),0.75,1)</f>
        <v>0.45</v>
      </c>
      <c r="BK585" s="1" t="n">
        <f aca="false">INT(POWER(((Constants!$G$2+$BD585+$BE585+$BF585+$BH585)*$BG585)*$BJ585, 1.05))+$BC585</f>
        <v>3</v>
      </c>
      <c r="BL585" s="1" t="n">
        <f aca="false">INT(POWER((((Constants!$G$1+$BD585+$BE585+$BF585+$BH585)*($BG585))*$BI585),IF($J585="wagon",1,1.2)))+$BB585</f>
        <v>8</v>
      </c>
      <c r="BM585" s="22" t="n">
        <f aca="false">BK585*IF($J585="wagon",62.5,781.25)</f>
        <v>187.5</v>
      </c>
      <c r="BN585" s="22" t="n">
        <f aca="false">BL585*IF($J585="wagon",2.73,81.25)</f>
        <v>21.84</v>
      </c>
      <c r="BU585" s="1" t="str">
        <f aca="false">IF(J585="locomotive","B","")</f>
        <v/>
      </c>
      <c r="BV585" s="1" t="str">
        <f aca="false">IF(OR($J585="locomotive",$J585="wagon"),"B","")</f>
        <v>B</v>
      </c>
      <c r="BY585" s="1" t="n">
        <v>1</v>
      </c>
      <c r="BZ585" s="1" t="n">
        <v>225</v>
      </c>
      <c r="CB585" s="1" t="s">
        <v>1842</v>
      </c>
      <c r="CC585" s="1" t="s">
        <v>1834</v>
      </c>
      <c r="CD585" s="23" t="s">
        <v>306</v>
      </c>
      <c r="CE585" s="1" t="s">
        <v>1835</v>
      </c>
      <c r="CF585" s="23" t="str">
        <f aca="false">CONCATENATE(CD585,"_",CE585)</f>
        <v>vct_Open Wagon</v>
      </c>
      <c r="CG585" s="23" t="str">
        <f aca="false">_xlfn.CONCAT(K585, "_",L585)</f>
        <v>wagon_NARROW_GAUGE</v>
      </c>
      <c r="CH585" s="7" t="str">
        <f aca="false">_xlfn.CONCAT("{BLACK}Length: {GOLD}", TEXT(ROUNDUP(IF(AS585&lt;&gt;"",SUM(VALUE(_xlfn.TEXTSPLIT(AS585, ","))), SUM(VALUE(_xlfn.TEXTSPLIT(AP585, ",")))*IF(P585, P585, 1))/16, 1), "#,##0.0"), " tiles{}")</f>
        <v>{BLACK}Length: {GOLD}0.4 tiles{}</v>
      </c>
      <c r="CI585" s="1" t="str">
        <f aca="false">IF(0, VLOOKUP($CG585, Constants!$M:$N, 2, FALSE()),"")</f>
        <v/>
      </c>
      <c r="CJ585" s="1" t="str">
        <f aca="false">IF(P585&gt;1,_xlfn.CONCAT("{BLACK}Cars: {GOLD}", P585),"")</f>
        <v/>
      </c>
      <c r="CK585" s="1" t="s">
        <v>2153</v>
      </c>
      <c r="CL585" s="1" t="str">
        <f aca="false">IF($BX585="concept_trains","{GREEN}Concept Vehicle",IF($BX585="!param_no_gameplay_units","{GREEN}Included for gameplay purposes",""))</f>
        <v/>
      </c>
      <c r="CM585" s="1" t="str">
        <f aca="false">IF(CA585="buffet","{YELLOW}25% long distance bonus for consist{}",IF(CB585="DANDY","{YELLOW}Faster downhill speeds for horse-drawn trains (1 required per 2 horses){}",IF(CB585="BRAKE","{YELLOW}Speed bonus for slow wagons{}",IF(CB585="NGPassengers","{YELLOW}Preserved railway bonus: passengers pay more when hauled by old locomotives{}",IF(AND(BZ585&gt;190,NOT(AND(L585="NARROW_GAUGE",CB585&lt;&gt;"PASS"))),CONCATENATE("{YELLOW}",INT((BZ585-185)/1.85),"% bonus for long distance travel{}"),IF(AND(BZ585&lt;180,BZ585&lt;&gt;0),CONCATENATE("{YELLOW}",INT((185-BZ585)/1.85),"% penalty for long distance travel{}"),""))))))</f>
        <v/>
      </c>
      <c r="CN585" s="1" t="str">
        <f aca="false">_xlfn.CONCAT(CI585,IF(CI585&lt;&gt;""," ",""),CJ585,IF(OR(CJ585&lt;&gt;"",CI585&lt;&gt;""),"{}",""),CH585,CM585,"{SILVER}",CK585,IF(CL585&lt;&gt;"","{}{}",""),CL585)</f>
        <v>{BLACK}Length: {GOLD}0.4 tiles{}{SILVER}Heavier mineral wagons allowed larger amounts of cargo to be carried.</v>
      </c>
    </row>
    <row r="586" customFormat="false" ht="14.25" hidden="false" customHeight="false" outlineLevel="0" collapsed="false">
      <c r="A586" s="1" t="s">
        <v>1888</v>
      </c>
      <c r="B586" s="19" t="s">
        <v>2154</v>
      </c>
      <c r="C586" s="1" t="n">
        <v>2032</v>
      </c>
      <c r="E586" s="1" t="n">
        <v>3007</v>
      </c>
      <c r="G586" s="1" t="str">
        <f aca="false">IF($F586&lt;&gt;"",_xlfn.CONCAT(VLOOKUP($CE586, Constants!$T:$U, 2, FALSE()),",",$F586),VLOOKUP($CE586, Constants!$T:$U, 2, FALSE()))</f>
        <v>role/freight</v>
      </c>
      <c r="H586" s="1" t="str">
        <f aca="false">IF($G586&lt;&gt;"",_xlfn.CONCAT(VLOOKUP($CG586, Constants!$M:$P, 4, FALSE()),",",$G586),VLOOKUP($CG586, Constants!$M:$P, 4, FALSE()))</f>
        <v>flag/GB,role/freight</v>
      </c>
      <c r="I586" s="1" t="s">
        <v>241</v>
      </c>
      <c r="J586" s="1" t="s">
        <v>1580</v>
      </c>
      <c r="K586" s="1" t="s">
        <v>1580</v>
      </c>
      <c r="L586" s="1" t="s">
        <v>2090</v>
      </c>
      <c r="M586" s="1" t="n">
        <v>1800</v>
      </c>
      <c r="O586" s="1" t="n">
        <v>1900</v>
      </c>
      <c r="Z586" s="1" t="n">
        <v>1</v>
      </c>
      <c r="AB586" s="1" t="n">
        <v>3</v>
      </c>
      <c r="AD586" s="4" t="str">
        <f aca="false">IF(AND(Z586&gt;0,AC586&gt;0),(AC586/((Z586+AA586)*10)),"")</f>
        <v/>
      </c>
      <c r="AE586" s="1" t="n">
        <v>25</v>
      </c>
      <c r="AF586" s="1" t="n">
        <f aca="false">ROUND(AE586*1.6, 0)</f>
        <v>40</v>
      </c>
      <c r="AH586" s="1" t="n">
        <v>4.9</v>
      </c>
      <c r="AI586" s="1" t="n">
        <v>6</v>
      </c>
      <c r="AL586" s="5" t="n">
        <v>10</v>
      </c>
      <c r="AM586" s="1" t="str">
        <f aca="false">CONCATENATE(VLOOKUP(AN586, 'Voxel Sizes'!$A$2:$B$18,2,FALSE()),"x",INT(AJ586*15), "x", INT(AK586*15))</f>
        <v>60x0x0</v>
      </c>
      <c r="AN586" s="16" t="n">
        <f aca="false">ROUND(15*((AI586*10)/256),0)</f>
        <v>4</v>
      </c>
      <c r="AP586" s="1" t="str">
        <f aca="false">CONCATENATE(VLOOKUP(AN586,Constants!$A$2:$C$16,IF(AO586&lt;&gt;"", 3, 2), FALSE()),IF(AO586&lt;&gt;"",CONCATENATE(",",VLOOKUP(AO586,$B:$AP,41,FALSE())),""))</f>
        <v>1,2,1</v>
      </c>
      <c r="AZ586" s="1" t="n">
        <v>80</v>
      </c>
      <c r="BA586" s="16" t="n">
        <f aca="false">IF(O586&lt;&gt;"",MAX(16,(O586-M586)+8),"")</f>
        <v>108</v>
      </c>
      <c r="BB586" s="1" t="n">
        <v>-15</v>
      </c>
      <c r="BC586" s="1" t="n">
        <v>-3</v>
      </c>
      <c r="BD586" s="20" t="n">
        <f aca="false">MIN(AE586/150, 1)*30</f>
        <v>5</v>
      </c>
      <c r="BE586" s="20" t="n">
        <f aca="false">MIN(Q586/4000, 1)*20</f>
        <v>0</v>
      </c>
      <c r="BF586" s="20" t="n">
        <f aca="false">MIN(AC586/400,1)*20</f>
        <v>0</v>
      </c>
      <c r="BG586" s="21" t="n">
        <f aca="false">1-(MAX(M586-1900, 0)/750)</f>
        <v>1</v>
      </c>
      <c r="BH586" s="20" t="n">
        <f aca="false">((MAX($P586,1)*MIN($AL586/300,1)))*IF(J586="Wagon",50,10)</f>
        <v>1.66666666666667</v>
      </c>
      <c r="BI586" s="1" t="n">
        <f aca="false">VLOOKUP($K586,Constants!$I:$K, 2, FALSE())</f>
        <v>1</v>
      </c>
      <c r="BJ586" s="1" t="n">
        <f aca="false">VLOOKUP($K586,Constants!$I:$K, 3, FALSE())*IF(AND(J586="multiple_unit",AE586&lt;110),0.75,1)</f>
        <v>0.45</v>
      </c>
      <c r="BK586" s="1" t="n">
        <f aca="false">INT(POWER(((Constants!$G$2+$BD586+$BE586+$BF586+$BH586)*$BG586)*$BJ586, 1.05))+$BC586</f>
        <v>2</v>
      </c>
      <c r="BL586" s="1" t="n">
        <f aca="false">INT(POWER((((Constants!$G$1+$BD586+$BE586+$BF586+$BH586)*($BG586))*$BI586),IF($J586="wagon",1,1.2)))+$BB586</f>
        <v>6</v>
      </c>
      <c r="BM586" s="22" t="n">
        <f aca="false">BK586*IF($J586="wagon",62.5,781.25)</f>
        <v>125</v>
      </c>
      <c r="BN586" s="22" t="n">
        <f aca="false">BL586*IF($J586="wagon",2.73,81.25)</f>
        <v>16.38</v>
      </c>
      <c r="BU586" s="1" t="str">
        <f aca="false">IF(J586="locomotive","B","")</f>
        <v/>
      </c>
      <c r="BV586" s="1" t="str">
        <f aca="false">IF(OR($J586="locomotive",$J586="wagon"),"B","")</f>
        <v>B</v>
      </c>
      <c r="BY586" s="1" t="n">
        <v>1</v>
      </c>
      <c r="BZ586" s="1" t="n">
        <v>225</v>
      </c>
      <c r="CB586" s="1" t="s">
        <v>1890</v>
      </c>
      <c r="CC586" s="1" t="s">
        <v>1891</v>
      </c>
      <c r="CD586" s="23" t="s">
        <v>272</v>
      </c>
      <c r="CE586" s="1" t="s">
        <v>1835</v>
      </c>
      <c r="CF586" s="23" t="str">
        <f aca="false">CONCATENATE(CD586,"_",CE586)</f>
        <v>early_Open Wagon</v>
      </c>
      <c r="CG586" s="23" t="str">
        <f aca="false">_xlfn.CONCAT(K586, "_",L586)</f>
        <v>wagon_NARROW_GAUGE</v>
      </c>
      <c r="CH586" s="7" t="str">
        <f aca="false">_xlfn.CONCAT("{BLACK}Length: {GOLD}", TEXT(ROUNDUP(IF(AS586&lt;&gt;"",SUM(VALUE(_xlfn.TEXTSPLIT(AS586, ","))), SUM(VALUE(_xlfn.TEXTSPLIT(AP586, ",")))*IF(P586, P586, 1))/16, 1), "#,##0.0"), " tiles{}")</f>
        <v>{BLACK}Length: {GOLD}0.3 tiles{}</v>
      </c>
      <c r="CI586" s="1" t="str">
        <f aca="false">IF(0, VLOOKUP($CG586, Constants!$M:$N, 2, FALSE()),"")</f>
        <v/>
      </c>
      <c r="CJ586" s="1" t="str">
        <f aca="false">IF(P586&gt;1,_xlfn.CONCAT("{BLACK}Cars: {GOLD}", P586),"")</f>
        <v/>
      </c>
      <c r="CK586" s="1" t="s">
        <v>2155</v>
      </c>
      <c r="CL586" s="1" t="str">
        <f aca="false">IF($BX586="concept_trains","{GREEN}Concept Vehicle",IF($BX586="!param_no_gameplay_units","{GREEN}Included for gameplay purposes",""))</f>
        <v/>
      </c>
      <c r="CM586" s="1" t="str">
        <f aca="false">IF(CA586="buffet","{YELLOW}25% long distance bonus for consist{}",IF(CB586="DANDY","{YELLOW}Faster downhill speeds for horse-drawn trains (1 required per 2 horses){}",IF(CB586="BRAKE","{YELLOW}Speed bonus for slow wagons{}",IF(CB586="NGPassengers","{YELLOW}Preserved railway bonus: passengers pay more when hauled by old locomotives{}",IF(AND(BZ586&gt;190,NOT(AND(L586="NARROW_GAUGE",CB586&lt;&gt;"PASS"))),CONCATENATE("{YELLOW}",INT((BZ586-185)/1.85),"% bonus for long distance travel{}"),IF(AND(BZ586&lt;180,BZ586&lt;&gt;0),CONCATENATE("{YELLOW}",INT((185-BZ586)/1.85),"% penalty for long distance travel{}"),""))))))</f>
        <v/>
      </c>
      <c r="CN586" s="1" t="str">
        <f aca="false">_xlfn.CONCAT(CI586,IF(CI586&lt;&gt;""," ",""),CJ586,IF(OR(CJ586&lt;&gt;"",CI586&lt;&gt;""),"{}",""),CH586,CM586,"{SILVER}",CK586,IF(CL586&lt;&gt;"","{}{}",""),CL586)</f>
        <v>{BLACK}Length: {GOLD}0.3 tiles{}{SILVER}While many narrow gauge railways were quarry lines carrying bulk goods or slate, flat wagons were used for transporting equipment.</v>
      </c>
    </row>
    <row r="587" customFormat="false" ht="14.25" hidden="false" customHeight="false" outlineLevel="0" collapsed="false">
      <c r="A587" s="1" t="s">
        <v>1894</v>
      </c>
      <c r="B587" s="19" t="s">
        <v>2156</v>
      </c>
      <c r="C587" s="1" t="n">
        <v>2033</v>
      </c>
      <c r="E587" s="1" t="n">
        <v>3008</v>
      </c>
      <c r="G587" s="1" t="str">
        <f aca="false">IF($F587&lt;&gt;"",_xlfn.CONCAT(VLOOKUP($CE587, Constants!$T:$U, 2, FALSE()),",",$F587),VLOOKUP($CE587, Constants!$T:$U, 2, FALSE()))</f>
        <v>role/freight</v>
      </c>
      <c r="H587" s="1" t="str">
        <f aca="false">IF($G587&lt;&gt;"",_xlfn.CONCAT(VLOOKUP($CG587, Constants!$M:$P, 4, FALSE()),",",$G587),VLOOKUP($CG587, Constants!$M:$P, 4, FALSE()))</f>
        <v>flag/GB,role/freight</v>
      </c>
      <c r="I587" s="1" t="s">
        <v>241</v>
      </c>
      <c r="J587" s="1" t="s">
        <v>1580</v>
      </c>
      <c r="K587" s="1" t="s">
        <v>1580</v>
      </c>
      <c r="L587" s="1" t="s">
        <v>2090</v>
      </c>
      <c r="M587" s="1" t="n">
        <v>1870</v>
      </c>
      <c r="Z587" s="1" t="n">
        <v>1</v>
      </c>
      <c r="AB587" s="1" t="n">
        <v>4</v>
      </c>
      <c r="AD587" s="4" t="str">
        <f aca="false">IF(AND(Z587&gt;0,AC587&gt;0),(AC587/((Z587+AA587)*10)),"")</f>
        <v/>
      </c>
      <c r="AE587" s="1" t="n">
        <v>30</v>
      </c>
      <c r="AF587" s="1" t="n">
        <f aca="false">ROUND(AE587*1.6, 0)</f>
        <v>48</v>
      </c>
      <c r="AH587" s="1" t="n">
        <v>4.9</v>
      </c>
      <c r="AI587" s="1" t="n">
        <v>8</v>
      </c>
      <c r="AL587" s="5" t="n">
        <v>12</v>
      </c>
      <c r="AM587" s="1" t="str">
        <f aca="false">CONCATENATE(VLOOKUP(AN587, 'Voxel Sizes'!$A$2:$B$18,2,FALSE()),"x",INT(AJ587*15), "x", INT(AK587*15))</f>
        <v>82x0x0</v>
      </c>
      <c r="AN587" s="16" t="n">
        <f aca="false">ROUND(15*((AI587*10)/256),0)</f>
        <v>5</v>
      </c>
      <c r="AP587" s="1" t="str">
        <f aca="false">CONCATENATE(VLOOKUP(AN587,Constants!$A$2:$C$16,IF(AO587&lt;&gt;"", 3, 2), FALSE()),IF(AO587&lt;&gt;"",CONCATENATE(",",VLOOKUP(AO587,$B:$AP,41,FALSE())),""))</f>
        <v>2,1,2</v>
      </c>
      <c r="AZ587" s="1" t="n">
        <v>80</v>
      </c>
      <c r="BA587" s="16" t="str">
        <f aca="false">IF(O587&lt;&gt;"",MAX(16,(O587-M587)+8),"")</f>
        <v/>
      </c>
      <c r="BB587" s="1" t="n">
        <v>-15</v>
      </c>
      <c r="BC587" s="1" t="n">
        <v>-3</v>
      </c>
      <c r="BD587" s="20" t="n">
        <f aca="false">MIN(AE587/150, 1)*30</f>
        <v>6</v>
      </c>
      <c r="BE587" s="20" t="n">
        <f aca="false">MIN(Q587/4000, 1)*20</f>
        <v>0</v>
      </c>
      <c r="BF587" s="20" t="n">
        <f aca="false">MIN(AC587/400,1)*20</f>
        <v>0</v>
      </c>
      <c r="BG587" s="21" t="n">
        <f aca="false">1-(MAX(M587-1900, 0)/750)</f>
        <v>1</v>
      </c>
      <c r="BH587" s="20" t="n">
        <f aca="false">((MAX($P587,1)*MIN($AL587/300,1)))*IF(J587="Wagon",50,10)</f>
        <v>2</v>
      </c>
      <c r="BI587" s="1" t="n">
        <f aca="false">VLOOKUP($K587,Constants!$I:$K, 2, FALSE())</f>
        <v>1</v>
      </c>
      <c r="BJ587" s="1" t="n">
        <f aca="false">VLOOKUP($K587,Constants!$I:$K, 3, FALSE())*IF(AND(J587="multiple_unit",AE587&lt;110),0.75,1)</f>
        <v>0.45</v>
      </c>
      <c r="BK587" s="1" t="n">
        <f aca="false">INT(POWER(((Constants!$G$2+$BD587+$BE587+$BF587+$BH587)*$BG587)*$BJ587, 1.05))+$BC587</f>
        <v>3</v>
      </c>
      <c r="BL587" s="1" t="n">
        <f aca="false">INT(POWER((((Constants!$G$1+$BD587+$BE587+$BF587+$BH587)*($BG587))*$BI587),IF($J587="wagon",1,1.2)))+$BB587</f>
        <v>8</v>
      </c>
      <c r="BM587" s="22" t="n">
        <f aca="false">BK587*IF($J587="wagon",62.5,781.25)</f>
        <v>187.5</v>
      </c>
      <c r="BN587" s="22" t="n">
        <f aca="false">BL587*IF($J587="wagon",2.73,81.25)</f>
        <v>21.84</v>
      </c>
      <c r="BU587" s="1" t="str">
        <f aca="false">IF(J587="locomotive","B","")</f>
        <v/>
      </c>
      <c r="BV587" s="1" t="str">
        <f aca="false">IF(OR($J587="locomotive",$J587="wagon"),"B","")</f>
        <v>B</v>
      </c>
      <c r="BY587" s="1" t="n">
        <v>1</v>
      </c>
      <c r="BZ587" s="1" t="n">
        <v>225</v>
      </c>
      <c r="CB587" s="1" t="s">
        <v>1890</v>
      </c>
      <c r="CC587" s="1" t="s">
        <v>1891</v>
      </c>
      <c r="CD587" s="23" t="s">
        <v>306</v>
      </c>
      <c r="CE587" s="1" t="s">
        <v>1835</v>
      </c>
      <c r="CF587" s="23" t="str">
        <f aca="false">CONCATENATE(CD587,"_",CE587)</f>
        <v>vct_Open Wagon</v>
      </c>
      <c r="CG587" s="23" t="str">
        <f aca="false">_xlfn.CONCAT(K587, "_",L587)</f>
        <v>wagon_NARROW_GAUGE</v>
      </c>
      <c r="CH587" s="7" t="str">
        <f aca="false">_xlfn.CONCAT("{BLACK}Length: {GOLD}", TEXT(ROUNDUP(IF(AS587&lt;&gt;"",SUM(VALUE(_xlfn.TEXTSPLIT(AS587, ","))), SUM(VALUE(_xlfn.TEXTSPLIT(AP587, ",")))*IF(P587, P587, 1))/16, 1), "#,##0.0"), " tiles{}")</f>
        <v>{BLACK}Length: {GOLD}0.4 tiles{}</v>
      </c>
      <c r="CI587" s="1" t="str">
        <f aca="false">IF(0, VLOOKUP($CG587, Constants!$M:$N, 2, FALSE()),"")</f>
        <v/>
      </c>
      <c r="CJ587" s="1" t="str">
        <f aca="false">IF(P587&gt;1,_xlfn.CONCAT("{BLACK}Cars: {GOLD}", P587),"")</f>
        <v/>
      </c>
      <c r="CK587" s="1" t="s">
        <v>2157</v>
      </c>
      <c r="CL587" s="1" t="str">
        <f aca="false">IF($BX587="concept_trains","{GREEN}Concept Vehicle",IF($BX587="!param_no_gameplay_units","{GREEN}Included for gameplay purposes",""))</f>
        <v/>
      </c>
      <c r="CM587" s="1" t="str">
        <f aca="false">IF(CA587="buffet","{YELLOW}25% long distance bonus for consist{}",IF(CB587="DANDY","{YELLOW}Faster downhill speeds for horse-drawn trains (1 required per 2 horses){}",IF(CB587="BRAKE","{YELLOW}Speed bonus for slow wagons{}",IF(CB587="NGPassengers","{YELLOW}Preserved railway bonus: passengers pay more when hauled by old locomotives{}",IF(AND(BZ587&gt;190,NOT(AND(L587="NARROW_GAUGE",CB587&lt;&gt;"PASS"))),CONCATENATE("{YELLOW}",INT((BZ587-185)/1.85),"% bonus for long distance travel{}"),IF(AND(BZ587&lt;180,BZ587&lt;&gt;0),CONCATENATE("{YELLOW}",INT((185-BZ587)/1.85),"% penalty for long distance travel{}"),""))))))</f>
        <v/>
      </c>
      <c r="CN587" s="1" t="str">
        <f aca="false">_xlfn.CONCAT(CI587,IF(CI587&lt;&gt;""," ",""),CJ587,IF(OR(CJ587&lt;&gt;"",CI587&lt;&gt;""),"{}",""),CH587,CM587,"{SILVER}",CK587,IF(CL587&lt;&gt;"","{}{}",""),CL587)</f>
        <v>{BLACK}Length: {GOLD}0.4 tiles{}{SILVER}As per standard gauge practice, bolster wagons were used for carrying long, rigid cargo.</v>
      </c>
    </row>
    <row r="588" customFormat="false" ht="14.25" hidden="false" customHeight="false" outlineLevel="0" collapsed="false">
      <c r="A588" s="1" t="s">
        <v>2158</v>
      </c>
      <c r="B588" s="19" t="s">
        <v>2159</v>
      </c>
      <c r="C588" s="1" t="n">
        <v>2034</v>
      </c>
      <c r="E588" s="1" t="n">
        <v>3009</v>
      </c>
      <c r="G588" s="1" t="str">
        <f aca="false">IF($F588&lt;&gt;"",_xlfn.CONCAT(VLOOKUP($CE588, Constants!$T:$U, 2, FALSE()),",",$F588),VLOOKUP($CE588, Constants!$T:$U, 2, FALSE()))</f>
        <v>role/freight</v>
      </c>
      <c r="H588" s="1" t="str">
        <f aca="false">IF($G588&lt;&gt;"",_xlfn.CONCAT(VLOOKUP($CG588, Constants!$M:$P, 4, FALSE()),",",$G588),VLOOKUP($CG588, Constants!$M:$P, 4, FALSE()))</f>
        <v>flag/GB,role/freight</v>
      </c>
      <c r="I588" s="1" t="s">
        <v>241</v>
      </c>
      <c r="J588" s="1" t="s">
        <v>1580</v>
      </c>
      <c r="K588" s="1" t="s">
        <v>1580</v>
      </c>
      <c r="L588" s="1" t="s">
        <v>2090</v>
      </c>
      <c r="M588" s="1" t="n">
        <v>1890</v>
      </c>
      <c r="Z588" s="1" t="n">
        <v>2</v>
      </c>
      <c r="AB588" s="1" t="n">
        <v>4</v>
      </c>
      <c r="AD588" s="4" t="str">
        <f aca="false">IF(AND(Z588&gt;0,AC588&gt;0),(AC588/((Z588+AA588)*10)),"")</f>
        <v/>
      </c>
      <c r="AE588" s="1" t="n">
        <v>30</v>
      </c>
      <c r="AF588" s="1" t="n">
        <f aca="false">ROUND(AE588*1.6, 0)</f>
        <v>48</v>
      </c>
      <c r="AH588" s="1" t="n">
        <v>10</v>
      </c>
      <c r="AI588" s="1" t="n">
        <v>10</v>
      </c>
      <c r="AL588" s="5" t="n">
        <v>18</v>
      </c>
      <c r="AM588" s="1" t="str">
        <f aca="false">CONCATENATE(VLOOKUP(AN588, 'Voxel Sizes'!$A$2:$B$18,2,FALSE()),"x",INT(AJ588*15), "x", INT(AK588*15))</f>
        <v>102x0x0</v>
      </c>
      <c r="AN588" s="16" t="n">
        <f aca="false">ROUND(15*((AI588*10)/256),0)</f>
        <v>6</v>
      </c>
      <c r="AP588" s="1" t="str">
        <f aca="false">CONCATENATE(VLOOKUP(AN588,Constants!$A$2:$C$16,IF(AO588&lt;&gt;"", 3, 2), FALSE()),IF(AO588&lt;&gt;"",CONCATENATE(",",VLOOKUP(AO588,$B:$AP,41,FALSE())),""))</f>
        <v>2,2,2</v>
      </c>
      <c r="AZ588" s="1" t="n">
        <v>80</v>
      </c>
      <c r="BA588" s="16" t="str">
        <f aca="false">IF(O588&lt;&gt;"",MAX(16,(O588-M588)+8),"")</f>
        <v/>
      </c>
      <c r="BB588" s="1" t="n">
        <v>-15</v>
      </c>
      <c r="BC588" s="1" t="n">
        <v>-2</v>
      </c>
      <c r="BD588" s="20" t="n">
        <f aca="false">MIN(AE588/150, 1)*30</f>
        <v>6</v>
      </c>
      <c r="BE588" s="20" t="n">
        <f aca="false">MIN(Q588/4000, 1)*20</f>
        <v>0</v>
      </c>
      <c r="BF588" s="20" t="n">
        <f aca="false">MIN(AC588/400,1)*20</f>
        <v>0</v>
      </c>
      <c r="BG588" s="21" t="n">
        <f aca="false">1-(MAX(M588-1900, 0)/750)</f>
        <v>1</v>
      </c>
      <c r="BH588" s="20" t="n">
        <f aca="false">((MAX($P588,1)*MIN($AL588/300,1)))*IF(J588="Wagon",50,10)</f>
        <v>3</v>
      </c>
      <c r="BI588" s="1" t="n">
        <f aca="false">VLOOKUP($K588,Constants!$I:$K, 2, FALSE())</f>
        <v>1</v>
      </c>
      <c r="BJ588" s="1" t="n">
        <f aca="false">VLOOKUP($K588,Constants!$I:$K, 3, FALSE())*IF(AND(J588="multiple_unit",AE588&lt;110),0.75,1)</f>
        <v>0.45</v>
      </c>
      <c r="BK588" s="1" t="n">
        <f aca="false">INT(POWER(((Constants!$G$2+$BD588+$BE588+$BF588+$BH588)*$BG588)*$BJ588, 1.05))+$BC588</f>
        <v>4</v>
      </c>
      <c r="BL588" s="1" t="n">
        <f aca="false">INT(POWER((((Constants!$G$1+$BD588+$BE588+$BF588+$BH588)*($BG588))*$BI588),IF($J588="wagon",1,1.2)))+$BB588</f>
        <v>9</v>
      </c>
      <c r="BM588" s="22" t="n">
        <f aca="false">BK588*IF($J588="wagon",62.5,781.25)</f>
        <v>250</v>
      </c>
      <c r="BN588" s="22" t="n">
        <f aca="false">BL588*IF($J588="wagon",2.73,81.25)</f>
        <v>24.57</v>
      </c>
      <c r="BU588" s="1" t="str">
        <f aca="false">IF(J588="locomotive","B","")</f>
        <v/>
      </c>
      <c r="BV588" s="1" t="str">
        <f aca="false">IF(OR($J588="locomotive",$J588="wagon"),"B","")</f>
        <v>B</v>
      </c>
      <c r="BY588" s="1" t="n">
        <v>1</v>
      </c>
      <c r="BZ588" s="1" t="n">
        <v>225</v>
      </c>
      <c r="CB588" s="1" t="s">
        <v>1890</v>
      </c>
      <c r="CC588" s="1" t="s">
        <v>1891</v>
      </c>
      <c r="CD588" s="23" t="s">
        <v>306</v>
      </c>
      <c r="CE588" s="1" t="s">
        <v>1835</v>
      </c>
      <c r="CF588" s="23" t="str">
        <f aca="false">CONCATENATE(CD588,"_",CE588)</f>
        <v>vct_Open Wagon</v>
      </c>
      <c r="CG588" s="23" t="str">
        <f aca="false">_xlfn.CONCAT(K588, "_",L588)</f>
        <v>wagon_NARROW_GAUGE</v>
      </c>
      <c r="CH588" s="7" t="str">
        <f aca="false">_xlfn.CONCAT("{BLACK}Length: {GOLD}", TEXT(ROUNDUP(IF(AS588&lt;&gt;"",SUM(VALUE(_xlfn.TEXTSPLIT(AS588, ","))), SUM(VALUE(_xlfn.TEXTSPLIT(AP588, ",")))*IF(P588, P588, 1))/16, 1), "#,##0.0"), " tiles{}")</f>
        <v>{BLACK}Length: {GOLD}0.4 tiles{}</v>
      </c>
      <c r="CI588" s="1" t="str">
        <f aca="false">IF(0, VLOOKUP($CG588, Constants!$M:$N, 2, FALSE()),"")</f>
        <v/>
      </c>
      <c r="CJ588" s="1" t="str">
        <f aca="false">IF(P588&gt;1,_xlfn.CONCAT("{BLACK}Cars: {GOLD}", P588),"")</f>
        <v/>
      </c>
      <c r="CK588" s="1" t="s">
        <v>2160</v>
      </c>
      <c r="CL588" s="1" t="str">
        <f aca="false">IF($BX588="concept_trains","{GREEN}Concept Vehicle",IF($BX588="!param_no_gameplay_units","{GREEN}Included for gameplay purposes",""))</f>
        <v/>
      </c>
      <c r="CM588" s="1" t="str">
        <f aca="false">IF(CA588="buffet","{YELLOW}25% long distance bonus for consist{}",IF(CB588="DANDY","{YELLOW}Faster downhill speeds for horse-drawn trains (1 required per 2 horses){}",IF(CB588="BRAKE","{YELLOW}Speed bonus for slow wagons{}",IF(CB588="NGPassengers","{YELLOW}Preserved railway bonus: passengers pay more when hauled by old locomotives{}",IF(AND(BZ588&gt;190,NOT(AND(L588="NARROW_GAUGE",CB588&lt;&gt;"PASS"))),CONCATENATE("{YELLOW}",INT((BZ588-185)/1.85),"% bonus for long distance travel{}"),IF(AND(BZ588&lt;180,BZ588&lt;&gt;0),CONCATENATE("{YELLOW}",INT((185-BZ588)/1.85),"% penalty for long distance travel{}"),""))))))</f>
        <v/>
      </c>
      <c r="CN588" s="1" t="str">
        <f aca="false">_xlfn.CONCAT(CI588,IF(CI588&lt;&gt;""," ",""),CJ588,IF(OR(CJ588&lt;&gt;"",CI588&lt;&gt;""),"{}",""),CH588,CM588,"{SILVER}",CK588,IF(CL588&lt;&gt;"","{}{}",""),CL588)</f>
        <v>{BLACK}Length: {GOLD}0.4 tiles{}{SILVER}Narrow gauge railways tend to use smaller vehicles capable of traversing tight turns, but the occasional larger wagon can be found on straighter routes.</v>
      </c>
    </row>
    <row r="589" customFormat="false" ht="14.25" hidden="false" customHeight="false" outlineLevel="0" collapsed="false">
      <c r="A589" s="1" t="s">
        <v>2161</v>
      </c>
      <c r="B589" s="19" t="s">
        <v>2162</v>
      </c>
      <c r="C589" s="1" t="n">
        <v>2035</v>
      </c>
      <c r="E589" s="1" t="n">
        <v>3010</v>
      </c>
      <c r="G589" s="1" t="str">
        <f aca="false">IF($F589&lt;&gt;"",_xlfn.CONCAT(VLOOKUP($CE589, Constants!$T:$U, 2, FALSE()),",",$F589),VLOOKUP($CE589, Constants!$T:$U, 2, FALSE()))</f>
        <v>role/freight</v>
      </c>
      <c r="H589" s="1" t="str">
        <f aca="false">IF($G589&lt;&gt;"",_xlfn.CONCAT(VLOOKUP($CG589, Constants!$M:$P, 4, FALSE()),",",$G589),VLOOKUP($CG589, Constants!$M:$P, 4, FALSE()))</f>
        <v>flag/GB,role/freight</v>
      </c>
      <c r="I589" s="1" t="s">
        <v>241</v>
      </c>
      <c r="J589" s="1" t="s">
        <v>1580</v>
      </c>
      <c r="K589" s="1" t="s">
        <v>1580</v>
      </c>
      <c r="L589" s="1" t="s">
        <v>2090</v>
      </c>
      <c r="M589" s="1" t="n">
        <v>1870</v>
      </c>
      <c r="Z589" s="1" t="n">
        <v>1</v>
      </c>
      <c r="AB589" s="1" t="n">
        <v>4</v>
      </c>
      <c r="AD589" s="4" t="str">
        <f aca="false">IF(AND(Z589&gt;0,AC589&gt;0),(AC589/((Z589+AA589)*10)),"")</f>
        <v/>
      </c>
      <c r="AE589" s="1" t="n">
        <v>30</v>
      </c>
      <c r="AF589" s="1" t="n">
        <f aca="false">ROUND(AE589*1.6, 0)</f>
        <v>48</v>
      </c>
      <c r="AH589" s="1" t="n">
        <v>4.9</v>
      </c>
      <c r="AI589" s="1" t="n">
        <v>6</v>
      </c>
      <c r="AL589" s="5" t="n">
        <v>12</v>
      </c>
      <c r="AM589" s="1" t="str">
        <f aca="false">CONCATENATE(VLOOKUP(AN589, 'Voxel Sizes'!$A$2:$B$18,2,FALSE()),"x",INT(AJ589*15), "x", INT(AK589*15))</f>
        <v>60x0x0</v>
      </c>
      <c r="AN589" s="16" t="n">
        <f aca="false">ROUND(15*((AI589*10)/256),0)</f>
        <v>4</v>
      </c>
      <c r="AP589" s="1" t="str">
        <f aca="false">CONCATENATE(VLOOKUP(AN589,Constants!$A$2:$C$16,IF(AO589&lt;&gt;"", 3, 2), FALSE()),IF(AO589&lt;&gt;"",CONCATENATE(",",VLOOKUP(AO589,$B:$AP,41,FALSE())),""))</f>
        <v>1,2,1</v>
      </c>
      <c r="AZ589" s="1" t="n">
        <v>80</v>
      </c>
      <c r="BA589" s="16" t="str">
        <f aca="false">IF(O589&lt;&gt;"",MAX(16,(O589-M589)+8),"")</f>
        <v/>
      </c>
      <c r="BB589" s="1" t="n">
        <v>-15</v>
      </c>
      <c r="BC589" s="1" t="n">
        <v>-3</v>
      </c>
      <c r="BD589" s="20" t="n">
        <f aca="false">MIN(AE589/150, 1)*30</f>
        <v>6</v>
      </c>
      <c r="BE589" s="20" t="n">
        <f aca="false">MIN(Q589/4000, 1)*20</f>
        <v>0</v>
      </c>
      <c r="BF589" s="20" t="n">
        <f aca="false">MIN(AC589/400,1)*20</f>
        <v>0</v>
      </c>
      <c r="BG589" s="21" t="n">
        <f aca="false">1-(MAX(M589-1900, 0)/750)</f>
        <v>1</v>
      </c>
      <c r="BH589" s="20" t="n">
        <f aca="false">((MAX($P589,1)*MIN($AL589/300,1)))*IF(J589="Wagon",50,10)</f>
        <v>2</v>
      </c>
      <c r="BI589" s="1" t="n">
        <f aca="false">VLOOKUP($K589,Constants!$I:$K, 2, FALSE())</f>
        <v>1</v>
      </c>
      <c r="BJ589" s="1" t="n">
        <f aca="false">VLOOKUP($K589,Constants!$I:$K, 3, FALSE())*IF(AND(J589="multiple_unit",AE589&lt;110),0.75,1)</f>
        <v>0.45</v>
      </c>
      <c r="BK589" s="1" t="n">
        <f aca="false">INT(POWER(((Constants!$G$2+$BD589+$BE589+$BF589+$BH589)*$BG589)*$BJ589, 1.05))+$BC589</f>
        <v>3</v>
      </c>
      <c r="BL589" s="1" t="n">
        <f aca="false">INT(POWER((((Constants!$G$1+$BD589+$BE589+$BF589+$BH589)*($BG589))*$BI589),IF($J589="wagon",1,1.2)))+$BB589</f>
        <v>8</v>
      </c>
      <c r="BM589" s="22" t="n">
        <f aca="false">BK589*IF($J589="wagon",62.5,781.25)</f>
        <v>187.5</v>
      </c>
      <c r="BN589" s="22" t="n">
        <f aca="false">BL589*IF($J589="wagon",2.73,81.25)</f>
        <v>21.84</v>
      </c>
      <c r="BU589" s="1" t="str">
        <f aca="false">IF(J589="locomotive","B","")</f>
        <v/>
      </c>
      <c r="BV589" s="1" t="str">
        <f aca="false">IF(OR($J589="locomotive",$J589="wagon"),"B","")</f>
        <v>B</v>
      </c>
      <c r="BY589" s="1" t="n">
        <v>1</v>
      </c>
      <c r="BZ589" s="1" t="n">
        <v>225</v>
      </c>
      <c r="CB589" s="1" t="s">
        <v>1935</v>
      </c>
      <c r="CC589" s="1" t="s">
        <v>1936</v>
      </c>
      <c r="CD589" s="23" t="s">
        <v>306</v>
      </c>
      <c r="CE589" s="1" t="s">
        <v>1835</v>
      </c>
      <c r="CF589" s="23" t="str">
        <f aca="false">CONCATENATE(CD589,"_",CE589)</f>
        <v>vct_Open Wagon</v>
      </c>
      <c r="CG589" s="23" t="str">
        <f aca="false">_xlfn.CONCAT(K589, "_",L589)</f>
        <v>wagon_NARROW_GAUGE</v>
      </c>
      <c r="CH589" s="7" t="str">
        <f aca="false">_xlfn.CONCAT("{BLACK}Length: {GOLD}", TEXT(ROUNDUP(IF(AS589&lt;&gt;"",SUM(VALUE(_xlfn.TEXTSPLIT(AS589, ","))), SUM(VALUE(_xlfn.TEXTSPLIT(AP589, ",")))*IF(P589, P589, 1))/16, 1), "#,##0.0"), " tiles{}")</f>
        <v>{BLACK}Length: {GOLD}0.3 tiles{}</v>
      </c>
      <c r="CI589" s="1" t="str">
        <f aca="false">IF(0, VLOOKUP($CG589, Constants!$M:$N, 2, FALSE()),"")</f>
        <v/>
      </c>
      <c r="CJ589" s="1" t="str">
        <f aca="false">IF(P589&gt;1,_xlfn.CONCAT("{BLACK}Cars: {GOLD}", P589),"")</f>
        <v/>
      </c>
      <c r="CK589" s="1" t="s">
        <v>2163</v>
      </c>
      <c r="CL589" s="1" t="str">
        <f aca="false">IF($BX589="concept_trains","{GREEN}Concept Vehicle",IF($BX589="!param_no_gameplay_units","{GREEN}Included for gameplay purposes",""))</f>
        <v/>
      </c>
      <c r="CM589" s="1" t="str">
        <f aca="false">IF(CA589="buffet","{YELLOW}25% long distance bonus for consist{}",IF(CB589="DANDY","{YELLOW}Faster downhill speeds for horse-drawn trains (1 required per 2 horses){}",IF(CB589="BRAKE","{YELLOW}Speed bonus for slow wagons{}",IF(CB589="NGPassengers","{YELLOW}Preserved railway bonus: passengers pay more when hauled by old locomotives{}",IF(AND(BZ589&gt;190,NOT(AND(L589="NARROW_GAUGE",CB589&lt;&gt;"PASS"))),CONCATENATE("{YELLOW}",INT((BZ589-185)/1.85),"% bonus for long distance travel{}"),IF(AND(BZ589&lt;180,BZ589&lt;&gt;0),CONCATENATE("{YELLOW}",INT((185-BZ589)/1.85),"% penalty for long distance travel{}"),""))))))</f>
        <v/>
      </c>
      <c r="CN589" s="1" t="str">
        <f aca="false">_xlfn.CONCAT(CI589,IF(CI589&lt;&gt;""," ",""),CJ589,IF(OR(CJ589&lt;&gt;"",CI589&lt;&gt;""),"{}",""),CH589,CM589,"{SILVER}",CK589,IF(CL589&lt;&gt;"","{}{}",""),CL589)</f>
        <v>{BLACK}Length: {GOLD}0.3 tiles{}{SILVER}With specialised equipment at stations, tank wagons made liquid cargo easier to handle than loading drums into open wagons.</v>
      </c>
    </row>
    <row r="590" customFormat="false" ht="14.25" hidden="false" customHeight="false" outlineLevel="0" collapsed="false">
      <c r="A590" s="1" t="s">
        <v>1964</v>
      </c>
      <c r="B590" s="19" t="s">
        <v>2164</v>
      </c>
      <c r="C590" s="1" t="n">
        <v>2036</v>
      </c>
      <c r="E590" s="1" t="n">
        <v>3011</v>
      </c>
      <c r="G590" s="1" t="str">
        <f aca="false">IF($F590&lt;&gt;"",_xlfn.CONCAT(VLOOKUP($CE590, Constants!$T:$U, 2, FALSE()),",",$F590),VLOOKUP($CE590, Constants!$T:$U, 2, FALSE()))</f>
        <v>role/freight</v>
      </c>
      <c r="H590" s="1" t="str">
        <f aca="false">IF($G590&lt;&gt;"",_xlfn.CONCAT(VLOOKUP($CG590, Constants!$M:$P, 4, FALSE()),",",$G590),VLOOKUP($CG590, Constants!$M:$P, 4, FALSE()))</f>
        <v>flag/GB,role/freight</v>
      </c>
      <c r="I590" s="1" t="s">
        <v>241</v>
      </c>
      <c r="J590" s="1" t="s">
        <v>1580</v>
      </c>
      <c r="K590" s="1" t="s">
        <v>1580</v>
      </c>
      <c r="L590" s="1" t="s">
        <v>2090</v>
      </c>
      <c r="M590" s="1" t="n">
        <v>1870</v>
      </c>
      <c r="Z590" s="1" t="n">
        <v>1</v>
      </c>
      <c r="AB590" s="1" t="n">
        <v>4</v>
      </c>
      <c r="AD590" s="4" t="str">
        <f aca="false">IF(AND(Z590&gt;0,AC590&gt;0),(AC590/((Z590+AA590)*10)),"")</f>
        <v/>
      </c>
      <c r="AE590" s="1" t="n">
        <v>30</v>
      </c>
      <c r="AF590" s="1" t="n">
        <f aca="false">ROUND(AE590*1.6, 0)</f>
        <v>48</v>
      </c>
      <c r="AH590" s="1" t="n">
        <v>4.9</v>
      </c>
      <c r="AI590" s="1" t="n">
        <v>6</v>
      </c>
      <c r="AL590" s="5" t="n">
        <v>12</v>
      </c>
      <c r="AM590" s="1" t="str">
        <f aca="false">CONCATENATE(VLOOKUP(AN590, 'Voxel Sizes'!$A$2:$B$18,2,FALSE()),"x",INT(AJ590*15), "x", INT(AK590*15))</f>
        <v>60x0x0</v>
      </c>
      <c r="AN590" s="16" t="n">
        <f aca="false">ROUND(15*((AI590*10)/256),0)</f>
        <v>4</v>
      </c>
      <c r="AP590" s="1" t="str">
        <f aca="false">CONCATENATE(VLOOKUP(AN590,Constants!$A$2:$C$16,IF(AO590&lt;&gt;"", 3, 2), FALSE()),IF(AO590&lt;&gt;"",CONCATENATE(",",VLOOKUP(AO590,$B:$AP,41,FALSE())),""))</f>
        <v>1,2,1</v>
      </c>
      <c r="AZ590" s="1" t="n">
        <v>80</v>
      </c>
      <c r="BA590" s="16" t="str">
        <f aca="false">IF(O590&lt;&gt;"",MAX(16,(O590-M590)+8),"")</f>
        <v/>
      </c>
      <c r="BB590" s="1" t="n">
        <v>-15</v>
      </c>
      <c r="BC590" s="1" t="n">
        <v>-3</v>
      </c>
      <c r="BD590" s="20" t="n">
        <f aca="false">MIN(AE590/150, 1)*30</f>
        <v>6</v>
      </c>
      <c r="BE590" s="20" t="n">
        <f aca="false">MIN(Q590/4000, 1)*20</f>
        <v>0</v>
      </c>
      <c r="BF590" s="20" t="n">
        <f aca="false">MIN(AC590/400,1)*20</f>
        <v>0</v>
      </c>
      <c r="BG590" s="21" t="n">
        <f aca="false">1-(MAX(M590-1900, 0)/750)</f>
        <v>1</v>
      </c>
      <c r="BH590" s="20" t="n">
        <f aca="false">((MAX($P590,1)*MIN($AL590/300,1)))*IF(J590="Wagon",50,10)</f>
        <v>2</v>
      </c>
      <c r="BI590" s="1" t="n">
        <f aca="false">VLOOKUP($K590,Constants!$I:$K, 2, FALSE())</f>
        <v>1</v>
      </c>
      <c r="BJ590" s="1" t="n">
        <f aca="false">VLOOKUP($K590,Constants!$I:$K, 3, FALSE())*IF(AND(J590="multiple_unit",AE590&lt;110),0.75,1)</f>
        <v>0.45</v>
      </c>
      <c r="BK590" s="1" t="n">
        <f aca="false">INT(POWER(((Constants!$G$2+$BD590+$BE590+$BF590+$BH590)*$BG590)*$BJ590, 1.05))+$BC590</f>
        <v>3</v>
      </c>
      <c r="BL590" s="1" t="n">
        <f aca="false">INT(POWER((((Constants!$G$1+$BD590+$BE590+$BF590+$BH590)*($BG590))*$BI590),IF($J590="wagon",1,1.2)))+$BB590</f>
        <v>8</v>
      </c>
      <c r="BM590" s="22" t="n">
        <f aca="false">BK590*IF($J590="wagon",62.5,781.25)</f>
        <v>187.5</v>
      </c>
      <c r="BN590" s="22" t="n">
        <f aca="false">BL590*IF($J590="wagon",2.73,81.25)</f>
        <v>21.84</v>
      </c>
      <c r="BU590" s="1" t="str">
        <f aca="false">IF(J590="locomotive","B","")</f>
        <v/>
      </c>
      <c r="BV590" s="1" t="str">
        <f aca="false">IF(OR($J590="locomotive",$J590="wagon"),"B","")</f>
        <v>B</v>
      </c>
      <c r="BY590" s="1" t="n">
        <v>1</v>
      </c>
      <c r="BZ590" s="1" t="n">
        <v>225</v>
      </c>
      <c r="CB590" s="1" t="s">
        <v>1966</v>
      </c>
      <c r="CC590" s="1" t="s">
        <v>1967</v>
      </c>
      <c r="CD590" s="23" t="s">
        <v>306</v>
      </c>
      <c r="CE590" s="1" t="s">
        <v>1835</v>
      </c>
      <c r="CF590" s="23" t="str">
        <f aca="false">CONCATENATE(CD590,"_",CE590)</f>
        <v>vct_Open Wagon</v>
      </c>
      <c r="CG590" s="23" t="str">
        <f aca="false">_xlfn.CONCAT(K590, "_",L590)</f>
        <v>wagon_NARROW_GAUGE</v>
      </c>
      <c r="CH590" s="7" t="str">
        <f aca="false">_xlfn.CONCAT("{BLACK}Length: {GOLD}", TEXT(ROUNDUP(IF(AS590&lt;&gt;"",SUM(VALUE(_xlfn.TEXTSPLIT(AS590, ","))), SUM(VALUE(_xlfn.TEXTSPLIT(AP590, ",")))*IF(P590, P590, 1))/16, 1), "#,##0.0"), " tiles{}")</f>
        <v>{BLACK}Length: {GOLD}0.3 tiles{}</v>
      </c>
      <c r="CI590" s="1" t="str">
        <f aca="false">IF(0, VLOOKUP($CG590, Constants!$M:$N, 2, FALSE()),"")</f>
        <v/>
      </c>
      <c r="CJ590" s="1" t="str">
        <f aca="false">IF(P590&gt;1,_xlfn.CONCAT("{BLACK}Cars: {GOLD}", P590),"")</f>
        <v/>
      </c>
      <c r="CK590" s="1" t="s">
        <v>2165</v>
      </c>
      <c r="CL590" s="1" t="str">
        <f aca="false">IF($BX590="concept_trains","{GREEN}Concept Vehicle",IF($BX590="!param_no_gameplay_units","{GREEN}Included for gameplay purposes",""))</f>
        <v/>
      </c>
      <c r="CM590" s="1" t="str">
        <f aca="false">IF(CA590="buffet","{YELLOW}25% long distance bonus for consist{}",IF(CB590="DANDY","{YELLOW}Faster downhill speeds for horse-drawn trains (1 required per 2 horses){}",IF(CB590="BRAKE","{YELLOW}Speed bonus for slow wagons{}",IF(CB590="NGPassengers","{YELLOW}Preserved railway bonus: passengers pay more when hauled by old locomotives{}",IF(AND(BZ590&gt;190,NOT(AND(L590="NARROW_GAUGE",CB590&lt;&gt;"PASS"))),CONCATENATE("{YELLOW}",INT((BZ590-185)/1.85),"% bonus for long distance travel{}"),IF(AND(BZ590&lt;180,BZ590&lt;&gt;0),CONCATENATE("{YELLOW}",INT((185-BZ590)/1.85),"% penalty for long distance travel{}"),""))))))</f>
        <v/>
      </c>
      <c r="CN590" s="1" t="str">
        <f aca="false">_xlfn.CONCAT(CI590,IF(CI590&lt;&gt;""," ",""),CJ590,IF(OR(CJ590&lt;&gt;"",CI590&lt;&gt;""),"{}",""),CH590,CM590,"{SILVER}",CK590,IF(CL590&lt;&gt;"","{}{}",""),CL590)</f>
        <v>{BLACK}Length: {GOLD}0.3 tiles{}{SILVER}A van for carrying livestock on narrow gauge railways.</v>
      </c>
    </row>
    <row r="591" customFormat="false" ht="14.25" hidden="false" customHeight="false" outlineLevel="0" collapsed="false">
      <c r="A591" s="1" t="s">
        <v>2000</v>
      </c>
      <c r="B591" s="19" t="s">
        <v>2166</v>
      </c>
      <c r="C591" s="1" t="n">
        <v>2037</v>
      </c>
      <c r="E591" s="1" t="n">
        <v>3012</v>
      </c>
      <c r="G591" s="1" t="str">
        <f aca="false">IF($F591&lt;&gt;"",_xlfn.CONCAT(VLOOKUP($CE591, Constants!$T:$U, 2, FALSE()),",",$F591),VLOOKUP($CE591, Constants!$T:$U, 2, FALSE()))</f>
        <v>role/freight</v>
      </c>
      <c r="H591" s="1" t="str">
        <f aca="false">IF($G591&lt;&gt;"",_xlfn.CONCAT(VLOOKUP($CG591, Constants!$M:$P, 4, FALSE()),",",$G591),VLOOKUP($CG591, Constants!$M:$P, 4, FALSE()))</f>
        <v>flag/GB,role/freight</v>
      </c>
      <c r="I591" s="1" t="s">
        <v>241</v>
      </c>
      <c r="J591" s="1" t="s">
        <v>1580</v>
      </c>
      <c r="K591" s="1" t="s">
        <v>1580</v>
      </c>
      <c r="L591" s="1" t="s">
        <v>2090</v>
      </c>
      <c r="M591" s="1" t="n">
        <v>1800</v>
      </c>
      <c r="O591" s="1" t="n">
        <v>1900</v>
      </c>
      <c r="Z591" s="1" t="n">
        <v>1</v>
      </c>
      <c r="AB591" s="1" t="n">
        <v>3</v>
      </c>
      <c r="AD591" s="4" t="str">
        <f aca="false">IF(AND(Z591&gt;0,AC591&gt;0),(AC591/((Z591+AA591)*10)),"")</f>
        <v/>
      </c>
      <c r="AE591" s="1" t="n">
        <v>25</v>
      </c>
      <c r="AF591" s="1" t="n">
        <f aca="false">ROUND(AE591*1.6, 0)</f>
        <v>40</v>
      </c>
      <c r="AH591" s="1" t="n">
        <v>4.9</v>
      </c>
      <c r="AI591" s="1" t="n">
        <v>6</v>
      </c>
      <c r="AL591" s="5" t="n">
        <v>12</v>
      </c>
      <c r="AM591" s="1" t="str">
        <f aca="false">CONCATENATE(VLOOKUP(AN591, 'Voxel Sizes'!$A$2:$B$18,2,FALSE()),"x",INT(AJ591*15), "x", INT(AK591*15))</f>
        <v>60x0x0</v>
      </c>
      <c r="AN591" s="16" t="n">
        <f aca="false">ROUND(15*((AI591*10)/256),0)</f>
        <v>4</v>
      </c>
      <c r="AP591" s="1" t="str">
        <f aca="false">CONCATENATE(VLOOKUP(AN591,Constants!$A$2:$C$16,IF(AO591&lt;&gt;"", 3, 2), FALSE()),IF(AO591&lt;&gt;"",CONCATENATE(",",VLOOKUP(AO591,$B:$AP,41,FALSE())),""))</f>
        <v>1,2,1</v>
      </c>
      <c r="AZ591" s="1" t="n">
        <v>80</v>
      </c>
      <c r="BA591" s="16" t="n">
        <f aca="false">IF(O591&lt;&gt;"",MAX(16,(O591-M591)+8),"")</f>
        <v>108</v>
      </c>
      <c r="BB591" s="1" t="n">
        <v>-15</v>
      </c>
      <c r="BC591" s="1" t="n">
        <v>-3</v>
      </c>
      <c r="BD591" s="20" t="n">
        <f aca="false">MIN(AE591/150, 1)*30</f>
        <v>5</v>
      </c>
      <c r="BE591" s="20" t="n">
        <f aca="false">MIN(Q591/4000, 1)*20</f>
        <v>0</v>
      </c>
      <c r="BF591" s="20" t="n">
        <f aca="false">MIN(AC591/400,1)*20</f>
        <v>0</v>
      </c>
      <c r="BG591" s="21" t="n">
        <f aca="false">1-(MAX(M591-1900, 0)/750)</f>
        <v>1</v>
      </c>
      <c r="BH591" s="20" t="n">
        <f aca="false">((MAX($P591,1)*MIN($AL591/300,1)))*IF(J591="Wagon",50,10)</f>
        <v>2</v>
      </c>
      <c r="BI591" s="1" t="n">
        <f aca="false">VLOOKUP($K591,Constants!$I:$K, 2, FALSE())</f>
        <v>1</v>
      </c>
      <c r="BJ591" s="1" t="n">
        <f aca="false">VLOOKUP($K591,Constants!$I:$K, 3, FALSE())*IF(AND(J591="multiple_unit",AE591&lt;110),0.75,1)</f>
        <v>0.45</v>
      </c>
      <c r="BK591" s="1" t="n">
        <f aca="false">INT(POWER(((Constants!$G$2+$BD591+$BE591+$BF591+$BH591)*$BG591)*$BJ591, 1.05))+$BC591</f>
        <v>2</v>
      </c>
      <c r="BL591" s="1" t="n">
        <f aca="false">INT(POWER((((Constants!$G$1+$BD591+$BE591+$BF591+$BH591)*($BG591))*$BI591),IF($J591="wagon",1,1.2)))+$BB591</f>
        <v>7</v>
      </c>
      <c r="BM591" s="22" t="n">
        <f aca="false">BK591*IF($J591="wagon",62.5,781.25)</f>
        <v>125</v>
      </c>
      <c r="BN591" s="22" t="n">
        <f aca="false">BL591*IF($J591="wagon",2.73,81.25)</f>
        <v>19.11</v>
      </c>
      <c r="BU591" s="1" t="str">
        <f aca="false">IF(J591="locomotive","B","")</f>
        <v/>
      </c>
      <c r="BV591" s="1" t="str">
        <f aca="false">IF(OR($J591="locomotive",$J591="wagon"),"B","")</f>
        <v>B</v>
      </c>
      <c r="BY591" s="1" t="n">
        <v>1</v>
      </c>
      <c r="BZ591" s="1" t="n">
        <v>225</v>
      </c>
      <c r="CB591" s="1" t="s">
        <v>1968</v>
      </c>
      <c r="CC591" s="1" t="s">
        <v>1464</v>
      </c>
      <c r="CD591" s="23" t="s">
        <v>272</v>
      </c>
      <c r="CE591" s="1" t="s">
        <v>1835</v>
      </c>
      <c r="CF591" s="23" t="str">
        <f aca="false">CONCATENATE(CD591,"_",CE591)</f>
        <v>early_Open Wagon</v>
      </c>
      <c r="CG591" s="23" t="str">
        <f aca="false">_xlfn.CONCAT(K591, "_",L591)</f>
        <v>wagon_NARROW_GAUGE</v>
      </c>
      <c r="CH591" s="7" t="str">
        <f aca="false">_xlfn.CONCAT("{BLACK}Length: {GOLD}", TEXT(ROUNDUP(IF(AS591&lt;&gt;"",SUM(VALUE(_xlfn.TEXTSPLIT(AS591, ","))), SUM(VALUE(_xlfn.TEXTSPLIT(AP591, ",")))*IF(P591, P591, 1))/16, 1), "#,##0.0"), " tiles{}")</f>
        <v>{BLACK}Length: {GOLD}0.3 tiles{}</v>
      </c>
      <c r="CI591" s="1" t="str">
        <f aca="false">IF(0, VLOOKUP($CG591, Constants!$M:$N, 2, FALSE()),"")</f>
        <v/>
      </c>
      <c r="CJ591" s="1" t="str">
        <f aca="false">IF(P591&gt;1,_xlfn.CONCAT("{BLACK}Cars: {GOLD}", P591),"")</f>
        <v/>
      </c>
      <c r="CK591" s="1" t="s">
        <v>2167</v>
      </c>
      <c r="CL591" s="1" t="str">
        <f aca="false">IF($BX591="concept_trains","{GREEN}Concept Vehicle",IF($BX591="!param_no_gameplay_units","{GREEN}Included for gameplay purposes",""))</f>
        <v/>
      </c>
      <c r="CM591" s="1" t="str">
        <f aca="false">IF(CA591="buffet","{YELLOW}25% long distance bonus for consist{}",IF(CB591="DANDY","{YELLOW}Faster downhill speeds for horse-drawn trains (1 required per 2 horses){}",IF(CB591="BRAKE","{YELLOW}Speed bonus for slow wagons{}",IF(CB591="NGPassengers","{YELLOW}Preserved railway bonus: passengers pay more when hauled by old locomotives{}",IF(AND(BZ591&gt;190,NOT(AND(L591="NARROW_GAUGE",CB591&lt;&gt;"PASS"))),CONCATENATE("{YELLOW}",INT((BZ591-185)/1.85),"% bonus for long distance travel{}"),IF(AND(BZ591&lt;180,BZ591&lt;&gt;0),CONCATENATE("{YELLOW}",INT((185-BZ591)/1.85),"% penalty for long distance travel{}"),""))))))</f>
        <v/>
      </c>
      <c r="CN591" s="1" t="str">
        <f aca="false">_xlfn.CONCAT(CI591,IF(CI591&lt;&gt;""," ",""),CJ591,IF(OR(CJ591&lt;&gt;"",CI591&lt;&gt;""),"{}",""),CH591,CM591,"{SILVER}",CK591,IF(CL591&lt;&gt;"","{}{}",""),CL591)</f>
        <v>{BLACK}Length: {GOLD}0.3 tiles{}{SILVER}Like their larger counterparts, narrow gauge railways built many vans for carrying piece goods.</v>
      </c>
    </row>
    <row r="592" customFormat="false" ht="14.25" hidden="false" customHeight="false" outlineLevel="0" collapsed="false">
      <c r="A592" s="1" t="s">
        <v>2168</v>
      </c>
      <c r="B592" s="19" t="s">
        <v>2169</v>
      </c>
      <c r="C592" s="1" t="n">
        <v>2038</v>
      </c>
      <c r="E592" s="1" t="n">
        <v>3013</v>
      </c>
      <c r="G592" s="1" t="str">
        <f aca="false">IF($F592&lt;&gt;"",_xlfn.CONCAT(VLOOKUP($CE592, Constants!$T:$U, 2, FALSE()),",",$F592),VLOOKUP($CE592, Constants!$T:$U, 2, FALSE()))</f>
        <v>role/freight</v>
      </c>
      <c r="H592" s="1" t="str">
        <f aca="false">IF($G592&lt;&gt;"",_xlfn.CONCAT(VLOOKUP($CG592, Constants!$M:$P, 4, FALSE()),",",$G592),VLOOKUP($CG592, Constants!$M:$P, 4, FALSE()))</f>
        <v>flag/GB,role/freight</v>
      </c>
      <c r="I592" s="1" t="s">
        <v>241</v>
      </c>
      <c r="J592" s="1" t="s">
        <v>1580</v>
      </c>
      <c r="K592" s="1" t="s">
        <v>1580</v>
      </c>
      <c r="L592" s="1" t="s">
        <v>2090</v>
      </c>
      <c r="M592" s="1" t="n">
        <v>1860</v>
      </c>
      <c r="Z592" s="1" t="n">
        <v>3</v>
      </c>
      <c r="AB592" s="1" t="n">
        <v>4</v>
      </c>
      <c r="AD592" s="4" t="str">
        <f aca="false">IF(AND(Z592&gt;0,AC592&gt;0),(AC592/((Z592+AA592)*10)),"")</f>
        <v/>
      </c>
      <c r="AE592" s="1" t="n">
        <v>35</v>
      </c>
      <c r="AF592" s="1" t="n">
        <f aca="false">ROUND(AE592*1.6, 0)</f>
        <v>56</v>
      </c>
      <c r="AH592" s="1" t="n">
        <v>4.9</v>
      </c>
      <c r="AI592" s="1" t="n">
        <v>6</v>
      </c>
      <c r="AL592" s="5" t="n">
        <v>15</v>
      </c>
      <c r="AM592" s="1" t="str">
        <f aca="false">CONCATENATE(VLOOKUP(AN592, 'Voxel Sizes'!$A$2:$B$18,2,FALSE()),"x",INT(AJ592*15), "x", INT(AK592*15))</f>
        <v>60x0x0</v>
      </c>
      <c r="AN592" s="16" t="n">
        <f aca="false">ROUND(15*((AI592*10)/256),0)</f>
        <v>4</v>
      </c>
      <c r="AP592" s="1" t="str">
        <f aca="false">CONCATENATE(VLOOKUP(AN592,Constants!$A$2:$C$16,IF(AO592&lt;&gt;"", 3, 2), FALSE()),IF(AO592&lt;&gt;"",CONCATENATE(",",VLOOKUP(AO592,$B:$AP,41,FALSE())),""))</f>
        <v>1,2,1</v>
      </c>
      <c r="AZ592" s="1" t="n">
        <v>80</v>
      </c>
      <c r="BA592" s="16" t="str">
        <f aca="false">IF(O592&lt;&gt;"",MAX(16,(O592-M592)+8),"")</f>
        <v/>
      </c>
      <c r="BB592" s="1" t="n">
        <v>-14</v>
      </c>
      <c r="BC592" s="1" t="n">
        <v>-3</v>
      </c>
      <c r="BD592" s="20" t="n">
        <f aca="false">MIN(AE592/150, 1)*30</f>
        <v>7</v>
      </c>
      <c r="BE592" s="20" t="n">
        <f aca="false">MIN(Q592/4000, 1)*20</f>
        <v>0</v>
      </c>
      <c r="BF592" s="20" t="n">
        <f aca="false">MIN(AC592/400,1)*20</f>
        <v>0</v>
      </c>
      <c r="BG592" s="21" t="n">
        <f aca="false">1-(MAX(M592-1900, 0)/750)</f>
        <v>1</v>
      </c>
      <c r="BH592" s="20" t="n">
        <f aca="false">((MAX($P592,1)*MIN($AL592/300,1)))*IF(J592="Wagon",50,10)</f>
        <v>2.5</v>
      </c>
      <c r="BI592" s="1" t="n">
        <f aca="false">VLOOKUP($K592,Constants!$I:$K, 2, FALSE())</f>
        <v>1</v>
      </c>
      <c r="BJ592" s="1" t="n">
        <f aca="false">VLOOKUP($K592,Constants!$I:$K, 3, FALSE())*IF(AND(J592="multiple_unit",AE592&lt;110),0.75,1)</f>
        <v>0.45</v>
      </c>
      <c r="BK592" s="1" t="n">
        <f aca="false">INT(POWER(((Constants!$G$2+$BD592+$BE592+$BF592+$BH592)*$BG592)*$BJ592, 1.05))+$BC592</f>
        <v>4</v>
      </c>
      <c r="BL592" s="1" t="n">
        <f aca="false">INT(POWER((((Constants!$G$1+$BD592+$BE592+$BF592+$BH592)*($BG592))*$BI592),IF($J592="wagon",1,1.2)))+$BB592</f>
        <v>10</v>
      </c>
      <c r="BM592" s="22" t="n">
        <f aca="false">BK592*IF($J592="wagon",62.5,781.25)</f>
        <v>250</v>
      </c>
      <c r="BN592" s="22" t="n">
        <f aca="false">BL592*IF($J592="wagon",2.73,81.25)</f>
        <v>27.3</v>
      </c>
      <c r="BU592" s="1" t="str">
        <f aca="false">IF(J592="locomotive","B","")</f>
        <v/>
      </c>
      <c r="BV592" s="1" t="str">
        <f aca="false">IF(OR($J592="locomotive",$J592="wagon"),"B","")</f>
        <v>B</v>
      </c>
      <c r="BY592" s="1" t="n">
        <v>1</v>
      </c>
      <c r="BZ592" s="1" t="n">
        <v>225</v>
      </c>
      <c r="CB592" s="1" t="s">
        <v>1968</v>
      </c>
      <c r="CC592" s="1" t="s">
        <v>2170</v>
      </c>
      <c r="CD592" s="23" t="s">
        <v>306</v>
      </c>
      <c r="CE592" s="1" t="s">
        <v>1835</v>
      </c>
      <c r="CF592" s="23" t="str">
        <f aca="false">CONCATENATE(CD592,"_",CE592)</f>
        <v>vct_Open Wagon</v>
      </c>
      <c r="CG592" s="23" t="str">
        <f aca="false">_xlfn.CONCAT(K592, "_",L592)</f>
        <v>wagon_NARROW_GAUGE</v>
      </c>
      <c r="CH592" s="7" t="str">
        <f aca="false">_xlfn.CONCAT("{BLACK}Length: {GOLD}", TEXT(ROUNDUP(IF(AS592&lt;&gt;"",SUM(VALUE(_xlfn.TEXTSPLIT(AS592, ","))), SUM(VALUE(_xlfn.TEXTSPLIT(AP592, ",")))*IF(P592, P592, 1))/16, 1), "#,##0.0"), " tiles{}")</f>
        <v>{BLACK}Length: {GOLD}0.3 tiles{}</v>
      </c>
      <c r="CI592" s="1" t="str">
        <f aca="false">IF(0, VLOOKUP($CG592, Constants!$M:$N, 2, FALSE()),"")</f>
        <v/>
      </c>
      <c r="CJ592" s="1" t="str">
        <f aca="false">IF(P592&gt;1,_xlfn.CONCAT("{BLACK}Cars: {GOLD}", P592),"")</f>
        <v/>
      </c>
      <c r="CK592" s="1" t="s">
        <v>2171</v>
      </c>
      <c r="CL592" s="1" t="str">
        <f aca="false">IF($BX592="concept_trains","{GREEN}Concept Vehicle",IF($BX592="!param_no_gameplay_units","{GREEN}Included for gameplay purposes",""))</f>
        <v/>
      </c>
      <c r="CM592" s="1" t="str">
        <f aca="false">IF(CA592="buffet","{YELLOW}25% long distance bonus for consist{}",IF(CB592="DANDY","{YELLOW}Faster downhill speeds for horse-drawn trains (1 required per 2 horses){}",IF(CB592="BRAKE","{YELLOW}Speed bonus for slow wagons{}",IF(CB592="NGPassengers","{YELLOW}Preserved railway bonus: passengers pay more when hauled by old locomotives{}",IF(AND(BZ592&gt;190,NOT(AND(L592="NARROW_GAUGE",CB592&lt;&gt;"PASS"))),CONCATENATE("{YELLOW}",INT((BZ592-185)/1.85),"% bonus for long distance travel{}"),IF(AND(BZ592&lt;180,BZ592&lt;&gt;0),CONCATENATE("{YELLOW}",INT((185-BZ592)/1.85),"% penalty for long distance travel{}"),""))))))</f>
        <v/>
      </c>
      <c r="CN592" s="1" t="str">
        <f aca="false">_xlfn.CONCAT(CI592,IF(CI592&lt;&gt;""," ",""),CJ592,IF(OR(CJ592&lt;&gt;"",CI592&lt;&gt;""),"{}",""),CH592,CM592,"{SILVER}",CK592,IF(CL592&lt;&gt;"","{}{}",""),CL592)</f>
        <v>{BLACK}Length: {GOLD}0.3 tiles{}{SILVER}Gunpowder vans carried explosives to the quarries served by narrow gauge railways. This example has solid iron construction.</v>
      </c>
    </row>
    <row r="593" customFormat="false" ht="14.25" hidden="false" customHeight="false" outlineLevel="0" collapsed="false">
      <c r="A593" s="1" t="s">
        <v>2003</v>
      </c>
      <c r="B593" s="19" t="s">
        <v>2172</v>
      </c>
      <c r="C593" s="1" t="n">
        <v>2039</v>
      </c>
      <c r="E593" s="1" t="n">
        <v>3014</v>
      </c>
      <c r="G593" s="1" t="str">
        <f aca="false">IF($F593&lt;&gt;"",_xlfn.CONCAT(VLOOKUP($CE593, Constants!$T:$U, 2, FALSE()),",",$F593),VLOOKUP($CE593, Constants!$T:$U, 2, FALSE()))</f>
        <v>role/freight</v>
      </c>
      <c r="H593" s="1" t="str">
        <f aca="false">IF($G593&lt;&gt;"",_xlfn.CONCAT(VLOOKUP($CG593, Constants!$M:$P, 4, FALSE()),",",$G593),VLOOKUP($CG593, Constants!$M:$P, 4, FALSE()))</f>
        <v>flag/GB,role/freight</v>
      </c>
      <c r="I593" s="1" t="s">
        <v>241</v>
      </c>
      <c r="J593" s="1" t="s">
        <v>1580</v>
      </c>
      <c r="K593" s="1" t="s">
        <v>1580</v>
      </c>
      <c r="L593" s="1" t="s">
        <v>2090</v>
      </c>
      <c r="M593" s="1" t="n">
        <v>1870</v>
      </c>
      <c r="Z593" s="1" t="n">
        <v>2</v>
      </c>
      <c r="AB593" s="1" t="n">
        <v>4</v>
      </c>
      <c r="AD593" s="4" t="str">
        <f aca="false">IF(AND(Z593&gt;0,AC593&gt;0),(AC593/((Z593+AA593)*10)),"")</f>
        <v/>
      </c>
      <c r="AE593" s="1" t="n">
        <v>35</v>
      </c>
      <c r="AF593" s="1" t="n">
        <f aca="false">ROUND(AE593*1.6, 0)</f>
        <v>56</v>
      </c>
      <c r="AH593" s="1" t="n">
        <v>4.9</v>
      </c>
      <c r="AI593" s="1" t="n">
        <v>6</v>
      </c>
      <c r="AL593" s="5" t="n">
        <v>15</v>
      </c>
      <c r="AM593" s="1" t="str">
        <f aca="false">CONCATENATE(VLOOKUP(AN593, 'Voxel Sizes'!$A$2:$B$18,2,FALSE()),"x",INT(AJ593*15), "x", INT(AK593*15))</f>
        <v>60x0x0</v>
      </c>
      <c r="AN593" s="16" t="n">
        <f aca="false">ROUND(15*((AI593*10)/256),0)</f>
        <v>4</v>
      </c>
      <c r="AP593" s="1" t="str">
        <f aca="false">CONCATENATE(VLOOKUP(AN593,Constants!$A$2:$C$16,IF(AO593&lt;&gt;"", 3, 2), FALSE()),IF(AO593&lt;&gt;"",CONCATENATE(",",VLOOKUP(AO593,$B:$AP,41,FALSE())),""))</f>
        <v>1,2,1</v>
      </c>
      <c r="AZ593" s="1" t="n">
        <v>80</v>
      </c>
      <c r="BA593" s="16" t="str">
        <f aca="false">IF(O593&lt;&gt;"",MAX(16,(O593-M593)+8),"")</f>
        <v/>
      </c>
      <c r="BB593" s="1" t="n">
        <v>-15</v>
      </c>
      <c r="BC593" s="1" t="n">
        <v>-3</v>
      </c>
      <c r="BD593" s="20" t="n">
        <f aca="false">MIN(AE593/150, 1)*30</f>
        <v>7</v>
      </c>
      <c r="BE593" s="20" t="n">
        <f aca="false">MIN(Q593/4000, 1)*20</f>
        <v>0</v>
      </c>
      <c r="BF593" s="20" t="n">
        <f aca="false">MIN(AC593/400,1)*20</f>
        <v>0</v>
      </c>
      <c r="BG593" s="21" t="n">
        <f aca="false">1-(MAX(M593-1900, 0)/750)</f>
        <v>1</v>
      </c>
      <c r="BH593" s="20" t="n">
        <f aca="false">((MAX($P593,1)*MIN($AL593/300,1)))*IF(J593="Wagon",50,10)</f>
        <v>2.5</v>
      </c>
      <c r="BI593" s="1" t="n">
        <f aca="false">VLOOKUP($K593,Constants!$I:$K, 2, FALSE())</f>
        <v>1</v>
      </c>
      <c r="BJ593" s="1" t="n">
        <f aca="false">VLOOKUP($K593,Constants!$I:$K, 3, FALSE())*IF(AND(J593="multiple_unit",AE593&lt;110),0.75,1)</f>
        <v>0.45</v>
      </c>
      <c r="BK593" s="1" t="n">
        <f aca="false">INT(POWER(((Constants!$G$2+$BD593+$BE593+$BF593+$BH593)*$BG593)*$BJ593, 1.05))+$BC593</f>
        <v>4</v>
      </c>
      <c r="BL593" s="1" t="n">
        <f aca="false">INT(POWER((((Constants!$G$1+$BD593+$BE593+$BF593+$BH593)*($BG593))*$BI593),IF($J593="wagon",1,1.2)))+$BB593</f>
        <v>9</v>
      </c>
      <c r="BM593" s="22" t="n">
        <f aca="false">BK593*IF($J593="wagon",62.5,781.25)</f>
        <v>250</v>
      </c>
      <c r="BN593" s="22" t="n">
        <f aca="false">BL593*IF($J593="wagon",2.73,81.25)</f>
        <v>24.57</v>
      </c>
      <c r="BU593" s="1" t="str">
        <f aca="false">IF(J593="locomotive","B","")</f>
        <v/>
      </c>
      <c r="BV593" s="1" t="str">
        <f aca="false">IF(OR($J593="locomotive",$J593="wagon"),"B","")</f>
        <v>B</v>
      </c>
      <c r="BY593" s="1" t="n">
        <v>1</v>
      </c>
      <c r="BZ593" s="1" t="n">
        <v>225</v>
      </c>
      <c r="CB593" s="1" t="s">
        <v>1968</v>
      </c>
      <c r="CC593" s="1" t="s">
        <v>1464</v>
      </c>
      <c r="CD593" s="23" t="s">
        <v>306</v>
      </c>
      <c r="CE593" s="1" t="s">
        <v>1835</v>
      </c>
      <c r="CF593" s="23" t="str">
        <f aca="false">CONCATENATE(CD593,"_",CE593)</f>
        <v>vct_Open Wagon</v>
      </c>
      <c r="CG593" s="23" t="str">
        <f aca="false">_xlfn.CONCAT(K593, "_",L593)</f>
        <v>wagon_NARROW_GAUGE</v>
      </c>
      <c r="CH593" s="7" t="str">
        <f aca="false">_xlfn.CONCAT("{BLACK}Length: {GOLD}", TEXT(ROUNDUP(IF(AS593&lt;&gt;"",SUM(VALUE(_xlfn.TEXTSPLIT(AS593, ","))), SUM(VALUE(_xlfn.TEXTSPLIT(AP593, ",")))*IF(P593, P593, 1))/16, 1), "#,##0.0"), " tiles{}")</f>
        <v>{BLACK}Length: {GOLD}0.3 tiles{}</v>
      </c>
      <c r="CI593" s="1" t="str">
        <f aca="false">IF(0, VLOOKUP($CG593, Constants!$M:$N, 2, FALSE()),"")</f>
        <v/>
      </c>
      <c r="CJ593" s="1" t="str">
        <f aca="false">IF(P593&gt;1,_xlfn.CONCAT("{BLACK}Cars: {GOLD}", P593),"")</f>
        <v/>
      </c>
      <c r="CK593" s="1" t="s">
        <v>2173</v>
      </c>
      <c r="CL593" s="1" t="str">
        <f aca="false">IF($BX593="concept_trains","{GREEN}Concept Vehicle",IF($BX593="!param_no_gameplay_units","{GREEN}Included for gameplay purposes",""))</f>
        <v/>
      </c>
      <c r="CM593" s="1" t="str">
        <f aca="false">IF(CA593="buffet","{YELLOW}25% long distance bonus for consist{}",IF(CB593="DANDY","{YELLOW}Faster downhill speeds for horse-drawn trains (1 required per 2 horses){}",IF(CB593="BRAKE","{YELLOW}Speed bonus for slow wagons{}",IF(CB593="NGPassengers","{YELLOW}Preserved railway bonus: passengers pay more when hauled by old locomotives{}",IF(AND(BZ593&gt;190,NOT(AND(L593="NARROW_GAUGE",CB593&lt;&gt;"PASS"))),CONCATENATE("{YELLOW}",INT((BZ593-185)/1.85),"% bonus for long distance travel{}"),IF(AND(BZ593&lt;180,BZ593&lt;&gt;0),CONCATENATE("{YELLOW}",INT((185-BZ593)/1.85),"% penalty for long distance travel{}"),""))))))</f>
        <v/>
      </c>
      <c r="CN593" s="1" t="str">
        <f aca="false">_xlfn.CONCAT(CI593,IF(CI593&lt;&gt;""," ",""),CJ593,IF(OR(CJ593&lt;&gt;"",CI593&lt;&gt;""),"{}",""),CH593,CM593,"{SILVER}",CK593,IF(CL593&lt;&gt;"","{}{}",""),CL593)</f>
        <v>{BLACK}Length: {GOLD}0.3 tiles{}{SILVER}Later vans used iron frames to increase their strength and enable running at faster speeds.</v>
      </c>
    </row>
    <row r="594" customFormat="false" ht="14.25" hidden="false" customHeight="false" outlineLevel="0" collapsed="false">
      <c r="A594" s="1" t="s">
        <v>2174</v>
      </c>
      <c r="B594" s="19" t="s">
        <v>2175</v>
      </c>
      <c r="C594" s="1" t="n">
        <v>2040</v>
      </c>
      <c r="E594" s="1" t="n">
        <v>3015</v>
      </c>
      <c r="G594" s="1" t="str">
        <f aca="false">IF($F594&lt;&gt;"",_xlfn.CONCAT(VLOOKUP($CE594, Constants!$T:$U, 2, FALSE()),",",$F594),VLOOKUP($CE594, Constants!$T:$U, 2, FALSE()))</f>
        <v>role/freight</v>
      </c>
      <c r="H594" s="1" t="str">
        <f aca="false">IF($G594&lt;&gt;"",_xlfn.CONCAT(VLOOKUP($CG594, Constants!$M:$P, 4, FALSE()),",",$G594),VLOOKUP($CG594, Constants!$M:$P, 4, FALSE()))</f>
        <v>flag/GB,role/freight</v>
      </c>
      <c r="I594" s="1" t="s">
        <v>241</v>
      </c>
      <c r="J594" s="1" t="s">
        <v>1580</v>
      </c>
      <c r="K594" s="1" t="s">
        <v>1580</v>
      </c>
      <c r="L594" s="1" t="s">
        <v>2090</v>
      </c>
      <c r="M594" s="1" t="n">
        <v>1800</v>
      </c>
      <c r="O594" s="1" t="n">
        <v>1880</v>
      </c>
      <c r="Z594" s="1" t="n">
        <v>1</v>
      </c>
      <c r="AB594" s="1" t="n">
        <v>3</v>
      </c>
      <c r="AD594" s="4" t="str">
        <f aca="false">IF(AND(Z594&gt;0,AC594&gt;0),(AC594/((Z594+AA594)*10)),"")</f>
        <v/>
      </c>
      <c r="AE594" s="1" t="n">
        <v>45</v>
      </c>
      <c r="AF594" s="1" t="n">
        <f aca="false">ROUND(AE594*1.6, 0)</f>
        <v>72</v>
      </c>
      <c r="AH594" s="1" t="n">
        <v>4.9</v>
      </c>
      <c r="AI594" s="1" t="n">
        <v>6</v>
      </c>
      <c r="AL594" s="5" t="n">
        <v>0</v>
      </c>
      <c r="AM594" s="1" t="str">
        <f aca="false">CONCATENATE(VLOOKUP(AN594, 'Voxel Sizes'!$A$2:$B$18,2,FALSE()),"x",INT(AJ594*15), "x", INT(AK594*15))</f>
        <v>60x0x0</v>
      </c>
      <c r="AN594" s="16" t="n">
        <f aca="false">ROUND(15*((AI594*10)/256),0)</f>
        <v>4</v>
      </c>
      <c r="AP594" s="1" t="str">
        <f aca="false">CONCATENATE(VLOOKUP(AN594,Constants!$A$2:$C$16,IF(AO594&lt;&gt;"", 3, 2), FALSE()),IF(AO594&lt;&gt;"",CONCATENATE(",",VLOOKUP(AO594,$B:$AP,41,FALSE())),""))</f>
        <v>1,2,1</v>
      </c>
      <c r="AZ594" s="1" t="n">
        <v>80</v>
      </c>
      <c r="BA594" s="16" t="n">
        <f aca="false">IF(O594&lt;&gt;"",MAX(16,(O594-M594)+8),"")</f>
        <v>88</v>
      </c>
      <c r="BB594" s="1" t="n">
        <v>-5</v>
      </c>
      <c r="BC594" s="1" t="n">
        <v>-2</v>
      </c>
      <c r="BD594" s="20" t="n">
        <f aca="false">MIN(AE594/150, 1)*30</f>
        <v>9</v>
      </c>
      <c r="BE594" s="20" t="n">
        <f aca="false">MIN(Q594/4000, 1)*20</f>
        <v>0</v>
      </c>
      <c r="BF594" s="20" t="n">
        <f aca="false">MIN(AC594/400,1)*20</f>
        <v>0</v>
      </c>
      <c r="BG594" s="21" t="n">
        <f aca="false">1-(MAX(M594-1900, 0)/750)</f>
        <v>1</v>
      </c>
      <c r="BH594" s="20" t="n">
        <f aca="false">((MAX($P594,1)*MIN($AL594/300,1)))*IF(J594="Wagon",50,10)</f>
        <v>0</v>
      </c>
      <c r="BI594" s="1" t="n">
        <f aca="false">VLOOKUP($K594,Constants!$I:$K, 2, FALSE())</f>
        <v>1</v>
      </c>
      <c r="BJ594" s="1" t="n">
        <f aca="false">VLOOKUP($K594,Constants!$I:$K, 3, FALSE())*IF(AND(J594="multiple_unit",AE594&lt;110),0.75,1)</f>
        <v>0.45</v>
      </c>
      <c r="BK594" s="1" t="n">
        <f aca="false">INT(POWER(((Constants!$G$2+$BD594+$BE594+$BF594+$BH594)*$BG594)*$BJ594, 1.05))+$BC594</f>
        <v>4</v>
      </c>
      <c r="BL594" s="1" t="n">
        <f aca="false">INT(POWER((((Constants!$G$1+$BD594+$BE594+$BF594+$BH594)*($BG594))*$BI594),IF($J594="wagon",1,1.2)))+$BB594</f>
        <v>19</v>
      </c>
      <c r="BM594" s="22" t="n">
        <f aca="false">BK594*IF($J594="wagon",62.5,781.25)</f>
        <v>250</v>
      </c>
      <c r="BN594" s="22" t="n">
        <f aca="false">BL594*IF($J594="wagon",2.73,81.25)</f>
        <v>51.87</v>
      </c>
      <c r="BU594" s="1" t="str">
        <f aca="false">IF(J594="locomotive","B","")</f>
        <v/>
      </c>
      <c r="BV594" s="1" t="str">
        <f aca="false">IF(OR($J594="locomotive",$J594="wagon"),"B","")</f>
        <v>B</v>
      </c>
      <c r="BY594" s="1" t="n">
        <v>1</v>
      </c>
      <c r="CB594" s="1" t="s">
        <v>2176</v>
      </c>
      <c r="CC594" s="1" t="s">
        <v>2177</v>
      </c>
      <c r="CD594" s="23" t="s">
        <v>272</v>
      </c>
      <c r="CE594" s="1" t="s">
        <v>1835</v>
      </c>
      <c r="CF594" s="23" t="str">
        <f aca="false">CONCATENATE(CD594,"_",CE594)</f>
        <v>early_Open Wagon</v>
      </c>
      <c r="CG594" s="23" t="str">
        <f aca="false">_xlfn.CONCAT(K594, "_",L594)</f>
        <v>wagon_NARROW_GAUGE</v>
      </c>
      <c r="CH594" s="7" t="str">
        <f aca="false">_xlfn.CONCAT("{BLACK}Length: {GOLD}", TEXT(ROUNDUP(IF(AS594&lt;&gt;"",SUM(VALUE(_xlfn.TEXTSPLIT(AS594, ","))), SUM(VALUE(_xlfn.TEXTSPLIT(AP594, ",")))*IF(P594, P594, 1))/16, 1), "#,##0.0"), " tiles{}")</f>
        <v>{BLACK}Length: {GOLD}0.3 tiles{}</v>
      </c>
      <c r="CI594" s="1" t="str">
        <f aca="false">IF(0, VLOOKUP($CG594, Constants!$M:$N, 2, FALSE()),"")</f>
        <v/>
      </c>
      <c r="CJ594" s="1" t="str">
        <f aca="false">IF(P594&gt;1,_xlfn.CONCAT("{BLACK}Cars: {GOLD}", P594),"")</f>
        <v/>
      </c>
      <c r="CK594" s="1" t="s">
        <v>2178</v>
      </c>
      <c r="CL594" s="1" t="str">
        <f aca="false">IF($BX594="concept_trains","{GREEN}Concept Vehicle",IF($BX594="!param_no_gameplay_units","{GREEN}Included for gameplay purposes",""))</f>
        <v/>
      </c>
      <c r="CM594" s="1" t="str">
        <f aca="false">IF(CA594="buffet","{YELLOW}25% long distance bonus for consist{}",IF(CB594="DANDY","{YELLOW}Faster downhill speeds for horse-drawn trains (1 required per 2 horses){}",IF(CB594="BRAKE","{YELLOW}Speed bonus for slow wagons{}",IF(CB594="NGPassengers","{YELLOW}Preserved railway bonus: passengers pay more when hauled by old locomotives{}",IF(AND(BZ594&gt;190,NOT(AND(L594="NARROW_GAUGE",CB594&lt;&gt;"PASS"))),CONCATENATE("{YELLOW}",INT((BZ594-185)/1.85),"% bonus for long distance travel{}"),IF(AND(BZ594&lt;180,BZ594&lt;&gt;0),CONCATENATE("{YELLOW}",INT((185-BZ594)/1.85),"% penalty for long distance travel{}"),""))))))</f>
        <v/>
      </c>
      <c r="CN594" s="1" t="str">
        <f aca="false">_xlfn.CONCAT(CI594,IF(CI594&lt;&gt;""," ",""),CJ594,IF(OR(CJ594&lt;&gt;"",CI594&lt;&gt;""),"{}",""),CH594,CM594,"{SILVER}",CK594,IF(CL594&lt;&gt;"","{}{}",""),CL594)</f>
        <v>{BLACK}Length: {GOLD}0.3 tiles{}{SILVER}Early gravity railways sent cargo downhill with horses riding in dandy wagons. At the bottom the horses would be unloaded and used to haul the empty train back up the hill.</v>
      </c>
    </row>
    <row r="595" customFormat="false" ht="14.25" hidden="false" customHeight="false" outlineLevel="0" collapsed="false">
      <c r="R595" s="1"/>
      <c r="S595" s="1"/>
      <c r="T595" s="1"/>
      <c r="U595" s="1"/>
      <c r="V595" s="1"/>
      <c r="W595" s="1"/>
      <c r="X595" s="1"/>
      <c r="Y595" s="1"/>
      <c r="AA595" s="1"/>
      <c r="AD595" s="1"/>
      <c r="AL595" s="1"/>
      <c r="AR595" s="1"/>
      <c r="AS595" s="1"/>
      <c r="CH595" s="1"/>
    </row>
    <row r="596" customFormat="false" ht="14.25" hidden="false" customHeight="false" outlineLevel="0" collapsed="false">
      <c r="R596" s="1"/>
      <c r="S596" s="1"/>
      <c r="T596" s="1"/>
      <c r="U596" s="1"/>
      <c r="V596" s="1"/>
      <c r="W596" s="1"/>
      <c r="X596" s="1"/>
      <c r="Y596" s="1"/>
      <c r="AA596" s="1"/>
      <c r="AD596" s="1"/>
      <c r="AL596" s="1"/>
      <c r="AR596" s="1"/>
      <c r="AS596" s="1"/>
      <c r="CH596" s="1"/>
    </row>
    <row r="597" customFormat="false" ht="14.25" hidden="false" customHeight="false" outlineLevel="0" collapsed="false">
      <c r="R597" s="1"/>
      <c r="S597" s="1"/>
      <c r="T597" s="1"/>
      <c r="U597" s="1"/>
      <c r="V597" s="1"/>
      <c r="W597" s="1"/>
      <c r="X597" s="1"/>
      <c r="Y597" s="1"/>
      <c r="AA597" s="1"/>
      <c r="AD597" s="1"/>
      <c r="AL597" s="1"/>
      <c r="AR597" s="1"/>
      <c r="AS597" s="1"/>
      <c r="CH597" s="1"/>
    </row>
    <row r="598" customFormat="false" ht="14.25" hidden="false" customHeight="false" outlineLevel="0" collapsed="false">
      <c r="R598" s="1"/>
      <c r="S598" s="1"/>
      <c r="T598" s="1"/>
      <c r="U598" s="1"/>
      <c r="V598" s="1"/>
      <c r="W598" s="1"/>
      <c r="X598" s="1"/>
      <c r="Y598" s="1"/>
      <c r="AA598" s="1"/>
      <c r="AD598" s="1"/>
      <c r="AL598" s="1"/>
      <c r="AR598" s="1"/>
      <c r="AS598" s="1"/>
      <c r="CH598" s="1"/>
    </row>
    <row r="599" customFormat="false" ht="14.25" hidden="false" customHeight="false" outlineLevel="0" collapsed="false">
      <c r="R599" s="1"/>
      <c r="S599" s="1"/>
      <c r="T599" s="1"/>
      <c r="U599" s="1"/>
      <c r="V599" s="1"/>
      <c r="W599" s="1"/>
      <c r="X599" s="1"/>
      <c r="Y599" s="1"/>
      <c r="AA599" s="1"/>
      <c r="AD599" s="1"/>
      <c r="AL599" s="1"/>
      <c r="AR599" s="1"/>
      <c r="AS599" s="1"/>
      <c r="CH599" s="1"/>
    </row>
    <row r="600" customFormat="false" ht="14.25" hidden="false" customHeight="false" outlineLevel="0" collapsed="false">
      <c r="R600" s="1"/>
      <c r="S600" s="1"/>
      <c r="T600" s="1"/>
      <c r="U600" s="1"/>
      <c r="V600" s="1"/>
      <c r="W600" s="1"/>
      <c r="X600" s="1"/>
      <c r="Y600" s="1"/>
      <c r="AA600" s="1"/>
      <c r="AD600" s="1"/>
      <c r="AL600" s="1"/>
      <c r="AR600" s="1"/>
      <c r="AS600" s="1"/>
      <c r="CH600" s="1"/>
    </row>
    <row r="601" customFormat="false" ht="14.25" hidden="false" customHeight="false" outlineLevel="0" collapsed="false">
      <c r="R601" s="1"/>
      <c r="S601" s="1"/>
      <c r="T601" s="1"/>
      <c r="U601" s="1"/>
      <c r="V601" s="1"/>
      <c r="W601" s="1"/>
      <c r="X601" s="1"/>
      <c r="Y601" s="1"/>
      <c r="AA601" s="1"/>
      <c r="AD601" s="1"/>
      <c r="AL601" s="1"/>
      <c r="AR601" s="1"/>
      <c r="AS601" s="1"/>
      <c r="CH601" s="1"/>
    </row>
    <row r="602" customFormat="false" ht="14.25" hidden="false" customHeight="false" outlineLevel="0" collapsed="false">
      <c r="R602" s="1"/>
      <c r="S602" s="1"/>
      <c r="T602" s="1"/>
      <c r="U602" s="1"/>
      <c r="V602" s="1"/>
      <c r="W602" s="1"/>
      <c r="X602" s="1"/>
      <c r="Y602" s="1"/>
      <c r="AA602" s="1"/>
      <c r="AD602" s="1"/>
      <c r="AL602" s="1"/>
      <c r="AR602" s="1"/>
      <c r="AS602" s="1"/>
      <c r="CH602" s="1"/>
    </row>
    <row r="603" customFormat="false" ht="14.25" hidden="false" customHeight="false" outlineLevel="0" collapsed="false">
      <c r="R603" s="1"/>
      <c r="S603" s="1"/>
      <c r="T603" s="1"/>
      <c r="U603" s="1"/>
      <c r="V603" s="1"/>
      <c r="W603" s="1"/>
      <c r="X603" s="1"/>
      <c r="Y603" s="1"/>
      <c r="AA603" s="1"/>
      <c r="AD603" s="1"/>
      <c r="AL603" s="1"/>
      <c r="AR603" s="1"/>
      <c r="AS603" s="1"/>
      <c r="CH603" s="1"/>
    </row>
    <row r="604" customFormat="false" ht="14.25" hidden="false" customHeight="false" outlineLevel="0" collapsed="false">
      <c r="R604" s="1"/>
      <c r="S604" s="1"/>
      <c r="T604" s="1"/>
      <c r="U604" s="1"/>
      <c r="V604" s="1"/>
      <c r="W604" s="1"/>
      <c r="X604" s="1"/>
      <c r="Y604" s="1"/>
      <c r="AA604" s="1"/>
      <c r="AD604" s="1"/>
      <c r="AL604" s="1"/>
      <c r="AR604" s="1"/>
      <c r="AS604" s="1"/>
      <c r="CH604" s="1"/>
    </row>
    <row r="605" customFormat="false" ht="14.25" hidden="false" customHeight="false" outlineLevel="0" collapsed="false">
      <c r="R605" s="1"/>
      <c r="S605" s="1"/>
      <c r="T605" s="1"/>
      <c r="U605" s="1"/>
      <c r="V605" s="1"/>
      <c r="W605" s="1"/>
      <c r="X605" s="1"/>
      <c r="Y605" s="1"/>
      <c r="AA605" s="1"/>
      <c r="AD605" s="1"/>
      <c r="AL605" s="1"/>
      <c r="AR605" s="1"/>
      <c r="AS605" s="1"/>
      <c r="CH605" s="1"/>
    </row>
    <row r="606" customFormat="false" ht="14.25" hidden="false" customHeight="false" outlineLevel="0" collapsed="false">
      <c r="R606" s="1"/>
      <c r="S606" s="1"/>
      <c r="T606" s="1"/>
      <c r="U606" s="1"/>
      <c r="V606" s="1"/>
      <c r="W606" s="1"/>
      <c r="X606" s="1"/>
      <c r="Y606" s="1"/>
      <c r="AA606" s="1"/>
      <c r="AD606" s="1"/>
      <c r="AL606" s="1"/>
      <c r="AR606" s="1"/>
      <c r="AS606" s="1"/>
      <c r="CH606" s="1"/>
    </row>
    <row r="607" customFormat="false" ht="14.25" hidden="false" customHeight="false" outlineLevel="0" collapsed="false">
      <c r="R607" s="1"/>
      <c r="S607" s="1"/>
      <c r="T607" s="1"/>
      <c r="U607" s="1"/>
      <c r="V607" s="1"/>
      <c r="W607" s="1"/>
      <c r="X607" s="1"/>
      <c r="Y607" s="1"/>
      <c r="AA607" s="1"/>
      <c r="AD607" s="1"/>
      <c r="AL607" s="1"/>
      <c r="AR607" s="1"/>
      <c r="AS607" s="1"/>
      <c r="CH607" s="1"/>
    </row>
    <row r="608" customFormat="false" ht="14.25" hidden="false" customHeight="false" outlineLevel="0" collapsed="false">
      <c r="R608" s="1"/>
      <c r="S608" s="1"/>
      <c r="T608" s="1"/>
      <c r="U608" s="1"/>
      <c r="V608" s="1"/>
      <c r="W608" s="1"/>
      <c r="X608" s="1"/>
      <c r="Y608" s="1"/>
      <c r="AA608" s="1"/>
      <c r="AD608" s="1"/>
      <c r="AL608" s="1"/>
      <c r="AR608" s="1"/>
      <c r="AS608" s="1"/>
      <c r="CH608" s="1"/>
    </row>
    <row r="609" customFormat="false" ht="14.25" hidden="false" customHeight="false" outlineLevel="0" collapsed="false">
      <c r="R609" s="1"/>
      <c r="S609" s="1"/>
      <c r="T609" s="1"/>
      <c r="U609" s="1"/>
      <c r="V609" s="1"/>
      <c r="W609" s="1"/>
      <c r="X609" s="1"/>
      <c r="Y609" s="1"/>
      <c r="AA609" s="1"/>
      <c r="AD609" s="1"/>
      <c r="AL609" s="1"/>
      <c r="AR609" s="1"/>
      <c r="AS609" s="1"/>
      <c r="CH609" s="1"/>
    </row>
    <row r="610" customFormat="false" ht="14.25" hidden="false" customHeight="false" outlineLevel="0" collapsed="false">
      <c r="R610" s="1"/>
      <c r="S610" s="1"/>
      <c r="T610" s="1"/>
      <c r="U610" s="1"/>
      <c r="V610" s="1"/>
      <c r="W610" s="1"/>
      <c r="X610" s="1"/>
      <c r="Y610" s="1"/>
      <c r="AA610" s="1"/>
      <c r="AD610" s="1"/>
      <c r="AL610" s="1"/>
      <c r="AR610" s="1"/>
      <c r="AS610" s="1"/>
      <c r="CH610" s="1"/>
    </row>
    <row r="611" customFormat="false" ht="14.25" hidden="false" customHeight="false" outlineLevel="0" collapsed="false">
      <c r="R611" s="1"/>
      <c r="S611" s="1"/>
      <c r="T611" s="1"/>
      <c r="U611" s="1"/>
      <c r="V611" s="1"/>
      <c r="W611" s="1"/>
      <c r="X611" s="1"/>
      <c r="Y611" s="1"/>
      <c r="AA611" s="1"/>
      <c r="AD611" s="1"/>
      <c r="AL611" s="1"/>
      <c r="AR611" s="1"/>
      <c r="AS611" s="1"/>
      <c r="CH611" s="1"/>
    </row>
    <row r="612" customFormat="false" ht="14.25" hidden="false" customHeight="false" outlineLevel="0" collapsed="false">
      <c r="R612" s="1"/>
      <c r="S612" s="1"/>
      <c r="T612" s="1"/>
      <c r="U612" s="1"/>
      <c r="V612" s="1"/>
      <c r="W612" s="1"/>
      <c r="X612" s="1"/>
      <c r="Y612" s="1"/>
      <c r="AA612" s="1"/>
      <c r="AD612" s="1"/>
      <c r="AL612" s="1"/>
      <c r="AR612" s="1"/>
      <c r="AS612" s="1"/>
      <c r="CH612" s="1"/>
    </row>
    <row r="613" customFormat="false" ht="14.25" hidden="false" customHeight="false" outlineLevel="0" collapsed="false">
      <c r="R613" s="1"/>
      <c r="S613" s="1"/>
      <c r="T613" s="1"/>
      <c r="U613" s="1"/>
      <c r="V613" s="1"/>
      <c r="W613" s="1"/>
      <c r="X613" s="1"/>
      <c r="Y613" s="1"/>
      <c r="AA613" s="1"/>
      <c r="AD613" s="1"/>
      <c r="AL613" s="1"/>
      <c r="AR613" s="1"/>
      <c r="AS613" s="1"/>
      <c r="CH613" s="1"/>
    </row>
    <row r="614" customFormat="false" ht="14.25" hidden="false" customHeight="false" outlineLevel="0" collapsed="false">
      <c r="R614" s="1"/>
      <c r="S614" s="1"/>
      <c r="T614" s="1"/>
      <c r="U614" s="1"/>
      <c r="V614" s="1"/>
      <c r="W614" s="1"/>
      <c r="X614" s="1"/>
      <c r="Y614" s="1"/>
      <c r="AA614" s="1"/>
      <c r="AD614" s="1"/>
      <c r="AL614" s="1"/>
      <c r="AR614" s="1"/>
      <c r="AS614" s="1"/>
      <c r="CH614" s="1"/>
    </row>
    <row r="615" customFormat="false" ht="14.25" hidden="false" customHeight="false" outlineLevel="0" collapsed="false">
      <c r="R615" s="1"/>
      <c r="S615" s="1"/>
      <c r="T615" s="1"/>
      <c r="U615" s="1"/>
      <c r="V615" s="1"/>
      <c r="W615" s="1"/>
      <c r="X615" s="1"/>
      <c r="Y615" s="1"/>
      <c r="AA615" s="1"/>
      <c r="AD615" s="1"/>
      <c r="AL615" s="1"/>
      <c r="AR615" s="1"/>
      <c r="AS615" s="1"/>
      <c r="CH615" s="1"/>
    </row>
    <row r="616" customFormat="false" ht="14.25" hidden="false" customHeight="false" outlineLevel="0" collapsed="false">
      <c r="R616" s="1"/>
      <c r="S616" s="1"/>
      <c r="T616" s="1"/>
      <c r="U616" s="1"/>
      <c r="V616" s="1"/>
      <c r="W616" s="1"/>
      <c r="X616" s="1"/>
      <c r="Y616" s="1"/>
      <c r="AA616" s="1"/>
      <c r="AD616" s="1"/>
      <c r="AL616" s="1"/>
      <c r="AR616" s="1"/>
      <c r="AS616" s="1"/>
      <c r="CH616" s="1"/>
    </row>
    <row r="617" customFormat="false" ht="14.25" hidden="false" customHeight="false" outlineLevel="0" collapsed="false">
      <c r="R617" s="1"/>
      <c r="S617" s="1"/>
      <c r="T617" s="1"/>
      <c r="U617" s="1"/>
      <c r="V617" s="1"/>
      <c r="W617" s="1"/>
      <c r="X617" s="1"/>
      <c r="Y617" s="1"/>
      <c r="AA617" s="1"/>
      <c r="AD617" s="1"/>
      <c r="AL617" s="1"/>
      <c r="AR617" s="1"/>
      <c r="AS617" s="1"/>
      <c r="CH617" s="1"/>
    </row>
    <row r="618" customFormat="false" ht="14.25" hidden="false" customHeight="false" outlineLevel="0" collapsed="false">
      <c r="R618" s="1"/>
      <c r="S618" s="1"/>
      <c r="T618" s="1"/>
      <c r="U618" s="1"/>
      <c r="V618" s="1"/>
      <c r="W618" s="1"/>
      <c r="X618" s="1"/>
      <c r="Y618" s="1"/>
      <c r="AA618" s="1"/>
      <c r="AD618" s="1"/>
      <c r="AL618" s="1"/>
      <c r="AR618" s="1"/>
      <c r="AS618" s="1"/>
      <c r="CH618" s="1"/>
    </row>
    <row r="619" customFormat="false" ht="14.25" hidden="false" customHeight="false" outlineLevel="0" collapsed="false">
      <c r="R619" s="1"/>
      <c r="S619" s="1"/>
      <c r="T619" s="1"/>
      <c r="U619" s="1"/>
      <c r="V619" s="1"/>
      <c r="W619" s="1"/>
      <c r="X619" s="1"/>
      <c r="Y619" s="1"/>
      <c r="AA619" s="1"/>
      <c r="AD619" s="1"/>
      <c r="AL619" s="1"/>
      <c r="AR619" s="1"/>
      <c r="AS619" s="1"/>
      <c r="CH619" s="1"/>
    </row>
    <row r="620" customFormat="false" ht="14.25" hidden="false" customHeight="false" outlineLevel="0" collapsed="false">
      <c r="R620" s="1"/>
      <c r="S620" s="1"/>
      <c r="T620" s="1"/>
      <c r="U620" s="1"/>
      <c r="V620" s="1"/>
      <c r="W620" s="1"/>
      <c r="X620" s="1"/>
      <c r="Y620" s="1"/>
      <c r="AA620" s="1"/>
      <c r="AD620" s="1"/>
      <c r="AL620" s="1"/>
      <c r="AR620" s="1"/>
      <c r="AS620" s="1"/>
      <c r="CH620" s="1"/>
    </row>
    <row r="621" customFormat="false" ht="14.25" hidden="false" customHeight="false" outlineLevel="0" collapsed="false">
      <c r="R621" s="1"/>
      <c r="S621" s="1"/>
      <c r="T621" s="1"/>
      <c r="U621" s="1"/>
      <c r="V621" s="1"/>
      <c r="W621" s="1"/>
      <c r="X621" s="1"/>
      <c r="Y621" s="1"/>
      <c r="AA621" s="1"/>
      <c r="AD621" s="1"/>
      <c r="AL621" s="1"/>
      <c r="AR621" s="1"/>
      <c r="AS621" s="1"/>
      <c r="CH621" s="1"/>
    </row>
    <row r="622" customFormat="false" ht="14.25" hidden="false" customHeight="false" outlineLevel="0" collapsed="false">
      <c r="R622" s="1"/>
      <c r="S622" s="1"/>
      <c r="T622" s="1"/>
      <c r="U622" s="1"/>
      <c r="V622" s="1"/>
      <c r="W622" s="1"/>
      <c r="X622" s="1"/>
      <c r="Y622" s="1"/>
      <c r="AA622" s="1"/>
      <c r="AD622" s="1"/>
      <c r="AL622" s="1"/>
      <c r="AR622" s="1"/>
      <c r="AS622" s="1"/>
      <c r="CH622" s="1"/>
    </row>
    <row r="623" customFormat="false" ht="14.25" hidden="false" customHeight="false" outlineLevel="0" collapsed="false">
      <c r="R623" s="1"/>
      <c r="S623" s="1"/>
      <c r="T623" s="1"/>
      <c r="U623" s="1"/>
      <c r="V623" s="1"/>
      <c r="W623" s="1"/>
      <c r="X623" s="1"/>
      <c r="Y623" s="1"/>
      <c r="AA623" s="1"/>
      <c r="AD623" s="1"/>
      <c r="AL623" s="1"/>
      <c r="AR623" s="1"/>
      <c r="AS623" s="1"/>
      <c r="CH623" s="1"/>
    </row>
    <row r="624" customFormat="false" ht="14.25" hidden="false" customHeight="false" outlineLevel="0" collapsed="false">
      <c r="R624" s="1"/>
      <c r="S624" s="1"/>
      <c r="T624" s="1"/>
      <c r="U624" s="1"/>
      <c r="V624" s="1"/>
      <c r="W624" s="1"/>
      <c r="X624" s="1"/>
      <c r="Y624" s="1"/>
      <c r="AA624" s="1"/>
      <c r="AD624" s="1"/>
      <c r="AL624" s="1"/>
      <c r="AR624" s="1"/>
      <c r="AS624" s="1"/>
      <c r="CH624" s="1"/>
    </row>
    <row r="625" customFormat="false" ht="14.25" hidden="false" customHeight="false" outlineLevel="0" collapsed="false">
      <c r="R625" s="1"/>
      <c r="S625" s="1"/>
      <c r="T625" s="1"/>
      <c r="U625" s="1"/>
      <c r="V625" s="1"/>
      <c r="W625" s="1"/>
      <c r="X625" s="1"/>
      <c r="Y625" s="1"/>
      <c r="AA625" s="1"/>
      <c r="AD625" s="1"/>
      <c r="AL625" s="1"/>
      <c r="AR625" s="1"/>
      <c r="AS625" s="1"/>
      <c r="CH625" s="1"/>
    </row>
    <row r="626" customFormat="false" ht="14.25" hidden="false" customHeight="false" outlineLevel="0" collapsed="false">
      <c r="R626" s="1"/>
      <c r="S626" s="1"/>
      <c r="T626" s="1"/>
      <c r="U626" s="1"/>
      <c r="V626" s="1"/>
      <c r="W626" s="1"/>
      <c r="X626" s="1"/>
      <c r="Y626" s="1"/>
      <c r="AA626" s="1"/>
      <c r="AD626" s="1"/>
      <c r="AL626" s="1"/>
      <c r="AR626" s="1"/>
      <c r="AS626" s="1"/>
      <c r="CH626" s="1"/>
    </row>
    <row r="627" customFormat="false" ht="14.25" hidden="false" customHeight="false" outlineLevel="0" collapsed="false">
      <c r="R627" s="1"/>
      <c r="S627" s="1"/>
      <c r="T627" s="1"/>
      <c r="U627" s="1"/>
      <c r="V627" s="1"/>
      <c r="W627" s="1"/>
      <c r="X627" s="1"/>
      <c r="Y627" s="1"/>
      <c r="AA627" s="1"/>
      <c r="AD627" s="1"/>
      <c r="AL627" s="1"/>
      <c r="AR627" s="1"/>
      <c r="AS627" s="1"/>
      <c r="CH627" s="1"/>
    </row>
  </sheetData>
  <autoFilter ref="A1:CK414"/>
  <conditionalFormatting sqref="C628:C1048576 C453 C456:C460 C465 C542:C543 C534:C538 C540 C515:C520 C525:C529 C545:C550 C555:C557 C477:C513 C423:C431 C433:C449 C2:C421">
    <cfRule type="duplicateValues" priority="2" aboveAverage="0" equalAverage="0" bottom="0" percent="0" rank="0" text="" dxfId="19"/>
  </conditionalFormatting>
  <conditionalFormatting sqref="C454:C455 C422 C461:C464 C432 C466:C476 C551:C554 C539 C541 C514 C544 C521:C524 C530:C533 C450:C452">
    <cfRule type="duplicateValues" priority="3" aboveAverage="0" equalAverage="0" bottom="0" percent="0" rank="0" text="" dxfId="20"/>
  </conditionalFormatting>
  <conditionalFormatting sqref="C558:C594">
    <cfRule type="duplicateValues" priority="4" aboveAverage="0" equalAverage="0" bottom="0" percent="0" rank="0" text="" dxfId="19"/>
  </conditionalFormatting>
  <conditionalFormatting sqref="C602:C606">
    <cfRule type="duplicateValues" priority="5" aboveAverage="0" equalAverage="0" bottom="0" percent="0" rank="0" text="" dxfId="20"/>
  </conditionalFormatting>
  <conditionalFormatting sqref="C331:C333 C302 C287:C288 C274 C293 C295 C305 C309:C310 C318 C321 C206:C209 C335:C344 C361 C370:C375 C349:C358 C263:C269 C66:C105 C227:C231 C150:C186 C107:C147 C188:C203 C277:C280 C364:C368 C214:C225 C383 C233:C252 C2:C58 C389:C414">
    <cfRule type="duplicateValues" priority="6" aboveAverage="0" equalAverage="0" bottom="0" percent="0" rank="0" text="" dxfId="19"/>
  </conditionalFormatting>
  <conditionalFormatting sqref="C334 C363 C204:C206 C148:C149 C303:C304 C289:C291 C281:C286 C271:C273 C294 C296:C301 C306:C308 C311:C316 C319:C320 C210:C213 C232 C275:C276 C345:C348 C322:C330 C384:C388 C187 C226 C359:C360 C369 C254:C262 C376:C382">
    <cfRule type="duplicateValues" priority="7" aboveAverage="0" equalAverage="0" bottom="0" percent="0" rank="0" text="" dxfId="20"/>
  </conditionalFormatting>
  <conditionalFormatting sqref="C362">
    <cfRule type="duplicateValues" priority="8" aboveAverage="0" equalAverage="0" bottom="0" percent="0" rank="0" text="" dxfId="19"/>
  </conditionalFormatting>
  <conditionalFormatting sqref="C254:C262">
    <cfRule type="duplicateValues" priority="9" aboveAverage="0" equalAverage="0" bottom="0" percent="0" rank="0" text="" dxfId="20"/>
  </conditionalFormatting>
  <conditionalFormatting sqref="C253:C262">
    <cfRule type="duplicateValues" priority="10" aboveAverage="0" equalAverage="0" bottom="0" percent="0" rank="0" text="" dxfId="20"/>
  </conditionalFormatting>
  <conditionalFormatting sqref="C290:C292">
    <cfRule type="duplicateValues" priority="11" aboveAverage="0" equalAverage="0" bottom="0" percent="0" rank="0" text="" dxfId="19"/>
  </conditionalFormatting>
  <conditionalFormatting sqref="C271:C273">
    <cfRule type="duplicateValues" priority="12" aboveAverage="0" equalAverage="0" bottom="0" percent="0" rank="0" text="" dxfId="20"/>
  </conditionalFormatting>
  <conditionalFormatting sqref="C270:C273">
    <cfRule type="duplicateValues" priority="13" aboveAverage="0" equalAverage="0" bottom="0" percent="0" rank="0" text="" dxfId="20"/>
  </conditionalFormatting>
  <conditionalFormatting sqref="C317">
    <cfRule type="duplicateValues" priority="14" aboveAverage="0" equalAverage="0" bottom="0" percent="0" rank="0" text="" dxfId="19"/>
  </conditionalFormatting>
  <conditionalFormatting sqref="C377:C382">
    <cfRule type="duplicateValues" priority="15" aboveAverage="0" equalAverage="0" bottom="0" percent="0" rank="0" text="" dxfId="19"/>
  </conditionalFormatting>
  <conditionalFormatting sqref="C384">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9:C65 C70:C71 C74:C75 C87:C88 C79:C80 C83:C84 C92 C97 C94 C99:C100 C104:C105 C110 C114 C116:C117 C123:C124 C136 C155">
    <cfRule type="duplicateValues" priority="18" aboveAverage="0" equalAverage="0" bottom="0" percent="0" rank="0" text="" dxfId="19"/>
  </conditionalFormatting>
  <conditionalFormatting sqref="C105:C106">
    <cfRule type="duplicateValues" priority="19" aboveAverage="0" equalAverage="0" bottom="0" percent="0" rank="0" text="" dxfId="19"/>
  </conditionalFormatting>
  <dataValidations count="20">
    <dataValidation allowBlank="true" errorStyle="stop" operator="equal" showDropDown="false" showErrorMessage="true" showInputMessage="true" sqref="CE1:CE67 CE69 CE72:CE73 CE76:CE78 CE81:CE82 CE85 CE89:CE91 CE93 CE95:CE96 CE98 CE101:CE103 CE106:CE109 CE111:CE113 CE115 CE118:CE122 CE125:CE130 CE132:CE135 CE137:CE147 CE150:CE154 CE156:CE164 CE166:CE174 CE176:CE186 CE188:CE191 CE193:CE199 CE201:CE203 CE207:CE209 CE214:CE225 CE227:CE230 CE233:CE234 CE236:CE252 CE263:CE266 CE268 CE274 CE287:CE288 CE292:CE293 CE295 CE302 CE305 CE309:CE310 CE317:CE318 CE321 CE331:CE333 CE335:CE344 CE349:CE352 CE354:CE358 CE361:CE362 CE364:CE368 CE370:CE374 CE383 CE389:CE420 CE423:CE431 CE433 CE435:CE439 CE446:CE449 CE453 CE456:CE460 CE477:CE513 CE515:CE520 CE525:CE529 CE534:CE538 CE540 CE542:CE543 CE545:CE546 CE548:CE550 CE555 CE628:CE1594" type="list">
      <formula1>'Gameplay Planning'!$1:$1</formula1>
      <formula2>0</formula2>
    </dataValidation>
    <dataValidation allowBlank="true" errorStyle="stop" operator="equal" showDropDown="false" showErrorMessage="true" showInputMessage="true" sqref="CE187 CE322:CE326" type="list">
      <formula1>'Gameplay Planning'!$1:$1</formula1>
      <formula2>0</formula2>
    </dataValidation>
    <dataValidation allowBlank="true" errorStyle="stop" operator="equal" showDropDown="false" showErrorMessage="true" showInputMessage="true" sqref="CE204:CE206 CE232 CE382" type="list">
      <formula1>'Gameplay Planning'!$1:$1</formula1>
      <formula2>0</formula2>
    </dataValidation>
    <dataValidation allowBlank="true" errorStyle="stop" operator="equal" showDropDown="false" showErrorMessage="true" showInputMessage="true" sqref="CE210:CE211" type="list">
      <formula1>'Gameplay Planning'!$1:$1</formula1>
      <formula2>0</formula2>
    </dataValidation>
    <dataValidation allowBlank="true" errorStyle="stop" operator="equal" showDropDown="false" showErrorMessage="true" showInputMessage="true" sqref="CE212:CE213" type="list">
      <formula1>'Gameplay Planning'!$1:$1</formula1>
      <formula2>0</formula2>
    </dataValidation>
    <dataValidation allowBlank="true" errorStyle="stop" operator="equal" showDropDown="false" showErrorMessage="true" showInputMessage="true" sqref="CE226" type="list">
      <formula1>'Gameplay Planning'!$1:$1</formula1>
      <formula2>0</formula2>
    </dataValidation>
    <dataValidation allowBlank="true" errorStyle="stop" operator="equal" showDropDown="false" showErrorMessage="true" showInputMessage="true" sqref="CE235 CE421 CE434 CE440:CE445 CE465 CE547 CE556:CE557" type="list">
      <formula1>'Gameplay Planning'!$1:$1</formula1>
      <formula2>0</formula2>
    </dataValidation>
    <dataValidation allowBlank="true" errorStyle="stop" operator="equal" showDropDown="false" showErrorMessage="true" showInputMessage="true" sqref="CE253:CE262" type="list">
      <formula1>'Gameplay Planning'!$1:$1</formula1>
      <formula2>0</formula2>
    </dataValidation>
    <dataValidation allowBlank="true" errorStyle="stop" operator="equal" showDropDown="false" showErrorMessage="true" showInputMessage="true" sqref="CE270:CE273 CE275:CE276 CE281:CE282 CE303:CE304" type="list">
      <formula1>'Gameplay Planning'!$1:$1</formula1>
      <formula2>0</formula2>
    </dataValidation>
    <dataValidation allowBlank="true" errorStyle="stop" operator="equal" showDropDown="false" showErrorMessage="true" showInputMessage="true" sqref="CE283 CE289:CE291 CE294 CE308 CE328 CE334 CE359:CE360 CE384:CE388" type="list">
      <formula1>'Gameplay Planning'!$1:$1</formula1>
      <formula2>0</formula2>
    </dataValidation>
    <dataValidation allowBlank="true" errorStyle="stop" operator="equal" showDropDown="false" showErrorMessage="true" showInputMessage="true" sqref="CE285:CE286" type="list">
      <formula1>'Gameplay Planning'!$1:$1</formula1>
      <formula2>0</formula2>
    </dataValidation>
    <dataValidation allowBlank="true" errorStyle="stop" operator="equal" showDropDown="false" showErrorMessage="true" showInputMessage="true" sqref="CE296 CE306:CE307 CE313:CE316 CE329:CE330" type="list">
      <formula1>'Gameplay Planning'!$1:$1</formula1>
      <formula2>0</formula2>
    </dataValidation>
    <dataValidation allowBlank="true" errorStyle="stop" operator="equal" showDropDown="false" showErrorMessage="true" showInputMessage="true" sqref="CE297:CE301 CE454:CE455" type="list">
      <formula1>'Gameplay Planning'!$1:$1</formula1>
      <formula2>0</formula2>
    </dataValidation>
    <dataValidation allowBlank="true" errorStyle="stop" operator="equal" showDropDown="false" showErrorMessage="true" showInputMessage="true" sqref="CE311:CE312 CE327" type="list">
      <formula1>'Gameplay Planning'!$1:$1</formula1>
      <formula2>0</formula2>
    </dataValidation>
    <dataValidation allowBlank="true" errorStyle="stop" operator="equal" showDropDown="false" showErrorMessage="true" showInputMessage="true" sqref="CE319" type="list">
      <formula1>'Gameplay Planning'!$1:$1</formula1>
      <formula2>0</formula2>
    </dataValidation>
    <dataValidation allowBlank="true" errorStyle="stop" operator="equal" showDropDown="false" showErrorMessage="true" showInputMessage="true" sqref="CE345:CE348 CE363 CE369" type="list">
      <formula1>'Gameplay Planning'!$1:$1</formula1>
      <formula2>0</formula2>
    </dataValidation>
    <dataValidation allowBlank="true" errorStyle="stop" operator="equal" showDropDown="false" showErrorMessage="true" showInputMessage="true" sqref="CE376:CE381" type="list">
      <formula1>'Gameplay Planning'!$1:$1</formula1>
      <formula2>0</formula2>
    </dataValidation>
    <dataValidation allowBlank="true" errorStyle="stop" operator="equal" showDropDown="false" showErrorMessage="true" showInputMessage="true" sqref="CE422 CE432 CE450:CE452 CE461:CE464 CE466:CE476" type="list">
      <formula1>'Gameplay Planning'!$1:$1</formula1>
      <formula2>0</formula2>
    </dataValidation>
    <dataValidation allowBlank="true" errorStyle="stop" operator="equal" showDropDown="false" showErrorMessage="true" showInputMessage="true" sqref="CE514 CE523:CE524 CE533 CE539 CE541 CE544" type="list">
      <formula1>'Gameplay Planning'!$1:$1</formula1>
      <formula2>0</formula2>
    </dataValidation>
    <dataValidation allowBlank="true" errorStyle="stop" operator="equal" showDropDown="false" showErrorMessage="true" showInputMessage="true" sqref="CE521:CE522 CE530:CE532 CE551:CE554"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356</v>
      </c>
      <c r="F1" s="8" t="s">
        <v>282</v>
      </c>
      <c r="G1" s="8" t="s">
        <v>132</v>
      </c>
      <c r="H1" s="8" t="s">
        <v>542</v>
      </c>
      <c r="I1" s="8" t="s">
        <v>447</v>
      </c>
      <c r="J1" s="8" t="s">
        <v>390</v>
      </c>
      <c r="K1" s="8" t="s">
        <v>805</v>
      </c>
      <c r="L1" s="8" t="s">
        <v>824</v>
      </c>
      <c r="M1" s="8" t="s">
        <v>1016</v>
      </c>
      <c r="N1" s="8" t="s">
        <v>858</v>
      </c>
      <c r="O1" s="8" t="s">
        <v>913</v>
      </c>
      <c r="P1" s="8" t="s">
        <v>1483</v>
      </c>
      <c r="Q1" s="8" t="s">
        <v>1582</v>
      </c>
      <c r="R1" s="8" t="s">
        <v>1709</v>
      </c>
      <c r="S1" s="8" t="s">
        <v>1835</v>
      </c>
      <c r="T1" s="8" t="s">
        <v>1892</v>
      </c>
      <c r="U1" s="8" t="s">
        <v>1968</v>
      </c>
      <c r="V1" s="8" t="s">
        <v>1935</v>
      </c>
      <c r="W1" s="8" t="s">
        <v>1877</v>
      </c>
    </row>
    <row r="2" customFormat="false" ht="14.25" hidden="false" customHeight="false" outlineLevel="0" collapsed="false">
      <c r="A2" s="8" t="s">
        <v>2179</v>
      </c>
      <c r="B2" s="8" t="s">
        <v>2180</v>
      </c>
    </row>
    <row r="3" customFormat="false" ht="14.25" hidden="false" customHeight="false" outlineLevel="0" collapsed="false">
      <c r="A3" s="1" t="s">
        <v>272</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306</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382</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471</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580</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611</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22</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647</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9</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1234</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799</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16</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2181</v>
      </c>
      <c r="B1" s="8" t="s">
        <v>2182</v>
      </c>
      <c r="C1" s="8" t="s">
        <v>2183</v>
      </c>
    </row>
    <row r="2" customFormat="false" ht="14.25" hidden="false" customHeight="false" outlineLevel="0" collapsed="false">
      <c r="A2" s="1" t="n">
        <v>1700</v>
      </c>
      <c r="B2" s="1" t="s">
        <v>272</v>
      </c>
      <c r="C2" s="1" t="s">
        <v>2184</v>
      </c>
    </row>
    <row r="3" customFormat="false" ht="14.25" hidden="false" customHeight="false" outlineLevel="0" collapsed="false">
      <c r="A3" s="1" t="n">
        <v>1850</v>
      </c>
      <c r="B3" s="1" t="s">
        <v>306</v>
      </c>
      <c r="C3" s="1" t="s">
        <v>2185</v>
      </c>
    </row>
    <row r="4" customFormat="false" ht="14.25" hidden="false" customHeight="false" outlineLevel="0" collapsed="false">
      <c r="A4" s="1" t="n">
        <v>1900</v>
      </c>
      <c r="B4" s="1" t="s">
        <v>382</v>
      </c>
      <c r="C4" s="1" t="s">
        <v>2186</v>
      </c>
    </row>
    <row r="5" customFormat="false" ht="14.25" hidden="false" customHeight="false" outlineLevel="0" collapsed="false">
      <c r="A5" s="1" t="n">
        <v>1923</v>
      </c>
      <c r="B5" s="1" t="s">
        <v>471</v>
      </c>
      <c r="C5" s="1" t="s">
        <v>2187</v>
      </c>
    </row>
    <row r="6" customFormat="false" ht="14.25" hidden="false" customHeight="false" outlineLevel="0" collapsed="false">
      <c r="A6" s="1" t="n">
        <v>1948</v>
      </c>
      <c r="B6" s="1" t="s">
        <v>580</v>
      </c>
      <c r="C6" s="1" t="s">
        <v>2188</v>
      </c>
    </row>
    <row r="7" customFormat="false" ht="14.25" hidden="false" customHeight="false" outlineLevel="0" collapsed="false">
      <c r="A7" s="1" t="n">
        <v>1955</v>
      </c>
      <c r="B7" s="1" t="s">
        <v>611</v>
      </c>
      <c r="C7" s="1" t="s">
        <v>2189</v>
      </c>
    </row>
    <row r="8" customFormat="false" ht="14.25" hidden="false" customHeight="false" outlineLevel="0" collapsed="false">
      <c r="A8" s="1" t="n">
        <v>1970</v>
      </c>
      <c r="B8" s="1" t="s">
        <v>647</v>
      </c>
      <c r="C8" s="1" t="s">
        <v>2190</v>
      </c>
    </row>
    <row r="9" customFormat="false" ht="14.25" hidden="false" customHeight="false" outlineLevel="0" collapsed="false">
      <c r="A9" s="1" t="n">
        <v>1995</v>
      </c>
      <c r="B9" s="1" t="s">
        <v>1234</v>
      </c>
      <c r="C9" s="1" t="s">
        <v>2191</v>
      </c>
    </row>
    <row r="10" customFormat="false" ht="14.25" hidden="false" customHeight="false" outlineLevel="0" collapsed="false">
      <c r="A10" s="1" t="n">
        <v>2005</v>
      </c>
      <c r="B10" s="1" t="s">
        <v>799</v>
      </c>
      <c r="C10" s="1" t="s">
        <v>2192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3" activeCellId="0" sqref="N3"/>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2193</v>
      </c>
      <c r="B1" s="8" t="s">
        <v>2194</v>
      </c>
      <c r="C1" s="8" t="s">
        <v>2195</v>
      </c>
      <c r="F1" s="8" t="s">
        <v>2196</v>
      </c>
      <c r="G1" s="1" t="n">
        <v>15</v>
      </c>
      <c r="I1" s="8" t="s">
        <v>147</v>
      </c>
      <c r="J1" s="8" t="s">
        <v>2197</v>
      </c>
      <c r="K1" s="8" t="s">
        <v>2198</v>
      </c>
      <c r="M1" s="8" t="s">
        <v>2199</v>
      </c>
      <c r="N1" s="8" t="s">
        <v>2200</v>
      </c>
      <c r="O1" s="8" t="s">
        <v>16</v>
      </c>
      <c r="P1" s="8" t="s">
        <v>7</v>
      </c>
      <c r="T1" s="8" t="s">
        <v>121</v>
      </c>
      <c r="U1" s="8" t="s">
        <v>95</v>
      </c>
    </row>
    <row r="2" customFormat="false" ht="14.25" hidden="false" customHeight="false" outlineLevel="0" collapsed="false">
      <c r="A2" s="1" t="n">
        <v>0</v>
      </c>
      <c r="B2" s="1" t="s">
        <v>349</v>
      </c>
      <c r="F2" s="8" t="s">
        <v>2201</v>
      </c>
      <c r="G2" s="1" t="n">
        <v>5</v>
      </c>
      <c r="I2" s="1" t="s">
        <v>525</v>
      </c>
      <c r="J2" s="1" t="n">
        <v>1</v>
      </c>
      <c r="K2" s="1" t="n">
        <v>2</v>
      </c>
      <c r="M2" s="1" t="s">
        <v>1181</v>
      </c>
      <c r="N2" s="1" t="s">
        <v>2202</v>
      </c>
      <c r="O2" s="1" t="s">
        <v>103</v>
      </c>
      <c r="P2" s="26" t="s">
        <v>2203</v>
      </c>
      <c r="T2" s="26" t="s">
        <v>123</v>
      </c>
      <c r="U2" s="1" t="s">
        <v>125</v>
      </c>
    </row>
    <row r="3" customFormat="false" ht="14.25" hidden="false" customHeight="false" outlineLevel="0" collapsed="false">
      <c r="A3" s="1" t="n">
        <v>3</v>
      </c>
      <c r="B3" s="1" t="s">
        <v>468</v>
      </c>
      <c r="C3" s="1" t="s">
        <v>468</v>
      </c>
      <c r="I3" s="1" t="s">
        <v>388</v>
      </c>
      <c r="J3" s="1" t="n">
        <v>0.85</v>
      </c>
      <c r="K3" s="1" t="n">
        <v>2.3</v>
      </c>
      <c r="M3" s="1" t="s">
        <v>2204</v>
      </c>
      <c r="N3" s="1" t="s">
        <v>2202</v>
      </c>
      <c r="O3" s="1" t="s">
        <v>100</v>
      </c>
      <c r="P3" s="26" t="s">
        <v>2205</v>
      </c>
      <c r="T3" s="26" t="s">
        <v>129</v>
      </c>
      <c r="U3" s="1" t="s">
        <v>131</v>
      </c>
    </row>
    <row r="4" customFormat="false" ht="14.25" hidden="false" customHeight="false" outlineLevel="0" collapsed="false">
      <c r="A4" s="1" t="n">
        <v>4</v>
      </c>
      <c r="B4" s="1" t="s">
        <v>2206</v>
      </c>
      <c r="C4" s="1" t="s">
        <v>2206</v>
      </c>
      <c r="I4" s="1" t="s">
        <v>250</v>
      </c>
      <c r="J4" s="1" t="n">
        <v>1.15</v>
      </c>
      <c r="K4" s="1" t="n">
        <v>1.7</v>
      </c>
      <c r="M4" s="1" t="s">
        <v>2207</v>
      </c>
      <c r="N4" s="1" t="s">
        <v>2202</v>
      </c>
      <c r="O4" s="1" t="s">
        <v>2208</v>
      </c>
      <c r="P4" s="26" t="s">
        <v>2209</v>
      </c>
      <c r="T4" s="26" t="s">
        <v>356</v>
      </c>
      <c r="U4" s="1" t="s">
        <v>131</v>
      </c>
    </row>
    <row r="5" customFormat="false" ht="14.25" hidden="false" customHeight="false" outlineLevel="0" collapsed="false">
      <c r="A5" s="1" t="n">
        <v>5</v>
      </c>
      <c r="B5" s="1" t="s">
        <v>2210</v>
      </c>
      <c r="C5" s="1" t="s">
        <v>2210</v>
      </c>
      <c r="I5" s="1" t="s">
        <v>678</v>
      </c>
      <c r="J5" s="1" t="n">
        <v>0.9</v>
      </c>
      <c r="K5" s="1" t="n">
        <v>2.5</v>
      </c>
      <c r="M5" s="1" t="s">
        <v>2211</v>
      </c>
      <c r="N5" s="1" t="s">
        <v>2202</v>
      </c>
      <c r="O5" s="1" t="s">
        <v>2212</v>
      </c>
      <c r="P5" s="26" t="s">
        <v>2209</v>
      </c>
      <c r="T5" s="26" t="s">
        <v>282</v>
      </c>
      <c r="U5" s="1" t="s">
        <v>128</v>
      </c>
    </row>
    <row r="6" customFormat="false" ht="14.25" hidden="false" customHeight="false" outlineLevel="0" collapsed="false">
      <c r="A6" s="1" t="n">
        <v>6</v>
      </c>
      <c r="B6" s="1" t="s">
        <v>2213</v>
      </c>
      <c r="C6" s="1" t="s">
        <v>2213</v>
      </c>
      <c r="I6" s="1" t="s">
        <v>710</v>
      </c>
      <c r="J6" s="1" t="n">
        <v>0.85</v>
      </c>
      <c r="K6" s="1" t="n">
        <v>2.4</v>
      </c>
      <c r="M6" s="1" t="s">
        <v>2214</v>
      </c>
      <c r="N6" s="1" t="s">
        <v>2202</v>
      </c>
      <c r="P6" s="26" t="s">
        <v>98</v>
      </c>
      <c r="T6" s="26" t="s">
        <v>132</v>
      </c>
      <c r="U6" s="1" t="s">
        <v>134</v>
      </c>
    </row>
    <row r="7" customFormat="false" ht="14.25" hidden="false" customHeight="false" outlineLevel="0" collapsed="false">
      <c r="A7" s="1" t="n">
        <v>7</v>
      </c>
      <c r="B7" s="1" t="s">
        <v>2215</v>
      </c>
      <c r="C7" s="1" t="s">
        <v>2215</v>
      </c>
      <c r="I7" s="1" t="s">
        <v>1581</v>
      </c>
      <c r="J7" s="1" t="n">
        <v>1.2</v>
      </c>
      <c r="K7" s="1" t="n">
        <v>0.6</v>
      </c>
      <c r="M7" s="1" t="s">
        <v>2216</v>
      </c>
      <c r="N7" s="1" t="s">
        <v>2202</v>
      </c>
      <c r="P7" s="26" t="s">
        <v>98</v>
      </c>
      <c r="T7" s="26" t="s">
        <v>542</v>
      </c>
      <c r="U7" s="1" t="s">
        <v>131</v>
      </c>
    </row>
    <row r="8" customFormat="false" ht="14.25" hidden="false" customHeight="false" outlineLevel="0" collapsed="false">
      <c r="A8" s="1" t="n">
        <v>8</v>
      </c>
      <c r="B8" s="1" t="s">
        <v>2217</v>
      </c>
      <c r="C8" s="1" t="s">
        <v>2217</v>
      </c>
      <c r="I8" s="1" t="s">
        <v>1603</v>
      </c>
      <c r="J8" s="1" t="n">
        <v>1.5</v>
      </c>
      <c r="K8" s="1" t="n">
        <v>0.7</v>
      </c>
      <c r="M8" s="1" t="s">
        <v>2218</v>
      </c>
      <c r="N8" s="1" t="s">
        <v>2202</v>
      </c>
      <c r="P8" s="26" t="s">
        <v>98</v>
      </c>
      <c r="T8" s="26" t="s">
        <v>447</v>
      </c>
      <c r="U8" s="1" t="s">
        <v>128</v>
      </c>
    </row>
    <row r="9" customFormat="false" ht="14.25" hidden="false" customHeight="false" outlineLevel="0" collapsed="false">
      <c r="A9" s="1" t="n">
        <v>9</v>
      </c>
      <c r="B9" s="1" t="s">
        <v>2219</v>
      </c>
      <c r="C9" s="1" t="s">
        <v>2219</v>
      </c>
      <c r="I9" s="1" t="s">
        <v>1580</v>
      </c>
      <c r="J9" s="1" t="n">
        <v>1</v>
      </c>
      <c r="K9" s="1" t="n">
        <v>0.45</v>
      </c>
      <c r="M9" s="1" t="s">
        <v>2220</v>
      </c>
      <c r="N9" s="1" t="s">
        <v>2202</v>
      </c>
      <c r="P9" s="26" t="s">
        <v>98</v>
      </c>
      <c r="T9" s="26" t="s">
        <v>390</v>
      </c>
      <c r="U9" s="1" t="s">
        <v>134</v>
      </c>
    </row>
    <row r="10" customFormat="false" ht="14.25" hidden="false" customHeight="false" outlineLevel="0" collapsed="false">
      <c r="A10" s="1" t="n">
        <v>10</v>
      </c>
      <c r="B10" s="1" t="s">
        <v>2221</v>
      </c>
      <c r="C10" s="1" t="s">
        <v>2221</v>
      </c>
      <c r="I10" s="1" t="s">
        <v>2046</v>
      </c>
      <c r="J10" s="1" t="n">
        <v>1</v>
      </c>
      <c r="K10" s="1" t="n">
        <v>0.4</v>
      </c>
      <c r="M10" s="1" t="s">
        <v>2222</v>
      </c>
      <c r="N10" s="1" t="s">
        <v>2202</v>
      </c>
      <c r="P10" s="26" t="s">
        <v>2205</v>
      </c>
      <c r="T10" s="26" t="s">
        <v>805</v>
      </c>
      <c r="U10" s="1" t="s">
        <v>125</v>
      </c>
    </row>
    <row r="11" customFormat="false" ht="14.25" hidden="false" customHeight="false" outlineLevel="0" collapsed="false">
      <c r="A11" s="1" t="n">
        <v>11</v>
      </c>
      <c r="B11" s="1" t="s">
        <v>2223</v>
      </c>
      <c r="C11" s="1" t="s">
        <v>2223</v>
      </c>
      <c r="I11" s="1" t="s">
        <v>1481</v>
      </c>
      <c r="J11" s="1" t="n">
        <v>0.9</v>
      </c>
      <c r="K11" s="1" t="n">
        <v>1.6</v>
      </c>
      <c r="M11" s="1" t="s">
        <v>2224</v>
      </c>
      <c r="N11" s="1" t="s">
        <v>2202</v>
      </c>
      <c r="O11" s="1" t="s">
        <v>2225</v>
      </c>
      <c r="P11" s="26" t="s">
        <v>2203</v>
      </c>
      <c r="T11" s="26" t="s">
        <v>824</v>
      </c>
      <c r="U11" s="1" t="s">
        <v>125</v>
      </c>
    </row>
    <row r="12" customFormat="false" ht="14.25" hidden="false" customHeight="false" outlineLevel="0" collapsed="false">
      <c r="A12" s="1" t="n">
        <v>12</v>
      </c>
      <c r="B12" s="1" t="s">
        <v>2226</v>
      </c>
      <c r="C12" s="1" t="s">
        <v>2226</v>
      </c>
      <c r="I12" s="1" t="s">
        <v>40</v>
      </c>
      <c r="J12" s="1" t="n">
        <v>0</v>
      </c>
      <c r="K12" s="1" t="n">
        <v>0</v>
      </c>
      <c r="M12" s="1" t="s">
        <v>2227</v>
      </c>
      <c r="N12" s="1" t="s">
        <v>2202</v>
      </c>
      <c r="O12" s="1" t="s">
        <v>2228</v>
      </c>
      <c r="P12" s="26" t="s">
        <v>2209</v>
      </c>
      <c r="T12" s="26" t="s">
        <v>1016</v>
      </c>
      <c r="U12" s="1" t="s">
        <v>128</v>
      </c>
    </row>
    <row r="13" customFormat="false" ht="14.25" hidden="false" customHeight="false" outlineLevel="0" collapsed="false">
      <c r="A13" s="1" t="n">
        <v>13</v>
      </c>
      <c r="B13" s="1" t="s">
        <v>2229</v>
      </c>
      <c r="C13" s="1" t="s">
        <v>2229</v>
      </c>
      <c r="I13" s="1" t="s">
        <v>803</v>
      </c>
      <c r="J13" s="1" t="n">
        <v>1.05</v>
      </c>
      <c r="K13" s="1" t="n">
        <v>1.9</v>
      </c>
      <c r="M13" s="1" t="s">
        <v>2230</v>
      </c>
      <c r="N13" s="1" t="s">
        <v>2202</v>
      </c>
      <c r="P13" s="26" t="s">
        <v>98</v>
      </c>
      <c r="T13" s="26" t="s">
        <v>858</v>
      </c>
      <c r="U13" s="1" t="s">
        <v>125</v>
      </c>
    </row>
    <row r="14" customFormat="false" ht="14.25" hidden="false" customHeight="false" outlineLevel="0" collapsed="false">
      <c r="A14" s="1" t="n">
        <v>14</v>
      </c>
      <c r="B14" s="1" t="s">
        <v>2231</v>
      </c>
      <c r="C14" s="1" t="s">
        <v>2231</v>
      </c>
      <c r="I14" s="1" t="s">
        <v>1328</v>
      </c>
      <c r="J14" s="1" t="n">
        <v>0.98</v>
      </c>
      <c r="K14" s="1" t="n">
        <v>1.88</v>
      </c>
      <c r="M14" s="1" t="s">
        <v>2232</v>
      </c>
      <c r="N14" s="1" t="s">
        <v>2202</v>
      </c>
      <c r="P14" s="26" t="s">
        <v>98</v>
      </c>
      <c r="T14" s="26" t="s">
        <v>913</v>
      </c>
      <c r="U14" s="1" t="s">
        <v>128</v>
      </c>
    </row>
    <row r="15" customFormat="false" ht="14.25" hidden="false" customHeight="false" outlineLevel="0" collapsed="false">
      <c r="A15" s="1" t="n">
        <v>15</v>
      </c>
      <c r="B15" s="1" t="s">
        <v>2233</v>
      </c>
      <c r="C15" s="1" t="s">
        <v>2233</v>
      </c>
      <c r="I15" s="1" t="s">
        <v>242</v>
      </c>
      <c r="J15" s="1" t="n">
        <v>0.5</v>
      </c>
      <c r="K15" s="1" t="n">
        <v>0.5</v>
      </c>
      <c r="M15" s="1" t="s">
        <v>2234</v>
      </c>
      <c r="N15" s="1" t="s">
        <v>2202</v>
      </c>
      <c r="P15" s="26" t="s">
        <v>98</v>
      </c>
      <c r="T15" s="26" t="s">
        <v>1483</v>
      </c>
      <c r="U15" s="1" t="s">
        <v>125</v>
      </c>
    </row>
    <row r="16" customFormat="false" ht="14.25" hidden="false" customHeight="false" outlineLevel="0" collapsed="false">
      <c r="A16" s="1" t="n">
        <v>16</v>
      </c>
      <c r="B16" s="1" t="s">
        <v>2235</v>
      </c>
      <c r="C16" s="1" t="s">
        <v>2235</v>
      </c>
      <c r="I16" s="1" t="s">
        <v>704</v>
      </c>
      <c r="J16" s="1" t="n">
        <v>0.85</v>
      </c>
      <c r="K16" s="1" t="n">
        <v>2.3</v>
      </c>
      <c r="M16" s="1" t="s">
        <v>2236</v>
      </c>
      <c r="N16" s="1" t="s">
        <v>2202</v>
      </c>
      <c r="O16" s="1" t="s">
        <v>106</v>
      </c>
      <c r="P16" s="26" t="s">
        <v>2237</v>
      </c>
      <c r="T16" s="26" t="s">
        <v>1582</v>
      </c>
      <c r="U16" s="1" t="s">
        <v>125</v>
      </c>
    </row>
    <row r="17" customFormat="false" ht="14.25" hidden="false" customHeight="false" outlineLevel="0" collapsed="false">
      <c r="I17" s="1" t="s">
        <v>579</v>
      </c>
      <c r="J17" s="1" t="n">
        <v>1</v>
      </c>
      <c r="K17" s="1" t="n">
        <v>2</v>
      </c>
      <c r="M17" s="1" t="s">
        <v>2238</v>
      </c>
      <c r="N17" s="1" t="s">
        <v>2202</v>
      </c>
      <c r="O17" s="1" t="s">
        <v>2239</v>
      </c>
      <c r="P17" s="26" t="s">
        <v>2203</v>
      </c>
      <c r="T17" s="26" t="s">
        <v>1709</v>
      </c>
      <c r="U17" s="1" t="s">
        <v>146</v>
      </c>
    </row>
    <row r="18" customFormat="false" ht="14.25" hidden="false" customHeight="false" outlineLevel="0" collapsed="false">
      <c r="I18" s="33" t="s">
        <v>1753</v>
      </c>
      <c r="J18" s="1" t="n">
        <v>1</v>
      </c>
      <c r="K18" s="1" t="n">
        <v>1.5</v>
      </c>
      <c r="M18" s="1" t="s">
        <v>2240</v>
      </c>
      <c r="N18" s="1" t="s">
        <v>2202</v>
      </c>
      <c r="O18" s="1" t="s">
        <v>2241</v>
      </c>
      <c r="P18" s="26" t="s">
        <v>2203</v>
      </c>
      <c r="T18" s="26" t="s">
        <v>1835</v>
      </c>
      <c r="U18" s="1" t="s">
        <v>134</v>
      </c>
    </row>
    <row r="19" customFormat="false" ht="14.25" hidden="false" customHeight="false" outlineLevel="0" collapsed="false">
      <c r="I19" s="1" t="s">
        <v>1068</v>
      </c>
      <c r="J19" s="1" t="n">
        <v>1</v>
      </c>
      <c r="K19" s="1" t="n">
        <v>1</v>
      </c>
      <c r="M19" s="1" t="s">
        <v>2242</v>
      </c>
      <c r="N19" s="1" t="s">
        <v>2202</v>
      </c>
      <c r="P19" s="26" t="s">
        <v>98</v>
      </c>
      <c r="T19" s="26" t="s">
        <v>1892</v>
      </c>
      <c r="U19" s="1" t="s">
        <v>134</v>
      </c>
    </row>
    <row r="20" customFormat="false" ht="14.25" hidden="false" customHeight="false" outlineLevel="0" collapsed="false">
      <c r="M20" s="1" t="s">
        <v>2243</v>
      </c>
      <c r="N20" s="1" t="s">
        <v>2202</v>
      </c>
      <c r="O20" s="1" t="s">
        <v>100</v>
      </c>
      <c r="P20" s="26" t="s">
        <v>2205</v>
      </c>
      <c r="T20" s="26" t="s">
        <v>1968</v>
      </c>
      <c r="U20" s="1" t="s">
        <v>134</v>
      </c>
    </row>
    <row r="21" customFormat="false" ht="14.25" hidden="false" customHeight="false" outlineLevel="0" collapsed="false">
      <c r="M21" s="1" t="s">
        <v>2244</v>
      </c>
      <c r="N21" s="1" t="s">
        <v>2202</v>
      </c>
      <c r="P21" s="26" t="s">
        <v>98</v>
      </c>
      <c r="T21" s="26" t="s">
        <v>1935</v>
      </c>
      <c r="U21" s="1" t="s">
        <v>134</v>
      </c>
    </row>
    <row r="22" customFormat="false" ht="14.25" hidden="false" customHeight="false" outlineLevel="0" collapsed="false">
      <c r="M22" s="1" t="s">
        <v>2245</v>
      </c>
      <c r="N22" s="1" t="s">
        <v>2202</v>
      </c>
      <c r="O22" s="1" t="s">
        <v>2246</v>
      </c>
      <c r="P22" s="26" t="s">
        <v>2247</v>
      </c>
      <c r="T22" s="26" t="s">
        <v>1877</v>
      </c>
      <c r="U22" s="1" t="s">
        <v>134</v>
      </c>
    </row>
    <row r="23" customFormat="false" ht="14.25" hidden="false" customHeight="false" outlineLevel="0" collapsed="false">
      <c r="M23" s="1" t="s">
        <v>2248</v>
      </c>
      <c r="N23" s="1" t="s">
        <v>2202</v>
      </c>
      <c r="O23" s="1" t="s">
        <v>2249</v>
      </c>
      <c r="P23" s="26" t="s">
        <v>2209</v>
      </c>
      <c r="T23" s="26" t="s">
        <v>279</v>
      </c>
    </row>
    <row r="24" customFormat="false" ht="14.25" hidden="false" customHeight="false" outlineLevel="0" collapsed="false">
      <c r="M24" s="1" t="s">
        <v>2250</v>
      </c>
      <c r="N24" s="1" t="s">
        <v>2202</v>
      </c>
      <c r="P24" s="26" t="s">
        <v>98</v>
      </c>
      <c r="T24" s="1" t="s">
        <v>144</v>
      </c>
      <c r="U24" s="1" t="s">
        <v>146</v>
      </c>
    </row>
    <row r="25" customFormat="false" ht="14.25" hidden="false" customHeight="false" outlineLevel="0" collapsed="false">
      <c r="M25" s="1" t="s">
        <v>2251</v>
      </c>
      <c r="N25" s="1" t="s">
        <v>2202</v>
      </c>
      <c r="P25" s="26" t="s">
        <v>98</v>
      </c>
    </row>
    <row r="26" customFormat="false" ht="14.25" hidden="false" customHeight="false" outlineLevel="0" collapsed="false">
      <c r="M26" s="1" t="s">
        <v>2252</v>
      </c>
      <c r="N26" s="1" t="s">
        <v>2202</v>
      </c>
      <c r="P26" s="26" t="s">
        <v>98</v>
      </c>
    </row>
    <row r="27" customFormat="false" ht="14.25" hidden="false" customHeight="false" outlineLevel="0" collapsed="false">
      <c r="M27" s="1" t="s">
        <v>2253</v>
      </c>
      <c r="N27" s="1" t="s">
        <v>2202</v>
      </c>
      <c r="P27" s="26" t="s">
        <v>98</v>
      </c>
    </row>
    <row r="28" customFormat="false" ht="14.25" hidden="false" customHeight="false" outlineLevel="0" collapsed="false">
      <c r="M28" s="1" t="s">
        <v>2254</v>
      </c>
      <c r="N28" s="1" t="s">
        <v>2202</v>
      </c>
      <c r="O28" s="1" t="s">
        <v>115</v>
      </c>
      <c r="P28" s="26" t="s">
        <v>2255</v>
      </c>
    </row>
    <row r="29" customFormat="false" ht="14.25" hidden="false" customHeight="false" outlineLevel="0" collapsed="false">
      <c r="M29" s="1" t="s">
        <v>2256</v>
      </c>
      <c r="N29" s="1" t="s">
        <v>2202</v>
      </c>
      <c r="O29" s="1" t="s">
        <v>2257</v>
      </c>
      <c r="P29" s="26" t="s">
        <v>2258</v>
      </c>
    </row>
    <row r="30" customFormat="false" ht="14.25" hidden="false" customHeight="false" outlineLevel="0" collapsed="false">
      <c r="M30" s="33" t="s">
        <v>2259</v>
      </c>
      <c r="N30" s="1" t="s">
        <v>2202</v>
      </c>
      <c r="P30" s="26" t="s">
        <v>98</v>
      </c>
    </row>
    <row r="31" customFormat="false" ht="14.25" hidden="false" customHeight="false" outlineLevel="0" collapsed="false">
      <c r="M31" s="1" t="s">
        <v>2260</v>
      </c>
      <c r="N31" s="1" t="s">
        <v>2202</v>
      </c>
      <c r="P31" s="26" t="s">
        <v>2209</v>
      </c>
    </row>
    <row r="32" customFormat="false" ht="14.25" hidden="false" customHeight="false" outlineLevel="0" collapsed="false">
      <c r="M32" s="1" t="s">
        <v>2261</v>
      </c>
      <c r="N32" s="1" t="s">
        <v>2202</v>
      </c>
      <c r="O32" s="1" t="s">
        <v>2246</v>
      </c>
      <c r="P32" s="26" t="s">
        <v>2247</v>
      </c>
    </row>
    <row r="33" customFormat="false" ht="14.25" hidden="false" customHeight="false" outlineLevel="0" collapsed="false">
      <c r="M33" s="1" t="s">
        <v>2262</v>
      </c>
      <c r="N33" s="1" t="s">
        <v>2202</v>
      </c>
      <c r="P33" s="26" t="s">
        <v>98</v>
      </c>
    </row>
    <row r="34" customFormat="false" ht="14.25" hidden="false" customHeight="false" outlineLevel="0" collapsed="false">
      <c r="M34" s="1" t="s">
        <v>2263</v>
      </c>
      <c r="N34" s="1" t="s">
        <v>2202</v>
      </c>
      <c r="O34" s="1" t="s">
        <v>103</v>
      </c>
      <c r="P34" s="26" t="s">
        <v>2203</v>
      </c>
    </row>
    <row r="35" customFormat="false" ht="14.25" hidden="false" customHeight="false" outlineLevel="0" collapsed="false">
      <c r="M35" s="1" t="s">
        <v>2264</v>
      </c>
      <c r="N35" s="1" t="s">
        <v>2202</v>
      </c>
      <c r="O35" s="1" t="s">
        <v>106</v>
      </c>
      <c r="P35" s="26" t="s">
        <v>2203</v>
      </c>
    </row>
    <row r="36" customFormat="false" ht="14.25" hidden="false" customHeight="false" outlineLevel="0" collapsed="false">
      <c r="M36" s="1" t="s">
        <v>2265</v>
      </c>
      <c r="N36" s="1" t="s">
        <v>2202</v>
      </c>
      <c r="O36" s="1" t="s">
        <v>100</v>
      </c>
      <c r="P36" s="26" t="s">
        <v>2205</v>
      </c>
    </row>
    <row r="38" customFormat="false" ht="14.25" hidden="false" customHeight="false" outlineLevel="0" collapsed="false">
      <c r="N38"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2266</v>
      </c>
      <c r="B1" s="8" t="s">
        <v>2267</v>
      </c>
      <c r="C1" s="8" t="s">
        <v>2268</v>
      </c>
      <c r="D1" s="8" t="s">
        <v>2269</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54" colorId="64" zoomScale="100" zoomScaleNormal="100" zoomScalePageLayoutView="100" workbookViewId="0">
      <selection pane="topLeft" activeCell="I175" activeCellId="0" sqref="I175"/>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2270</v>
      </c>
    </row>
    <row r="3" customFormat="false" ht="14.25" hidden="false" customHeight="false" outlineLevel="0" collapsed="false">
      <c r="A3" s="1" t="s">
        <v>2271</v>
      </c>
      <c r="B3" s="1" t="s">
        <v>1070</v>
      </c>
      <c r="C3" s="1" t="s">
        <v>2272</v>
      </c>
      <c r="D3" s="1" t="s">
        <v>2272</v>
      </c>
      <c r="E3" s="1" t="s">
        <v>2272</v>
      </c>
      <c r="F3" s="1" t="s">
        <v>2272</v>
      </c>
      <c r="G3" s="1" t="s">
        <v>2273</v>
      </c>
      <c r="H3" s="1" t="s">
        <v>2274</v>
      </c>
      <c r="I3" s="1" t="s">
        <v>2274</v>
      </c>
      <c r="J3" s="1" t="s">
        <v>1715</v>
      </c>
      <c r="K3" s="1" t="s">
        <v>2272</v>
      </c>
      <c r="L3" s="1" t="s">
        <v>2272</v>
      </c>
      <c r="M3" s="1" t="s">
        <v>2272</v>
      </c>
      <c r="N3" s="1" t="s">
        <v>2272</v>
      </c>
      <c r="O3" s="1" t="s">
        <v>2275</v>
      </c>
    </row>
    <row r="4" customFormat="false" ht="14.25" hidden="false" customHeight="false" outlineLevel="0" collapsed="false">
      <c r="A4" s="1" t="s">
        <v>2276</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2277</v>
      </c>
    </row>
    <row r="7" customFormat="false" ht="14.25" hidden="false" customHeight="false" outlineLevel="0" collapsed="false">
      <c r="A7" s="1" t="s">
        <v>2271</v>
      </c>
      <c r="B7" s="1" t="s">
        <v>1209</v>
      </c>
      <c r="C7" s="1" t="s">
        <v>2278</v>
      </c>
      <c r="D7" s="1" t="s">
        <v>2279</v>
      </c>
      <c r="E7" s="1" t="s">
        <v>2279</v>
      </c>
      <c r="F7" s="1" t="s">
        <v>2279</v>
      </c>
      <c r="G7" s="1" t="s">
        <v>2279</v>
      </c>
      <c r="H7" s="1" t="s">
        <v>2280</v>
      </c>
      <c r="I7" s="1" t="s">
        <v>2279</v>
      </c>
      <c r="J7" s="1" t="s">
        <v>2279</v>
      </c>
      <c r="K7" s="1" t="s">
        <v>2279</v>
      </c>
      <c r="L7" s="1" t="s">
        <v>2279</v>
      </c>
      <c r="M7" s="1" t="s">
        <v>2279</v>
      </c>
      <c r="N7" s="1" t="s">
        <v>2279</v>
      </c>
      <c r="O7" s="1" t="s">
        <v>2280</v>
      </c>
      <c r="P7" s="1" t="s">
        <v>2279</v>
      </c>
      <c r="Q7" s="1" t="s">
        <v>2279</v>
      </c>
      <c r="R7" s="1" t="s">
        <v>2279</v>
      </c>
      <c r="S7" s="1" t="s">
        <v>2279</v>
      </c>
      <c r="T7" s="1" t="s">
        <v>2281</v>
      </c>
      <c r="U7" s="1" t="s">
        <v>2282</v>
      </c>
    </row>
    <row r="8" customFormat="false" ht="14.25" hidden="false" customHeight="false" outlineLevel="0" collapsed="false">
      <c r="A8" s="1" t="s">
        <v>2276</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2193</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2283</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2284</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2285</v>
      </c>
    </row>
    <row r="19" customFormat="false" ht="14.25" hidden="false" customHeight="false" outlineLevel="0" collapsed="false">
      <c r="A19" s="1" t="s">
        <v>2271</v>
      </c>
      <c r="B19" s="1" t="s">
        <v>1209</v>
      </c>
      <c r="C19" s="1" t="s">
        <v>2278</v>
      </c>
      <c r="D19" s="1" t="s">
        <v>2279</v>
      </c>
      <c r="E19" s="1" t="s">
        <v>2280</v>
      </c>
      <c r="F19" s="1" t="s">
        <v>2279</v>
      </c>
      <c r="G19" s="1" t="s">
        <v>2280</v>
      </c>
      <c r="H19" s="1" t="s">
        <v>2281</v>
      </c>
      <c r="I19" s="1" t="s">
        <v>2282</v>
      </c>
    </row>
    <row r="20" customFormat="false" ht="14.25" hidden="false" customHeight="false" outlineLevel="0" collapsed="false">
      <c r="A20" s="1" t="s">
        <v>2276</v>
      </c>
      <c r="B20" s="1" t="n">
        <v>0</v>
      </c>
      <c r="C20" s="1" t="n">
        <v>0</v>
      </c>
      <c r="D20" s="1" t="n">
        <v>0</v>
      </c>
      <c r="E20" s="1" t="n">
        <v>0</v>
      </c>
      <c r="F20" s="1" t="n">
        <v>0</v>
      </c>
      <c r="G20" s="1" t="n">
        <v>0</v>
      </c>
      <c r="H20" s="1" t="n">
        <v>0</v>
      </c>
      <c r="I20" s="1" t="n">
        <v>0</v>
      </c>
    </row>
    <row r="21" customFormat="false" ht="14.25" hidden="false" customHeight="false" outlineLevel="0" collapsed="false">
      <c r="A21" s="1" t="s">
        <v>2193</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2283</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2284</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2286</v>
      </c>
    </row>
    <row r="31" customFormat="false" ht="14.25" hidden="false" customHeight="false" outlineLevel="0" collapsed="false">
      <c r="A31" s="1" t="s">
        <v>2271</v>
      </c>
      <c r="B31" s="1" t="s">
        <v>1209</v>
      </c>
      <c r="C31" s="1" t="s">
        <v>2278</v>
      </c>
      <c r="D31" s="1" t="s">
        <v>2279</v>
      </c>
      <c r="E31" s="1" t="s">
        <v>2281</v>
      </c>
      <c r="F31" s="1" t="s">
        <v>2282</v>
      </c>
    </row>
    <row r="32" customFormat="false" ht="14.25" hidden="false" customHeight="false" outlineLevel="0" collapsed="false">
      <c r="A32" s="1" t="s">
        <v>2276</v>
      </c>
      <c r="B32" s="1" t="n">
        <v>0</v>
      </c>
      <c r="C32" s="1" t="n">
        <v>0</v>
      </c>
      <c r="D32" s="1" t="n">
        <v>0</v>
      </c>
      <c r="E32" s="1" t="n">
        <v>0</v>
      </c>
      <c r="F32" s="1" t="n">
        <v>0</v>
      </c>
    </row>
    <row r="33" customFormat="false" ht="14.25" hidden="false" customHeight="false" outlineLevel="0" collapsed="false">
      <c r="A33" s="1" t="s">
        <v>2193</v>
      </c>
      <c r="B33" s="1" t="n">
        <v>22.15</v>
      </c>
      <c r="C33" s="1" t="n">
        <v>21.84</v>
      </c>
      <c r="D33" s="1" t="n">
        <v>18.7</v>
      </c>
      <c r="E33" s="1" t="n">
        <v>21.84</v>
      </c>
      <c r="F33" s="1" t="n">
        <v>22.15</v>
      </c>
    </row>
    <row r="34" customFormat="false" ht="14.25" hidden="false" customHeight="false" outlineLevel="0" collapsed="false">
      <c r="A34" s="1" t="s">
        <v>2283</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2284</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2287</v>
      </c>
    </row>
    <row r="43" customFormat="false" ht="14.25" hidden="false" customHeight="false" outlineLevel="0" collapsed="false">
      <c r="A43" s="1" t="s">
        <v>2271</v>
      </c>
      <c r="B43" s="1" t="s">
        <v>1359</v>
      </c>
      <c r="C43" s="1" t="s">
        <v>2288</v>
      </c>
      <c r="D43" s="1" t="s">
        <v>2289</v>
      </c>
      <c r="E43" s="1" t="s">
        <v>1363</v>
      </c>
      <c r="F43" s="1" t="s">
        <v>2290</v>
      </c>
    </row>
    <row r="44" customFormat="false" ht="14.25" hidden="false" customHeight="false" outlineLevel="0" collapsed="false">
      <c r="A44" s="1" t="s">
        <v>2276</v>
      </c>
      <c r="B44" s="1" t="n">
        <v>1</v>
      </c>
      <c r="C44" s="1" t="n">
        <v>1</v>
      </c>
      <c r="D44" s="1" t="n">
        <v>1</v>
      </c>
      <c r="E44" s="1" t="n">
        <v>1</v>
      </c>
      <c r="F44" s="1" t="n">
        <v>1</v>
      </c>
    </row>
    <row r="45" customFormat="false" ht="14.25" hidden="false" customHeight="false" outlineLevel="0" collapsed="false">
      <c r="A45" s="1" t="s">
        <v>2193</v>
      </c>
      <c r="B45" s="1" t="n">
        <v>20.2</v>
      </c>
      <c r="C45" s="1" t="n">
        <v>15.7</v>
      </c>
      <c r="D45" s="1" t="n">
        <v>10</v>
      </c>
      <c r="E45" s="1" t="n">
        <v>15.7</v>
      </c>
      <c r="F45" s="1" t="n">
        <v>20.2</v>
      </c>
    </row>
    <row r="46" customFormat="false" ht="14.25" hidden="false" customHeight="false" outlineLevel="0" collapsed="false">
      <c r="A46" s="1" t="s">
        <v>2283</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2284</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2291</v>
      </c>
      <c r="C54" s="26"/>
      <c r="D54" s="26"/>
      <c r="E54" s="26"/>
      <c r="F54" s="26"/>
      <c r="G54" s="26"/>
      <c r="H54" s="26"/>
      <c r="I54" s="26"/>
      <c r="J54" s="26"/>
      <c r="K54" s="26"/>
      <c r="L54" s="26"/>
      <c r="M54" s="26"/>
    </row>
    <row r="55" customFormat="false" ht="14.25" hidden="false" customHeight="false" outlineLevel="0" collapsed="false">
      <c r="A55" s="26" t="s">
        <v>2271</v>
      </c>
      <c r="B55" s="26" t="s">
        <v>1359</v>
      </c>
      <c r="C55" s="26" t="s">
        <v>2292</v>
      </c>
      <c r="D55" s="26" t="s">
        <v>2293</v>
      </c>
      <c r="E55" s="26" t="s">
        <v>2294</v>
      </c>
      <c r="F55" s="26" t="s">
        <v>2293</v>
      </c>
      <c r="G55" s="26" t="s">
        <v>2294</v>
      </c>
      <c r="H55" s="26" t="s">
        <v>2293</v>
      </c>
      <c r="I55" s="26" t="s">
        <v>2294</v>
      </c>
      <c r="J55" s="26" t="s">
        <v>2293</v>
      </c>
      <c r="K55" s="26" t="s">
        <v>2294</v>
      </c>
      <c r="L55" s="26" t="s">
        <v>2295</v>
      </c>
      <c r="M55" s="26" t="s">
        <v>2290</v>
      </c>
    </row>
    <row r="56" customFormat="false" ht="14.25" hidden="false" customHeight="false" outlineLevel="0" collapsed="false">
      <c r="A56" s="26" t="s">
        <v>2276</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2193</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2283</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2284</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2271</v>
      </c>
      <c r="B67" s="26" t="s">
        <v>1193</v>
      </c>
      <c r="C67" s="26" t="s">
        <v>2278</v>
      </c>
      <c r="D67" s="26" t="s">
        <v>2296</v>
      </c>
      <c r="E67" s="26" t="s">
        <v>2296</v>
      </c>
      <c r="F67" s="26" t="s">
        <v>2296</v>
      </c>
      <c r="G67" s="26" t="s">
        <v>2296</v>
      </c>
      <c r="H67" s="26" t="s">
        <v>2297</v>
      </c>
      <c r="I67" s="26" t="s">
        <v>2296</v>
      </c>
      <c r="J67" s="26" t="s">
        <v>2296</v>
      </c>
      <c r="K67" s="26" t="s">
        <v>2298</v>
      </c>
      <c r="L67" s="26" t="s">
        <v>2299</v>
      </c>
      <c r="M67" s="26" t="s">
        <v>2279</v>
      </c>
      <c r="N67" s="26" t="s">
        <v>2279</v>
      </c>
      <c r="O67" s="26" t="s">
        <v>2280</v>
      </c>
      <c r="P67" s="26" t="s">
        <v>2279</v>
      </c>
      <c r="Q67" s="26" t="s">
        <v>2279</v>
      </c>
      <c r="R67" s="26" t="s">
        <v>2279</v>
      </c>
      <c r="S67" s="26" t="s">
        <v>2279</v>
      </c>
      <c r="T67" s="26" t="s">
        <v>2281</v>
      </c>
      <c r="U67" s="26" t="s">
        <v>1197</v>
      </c>
    </row>
    <row r="68" customFormat="false" ht="14.25" hidden="false" customHeight="false" outlineLevel="0" collapsed="false">
      <c r="A68" s="26" t="s">
        <v>2276</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2193</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2283</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2284</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2300</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2271</v>
      </c>
      <c r="B80" s="26" t="s">
        <v>1201</v>
      </c>
      <c r="C80" s="26" t="s">
        <v>2278</v>
      </c>
      <c r="D80" s="26" t="s">
        <v>2296</v>
      </c>
      <c r="E80" s="26" t="s">
        <v>2296</v>
      </c>
      <c r="F80" s="26" t="s">
        <v>2296</v>
      </c>
      <c r="G80" s="26" t="s">
        <v>2297</v>
      </c>
      <c r="H80" s="26" t="s">
        <v>2296</v>
      </c>
      <c r="I80" s="26" t="s">
        <v>2298</v>
      </c>
      <c r="J80" s="26" t="s">
        <v>2299</v>
      </c>
      <c r="K80" s="26" t="s">
        <v>2279</v>
      </c>
      <c r="L80" s="26" t="s">
        <v>2280</v>
      </c>
      <c r="M80" s="26" t="s">
        <v>2279</v>
      </c>
      <c r="N80" s="26" t="s">
        <v>2279</v>
      </c>
      <c r="O80" s="26" t="s">
        <v>2279</v>
      </c>
      <c r="P80" s="26" t="s">
        <v>2281</v>
      </c>
      <c r="Q80" s="26" t="s">
        <v>1205</v>
      </c>
      <c r="R80" s="26"/>
      <c r="S80" s="26"/>
      <c r="T80" s="26"/>
      <c r="U80" s="26"/>
    </row>
    <row r="81" customFormat="false" ht="14.25" hidden="false" customHeight="false" outlineLevel="0" collapsed="false">
      <c r="A81" s="26" t="s">
        <v>2276</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2193</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2283</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2284</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2301</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2271</v>
      </c>
      <c r="B93" s="26" t="s">
        <v>874</v>
      </c>
      <c r="C93" s="26" t="s">
        <v>2302</v>
      </c>
      <c r="D93" s="26" t="s">
        <v>897</v>
      </c>
      <c r="E93" s="26" t="s">
        <v>874</v>
      </c>
      <c r="F93" s="26" t="s">
        <v>2302</v>
      </c>
      <c r="G93" s="26"/>
      <c r="H93" s="26"/>
      <c r="I93" s="26"/>
      <c r="J93" s="26"/>
      <c r="K93" s="26"/>
      <c r="L93" s="26"/>
      <c r="M93" s="26"/>
      <c r="N93" s="26"/>
      <c r="O93" s="26"/>
      <c r="P93" s="26"/>
      <c r="Q93" s="26"/>
    </row>
    <row r="94" customFormat="false" ht="14.25" hidden="false" customHeight="false" outlineLevel="0" collapsed="false">
      <c r="A94" s="26" t="s">
        <v>2276</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2193</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2283</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2284</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2303</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2304</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2271</v>
      </c>
      <c r="B106" s="26" t="s">
        <v>1743</v>
      </c>
      <c r="C106" s="26" t="s">
        <v>2305</v>
      </c>
      <c r="D106" s="26" t="s">
        <v>2306</v>
      </c>
      <c r="E106" s="26" t="s">
        <v>2307</v>
      </c>
      <c r="F106" s="26" t="s">
        <v>2307</v>
      </c>
      <c r="G106" s="26" t="s">
        <v>2307</v>
      </c>
      <c r="H106" s="26" t="s">
        <v>2307</v>
      </c>
      <c r="I106" s="26" t="s">
        <v>2308</v>
      </c>
      <c r="J106" s="26"/>
      <c r="K106" s="26"/>
      <c r="L106" s="26"/>
      <c r="M106" s="26"/>
      <c r="N106" s="26"/>
      <c r="O106" s="26"/>
      <c r="P106" s="26"/>
      <c r="Q106" s="26"/>
    </row>
    <row r="107" customFormat="false" ht="14.25" hidden="false" customHeight="false" outlineLevel="0" collapsed="false">
      <c r="A107" s="26" t="s">
        <v>2276</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2193</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2283</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2284</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2303</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2309</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2271</v>
      </c>
      <c r="B118" s="26" t="s">
        <v>1743</v>
      </c>
      <c r="C118" s="26" t="s">
        <v>2305</v>
      </c>
      <c r="D118" s="26" t="s">
        <v>2305</v>
      </c>
      <c r="E118" s="26" t="s">
        <v>2306</v>
      </c>
      <c r="F118" s="26" t="s">
        <v>2307</v>
      </c>
      <c r="G118" s="26" t="s">
        <v>2307</v>
      </c>
      <c r="H118" s="26" t="s">
        <v>2308</v>
      </c>
      <c r="I118" s="26"/>
      <c r="J118" s="26"/>
      <c r="K118" s="26"/>
      <c r="L118" s="26"/>
      <c r="M118" s="26"/>
      <c r="N118" s="26"/>
      <c r="O118" s="26"/>
      <c r="P118" s="26"/>
      <c r="Q118" s="26"/>
    </row>
    <row r="119" customFormat="false" ht="14.25" hidden="false" customHeight="false" outlineLevel="0" collapsed="false">
      <c r="A119" s="26" t="s">
        <v>2276</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2193</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2283</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2284</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2303</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2310</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2271</v>
      </c>
      <c r="B134" s="26" t="s">
        <v>1349</v>
      </c>
      <c r="C134" s="26" t="s">
        <v>2311</v>
      </c>
      <c r="D134" s="26" t="s">
        <v>2312</v>
      </c>
      <c r="E134" s="26" t="s">
        <v>2313</v>
      </c>
      <c r="F134" s="26" t="s">
        <v>2313</v>
      </c>
      <c r="G134" s="26" t="s">
        <v>2312</v>
      </c>
      <c r="H134" s="26" t="s">
        <v>2313</v>
      </c>
      <c r="I134" s="26" t="s">
        <v>2314</v>
      </c>
      <c r="J134" s="26" t="s">
        <v>2314</v>
      </c>
      <c r="K134" s="26" t="s">
        <v>2315</v>
      </c>
      <c r="L134" s="26" t="s">
        <v>2316</v>
      </c>
      <c r="M134" s="26" t="s">
        <v>2315</v>
      </c>
      <c r="N134" s="26" t="s">
        <v>2315</v>
      </c>
      <c r="O134" s="26" t="s">
        <v>2316</v>
      </c>
      <c r="P134" s="26" t="s">
        <v>2317</v>
      </c>
      <c r="Q134" s="26" t="s">
        <v>2318</v>
      </c>
      <c r="R134" s="26"/>
      <c r="S134" s="26"/>
      <c r="T134" s="26"/>
      <c r="U134" s="26"/>
    </row>
    <row r="135" customFormat="false" ht="14.25" hidden="false" customHeight="false" outlineLevel="0" collapsed="false">
      <c r="A135" s="26" t="s">
        <v>2276</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2193</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2283</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2284</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2319</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2271</v>
      </c>
      <c r="B147" s="26" t="s">
        <v>1349</v>
      </c>
      <c r="C147" s="26" t="s">
        <v>2311</v>
      </c>
      <c r="D147" s="26" t="s">
        <v>2313</v>
      </c>
      <c r="E147" s="26" t="s">
        <v>2312</v>
      </c>
      <c r="F147" s="26" t="s">
        <v>2313</v>
      </c>
      <c r="G147" s="26" t="s">
        <v>2314</v>
      </c>
      <c r="H147" s="26" t="s">
        <v>2314</v>
      </c>
      <c r="I147" s="26" t="s">
        <v>2315</v>
      </c>
      <c r="J147" s="26" t="s">
        <v>2316</v>
      </c>
      <c r="K147" s="26" t="s">
        <v>2315</v>
      </c>
      <c r="L147" s="26" t="s">
        <v>2317</v>
      </c>
      <c r="M147" s="26" t="s">
        <v>2318</v>
      </c>
      <c r="N147" s="26"/>
      <c r="O147" s="26"/>
      <c r="P147" s="1"/>
      <c r="Q147" s="1"/>
      <c r="R147" s="26"/>
      <c r="S147" s="26"/>
      <c r="T147" s="26"/>
      <c r="U147" s="26"/>
    </row>
    <row r="148" customFormat="false" ht="14.25" hidden="false" customHeight="false" outlineLevel="0" collapsed="false">
      <c r="A148" s="26" t="s">
        <v>2276</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2193</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2283</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2284</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2320</v>
      </c>
      <c r="C161" s="26"/>
      <c r="D161" s="26"/>
      <c r="E161" s="26"/>
      <c r="F161" s="26"/>
      <c r="G161" s="26"/>
      <c r="H161" s="26"/>
    </row>
    <row r="162" customFormat="false" ht="14.25" hidden="false" customHeight="false" outlineLevel="0" collapsed="false">
      <c r="A162" s="26" t="s">
        <v>2271</v>
      </c>
      <c r="B162" s="26" t="s">
        <v>1858</v>
      </c>
      <c r="C162" s="26" t="s">
        <v>2321</v>
      </c>
      <c r="D162" s="26" t="s">
        <v>2321</v>
      </c>
      <c r="E162" s="26" t="s">
        <v>2321</v>
      </c>
      <c r="F162" s="26" t="s">
        <v>2321</v>
      </c>
      <c r="G162" s="26" t="s">
        <v>2321</v>
      </c>
      <c r="H162" s="26" t="s">
        <v>2321</v>
      </c>
      <c r="I162" s="26" t="s">
        <v>2321</v>
      </c>
      <c r="J162" s="26" t="s">
        <v>2321</v>
      </c>
      <c r="K162" s="26" t="s">
        <v>2322</v>
      </c>
    </row>
    <row r="163" customFormat="false" ht="14.25" hidden="false" customHeight="false" outlineLevel="0" collapsed="false">
      <c r="A163" s="26" t="s">
        <v>2276</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2193</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2283</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2284</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2303</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2323</v>
      </c>
      <c r="C174" s="26"/>
      <c r="D174" s="26"/>
      <c r="E174" s="26"/>
      <c r="F174" s="26"/>
      <c r="G174" s="26"/>
      <c r="H174" s="26"/>
    </row>
    <row r="175" customFormat="false" ht="14.25" hidden="false" customHeight="false" outlineLevel="0" collapsed="false">
      <c r="A175" s="26" t="s">
        <v>2271</v>
      </c>
      <c r="B175" s="26" t="s">
        <v>1858</v>
      </c>
      <c r="C175" s="26" t="s">
        <v>2321</v>
      </c>
      <c r="D175" s="26" t="s">
        <v>2321</v>
      </c>
      <c r="E175" s="26" t="s">
        <v>2321</v>
      </c>
      <c r="F175" s="26" t="s">
        <v>2321</v>
      </c>
      <c r="G175" s="26" t="s">
        <v>2321</v>
      </c>
      <c r="H175" s="26" t="s">
        <v>2321</v>
      </c>
      <c r="I175" s="26" t="s">
        <v>2322</v>
      </c>
      <c r="J175" s="26"/>
    </row>
    <row r="176" customFormat="false" ht="14.25" hidden="false" customHeight="false" outlineLevel="0" collapsed="false">
      <c r="A176" s="26" t="s">
        <v>2276</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2193</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2283</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2284</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2303</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2324</v>
      </c>
      <c r="C188" s="26"/>
      <c r="D188" s="26"/>
      <c r="E188" s="26"/>
      <c r="F188" s="26"/>
      <c r="G188" s="26"/>
      <c r="H188" s="26"/>
    </row>
    <row r="189" customFormat="false" ht="14.25" hidden="false" customHeight="false" outlineLevel="0" collapsed="false">
      <c r="A189" s="26" t="s">
        <v>2271</v>
      </c>
      <c r="B189" s="26" t="s">
        <v>1572</v>
      </c>
      <c r="C189" s="26" t="s">
        <v>2325</v>
      </c>
      <c r="D189" s="26" t="s">
        <v>2326</v>
      </c>
      <c r="E189" s="26" t="s">
        <v>2325</v>
      </c>
      <c r="F189" s="26" t="s">
        <v>2326</v>
      </c>
      <c r="G189" s="26" t="s">
        <v>2325</v>
      </c>
      <c r="H189" s="26" t="s">
        <v>2326</v>
      </c>
      <c r="I189" s="26" t="s">
        <v>2325</v>
      </c>
      <c r="J189" s="26" t="s">
        <v>2327</v>
      </c>
    </row>
    <row r="190" customFormat="false" ht="14.25" hidden="false" customHeight="false" outlineLevel="0" collapsed="false">
      <c r="A190" s="26" t="s">
        <v>2276</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2193</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2283</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2284</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2303</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2328</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2271</v>
      </c>
      <c r="B202" s="26" t="s">
        <v>1456</v>
      </c>
      <c r="C202" s="26" t="s">
        <v>2329</v>
      </c>
      <c r="D202" s="26" t="s">
        <v>2330</v>
      </c>
      <c r="E202" s="26" t="s">
        <v>2330</v>
      </c>
      <c r="F202" s="26" t="s">
        <v>2330</v>
      </c>
      <c r="G202" s="26" t="s">
        <v>2330</v>
      </c>
      <c r="H202" s="26" t="s">
        <v>2331</v>
      </c>
      <c r="I202" s="26" t="s">
        <v>2332</v>
      </c>
      <c r="J202" s="26"/>
      <c r="K202" s="26"/>
      <c r="L202" s="26"/>
      <c r="M202" s="26"/>
      <c r="N202" s="26"/>
      <c r="O202" s="26"/>
      <c r="P202" s="26"/>
      <c r="Q202" s="26"/>
      <c r="R202" s="26"/>
    </row>
    <row r="203" customFormat="false" ht="14.25" hidden="false" customHeight="false" outlineLevel="0" collapsed="false">
      <c r="A203" s="26" t="s">
        <v>2276</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2193</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2283</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2284</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85"/>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B84" activeCellId="0" sqref="B8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2333</v>
      </c>
      <c r="B1" s="26" t="s">
        <v>2334</v>
      </c>
      <c r="C1" s="26" t="s">
        <v>2335</v>
      </c>
      <c r="D1" s="26" t="s">
        <v>15</v>
      </c>
      <c r="E1" s="26" t="s">
        <v>2336</v>
      </c>
    </row>
    <row r="2" customFormat="false" ht="13.8" hidden="false" customHeight="false" outlineLevel="0" collapsed="false">
      <c r="A2" s="26" t="s">
        <v>2337</v>
      </c>
      <c r="B2" s="26" t="n">
        <f aca="false">(33.7+24+26.75+24.15+24.3+31.9)</f>
        <v>164.8</v>
      </c>
      <c r="C2" s="26" t="n">
        <f aca="false">52+72+28+43+47+25</f>
        <v>267</v>
      </c>
      <c r="D2" s="26" t="n">
        <v>6</v>
      </c>
      <c r="E2" s="26" t="n">
        <f aca="false">C2/D2</f>
        <v>44.5</v>
      </c>
    </row>
    <row r="3" customFormat="false" ht="13.8" hidden="false" customHeight="false" outlineLevel="0" collapsed="false">
      <c r="A3" s="26" t="s">
        <v>2338</v>
      </c>
      <c r="B3" s="26" t="n">
        <f aca="false">B2+24</f>
        <v>188.8</v>
      </c>
      <c r="C3" s="26" t="n">
        <f aca="false">C2+72+72-42</f>
        <v>369</v>
      </c>
      <c r="D3" s="26" t="n">
        <v>7</v>
      </c>
      <c r="E3" s="26" t="n">
        <f aca="false">C3/D3</f>
        <v>52.7142857142857</v>
      </c>
    </row>
    <row r="4" customFormat="false" ht="13.8" hidden="false" customHeight="false" outlineLevel="0" collapsed="false">
      <c r="A4" s="26" t="s">
        <v>2339</v>
      </c>
      <c r="B4" s="26" t="n">
        <f aca="false">(33.7+31.9)</f>
        <v>65.6</v>
      </c>
      <c r="C4" s="26" t="n">
        <f aca="false">52+25</f>
        <v>77</v>
      </c>
      <c r="D4" s="26" t="n">
        <v>2</v>
      </c>
      <c r="E4" s="26" t="n">
        <f aca="false">C4/D4</f>
        <v>38.5</v>
      </c>
    </row>
    <row r="5" customFormat="false" ht="13.8" hidden="false" customHeight="false" outlineLevel="0" collapsed="false">
      <c r="A5" s="26" t="s">
        <v>2340</v>
      </c>
      <c r="B5" s="26" t="n">
        <f aca="false">(31.9 * 2) + (24.3 * 8)</f>
        <v>258.2</v>
      </c>
      <c r="C5" s="26" t="n">
        <f aca="false">60+72+72+72+72+18+47+47+36</f>
        <v>496</v>
      </c>
      <c r="D5" s="26" t="n">
        <v>10</v>
      </c>
      <c r="E5" s="26" t="n">
        <f aca="false">C5/D5</f>
        <v>49.6</v>
      </c>
    </row>
    <row r="6" customFormat="false" ht="13.8" hidden="false" customHeight="false" outlineLevel="0" collapsed="false">
      <c r="A6" s="26" t="s">
        <v>2341</v>
      </c>
      <c r="B6" s="26" t="n">
        <f aca="false">(31.9 * 2) + (24.3 * 6)</f>
        <v>209.6</v>
      </c>
      <c r="C6" s="26" t="n">
        <f aca="false">60+72+72+18+47+36</f>
        <v>305</v>
      </c>
      <c r="D6" s="26" t="n">
        <v>6</v>
      </c>
      <c r="E6" s="26" t="n">
        <f aca="false">C6/D6</f>
        <v>50.8333333333333</v>
      </c>
    </row>
    <row r="7" customFormat="false" ht="13.8" hidden="false" customHeight="false" outlineLevel="0" collapsed="false">
      <c r="A7" s="26" t="s">
        <v>2342</v>
      </c>
      <c r="B7" s="26" t="s">
        <v>2343</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2344</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2345</v>
      </c>
      <c r="B12" s="26" t="s">
        <v>2346</v>
      </c>
    </row>
    <row r="13" customFormat="false" ht="13.8" hidden="false" customHeight="false" outlineLevel="0" collapsed="false">
      <c r="A13" s="26" t="s">
        <v>1067</v>
      </c>
      <c r="B13" s="33" t="s">
        <v>999</v>
      </c>
    </row>
    <row r="14" customFormat="false" ht="13.8" hidden="false" customHeight="false" outlineLevel="0" collapsed="false">
      <c r="A14" s="26" t="s">
        <v>1074</v>
      </c>
      <c r="B14" s="33" t="s">
        <v>1005</v>
      </c>
    </row>
    <row r="15" customFormat="false" ht="13.8" hidden="false" customHeight="false" outlineLevel="0" collapsed="false">
      <c r="A15" s="26" t="s">
        <v>1092</v>
      </c>
      <c r="B15" s="33" t="s">
        <v>1028</v>
      </c>
    </row>
    <row r="16" customFormat="false" ht="13.8" hidden="false" customHeight="false" outlineLevel="0" collapsed="false">
      <c r="A16" s="26" t="s">
        <v>1082</v>
      </c>
      <c r="B16" s="33" t="s">
        <v>1034</v>
      </c>
    </row>
    <row r="17" customFormat="false" ht="13.8" hidden="false" customHeight="false" outlineLevel="0" collapsed="false">
      <c r="A17" s="26" t="s">
        <v>1087</v>
      </c>
      <c r="B17" s="33" t="s">
        <v>1041</v>
      </c>
    </row>
    <row r="18" customFormat="false" ht="13.8" hidden="false" customHeight="false" outlineLevel="0" collapsed="false">
      <c r="A18" s="26" t="s">
        <v>733</v>
      </c>
    </row>
    <row r="19" customFormat="false" ht="13.8" hidden="false" customHeight="false" outlineLevel="0" collapsed="false">
      <c r="A19" s="26" t="s">
        <v>729</v>
      </c>
    </row>
    <row r="20" customFormat="false" ht="13.8" hidden="false" customHeight="false" outlineLevel="0" collapsed="false">
      <c r="A20" s="26" t="s">
        <v>1712</v>
      </c>
    </row>
    <row r="21" customFormat="false" ht="13.8" hidden="false" customHeight="false" outlineLevel="0" collapsed="false">
      <c r="A21" s="26" t="s">
        <v>1720</v>
      </c>
    </row>
    <row r="22" customFormat="false" ht="13.8" hidden="false" customHeight="false" outlineLevel="0" collapsed="false"/>
    <row r="29" customFormat="false" ht="12.8" hidden="false" customHeight="true" outlineLevel="0" collapsed="false">
      <c r="A29" s="26" t="s">
        <v>2347</v>
      </c>
      <c r="B29" s="26" t="s">
        <v>2348</v>
      </c>
    </row>
    <row r="30" customFormat="false" ht="12.8" hidden="false" customHeight="true" outlineLevel="0" collapsed="false">
      <c r="A30" s="1" t="s">
        <v>1115</v>
      </c>
    </row>
    <row r="31" customFormat="false" ht="12.8" hidden="false" customHeight="true" outlineLevel="0" collapsed="false">
      <c r="A31" s="1" t="s">
        <v>1121</v>
      </c>
    </row>
    <row r="32" customFormat="false" ht="12.8" hidden="false" customHeight="true" outlineLevel="0" collapsed="false">
      <c r="A32" s="33" t="s">
        <v>1127</v>
      </c>
    </row>
    <row r="33" customFormat="false" ht="12.8" hidden="false" customHeight="true" outlineLevel="0" collapsed="false">
      <c r="A33" s="33" t="s">
        <v>1178</v>
      </c>
    </row>
    <row r="34" customFormat="false" ht="12.8" hidden="false" customHeight="true" outlineLevel="0" collapsed="false">
      <c r="A34" s="33" t="s">
        <v>1184</v>
      </c>
    </row>
    <row r="35" customFormat="false" ht="12.8" hidden="false" customHeight="true" outlineLevel="0" collapsed="false">
      <c r="A35" s="1" t="s">
        <v>1152</v>
      </c>
    </row>
    <row r="36" customFormat="false" ht="12.8" hidden="false" customHeight="true" outlineLevel="0" collapsed="false">
      <c r="A36" s="1" t="s">
        <v>1157</v>
      </c>
    </row>
    <row r="37" customFormat="false" ht="12.8" hidden="false" customHeight="true" outlineLevel="0" collapsed="false">
      <c r="A37" s="1" t="s">
        <v>1162</v>
      </c>
    </row>
    <row r="38" customFormat="false" ht="12.8" hidden="false" customHeight="true" outlineLevel="0" collapsed="false">
      <c r="A38" s="1" t="s">
        <v>1166</v>
      </c>
    </row>
    <row r="39" customFormat="false" ht="12.8" hidden="false" customHeight="true" outlineLevel="0" collapsed="false">
      <c r="A39" s="1" t="s">
        <v>1230</v>
      </c>
    </row>
    <row r="40" customFormat="false" ht="12.8" hidden="false" customHeight="true" outlineLevel="0" collapsed="false">
      <c r="A40" s="1" t="s">
        <v>1236</v>
      </c>
    </row>
    <row r="42" customFormat="false" ht="12.8" hidden="false" customHeight="true" outlineLevel="0" collapsed="false">
      <c r="A42" s="26" t="s">
        <v>2349</v>
      </c>
      <c r="B42" s="26" t="str">
        <f aca="false">_xlfn.TEXTJOIN(",",1,A43:A53)</f>
        <v>class_800_azuma,class_800_9,class_801_5,class_801_9,class_802_5,class_802_9</v>
      </c>
    </row>
    <row r="43" customFormat="false" ht="12.8" hidden="false" customHeight="true" outlineLevel="0" collapsed="false">
      <c r="A43" s="1" t="s">
        <v>1422</v>
      </c>
    </row>
    <row r="44" customFormat="false" ht="12.8" hidden="false" customHeight="true" outlineLevel="0" collapsed="false">
      <c r="A44" s="1" t="s">
        <v>1428</v>
      </c>
    </row>
    <row r="45" customFormat="false" ht="12.8" hidden="false" customHeight="true" outlineLevel="0" collapsed="false">
      <c r="A45" s="1" t="s">
        <v>1432</v>
      </c>
    </row>
    <row r="46" customFormat="false" ht="12.8" hidden="false" customHeight="true" outlineLevel="0" collapsed="false">
      <c r="A46" s="1" t="s">
        <v>1436</v>
      </c>
    </row>
    <row r="47" customFormat="false" ht="12.8" hidden="false" customHeight="true" outlineLevel="0" collapsed="false">
      <c r="A47" s="1" t="s">
        <v>1439</v>
      </c>
    </row>
    <row r="48" customFormat="false" ht="12.8" hidden="false" customHeight="true" outlineLevel="0" collapsed="false">
      <c r="A48" s="1" t="s">
        <v>1443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2350</v>
      </c>
      <c r="B54" s="26" t="str">
        <f aca="false">_xlfn.TEXTJOIN(",",1,A55:A65)</f>
        <v>br_class_419,br_class_489,br_class_411,br_class_412,br_2hap,brel_class_421</v>
      </c>
    </row>
    <row r="55" customFormat="false" ht="12.8" hidden="false" customHeight="true" outlineLevel="0" collapsed="false">
      <c r="A55" s="26" t="s">
        <v>992</v>
      </c>
    </row>
    <row r="56" customFormat="false" ht="12.8" hidden="false" customHeight="true" outlineLevel="0" collapsed="false">
      <c r="A56" s="26" t="s">
        <v>996</v>
      </c>
    </row>
    <row r="57" customFormat="false" ht="12.8" hidden="false" customHeight="true" outlineLevel="0" collapsed="false">
      <c r="A57" s="26" t="s">
        <v>964</v>
      </c>
    </row>
    <row r="58" customFormat="false" ht="12.8" hidden="false" customHeight="true" outlineLevel="0" collapsed="false">
      <c r="A58" s="26" t="s">
        <v>970</v>
      </c>
    </row>
    <row r="59" customFormat="false" ht="12.8" hidden="false" customHeight="true" outlineLevel="0" collapsed="false">
      <c r="A59" s="26" t="s">
        <v>960</v>
      </c>
    </row>
    <row r="60" customFormat="false" ht="12.8" hidden="false" customHeight="true" outlineLevel="0" collapsed="false">
      <c r="A60" s="26" t="s">
        <v>1046</v>
      </c>
    </row>
    <row r="67" customFormat="false" ht="12.8" hidden="false" customHeight="true" outlineLevel="0" collapsed="false">
      <c r="A67" s="26" t="s">
        <v>2351</v>
      </c>
      <c r="B67" s="26" t="str">
        <f aca="false">_xlfn.TEXTJOIN(",",1,A68:A86)</f>
        <v>class_101,class_101_3car,class_101_4car,class_101_alt,class_101_alt_3car,class_101_alt_4car,class_101_alt2,class_101_alt2_3car,class_101_alt2_4car,class_101_alt3,class_101_alt3_3car,class_101_alt3_4car,class_105,class_117,class_127,class_127_alt,class_128</v>
      </c>
    </row>
    <row r="68" customFormat="false" ht="12.8" hidden="false" customHeight="true" outlineLevel="0" collapsed="false">
      <c r="A68" s="15" t="s">
        <v>822</v>
      </c>
    </row>
    <row r="69" customFormat="false" ht="12.8" hidden="false" customHeight="true" outlineLevel="0" collapsed="false">
      <c r="A69" s="15" t="s">
        <v>827</v>
      </c>
    </row>
    <row r="70" customFormat="false" ht="12.8" hidden="false" customHeight="true" outlineLevel="0" collapsed="false">
      <c r="A70" s="15" t="s">
        <v>831</v>
      </c>
    </row>
    <row r="71" customFormat="false" ht="12.8" hidden="false" customHeight="true" outlineLevel="0" collapsed="false">
      <c r="A71" s="15" t="s">
        <v>835</v>
      </c>
    </row>
    <row r="72" customFormat="false" ht="12.8" hidden="false" customHeight="true" outlineLevel="0" collapsed="false">
      <c r="A72" s="15" t="s">
        <v>837</v>
      </c>
    </row>
    <row r="73" customFormat="false" ht="12.8" hidden="false" customHeight="true" outlineLevel="0" collapsed="false">
      <c r="A73" s="15" t="s">
        <v>839</v>
      </c>
    </row>
    <row r="74" customFormat="false" ht="12.8" hidden="false" customHeight="true" outlineLevel="0" collapsed="false">
      <c r="A74" s="15" t="s">
        <v>841</v>
      </c>
    </row>
    <row r="75" customFormat="false" ht="12.8" hidden="false" customHeight="true" outlineLevel="0" collapsed="false">
      <c r="A75" s="15" t="s">
        <v>843</v>
      </c>
    </row>
    <row r="76" customFormat="false" ht="12.8" hidden="false" customHeight="true" outlineLevel="0" collapsed="false">
      <c r="A76" s="15" t="s">
        <v>846</v>
      </c>
    </row>
    <row r="77" customFormat="false" ht="12.8" hidden="false" customHeight="true" outlineLevel="0" collapsed="false">
      <c r="A77" s="15" t="s">
        <v>848</v>
      </c>
    </row>
    <row r="78" customFormat="false" ht="12.8" hidden="false" customHeight="true" outlineLevel="0" collapsed="false">
      <c r="A78" s="15" t="s">
        <v>850</v>
      </c>
    </row>
    <row r="79" customFormat="false" ht="12.8" hidden="false" customHeight="true" outlineLevel="0" collapsed="false">
      <c r="A79" s="15" t="s">
        <v>852</v>
      </c>
    </row>
    <row r="80" customFormat="false" ht="12.8" hidden="false" customHeight="true" outlineLevel="0" collapsed="false">
      <c r="A80" s="19" t="s">
        <v>933</v>
      </c>
    </row>
    <row r="81" customFormat="false" ht="12.8" hidden="false" customHeight="true" outlineLevel="0" collapsed="false">
      <c r="A81" s="19" t="s">
        <v>988</v>
      </c>
    </row>
    <row r="82" customFormat="false" ht="12.8" hidden="false" customHeight="true" outlineLevel="0" collapsed="false">
      <c r="A82" s="25" t="s">
        <v>976</v>
      </c>
    </row>
    <row r="83" customFormat="false" ht="12.8" hidden="false" customHeight="true" outlineLevel="0" collapsed="false">
      <c r="A83" s="25" t="s">
        <v>981</v>
      </c>
    </row>
    <row r="84" customFormat="false" ht="12.8" hidden="false" customHeight="true" outlineLevel="0" collapsed="false">
      <c r="A84" s="19" t="s">
        <v>985</v>
      </c>
    </row>
    <row r="85" customFormat="false" ht="12.8" hidden="false" customHeight="true" outlineLevel="0" collapsed="false">
      <c r="A85"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2352</v>
      </c>
      <c r="B1" s="8" t="s">
        <v>2353</v>
      </c>
      <c r="C1" s="8" t="s">
        <v>2354</v>
      </c>
      <c r="F1" s="8" t="s">
        <v>2355</v>
      </c>
      <c r="G1" s="8" t="s">
        <v>2183</v>
      </c>
      <c r="H1" s="8" t="s">
        <v>2356</v>
      </c>
      <c r="J1" s="8" t="s">
        <v>2357</v>
      </c>
      <c r="K1" s="8" t="s">
        <v>2358</v>
      </c>
      <c r="L1" s="8" t="s">
        <v>2359</v>
      </c>
      <c r="M1" s="8" t="s">
        <v>2360</v>
      </c>
      <c r="N1" s="8" t="s">
        <v>2361</v>
      </c>
      <c r="O1" s="8" t="s">
        <v>2362</v>
      </c>
      <c r="P1" s="8" t="s">
        <v>2363</v>
      </c>
      <c r="Q1" s="8" t="s">
        <v>2364</v>
      </c>
      <c r="R1" s="8" t="s">
        <v>2365</v>
      </c>
    </row>
    <row r="2" customFormat="false" ht="15.75" hidden="false" customHeight="true" outlineLevel="0" collapsed="false">
      <c r="A2" s="1" t="s">
        <v>2366</v>
      </c>
      <c r="B2" s="1" t="s">
        <v>2367</v>
      </c>
      <c r="C2" s="1" t="s">
        <v>2368</v>
      </c>
      <c r="D2" s="1" t="str">
        <f aca="false">CONCATENATE("""", A2, """,")</f>
        <v>"ACID",</v>
      </c>
      <c r="F2" s="1" t="s">
        <v>2369</v>
      </c>
      <c r="G2" s="34" t="str">
        <f aca="false">VLOOKUP(F2,A:B,2, FALSE())</f>
        <v>Batteries</v>
      </c>
      <c r="H2" s="34" t="s">
        <v>2362</v>
      </c>
      <c r="J2" s="1" t="s">
        <v>2370</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2371</v>
      </c>
      <c r="B3" s="1" t="s">
        <v>2372</v>
      </c>
      <c r="C3" s="1" t="s">
        <v>2373</v>
      </c>
      <c r="D3" s="1" t="str">
        <f aca="false">CONCATENATE("""", A3, """,")</f>
        <v>"AORE",</v>
      </c>
      <c r="F3" s="1" t="s">
        <v>1989</v>
      </c>
      <c r="G3" s="34" t="str">
        <f aca="false">VLOOKUP(F3,A:B,2, FALSE())</f>
        <v>Bulding Materials</v>
      </c>
      <c r="H3" s="34" t="s">
        <v>2361</v>
      </c>
      <c r="J3" s="1" t="s">
        <v>2374</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2369</v>
      </c>
      <c r="B4" s="1" t="s">
        <v>2375</v>
      </c>
      <c r="C4" s="1" t="s">
        <v>2376</v>
      </c>
      <c r="D4" s="1" t="str">
        <f aca="false">CONCATENATE("""", A4, """,")</f>
        <v>"BATT",</v>
      </c>
      <c r="F4" s="1" t="s">
        <v>2377</v>
      </c>
      <c r="G4" s="34" t="str">
        <f aca="false">VLOOKUP(F4,A:B,2, FALSE())</f>
        <v>Beer</v>
      </c>
      <c r="H4" s="34" t="s">
        <v>2362</v>
      </c>
      <c r="J4" s="1" t="s">
        <v>2378</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1989</v>
      </c>
      <c r="B5" s="1" t="s">
        <v>2379</v>
      </c>
      <c r="C5" s="1" t="s">
        <v>2380</v>
      </c>
      <c r="D5" s="1" t="str">
        <f aca="false">CONCATENATE("""", A5, """,")</f>
        <v>"BDMT",</v>
      </c>
      <c r="F5" s="1" t="s">
        <v>2170</v>
      </c>
      <c r="G5" s="34" t="str">
        <f aca="false">VLOOKUP(F5,A:B,2, FALSE())</f>
        <v>Explosives</v>
      </c>
      <c r="H5" s="34" t="s">
        <v>2362</v>
      </c>
      <c r="J5" s="1" t="s">
        <v>2381</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2382</v>
      </c>
      <c r="B6" s="1" t="s">
        <v>2383</v>
      </c>
      <c r="C6" s="1" t="s">
        <v>2373</v>
      </c>
      <c r="D6" s="1" t="str">
        <f aca="false">CONCATENATE("""", A6, """,")</f>
        <v>"BEAN",</v>
      </c>
      <c r="F6" s="1" t="s">
        <v>2384</v>
      </c>
      <c r="G6" s="34" t="str">
        <f aca="false">VLOOKUP(F6,A:B,2, FALSE())</f>
        <v>Bricks</v>
      </c>
      <c r="H6" s="34" t="s">
        <v>2361</v>
      </c>
      <c r="J6" s="1" t="s">
        <v>2385</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2377</v>
      </c>
      <c r="B7" s="1" t="s">
        <v>2386</v>
      </c>
      <c r="C7" s="1" t="s">
        <v>2387</v>
      </c>
      <c r="D7" s="1" t="str">
        <f aca="false">CONCATENATE("""", A7, """,")</f>
        <v>"BEER",</v>
      </c>
      <c r="F7" s="1" t="s">
        <v>2388</v>
      </c>
      <c r="G7" s="34" t="str">
        <f aca="false">VLOOKUP(F7,A:B,2, FALSE())</f>
        <v>Bubbles</v>
      </c>
      <c r="H7" s="34" t="s">
        <v>2362</v>
      </c>
      <c r="J7" s="1" t="s">
        <v>2389</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2170</v>
      </c>
      <c r="B8" s="1" t="s">
        <v>2390</v>
      </c>
      <c r="C8" s="1" t="s">
        <v>2391</v>
      </c>
      <c r="D8" s="1" t="str">
        <f aca="false">CONCATENATE("""", A8, """,")</f>
        <v>"BOOM",</v>
      </c>
      <c r="F8" s="1" t="s">
        <v>2392</v>
      </c>
      <c r="G8" s="34" t="str">
        <f aca="false">VLOOKUP(F8,A:B,2, FALSE())</f>
        <v>Ceramics</v>
      </c>
      <c r="H8" s="34" t="s">
        <v>2362</v>
      </c>
      <c r="J8" s="1" t="s">
        <v>2393</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2384</v>
      </c>
      <c r="B9" s="1" t="s">
        <v>2394</v>
      </c>
      <c r="C9" s="1" t="s">
        <v>2376</v>
      </c>
      <c r="D9" s="1" t="str">
        <f aca="false">CONCATENATE("""", A9, """,")</f>
        <v>"BRCK",</v>
      </c>
      <c r="F9" s="1" t="s">
        <v>2395</v>
      </c>
      <c r="G9" s="34" t="str">
        <f aca="false">VLOOKUP(F9,A:B,2, FALSE())</f>
        <v>Copper</v>
      </c>
      <c r="H9" s="34" t="s">
        <v>2396</v>
      </c>
      <c r="J9" s="1" t="s">
        <v>2397</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2388</v>
      </c>
      <c r="B10" s="1" t="s">
        <v>2398</v>
      </c>
      <c r="C10" s="1" t="s">
        <v>2376</v>
      </c>
      <c r="D10" s="1" t="str">
        <f aca="false">CONCATENATE("""", A10, """,")</f>
        <v>"BUBL",</v>
      </c>
      <c r="F10" s="1" t="s">
        <v>2399</v>
      </c>
      <c r="G10" s="34" t="str">
        <f aca="false">VLOOKUP(F10,A:B,2, FALSE())</f>
        <v>Cast Iron</v>
      </c>
      <c r="H10" s="34" t="s">
        <v>2396</v>
      </c>
    </row>
    <row r="11" customFormat="false" ht="14.25" hidden="false" customHeight="false" outlineLevel="0" collapsed="false">
      <c r="A11" s="1" t="s">
        <v>2400</v>
      </c>
      <c r="B11" s="1" t="s">
        <v>2401</v>
      </c>
      <c r="C11" s="1" t="s">
        <v>2373</v>
      </c>
      <c r="D11" s="1" t="str">
        <f aca="false">CONCATENATE("""", A11, """,")</f>
        <v>"CASS",</v>
      </c>
      <c r="F11" s="1" t="s">
        <v>2402</v>
      </c>
      <c r="G11" s="34" t="str">
        <f aca="false">VLOOKUP(F11,A:B,2, FALSE())</f>
        <v>Fizzy Drinks</v>
      </c>
      <c r="H11" s="34" t="s">
        <v>2362</v>
      </c>
    </row>
    <row r="12" customFormat="false" ht="14.25" hidden="false" customHeight="false" outlineLevel="0" collapsed="false">
      <c r="A12" s="1" t="s">
        <v>2403</v>
      </c>
      <c r="B12" s="1" t="s">
        <v>2404</v>
      </c>
      <c r="C12" s="1" t="s">
        <v>2405</v>
      </c>
      <c r="D12" s="1" t="str">
        <f aca="false">CONCATENATE("""", A12, """,")</f>
        <v>"CBLK",</v>
      </c>
      <c r="F12" s="1" t="s">
        <v>2406</v>
      </c>
      <c r="G12" s="34" t="str">
        <f aca="false">VLOOKUP(F12,A:B,2, FALSE())</f>
        <v>Iron</v>
      </c>
      <c r="H12" s="34" t="s">
        <v>2396</v>
      </c>
    </row>
    <row r="13" customFormat="false" ht="14.25" hidden="false" customHeight="false" outlineLevel="0" collapsed="false">
      <c r="A13" s="1" t="s">
        <v>2392</v>
      </c>
      <c r="B13" s="1" t="s">
        <v>2407</v>
      </c>
      <c r="C13" s="1" t="s">
        <v>2376</v>
      </c>
      <c r="D13" s="1" t="str">
        <f aca="false">CONCATENATE("""", A13, """,")</f>
        <v>"CERA",</v>
      </c>
      <c r="F13" s="1" t="s">
        <v>2408</v>
      </c>
      <c r="G13" s="34" t="str">
        <f aca="false">VLOOKUP(F13,A:B,2, FALSE())</f>
        <v>Coffee</v>
      </c>
      <c r="H13" s="34" t="s">
        <v>2362</v>
      </c>
    </row>
    <row r="14" customFormat="false" ht="14.25" hidden="false" customHeight="false" outlineLevel="0" collapsed="false">
      <c r="A14" s="1" t="s">
        <v>2409</v>
      </c>
      <c r="B14" s="1" t="s">
        <v>2410</v>
      </c>
      <c r="C14" s="1" t="s">
        <v>2411</v>
      </c>
      <c r="D14" s="1" t="str">
        <f aca="false">CONCATENATE("""", A14, """,")</f>
        <v>"CERE",</v>
      </c>
      <c r="F14" s="1" t="s">
        <v>2412</v>
      </c>
      <c r="G14" s="34" t="str">
        <f aca="false">VLOOKUP(F14,A:B,2, FALSE())</f>
        <v>Metal</v>
      </c>
      <c r="H14" s="34" t="s">
        <v>2396</v>
      </c>
    </row>
    <row r="15" customFormat="false" ht="14.25" hidden="false" customHeight="false" outlineLevel="0" collapsed="false">
      <c r="A15" s="1" t="s">
        <v>2413</v>
      </c>
      <c r="B15" s="1" t="s">
        <v>2414</v>
      </c>
      <c r="C15" s="1" t="s">
        <v>2368</v>
      </c>
      <c r="D15" s="1" t="str">
        <f aca="false">CONCATENATE("""", A15, """,")</f>
        <v>"CHLO",</v>
      </c>
      <c r="F15" s="1" t="s">
        <v>2415</v>
      </c>
      <c r="G15" s="34" t="str">
        <f aca="false">VLOOKUP(F15,A:B,2, FALSE())</f>
        <v>Nuts</v>
      </c>
      <c r="H15" s="34" t="s">
        <v>2362</v>
      </c>
    </row>
    <row r="16" customFormat="false" ht="14.25" hidden="false" customHeight="false" outlineLevel="0" collapsed="false">
      <c r="A16" s="1" t="s">
        <v>2416</v>
      </c>
      <c r="B16" s="1" t="s">
        <v>2417</v>
      </c>
      <c r="C16" s="1" t="s">
        <v>2418</v>
      </c>
      <c r="D16" s="1" t="str">
        <f aca="false">CONCATENATE("""", A16, """,")</f>
        <v>"CLAY",</v>
      </c>
      <c r="F16" s="1" t="s">
        <v>2419</v>
      </c>
      <c r="G16" s="34" t="str">
        <f aca="false">VLOOKUP(F16,A:B,2, FALSE())</f>
        <v>Paper</v>
      </c>
      <c r="H16" s="34" t="s">
        <v>2362</v>
      </c>
    </row>
    <row r="17" customFormat="false" ht="14.25" hidden="false" customHeight="false" outlineLevel="0" collapsed="false">
      <c r="A17" s="1" t="s">
        <v>2420</v>
      </c>
      <c r="B17" s="1" t="s">
        <v>2421</v>
      </c>
      <c r="C17" s="1" t="s">
        <v>2418</v>
      </c>
      <c r="D17" s="1" t="str">
        <f aca="false">CONCATENATE("""", A17, """,")</f>
        <v>"CMNT",</v>
      </c>
      <c r="F17" s="1" t="s">
        <v>2422</v>
      </c>
      <c r="G17" s="34" t="str">
        <f aca="false">VLOOKUP(F17,A:B,2, FALSE())</f>
        <v>Pipe</v>
      </c>
      <c r="H17" s="34" t="s">
        <v>2423</v>
      </c>
    </row>
    <row r="18" customFormat="false" ht="14.25" hidden="false" customHeight="false" outlineLevel="0" collapsed="false">
      <c r="A18" s="1" t="s">
        <v>1834</v>
      </c>
      <c r="B18" s="1" t="s">
        <v>2424</v>
      </c>
      <c r="C18" s="1" t="s">
        <v>2373</v>
      </c>
      <c r="D18" s="1" t="str">
        <f aca="false">CONCATENATE("""", A18, """,")</f>
        <v>"COAL",</v>
      </c>
      <c r="F18" s="1" t="s">
        <v>2425</v>
      </c>
      <c r="G18" s="34" t="str">
        <f aca="false">VLOOKUP(F18,A:B,2, FALSE())</f>
        <v>Electrical Equipment</v>
      </c>
      <c r="H18" s="34" t="s">
        <v>2362</v>
      </c>
    </row>
    <row r="19" customFormat="false" ht="14.25" hidden="false" customHeight="false" outlineLevel="0" collapsed="false">
      <c r="A19" s="1" t="s">
        <v>2426</v>
      </c>
      <c r="B19" s="1" t="s">
        <v>2427</v>
      </c>
      <c r="C19" s="1" t="s">
        <v>2373</v>
      </c>
      <c r="D19" s="1" t="str">
        <f aca="false">CONCATENATE("""", A19, """,")</f>
        <v>"COKE",</v>
      </c>
      <c r="F19" s="1" t="s">
        <v>2428</v>
      </c>
      <c r="G19" s="34" t="str">
        <f aca="false">VLOOKUP(F19,A:B,2, FALSE())</f>
        <v>Alloy Steel</v>
      </c>
      <c r="H19" s="34" t="s">
        <v>2396</v>
      </c>
    </row>
    <row r="20" customFormat="false" ht="14.25" hidden="false" customHeight="false" outlineLevel="0" collapsed="false">
      <c r="A20" s="1" t="s">
        <v>2429</v>
      </c>
      <c r="B20" s="1" t="s">
        <v>2430</v>
      </c>
      <c r="C20" s="1" t="s">
        <v>2431</v>
      </c>
      <c r="D20" s="1" t="str">
        <f aca="false">CONCATENATE("""", A20, """,")</f>
        <v>"COLA",</v>
      </c>
      <c r="F20" s="1" t="s">
        <v>2432</v>
      </c>
      <c r="G20" s="34" t="str">
        <f aca="false">VLOOKUP(F20,A:B,2, FALSE())</f>
        <v>Carbon Steel</v>
      </c>
      <c r="H20" s="34" t="s">
        <v>2396</v>
      </c>
    </row>
    <row r="21" customFormat="false" ht="14.25" hidden="false" customHeight="false" outlineLevel="0" collapsed="false">
      <c r="A21" s="1" t="s">
        <v>2395</v>
      </c>
      <c r="B21" s="1" t="s">
        <v>2433</v>
      </c>
      <c r="C21" s="1" t="s">
        <v>2376</v>
      </c>
      <c r="D21" s="1" t="str">
        <f aca="false">CONCATENATE("""", A21, """,")</f>
        <v>"COPR",</v>
      </c>
      <c r="F21" s="1" t="s">
        <v>1924</v>
      </c>
      <c r="G21" s="34" t="str">
        <f aca="false">VLOOKUP(F21,A:B,2, FALSE())</f>
        <v>Steel</v>
      </c>
      <c r="H21" s="34" t="s">
        <v>2396</v>
      </c>
    </row>
    <row r="22" customFormat="false" ht="14.25" hidden="false" customHeight="false" outlineLevel="0" collapsed="false">
      <c r="A22" s="1" t="s">
        <v>2434</v>
      </c>
      <c r="B22" s="1" t="s">
        <v>2435</v>
      </c>
      <c r="C22" s="1" t="s">
        <v>2373</v>
      </c>
      <c r="D22" s="1" t="str">
        <f aca="false">CONCATENATE("""", A22, """,")</f>
        <v>"CORE",</v>
      </c>
      <c r="F22" s="1" t="s">
        <v>2436</v>
      </c>
      <c r="G22" s="34" t="str">
        <f aca="false">VLOOKUP(F22,A:B,2, FALSE())</f>
        <v>Stainless Steel</v>
      </c>
      <c r="H22" s="34" t="s">
        <v>2396</v>
      </c>
    </row>
    <row r="23" customFormat="false" ht="14.25" hidden="false" customHeight="false" outlineLevel="0" collapsed="false">
      <c r="A23" s="1" t="s">
        <v>2399</v>
      </c>
      <c r="B23" s="1" t="s">
        <v>2437</v>
      </c>
      <c r="C23" s="1" t="s">
        <v>2376</v>
      </c>
      <c r="D23" s="1" t="str">
        <f aca="false">CONCATENATE("""", A23, """,")</f>
        <v>"CSTI",</v>
      </c>
      <c r="F23" s="1" t="s">
        <v>2438</v>
      </c>
      <c r="G23" s="34" t="str">
        <f aca="false">VLOOKUP(F23,A:B,2, FALSE())</f>
        <v>Toys</v>
      </c>
      <c r="H23" s="34" t="s">
        <v>2362</v>
      </c>
    </row>
    <row r="24" customFormat="false" ht="14.25" hidden="false" customHeight="false" outlineLevel="0" collapsed="false">
      <c r="A24" s="1" t="s">
        <v>2439</v>
      </c>
      <c r="B24" s="1" t="s">
        <v>2440</v>
      </c>
      <c r="C24" s="1" t="s">
        <v>2368</v>
      </c>
      <c r="D24" s="1" t="str">
        <f aca="false">CONCATENATE("""", A24, """,")</f>
        <v>"CTAR",</v>
      </c>
      <c r="F24" s="1" t="s">
        <v>2441</v>
      </c>
      <c r="G24" s="34" t="str">
        <f aca="false">VLOOKUP(F24,A:B,2, FALSE())</f>
        <v>Tyres</v>
      </c>
      <c r="H24" s="34" t="s">
        <v>2442</v>
      </c>
    </row>
    <row r="25" customFormat="false" ht="14.25" hidden="false" customHeight="false" outlineLevel="0" collapsed="false">
      <c r="A25" s="1" t="s">
        <v>2443</v>
      </c>
      <c r="B25" s="1" t="s">
        <v>2444</v>
      </c>
      <c r="C25" s="1" t="s">
        <v>2373</v>
      </c>
      <c r="D25" s="1" t="str">
        <f aca="false">CONCATENATE("""", A25, """,")</f>
        <v>"CTCD",</v>
      </c>
      <c r="F25" s="1" t="s">
        <v>2445</v>
      </c>
      <c r="G25" s="34" t="str">
        <f aca="false">VLOOKUP(F25,A:B,2, FALSE())</f>
        <v>Vehicle Bodies</v>
      </c>
      <c r="H25" s="34" t="s">
        <v>2446</v>
      </c>
    </row>
    <row r="26" customFormat="false" ht="14.25" hidden="false" customHeight="false" outlineLevel="0" collapsed="false">
      <c r="A26" s="1" t="s">
        <v>2447</v>
      </c>
      <c r="B26" s="1" t="s">
        <v>2448</v>
      </c>
      <c r="C26" s="1" t="s">
        <v>2449</v>
      </c>
      <c r="D26" s="1" t="str">
        <f aca="false">CONCATENATE("""", A26, """,")</f>
        <v>"DIAM",</v>
      </c>
      <c r="F26" s="1" t="s">
        <v>2450</v>
      </c>
      <c r="G26" s="34" t="str">
        <f aca="false">VLOOKUP(F26,A:B,2, FALSE())</f>
        <v>Vehicle Engines</v>
      </c>
      <c r="H26" s="34" t="s">
        <v>2362</v>
      </c>
    </row>
    <row r="27" customFormat="false" ht="14.25" hidden="false" customHeight="false" outlineLevel="0" collapsed="false">
      <c r="A27" s="1" t="s">
        <v>2451</v>
      </c>
      <c r="B27" s="1" t="s">
        <v>2452</v>
      </c>
      <c r="C27" s="1" t="s">
        <v>2453</v>
      </c>
      <c r="D27" s="1" t="str">
        <f aca="false">CONCATENATE("""", A27, """,")</f>
        <v>"DYES",</v>
      </c>
      <c r="F27" s="1" t="s">
        <v>1891</v>
      </c>
      <c r="G27" s="34" t="str">
        <f aca="false">VLOOKUP(F27,A:B,2, FALSE())</f>
        <v>Wood</v>
      </c>
      <c r="H27" s="34" t="s">
        <v>2454</v>
      </c>
    </row>
    <row r="28" customFormat="false" ht="14.25" hidden="false" customHeight="false" outlineLevel="0" collapsed="false">
      <c r="A28" s="1" t="s">
        <v>2455</v>
      </c>
      <c r="B28" s="1" t="s">
        <v>2456</v>
      </c>
      <c r="C28" s="1" t="s">
        <v>2391</v>
      </c>
      <c r="D28" s="1" t="str">
        <f aca="false">CONCATENATE("""", A28, """,")</f>
        <v>"ENSP",</v>
      </c>
      <c r="F28" s="1" t="s">
        <v>2457</v>
      </c>
      <c r="G28" s="34" t="str">
        <f aca="false">VLOOKUP(F28,A:B,2, FALSE())</f>
        <v>Zinc</v>
      </c>
      <c r="H28" s="34" t="s">
        <v>2396</v>
      </c>
    </row>
    <row r="29" customFormat="false" ht="14.25" hidden="false" customHeight="false" outlineLevel="0" collapsed="false">
      <c r="A29" s="1" t="s">
        <v>2458</v>
      </c>
      <c r="B29" s="1" t="s">
        <v>2459</v>
      </c>
      <c r="C29" s="1" t="s">
        <v>2453</v>
      </c>
      <c r="D29" s="1" t="str">
        <f aca="false">CONCATENATE("""", A29, """,")</f>
        <v>"EOIL",</v>
      </c>
      <c r="F29" s="1" t="s">
        <v>2455</v>
      </c>
      <c r="G29" s="34" t="str">
        <f aca="false">VLOOKUP(F29,A:B,2, FALSE())</f>
        <v>Engineering Supplies</v>
      </c>
      <c r="H29" s="34" t="s">
        <v>2460</v>
      </c>
    </row>
    <row r="30" customFormat="false" ht="14.25" hidden="false" customHeight="false" outlineLevel="0" collapsed="false">
      <c r="A30" s="1" t="s">
        <v>2461</v>
      </c>
      <c r="B30" s="1" t="s">
        <v>2462</v>
      </c>
      <c r="C30" s="1" t="s">
        <v>2373</v>
      </c>
      <c r="D30" s="1" t="str">
        <f aca="false">CONCATENATE("""", A30, """,")</f>
        <v>"FECR",</v>
      </c>
      <c r="F30" s="1" t="s">
        <v>2463</v>
      </c>
      <c r="G30" s="34" t="str">
        <f aca="false">VLOOKUP(F30,A:B,2, FALSE())</f>
        <v>Farm Supplies</v>
      </c>
      <c r="H30" s="34" t="s">
        <v>2364</v>
      </c>
    </row>
    <row r="31" customFormat="false" ht="14.25" hidden="false" customHeight="false" outlineLevel="0" collapsed="false">
      <c r="A31" s="1" t="s">
        <v>2464</v>
      </c>
      <c r="B31" s="1" t="s">
        <v>2465</v>
      </c>
      <c r="C31" s="1" t="s">
        <v>2466</v>
      </c>
      <c r="D31" s="1" t="str">
        <f aca="false">CONCATENATE("""", A31, """,")</f>
        <v>"FERT",</v>
      </c>
      <c r="F31" s="1" t="s">
        <v>2467</v>
      </c>
      <c r="G31" s="34" t="str">
        <f aca="false">VLOOKUP(F31,A:B,2, FALSE())</f>
        <v>Vehicle Parts</v>
      </c>
      <c r="H31" s="34" t="s">
        <v>2362</v>
      </c>
    </row>
    <row r="32" customFormat="false" ht="14.25" hidden="false" customHeight="false" outlineLevel="0" collapsed="false">
      <c r="A32" s="1" t="s">
        <v>2468</v>
      </c>
      <c r="B32" s="1" t="s">
        <v>2469</v>
      </c>
      <c r="C32" s="1" t="s">
        <v>2466</v>
      </c>
      <c r="D32" s="1" t="str">
        <f aca="false">CONCATENATE("""", A32, """,")</f>
        <v>"FICR",</v>
      </c>
      <c r="F32" s="1" t="s">
        <v>2470</v>
      </c>
      <c r="G32" s="34" t="str">
        <f aca="false">VLOOKUP(F32,A:B,2, FALSE())</f>
        <v>Timber</v>
      </c>
      <c r="H32" s="34" t="s">
        <v>2363</v>
      </c>
    </row>
    <row r="33" customFormat="false" ht="14.25" hidden="false" customHeight="false" outlineLevel="0" collapsed="false">
      <c r="A33" s="1" t="s">
        <v>2471</v>
      </c>
      <c r="B33" s="1" t="s">
        <v>2472</v>
      </c>
      <c r="C33" s="1" t="s">
        <v>2473</v>
      </c>
      <c r="D33" s="1" t="str">
        <f aca="false">CONCATENATE("""", A33, """,")</f>
        <v>"FISH",</v>
      </c>
      <c r="F33" s="1" t="s">
        <v>2474</v>
      </c>
      <c r="G33" s="34" t="str">
        <f aca="false">VLOOKUP(F33,A:B,2, FALSE())</f>
        <v>Plastics</v>
      </c>
      <c r="H33" s="34" t="s">
        <v>2362</v>
      </c>
    </row>
    <row r="34" customFormat="false" ht="14.25" hidden="false" customHeight="false" outlineLevel="0" collapsed="false">
      <c r="A34" s="1" t="s">
        <v>2463</v>
      </c>
      <c r="B34" s="1" t="s">
        <v>2475</v>
      </c>
      <c r="C34" s="1" t="s">
        <v>2391</v>
      </c>
      <c r="D34" s="1" t="str">
        <f aca="false">CONCATENATE("""", A34, """,")</f>
        <v>"FMSP",</v>
      </c>
      <c r="F34" s="1" t="s">
        <v>2451</v>
      </c>
      <c r="G34" s="34" t="str">
        <f aca="false">VLOOKUP(F34,A:B,2, FALSE())</f>
        <v>Dyes</v>
      </c>
      <c r="H34" s="34" t="s">
        <v>2362</v>
      </c>
    </row>
    <row r="35" customFormat="false" ht="14.25" hidden="false" customHeight="false" outlineLevel="0" collapsed="false">
      <c r="A35" s="1" t="s">
        <v>2476</v>
      </c>
      <c r="B35" s="1" t="s">
        <v>2477</v>
      </c>
      <c r="C35" s="1" t="s">
        <v>2473</v>
      </c>
      <c r="D35" s="1" t="str">
        <f aca="false">CONCATENATE("""", A35, """,")</f>
        <v>"FOOD",</v>
      </c>
      <c r="F35" s="1" t="s">
        <v>2478</v>
      </c>
      <c r="G35" s="34" t="str">
        <f aca="false">VLOOKUP(F35,A:B,2, FALSE())</f>
        <v>Vehicles</v>
      </c>
      <c r="H35" s="34" t="s">
        <v>2479</v>
      </c>
    </row>
    <row r="36" customFormat="false" ht="14.25" hidden="false" customHeight="false" outlineLevel="0" collapsed="false">
      <c r="A36" s="1" t="s">
        <v>2480</v>
      </c>
      <c r="B36" s="1" t="s">
        <v>2481</v>
      </c>
      <c r="C36" s="1" t="s">
        <v>2482</v>
      </c>
      <c r="D36" s="1" t="str">
        <f aca="false">CONCATENATE("""", A36, """,")</f>
        <v>"FRUT",</v>
      </c>
      <c r="F36" s="1" t="s">
        <v>2468</v>
      </c>
      <c r="G36" s="34" t="str">
        <f aca="false">VLOOKUP(F36,A:B,2, FALSE())</f>
        <v>Fibre Crops</v>
      </c>
      <c r="H36" s="34" t="s">
        <v>2362</v>
      </c>
    </row>
    <row r="37" customFormat="false" ht="14.25" hidden="false" customHeight="false" outlineLevel="0" collapsed="false">
      <c r="A37" s="1" t="s">
        <v>2483</v>
      </c>
      <c r="B37" s="1" t="s">
        <v>2484</v>
      </c>
      <c r="C37" s="1" t="s">
        <v>2485</v>
      </c>
      <c r="D37" s="1" t="str">
        <f aca="false">CONCATENATE("""", A37, """,")</f>
        <v>"FRVG",</v>
      </c>
      <c r="F37" s="1" t="s">
        <v>2486</v>
      </c>
      <c r="G37" s="34" t="str">
        <f aca="false">VLOOKUP(F37,A:B,2, FALSE())</f>
        <v>Packaging</v>
      </c>
      <c r="H37" s="34" t="s">
        <v>2362</v>
      </c>
    </row>
    <row r="38" customFormat="false" ht="14.25" hidden="false" customHeight="false" outlineLevel="0" collapsed="false">
      <c r="A38" s="1" t="s">
        <v>2402</v>
      </c>
      <c r="B38" s="1" t="s">
        <v>2487</v>
      </c>
      <c r="C38" s="1" t="s">
        <v>2376</v>
      </c>
      <c r="D38" s="1" t="str">
        <f aca="false">CONCATENATE("""", A38, """,")</f>
        <v>"FZDR",</v>
      </c>
      <c r="F38" s="1" t="s">
        <v>2488</v>
      </c>
      <c r="G38" s="34" t="str">
        <f aca="false">VLOOKUP(F38,A:B,2, FALSE())</f>
        <v>Steel Sheet</v>
      </c>
      <c r="H38" s="34"/>
    </row>
    <row r="39" customFormat="false" ht="14.25" hidden="false" customHeight="false" outlineLevel="0" collapsed="false">
      <c r="A39" s="1" t="s">
        <v>2489</v>
      </c>
      <c r="B39" s="1" t="s">
        <v>2490</v>
      </c>
      <c r="C39" s="1" t="s">
        <v>2449</v>
      </c>
      <c r="D39" s="1" t="str">
        <f aca="false">CONCATENATE("""", A39, """,")</f>
        <v>"GOLD",</v>
      </c>
      <c r="F39" s="1" t="s">
        <v>2491</v>
      </c>
      <c r="G39" s="34" t="str">
        <f aca="false">VLOOKUP(F39,A:B,2, FALSE())</f>
        <v>Steel Wire Rod</v>
      </c>
      <c r="H39" s="34"/>
    </row>
    <row r="40" customFormat="false" ht="14.25" hidden="false" customHeight="false" outlineLevel="0" collapsed="false">
      <c r="A40" s="1" t="s">
        <v>1464</v>
      </c>
      <c r="B40" s="1" t="s">
        <v>2492</v>
      </c>
      <c r="C40" s="1" t="s">
        <v>2493</v>
      </c>
      <c r="D40" s="1" t="str">
        <f aca="false">CONCATENATE("""", A40, """,")</f>
        <v>"GOOD",</v>
      </c>
      <c r="F40" s="1" t="s">
        <v>2494</v>
      </c>
      <c r="G40" s="34" t="str">
        <f aca="false">VLOOKUP(F40,A:B,2, FALSE())</f>
        <v>Rebar</v>
      </c>
      <c r="H40" s="34"/>
    </row>
    <row r="41" customFormat="false" ht="14.25" hidden="false" customHeight="false" outlineLevel="0" collapsed="false">
      <c r="A41" s="1" t="s">
        <v>1953</v>
      </c>
      <c r="B41" s="1" t="s">
        <v>2495</v>
      </c>
      <c r="C41" s="1" t="s">
        <v>2373</v>
      </c>
      <c r="D41" s="1" t="str">
        <f aca="false">CONCATENATE("""", A41, """,")</f>
        <v>"GRAI",</v>
      </c>
      <c r="F41" s="34" t="s">
        <v>2496</v>
      </c>
      <c r="G41" s="34" t="str">
        <f aca="false">VLOOKUP(F41,A:B,2, FALSE())</f>
        <v>Cleaning Agents</v>
      </c>
      <c r="H41" s="34" t="s">
        <v>2362</v>
      </c>
    </row>
    <row r="42" customFormat="false" ht="14.25" hidden="false" customHeight="false" outlineLevel="0" collapsed="false">
      <c r="A42" s="1" t="s">
        <v>2497</v>
      </c>
      <c r="B42" s="1" t="s">
        <v>2498</v>
      </c>
      <c r="C42" s="1" t="s">
        <v>2373</v>
      </c>
      <c r="D42" s="1" t="str">
        <f aca="false">CONCATENATE("""", A42, """,")</f>
        <v>"GRVL",</v>
      </c>
      <c r="F42" s="34" t="s">
        <v>2499</v>
      </c>
      <c r="G42" s="34" t="str">
        <f aca="false">VLOOKUP(F42,A:B,2, FALSE())</f>
        <v>Paints and coatings</v>
      </c>
      <c r="H42" s="34" t="s">
        <v>2362</v>
      </c>
    </row>
    <row r="43" customFormat="false" ht="14.25" hidden="false" customHeight="false" outlineLevel="0" collapsed="false">
      <c r="A43" s="1" t="s">
        <v>2500</v>
      </c>
      <c r="B43" s="1" t="s">
        <v>2501</v>
      </c>
      <c r="C43" s="1" t="s">
        <v>2373</v>
      </c>
      <c r="D43" s="1" t="str">
        <f aca="false">CONCATENATE("""", A43, """,")</f>
        <v>"IORE",</v>
      </c>
    </row>
    <row r="44" customFormat="false" ht="14.25" hidden="false" customHeight="false" outlineLevel="0" collapsed="false">
      <c r="A44" s="1" t="s">
        <v>2406</v>
      </c>
      <c r="B44" s="1" t="s">
        <v>2502</v>
      </c>
      <c r="C44" s="1" t="s">
        <v>2376</v>
      </c>
      <c r="D44" s="1" t="str">
        <f aca="false">CONCATENATE("""", A44, """,")</f>
        <v>"IRON",</v>
      </c>
    </row>
    <row r="45" customFormat="false" ht="14.25" hidden="false" customHeight="false" outlineLevel="0" collapsed="false">
      <c r="A45" s="1" t="s">
        <v>2408</v>
      </c>
      <c r="B45" s="1" t="s">
        <v>2503</v>
      </c>
      <c r="C45" s="1" t="s">
        <v>2376</v>
      </c>
      <c r="D45" s="1" t="str">
        <f aca="false">CONCATENATE("""", A45, """,")</f>
        <v>"JAVA",</v>
      </c>
    </row>
    <row r="46" customFormat="false" ht="14.25" hidden="false" customHeight="false" outlineLevel="0" collapsed="false">
      <c r="A46" s="1" t="s">
        <v>2504</v>
      </c>
      <c r="B46" s="1" t="s">
        <v>2505</v>
      </c>
      <c r="C46" s="1" t="s">
        <v>2506</v>
      </c>
      <c r="D46" s="1" t="str">
        <f aca="false">CONCATENATE("""", A46, """,")</f>
        <v>"KAOL",</v>
      </c>
    </row>
    <row r="47" customFormat="false" ht="14.25" hidden="false" customHeight="false" outlineLevel="0" collapsed="false">
      <c r="A47" s="1" t="s">
        <v>2507</v>
      </c>
      <c r="B47" s="1" t="s">
        <v>2508</v>
      </c>
      <c r="C47" s="1" t="s">
        <v>2373</v>
      </c>
      <c r="D47" s="1" t="str">
        <f aca="false">CONCATENATE("""", A47, """,")</f>
        <v>"LIME",</v>
      </c>
    </row>
    <row r="48" customFormat="false" ht="14.25" hidden="false" customHeight="false" outlineLevel="0" collapsed="false">
      <c r="A48" s="1" t="s">
        <v>1967</v>
      </c>
      <c r="B48" s="1" t="s">
        <v>1966</v>
      </c>
      <c r="C48" s="1" t="s">
        <v>2376</v>
      </c>
      <c r="D48" s="1" t="str">
        <f aca="false">CONCATENATE("""", A48, """,")</f>
        <v>"LVST",</v>
      </c>
    </row>
    <row r="49" customFormat="false" ht="14.25" hidden="false" customHeight="false" outlineLevel="0" collapsed="false">
      <c r="A49" s="1" t="s">
        <v>706</v>
      </c>
      <c r="B49" s="1" t="s">
        <v>144</v>
      </c>
      <c r="C49" s="1" t="s">
        <v>2509</v>
      </c>
      <c r="D49" s="1" t="str">
        <f aca="false">CONCATENATE("""", A49, """,")</f>
        <v>"MAIL",</v>
      </c>
    </row>
    <row r="50" customFormat="false" ht="14.25" hidden="false" customHeight="false" outlineLevel="0" collapsed="false">
      <c r="A50" s="1" t="s">
        <v>2510</v>
      </c>
      <c r="B50" s="1" t="s">
        <v>2511</v>
      </c>
      <c r="C50" s="1" t="s">
        <v>2373</v>
      </c>
      <c r="D50" s="1" t="str">
        <f aca="false">CONCATENATE("""", A50, """,")</f>
        <v>"MAIZ",</v>
      </c>
    </row>
    <row r="51" customFormat="false" ht="14.25" hidden="false" customHeight="false" outlineLevel="0" collapsed="false">
      <c r="A51" s="1" t="s">
        <v>2412</v>
      </c>
      <c r="B51" s="1" t="s">
        <v>2512</v>
      </c>
      <c r="C51" s="1" t="s">
        <v>2376</v>
      </c>
      <c r="D51" s="1" t="str">
        <f aca="false">CONCATENATE("""", A51, """,")</f>
        <v>"METL",</v>
      </c>
    </row>
    <row r="52" customFormat="false" ht="14.25" hidden="false" customHeight="false" outlineLevel="0" collapsed="false">
      <c r="A52" s="1" t="s">
        <v>2513</v>
      </c>
      <c r="B52" s="1" t="s">
        <v>2514</v>
      </c>
      <c r="C52" s="1" t="s">
        <v>2515</v>
      </c>
      <c r="D52" s="1" t="str">
        <f aca="false">CONCATENATE("""", A52, """,")</f>
        <v>"MILK",</v>
      </c>
    </row>
    <row r="53" customFormat="false" ht="14.25" hidden="false" customHeight="false" outlineLevel="0" collapsed="false">
      <c r="A53" s="1" t="s">
        <v>2516</v>
      </c>
      <c r="B53" s="1" t="s">
        <v>2517</v>
      </c>
      <c r="C53" s="1" t="s">
        <v>2373</v>
      </c>
      <c r="D53" s="1" t="str">
        <f aca="false">CONCATENATE("""", A53, """,")</f>
        <v>"MNO2",</v>
      </c>
    </row>
    <row r="54" customFormat="false" ht="14.25" hidden="false" customHeight="false" outlineLevel="0" collapsed="false">
      <c r="A54" s="1" t="s">
        <v>2486</v>
      </c>
      <c r="B54" s="1" t="s">
        <v>2518</v>
      </c>
      <c r="C54" s="1" t="s">
        <v>2519</v>
      </c>
      <c r="D54" s="1" t="str">
        <f aca="false">CONCATENATE("""", A54, """,")</f>
        <v>"MNSP",</v>
      </c>
    </row>
    <row r="55" customFormat="false" ht="14.25" hidden="false" customHeight="false" outlineLevel="0" collapsed="false">
      <c r="A55" s="1" t="s">
        <v>2520</v>
      </c>
      <c r="B55" s="1" t="s">
        <v>2521</v>
      </c>
      <c r="C55" s="1" t="s">
        <v>2373</v>
      </c>
      <c r="D55" s="1" t="str">
        <f aca="false">CONCATENATE("""", A55, """,")</f>
        <v>"NITR",</v>
      </c>
    </row>
    <row r="56" customFormat="false" ht="14.25" hidden="false" customHeight="false" outlineLevel="0" collapsed="false">
      <c r="A56" s="1" t="s">
        <v>2415</v>
      </c>
      <c r="B56" s="1" t="s">
        <v>2522</v>
      </c>
      <c r="C56" s="1" t="s">
        <v>2376</v>
      </c>
      <c r="D56" s="1" t="str">
        <f aca="false">CONCATENATE("""", A56, """,")</f>
        <v>"NUTS",</v>
      </c>
    </row>
    <row r="57" customFormat="false" ht="14.25" hidden="false" customHeight="false" outlineLevel="0" collapsed="false">
      <c r="A57" s="1" t="s">
        <v>1936</v>
      </c>
      <c r="B57" s="1" t="s">
        <v>2523</v>
      </c>
      <c r="C57" s="1" t="s">
        <v>2431</v>
      </c>
      <c r="D57" s="1" t="str">
        <f aca="false">CONCATENATE("""", A57, """,")</f>
        <v>"OIL_",</v>
      </c>
    </row>
    <row r="58" customFormat="false" ht="14.25" hidden="false" customHeight="false" outlineLevel="0" collapsed="false">
      <c r="A58" s="1" t="s">
        <v>2524</v>
      </c>
      <c r="B58" s="1" t="s">
        <v>2525</v>
      </c>
      <c r="C58" s="1" t="s">
        <v>2411</v>
      </c>
      <c r="D58" s="1" t="str">
        <f aca="false">CONCATENATE("""", A58, """,")</f>
        <v>"OLSD",</v>
      </c>
    </row>
    <row r="59" customFormat="false" ht="14.25" hidden="false" customHeight="false" outlineLevel="0" collapsed="false">
      <c r="A59" s="1" t="s">
        <v>2419</v>
      </c>
      <c r="B59" s="1" t="s">
        <v>2526</v>
      </c>
      <c r="C59" s="1" t="s">
        <v>2376</v>
      </c>
      <c r="D59" s="1" t="str">
        <f aca="false">CONCATENATE("""", A59, """,")</f>
        <v>"PAPR",</v>
      </c>
    </row>
    <row r="60" customFormat="false" ht="14.25" hidden="false" customHeight="false" outlineLevel="0" collapsed="false">
      <c r="A60" s="1" t="s">
        <v>367</v>
      </c>
      <c r="B60" s="1" t="s">
        <v>366</v>
      </c>
      <c r="C60" s="1" t="s">
        <v>2527</v>
      </c>
      <c r="D60" s="1" t="str">
        <f aca="false">CONCATENATE("""", A60, """,")</f>
        <v>"PASS",</v>
      </c>
    </row>
    <row r="61" customFormat="false" ht="14.25" hidden="false" customHeight="false" outlineLevel="0" collapsed="false">
      <c r="A61" s="1" t="s">
        <v>2528</v>
      </c>
      <c r="B61" s="1" t="s">
        <v>2529</v>
      </c>
      <c r="C61" s="1" t="s">
        <v>2373</v>
      </c>
      <c r="D61" s="1" t="str">
        <f aca="false">CONCATENATE("""", A61, """,")</f>
        <v>"PEAT",</v>
      </c>
    </row>
    <row r="62" customFormat="false" ht="14.25" hidden="false" customHeight="false" outlineLevel="0" collapsed="false">
      <c r="A62" s="1" t="s">
        <v>2530</v>
      </c>
      <c r="B62" s="1" t="s">
        <v>106</v>
      </c>
      <c r="C62" s="1" t="s">
        <v>2431</v>
      </c>
      <c r="D62" s="1" t="str">
        <f aca="false">CONCATENATE("""", A62, """,")</f>
        <v>"PETR",</v>
      </c>
    </row>
    <row r="63" customFormat="false" ht="14.25" hidden="false" customHeight="false" outlineLevel="0" collapsed="false">
      <c r="A63" s="1" t="s">
        <v>2531</v>
      </c>
      <c r="B63" s="1" t="s">
        <v>2532</v>
      </c>
      <c r="C63" s="1" t="s">
        <v>2373</v>
      </c>
      <c r="D63" s="1" t="str">
        <f aca="false">CONCATENATE("""", A63, """,")</f>
        <v>"PHOS",</v>
      </c>
    </row>
    <row r="64" customFormat="false" ht="14.25" hidden="false" customHeight="false" outlineLevel="0" collapsed="false">
      <c r="A64" s="1" t="s">
        <v>2422</v>
      </c>
      <c r="B64" s="1" t="s">
        <v>2533</v>
      </c>
      <c r="C64" s="1" t="s">
        <v>2376</v>
      </c>
      <c r="D64" s="1" t="str">
        <f aca="false">CONCATENATE("""", A64, """,")</f>
        <v>"PIPE",</v>
      </c>
    </row>
    <row r="65" customFormat="false" ht="14.25" hidden="false" customHeight="false" outlineLevel="0" collapsed="false">
      <c r="A65" s="1" t="s">
        <v>2474</v>
      </c>
      <c r="B65" s="1" t="s">
        <v>2534</v>
      </c>
      <c r="C65" s="1" t="s">
        <v>2535</v>
      </c>
      <c r="D65" s="1" t="str">
        <f aca="false">CONCATENATE("""", A65, """,")</f>
        <v>"PLAS",</v>
      </c>
    </row>
    <row r="66" customFormat="false" ht="14.25" hidden="false" customHeight="false" outlineLevel="0" collapsed="false">
      <c r="A66" s="1" t="s">
        <v>2536</v>
      </c>
      <c r="B66" s="1" t="s">
        <v>2537</v>
      </c>
      <c r="C66" s="1" t="s">
        <v>2431</v>
      </c>
      <c r="D66" s="1" t="str">
        <f aca="false">CONCATENATE("""", A66, """,")</f>
        <v>"PLST",</v>
      </c>
    </row>
    <row r="67" customFormat="false" ht="14.25" hidden="false" customHeight="false" outlineLevel="0" collapsed="false">
      <c r="A67" s="1" t="s">
        <v>2538</v>
      </c>
      <c r="B67" s="1" t="s">
        <v>2539</v>
      </c>
      <c r="C67" s="1" t="s">
        <v>2373</v>
      </c>
      <c r="D67" s="1" t="str">
        <f aca="false">CONCATENATE("""", A67, """,")</f>
        <v>"PORE",</v>
      </c>
    </row>
    <row r="68" customFormat="false" ht="14.25" hidden="false" customHeight="false" outlineLevel="0" collapsed="false">
      <c r="A68" s="1" t="s">
        <v>2540</v>
      </c>
      <c r="B68" s="1" t="s">
        <v>2541</v>
      </c>
      <c r="C68" s="1" t="s">
        <v>2411</v>
      </c>
      <c r="D68" s="1" t="str">
        <f aca="false">CONCATENATE("""", A68, """,")</f>
        <v>"POTA",</v>
      </c>
    </row>
    <row r="69" customFormat="false" ht="14.25" hidden="false" customHeight="false" outlineLevel="0" collapsed="false">
      <c r="A69" s="1" t="s">
        <v>2425</v>
      </c>
      <c r="B69" s="1" t="s">
        <v>2542</v>
      </c>
      <c r="C69" s="1" t="s">
        <v>2376</v>
      </c>
      <c r="D69" s="1" t="str">
        <f aca="false">CONCATENATE("""", A69, """,")</f>
        <v>"POWR",</v>
      </c>
    </row>
    <row r="70" customFormat="false" ht="14.25" hidden="false" customHeight="false" outlineLevel="0" collapsed="false">
      <c r="A70" s="1" t="s">
        <v>2543</v>
      </c>
      <c r="B70" s="1" t="s">
        <v>2544</v>
      </c>
      <c r="C70" s="1" t="s">
        <v>2411</v>
      </c>
      <c r="D70" s="1" t="str">
        <f aca="false">CONCATENATE("""", A70, """,")</f>
        <v>"QLME",</v>
      </c>
    </row>
    <row r="71" customFormat="false" ht="14.25" hidden="false" customHeight="false" outlineLevel="0" collapsed="false">
      <c r="A71" s="1" t="s">
        <v>2545</v>
      </c>
      <c r="B71" s="1" t="s">
        <v>2546</v>
      </c>
      <c r="C71" s="1" t="s">
        <v>2547</v>
      </c>
      <c r="D71" s="1" t="str">
        <f aca="false">CONCATENATE("""", A71, """,")</f>
        <v>"RCYC",</v>
      </c>
    </row>
    <row r="72" customFormat="false" ht="14.25" hidden="false" customHeight="false" outlineLevel="0" collapsed="false">
      <c r="A72" s="1" t="s">
        <v>2548</v>
      </c>
      <c r="B72" s="1" t="s">
        <v>2549</v>
      </c>
      <c r="C72" s="1" t="s">
        <v>2431</v>
      </c>
      <c r="D72" s="1" t="str">
        <f aca="false">CONCATENATE("""", A72, """,")</f>
        <v>"RFPR",</v>
      </c>
    </row>
    <row r="73" customFormat="false" ht="14.25" hidden="false" customHeight="false" outlineLevel="0" collapsed="false">
      <c r="A73" s="1" t="s">
        <v>2550</v>
      </c>
      <c r="B73" s="1" t="s">
        <v>2551</v>
      </c>
      <c r="C73" s="1" t="s">
        <v>2431</v>
      </c>
      <c r="D73" s="1" t="str">
        <f aca="false">CONCATENATE("""", A73, """,")</f>
        <v>"RUBR",</v>
      </c>
    </row>
    <row r="74" customFormat="false" ht="14.25" hidden="false" customHeight="false" outlineLevel="0" collapsed="false">
      <c r="A74" s="1" t="s">
        <v>1985</v>
      </c>
      <c r="B74" s="1" t="s">
        <v>2552</v>
      </c>
      <c r="C74" s="1" t="s">
        <v>2373</v>
      </c>
      <c r="D74" s="1" t="str">
        <f aca="false">CONCATENATE("""", A74, """,")</f>
        <v>"SALT",</v>
      </c>
    </row>
    <row r="75" customFormat="false" ht="14.25" hidden="false" customHeight="false" outlineLevel="0" collapsed="false">
      <c r="A75" s="1" t="s">
        <v>2553</v>
      </c>
      <c r="B75" s="1" t="s">
        <v>2554</v>
      </c>
      <c r="C75" s="1" t="s">
        <v>2373</v>
      </c>
      <c r="D75" s="1" t="str">
        <f aca="false">CONCATENATE("""", A75, """,")</f>
        <v>"SAND",</v>
      </c>
    </row>
    <row r="76" customFormat="false" ht="14.25" hidden="false" customHeight="false" outlineLevel="0" collapsed="false">
      <c r="A76" s="1" t="s">
        <v>2555</v>
      </c>
      <c r="B76" s="1" t="s">
        <v>2556</v>
      </c>
      <c r="C76" s="1" t="s">
        <v>2411</v>
      </c>
      <c r="D76" s="1" t="str">
        <f aca="false">CONCATENATE("""", A76, """,")</f>
        <v>"SASH",</v>
      </c>
    </row>
    <row r="77" customFormat="false" ht="14.25" hidden="false" customHeight="false" outlineLevel="0" collapsed="false">
      <c r="A77" s="1" t="s">
        <v>2557</v>
      </c>
      <c r="B77" s="1" t="s">
        <v>2558</v>
      </c>
      <c r="C77" s="1" t="s">
        <v>2559</v>
      </c>
      <c r="D77" s="1" t="str">
        <f aca="false">CONCATENATE("""", A77, """,")</f>
        <v>"SCMT",</v>
      </c>
    </row>
    <row r="78" customFormat="false" ht="14.25" hidden="false" customHeight="false" outlineLevel="0" collapsed="false">
      <c r="A78" s="1" t="s">
        <v>2560</v>
      </c>
      <c r="B78" s="1" t="s">
        <v>2561</v>
      </c>
      <c r="C78" s="1" t="s">
        <v>2373</v>
      </c>
      <c r="D78" s="1" t="str">
        <f aca="false">CONCATENATE("""", A78, """,")</f>
        <v>"SGBT",</v>
      </c>
    </row>
    <row r="79" customFormat="false" ht="14.25" hidden="false" customHeight="false" outlineLevel="0" collapsed="false">
      <c r="A79" s="1" t="s">
        <v>2562</v>
      </c>
      <c r="B79" s="1" t="s">
        <v>2563</v>
      </c>
      <c r="C79" s="1" t="s">
        <v>2559</v>
      </c>
      <c r="D79" s="1" t="str">
        <f aca="false">CONCATENATE("""", A79, """,")</f>
        <v>"SGCN",</v>
      </c>
    </row>
    <row r="80" customFormat="false" ht="14.25" hidden="false" customHeight="false" outlineLevel="0" collapsed="false">
      <c r="A80" s="1" t="s">
        <v>2564</v>
      </c>
      <c r="B80" s="1" t="s">
        <v>2565</v>
      </c>
      <c r="C80" s="1" t="s">
        <v>2373</v>
      </c>
      <c r="D80" s="1" t="str">
        <f aca="false">CONCATENATE("""", A80, """,")</f>
        <v>"SLAG",</v>
      </c>
    </row>
    <row r="81" customFormat="false" ht="14.25" hidden="false" customHeight="false" outlineLevel="0" collapsed="false">
      <c r="A81" s="1" t="s">
        <v>2428</v>
      </c>
      <c r="B81" s="1" t="s">
        <v>2566</v>
      </c>
      <c r="C81" s="1" t="s">
        <v>2376</v>
      </c>
      <c r="D81" s="1" t="str">
        <f aca="false">CONCATENATE("""", A81, """,")</f>
        <v>"STAL",</v>
      </c>
    </row>
    <row r="82" customFormat="false" ht="14.25" hidden="false" customHeight="false" outlineLevel="0" collapsed="false">
      <c r="A82" s="1" t="s">
        <v>2432</v>
      </c>
      <c r="B82" s="1" t="s">
        <v>2567</v>
      </c>
      <c r="C82" s="1" t="s">
        <v>2376</v>
      </c>
      <c r="D82" s="1" t="str">
        <f aca="false">CONCATENATE("""", A82, """,")</f>
        <v>"STCB",</v>
      </c>
    </row>
    <row r="83" customFormat="false" ht="14.25" hidden="false" customHeight="false" outlineLevel="0" collapsed="false">
      <c r="A83" s="1" t="s">
        <v>1924</v>
      </c>
      <c r="B83" s="1" t="s">
        <v>1923</v>
      </c>
      <c r="C83" s="1" t="s">
        <v>2376</v>
      </c>
      <c r="D83" s="1" t="str">
        <f aca="false">CONCATENATE("""", A83, """,")</f>
        <v>"STEL",</v>
      </c>
    </row>
    <row r="84" customFormat="false" ht="14.25" hidden="false" customHeight="false" outlineLevel="0" collapsed="false">
      <c r="A84" s="1" t="s">
        <v>2436</v>
      </c>
      <c r="B84" s="1" t="s">
        <v>2568</v>
      </c>
      <c r="C84" s="1" t="s">
        <v>2376</v>
      </c>
      <c r="D84" s="1" t="str">
        <f aca="false">CONCATENATE("""", A84, """,")</f>
        <v>"STST",</v>
      </c>
    </row>
    <row r="85" customFormat="false" ht="14.25" hidden="false" customHeight="false" outlineLevel="0" collapsed="false">
      <c r="A85" s="1" t="s">
        <v>2569</v>
      </c>
      <c r="B85" s="1" t="s">
        <v>2570</v>
      </c>
      <c r="C85" s="1" t="s">
        <v>2373</v>
      </c>
      <c r="D85" s="1" t="str">
        <f aca="false">CONCATENATE("""", A85, """,")</f>
        <v>"SUGR",</v>
      </c>
    </row>
    <row r="86" customFormat="false" ht="14.25" hidden="false" customHeight="false" outlineLevel="0" collapsed="false">
      <c r="A86" s="1" t="s">
        <v>2571</v>
      </c>
      <c r="B86" s="1" t="s">
        <v>2572</v>
      </c>
      <c r="C86" s="1" t="s">
        <v>2411</v>
      </c>
      <c r="D86" s="1" t="str">
        <f aca="false">CONCATENATE("""", A86, """,")</f>
        <v>"SULP",</v>
      </c>
    </row>
    <row r="87" customFormat="false" ht="14.25" hidden="false" customHeight="false" outlineLevel="0" collapsed="false">
      <c r="A87" s="1" t="s">
        <v>2573</v>
      </c>
      <c r="B87" s="1" t="s">
        <v>2574</v>
      </c>
      <c r="C87" s="1" t="s">
        <v>2493</v>
      </c>
      <c r="D87" s="1" t="str">
        <f aca="false">CONCATENATE("""", A87, """,")</f>
        <v>"SWET",</v>
      </c>
    </row>
    <row r="88" customFormat="false" ht="14.25" hidden="false" customHeight="false" outlineLevel="0" collapsed="false">
      <c r="A88" s="1" t="s">
        <v>2575</v>
      </c>
      <c r="B88" s="1" t="s">
        <v>2576</v>
      </c>
      <c r="C88" s="1" t="s">
        <v>2373</v>
      </c>
      <c r="D88" s="1" t="str">
        <f aca="false">CONCATENATE("""", A88, """,")</f>
        <v>"TOFF",</v>
      </c>
    </row>
    <row r="89" customFormat="false" ht="14.25" hidden="false" customHeight="false" outlineLevel="0" collapsed="false">
      <c r="A89" s="1" t="s">
        <v>2577</v>
      </c>
      <c r="B89" s="1" t="s">
        <v>2578</v>
      </c>
      <c r="C89" s="1" t="s">
        <v>2579</v>
      </c>
      <c r="D89" s="1" t="str">
        <f aca="false">CONCATENATE("""", A89, """,")</f>
        <v>"TOUR",</v>
      </c>
    </row>
    <row r="90" customFormat="false" ht="14.25" hidden="false" customHeight="false" outlineLevel="0" collapsed="false">
      <c r="A90" s="1" t="s">
        <v>2438</v>
      </c>
      <c r="B90" s="1" t="s">
        <v>2580</v>
      </c>
      <c r="C90" s="1" t="s">
        <v>2376</v>
      </c>
      <c r="D90" s="1" t="str">
        <f aca="false">CONCATENATE("""", A90, """,")</f>
        <v>"TOYS",</v>
      </c>
    </row>
    <row r="91" customFormat="false" ht="14.25" hidden="false" customHeight="false" outlineLevel="0" collapsed="false">
      <c r="A91" s="1" t="s">
        <v>2441</v>
      </c>
      <c r="B91" s="1" t="s">
        <v>2581</v>
      </c>
      <c r="C91" s="1" t="s">
        <v>2376</v>
      </c>
      <c r="D91" s="1" t="str">
        <f aca="false">CONCATENATE("""", A91, """,")</f>
        <v>"TYRE",</v>
      </c>
    </row>
    <row r="92" customFormat="false" ht="14.25" hidden="false" customHeight="false" outlineLevel="0" collapsed="false">
      <c r="A92" s="1" t="s">
        <v>2582</v>
      </c>
      <c r="B92" s="1" t="s">
        <v>2583</v>
      </c>
      <c r="C92" s="1" t="s">
        <v>2584</v>
      </c>
      <c r="D92" s="1" t="str">
        <f aca="false">CONCATENATE("""", A92, """,")</f>
        <v>"URAN",</v>
      </c>
    </row>
    <row r="93" customFormat="false" ht="14.25" hidden="false" customHeight="false" outlineLevel="0" collapsed="false">
      <c r="A93" s="1" t="s">
        <v>2585</v>
      </c>
      <c r="B93" s="1" t="s">
        <v>2586</v>
      </c>
      <c r="C93" s="1" t="s">
        <v>2449</v>
      </c>
      <c r="D93" s="1" t="str">
        <f aca="false">CONCATENATE("""", A93, """,")</f>
        <v>"VALU",</v>
      </c>
    </row>
    <row r="94" customFormat="false" ht="14.25" hidden="false" customHeight="false" outlineLevel="0" collapsed="false">
      <c r="A94" s="1" t="s">
        <v>2445</v>
      </c>
      <c r="B94" s="1" t="s">
        <v>2587</v>
      </c>
      <c r="C94" s="1" t="s">
        <v>2376</v>
      </c>
      <c r="D94" s="1" t="str">
        <f aca="false">CONCATENATE("""", A94, """,")</f>
        <v>"VBOD",</v>
      </c>
    </row>
    <row r="95" customFormat="false" ht="14.25" hidden="false" customHeight="false" outlineLevel="0" collapsed="false">
      <c r="A95" s="1" t="s">
        <v>2478</v>
      </c>
      <c r="B95" s="1" t="s">
        <v>2588</v>
      </c>
      <c r="C95" s="1" t="s">
        <v>2589</v>
      </c>
      <c r="D95" s="1" t="str">
        <f aca="false">CONCATENATE("""", A95, """,")</f>
        <v>"VEHI",</v>
      </c>
    </row>
    <row r="96" customFormat="false" ht="14.25" hidden="false" customHeight="false" outlineLevel="0" collapsed="false">
      <c r="A96" s="1" t="s">
        <v>2450</v>
      </c>
      <c r="B96" s="1" t="s">
        <v>2590</v>
      </c>
      <c r="C96" s="1" t="s">
        <v>2376</v>
      </c>
      <c r="D96" s="1" t="str">
        <f aca="false">CONCATENATE("""", A96, """,")</f>
        <v>"VENG",</v>
      </c>
    </row>
    <row r="97" customFormat="false" ht="14.25" hidden="false" customHeight="false" outlineLevel="0" collapsed="false">
      <c r="A97" s="1" t="s">
        <v>2467</v>
      </c>
      <c r="B97" s="1" t="s">
        <v>2591</v>
      </c>
      <c r="C97" s="1" t="s">
        <v>2519</v>
      </c>
      <c r="D97" s="1" t="str">
        <f aca="false">CONCATENATE("""", A97, """,")</f>
        <v>"VPTS",</v>
      </c>
    </row>
    <row r="98" customFormat="false" ht="14.25" hidden="false" customHeight="false" outlineLevel="0" collapsed="false">
      <c r="A98" s="1" t="s">
        <v>2592</v>
      </c>
      <c r="B98" s="1" t="s">
        <v>2593</v>
      </c>
      <c r="C98" s="1" t="s">
        <v>2431</v>
      </c>
      <c r="D98" s="1" t="str">
        <f aca="false">CONCATENATE("""", A98, """,")</f>
        <v>"WATR",</v>
      </c>
    </row>
    <row r="99" customFormat="false" ht="14.25" hidden="false" customHeight="false" outlineLevel="0" collapsed="false">
      <c r="A99" s="1" t="s">
        <v>2470</v>
      </c>
      <c r="B99" s="1" t="s">
        <v>2594</v>
      </c>
      <c r="C99" s="1" t="s">
        <v>2466</v>
      </c>
      <c r="D99" s="1" t="str">
        <f aca="false">CONCATENATE("""", A99, """,")</f>
        <v>"WDPR",</v>
      </c>
    </row>
    <row r="100" customFormat="false" ht="14.25" hidden="false" customHeight="false" outlineLevel="0" collapsed="false">
      <c r="A100" s="1" t="s">
        <v>2595</v>
      </c>
      <c r="B100" s="1" t="s">
        <v>2596</v>
      </c>
      <c r="C100" s="1" t="s">
        <v>2373</v>
      </c>
      <c r="D100" s="1" t="str">
        <f aca="false">CONCATENATE("""", A100, """,")</f>
        <v>"WHEA",</v>
      </c>
    </row>
    <row r="101" customFormat="false" ht="14.25" hidden="false" customHeight="false" outlineLevel="0" collapsed="false">
      <c r="A101" s="1" t="s">
        <v>1891</v>
      </c>
      <c r="B101" s="1" t="s">
        <v>2597</v>
      </c>
      <c r="C101" s="1" t="s">
        <v>2376</v>
      </c>
      <c r="D101" s="1" t="str">
        <f aca="false">CONCATENATE("""", A101, """,")</f>
        <v>"WOOD",</v>
      </c>
    </row>
    <row r="102" customFormat="false" ht="14.25" hidden="false" customHeight="false" outlineLevel="0" collapsed="false">
      <c r="A102" s="1" t="s">
        <v>2598</v>
      </c>
      <c r="B102" s="1" t="s">
        <v>2599</v>
      </c>
      <c r="C102" s="1" t="s">
        <v>2380</v>
      </c>
      <c r="D102" s="1" t="str">
        <f aca="false">CONCATENATE("""", A102, """,")</f>
        <v>"WOOL",</v>
      </c>
    </row>
    <row r="103" customFormat="false" ht="14.25" hidden="false" customHeight="false" outlineLevel="0" collapsed="false">
      <c r="A103" s="1" t="s">
        <v>2600</v>
      </c>
      <c r="B103" s="1" t="s">
        <v>2601</v>
      </c>
      <c r="C103" s="1" t="s">
        <v>2602</v>
      </c>
      <c r="D103" s="1" t="str">
        <f aca="false">CONCATENATE("""", A103, """,")</f>
        <v>"YETI",</v>
      </c>
    </row>
    <row r="104" customFormat="false" ht="14.25" hidden="false" customHeight="false" outlineLevel="0" collapsed="false">
      <c r="A104" s="1" t="s">
        <v>2603</v>
      </c>
      <c r="B104" s="1" t="s">
        <v>2604</v>
      </c>
      <c r="C104" s="1" t="s">
        <v>2602</v>
      </c>
      <c r="D104" s="1" t="str">
        <f aca="false">CONCATENATE("""", A104, """,")</f>
        <v>"YETY",</v>
      </c>
    </row>
    <row r="105" customFormat="false" ht="14.25" hidden="false" customHeight="false" outlineLevel="0" collapsed="false">
      <c r="A105" s="1" t="s">
        <v>2457</v>
      </c>
      <c r="B105" s="1" t="s">
        <v>2605</v>
      </c>
      <c r="C105" s="1" t="s">
        <v>2376</v>
      </c>
      <c r="D105" s="1" t="str">
        <f aca="false">CONCATENATE("""", A105, """,")</f>
        <v>"ZINC",</v>
      </c>
    </row>
    <row r="106" customFormat="false" ht="14.25" hidden="false" customHeight="false" outlineLevel="0" collapsed="false">
      <c r="A106" s="1" t="s">
        <v>2496</v>
      </c>
      <c r="B106" s="1" t="s">
        <v>2606</v>
      </c>
      <c r="C106" s="1" t="s">
        <v>2535</v>
      </c>
      <c r="D106" s="1" t="str">
        <f aca="false">CONCATENATE("""", A106, """,")</f>
        <v>"SOAP",</v>
      </c>
    </row>
    <row r="107" customFormat="false" ht="14.25" hidden="false" customHeight="false" outlineLevel="0" collapsed="false">
      <c r="A107" s="1" t="s">
        <v>2607</v>
      </c>
      <c r="B107" s="1" t="s">
        <v>2608</v>
      </c>
      <c r="C107" s="1" t="s">
        <v>2368</v>
      </c>
      <c r="D107" s="1" t="str">
        <f aca="false">CONCATENATE("""", A107, """,")</f>
        <v>"NH3_",</v>
      </c>
    </row>
    <row r="108" customFormat="false" ht="14.25" hidden="false" customHeight="false" outlineLevel="0" collapsed="false">
      <c r="A108" s="1" t="s">
        <v>2609</v>
      </c>
      <c r="B108" s="1" t="s">
        <v>2610</v>
      </c>
      <c r="C108" s="1" t="s">
        <v>2368</v>
      </c>
      <c r="D108" s="1" t="str">
        <f aca="false">CONCATENATE("""", A108, """,")</f>
        <v>"O2__",</v>
      </c>
    </row>
    <row r="109" customFormat="false" ht="14.25" hidden="false" customHeight="false" outlineLevel="0" collapsed="false">
      <c r="A109" s="1" t="s">
        <v>2499</v>
      </c>
      <c r="B109" s="1" t="s">
        <v>2611</v>
      </c>
      <c r="C109" s="1" t="s">
        <v>2535</v>
      </c>
      <c r="D109" s="1" t="str">
        <f aca="false">CONCATENATE("""", A109, """,")</f>
        <v>"COAT",</v>
      </c>
    </row>
    <row r="110" customFormat="false" ht="14.25" hidden="false" customHeight="false" outlineLevel="0" collapsed="false">
      <c r="A110" s="1" t="s">
        <v>2494</v>
      </c>
      <c r="B110" s="1" t="s">
        <v>2612</v>
      </c>
      <c r="C110" s="1" t="s">
        <v>2376</v>
      </c>
      <c r="D110" s="1" t="str">
        <f aca="false">CONCATENATE("""", A110, """,")</f>
        <v>"RBAR",</v>
      </c>
    </row>
    <row r="111" customFormat="false" ht="14.25" hidden="false" customHeight="false" outlineLevel="0" collapsed="false">
      <c r="A111" s="1" t="s">
        <v>2488</v>
      </c>
      <c r="B111" s="1" t="s">
        <v>2613</v>
      </c>
      <c r="C111" s="1" t="s">
        <v>2376</v>
      </c>
      <c r="D111" s="1" t="str">
        <f aca="false">CONCATENATE("""", A111, """,")</f>
        <v>"STSH",</v>
      </c>
    </row>
    <row r="112" customFormat="false" ht="14.25" hidden="false" customHeight="false" outlineLevel="0" collapsed="false">
      <c r="A112" s="1" t="s">
        <v>2491</v>
      </c>
      <c r="B112" s="1" t="s">
        <v>2614</v>
      </c>
      <c r="C112" s="1" t="s">
        <v>2376</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25136</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2026-08-18T20:09:54Z</dcterms:modified>
  <cp:revision>367</cp:revision>
  <dc:subject/>
  <dc:title/>
</cp:coreProperties>
</file>

<file path=docProps/custom.xml><?xml version="1.0" encoding="utf-8"?>
<Properties xmlns="http://schemas.openxmlformats.org/officeDocument/2006/custom-properties" xmlns:vt="http://schemas.openxmlformats.org/officeDocument/2006/docPropsVTypes"/>
</file>